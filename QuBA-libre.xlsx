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C:\Repositories\Projects\SCORE\RAPS\"/>
    </mc:Choice>
  </mc:AlternateContent>
  <xr:revisionPtr revIDLastSave="0" documentId="13_ncr:1_{5096CDBC-2294-4E54-9563-63ADC81142FC}" xr6:coauthVersionLast="47" xr6:coauthVersionMax="47" xr10:uidLastSave="{00000000-0000-0000-0000-000000000000}"/>
  <bookViews>
    <workbookView xWindow="-28920" yWindow="-120" windowWidth="29040" windowHeight="16440" tabRatio="893" activeTab="1" xr2:uid="{0601CAEA-1143-45AB-B5F7-5D12EF071BB5}"/>
  </bookViews>
  <sheets>
    <sheet name="License" sheetId="33" r:id="rId1"/>
    <sheet name="README" sheetId="28" r:id="rId2"/>
    <sheet name="Version History" sheetId="31" r:id="rId3"/>
    <sheet name="Definitions" sheetId="4" r:id="rId4"/>
    <sheet name="Questions" sheetId="29" r:id="rId5"/>
    <sheet name="Damage Scenarios" sheetId="25" r:id="rId6"/>
    <sheet name="Attack Steps" sheetId="9" r:id="rId7"/>
    <sheet name="Assumptions" sheetId="10" r:id="rId8"/>
    <sheet name="Countermeasures" sheetId="20" r:id="rId9"/>
    <sheet name="Documentation" sheetId="16" r:id="rId10"/>
    <sheet name="Questionnaire" sheetId="3" r:id="rId11"/>
    <sheet name="DS Overview" sheetId="13" r:id="rId12"/>
    <sheet name="Risks" sheetId="12" r:id="rId13"/>
    <sheet name="Mitigation" sheetId="21" r:id="rId14"/>
    <sheet name="Risk Treatment" sheetId="17" r:id="rId15"/>
    <sheet name="Result Summary" sheetId="22" r:id="rId16"/>
    <sheet name="Annex I 1.2 Report" sheetId="27" r:id="rId17"/>
    <sheet name="Tracing" sheetId="32" r:id="rId18"/>
    <sheet name="Tasks" sheetId="14" r:id="rId19"/>
    <sheet name="Quality Indicators" sheetId="24" r:id="rId20"/>
    <sheet name="JSON" sheetId="30" r:id="rId21"/>
    <sheet name="User Information" sheetId="26" state="hidden" r:id="rId22"/>
    <sheet name="Profile Definitions" sheetId="23" state="hidden" r:id="rId23"/>
    <sheet name="Helper" sheetId="19" state="hidden" r:id="rId24"/>
  </sheets>
  <definedNames>
    <definedName name="ApplyDamageMitigation">_xlfn.LAMBDA(_xlpm._in,_xlpm._damageMitigation,_xlpm._result, IF(_xlpm._in="",_xlpm._result,_xlfn.LET(_xlpm._id,LEFT(_xlpm._in,FIND(",",_xlpm._in)-1), _xlpm._gtPos,IFERROR(FIND(","&amp;_xlpm._id&amp;"&gt;",_xlpm._damageMitigation)+LEN(_xlpm._id&amp;"&gt;"),0), _xlpm._parsed,IF(IFERROR(FIND(","&amp;_xlpm._id&amp;",",_xlpm._damageMitigation)&gt;0,FALSE),"",IF(_xlpm._gtPos&gt;0,MID(_xlpm._damageMitigation,_xlpm._gtPos+1,FIND(",",_xlpm._damageMitigation,_xlpm._gtPos)-_xlpm._gtPos),_xlpm._id&amp;",")),  ApplyDamageMitigation(SUBSTITUTE(SUBSTITUTE(SUBSTITUTE("#"&amp;_xlpm._in,",",",#"),"#"&amp;_xlpm._id&amp;",",""),"#","")&amp;IF(_xlpm._gtPos&gt;0,IF(IFERROR(FIND(","&amp;_xlpm._parsed,","&amp;_xlpm._result)&gt;0,FALSE),"",_xlpm._parsed),""), _xlpm._damageMitigation, _xlpm._result&amp;IF(_xlpm._gtPos&gt;0,"",_xlpm._parsed)))))</definedName>
    <definedName name="CalculateMaxAndElements">_xlfn.LAMBDA(_xlpm._in,_xlpm._val,_xlpm._list,_xlpm._range, IF(_xlpm._in="",_xlpm._val&amp;":"&amp;_xlpm._list,_xlfn.LET( _xlpm._id,LEFT(_xlpm._in,FIND(",",_xlpm._in)-1), _xlpm._valueOfElement,VLOOKUP(_xlpm._id,_xlpm._range,COLUMNS(_xlpm._range),FALSE),  CalculateMaxAndElements(RemoveFirstElement(_xlpm._in), MAX(_xlpm._val,_xlpm._valueOfElement), IF(_xlpm._valueOfElement&lt;_xlpm._val,_xlpm._list,IF(_xlpm._valueOfElement=_xlpm._val,_xlpm._list&amp;_xlpm._id&amp;",",_xlpm._id&amp;",")), _xlpm._range))))</definedName>
    <definedName name="CalculateMaxAndElementsWithFallback">_xlfn.LAMBDA(_xlpm._in,_xlpm._val,_xlpm._list,_xlpm._range1,_xlpm._range2, IF(_xlpm._in="",_xlpm._val&amp;":"&amp;_xlpm._list,_xlfn.LET( _xlpm._id,LEFT(_xlpm._in,FIND(",",_xlpm._in)-1), _xlpm._valueOfElement,IFERROR(VLOOKUP(_xlpm._id,_xlpm._range1,COLUMNS(_xlpm._range1),FALSE),VLOOKUP(_xlpm._id,_xlpm._range2,COLUMNS(_xlpm._range2),FALSE)),  CalculateMaxAndElementsWithFallback(RemoveFirstElement(_xlpm._in), MAX(_xlpm._val,_xlpm._valueOfElement), IF(_xlpm._valueOfElement&lt;_xlpm._val,_xlpm._list,IF(_xlpm._valueOfElement=_xlpm._val,_xlpm._list&amp;_xlpm._id&amp;",",_xlpm._id&amp;",")), _xlpm._range1,_xlpm._range2))))</definedName>
    <definedName name="CalculateMaxFromList">_xlfn.LAMBDA(_xlpm._in,_xlpm._val,_xlpm._range, IF(_xlpm._in="",_xlpm._val,_xlfn.LET( _xlpm._id,LEFT(_xlpm._in,FIND(",",_xlpm._in)-1),  CalculateMaxFromList(RemoveFirstElement(_xlpm._in),MAX(_xlpm._val,VLOOKUP(_xlpm._id,_xlpm._range,COLUMNS(_xlpm._range),FALSE)),_xlpm._range))))</definedName>
    <definedName name="CheckActiveCountermeasureRecursively">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definedName>
    <definedName name="CheckRelevance">_xlfn.LAMBDA(_xlpm._in,_xlpm._searchIn, IF(_xlpm._in="",FALSE,_xlfn.LET( _xlpm._searchFor,LEFT(_xlpm._in,FIND(",",_xlpm._in)-1), _xlpm._isAndConnectedTerm,IFERROR(FIND("&amp;",_xlpm._searchFor)&gt;0,FALSE), _xlpm._found,IF(_xlpm._isAndConnectedTerm,CheckTerms(SUBSTITUTE(_xlpm._searchFor,"&amp;",",")&amp;",",_xlpm._searchIn),IFERROR(_xlfn.XMATCH("*"&amp;_xlpm._searchFor&amp;"*",_xlpm._searchIn,2)&gt;0,FALSE)),  IF(_xlpm._found,_xlpm._found,CheckRelevance(RemoveFirstElement(_xlpm._in),_xlpm._searchIn)))))</definedName>
    <definedName name="CheckTerms">_xlfn.LAMBDA(_xlpm._checkTerm,_xlpm._searchRange, IF(_xlpm._checkTerm="",TRUE,_xlfn.LET( _xlpm._firstElement,LEFT(_xlpm._checkTerm,FIND(",",_xlpm._checkTerm)-1), _xlpm._matchesAnswers,IFERROR(_xlfn.XMATCH("*"&amp;_xlpm._firstElement&amp;"*",_xlpm._searchRange,2)&gt;0,FALSE),  IF(_xlpm._matchesAnswers,CheckTerms(RemoveFirstElement(_xlpm._checkTerm),_xlpm._searchRange), FALSE))))</definedName>
    <definedName name="CreateConfirmedInlineMitigations">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definedName>
    <definedName name="CreateID">_xlfn.LAMBDA(_xlpm._header,_xlpm._column,_xlpm._test,  IF(ROW()=ROW(_xlpm._header)+1,0,INDEX(_xlpm._column,ROW()-1))+ IF(_xlpm._test,1,0))</definedName>
    <definedName name="CreateIndentedString">_xlfn.LAMBDA(_xlpm._in,_xlpm._lineWidth,_xlpm._indentation, REPT(" ",_xlpm._indentation)&amp;SUBSTITUTE(SplitLines(_xlpm._in,_xlpm._lineWidth-_xlpm._indentation,""),CHAR(10),CHAR(10)&amp;REPT(" ",_xlpm._indentation)))</definedName>
    <definedName name="CreateSearchString">_xlfn.LAMBDA(_xlpm._in,IF(_xlpm._in="","",","&amp;SUBSTITUTE(SUBSTITUTE(_xlpm._in,CHAR(10),"")," ","")&amp;IF(RIGHT(_xlpm._in,1)=",","",",")))</definedName>
    <definedName name="CreateTaskID">_xlfn.LAMBDA(_xlpm._ownHeader,_xlpm._ownColumn,_xlpm._searchFor,_xlpm._searchIn,  IF(ROW()=ROW(_xlpm._ownHeader)+1,0,INDEX(_xlpm._ownColumn,ROW()-1))+ IF(IFERROR(FIND(_xlpm._searchFor,_xlpm._searchIn)&gt;0,FALSE),1,0))</definedName>
    <definedName name="EscapeString">_xlfn.LAMBDA(_xlpm._string,SUBSTITUTE(_xlpm._string,CHAR(34),"'"))</definedName>
    <definedName name="FilterElementsFromList">_xlfn.LAMBDA(_xlpm._inputList,_xlpm._filterList,_xlpm._trueIfIntersectAndFalseIfSubtract,_xlpm._delimiter, IF(_xlpm._inputList="","",_xlfn.LET(_xlpm._id,LEFT(_xlpm._inputList,FIND(",",_xlpm._inputList)-1), IF(_xlpm._trueIfIntersectAndFalseIfSubtract, IF(IFERROR(FIND(","&amp;_xlpm._id&amp;",",","&amp;_xlpm._filterList)&gt;0,FALSE),_xlpm._id&amp;_xlpm._delimiter,""), IF(IFERROR(FIND(","&amp;_xlpm._id&amp;",",","&amp;_xlpm._filterList)&gt;0,FALSE),"",_xlpm._id&amp;_xlpm._delimiter))&amp; FilterElementsFromList(SUBSTITUTE(SUBSTITUTE(SUBSTITUTE("#"&amp;_xlpm._inputList,",",",#"),"#"&amp;_xlpm._id&amp;",",""),"#",""),_xlpm._filterList,_xlpm._trueIfIntersectAndFalseIfSubtract,_xlpm._delimiter))))</definedName>
    <definedName name="FilterPreconditionCandidates">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definedName>
    <definedName name="GenerateAttackPaths">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definedName>
    <definedName name="GenerateID">_xlfn.LAMBDA(_xlpm._header,_xlpm._test, _xlfn.LET( _xlpm._ownRow,ROW(), _xlpm._headerRow,ROW(_xlpm._header), IF(_xlpm._ownRow=_xlpm._headerRow+1,0,OFFSET(_xlpm._header,_xlpm._ownRow-_xlpm._headerRow-1,0))+ IF(_xlpm._test,1,0)))</definedName>
    <definedName name="GenerateRationale">_xlfn.LAMBDA(_xlpm._in, OFFSET(_xlpm._in,0,0)&amp;": "&amp;CHAR(10)&amp; OFFSET(_xlpm._in,0,1)&amp;": "&amp;CHAR(10)&amp; OFFSET(_xlpm._in,0,2)&amp;": "&amp;CHAR(10)&amp; OFFSET(_xlpm._in,0,3)&amp;": "&amp;CHAR(10)&amp; OFFSET(_xlpm._in,0,4)&amp;": ")</definedName>
    <definedName name="GenerateShadowID">_xlfn.LAMBDA(_xlpm._row,_xlpm._header,_xlpm._ownColumn,_xlpm._initialValue,_xlpm._check, IF(_xlpm._row=ROW(_xlpm._header)+1,_xlpm._initialValue,INDEX(_xlpm._ownColumn,_xlpm._row-1))+ IF(_xlpm._check,1,0))</definedName>
    <definedName name="GetColumnLetter">_xlfn.LAMBDA(_xlpm._cell, _xlfn.LET( _xlpm._address,CELL("address",_xlpm._cell), _xlpm._start,FIND("$",_xlpm._address)+1, _xlpm._end,FIND("$",SUBSTITUTE(_xlpm._address,"$","#",1)),  MID(_xlpm._address,_xlpm._start,_xlpm._end-_xlpm._start)))</definedName>
    <definedName name="GetQualityIssues">_xlfn.LAMBDA(_xlpm._sheet,_xlpm._textColumn,_xlpm._idColumn,_xlpm._elementID,_xlpm._delimiter, _xlfn.LET(_xlpm._qualityIssue,IFERROR(INDEX(INDIRECT(_xlpm._sheet&amp;_xlpm._textColumn),MATCH(_xlpm._elementID,INDIRECT(_xlpm._sheet&amp;_xlpm._idColumn),0)),""),  IF(_xlpm._qualityIssue="","",_xlpm._qualityIssue&amp;_xlpm._delimiter&amp;GetQualityIssues(_xlpm._sheet,_xlpm._textColumn,_xlpm._idColumn,_xlpm._elementID+1,_xlpm._delimiter))))</definedName>
    <definedName name="GetReferenceText">_xlfn.LAMBDA(_xlpm._reference, _xlfn.LET( _xlpm._full,CELL("address",_xlpm._reference),"'"&amp;SUBSTITUTE(SUBSTITUTE(RIGHT(_xlpm._full,LEN(_xlpm._full)-FIND("]",_xlpm._full)),"'!","!"),"!","'!")))</definedName>
    <definedName name="GetSheetName">_xlfn.LAMBDA(_xlpm._shadowIDHeader, _xlfn.LET( _xlpm._sheetAddress,CELL("filename",_xlpm._shadowIDHeader),  RIGHT(_xlpm._sheetAddress,LEN(_xlpm._sheetAddress)-FIND("]",_xlpm._sheetAddress))))</definedName>
    <definedName name="GetTransformation">_xlfn.LAMBDA(_xlpm._in,_xlpm._range,_xlpm._columnName,_xlpm._delimiter,_xlpm._result, IF(_xlpm._in="",_xlpm._result,_xlfn.LET( _xlpm._id,LEFT(_xlpm._in,FIND(",",_xlpm._in)-1), _xlpm._gtPos,IFERROR(FIND("&gt;",_xlpm._id),0), _xlpm._isTransformation,_xlpm._gtPos&gt;0, _xlpm._replaceString,IF(_xlpm._isTransformation,"[#2]","[#1]"), _xlpm._dsOne,IF(_xlpm._isTransformation,LEFT(_xlpm._id,_xlpm._gtPos-1),_xlpm._id), _xlpm._dsTwo,IF(_xlpm._isTransformation,RIGHT(_xlpm._id,LEN(_xlpm._id)-_xlpm._gtPos),""),  GetTransformation( SUBSTITUTE(SUBSTITUTE(SUBSTITUTE("#"&amp;_xlpm._in,",",",#"),"#"&amp;_xlpm._id&amp;",",""),"#",""),_xlpm._range,_xlpm._columnName,_xlpm._delimiter,SUBSTITUTE(_xlpm._result,_xlpm._replaceString,      IFERROR(_xlpm._dsOne&amp;" "&amp;VLOOKUP(_xlpm._dsOne,_xlpm._range,_xlpm._columnName,FALSE),"ERROR: Unknown ID: "&amp;_xlpm._dsOne)&amp;      IF(_xlpm._isTransformation,CHAR(10)&amp;"-----&gt; "&amp;IFERROR(_xlpm._dsTwo&amp;" "&amp;VLOOKUP(_xlpm._dsTwo,_xlpm._range,_xlpm._columnName,FALSE),"ERROR: Unknown ID: "&amp;_xlpm._dsTwo),"")&amp;_xlpm._delimiter&amp;_xlpm._replaceString)))))</definedName>
    <definedName name="GetValues">_xlfn.LAMBDA(_xlpm._in,_xlpm._lookupRange,_xlpm._delimiter1,_xlpm._delimiter2,_xlpm._addID, IF(_xlpm._in="","",_xlfn.LET( _xlpm._id,LEFT(_xlpm._in,FIND(",",_xlpm._in)-1), _xlpm._value,IFERROR(IF(_xlpm._addID,_xlpm._id&amp;_xlpm._delimiter1,"")&amp;VLOOKUP(_xlpm._id,_xlpm._lookupRange,COLUMNS(_xlpm._lookupRange),FALSE),"ERROR: Unknown ID: "&amp;_xlpm._id),  IF(_xlpm._value="","",_xlpm._value&amp; _xlpm._delimiter2)&amp; GetValues(RemoveFirstElement(_xlpm._in),_xlpm._lookupRange,_xlpm._delimiter1,_xlpm._delimiter2,_xlpm._addID))))</definedName>
    <definedName name="GetValuesIgnoreErrors">_xlfn.LAMBDA(_xlpm._in,_xlpm._lookupRange,_xlpm._delimiter1,_xlpm._delimiter2,_xlpm._addID, IF(_xlpm._in="","",_xlfn.LET( _xlpm._id,LEFT(_xlpm._in,FIND(",",_xlpm._in)-1), _xlpm._value,IFERROR(IF(_xlpm._addID,_xlpm._id&amp;_xlpm._delimiter1,"")&amp;VLOOKUP(_xlpm._id,_xlpm._lookupRange,COLUMNS(_xlpm._lookupRange),FALSE),""),  IF(_xlpm._value="","",_xlpm._value&amp; _xlpm._delimiter2)&amp; GetValuesIgnoreErrors(RemoveFirstElement(_xlpm._in),_xlpm._lookupRange,_xlpm._delimiter1,_xlpm._delimiter2,_xlpm._addID))))</definedName>
    <definedName name="GetValuesWithFallback">_xlfn.LAMBDA(_xlpm._in,_xlpm._lookupRange1,_xlpm._lookupRange2,_xlpm._delimiter1,_xlpm._delimiter2,_xlpm._addID, IF(_xlpm._in="","",_xlfn.LET( _xlpm._id,LEFT(_xlpm._in,FIND(",",_xlpm._in)-1), _xlpm._value,IFERROR(IF(_xlpm._addID,_xlpm._id&amp;_xlpm._delimiter1,"")&amp;VLOOKUP(_xlpm._id,_xlpm._lookupRange1,COLUMNS(_xlpm._lookupRange1),FALSE),IFERROR(IF(_xlpm._addID,_xlpm._id&amp;_xlpm._delimiter1,"")&amp;VLOOKUP(_xlpm._id,_xlpm._lookupRange2,COLUMNS(_xlpm._lookupRange2),FALSE),"ERROR: Unknown ID: "&amp;_xlpm._id)),  IF(_xlpm._value="","",_xlpm._value&amp; _xlpm._delimiter2)&amp; GetValuesWithFallback(RemoveFirstElement(_xlpm._in),_xlpm._lookupRange1,_xlpm._lookupRange2,_xlpm._delimiter1,_xlpm._delimiter2,_xlpm._addID))))</definedName>
    <definedName name="InverseLookup">_xlfn.LAMBDA(_xlpm._ownID,_xlpm._searchHeader,_xlpm._resultHeader,_xlpm._offset,_xlpm._elementCount,_xlpm._delimiter, _xlfn.LET(_xlpm._match,IFERROR(_xlfn.XMATCH("*,"&amp;_xlpm._ownID&amp;",*",OFFSET(_xlpm._searchHeader,_xlpm._offset,0,_xlpm._elementCount,1),2),0), _xlpm._foreignID,IF(_xlpm._match=0,"",OFFSET(_xlpm._resultHeader,_xlpm._offset+_xlpm._match-1,0)),  IF(_xlpm._match=0,"",IF(_xlpm._foreignID="","",_xlpm._foreignID&amp;_xlpm._delimiter)&amp; InverseLookup(_xlpm._ownID,_xlpm._searchHeader,_xlpm._resultHeader,_xlpm._offset+_xlpm._match,_xlpm._elementCount,_xlpm._delimiter))))</definedName>
    <definedName name="InverseLookupList">_xlfn.LAMBDA(_xlpm._in,_xlpm._searchHeader,_xlpm._resultHeader,_xlpm._elementCount,_xlpm._delimiter, IF(_xlpm._in="","",_xlfn.LET( _xlpm._id,LEFT(_xlpm._in,FIND(",",_xlpm._in)-1),  InverseLookup(_xlpm._id,_xlpm._searchHeader,_xlpm._resultHeader,1,_xlpm._elementCount,_xlpm._delimiter)&amp; InverseLookupList(RemoveFirstElement(_xlpm._in),_xlpm._searchHeader,_xlpm._resultHeader,_xlpm._elementCount,_xlpm._delimiter))))</definedName>
    <definedName name="JSON_Questionnaire">JSON!$C$7</definedName>
    <definedName name="JSON_ResultSummary">JSON!$C$9</definedName>
    <definedName name="JSON_RiskTreatment">JSON!$C$8</definedName>
    <definedName name="JSONParseAttributes">_xlfn.LAMBDA(_xlpm._sheetName,_xlpm._headerRow,_xlpm._row,_xlpm._template,_xlpm._delimiter,_xlpm._columnList, IF(_xlpm._columnList="","",_xlfn.LET( _xlpm._columnLetter,LEFT(_xlpm._columnList,1), _xlpm._header,SUBSTITUTE(INDIRECT("'"&amp;_xlpm._sheetName&amp;"'!"&amp;_xlpm._columnLetter&amp;_xlpm._headerRow),CHAR(10)," "), _xlpm._value,EscapeString(SUBSTITUTE(INDIRECT("'"&amp;_xlpm._sheetName&amp;"'!"&amp;_xlpm._columnLetter&amp;_xlpm._row),CHAR(10)," ")),  SUBSTITUTE(SUBSTITUTE(_xlpm._template,"[#1]",_xlpm._header),"[#2]",_xlpm._value)&amp;_xlpm._delimiter&amp; JSONParseAttributes(_xlpm._sheetName,_xlpm._headerRow,_xlpm._row,_xlpm._template,_xlpm._delimiter,RIGHT(_xlpm._columnList,LEN(_xlpm._columnList)-1)))))</definedName>
    <definedName name="JSONParseSheet">_xlfn.LAMBDA(_xlpm._shadowID,_xlpm._sheetName,_xlpm._shadowIDHeader,_xlpm._elementTemplate,_xlpm._attributeTemplate,_xlpm._delimiter,_xlpm._columnList, _xlfn.LET( _xlpm._shadowIDColumnLetter,GetColumnLetter(_xlpm._shadowIDHeader), _xlpm._shadowIDColumn,"'"&amp;_xlpm._sheetName&amp;"'!"&amp;_xlpm._shadowIDColumnLetter&amp;":"&amp;_xlpm._shadowIDColumnLetter, _xlpm._row,IFERROR(MATCH(_xlpm._shadowID,INDIRECT(_xlpm._shadowIDColumn),0),0),  IF(_xlpm._row=0,"",_xlfn.LET( _xlpm._element,SUBSTITUTE(_xlpm._elementTemplate,"[#1]",RemoveDelimiter(JSONParseAttributes(_xlpm._sheetName,ROW(_xlpm._shadowIDHeader),_xlpm._row,_xlpm._attributeTemplate,_xlpm._delimiter,_xlpm._columnList),_xlpm._delimiter)),  _xlpm._element&amp; JSONParseSheet(_xlpm._shadowID+1,_xlpm._sheetName,_xlpm._shadowIDHeader,_xlpm._elementTemplate,_xlpm._attributeTemplate,_xlpm._delimiter,_xlpm._columnList)))))</definedName>
    <definedName name="JSONParseSheets">_xlfn.LAMBDA(_xlpm._sheetIndex,_xlpm._definitionsSheetNameHeader,_xlpm._definitionsColumnsHeader,_xlpm._definitionsShadowIDColumnHeader,_xlpm._definitionsShadowIDHeaderHeader,_xlpm._jsonTemplate,_xlpm._elementTemplate,_xlpm._attributeTemplate,_xlpm._delimiter, _xlfn.LET( _xlpm._sheetName,OFFSET(_xlpm._definitionsSheetNameHeader,_xlpm._sheetIndex,0), _xlpm._columnList,OFFSET(_xlpm._definitionsColumnsHeader,_xlpm._sheetIndex,0), _xlpm._shadowIDColumnLetter,OFFSET(_xlpm._definitionsShadowIDColumnHeader,_xlpm._sheetIndex,0), _xlpm._shadowIDHeaderRow,OFFSET(_xlpm._definitionsShadowIDHeaderHeader,_xlpm._sheetIndex,0), _xlpm._shadowIDHeader,INDIRECT("'"&amp;_xlpm._sheetName&amp;"'!$"&amp;_xlpm._shadowIDColumnLetter&amp;"$"&amp;_xlpm._shadowIDHeaderRow),  IF(_xlpm._sheetName="","", SUBSTITUTE(SUBSTITUTE(_xlpm._jsonTemplate, "[#1]",_xlpm._sheetName), "[#2]",JSONParseSheet(1,_xlpm._sheetName,_xlpm._shadowIDHeader,_xlpm._elementTemplate,_xlpm._attributeTemplate,_xlpm._delimiter,_xlpm._columnList)))))</definedName>
    <definedName name="LookupNames">_xlfn.LAMBDA(_xlpm._in,_xlpm._range,RemoveDelimiter(GetValues(_xlpm._in,_xlpm._range," ",","&amp;CHAR(10),TRUE),","&amp;CHAR(10)))</definedName>
    <definedName name="ParseAllMitigationsFromComment">_xlfn.LAMBDA(_xlpm._ownID,_xlpm._idDelimiter,_xlpm._prefix,_xlpm._comment,_xlpm._syntaxStart,_xlpm._syntaxEnd,_xlpm._rapDelimiter,_xlpm._delimiter,_xlpm._instance, _xlfn.LET( _xlpm._numStarts,LEN(_xlpm._comment)-LEN(SUBSTITUTE(_xlpm._comment,_xlpm._syntaxStart,"")),  IFERROR(_xlpm._ownID&amp;_xlpm._idDelimiter&amp;_xlpm._prefix&amp;_xlpm._instance&amp;" "&amp;ParseElementsFromComment(_xlpm._comment,_xlpm._syntaxStart,_xlpm._syntaxEnd,_xlpm._rapDelimiter,_xlpm._instance)&amp;_xlpm._delimiter,"")&amp; IF(_xlpm._instance&gt;_xlpm._numStarts,"",ParseAllMitigationsFromComment(_xlpm._ownID,_xlpm._idDelimiter,_xlpm._prefix,_xlpm._comment,_xlpm._syntaxStart,_xlpm._syntaxEnd,_xlpm._rapDelimiter,_xlpm._delimiter,_xlpm._instance+1))))</definedName>
    <definedName name="ParseAttackPotentialFromComment">_xlfn.LAMBDA(_xlpm._comments,_xlpm._attackPotentialSyntaxStart,_xlpm._additionalElementEndSyntax,_xlpm._attackPontentialsRange,_xlpm._attackPotentialValue, _xlfn.LET( _xlpm._attackPotentialStart,IFERROR(FIND(_xlpm._attackPotentialSyntaxStart,_xlpm._comments),0), _xlpm._attackPotentialEnd,IF(_xlpm._attackPotentialStart=0,0,IFERROR(FIND(_xlpm._additionalElementEndSyntax,_xlpm._comments,_xlpm._attackPotentialStart),0)),  IF(OR(_xlpm._attackPotentialStart=0,_xlpm._attackPotentialEnd=0),_xlpm._attackPotentialValue,_xlfn.LET( _xlpm._startSyntaxLength,LEN(_xlpm._attackPotentialSyntaxStart), _xlpm._attackPotentialCandidate,TRIM(MID(_xlpm._comments,_xlpm._attackPotentialStart+_xlpm._startSyntaxLength,_xlpm._attackPotentialEnd-_xlpm._attackPotentialStart-_xlpm._startSyntaxLength)), _xlpm._candidateIndex,IFERROR(MATCH(_xlpm._attackPotentialCandidate,_xlpm._attackPontentialsRange,0),0),  ParseAttackPotentialFromComment(RIGHT(_xlpm._comments,LEN(_xlpm._comments)-_xlpm._attackPotentialStart-1),_xlpm._attackPotentialSyntaxStart,_xlpm._additionalElementEndSyntax,_xlpm._attackPontentialsRange,MAX(_xlpm._attackPotentialValue,_xlpm._candidateIndex))))))</definedName>
    <definedName name="ParseElementsFromComment">_xlfn.LAMBDA(_xlpm._in,_xlpm._syntaxStart,_xlpm._syntaxEnd,_xlpm._rapDelimiter,_xlpm._instanceNum, _xlfn.LET( _xlpm._keyWordLength,LEN(_xlpm._syntaxStart&amp;" "), _xlpm._searchFor,REPT(CHAR(1),_xlpm._keyWordLength), _xlpm._searchString,SUBSTITUTE(_xlpm._in,_xlpm._syntaxStart,_xlpm._searchFor,_xlpm._instanceNum), _xlpm._start,FIND(_xlpm._searchFor,_xlpm._searchString)+_xlpm._keyWordLength, _xlpm._end,FIND(_xlpm._syntaxEnd,_xlpm._in,_xlpm._start), _xlpm._fullString,MID(_xlpm._in,_xlpm._start,_xlpm._end-_xlpm._start), _xlpm._attackPotentialPos,IFERROR(FIND(_xlpm._rapDelimiter,_xlpm._fullString),0),  IF(_xlpm._attackPotentialPos=_xlpm._attackPotentialPos,_xlpm._fullString,LEFT(_xlpm._fullString,_xlpm._attackPotentialPos-1))))</definedName>
    <definedName name="ParseInlineMitigationString">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definedName>
    <definedName name="PrintDate">_xlfn.LAMBDA(_xlpm._date,TEXT(DAY(_xlpm._date),"00")&amp;"."&amp;TEXT(MONTH(_xlpm._date),"00")&amp;"."&amp;TEXT(YEAR(_xlpm._date),"0000"))</definedName>
    <definedName name="RemoveDelimiter">_xlfn.LAMBDA(_xlpm._in,_xlpm._delimiter,IF(_xlpm._in="","",SUBSTITUTE(SUBSTITUTE(_xlpm._in&amp;CHAR(1),_xlpm._delimiter&amp;CHAR(1),""),CHAR(1),"")))</definedName>
    <definedName name="RemoveFirstElement">_xlfn.LAMBDA(_xlpm._in,IF(_xlpm._in="","",SUBSTITUTE(SUBSTITUTE(SUBSTITUTE("#"&amp;_xlpm._in,",",",#"),"#"&amp;LEFT(_xlpm._in,FIND(",",_xlpm._in)),""),"#","")))</definedName>
    <definedName name="SanitizeInput">_xlfn.LAMBDA(_xlpm._in,IF(_xlpm._in="","",SUBSTITUTE(SUBSTITUTE(_xlpm._in,CHAR(10),"")," ","")&amp;IF(RIGHT(_xlpm._in,1)=",","",",")))</definedName>
    <definedName name="ShowResultingOptions">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definedName>
    <definedName name="SimpleLookup">_xlfn.LAMBDA(_xlpm._id,_xlpm._range,VLOOKUP(_xlpm._id,_xlpm._range,COLUMNS(_xlpm._range),FALSE))</definedName>
    <definedName name="SortList">_xlfn.LAMBDA(_xlpm._in,_xlpm._shadowIDRange,_xlpm._elementCount,_xlpm._result,_xlpm._delimiter,_xlpm._ignoreErrors, IF(_xlpm._in="",SUBSTITUTE(_xlpm._result,"§",""), _xlfn.LET(_xlpm._id,LEFT(_xlpm._in,FIND(",",_xlpm._in)-1), _xlpm._bucketList,IF(_xlpm._result="",REPT("§",_xlpm._elementCount),_xlpm._result),  SortList(RemoveFirstElement(_xlpm._in),_xlpm._shadowIDRange,_xlpm._elementCount, IFERROR(SUBSTITUTE(_xlpm._bucketList,"§",_xlpm._id&amp;_xlpm._delimiter&amp;"§",VLOOKUP(_xlpm._id,_xlpm._shadowIDRange,COLUMNS(_xlpm._shadowIDRange),FALSE)),IF(_xlpm._ignoreErrors,_xlpm._bucketList,"Error: Unknown ID: "&amp;_xlpm._id)), _xlpm._delimiter,_xlpm._ignoreErrors))))</definedName>
    <definedName name="SplitLines">_xlfn.LAMBDA(_xlpm._in,_xlpm._lineWidth,_xlpm._currentLine, IF(_xlpm._in="",_xlpm._currentLine,_xlfn.LET( _xlpm._spcPos,FIND(" ",_xlpm._in&amp;" "), _xlpm._word,IFERROR(LEFT(_xlpm._in,_xlpm._spcPos),""), _xlpm._currentLength,LEN(_xlpm._currentLine), _xlpm._rest,IFERROR(RIGHT(_xlpm._in,LEN(_xlpm._in)-_xlpm._spcPos),""),  IF(_xlpm._currentLength+_xlpm._spcPos&lt;=_xlpm._lineWidth, SplitLines(_xlpm._rest,_xlpm._lineWidth,IF(_xlpm._currentLine="","",_xlpm._currentLine&amp;" ")&amp;_xlpm._word), LEFT(_xlpm._currentLine,_xlpm._currentLength-1)&amp;CHAR(10)&amp;SplitLines(_xlpm._rest,_xlpm._lineWidth,_xlpm._word)))))</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1" i="20" l="1"/>
  <c r="B41" i="20"/>
  <c r="B2" i="28" a="1"/>
  <c r="B2" i="28" l="1"/>
  <c r="D21" i="10"/>
  <c r="D24" i="10"/>
  <c r="D20" i="10"/>
  <c r="D42" i="10"/>
  <c r="C21" i="10" l="1"/>
  <c r="S20" i="10"/>
  <c r="C42" i="10"/>
  <c r="B42" i="10"/>
  <c r="C29" i="10"/>
  <c r="C20" i="10"/>
  <c r="S16" i="10"/>
  <c r="B34" i="9"/>
  <c r="E21" i="25"/>
  <c r="E5" i="25"/>
  <c r="H48" i="29"/>
  <c r="B47" i="29"/>
  <c r="B20" i="29"/>
  <c r="B12" i="29"/>
  <c r="B10" i="29"/>
  <c r="G18" i="4"/>
  <c r="G14" i="4"/>
  <c r="G10" i="4"/>
  <c r="G7" i="4"/>
  <c r="G4" i="4"/>
  <c r="G5" i="4"/>
  <c r="G6" i="4"/>
  <c r="G8" i="4"/>
  <c r="G9" i="4"/>
  <c r="G11" i="4"/>
  <c r="G12" i="4"/>
  <c r="G13" i="4"/>
  <c r="G15" i="4"/>
  <c r="G16" i="4"/>
  <c r="G17" i="4"/>
  <c r="G19" i="4"/>
  <c r="G20" i="4"/>
  <c r="G21" i="4"/>
  <c r="G22" i="4"/>
  <c r="G23" i="4"/>
  <c r="F19" i="31" l="1" a="1"/>
  <c r="F19" i="31" s="1"/>
  <c r="F15" i="31" a="1"/>
  <c r="F15" i="31" s="1"/>
  <c r="F11" i="31" a="1"/>
  <c r="F11" i="31" s="1"/>
  <c r="F7" i="31" a="1"/>
  <c r="F7" i="31" s="1"/>
  <c r="F3" i="31" a="1"/>
  <c r="F3" i="31" s="1"/>
  <c r="K4" i="29" a="1"/>
  <c r="K4" i="29" s="1"/>
  <c r="K5" i="29" a="1"/>
  <c r="K5" i="29" s="1"/>
  <c r="K6" i="29" a="1"/>
  <c r="K6" i="29" s="1"/>
  <c r="K9" i="29" a="1"/>
  <c r="K9" i="29" s="1"/>
  <c r="K11" i="29" a="1"/>
  <c r="K11" i="29" s="1"/>
  <c r="K14" i="29" a="1"/>
  <c r="K14" i="29" s="1"/>
  <c r="K15" i="29" a="1"/>
  <c r="K15" i="29" s="1"/>
  <c r="K17" i="29" a="1"/>
  <c r="K17" i="29" s="1"/>
  <c r="K19" i="29" a="1"/>
  <c r="K19" i="29" s="1"/>
  <c r="K22" i="29" a="1"/>
  <c r="K22" i="29" s="1"/>
  <c r="K23" i="29" a="1"/>
  <c r="K23" i="29" s="1"/>
  <c r="K25" i="29" a="1"/>
  <c r="K25" i="29" s="1"/>
  <c r="K29" i="29" a="1"/>
  <c r="K29" i="29" s="1"/>
  <c r="K31" i="29" a="1"/>
  <c r="K31" i="29" s="1"/>
  <c r="K34" i="29" a="1"/>
  <c r="K34" i="29" s="1"/>
  <c r="K35" i="29" a="1"/>
  <c r="K35" i="29" s="1"/>
  <c r="K37" i="29" a="1"/>
  <c r="K37" i="29" s="1"/>
  <c r="K42" i="29" a="1"/>
  <c r="K42" i="29" s="1"/>
  <c r="K43" i="29" a="1"/>
  <c r="K43" i="29" s="1"/>
  <c r="K52" i="29" a="1"/>
  <c r="K52" i="29" s="1"/>
  <c r="K59" i="29" a="1"/>
  <c r="K59" i="29" s="1"/>
  <c r="K60" i="29" a="1"/>
  <c r="K60" i="29" s="1"/>
  <c r="J55" i="29"/>
  <c r="I55" i="29"/>
  <c r="J45" i="29"/>
  <c r="I45" i="29"/>
  <c r="J58" i="29"/>
  <c r="J57" i="29"/>
  <c r="I57" i="29"/>
  <c r="K57" i="29" s="1" a="1"/>
  <c r="K57" i="29" s="1"/>
  <c r="L57" i="29" s="1" a="1"/>
  <c r="L57" i="29" s="1"/>
  <c r="J56" i="29"/>
  <c r="J53" i="29"/>
  <c r="I53" i="29"/>
  <c r="J51" i="29"/>
  <c r="J50" i="29"/>
  <c r="J49" i="29"/>
  <c r="J48" i="29"/>
  <c r="J47" i="29"/>
  <c r="J46" i="29"/>
  <c r="J44" i="29"/>
  <c r="J41" i="29"/>
  <c r="I41" i="29"/>
  <c r="J40" i="29"/>
  <c r="J39" i="29"/>
  <c r="J38" i="29"/>
  <c r="J36" i="29"/>
  <c r="J7" i="29"/>
  <c r="I32" i="29" a="1"/>
  <c r="I58" i="29" a="1"/>
  <c r="I51" i="29" a="1"/>
  <c r="I38" i="29" a="1"/>
  <c r="D71" i="28"/>
  <c r="I28" i="29" a="1"/>
  <c r="I36" i="29" a="1"/>
  <c r="I46" i="29" a="1"/>
  <c r="I47" i="29" a="1"/>
  <c r="I50" i="29" a="1"/>
  <c r="I56" i="29" a="1"/>
  <c r="I40" i="29" a="1"/>
  <c r="I44" i="29" a="1"/>
  <c r="D72" i="28"/>
  <c r="I39" i="29" a="1"/>
  <c r="I13" i="29" a="1"/>
  <c r="I49" i="29" a="1"/>
  <c r="I48" i="29" a="1"/>
  <c r="K45" i="29" l="1" a="1"/>
  <c r="K45" i="29" s="1"/>
  <c r="L45" i="29" s="1" a="1"/>
  <c r="L45" i="29" s="1"/>
  <c r="K53" i="29" a="1"/>
  <c r="K53" i="29" s="1"/>
  <c r="L53" i="29" s="1" a="1"/>
  <c r="L53" i="29" s="1"/>
  <c r="C14" i="16" a="1"/>
  <c r="C14" i="16" s="1"/>
  <c r="K55" i="29" a="1"/>
  <c r="K55" i="29" s="1"/>
  <c r="L55" i="29" s="1" a="1"/>
  <c r="L55" i="29" s="1"/>
  <c r="K41" i="29" a="1"/>
  <c r="K41" i="29" s="1"/>
  <c r="L41" i="29" s="1" a="1"/>
  <c r="L41" i="29" s="1"/>
  <c r="I58" i="29"/>
  <c r="I56" i="29"/>
  <c r="I51" i="29"/>
  <c r="I50" i="29"/>
  <c r="I49" i="29"/>
  <c r="I48" i="29"/>
  <c r="I47" i="29"/>
  <c r="I46" i="29"/>
  <c r="I44" i="29"/>
  <c r="I40" i="29"/>
  <c r="I39" i="29"/>
  <c r="I38" i="29"/>
  <c r="I36" i="29"/>
  <c r="I32" i="29"/>
  <c r="I28" i="29"/>
  <c r="I13" i="29"/>
  <c r="J54" i="29"/>
  <c r="K48" i="29" a="1"/>
  <c r="I7" i="29" a="1"/>
  <c r="K56" i="29" a="1"/>
  <c r="K40" i="29" a="1"/>
  <c r="K155" i="28" a="1"/>
  <c r="K58" i="29" a="1"/>
  <c r="I54" i="29" a="1"/>
  <c r="K38" i="29" a="1"/>
  <c r="K51" i="29" a="1"/>
  <c r="K39" i="29" a="1"/>
  <c r="K36" i="29" a="1"/>
  <c r="K46" i="29" a="1"/>
  <c r="K50" i="29" a="1"/>
  <c r="K47" i="29" a="1"/>
  <c r="K49" i="29" a="1"/>
  <c r="K44" i="29" a="1"/>
  <c r="K36" i="29" l="1"/>
  <c r="K38" i="29"/>
  <c r="K39" i="29"/>
  <c r="K40" i="29"/>
  <c r="K44" i="29"/>
  <c r="K46" i="29"/>
  <c r="K47" i="29"/>
  <c r="K48" i="29"/>
  <c r="K49" i="29"/>
  <c r="K50" i="29"/>
  <c r="K51" i="29"/>
  <c r="K56" i="29"/>
  <c r="K58" i="29"/>
  <c r="I54" i="29"/>
  <c r="I7" i="29"/>
  <c r="K155" i="28"/>
  <c r="K7" i="29" a="1"/>
  <c r="I155" i="28" a="1"/>
  <c r="K54" i="29" a="1"/>
  <c r="K7" i="29" l="1"/>
  <c r="L7" i="29" s="1" a="1"/>
  <c r="L7" i="29" s="1"/>
  <c r="K54" i="29"/>
  <c r="L54" i="29" s="1" a="1"/>
  <c r="L54" i="29" s="1"/>
  <c r="I155" i="28"/>
  <c r="F155" i="28"/>
  <c r="G155" i="28"/>
  <c r="E155" i="28"/>
  <c r="B155" i="28" a="1"/>
  <c r="B155" i="28" l="1"/>
  <c r="AE87" i="22" l="1" a="1"/>
  <c r="AE87" i="22" s="1"/>
  <c r="AE88" i="22" a="1"/>
  <c r="AE88" i="22" s="1"/>
  <c r="AE89" i="22" a="1"/>
  <c r="AE89" i="22" s="1"/>
  <c r="AE90" i="22" a="1"/>
  <c r="AE90" i="22" s="1"/>
  <c r="AE91" i="22" a="1"/>
  <c r="AE91" i="22" s="1"/>
  <c r="AE92" i="22" a="1"/>
  <c r="AE92" i="22" s="1"/>
  <c r="AE93" i="22" a="1"/>
  <c r="AE93" i="22" s="1"/>
  <c r="AE94" i="22" a="1"/>
  <c r="AE94" i="22" s="1"/>
  <c r="AE95" i="22" a="1"/>
  <c r="AE95" i="22" s="1"/>
  <c r="AE96" i="22" a="1"/>
  <c r="AE96" i="22" s="1"/>
  <c r="AE97" i="22" a="1"/>
  <c r="AE97" i="22" s="1"/>
  <c r="AE98" i="22" a="1"/>
  <c r="AE98" i="22" s="1"/>
  <c r="AE99" i="22" a="1"/>
  <c r="AE99" i="22" s="1"/>
  <c r="AE100" i="22" a="1"/>
  <c r="AE100" i="22" s="1"/>
  <c r="AE101" i="22" a="1"/>
  <c r="AE101" i="22" s="1"/>
  <c r="J47" i="10" a="1"/>
  <c r="J47" i="10" s="1"/>
  <c r="Y47" i="10" a="1"/>
  <c r="Y47" i="10" s="1"/>
  <c r="Z47" i="10"/>
  <c r="AA47" i="10"/>
  <c r="AB47" i="10"/>
  <c r="AC47" i="10"/>
  <c r="AD47" i="10"/>
  <c r="AI47" i="10"/>
  <c r="AO47" i="10"/>
  <c r="H54" i="29"/>
  <c r="AE47" i="10" l="1"/>
  <c r="P47" i="10" s="1"/>
  <c r="H49" i="29"/>
  <c r="H36" i="29"/>
  <c r="Y46" i="10" a="1"/>
  <c r="Y46" i="10" s="1"/>
  <c r="Z46" i="10"/>
  <c r="AA46" i="10"/>
  <c r="AB46" i="10"/>
  <c r="AC46" i="10"/>
  <c r="AD46" i="10"/>
  <c r="AI46" i="10"/>
  <c r="AJ46" i="10" a="1"/>
  <c r="AJ46" i="10" s="1"/>
  <c r="AO46" i="10"/>
  <c r="I16" i="16"/>
  <c r="I13" i="16"/>
  <c r="I15" i="16"/>
  <c r="G4" i="3" a="1"/>
  <c r="AE46" i="10" l="1"/>
  <c r="P46" i="10" s="1"/>
  <c r="G4" i="3"/>
  <c r="AK46" i="10" a="1"/>
  <c r="AK46" i="10" s="1"/>
  <c r="AL46" i="10" a="1"/>
  <c r="AL46" i="10" s="1"/>
  <c r="E45" i="10"/>
  <c r="E44" i="10"/>
  <c r="E43" i="10"/>
  <c r="E42" i="10"/>
  <c r="E40" i="10"/>
  <c r="E37" i="10"/>
  <c r="E30" i="10"/>
  <c r="E29" i="10"/>
  <c r="E26" i="10"/>
  <c r="E25" i="10"/>
  <c r="E24" i="10"/>
  <c r="E21" i="10"/>
  <c r="E20" i="10"/>
  <c r="E14" i="10"/>
  <c r="E13" i="10"/>
  <c r="E7" i="10"/>
  <c r="H58" i="29"/>
  <c r="F33" i="20" a="1"/>
  <c r="F33" i="20" s="1"/>
  <c r="H33" i="20" a="1"/>
  <c r="H33" i="20" s="1"/>
  <c r="J33" i="20" a="1"/>
  <c r="J33" i="20" s="1"/>
  <c r="U33" i="20" a="1"/>
  <c r="U33" i="20" s="1"/>
  <c r="X33" i="20" a="1"/>
  <c r="X33" i="20" s="1"/>
  <c r="Y33" i="20"/>
  <c r="Z33" i="20"/>
  <c r="AA33" i="20"/>
  <c r="AB33" i="20"/>
  <c r="AC33" i="20"/>
  <c r="AE33" i="20" a="1"/>
  <c r="AE33" i="20" s="1"/>
  <c r="AK33" i="20"/>
  <c r="AL33" i="20" a="1"/>
  <c r="AL33" i="20" s="1"/>
  <c r="AM33" i="20" s="1" a="1"/>
  <c r="AM33" i="20" s="1"/>
  <c r="AN33" i="20" s="1" a="1"/>
  <c r="AN33" i="20" s="1"/>
  <c r="AR33" i="20"/>
  <c r="C43" i="21"/>
  <c r="K43" i="21" a="1"/>
  <c r="K43" i="21" s="1"/>
  <c r="AM43" i="21" s="1"/>
  <c r="L43" i="21"/>
  <c r="X43" i="21" a="1"/>
  <c r="X43" i="21" s="1"/>
  <c r="AA43" i="21"/>
  <c r="AC43" i="21"/>
  <c r="AD43" i="21" a="1"/>
  <c r="AD43" i="21" s="1"/>
  <c r="AH43" i="21" a="1"/>
  <c r="AH43" i="21" s="1"/>
  <c r="D43" i="9" a="1"/>
  <c r="D43" i="9" s="1"/>
  <c r="X43" i="9"/>
  <c r="Y43" i="9"/>
  <c r="Z43" i="9"/>
  <c r="AA43" i="9"/>
  <c r="AB43" i="9"/>
  <c r="K108" i="28" a="1"/>
  <c r="K107" i="28" a="1"/>
  <c r="E58" i="29" a="1"/>
  <c r="K60" i="28" a="1"/>
  <c r="K106" i="28" a="1"/>
  <c r="E58" i="29" l="1"/>
  <c r="K60" i="28"/>
  <c r="AD33" i="20"/>
  <c r="P33" i="20" s="1"/>
  <c r="AO33" i="20" a="1"/>
  <c r="AO33" i="20" s="1"/>
  <c r="AC43" i="9"/>
  <c r="M43" i="9" s="1"/>
  <c r="K108" i="28"/>
  <c r="K107" i="28"/>
  <c r="K106" i="28"/>
  <c r="AM3" i="20" a="1"/>
  <c r="AM3" i="20" s="1"/>
  <c r="AM16" i="20" a="1"/>
  <c r="AM16" i="20" s="1"/>
  <c r="AM18" i="20" a="1"/>
  <c r="AM18" i="20" s="1"/>
  <c r="AM27" i="20" a="1"/>
  <c r="AM27" i="20" s="1"/>
  <c r="AM37" i="20" a="1"/>
  <c r="AM37" i="20" s="1"/>
  <c r="AM38" i="20" a="1"/>
  <c r="AM38" i="20" s="1"/>
  <c r="AL3" i="20" a="1"/>
  <c r="AL3" i="20" s="1"/>
  <c r="AL4" i="20" a="1"/>
  <c r="AL4" i="20" s="1"/>
  <c r="AM4" i="20" s="1" a="1"/>
  <c r="AM4" i="20" s="1"/>
  <c r="AL6" i="20" a="1"/>
  <c r="AL6" i="20" s="1"/>
  <c r="AM6" i="20" s="1" a="1"/>
  <c r="AM6" i="20" s="1"/>
  <c r="AL7" i="20" a="1"/>
  <c r="AL7" i="20" s="1"/>
  <c r="AM7" i="20" s="1" a="1"/>
  <c r="AM7" i="20" s="1"/>
  <c r="AL8" i="20" a="1"/>
  <c r="AL8" i="20" s="1"/>
  <c r="AM8" i="20" s="1" a="1"/>
  <c r="AM8" i="20" s="1"/>
  <c r="AL9" i="20" a="1"/>
  <c r="AL9" i="20" s="1"/>
  <c r="AM9" i="20" s="1" a="1"/>
  <c r="AM9" i="20" s="1"/>
  <c r="AL11" i="20" a="1"/>
  <c r="AL11" i="20" s="1"/>
  <c r="AM11" i="20" s="1" a="1"/>
  <c r="AM11" i="20" s="1"/>
  <c r="AL14" i="20" a="1"/>
  <c r="AL14" i="20" s="1"/>
  <c r="AM14" i="20" s="1" a="1"/>
  <c r="AM14" i="20" s="1"/>
  <c r="AL15" i="20" a="1"/>
  <c r="AL15" i="20" s="1"/>
  <c r="AM15" i="20" s="1" a="1"/>
  <c r="AM15" i="20" s="1"/>
  <c r="AL16" i="20" a="1"/>
  <c r="AL16" i="20" s="1"/>
  <c r="AL18" i="20" a="1"/>
  <c r="AL18" i="20" s="1"/>
  <c r="AL20" i="20" a="1"/>
  <c r="AL20" i="20" s="1"/>
  <c r="AM20" i="20" s="1" a="1"/>
  <c r="AM20" i="20" s="1"/>
  <c r="AL21" i="20" a="1"/>
  <c r="AL21" i="20" s="1"/>
  <c r="AM21" i="20" s="1" a="1"/>
  <c r="AM21" i="20" s="1"/>
  <c r="AL23" i="20" a="1"/>
  <c r="AL23" i="20" s="1"/>
  <c r="AM23" i="20" s="1" a="1"/>
  <c r="AM23" i="20" s="1"/>
  <c r="AL24" i="20" a="1"/>
  <c r="AL24" i="20" s="1"/>
  <c r="AM24" i="20" s="1" a="1"/>
  <c r="AM24" i="20" s="1"/>
  <c r="AL25" i="20" a="1"/>
  <c r="AL25" i="20" s="1"/>
  <c r="AM25" i="20" s="1" a="1"/>
  <c r="AM25" i="20" s="1"/>
  <c r="AL27" i="20" a="1"/>
  <c r="AL27" i="20" s="1"/>
  <c r="AL28" i="20" a="1"/>
  <c r="AL28" i="20" s="1"/>
  <c r="AM28" i="20" s="1" a="1"/>
  <c r="AM28" i="20" s="1"/>
  <c r="AL31" i="20" a="1"/>
  <c r="AL31" i="20" s="1"/>
  <c r="AM31" i="20" s="1" a="1"/>
  <c r="AM31" i="20" s="1"/>
  <c r="AL32" i="20" a="1"/>
  <c r="AL32" i="20" s="1"/>
  <c r="AM32" i="20" s="1" a="1"/>
  <c r="AM32" i="20" s="1"/>
  <c r="AL34" i="20" a="1"/>
  <c r="AL34" i="20" s="1"/>
  <c r="AM34" i="20" s="1" a="1"/>
  <c r="AM34" i="20" s="1"/>
  <c r="AL35" i="20" a="1"/>
  <c r="AL35" i="20" s="1"/>
  <c r="AM35" i="20" s="1" a="1"/>
  <c r="AM35" i="20" s="1"/>
  <c r="AL36" i="20" a="1"/>
  <c r="AL36" i="20" s="1"/>
  <c r="AM36" i="20" s="1" a="1"/>
  <c r="AM36" i="20" s="1"/>
  <c r="AL37" i="20" a="1"/>
  <c r="AL37" i="20" s="1"/>
  <c r="AL38" i="20" a="1"/>
  <c r="AL38" i="20" s="1"/>
  <c r="AL39" i="20" a="1"/>
  <c r="AL39" i="20" s="1"/>
  <c r="AM39" i="20" s="1" a="1"/>
  <c r="AM39" i="20" s="1"/>
  <c r="AL40" i="20" a="1"/>
  <c r="AL40" i="20" s="1"/>
  <c r="AM40" i="20" s="1" a="1"/>
  <c r="AM40" i="20" s="1"/>
  <c r="AL41" i="20" a="1"/>
  <c r="AL41" i="20" s="1"/>
  <c r="AM41" i="20" s="1" a="1"/>
  <c r="AM41" i="20" s="1"/>
  <c r="AL42" i="20" a="1"/>
  <c r="AL42" i="20" s="1"/>
  <c r="AM42" i="20" s="1" a="1"/>
  <c r="AM42" i="20" s="1"/>
  <c r="AL43" i="20" a="1"/>
  <c r="AL43" i="20" s="1"/>
  <c r="AM43" i="20" s="1" a="1"/>
  <c r="AM43" i="20" s="1"/>
  <c r="AL44" i="20" a="1"/>
  <c r="AL44" i="20" s="1"/>
  <c r="AM44" i="20" s="1" a="1"/>
  <c r="AM44" i="20" s="1"/>
  <c r="AL45" i="20" a="1"/>
  <c r="AL45" i="20" s="1"/>
  <c r="AM45" i="20" s="1" a="1"/>
  <c r="AM45" i="20" s="1"/>
  <c r="AL46" i="20" a="1"/>
  <c r="AL46" i="20" s="1"/>
  <c r="AM46" i="20" s="1" a="1"/>
  <c r="AM46" i="20" s="1"/>
  <c r="AL47" i="20" a="1"/>
  <c r="AL47" i="20" s="1"/>
  <c r="AM47" i="20" s="1" a="1"/>
  <c r="AM47" i="20" s="1"/>
  <c r="AL48" i="20" a="1"/>
  <c r="AL48" i="20" s="1"/>
  <c r="AM48" i="20" s="1" a="1"/>
  <c r="AM48" i="20" s="1"/>
  <c r="AL49" i="20" a="1"/>
  <c r="AL49" i="20" s="1"/>
  <c r="AM49" i="20" s="1" a="1"/>
  <c r="AM49" i="20" s="1"/>
  <c r="AL50" i="20" a="1"/>
  <c r="AL50" i="20" s="1"/>
  <c r="AM50" i="20" s="1" a="1"/>
  <c r="AM50" i="20" s="1"/>
  <c r="AL51" i="20" a="1"/>
  <c r="AL51" i="20" s="1"/>
  <c r="AM51" i="20" s="1" a="1"/>
  <c r="AM51" i="20" s="1"/>
  <c r="AL52" i="20" a="1"/>
  <c r="AL52" i="20" s="1"/>
  <c r="AM52" i="20" s="1" a="1"/>
  <c r="AM52" i="20" s="1"/>
  <c r="AL53" i="20" a="1"/>
  <c r="AL53" i="20" s="1"/>
  <c r="AM53" i="20" s="1" a="1"/>
  <c r="AM53" i="20" s="1"/>
  <c r="AL54" i="20" a="1"/>
  <c r="AL54" i="20" s="1"/>
  <c r="AM54" i="20" s="1" a="1"/>
  <c r="AM54" i="20" s="1"/>
  <c r="AL55" i="20" a="1"/>
  <c r="AL55" i="20" s="1"/>
  <c r="AM55" i="20" s="1" a="1"/>
  <c r="AM55" i="20" s="1"/>
  <c r="AL56" i="20" a="1"/>
  <c r="AL56" i="20" s="1"/>
  <c r="AM56" i="20" s="1" a="1"/>
  <c r="AM56" i="20" s="1"/>
  <c r="AL57" i="20" a="1"/>
  <c r="AL57" i="20" s="1"/>
  <c r="AM57" i="20" s="1" a="1"/>
  <c r="AM57" i="20" s="1"/>
  <c r="AL58" i="20" a="1"/>
  <c r="AL58" i="20" s="1"/>
  <c r="AM58" i="20" s="1" a="1"/>
  <c r="AM58" i="20" s="1"/>
  <c r="AL59" i="20" a="1"/>
  <c r="AL59" i="20" s="1"/>
  <c r="AM59" i="20" s="1" a="1"/>
  <c r="AM59" i="20" s="1"/>
  <c r="AL60" i="20" a="1"/>
  <c r="AL60" i="20" s="1"/>
  <c r="AM60" i="20" s="1" a="1"/>
  <c r="AM60" i="20" s="1"/>
  <c r="AL62" i="20" a="1"/>
  <c r="AL62" i="20" s="1"/>
  <c r="AM62" i="20" s="1" a="1"/>
  <c r="AM62" i="20" s="1"/>
  <c r="AL63" i="20" a="1"/>
  <c r="AL63" i="20" s="1"/>
  <c r="AM63" i="20" s="1" a="1"/>
  <c r="AM63" i="20" s="1"/>
  <c r="AL64" i="20" a="1"/>
  <c r="AL64" i="20" s="1"/>
  <c r="AM64" i="20" s="1" a="1"/>
  <c r="AM64" i="20" s="1"/>
  <c r="AL65" i="20" a="1"/>
  <c r="AL65" i="20" s="1"/>
  <c r="AM65" i="20" s="1" a="1"/>
  <c r="AM65" i="20" s="1"/>
  <c r="AL66" i="20" a="1"/>
  <c r="AL66" i="20" s="1"/>
  <c r="AM66" i="20" s="1" a="1"/>
  <c r="AM66" i="20" s="1"/>
  <c r="I108" i="28" a="1"/>
  <c r="K174" i="28" a="1"/>
  <c r="I60" i="28" a="1"/>
  <c r="I60" i="28" l="1"/>
  <c r="E60" i="28"/>
  <c r="F60" i="28"/>
  <c r="G60" i="28"/>
  <c r="I108" i="28"/>
  <c r="E108" i="28"/>
  <c r="F108" i="28"/>
  <c r="G108" i="28"/>
  <c r="K174" i="28"/>
  <c r="AE84" i="22" a="1"/>
  <c r="AE84" i="22" s="1"/>
  <c r="AE85" i="22" a="1"/>
  <c r="AE85" i="22" s="1"/>
  <c r="AE86" i="22" a="1"/>
  <c r="AE86" i="22" s="1"/>
  <c r="B108" i="28" a="1"/>
  <c r="B60" i="28" a="1"/>
  <c r="I174" i="28" a="1"/>
  <c r="B60" i="28" l="1"/>
  <c r="B108" i="28"/>
  <c r="I174" i="28"/>
  <c r="E174" i="28"/>
  <c r="F174" i="28"/>
  <c r="G174" i="28"/>
  <c r="S41" i="10"/>
  <c r="C41" i="10" a="1"/>
  <c r="C41" i="10" s="1"/>
  <c r="P14" i="3"/>
  <c r="R14" i="3"/>
  <c r="W14" i="3"/>
  <c r="Y14" i="3"/>
  <c r="AB14" i="3"/>
  <c r="AN14" i="3" a="1"/>
  <c r="AN14" i="3" s="1"/>
  <c r="W15" i="3"/>
  <c r="Y15" i="3"/>
  <c r="AB15" i="3"/>
  <c r="AN15" i="3" a="1"/>
  <c r="AN15" i="3" s="1"/>
  <c r="P4" i="3"/>
  <c r="P5" i="3"/>
  <c r="P8" i="3"/>
  <c r="P10" i="3"/>
  <c r="P13" i="3"/>
  <c r="P16" i="3"/>
  <c r="P18" i="3"/>
  <c r="P21" i="3"/>
  <c r="P22" i="3"/>
  <c r="P24" i="3"/>
  <c r="P28" i="3"/>
  <c r="P30" i="3"/>
  <c r="P33" i="3"/>
  <c r="P34" i="3"/>
  <c r="P37" i="3"/>
  <c r="P42" i="3"/>
  <c r="P52"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H45" i="10" a="1"/>
  <c r="H45" i="10" s="1"/>
  <c r="J45" i="10" a="1"/>
  <c r="J45" i="10" s="1"/>
  <c r="Y45" i="10" a="1"/>
  <c r="Y45" i="10" s="1"/>
  <c r="Z45" i="10"/>
  <c r="AA45" i="10"/>
  <c r="AB45" i="10"/>
  <c r="AC45" i="10"/>
  <c r="AD45" i="10"/>
  <c r="AI45" i="10"/>
  <c r="AJ45" i="10" a="1"/>
  <c r="AJ45" i="10" s="1"/>
  <c r="AO45" i="10"/>
  <c r="H44" i="10" a="1"/>
  <c r="H44" i="10" s="1"/>
  <c r="J44" i="10" a="1"/>
  <c r="J44" i="10" s="1"/>
  <c r="Y44" i="10" a="1"/>
  <c r="Y44" i="10" s="1"/>
  <c r="Z44" i="10"/>
  <c r="AA44" i="10"/>
  <c r="AB44" i="10"/>
  <c r="AC44" i="10"/>
  <c r="AD44" i="10"/>
  <c r="AI44" i="10"/>
  <c r="AO44" i="10"/>
  <c r="H39" i="20" a="1"/>
  <c r="H39" i="20" s="1"/>
  <c r="J39" i="20" a="1"/>
  <c r="J39" i="20" s="1"/>
  <c r="X39" i="20" a="1"/>
  <c r="X39" i="20" s="1"/>
  <c r="Y39" i="20"/>
  <c r="Z39" i="20"/>
  <c r="AA39" i="20"/>
  <c r="AB39" i="20"/>
  <c r="AC39" i="20"/>
  <c r="AE39" i="20" a="1"/>
  <c r="AE39" i="20" s="1"/>
  <c r="AK39" i="20"/>
  <c r="AR39" i="20"/>
  <c r="F38" i="20" a="1"/>
  <c r="F38" i="20" s="1"/>
  <c r="H38" i="20" a="1"/>
  <c r="H38" i="20" s="1"/>
  <c r="J38" i="20" a="1"/>
  <c r="J38" i="20" s="1"/>
  <c r="U38" i="20" a="1"/>
  <c r="U38" i="20" s="1"/>
  <c r="X38" i="20" a="1"/>
  <c r="X38" i="20" s="1"/>
  <c r="Y38" i="20"/>
  <c r="Z38" i="20"/>
  <c r="AA38" i="20"/>
  <c r="AB38" i="20"/>
  <c r="AC38" i="20"/>
  <c r="AE38" i="20" a="1"/>
  <c r="AE38" i="20" s="1"/>
  <c r="AR38" i="20"/>
  <c r="F37" i="20" a="1"/>
  <c r="F37" i="20" s="1"/>
  <c r="H37" i="20" a="1"/>
  <c r="H37" i="20" s="1"/>
  <c r="J37" i="20" a="1"/>
  <c r="J37" i="20" s="1"/>
  <c r="U37" i="20" a="1"/>
  <c r="U37" i="20" s="1"/>
  <c r="X37" i="20" a="1"/>
  <c r="X37" i="20" s="1"/>
  <c r="Y37" i="20"/>
  <c r="Z37" i="20"/>
  <c r="AA37" i="20"/>
  <c r="AB37" i="20"/>
  <c r="AC37" i="20"/>
  <c r="AE37" i="20" a="1"/>
  <c r="AE37" i="20" s="1"/>
  <c r="AR37" i="20"/>
  <c r="J36" i="20" a="1"/>
  <c r="J36" i="20" s="1"/>
  <c r="X36" i="20" a="1"/>
  <c r="X36" i="20" s="1"/>
  <c r="Y36" i="20"/>
  <c r="Z36" i="20"/>
  <c r="AA36" i="20"/>
  <c r="AB36" i="20"/>
  <c r="AC36" i="20"/>
  <c r="AE36" i="20" a="1"/>
  <c r="AE36" i="20" s="1"/>
  <c r="AK36" i="20"/>
  <c r="AR36" i="20"/>
  <c r="F35" i="20" a="1"/>
  <c r="F35" i="20" s="1"/>
  <c r="H35" i="20" a="1"/>
  <c r="H35" i="20" s="1"/>
  <c r="J35" i="20" a="1"/>
  <c r="J35" i="20" s="1"/>
  <c r="U35" i="20" a="1"/>
  <c r="U35" i="20" s="1"/>
  <c r="X35" i="20" a="1"/>
  <c r="X35" i="20" s="1"/>
  <c r="Y35" i="20"/>
  <c r="Z35" i="20"/>
  <c r="AA35" i="20"/>
  <c r="AB35" i="20"/>
  <c r="AC35" i="20"/>
  <c r="AE35" i="20" a="1"/>
  <c r="AE35" i="20" s="1"/>
  <c r="AK35" i="20"/>
  <c r="AR35" i="20"/>
  <c r="AN4" i="3" a="1"/>
  <c r="AN4" i="3" s="1"/>
  <c r="AN5" i="3" a="1"/>
  <c r="AN5" i="3" s="1"/>
  <c r="AN7" i="3" a="1"/>
  <c r="AN7" i="3" s="1"/>
  <c r="AN8" i="3" a="1"/>
  <c r="AN8" i="3" s="1"/>
  <c r="AN9" i="3" a="1"/>
  <c r="AN9" i="3" s="1"/>
  <c r="AN10" i="3" a="1"/>
  <c r="AN10" i="3" s="1"/>
  <c r="AN12" i="3" a="1"/>
  <c r="AN12" i="3" s="1"/>
  <c r="AN13" i="3" a="1"/>
  <c r="AN13" i="3" s="1"/>
  <c r="AN16" i="3" a="1"/>
  <c r="AN16" i="3" s="1"/>
  <c r="AN17" i="3" a="1"/>
  <c r="AN17" i="3" s="1"/>
  <c r="AN18" i="3" a="1"/>
  <c r="AN18" i="3" s="1"/>
  <c r="AN20" i="3" a="1"/>
  <c r="AN20" i="3" s="1"/>
  <c r="AN21" i="3" a="1"/>
  <c r="AN21" i="3" s="1"/>
  <c r="AN22" i="3" a="1"/>
  <c r="AN22" i="3" s="1"/>
  <c r="AN23" i="3" a="1"/>
  <c r="AN23" i="3" s="1"/>
  <c r="AN24" i="3" a="1"/>
  <c r="AN24" i="3" s="1"/>
  <c r="AN27" i="3" a="1"/>
  <c r="AN27" i="3" s="1"/>
  <c r="AN28" i="3" a="1"/>
  <c r="AN28" i="3" s="1"/>
  <c r="AN29" i="3" a="1"/>
  <c r="AN29" i="3" s="1"/>
  <c r="AN30" i="3" a="1"/>
  <c r="AN30" i="3" s="1"/>
  <c r="AN32" i="3" a="1"/>
  <c r="AN32" i="3" s="1"/>
  <c r="AN33" i="3" a="1"/>
  <c r="AN33" i="3" s="1"/>
  <c r="AN34" i="3" a="1"/>
  <c r="AN34" i="3" s="1"/>
  <c r="AN36" i="3" a="1"/>
  <c r="AN36" i="3" s="1"/>
  <c r="AN37" i="3" a="1"/>
  <c r="AN37" i="3" s="1"/>
  <c r="AN41" i="3" a="1"/>
  <c r="AN41" i="3" s="1"/>
  <c r="AN42" i="3" a="1"/>
  <c r="AN42" i="3" s="1"/>
  <c r="AN51" i="3" a="1"/>
  <c r="AN51" i="3" s="1"/>
  <c r="AN52" i="3" a="1"/>
  <c r="AN52" i="3" s="1"/>
  <c r="AN60" i="3" a="1"/>
  <c r="AN60" i="3" s="1"/>
  <c r="AN61" i="3" a="1"/>
  <c r="AN61" i="3" s="1"/>
  <c r="AN62" i="3" a="1"/>
  <c r="AN62" i="3" s="1"/>
  <c r="AN63" i="3" a="1"/>
  <c r="AN63" i="3" s="1"/>
  <c r="AN64" i="3" a="1"/>
  <c r="AN64" i="3" s="1"/>
  <c r="AN65" i="3" a="1"/>
  <c r="AN65" i="3" s="1"/>
  <c r="AN66" i="3" a="1"/>
  <c r="AN66" i="3" s="1"/>
  <c r="AN67" i="3" a="1"/>
  <c r="AN67" i="3" s="1"/>
  <c r="AN68" i="3" a="1"/>
  <c r="AN68" i="3" s="1"/>
  <c r="AN69" i="3" a="1"/>
  <c r="AN69" i="3" s="1"/>
  <c r="AN70" i="3" a="1"/>
  <c r="AN70" i="3" s="1"/>
  <c r="AN71" i="3" a="1"/>
  <c r="AN71" i="3" s="1"/>
  <c r="AN72" i="3" a="1"/>
  <c r="AN72" i="3" s="1"/>
  <c r="AN73" i="3" a="1"/>
  <c r="AN73" i="3" s="1"/>
  <c r="AN74" i="3" a="1"/>
  <c r="AN74" i="3" s="1"/>
  <c r="AN75" i="3" a="1"/>
  <c r="AN75" i="3" s="1"/>
  <c r="AN76" i="3" a="1"/>
  <c r="AN76" i="3" s="1"/>
  <c r="AN77" i="3" a="1"/>
  <c r="AN77" i="3" s="1"/>
  <c r="AN78" i="3" a="1"/>
  <c r="AN78" i="3" s="1"/>
  <c r="AN79" i="3" a="1"/>
  <c r="AN79" i="3" s="1"/>
  <c r="AN80" i="3" a="1"/>
  <c r="AN80" i="3" s="1"/>
  <c r="AN81" i="3" a="1"/>
  <c r="AN81" i="3" s="1"/>
  <c r="AN82" i="3" a="1"/>
  <c r="AN82" i="3" s="1"/>
  <c r="AN83" i="3" a="1"/>
  <c r="AN83" i="3" s="1"/>
  <c r="AN84" i="3" a="1"/>
  <c r="AN84" i="3" s="1"/>
  <c r="AN85" i="3" a="1"/>
  <c r="AN85" i="3" s="1"/>
  <c r="AN86" i="3" a="1"/>
  <c r="AN86" i="3" s="1"/>
  <c r="AN87" i="3" a="1"/>
  <c r="AN87" i="3" s="1"/>
  <c r="AN88" i="3" a="1"/>
  <c r="AN88" i="3" s="1"/>
  <c r="AN89" i="3" a="1"/>
  <c r="AN89" i="3" s="1"/>
  <c r="AN90" i="3" a="1"/>
  <c r="AN90" i="3" s="1"/>
  <c r="AN91" i="3" a="1"/>
  <c r="AN91" i="3" s="1"/>
  <c r="AN92" i="3" a="1"/>
  <c r="AN92" i="3" s="1"/>
  <c r="AN93" i="3" a="1"/>
  <c r="AN93" i="3" s="1"/>
  <c r="AN94" i="3" a="1"/>
  <c r="AN94" i="3" s="1"/>
  <c r="AN95" i="3" a="1"/>
  <c r="AN95" i="3" s="1"/>
  <c r="AN96" i="3" a="1"/>
  <c r="AN96" i="3" s="1"/>
  <c r="AN97" i="3" a="1"/>
  <c r="AN97" i="3" s="1"/>
  <c r="AN98" i="3" a="1"/>
  <c r="AN98" i="3" s="1"/>
  <c r="AN99" i="3" a="1"/>
  <c r="AN99" i="3" s="1"/>
  <c r="AN100" i="3" a="1"/>
  <c r="AN100" i="3" s="1"/>
  <c r="AN101" i="3" a="1"/>
  <c r="AN101" i="3" s="1"/>
  <c r="AN102" i="3" a="1"/>
  <c r="AN102" i="3" s="1"/>
  <c r="AN103" i="3" a="1"/>
  <c r="AN103" i="3" s="1"/>
  <c r="F60" i="29"/>
  <c r="H7" i="29"/>
  <c r="Y43" i="10" a="1"/>
  <c r="Y43" i="10" s="1"/>
  <c r="Z43" i="10"/>
  <c r="AA43" i="10"/>
  <c r="AB43" i="10"/>
  <c r="AC43" i="10"/>
  <c r="AD43" i="10"/>
  <c r="AI43" i="10"/>
  <c r="AJ43" i="10" a="1"/>
  <c r="AJ43" i="10" s="1"/>
  <c r="AO43" i="10"/>
  <c r="AE82" i="22" a="1"/>
  <c r="AE82" i="22" s="1"/>
  <c r="AE83" i="22" a="1"/>
  <c r="AE83" i="22" s="1"/>
  <c r="AO4" i="10"/>
  <c r="AO5" i="10"/>
  <c r="AO6" i="10"/>
  <c r="AO7" i="10"/>
  <c r="AO8" i="10"/>
  <c r="AO9" i="10"/>
  <c r="AO10" i="10"/>
  <c r="AO11" i="10"/>
  <c r="AO12" i="10"/>
  <c r="AO13" i="10"/>
  <c r="AO14" i="10"/>
  <c r="AO15" i="10"/>
  <c r="AO16" i="10"/>
  <c r="AO17" i="10"/>
  <c r="AO18" i="10"/>
  <c r="AO19" i="10"/>
  <c r="AO20" i="10"/>
  <c r="AO21" i="10"/>
  <c r="AO22" i="10"/>
  <c r="AO23" i="10"/>
  <c r="AO24" i="10"/>
  <c r="AO25" i="10"/>
  <c r="AO26" i="10"/>
  <c r="AO27" i="10"/>
  <c r="AO28" i="10"/>
  <c r="AO29" i="10"/>
  <c r="AO30" i="10"/>
  <c r="AO31" i="10"/>
  <c r="AO32" i="10"/>
  <c r="AO33" i="10"/>
  <c r="AO34" i="10"/>
  <c r="AO35" i="10"/>
  <c r="AO36" i="10"/>
  <c r="AO37" i="10"/>
  <c r="AO38" i="10"/>
  <c r="AO39" i="10"/>
  <c r="AO40" i="10"/>
  <c r="AO41" i="10"/>
  <c r="AO42" i="10"/>
  <c r="AR3" i="20"/>
  <c r="AR4" i="20"/>
  <c r="AR5" i="20"/>
  <c r="AR6" i="20"/>
  <c r="AR7" i="20"/>
  <c r="AR8" i="20"/>
  <c r="AR9" i="20"/>
  <c r="AR10" i="20"/>
  <c r="AR11" i="20"/>
  <c r="AR12" i="20"/>
  <c r="AR13" i="20"/>
  <c r="AR14" i="20"/>
  <c r="AR15" i="20"/>
  <c r="AR16" i="20"/>
  <c r="AR17" i="20"/>
  <c r="AR18" i="20"/>
  <c r="AR19" i="20"/>
  <c r="AR20" i="20"/>
  <c r="AR21" i="20"/>
  <c r="AR22" i="20"/>
  <c r="AR23" i="20"/>
  <c r="AR24" i="20"/>
  <c r="AR25" i="20"/>
  <c r="AR26" i="20"/>
  <c r="AR27" i="20"/>
  <c r="AR28" i="20"/>
  <c r="AR29" i="20"/>
  <c r="AR30" i="20"/>
  <c r="AR31" i="20"/>
  <c r="AR32" i="20"/>
  <c r="AR34" i="20"/>
  <c r="AR40" i="20"/>
  <c r="AR41" i="20"/>
  <c r="AR42" i="20"/>
  <c r="AR43" i="20"/>
  <c r="AR44" i="20"/>
  <c r="AR45" i="20"/>
  <c r="AR46" i="20"/>
  <c r="AR47" i="20"/>
  <c r="AR48" i="20"/>
  <c r="AR49" i="20"/>
  <c r="AR50" i="20"/>
  <c r="AR51" i="20"/>
  <c r="AR52" i="20"/>
  <c r="AR53" i="20"/>
  <c r="AR54" i="20"/>
  <c r="AR55" i="20"/>
  <c r="AR56" i="20"/>
  <c r="AR57" i="20"/>
  <c r="AR58" i="20"/>
  <c r="AR59" i="20"/>
  <c r="AR60" i="20"/>
  <c r="AR61" i="20"/>
  <c r="AR62" i="20"/>
  <c r="AR63" i="20"/>
  <c r="AR64" i="20"/>
  <c r="AR65" i="20"/>
  <c r="AR66" i="20"/>
  <c r="V6" i="32" a="1"/>
  <c r="V6" i="32" s="1"/>
  <c r="V7" i="32" s="1" a="1"/>
  <c r="V7" i="32" s="1"/>
  <c r="V8" i="32" s="1" a="1"/>
  <c r="V8" i="32" s="1"/>
  <c r="V9" i="32" s="1" a="1"/>
  <c r="V9" i="32" s="1"/>
  <c r="V10" i="32" s="1" a="1"/>
  <c r="V10" i="32" s="1"/>
  <c r="V11" i="32" s="1" a="1"/>
  <c r="V11" i="32" s="1"/>
  <c r="V12" i="32" s="1" a="1"/>
  <c r="V12" i="32" s="1"/>
  <c r="V13" i="32" s="1" a="1"/>
  <c r="V13" i="32" s="1"/>
  <c r="V14" i="32" s="1" a="1"/>
  <c r="V14" i="32" s="1"/>
  <c r="V15" i="32" s="1" a="1"/>
  <c r="V15" i="32" s="1"/>
  <c r="V16" i="32" s="1" a="1"/>
  <c r="V16" i="32" s="1"/>
  <c r="V17" i="32" s="1" a="1"/>
  <c r="V17" i="32" s="1"/>
  <c r="V18" i="32" s="1" a="1"/>
  <c r="V18" i="32" s="1"/>
  <c r="V19" i="32" s="1" a="1"/>
  <c r="V19" i="32" s="1"/>
  <c r="V20" i="32" s="1" a="1"/>
  <c r="V20" i="32" s="1"/>
  <c r="V21" i="32" s="1" a="1"/>
  <c r="V21" i="32" s="1"/>
  <c r="V22" i="32" s="1" a="1"/>
  <c r="V22" i="32" s="1"/>
  <c r="V23" i="32" s="1" a="1"/>
  <c r="V23" i="32" s="1"/>
  <c r="V24" i="32" s="1" a="1"/>
  <c r="V24" i="32" s="1"/>
  <c r="V25" i="32" s="1" a="1"/>
  <c r="V25" i="32" s="1"/>
  <c r="V26" i="32" s="1" a="1"/>
  <c r="V26" i="32" s="1"/>
  <c r="V27" i="32" s="1" a="1"/>
  <c r="V27" i="32" s="1"/>
  <c r="V28" i="32" s="1" a="1"/>
  <c r="V28" i="32" s="1"/>
  <c r="V29" i="32" s="1" a="1"/>
  <c r="V29" i="32" s="1"/>
  <c r="V30" i="32" s="1" a="1"/>
  <c r="V30" i="32" s="1"/>
  <c r="V31" i="32" s="1" a="1"/>
  <c r="V31" i="32" s="1"/>
  <c r="V32" i="32" s="1" a="1"/>
  <c r="V32" i="32" s="1"/>
  <c r="V33" i="32" s="1" a="1"/>
  <c r="V33" i="32" s="1"/>
  <c r="V34" i="32" s="1" a="1"/>
  <c r="V34" i="32" s="1"/>
  <c r="V35" i="32" s="1" a="1"/>
  <c r="V35" i="32" s="1"/>
  <c r="V36" i="32" s="1" a="1"/>
  <c r="V36" i="32" s="1"/>
  <c r="V37" i="32" s="1" a="1"/>
  <c r="V37" i="32" s="1"/>
  <c r="V38" i="32" s="1" a="1"/>
  <c r="V38" i="32" s="1"/>
  <c r="V39" i="32" s="1" a="1"/>
  <c r="V39" i="32" s="1"/>
  <c r="V40" i="32" s="1" a="1"/>
  <c r="V40" i="32" s="1"/>
  <c r="V41" i="32" s="1" a="1"/>
  <c r="V41" i="32" s="1"/>
  <c r="V42" i="32" s="1" a="1"/>
  <c r="V42" i="32" s="1"/>
  <c r="V43" i="32" s="1" a="1"/>
  <c r="V43" i="32" s="1"/>
  <c r="V44" i="32" s="1" a="1"/>
  <c r="V44" i="32" s="1"/>
  <c r="V45" i="32" s="1" a="1"/>
  <c r="V45" i="32" s="1"/>
  <c r="V46" i="32" s="1" a="1"/>
  <c r="V46" i="32" s="1"/>
  <c r="V47" i="32" s="1" a="1"/>
  <c r="V47" i="32" s="1"/>
  <c r="V48" i="32" s="1" a="1"/>
  <c r="V48" i="32" s="1"/>
  <c r="V49" i="32" s="1" a="1"/>
  <c r="V49" i="32" s="1"/>
  <c r="V50" i="32" s="1" a="1"/>
  <c r="V50" i="32" s="1"/>
  <c r="V51" i="32" s="1" a="1"/>
  <c r="V51" i="32" s="1"/>
  <c r="V52" i="32" s="1" a="1"/>
  <c r="V52" i="32" s="1"/>
  <c r="V53" i="32" s="1" a="1"/>
  <c r="V53" i="32" s="1"/>
  <c r="V54" i="32" s="1" a="1"/>
  <c r="V54" i="32" s="1"/>
  <c r="V55" i="32" s="1" a="1"/>
  <c r="V55" i="32" s="1"/>
  <c r="V56" i="32" s="1" a="1"/>
  <c r="V56" i="32" s="1"/>
  <c r="V57" i="32" s="1" a="1"/>
  <c r="V57" i="32" s="1"/>
  <c r="V58" i="32" s="1" a="1"/>
  <c r="V58" i="32" s="1"/>
  <c r="V59" i="32" s="1" a="1"/>
  <c r="V59" i="32" s="1"/>
  <c r="V60" i="32" s="1" a="1"/>
  <c r="V60" i="32" s="1"/>
  <c r="V61" i="32" s="1" a="1"/>
  <c r="V61" i="32" s="1"/>
  <c r="V62" i="32" s="1" a="1"/>
  <c r="V62" i="32" s="1"/>
  <c r="V63" i="32" s="1" a="1"/>
  <c r="V63" i="32" s="1"/>
  <c r="V64" i="32" s="1" a="1"/>
  <c r="V64" i="32" s="1"/>
  <c r="V65" i="32" s="1" a="1"/>
  <c r="V65" i="32" s="1"/>
  <c r="V66" i="32" s="1" a="1"/>
  <c r="V66" i="32" s="1"/>
  <c r="V67" i="32" s="1" a="1"/>
  <c r="V67" i="32" s="1"/>
  <c r="V68" i="32" s="1" a="1"/>
  <c r="V68" i="32" s="1"/>
  <c r="V69" i="32" s="1" a="1"/>
  <c r="V69" i="32" s="1"/>
  <c r="V70" i="32" s="1" a="1"/>
  <c r="V70" i="32" s="1"/>
  <c r="V71" i="32" s="1" a="1"/>
  <c r="V71" i="32" s="1"/>
  <c r="V72" i="32" s="1" a="1"/>
  <c r="V72" i="32" s="1"/>
  <c r="K17" i="24" a="1"/>
  <c r="K240" i="28" a="1"/>
  <c r="K228" i="28" a="1"/>
  <c r="K235" i="28" a="1"/>
  <c r="K234" i="28" a="1"/>
  <c r="K18" i="24" a="1"/>
  <c r="K244" i="28" a="1"/>
  <c r="K236" i="28" a="1"/>
  <c r="K237" i="28" a="1"/>
  <c r="K229" i="28" a="1"/>
  <c r="K232" i="28" a="1"/>
  <c r="J17" i="24" a="1"/>
  <c r="A12" i="14" a="1"/>
  <c r="K238" i="28" a="1"/>
  <c r="K245" i="28" a="1"/>
  <c r="K230" i="28" a="1"/>
  <c r="K112" i="28" a="1"/>
  <c r="I18" i="24" a="1"/>
  <c r="E60" i="29" a="1"/>
  <c r="K246" i="28" a="1"/>
  <c r="J18" i="24" a="1"/>
  <c r="I17" i="24" a="1"/>
  <c r="B12" i="14" a="1"/>
  <c r="K226" i="28" a="1"/>
  <c r="F21" i="19" a="1"/>
  <c r="K242" i="28" a="1"/>
  <c r="B174" i="28" a="1"/>
  <c r="K231" i="28" a="1"/>
  <c r="C12" i="14" a="1"/>
  <c r="K225" i="28" a="1"/>
  <c r="K241" i="28" a="1"/>
  <c r="K233" i="28" a="1"/>
  <c r="K243" i="28" a="1"/>
  <c r="K239" i="28" a="1"/>
  <c r="D12" i="14" a="1"/>
  <c r="K227" i="28" a="1"/>
  <c r="B174" i="28" l="1"/>
  <c r="AE45" i="10"/>
  <c r="P45" i="10" s="1"/>
  <c r="AD39" i="20"/>
  <c r="P39" i="20" s="1"/>
  <c r="AK45" i="10" a="1"/>
  <c r="AK45" i="10" s="1"/>
  <c r="AL45" i="10" a="1"/>
  <c r="AL45" i="10" s="1"/>
  <c r="K112" i="28"/>
  <c r="AE44" i="10"/>
  <c r="P44" i="10" s="1"/>
  <c r="AO39" i="20" a="1"/>
  <c r="AO39" i="20" s="1"/>
  <c r="AN39" i="20" a="1"/>
  <c r="AN39" i="20" s="1"/>
  <c r="AO37" i="20" a="1"/>
  <c r="AO37" i="20" s="1"/>
  <c r="AN37" i="20" a="1"/>
  <c r="AN37" i="20" s="1"/>
  <c r="K18" i="24"/>
  <c r="M18" i="24" s="1"/>
  <c r="J18" i="24"/>
  <c r="O18" i="24" s="1"/>
  <c r="I18" i="24"/>
  <c r="AN38" i="20" a="1"/>
  <c r="AN38" i="20" s="1"/>
  <c r="AO38" i="20" a="1"/>
  <c r="AO38" i="20" s="1"/>
  <c r="AD38" i="20"/>
  <c r="P38" i="20" s="1"/>
  <c r="AD36" i="20"/>
  <c r="P36" i="20" s="1"/>
  <c r="AD37" i="20"/>
  <c r="P37" i="20" s="1"/>
  <c r="AN36" i="20" a="1"/>
  <c r="AN36" i="20" s="1"/>
  <c r="AO36" i="20" a="1"/>
  <c r="AO36" i="20" s="1"/>
  <c r="AD35" i="20"/>
  <c r="P35" i="20" s="1"/>
  <c r="AN35" i="20" a="1"/>
  <c r="AN35" i="20" s="1"/>
  <c r="AO35" i="20" a="1"/>
  <c r="AO35" i="20" s="1"/>
  <c r="AE43" i="10"/>
  <c r="P43" i="10" s="1"/>
  <c r="E60" i="29"/>
  <c r="AL43" i="10" a="1"/>
  <c r="AL43" i="10" s="1"/>
  <c r="AK43" i="10" a="1"/>
  <c r="AK43" i="10" s="1"/>
  <c r="K17" i="24"/>
  <c r="M17" i="24" s="1"/>
  <c r="J17" i="24"/>
  <c r="O17" i="24" s="1"/>
  <c r="I17" i="24"/>
  <c r="D12" i="14"/>
  <c r="C12" i="14"/>
  <c r="B12" i="14"/>
  <c r="A12" i="14"/>
  <c r="K246" i="28"/>
  <c r="K227" i="28"/>
  <c r="K226" i="28"/>
  <c r="F21" i="19"/>
  <c r="G21" i="19" s="1"/>
  <c r="K245" i="28"/>
  <c r="K244" i="28"/>
  <c r="K243" i="28"/>
  <c r="K236" i="28"/>
  <c r="K235" i="28"/>
  <c r="K242" i="28"/>
  <c r="K234" i="28"/>
  <c r="K241" i="28"/>
  <c r="K233" i="28"/>
  <c r="K240" i="28"/>
  <c r="K232" i="28"/>
  <c r="K239" i="28"/>
  <c r="K231" i="28"/>
  <c r="K238" i="28"/>
  <c r="K230" i="28"/>
  <c r="K237" i="28"/>
  <c r="K229" i="28"/>
  <c r="K228" i="28"/>
  <c r="K225" i="28"/>
  <c r="AO4" i="3" a="1"/>
  <c r="AO4" i="3" s="1"/>
  <c r="J42" i="20" a="1"/>
  <c r="J42" i="20" s="1"/>
  <c r="X42" i="20" a="1"/>
  <c r="X42" i="20" s="1"/>
  <c r="Y42" i="20"/>
  <c r="Z42" i="20"/>
  <c r="AA42" i="20"/>
  <c r="AB42" i="20"/>
  <c r="AC42" i="20"/>
  <c r="AE42" i="20" a="1"/>
  <c r="AE42" i="20" s="1"/>
  <c r="AK42" i="20"/>
  <c r="C42" i="21"/>
  <c r="K42" i="21" a="1"/>
  <c r="K42" i="21" s="1"/>
  <c r="AM42" i="21" s="1"/>
  <c r="L42" i="21"/>
  <c r="X42" i="21" a="1"/>
  <c r="X42" i="21" s="1"/>
  <c r="AA42" i="21"/>
  <c r="AC42" i="21"/>
  <c r="AD42" i="21" a="1"/>
  <c r="AD42" i="21" s="1"/>
  <c r="AH42" i="21" a="1"/>
  <c r="AH42" i="21" s="1"/>
  <c r="I14" i="16"/>
  <c r="S42" i="10" a="1"/>
  <c r="S42" i="10" s="1"/>
  <c r="Y42" i="10" a="1"/>
  <c r="Y42" i="10" s="1"/>
  <c r="Z42" i="10"/>
  <c r="AA42" i="10"/>
  <c r="AB42" i="10"/>
  <c r="AC42" i="10"/>
  <c r="AD42" i="10"/>
  <c r="AI42" i="10"/>
  <c r="AJ42" i="10" a="1"/>
  <c r="AJ42" i="10" s="1"/>
  <c r="H44" i="29"/>
  <c r="P30" i="9"/>
  <c r="H61" i="20" a="1"/>
  <c r="H61" i="20" s="1"/>
  <c r="J61" i="20" a="1"/>
  <c r="J61" i="20" s="1"/>
  <c r="X61" i="20" a="1"/>
  <c r="X61" i="20" s="1"/>
  <c r="Y61" i="20"/>
  <c r="Z61" i="20"/>
  <c r="AA61" i="20"/>
  <c r="AB61" i="20"/>
  <c r="AC61" i="20"/>
  <c r="AE61" i="20" a="1"/>
  <c r="AE61" i="20" s="1"/>
  <c r="W49" i="3"/>
  <c r="Y49" i="3"/>
  <c r="AB49" i="3"/>
  <c r="F49" i="29"/>
  <c r="D49" i="29"/>
  <c r="F57" i="29"/>
  <c r="I240" i="28" a="1"/>
  <c r="I234" i="28" a="1"/>
  <c r="I236" i="28" a="1"/>
  <c r="I241" i="28" a="1"/>
  <c r="E49" i="29" a="1"/>
  <c r="J22" i="24" a="1"/>
  <c r="I244" i="28" a="1"/>
  <c r="I226" i="28" a="1"/>
  <c r="I232" i="28" a="1"/>
  <c r="K218" i="28" a="1"/>
  <c r="I246" i="28" a="1"/>
  <c r="I231" i="28" a="1"/>
  <c r="I239" i="28" a="1"/>
  <c r="K61" i="28" a="1"/>
  <c r="K22" i="24" a="1"/>
  <c r="K153" i="28" a="1"/>
  <c r="E57" i="29" a="1"/>
  <c r="K62" i="28" a="1"/>
  <c r="I22" i="24" a="1"/>
  <c r="I235" i="28" a="1"/>
  <c r="I242" i="28" a="1"/>
  <c r="I112" i="28" a="1"/>
  <c r="I233" i="28" a="1"/>
  <c r="I227" i="28" a="1"/>
  <c r="I238" i="28" a="1"/>
  <c r="I230" i="28" a="1"/>
  <c r="I237" i="28" a="1"/>
  <c r="I229" i="28" a="1"/>
  <c r="I225" i="28" a="1"/>
  <c r="I243" i="28" a="1"/>
  <c r="I245" i="28" a="1"/>
  <c r="I112" i="28" l="1"/>
  <c r="E112" i="28"/>
  <c r="F112" i="28"/>
  <c r="G112" i="28"/>
  <c r="L18" i="24"/>
  <c r="N18" i="24"/>
  <c r="L17" i="24"/>
  <c r="N17" i="24"/>
  <c r="I246" i="28"/>
  <c r="E246" i="28"/>
  <c r="F246" i="28"/>
  <c r="G246" i="28"/>
  <c r="I226" i="28"/>
  <c r="I227" i="28"/>
  <c r="G226" i="28"/>
  <c r="E226" i="28"/>
  <c r="F226" i="28"/>
  <c r="G227" i="28"/>
  <c r="E227" i="28"/>
  <c r="F227" i="28"/>
  <c r="I243" i="28"/>
  <c r="I244" i="28"/>
  <c r="I245" i="28"/>
  <c r="F243" i="28"/>
  <c r="E243" i="28"/>
  <c r="G243" i="28"/>
  <c r="F244" i="28"/>
  <c r="E244" i="28"/>
  <c r="G244" i="28"/>
  <c r="F245" i="28"/>
  <c r="E245" i="28"/>
  <c r="G245" i="28"/>
  <c r="I237" i="28"/>
  <c r="I230" i="28"/>
  <c r="I231" i="28"/>
  <c r="I239" i="28"/>
  <c r="I232" i="28"/>
  <c r="I240" i="28"/>
  <c r="I233" i="28"/>
  <c r="I241" i="28"/>
  <c r="I234" i="28"/>
  <c r="I242" i="28"/>
  <c r="I235" i="28"/>
  <c r="I236" i="28"/>
  <c r="I238" i="28"/>
  <c r="E237" i="28"/>
  <c r="G237" i="28"/>
  <c r="F237" i="28"/>
  <c r="G230" i="28"/>
  <c r="F230" i="28"/>
  <c r="E230" i="28"/>
  <c r="G231" i="28"/>
  <c r="F231" i="28"/>
  <c r="E231" i="28"/>
  <c r="E239" i="28"/>
  <c r="G239" i="28"/>
  <c r="F239" i="28"/>
  <c r="G232" i="28"/>
  <c r="F232" i="28"/>
  <c r="E232" i="28"/>
  <c r="F240" i="28"/>
  <c r="E240" i="28"/>
  <c r="G240" i="28"/>
  <c r="G233" i="28"/>
  <c r="F233" i="28"/>
  <c r="E233" i="28"/>
  <c r="F241" i="28"/>
  <c r="E241" i="28"/>
  <c r="G241" i="28"/>
  <c r="G234" i="28"/>
  <c r="F234" i="28"/>
  <c r="E234" i="28"/>
  <c r="E242" i="28"/>
  <c r="F242" i="28"/>
  <c r="G242" i="28"/>
  <c r="G235" i="28"/>
  <c r="F235" i="28"/>
  <c r="E235" i="28"/>
  <c r="G236" i="28"/>
  <c r="F236" i="28"/>
  <c r="E236" i="28"/>
  <c r="E238" i="28"/>
  <c r="G238" i="28"/>
  <c r="F238" i="28"/>
  <c r="I229" i="28"/>
  <c r="G228" i="28"/>
  <c r="F228" i="28"/>
  <c r="E228" i="28"/>
  <c r="G229" i="28"/>
  <c r="F229" i="28"/>
  <c r="E229" i="28"/>
  <c r="I225" i="28"/>
  <c r="E225" i="28"/>
  <c r="F225" i="28"/>
  <c r="G225" i="28"/>
  <c r="AD61" i="20"/>
  <c r="P61" i="20" s="1"/>
  <c r="AE42" i="10"/>
  <c r="P42" i="10" s="1"/>
  <c r="AO5" i="3" a="1"/>
  <c r="AO5" i="3" s="1"/>
  <c r="K22" i="24"/>
  <c r="M22" i="24" s="1"/>
  <c r="J22" i="24"/>
  <c r="O22" i="24" s="1"/>
  <c r="I22" i="24"/>
  <c r="AN42" i="20" a="1"/>
  <c r="AN42" i="20" s="1"/>
  <c r="AO42" i="20" a="1"/>
  <c r="AO42" i="20" s="1"/>
  <c r="AD42" i="20"/>
  <c r="P42" i="20" s="1"/>
  <c r="K218" i="28"/>
  <c r="K153" i="28"/>
  <c r="AK42" i="10" a="1"/>
  <c r="AK42" i="10" s="1"/>
  <c r="AL42" i="10" a="1"/>
  <c r="AL42" i="10" s="1"/>
  <c r="E49" i="29"/>
  <c r="E57" i="29"/>
  <c r="K62" i="28"/>
  <c r="K61" i="28"/>
  <c r="X42" i="9"/>
  <c r="Y42" i="9"/>
  <c r="Z42" i="9"/>
  <c r="AA42" i="9"/>
  <c r="AB42" i="9"/>
  <c r="I2" i="16"/>
  <c r="I3" i="16"/>
  <c r="I4" i="16"/>
  <c r="I5" i="16"/>
  <c r="I6" i="16"/>
  <c r="I7" i="16"/>
  <c r="I8" i="16"/>
  <c r="D8" i="30"/>
  <c r="D9" i="30"/>
  <c r="D10" i="30"/>
  <c r="D11" i="30"/>
  <c r="D12" i="30"/>
  <c r="D13" i="30"/>
  <c r="D14" i="30"/>
  <c r="D15" i="30"/>
  <c r="D16" i="30"/>
  <c r="D17" i="30"/>
  <c r="D18" i="30"/>
  <c r="D19" i="30"/>
  <c r="D20" i="30"/>
  <c r="D21" i="30"/>
  <c r="D22" i="30"/>
  <c r="D23" i="30"/>
  <c r="D24" i="30"/>
  <c r="D25" i="30"/>
  <c r="D26" i="30"/>
  <c r="D27" i="30"/>
  <c r="D28" i="30"/>
  <c r="D29" i="30"/>
  <c r="D30" i="30"/>
  <c r="D7" i="30"/>
  <c r="B10" i="30"/>
  <c r="B11" i="30"/>
  <c r="B12" i="30"/>
  <c r="B13" i="30"/>
  <c r="B14" i="30"/>
  <c r="B15" i="30"/>
  <c r="B16" i="30"/>
  <c r="B17" i="30"/>
  <c r="B18" i="30"/>
  <c r="B19" i="30"/>
  <c r="B20" i="30"/>
  <c r="B21" i="30"/>
  <c r="B22" i="30"/>
  <c r="B23" i="30"/>
  <c r="B24" i="30"/>
  <c r="B25" i="30"/>
  <c r="B26" i="30"/>
  <c r="B27" i="30"/>
  <c r="B28" i="30"/>
  <c r="B29" i="30"/>
  <c r="B30" i="30"/>
  <c r="H10" i="29"/>
  <c r="H41" i="10" a="1"/>
  <c r="H41" i="10" s="1"/>
  <c r="J41" i="10" a="1"/>
  <c r="J41" i="10" s="1"/>
  <c r="Y41" i="10" a="1"/>
  <c r="Y41" i="10" s="1"/>
  <c r="Z41" i="10"/>
  <c r="AA41" i="10"/>
  <c r="AB41" i="10"/>
  <c r="AC41" i="10"/>
  <c r="AD41" i="10"/>
  <c r="AI41" i="10"/>
  <c r="B21" i="24"/>
  <c r="AH7" i="21" a="1"/>
  <c r="AH7" i="21" s="1"/>
  <c r="AH8" i="21" a="1"/>
  <c r="AH8" i="21" s="1"/>
  <c r="AH9" i="21" a="1"/>
  <c r="AH9" i="21" s="1"/>
  <c r="AH10" i="21" a="1"/>
  <c r="AH10" i="21" s="1"/>
  <c r="AH11" i="21" a="1"/>
  <c r="AH11" i="21" s="1"/>
  <c r="AH12" i="21" a="1"/>
  <c r="AH12" i="21" s="1"/>
  <c r="AH14" i="21" a="1"/>
  <c r="AH14" i="21" s="1"/>
  <c r="AH15" i="21" a="1"/>
  <c r="AH15" i="21" s="1"/>
  <c r="AH21" i="21" a="1"/>
  <c r="AH21" i="21" s="1"/>
  <c r="AH22" i="21" a="1"/>
  <c r="AH22" i="21" s="1"/>
  <c r="AH23" i="21" a="1"/>
  <c r="AH23" i="21" s="1"/>
  <c r="AH26" i="21" a="1"/>
  <c r="AH26" i="21" s="1"/>
  <c r="AH33" i="21" a="1"/>
  <c r="AH33" i="21" s="1"/>
  <c r="AH34" i="21" a="1"/>
  <c r="AH34" i="21" s="1"/>
  <c r="AH37" i="21" a="1"/>
  <c r="AH37" i="21" s="1"/>
  <c r="AH41" i="21" a="1"/>
  <c r="AH41" i="21" s="1"/>
  <c r="L3" i="24"/>
  <c r="P3" i="24" s="1"/>
  <c r="M3" i="24"/>
  <c r="N3" i="24"/>
  <c r="O3" i="24"/>
  <c r="H60" i="20" a="1"/>
  <c r="H60" i="20" s="1"/>
  <c r="J60" i="20" a="1"/>
  <c r="J60" i="20" s="1"/>
  <c r="X60" i="20" a="1"/>
  <c r="X60" i="20" s="1"/>
  <c r="Y60" i="20"/>
  <c r="Z60" i="20"/>
  <c r="AA60" i="20"/>
  <c r="AB60" i="20"/>
  <c r="AC60" i="20"/>
  <c r="AE60" i="20" a="1"/>
  <c r="AE60" i="20" s="1"/>
  <c r="AK60" i="20"/>
  <c r="F3" i="30"/>
  <c r="BD4" i="4"/>
  <c r="AY4" i="4"/>
  <c r="B234" i="28" a="1"/>
  <c r="B245" i="28" a="1"/>
  <c r="K37" i="28" a="1"/>
  <c r="I153" i="28" a="1"/>
  <c r="B230" i="28" a="1"/>
  <c r="B238" i="28" a="1"/>
  <c r="B233" i="28" a="1"/>
  <c r="B244" i="28" a="1"/>
  <c r="K256" i="28" a="1"/>
  <c r="K40" i="28" a="1"/>
  <c r="B229" i="28" a="1"/>
  <c r="B228" i="28" a="1"/>
  <c r="K11" i="24" a="1"/>
  <c r="I11" i="24" a="1"/>
  <c r="B246" i="28" a="1"/>
  <c r="B226" i="28" a="1"/>
  <c r="B235" i="28" a="1"/>
  <c r="K38" i="28" a="1"/>
  <c r="J11" i="24" a="1"/>
  <c r="B227" i="28" a="1"/>
  <c r="B237" i="28" a="1"/>
  <c r="K257" i="28" a="1"/>
  <c r="B242" i="28" a="1"/>
  <c r="B243" i="28" a="1"/>
  <c r="K21" i="24" a="1"/>
  <c r="B232" i="28" a="1"/>
  <c r="K258" i="28" a="1"/>
  <c r="B236" i="28" a="1"/>
  <c r="K39" i="28" a="1"/>
  <c r="B231" i="28" a="1"/>
  <c r="J21" i="24" a="1"/>
  <c r="B241" i="28" a="1"/>
  <c r="K41" i="28" a="1"/>
  <c r="B239" i="28" a="1"/>
  <c r="C19" i="30" a="1"/>
  <c r="B112" i="28" a="1"/>
  <c r="F20" i="19" a="1"/>
  <c r="I21" i="24" a="1"/>
  <c r="B240" i="28" a="1"/>
  <c r="G49" i="29"/>
  <c r="C28" i="30" a="1"/>
  <c r="I62" i="28" a="1"/>
  <c r="C29" i="30" a="1"/>
  <c r="C14" i="30" a="1"/>
  <c r="I61" i="28" a="1"/>
  <c r="C15" i="30" a="1"/>
  <c r="L49" i="29" l="1" a="1"/>
  <c r="L49" i="29" s="1"/>
  <c r="C14" i="30"/>
  <c r="C28" i="30"/>
  <c r="C19" i="30"/>
  <c r="C29" i="30"/>
  <c r="C15" i="30"/>
  <c r="AC42" i="9"/>
  <c r="M42" i="9" s="1"/>
  <c r="B112" i="28"/>
  <c r="P18" i="24"/>
  <c r="P17" i="24"/>
  <c r="B246" i="28"/>
  <c r="B227" i="28"/>
  <c r="B226" i="28"/>
  <c r="B230" i="28"/>
  <c r="B238" i="28"/>
  <c r="B245" i="28"/>
  <c r="B244" i="28"/>
  <c r="B237" i="28"/>
  <c r="B232" i="28"/>
  <c r="B229" i="28"/>
  <c r="B236" i="28"/>
  <c r="B242" i="28"/>
  <c r="B243" i="28"/>
  <c r="B233" i="28"/>
  <c r="B228" i="28"/>
  <c r="B234" i="28"/>
  <c r="B239" i="28"/>
  <c r="B235" i="28"/>
  <c r="B231" i="28"/>
  <c r="B240" i="28"/>
  <c r="B241" i="28"/>
  <c r="L22" i="24"/>
  <c r="N22" i="24"/>
  <c r="I153" i="28"/>
  <c r="E153" i="28"/>
  <c r="F153" i="28"/>
  <c r="G153" i="28"/>
  <c r="I61" i="28"/>
  <c r="I62" i="28"/>
  <c r="E61" i="28"/>
  <c r="F61" i="28"/>
  <c r="G61" i="28"/>
  <c r="F62" i="28"/>
  <c r="G62" i="28"/>
  <c r="E62" i="28"/>
  <c r="F20" i="19"/>
  <c r="G20" i="19" s="1"/>
  <c r="K41" i="28"/>
  <c r="K40" i="28"/>
  <c r="K39" i="28"/>
  <c r="K38" i="28"/>
  <c r="K37" i="28"/>
  <c r="AE41" i="10"/>
  <c r="P41" i="10" s="1"/>
  <c r="K258" i="28"/>
  <c r="K257" i="28"/>
  <c r="J11" i="24"/>
  <c r="O11" i="24" s="1"/>
  <c r="I11" i="24"/>
  <c r="K11" i="24"/>
  <c r="M11" i="24" s="1"/>
  <c r="K21" i="24"/>
  <c r="M21" i="24" s="1"/>
  <c r="J21" i="24"/>
  <c r="O21" i="24" s="1"/>
  <c r="I21" i="24"/>
  <c r="AD60" i="20"/>
  <c r="P60" i="20" s="1"/>
  <c r="AN60" i="20" a="1"/>
  <c r="AN60" i="20" s="1"/>
  <c r="AO60" i="20" a="1"/>
  <c r="AO60" i="20" s="1"/>
  <c r="K256" i="28"/>
  <c r="BD6" i="4"/>
  <c r="BD5" i="4"/>
  <c r="F1" i="30"/>
  <c r="BA6" i="4" a="1"/>
  <c r="BA6" i="4" s="1"/>
  <c r="BA5" i="4" a="1"/>
  <c r="BA5" i="4" s="1"/>
  <c r="BA4" i="4" a="1"/>
  <c r="BA4" i="4" s="1"/>
  <c r="F2" i="30"/>
  <c r="C1" i="30"/>
  <c r="AT5" i="17" a="1"/>
  <c r="AT5" i="17" s="1"/>
  <c r="K127" i="28" a="1"/>
  <c r="C21" i="30" a="1"/>
  <c r="K151" i="28" a="1"/>
  <c r="K152" i="28" a="1"/>
  <c r="K59" i="28" a="1"/>
  <c r="B153" i="28" a="1"/>
  <c r="C25" i="30" a="1"/>
  <c r="C13" i="30" a="1"/>
  <c r="B62" i="28" a="1"/>
  <c r="BB4" i="4" a="1"/>
  <c r="B225" i="28" a="1"/>
  <c r="I14" i="24" a="1"/>
  <c r="K57" i="28" a="1"/>
  <c r="K14" i="24" a="1"/>
  <c r="K191" i="28" a="1"/>
  <c r="C22" i="30" a="1"/>
  <c r="K43" i="28" a="1"/>
  <c r="BC5" i="4" a="1"/>
  <c r="C26" i="30" a="1"/>
  <c r="K156" i="28" a="1"/>
  <c r="C20" i="30" a="1"/>
  <c r="BB6" i="4" a="1"/>
  <c r="K12" i="24" a="1"/>
  <c r="Q3" i="24" a="1"/>
  <c r="F19" i="19" a="1"/>
  <c r="K247" i="28" a="1"/>
  <c r="J12" i="24" a="1"/>
  <c r="K58" i="28" a="1"/>
  <c r="BC4" i="4" a="1"/>
  <c r="B61" i="28" a="1"/>
  <c r="C17" i="30" a="1"/>
  <c r="C23" i="30" a="1"/>
  <c r="K150" i="28" a="1"/>
  <c r="C24" i="30" a="1"/>
  <c r="C11" i="30" a="1"/>
  <c r="C27" i="30" a="1"/>
  <c r="I38" i="28" a="1"/>
  <c r="BB5" i="4" a="1"/>
  <c r="C16" i="30" a="1"/>
  <c r="C12" i="30" a="1"/>
  <c r="I12" i="24" a="1"/>
  <c r="C18" i="30" a="1"/>
  <c r="I41" i="28" a="1"/>
  <c r="C10" i="30" a="1"/>
  <c r="J14" i="24" a="1"/>
  <c r="K76" i="28" a="1"/>
  <c r="C30" i="30" a="1"/>
  <c r="BC6" i="4" a="1"/>
  <c r="I39" i="28" a="1"/>
  <c r="C30" i="30" l="1"/>
  <c r="C20" i="30"/>
  <c r="C21" i="30"/>
  <c r="C23" i="30"/>
  <c r="C10" i="30"/>
  <c r="C25" i="30"/>
  <c r="C12" i="30"/>
  <c r="C24" i="30"/>
  <c r="C13" i="30"/>
  <c r="C11" i="30"/>
  <c r="C26" i="30"/>
  <c r="C27" i="30"/>
  <c r="C16" i="30"/>
  <c r="C17" i="30"/>
  <c r="C22" i="30"/>
  <c r="C18" i="30"/>
  <c r="B225" i="28"/>
  <c r="B61" i="28"/>
  <c r="B153" i="28"/>
  <c r="B62" i="28"/>
  <c r="E37" i="28"/>
  <c r="G38" i="28"/>
  <c r="G39" i="28"/>
  <c r="G40" i="28"/>
  <c r="G41" i="28"/>
  <c r="P22" i="24"/>
  <c r="Q3" i="24"/>
  <c r="F40" i="28"/>
  <c r="E40" i="28"/>
  <c r="E41" i="28"/>
  <c r="F41" i="28"/>
  <c r="E39" i="28"/>
  <c r="F39" i="28"/>
  <c r="I41" i="28"/>
  <c r="F38" i="28"/>
  <c r="E38" i="28"/>
  <c r="I38" i="28"/>
  <c r="I39" i="28"/>
  <c r="F37" i="28"/>
  <c r="G37" i="28"/>
  <c r="E258" i="28"/>
  <c r="F258" i="28"/>
  <c r="G258" i="28"/>
  <c r="B9" i="30"/>
  <c r="B8" i="30"/>
  <c r="B7" i="30"/>
  <c r="N11" i="24"/>
  <c r="L11" i="24"/>
  <c r="L21" i="24"/>
  <c r="N21" i="24"/>
  <c r="E257" i="28"/>
  <c r="F257" i="28"/>
  <c r="G257" i="28"/>
  <c r="BC6" i="4"/>
  <c r="BC5" i="4"/>
  <c r="BC4" i="4"/>
  <c r="F19" i="19"/>
  <c r="G19" i="19" s="1"/>
  <c r="BB6" i="4"/>
  <c r="BB4" i="4"/>
  <c r="BB5" i="4"/>
  <c r="K59" i="28"/>
  <c r="J14" i="24"/>
  <c r="O14" i="24" s="1"/>
  <c r="I14" i="24"/>
  <c r="K14" i="24"/>
  <c r="M14" i="24" s="1"/>
  <c r="K247" i="28"/>
  <c r="K191" i="28"/>
  <c r="K156" i="28"/>
  <c r="K152" i="28"/>
  <c r="K151" i="28"/>
  <c r="K150" i="28"/>
  <c r="K127" i="28"/>
  <c r="K76" i="28"/>
  <c r="K43" i="28"/>
  <c r="K58" i="28"/>
  <c r="K57" i="28"/>
  <c r="K12" i="24"/>
  <c r="J12" i="24"/>
  <c r="I12" i="24"/>
  <c r="F7" i="19" a="1"/>
  <c r="F11" i="19" a="1"/>
  <c r="F4" i="19" a="1"/>
  <c r="F9" i="19" a="1"/>
  <c r="K160" i="28" a="1"/>
  <c r="F6" i="19" a="1"/>
  <c r="J15" i="24" a="1"/>
  <c r="F10" i="19" a="1"/>
  <c r="I258" i="28" a="1"/>
  <c r="I59" i="28" a="1"/>
  <c r="F12" i="19" a="1"/>
  <c r="B40" i="28" a="1"/>
  <c r="I127" i="28" a="1"/>
  <c r="F17" i="19" a="1"/>
  <c r="B37" i="28" a="1"/>
  <c r="K13" i="24" a="1"/>
  <c r="F3" i="19" a="1"/>
  <c r="I76" i="28" a="1"/>
  <c r="I37" i="28" a="1"/>
  <c r="I156" i="28" a="1"/>
  <c r="F18" i="19" a="1"/>
  <c r="B257" i="28" a="1"/>
  <c r="F8" i="19" a="1"/>
  <c r="I58" i="28" a="1"/>
  <c r="B258" i="28" a="1"/>
  <c r="K161" i="28" a="1"/>
  <c r="F13" i="19" a="1"/>
  <c r="I40" i="28" a="1"/>
  <c r="I57" i="28" a="1"/>
  <c r="J13" i="24" a="1"/>
  <c r="K159" i="28" a="1"/>
  <c r="B41" i="28" a="1"/>
  <c r="F2" i="19" a="1"/>
  <c r="B38" i="28" a="1"/>
  <c r="K158" i="28" a="1"/>
  <c r="F15" i="19" a="1"/>
  <c r="F16" i="19" a="1"/>
  <c r="K162" i="28" a="1"/>
  <c r="K157" i="28" a="1"/>
  <c r="I257" i="28" a="1"/>
  <c r="B39" i="28" a="1"/>
  <c r="I43" i="28" a="1"/>
  <c r="F5" i="19" a="1"/>
  <c r="F14" i="19" a="1"/>
  <c r="I191" i="28" a="1"/>
  <c r="I152" i="28" a="1"/>
  <c r="I151" i="28" a="1"/>
  <c r="I150" i="28" a="1"/>
  <c r="H37" i="28" l="1" a="1"/>
  <c r="H37" i="28" s="1"/>
  <c r="A37" i="28" s="1" a="1"/>
  <c r="A37" i="28" s="1"/>
  <c r="B41" i="28"/>
  <c r="B257" i="28"/>
  <c r="B40" i="28"/>
  <c r="B39" i="28"/>
  <c r="B38" i="28"/>
  <c r="B37" i="28"/>
  <c r="B258" i="28"/>
  <c r="I37" i="28"/>
  <c r="I40" i="28"/>
  <c r="I258" i="28"/>
  <c r="P11" i="24"/>
  <c r="P21" i="24"/>
  <c r="I257" i="28"/>
  <c r="I59" i="28"/>
  <c r="E59" i="28"/>
  <c r="F59" i="28"/>
  <c r="G59" i="28"/>
  <c r="N14" i="24"/>
  <c r="L14" i="24"/>
  <c r="I191" i="28"/>
  <c r="G191" i="28"/>
  <c r="F191" i="28"/>
  <c r="E191" i="28"/>
  <c r="I156" i="28"/>
  <c r="I57" i="28"/>
  <c r="I58" i="28"/>
  <c r="I76" i="28"/>
  <c r="I150" i="28"/>
  <c r="I151" i="28"/>
  <c r="I43" i="28"/>
  <c r="I127" i="28"/>
  <c r="I152" i="28"/>
  <c r="E156" i="28"/>
  <c r="F156" i="28"/>
  <c r="G156" i="28"/>
  <c r="E150" i="28"/>
  <c r="G150" i="28"/>
  <c r="F150" i="28"/>
  <c r="G151" i="28"/>
  <c r="F151" i="28"/>
  <c r="E151" i="28"/>
  <c r="G152" i="28"/>
  <c r="F152" i="28"/>
  <c r="E152" i="28"/>
  <c r="E127" i="28"/>
  <c r="F127" i="28"/>
  <c r="G127" i="28"/>
  <c r="E76" i="28"/>
  <c r="F76" i="28"/>
  <c r="G76" i="28"/>
  <c r="E43" i="28"/>
  <c r="F43" i="28"/>
  <c r="G43" i="28"/>
  <c r="G58" i="28"/>
  <c r="E58" i="28"/>
  <c r="F58" i="28"/>
  <c r="F57" i="28"/>
  <c r="G57" i="28"/>
  <c r="E57" i="28"/>
  <c r="F18" i="19"/>
  <c r="G18" i="19" s="1"/>
  <c r="F17" i="19"/>
  <c r="G17" i="19" s="1"/>
  <c r="F16" i="19"/>
  <c r="G16" i="19" s="1"/>
  <c r="F15" i="19"/>
  <c r="G15" i="19" s="1"/>
  <c r="F14" i="19"/>
  <c r="G14" i="19" s="1"/>
  <c r="F13" i="19"/>
  <c r="G13" i="19" s="1"/>
  <c r="B18" i="24" s="1"/>
  <c r="F12" i="19"/>
  <c r="G12" i="19" s="1"/>
  <c r="F11" i="19"/>
  <c r="G11" i="19" s="1"/>
  <c r="F10" i="19"/>
  <c r="G10" i="19" s="1"/>
  <c r="F9" i="19"/>
  <c r="G9" i="19" s="1"/>
  <c r="F8" i="19"/>
  <c r="G8" i="19" s="1"/>
  <c r="F7" i="19"/>
  <c r="G7" i="19" s="1"/>
  <c r="F6" i="19"/>
  <c r="G6" i="19" s="1"/>
  <c r="F5" i="19"/>
  <c r="G5" i="19" s="1"/>
  <c r="F4" i="19"/>
  <c r="G4" i="19" s="1"/>
  <c r="F3" i="19"/>
  <c r="G3" i="19" s="1"/>
  <c r="F2" i="19"/>
  <c r="G2" i="19" s="1"/>
  <c r="K162" i="28"/>
  <c r="K161" i="28"/>
  <c r="K160" i="28"/>
  <c r="K159" i="28"/>
  <c r="K158" i="28"/>
  <c r="K157" i="28"/>
  <c r="K13" i="24"/>
  <c r="J13" i="24"/>
  <c r="J15" i="24"/>
  <c r="M19" i="24"/>
  <c r="O19" i="24"/>
  <c r="H28" i="29"/>
  <c r="H27" i="29"/>
  <c r="H26" i="29"/>
  <c r="F59" i="29"/>
  <c r="D60" i="29"/>
  <c r="Q60" i="29" a="1"/>
  <c r="Q60" i="29" s="1"/>
  <c r="D59" i="29"/>
  <c r="Q59" i="29" a="1"/>
  <c r="Q59" i="29" s="1"/>
  <c r="J40" i="10" a="1"/>
  <c r="J40" i="10" s="1"/>
  <c r="Y40" i="10" a="1"/>
  <c r="Y40" i="10" s="1"/>
  <c r="Z40" i="10"/>
  <c r="AA40" i="10"/>
  <c r="AB40" i="10"/>
  <c r="AD40" i="10"/>
  <c r="AI40" i="10"/>
  <c r="AJ40" i="10" a="1"/>
  <c r="AJ40" i="10" s="1"/>
  <c r="J39" i="10" a="1"/>
  <c r="J39" i="10" s="1"/>
  <c r="Y39" i="10" a="1"/>
  <c r="Y39" i="10" s="1"/>
  <c r="Z39" i="10"/>
  <c r="AA39" i="10"/>
  <c r="AB39" i="10"/>
  <c r="AD39" i="10"/>
  <c r="AI39" i="10"/>
  <c r="B57" i="28" a="1"/>
  <c r="I13" i="24" a="1"/>
  <c r="B156" i="28" a="1"/>
  <c r="I20" i="24" a="1"/>
  <c r="J20" i="24" a="1"/>
  <c r="B6" i="28" a="1"/>
  <c r="B150" i="28" a="1"/>
  <c r="B4" i="28" a="1"/>
  <c r="I161" i="28" a="1"/>
  <c r="K20" i="24" a="1"/>
  <c r="B191" i="28" a="1"/>
  <c r="E59" i="29" a="1"/>
  <c r="B59" i="28" a="1"/>
  <c r="B43" i="28" a="1"/>
  <c r="B127" i="28" a="1"/>
  <c r="B5" i="28" a="1"/>
  <c r="B58" i="28" a="1"/>
  <c r="B8" i="28" a="1"/>
  <c r="B10" i="28" a="1"/>
  <c r="B76" i="28" a="1"/>
  <c r="B151" i="28" a="1"/>
  <c r="B152" i="28" a="1"/>
  <c r="I159" i="28" a="1"/>
  <c r="I162" i="28" a="1"/>
  <c r="I158" i="28" a="1"/>
  <c r="I160" i="28" a="1"/>
  <c r="I157" i="28" a="1"/>
  <c r="H38" i="28" l="1" a="1"/>
  <c r="H38" i="28" s="1"/>
  <c r="A38" i="28" s="1" a="1"/>
  <c r="A38" i="28" s="1"/>
  <c r="B127" i="28"/>
  <c r="B151" i="28"/>
  <c r="B152" i="28"/>
  <c r="B58" i="28"/>
  <c r="B191" i="28"/>
  <c r="B150" i="28"/>
  <c r="B43" i="28"/>
  <c r="B156" i="28"/>
  <c r="B76" i="28"/>
  <c r="B57" i="28"/>
  <c r="B59" i="28"/>
  <c r="P14" i="24"/>
  <c r="I157" i="28"/>
  <c r="I162" i="28"/>
  <c r="I158" i="28"/>
  <c r="I159" i="28"/>
  <c r="I160" i="28"/>
  <c r="I161" i="28"/>
  <c r="I13" i="24"/>
  <c r="M13" i="24"/>
  <c r="O13" i="24"/>
  <c r="K20" i="24"/>
  <c r="M20" i="24" s="1"/>
  <c r="J20" i="24"/>
  <c r="O20" i="24" s="1"/>
  <c r="I20" i="24"/>
  <c r="E59" i="29"/>
  <c r="AK40" i="10" a="1"/>
  <c r="AK40" i="10" s="1"/>
  <c r="AL40" i="10" a="1"/>
  <c r="AL40" i="10" s="1"/>
  <c r="B10" i="28"/>
  <c r="B8" i="28"/>
  <c r="B6" i="28"/>
  <c r="B5" i="28"/>
  <c r="B4" i="28"/>
  <c r="G60" i="29"/>
  <c r="G59" i="29"/>
  <c r="H39" i="28" l="1" a="1"/>
  <c r="H39" i="28" s="1"/>
  <c r="H40" i="28" s="1" a="1"/>
  <c r="H40" i="28" s="1"/>
  <c r="H41" i="28" s="1" a="1"/>
  <c r="H41" i="28" s="1"/>
  <c r="L13" i="24"/>
  <c r="N13" i="24"/>
  <c r="L19" i="24"/>
  <c r="N19" i="24"/>
  <c r="N20" i="24"/>
  <c r="L20" i="24"/>
  <c r="W47" i="3"/>
  <c r="Y47" i="3"/>
  <c r="AB47" i="3"/>
  <c r="H47" i="29"/>
  <c r="F47" i="29"/>
  <c r="D47" i="29"/>
  <c r="H32" i="29"/>
  <c r="H24" i="29"/>
  <c r="H20" i="29"/>
  <c r="H18" i="29"/>
  <c r="H16" i="29"/>
  <c r="H30" i="29"/>
  <c r="H39" i="29"/>
  <c r="E47" i="29" a="1"/>
  <c r="A41" i="28" l="1" a="1"/>
  <c r="A41" i="28" s="1"/>
  <c r="A39" i="28" a="1"/>
  <c r="A39" i="28" s="1"/>
  <c r="A40" i="28" a="1"/>
  <c r="A40" i="28" s="1"/>
  <c r="P13" i="24"/>
  <c r="P20" i="24"/>
  <c r="P19" i="24"/>
  <c r="E47" i="29"/>
  <c r="AM8" i="4"/>
  <c r="AL8" i="4"/>
  <c r="AK8" i="4"/>
  <c r="AJ8" i="4"/>
  <c r="AI8" i="4"/>
  <c r="AM7" i="4"/>
  <c r="AL7" i="4"/>
  <c r="AK7" i="4"/>
  <c r="AJ7" i="4"/>
  <c r="AI7" i="4"/>
  <c r="AM6" i="4"/>
  <c r="AL6" i="4"/>
  <c r="AK6" i="4"/>
  <c r="AJ6" i="4"/>
  <c r="AI6" i="4"/>
  <c r="AM5" i="4"/>
  <c r="AL5" i="4"/>
  <c r="AK5" i="4"/>
  <c r="AJ5" i="4"/>
  <c r="AI5" i="4"/>
  <c r="AM4" i="4"/>
  <c r="AL4" i="4"/>
  <c r="AK4" i="4"/>
  <c r="AJ4" i="4"/>
  <c r="AI4" i="4"/>
  <c r="Q19" i="24" a="1"/>
  <c r="L47" i="29" l="1" a="1"/>
  <c r="L47" i="29" s="1"/>
  <c r="Q19" i="24"/>
  <c r="H38" i="10" a="1"/>
  <c r="H38" i="10" s="1"/>
  <c r="J38" i="10" a="1"/>
  <c r="J38" i="10" s="1"/>
  <c r="Y38" i="10" a="1"/>
  <c r="Y38" i="10" s="1"/>
  <c r="Z38" i="10"/>
  <c r="AA38" i="10"/>
  <c r="AB38" i="10"/>
  <c r="AC38" i="10"/>
  <c r="AD38" i="10"/>
  <c r="AI38" i="10"/>
  <c r="AJ38" i="10" a="1"/>
  <c r="AJ38" i="10" s="1"/>
  <c r="G47" i="29"/>
  <c r="AE38" i="10" l="1"/>
  <c r="P38" i="10" s="1"/>
  <c r="AL38" i="10" a="1"/>
  <c r="AL38" i="10" s="1"/>
  <c r="AK38" i="10" a="1"/>
  <c r="AK38" i="10" s="1"/>
  <c r="F3" i="9" a="1"/>
  <c r="F3" i="9" s="1"/>
  <c r="F4" i="9" a="1"/>
  <c r="F4" i="9" s="1"/>
  <c r="F14" i="9" a="1"/>
  <c r="F14" i="9" s="1"/>
  <c r="F15" i="9" a="1"/>
  <c r="F15" i="9" s="1"/>
  <c r="F17" i="9" a="1"/>
  <c r="F17" i="9" s="1"/>
  <c r="F21" i="9" a="1"/>
  <c r="F21" i="9" s="1"/>
  <c r="F22" i="9" a="1"/>
  <c r="F22" i="9" s="1"/>
  <c r="F23" i="9" a="1"/>
  <c r="F23" i="9" s="1"/>
  <c r="F24" i="9" a="1"/>
  <c r="F24" i="9" s="1"/>
  <c r="F29" i="9" a="1"/>
  <c r="F29" i="9" s="1"/>
  <c r="F30" i="9" a="1"/>
  <c r="F30" i="9" s="1"/>
  <c r="F36" i="9" a="1"/>
  <c r="F36" i="9" s="1"/>
  <c r="F38" i="9" a="1"/>
  <c r="F38" i="9" s="1"/>
  <c r="F7" i="29" l="1"/>
  <c r="C41" i="21" l="1"/>
  <c r="K41" i="21" a="1"/>
  <c r="K41" i="21" s="1"/>
  <c r="AM41" i="21" s="1"/>
  <c r="L41" i="21"/>
  <c r="X41" i="21" a="1"/>
  <c r="X41" i="21" s="1"/>
  <c r="AA41" i="21"/>
  <c r="AC41" i="21"/>
  <c r="AD41" i="21" a="1"/>
  <c r="AD41" i="21" s="1"/>
  <c r="P4" i="29" l="1" a="1"/>
  <c r="P4" i="29" s="1"/>
  <c r="P5" i="29" s="1" a="1"/>
  <c r="P5" i="29" s="1"/>
  <c r="P6" i="29" s="1" a="1"/>
  <c r="P6" i="29" s="1"/>
  <c r="P7" i="29" s="1" a="1"/>
  <c r="P7" i="29" s="1"/>
  <c r="P8" i="29" s="1" a="1"/>
  <c r="P8" i="29" s="1"/>
  <c r="P9" i="29" s="1" a="1"/>
  <c r="P9" i="29" s="1"/>
  <c r="P10" i="29" s="1" a="1"/>
  <c r="P10" i="29" s="1"/>
  <c r="P11" i="29" s="1" a="1"/>
  <c r="P11" i="29" s="1"/>
  <c r="P12" i="29" s="1" a="1"/>
  <c r="P12" i="29" s="1"/>
  <c r="P13" i="29" s="1" a="1"/>
  <c r="P13" i="29" s="1"/>
  <c r="P14" i="29" s="1" a="1"/>
  <c r="P14" i="29" s="1"/>
  <c r="P15" i="29" s="1" a="1"/>
  <c r="P15" i="29" s="1"/>
  <c r="P16" i="29" s="1" a="1"/>
  <c r="P16" i="29" s="1"/>
  <c r="P17" i="29" s="1" a="1"/>
  <c r="P17" i="29" s="1"/>
  <c r="P18" i="29" s="1" a="1"/>
  <c r="P18" i="29" s="1"/>
  <c r="P19" i="29" s="1" a="1"/>
  <c r="P19" i="29" s="1"/>
  <c r="P20" i="29" s="1" a="1"/>
  <c r="P20" i="29" s="1"/>
  <c r="P21" i="29" s="1" a="1"/>
  <c r="P21" i="29" s="1"/>
  <c r="P22" i="29" s="1" a="1"/>
  <c r="P22" i="29" s="1"/>
  <c r="P23" i="29" s="1" a="1"/>
  <c r="P23" i="29" s="1"/>
  <c r="P24" i="29" s="1" a="1"/>
  <c r="P24" i="29" s="1"/>
  <c r="P25" i="29" s="1" a="1"/>
  <c r="P25" i="29" s="1"/>
  <c r="P26" i="29" s="1" a="1"/>
  <c r="P26" i="29" s="1"/>
  <c r="P27" i="29" s="1" a="1"/>
  <c r="P27" i="29" s="1"/>
  <c r="P28" i="29" s="1" a="1"/>
  <c r="P28" i="29" s="1"/>
  <c r="P29" i="29" s="1" a="1"/>
  <c r="P29" i="29" s="1"/>
  <c r="P30" i="29" s="1" a="1"/>
  <c r="P30" i="29" s="1"/>
  <c r="P31" i="29" s="1" a="1"/>
  <c r="P31" i="29" s="1"/>
  <c r="P32" i="29" s="1" a="1"/>
  <c r="P32" i="29" s="1"/>
  <c r="P33" i="29" s="1" a="1"/>
  <c r="P33" i="29" s="1"/>
  <c r="P34" i="29" s="1" a="1"/>
  <c r="P34" i="29" s="1"/>
  <c r="P35" i="29" s="1" a="1"/>
  <c r="P35" i="29" s="1"/>
  <c r="P36" i="29" s="1" a="1"/>
  <c r="P36" i="29" s="1"/>
  <c r="P37" i="29" s="1" a="1"/>
  <c r="P37" i="29" s="1"/>
  <c r="P38" i="29" s="1" a="1"/>
  <c r="P38" i="29" s="1"/>
  <c r="P39" i="29" s="1" a="1"/>
  <c r="P39" i="29" s="1"/>
  <c r="P40" i="29" s="1" a="1"/>
  <c r="P40" i="29" s="1"/>
  <c r="P41" i="29" s="1" a="1"/>
  <c r="P41" i="29" s="1"/>
  <c r="P42" i="29" s="1" a="1"/>
  <c r="P42" i="29" s="1"/>
  <c r="P43" i="29" s="1" a="1"/>
  <c r="P43" i="29" s="1"/>
  <c r="P44" i="29" s="1" a="1"/>
  <c r="P44" i="29" s="1"/>
  <c r="P45" i="29" s="1" a="1"/>
  <c r="P45" i="29" s="1"/>
  <c r="P46" i="29" s="1" a="1"/>
  <c r="P46" i="29" s="1"/>
  <c r="H59" i="20" a="1"/>
  <c r="H59" i="20" s="1"/>
  <c r="J59" i="20" a="1"/>
  <c r="J59" i="20" s="1"/>
  <c r="X59" i="20" a="1"/>
  <c r="X59" i="20" s="1"/>
  <c r="Y59" i="20"/>
  <c r="Z59" i="20"/>
  <c r="AA59" i="20"/>
  <c r="AC59" i="20"/>
  <c r="AE59" i="20" a="1"/>
  <c r="AE59" i="20" s="1"/>
  <c r="AK59" i="20"/>
  <c r="AN59" i="20" a="1"/>
  <c r="AN59" i="20" s="1"/>
  <c r="O19" i="25" a="1"/>
  <c r="O19" i="25" s="1"/>
  <c r="O20" i="25" a="1"/>
  <c r="O20" i="25" s="1"/>
  <c r="O21" i="25" a="1"/>
  <c r="O21" i="25" s="1"/>
  <c r="C19" i="25" a="1"/>
  <c r="C19" i="25" s="1"/>
  <c r="C20" i="25" a="1"/>
  <c r="C20" i="25" s="1"/>
  <c r="C21" i="25" a="1"/>
  <c r="C21" i="25" s="1"/>
  <c r="R41" i="9"/>
  <c r="H37" i="10" a="1"/>
  <c r="H37" i="10" s="1"/>
  <c r="J37" i="10" a="1"/>
  <c r="J37" i="10" s="1"/>
  <c r="Y37" i="10" a="1"/>
  <c r="Y37" i="10" s="1"/>
  <c r="Z37" i="10"/>
  <c r="AA37" i="10"/>
  <c r="AB37" i="10"/>
  <c r="AC37" i="10"/>
  <c r="AD37" i="10"/>
  <c r="AI37" i="10"/>
  <c r="AJ37" i="10" a="1"/>
  <c r="AJ37" i="10" s="1"/>
  <c r="A3" i="14" a="1"/>
  <c r="C2" i="14" a="1"/>
  <c r="A2" i="14" a="1"/>
  <c r="B2" i="14" a="1"/>
  <c r="D2" i="14" a="1"/>
  <c r="P47" i="29" l="1" a="1"/>
  <c r="P47" i="29" s="1"/>
  <c r="P48" i="29" s="1" a="1"/>
  <c r="P48" i="29" s="1"/>
  <c r="A2" i="14"/>
  <c r="L2" i="14" s="1"/>
  <c r="A3" i="14"/>
  <c r="D2" i="14"/>
  <c r="C2" i="14"/>
  <c r="B2" i="14"/>
  <c r="AE37" i="10"/>
  <c r="P37" i="10" s="1"/>
  <c r="AO59" i="20" a="1"/>
  <c r="AO59" i="20" s="1"/>
  <c r="AK37" i="10" a="1"/>
  <c r="AK37" i="10" s="1"/>
  <c r="AL37" i="10" a="1"/>
  <c r="AL37" i="10" s="1"/>
  <c r="M72" i="28"/>
  <c r="M71" i="28" a="1"/>
  <c r="M71" i="28" s="1"/>
  <c r="M67" i="28" a="1"/>
  <c r="M67" i="28" s="1"/>
  <c r="M68" i="28"/>
  <c r="T33"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R4" i="3"/>
  <c r="R5" i="3"/>
  <c r="R8" i="3"/>
  <c r="R10" i="3"/>
  <c r="R13" i="3"/>
  <c r="R16" i="3"/>
  <c r="R18" i="3"/>
  <c r="R21" i="3"/>
  <c r="R22" i="3"/>
  <c r="R24" i="3"/>
  <c r="R28" i="3"/>
  <c r="R30" i="3"/>
  <c r="R33" i="3"/>
  <c r="R34" i="3"/>
  <c r="R37" i="3"/>
  <c r="R42" i="3"/>
  <c r="R52"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B33" i="3" a="1"/>
  <c r="B33" i="3" s="1"/>
  <c r="H57" i="29"/>
  <c r="H56" i="29"/>
  <c r="F56" i="29"/>
  <c r="F55" i="29"/>
  <c r="H55" i="29"/>
  <c r="K70" i="28" a="1"/>
  <c r="K74" i="28" a="1"/>
  <c r="K63" i="28" a="1"/>
  <c r="K65" i="28" a="1"/>
  <c r="K67" i="28" a="1"/>
  <c r="K66" i="28" a="1"/>
  <c r="D68" i="28"/>
  <c r="K72" i="28" a="1"/>
  <c r="E56" i="29" a="1"/>
  <c r="B7" i="14" a="1"/>
  <c r="E55" i="29" a="1"/>
  <c r="D67" i="28"/>
  <c r="K68" i="28" a="1"/>
  <c r="K71" i="28" a="1"/>
  <c r="K73" i="28" a="1"/>
  <c r="K69" i="28" a="1"/>
  <c r="K75" i="28" a="1"/>
  <c r="K64" i="28" a="1"/>
  <c r="P49" i="29" l="1" a="1"/>
  <c r="P49" i="29" s="1"/>
  <c r="P50" i="29" s="1" a="1"/>
  <c r="P50" i="29" s="1"/>
  <c r="P51" i="29" s="1" a="1"/>
  <c r="P51" i="29" s="1"/>
  <c r="P52" i="29" s="1" a="1"/>
  <c r="P52" i="29" s="1"/>
  <c r="P53" i="29" s="1" a="1"/>
  <c r="P53" i="29" s="1"/>
  <c r="P54" i="29" s="1" a="1"/>
  <c r="P54" i="29" s="1"/>
  <c r="P55" i="29" s="1" a="1"/>
  <c r="P55" i="29" s="1"/>
  <c r="P56" i="29" s="1" a="1"/>
  <c r="P56" i="29" s="1"/>
  <c r="P57" i="29" s="1" a="1"/>
  <c r="P57" i="29" s="1"/>
  <c r="P58" i="29" s="1" a="1"/>
  <c r="P58" i="29" s="1"/>
  <c r="P59" i="29" s="1" a="1"/>
  <c r="P59" i="29" s="1"/>
  <c r="P60" i="29" s="1" a="1"/>
  <c r="P60" i="29" s="1"/>
  <c r="E2" i="14"/>
  <c r="F2" i="14" s="1"/>
  <c r="K75" i="28"/>
  <c r="K74" i="28"/>
  <c r="K73" i="28"/>
  <c r="K72" i="28"/>
  <c r="K71" i="28"/>
  <c r="K70" i="28"/>
  <c r="K69" i="28"/>
  <c r="K68" i="28"/>
  <c r="K67" i="28"/>
  <c r="K66" i="28"/>
  <c r="K65" i="28"/>
  <c r="K64" i="28"/>
  <c r="K63" i="28"/>
  <c r="B7" i="14"/>
  <c r="E56" i="29"/>
  <c r="E55" i="29"/>
  <c r="I66" i="28" a="1"/>
  <c r="I63" i="28" a="1"/>
  <c r="I73" i="28" a="1"/>
  <c r="G55" i="29"/>
  <c r="I74" i="28" a="1"/>
  <c r="I75" i="28" a="1"/>
  <c r="I71" i="28" a="1"/>
  <c r="I70" i="28" a="1"/>
  <c r="I69" i="28" a="1"/>
  <c r="I72" i="28" a="1"/>
  <c r="I68" i="28" a="1"/>
  <c r="I67" i="28" a="1"/>
  <c r="I65" i="28" a="1"/>
  <c r="I64" i="28" a="1"/>
  <c r="L58" i="29" l="1" a="1"/>
  <c r="L58" i="29" s="1"/>
  <c r="L56" i="29" a="1"/>
  <c r="L56" i="29" s="1"/>
  <c r="I68" i="28"/>
  <c r="I69" i="28"/>
  <c r="I66" i="28"/>
  <c r="I67" i="28"/>
  <c r="I71" i="28"/>
  <c r="I72" i="28"/>
  <c r="I73" i="28"/>
  <c r="I64" i="28"/>
  <c r="I74" i="28"/>
  <c r="I63" i="28"/>
  <c r="I75" i="28"/>
  <c r="I65" i="28"/>
  <c r="I70" i="28"/>
  <c r="G2" i="14"/>
  <c r="I2" i="14"/>
  <c r="H2" i="14"/>
  <c r="F75" i="28"/>
  <c r="E75" i="28"/>
  <c r="G75" i="28"/>
  <c r="G74" i="28"/>
  <c r="F74" i="28"/>
  <c r="E74" i="28"/>
  <c r="E73" i="28"/>
  <c r="G73" i="28"/>
  <c r="F73" i="28"/>
  <c r="E72" i="28"/>
  <c r="G72" i="28"/>
  <c r="F72" i="28"/>
  <c r="E71" i="28"/>
  <c r="F71" i="28"/>
  <c r="G71" i="28"/>
  <c r="F70" i="28"/>
  <c r="E70" i="28"/>
  <c r="G70" i="28"/>
  <c r="G69" i="28"/>
  <c r="F69" i="28"/>
  <c r="E69" i="28"/>
  <c r="E68" i="28"/>
  <c r="F68" i="28"/>
  <c r="G68" i="28"/>
  <c r="E67" i="28"/>
  <c r="F67" i="28"/>
  <c r="G67" i="28"/>
  <c r="E66" i="28"/>
  <c r="F66" i="28"/>
  <c r="G66" i="28"/>
  <c r="E65" i="28"/>
  <c r="F65" i="28"/>
  <c r="G65" i="28"/>
  <c r="E64" i="28"/>
  <c r="F64" i="28"/>
  <c r="G64" i="28"/>
  <c r="G63" i="28"/>
  <c r="E63" i="28"/>
  <c r="F63" i="28"/>
  <c r="F54" i="29"/>
  <c r="H53" i="29"/>
  <c r="F53" i="29"/>
  <c r="H51" i="29"/>
  <c r="F51" i="29"/>
  <c r="H50" i="29"/>
  <c r="F50" i="29"/>
  <c r="F48" i="29"/>
  <c r="H46" i="29"/>
  <c r="F46" i="29"/>
  <c r="H45" i="29"/>
  <c r="F45" i="29"/>
  <c r="F44" i="29"/>
  <c r="H43" i="29"/>
  <c r="F43" i="29"/>
  <c r="E53" i="29" a="1"/>
  <c r="E54" i="29" a="1"/>
  <c r="B63" i="28" a="1"/>
  <c r="B75" i="28" a="1"/>
  <c r="B68" i="28" a="1"/>
  <c r="B65" i="28" a="1"/>
  <c r="B74" i="28" a="1"/>
  <c r="B71" i="28" a="1"/>
  <c r="J2" i="14"/>
  <c r="E44" i="29" a="1"/>
  <c r="B66" i="28" a="1"/>
  <c r="E48" i="29" a="1"/>
  <c r="E50" i="29" a="1"/>
  <c r="B64" i="28" a="1"/>
  <c r="B70" i="28" a="1"/>
  <c r="E43" i="29" a="1"/>
  <c r="B72" i="28" a="1"/>
  <c r="E51" i="29" a="1"/>
  <c r="B69" i="28" a="1"/>
  <c r="B73" i="28" a="1"/>
  <c r="B67" i="28" a="1"/>
  <c r="E46" i="29" a="1"/>
  <c r="E45" i="29" a="1"/>
  <c r="B71" i="28" l="1"/>
  <c r="B72" i="28"/>
  <c r="B68" i="28"/>
  <c r="B69" i="28"/>
  <c r="B73" i="28"/>
  <c r="B67" i="28"/>
  <c r="B74" i="28"/>
  <c r="B66" i="28"/>
  <c r="B64" i="28"/>
  <c r="B70" i="28"/>
  <c r="B65" i="28"/>
  <c r="B75" i="28"/>
  <c r="B63" i="28"/>
  <c r="K2" i="14" a="1"/>
  <c r="K2" i="14" s="1"/>
  <c r="E54" i="29"/>
  <c r="E53" i="29"/>
  <c r="E51" i="29"/>
  <c r="E50" i="29"/>
  <c r="E48" i="29"/>
  <c r="E46" i="29"/>
  <c r="E45" i="29"/>
  <c r="E44" i="29"/>
  <c r="E43" i="29"/>
  <c r="H41" i="29"/>
  <c r="G44" i="29"/>
  <c r="G46" i="29"/>
  <c r="G45" i="29"/>
  <c r="L51" i="29" l="1" a="1"/>
  <c r="L51" i="29" s="1"/>
  <c r="L50" i="29" a="1"/>
  <c r="L50" i="29" s="1"/>
  <c r="L48" i="29" a="1"/>
  <c r="L48" i="29" s="1"/>
  <c r="L46" i="29" a="1"/>
  <c r="L46" i="29" s="1"/>
  <c r="L44" i="29" a="1"/>
  <c r="L44" i="29" s="1"/>
  <c r="F41" i="29"/>
  <c r="E41" i="29" a="1"/>
  <c r="E41" i="29" l="1"/>
  <c r="H40" i="29"/>
  <c r="F40" i="29"/>
  <c r="F39" i="29"/>
  <c r="Q4" i="29" a="1"/>
  <c r="Q4" i="29" s="1"/>
  <c r="Q5" i="29" a="1"/>
  <c r="Q5" i="29" s="1"/>
  <c r="Q6" i="29" a="1"/>
  <c r="Q6" i="29" s="1"/>
  <c r="Q7" i="29" a="1"/>
  <c r="Q7" i="29" s="1"/>
  <c r="Q8" i="29" a="1"/>
  <c r="Q8" i="29" s="1"/>
  <c r="Q9" i="29" a="1"/>
  <c r="Q9" i="29" s="1"/>
  <c r="Q10" i="29" a="1"/>
  <c r="Q10" i="29" s="1"/>
  <c r="Q11" i="29" a="1"/>
  <c r="Q11" i="29" s="1"/>
  <c r="Q12" i="29" a="1"/>
  <c r="Q12" i="29" s="1"/>
  <c r="Q13" i="29" a="1"/>
  <c r="Q13" i="29" s="1"/>
  <c r="Q14" i="29" a="1"/>
  <c r="Q14" i="29" s="1"/>
  <c r="Q15" i="29" a="1"/>
  <c r="Q15" i="29" s="1"/>
  <c r="Q16" i="29" a="1"/>
  <c r="Q16" i="29" s="1"/>
  <c r="Q17" i="29" a="1"/>
  <c r="Q17" i="29" s="1"/>
  <c r="Q18" i="29" a="1"/>
  <c r="Q18" i="29" s="1"/>
  <c r="Q19" i="29" a="1"/>
  <c r="Q19" i="29" s="1"/>
  <c r="Q20" i="29" a="1"/>
  <c r="Q20" i="29" s="1"/>
  <c r="Q21" i="29" a="1"/>
  <c r="Q21" i="29" s="1"/>
  <c r="Q22" i="29" a="1"/>
  <c r="Q22" i="29" s="1"/>
  <c r="Q23" i="29" a="1"/>
  <c r="Q23" i="29" s="1"/>
  <c r="Q24" i="29" a="1"/>
  <c r="Q24" i="29" s="1"/>
  <c r="Q25" i="29" a="1"/>
  <c r="Q25" i="29" s="1"/>
  <c r="Q27" i="29" a="1"/>
  <c r="Q27" i="29" s="1"/>
  <c r="Q28" i="29" a="1"/>
  <c r="Q28" i="29" s="1"/>
  <c r="Q29" i="29" a="1"/>
  <c r="Q29" i="29" s="1"/>
  <c r="Q30" i="29" a="1"/>
  <c r="Q30" i="29" s="1"/>
  <c r="Q31" i="29" a="1"/>
  <c r="Q31" i="29" s="1"/>
  <c r="Q32" i="29" a="1"/>
  <c r="Q32" i="29" s="1"/>
  <c r="Q33" i="29" a="1"/>
  <c r="Q33" i="29" s="1"/>
  <c r="Q34" i="29" a="1"/>
  <c r="Q34" i="29" s="1"/>
  <c r="Q35" i="29" a="1"/>
  <c r="Q35" i="29" s="1"/>
  <c r="Q52" i="29" a="1"/>
  <c r="Q52" i="29" s="1"/>
  <c r="Q53" i="29" a="1"/>
  <c r="Q53" i="29" s="1"/>
  <c r="Q54" i="29" a="1"/>
  <c r="Q54" i="29" s="1"/>
  <c r="Q55" i="29" a="1"/>
  <c r="Q55" i="29" s="1"/>
  <c r="Q56" i="29" a="1"/>
  <c r="Q56" i="29" s="1"/>
  <c r="Q57" i="29" a="1"/>
  <c r="Q57" i="29" s="1"/>
  <c r="Q58" i="29" a="1"/>
  <c r="Q58" i="29" s="1"/>
  <c r="H38" i="29"/>
  <c r="F38" i="29"/>
  <c r="F36" i="29"/>
  <c r="O4" i="29" a="1"/>
  <c r="O4" i="29" s="1"/>
  <c r="O5" i="29" s="1" a="1"/>
  <c r="O5" i="29" s="1"/>
  <c r="O6" i="29" s="1" a="1"/>
  <c r="O6" i="29" s="1"/>
  <c r="O7" i="29" s="1" a="1"/>
  <c r="O7" i="29" s="1"/>
  <c r="O8" i="29" s="1" a="1"/>
  <c r="O8" i="29" s="1"/>
  <c r="O9" i="29" s="1" a="1"/>
  <c r="O9" i="29" s="1"/>
  <c r="O10" i="29" s="1" a="1"/>
  <c r="O10" i="29" s="1"/>
  <c r="O11" i="29" s="1" a="1"/>
  <c r="O11" i="29" s="1"/>
  <c r="O12" i="29" s="1" a="1"/>
  <c r="O12" i="29" s="1"/>
  <c r="O13" i="29" s="1" a="1"/>
  <c r="O13" i="29" s="1"/>
  <c r="O14" i="29" s="1" a="1"/>
  <c r="O14" i="29" s="1"/>
  <c r="O15" i="29" s="1" a="1"/>
  <c r="O15" i="29" s="1"/>
  <c r="O16" i="29" s="1" a="1"/>
  <c r="O16" i="29" s="1"/>
  <c r="O17" i="29" s="1" a="1"/>
  <c r="O17" i="29" s="1"/>
  <c r="O18" i="29" s="1" a="1"/>
  <c r="O18" i="29" s="1"/>
  <c r="O19" i="29" s="1" a="1"/>
  <c r="O19" i="29" s="1"/>
  <c r="O20" i="29" s="1" a="1"/>
  <c r="O20" i="29" s="1"/>
  <c r="O21" i="29" s="1" a="1"/>
  <c r="O21" i="29" s="1"/>
  <c r="O22" i="29" s="1" a="1"/>
  <c r="O22" i="29" s="1"/>
  <c r="O23" i="29" s="1" a="1"/>
  <c r="O23" i="29" s="1"/>
  <c r="O24" i="29" s="1" a="1"/>
  <c r="O24" i="29" s="1"/>
  <c r="O25" i="29" s="1" a="1"/>
  <c r="O25" i="29" s="1"/>
  <c r="O26" i="29" s="1" a="1"/>
  <c r="O26" i="29" s="1"/>
  <c r="O27" i="29" s="1" a="1"/>
  <c r="O27" i="29" s="1"/>
  <c r="O28" i="29" s="1" a="1"/>
  <c r="O28" i="29" s="1"/>
  <c r="O29" i="29" s="1" a="1"/>
  <c r="O29" i="29" s="1"/>
  <c r="O30" i="29" s="1" a="1"/>
  <c r="O30" i="29" s="1"/>
  <c r="O31" i="29" s="1" a="1"/>
  <c r="O31" i="29" s="1"/>
  <c r="O32" i="29" s="1" a="1"/>
  <c r="O32" i="29" s="1"/>
  <c r="O33" i="29" s="1" a="1"/>
  <c r="O33" i="29" s="1"/>
  <c r="O34" i="29" s="1" a="1"/>
  <c r="O34" i="29" s="1"/>
  <c r="O35" i="29" s="1" a="1"/>
  <c r="O35" i="29" s="1"/>
  <c r="O36" i="29" s="1" a="1"/>
  <c r="O36" i="29" s="1"/>
  <c r="O37" i="29" s="1" a="1"/>
  <c r="O37" i="29" s="1"/>
  <c r="O38" i="29" s="1" a="1"/>
  <c r="O38" i="29" s="1"/>
  <c r="O39" i="29" s="1" a="1"/>
  <c r="O39" i="29" s="1"/>
  <c r="O40" i="29" s="1" a="1"/>
  <c r="O40" i="29" s="1"/>
  <c r="O41" i="29" s="1" a="1"/>
  <c r="O41" i="29" s="1"/>
  <c r="O42" i="29" s="1" a="1"/>
  <c r="O42" i="29" s="1"/>
  <c r="O43" i="29" s="1" a="1"/>
  <c r="O43" i="29" s="1"/>
  <c r="O44" i="29" s="1" a="1"/>
  <c r="O44" i="29" s="1"/>
  <c r="O45" i="29" s="1" a="1"/>
  <c r="O45" i="29" s="1"/>
  <c r="O46" i="29" s="1" a="1"/>
  <c r="O46" i="29" s="1"/>
  <c r="AC33" i="3" a="1"/>
  <c r="AC33" i="3" s="1"/>
  <c r="AC61" i="3" a="1"/>
  <c r="AC61" i="3" s="1"/>
  <c r="AC62" i="3" a="1"/>
  <c r="AC62" i="3" s="1"/>
  <c r="AC63" i="3" a="1"/>
  <c r="AC63" i="3" s="1"/>
  <c r="AC64" i="3" a="1"/>
  <c r="AC64" i="3" s="1"/>
  <c r="AC65" i="3" a="1"/>
  <c r="AC65" i="3" s="1"/>
  <c r="AC66" i="3" a="1"/>
  <c r="AC66" i="3" s="1"/>
  <c r="AC67" i="3" a="1"/>
  <c r="AC67" i="3" s="1"/>
  <c r="AC68" i="3" a="1"/>
  <c r="AC68" i="3" s="1"/>
  <c r="AC69" i="3" a="1"/>
  <c r="AC69" i="3" s="1"/>
  <c r="AC70" i="3" a="1"/>
  <c r="AC70" i="3" s="1"/>
  <c r="AC71" i="3" a="1"/>
  <c r="AC71" i="3" s="1"/>
  <c r="AC72" i="3" a="1"/>
  <c r="AC72" i="3" s="1"/>
  <c r="AC73" i="3" a="1"/>
  <c r="AC73" i="3" s="1"/>
  <c r="AC74" i="3" a="1"/>
  <c r="AC74" i="3" s="1"/>
  <c r="AC75" i="3" a="1"/>
  <c r="AC75" i="3" s="1"/>
  <c r="AC76" i="3" a="1"/>
  <c r="AC76" i="3" s="1"/>
  <c r="AC77" i="3" a="1"/>
  <c r="AC77" i="3" s="1"/>
  <c r="AC78" i="3" a="1"/>
  <c r="AC78" i="3" s="1"/>
  <c r="AC79" i="3" a="1"/>
  <c r="AC79" i="3" s="1"/>
  <c r="AC80" i="3" a="1"/>
  <c r="AC80" i="3" s="1"/>
  <c r="AC81" i="3" a="1"/>
  <c r="AC81" i="3" s="1"/>
  <c r="AC82" i="3" a="1"/>
  <c r="AC82" i="3" s="1"/>
  <c r="AC83" i="3" a="1"/>
  <c r="AC83" i="3" s="1"/>
  <c r="AC84" i="3" a="1"/>
  <c r="AC84" i="3" s="1"/>
  <c r="AC85" i="3" a="1"/>
  <c r="AC85" i="3" s="1"/>
  <c r="AC86" i="3" a="1"/>
  <c r="AC86" i="3" s="1"/>
  <c r="AC87" i="3" a="1"/>
  <c r="AC87" i="3" s="1"/>
  <c r="AC88" i="3" a="1"/>
  <c r="AC88" i="3" s="1"/>
  <c r="AC89" i="3" a="1"/>
  <c r="AC89" i="3" s="1"/>
  <c r="AC90" i="3" a="1"/>
  <c r="AC90" i="3" s="1"/>
  <c r="AC91" i="3" a="1"/>
  <c r="AC91" i="3" s="1"/>
  <c r="AC92" i="3" a="1"/>
  <c r="AC92" i="3" s="1"/>
  <c r="AC93" i="3" a="1"/>
  <c r="AC93" i="3" s="1"/>
  <c r="AC94" i="3" a="1"/>
  <c r="AC94" i="3" s="1"/>
  <c r="AC95" i="3" a="1"/>
  <c r="AC95" i="3" s="1"/>
  <c r="AC96" i="3" a="1"/>
  <c r="AC96" i="3" s="1"/>
  <c r="AC97" i="3" a="1"/>
  <c r="AC97" i="3" s="1"/>
  <c r="AC98" i="3" a="1"/>
  <c r="AC98" i="3" s="1"/>
  <c r="AC99" i="3" a="1"/>
  <c r="AC99" i="3" s="1"/>
  <c r="AC100" i="3" a="1"/>
  <c r="AC100" i="3" s="1"/>
  <c r="AC101" i="3" a="1"/>
  <c r="AC101" i="3" s="1"/>
  <c r="AC102" i="3" a="1"/>
  <c r="AC102" i="3" s="1"/>
  <c r="AC103" i="3" a="1"/>
  <c r="AC103" i="3" s="1"/>
  <c r="H35" i="29"/>
  <c r="F35" i="29"/>
  <c r="H33" i="29"/>
  <c r="F33" i="29"/>
  <c r="F32" i="29"/>
  <c r="F30" i="29"/>
  <c r="F28" i="29"/>
  <c r="F27" i="29"/>
  <c r="F26" i="29"/>
  <c r="F24" i="29"/>
  <c r="H21" i="29"/>
  <c r="F21" i="29"/>
  <c r="F20" i="29"/>
  <c r="F18" i="29"/>
  <c r="F16" i="29"/>
  <c r="H13" i="29"/>
  <c r="F13" i="29"/>
  <c r="H12" i="29"/>
  <c r="F12" i="29"/>
  <c r="E28" i="29" a="1"/>
  <c r="E38" i="29" a="1"/>
  <c r="E30" i="29" a="1"/>
  <c r="E36" i="29" a="1"/>
  <c r="E18" i="29" a="1"/>
  <c r="G41" i="29"/>
  <c r="E21" i="29" a="1"/>
  <c r="E13" i="29" a="1"/>
  <c r="E26" i="29" a="1"/>
  <c r="E32" i="29" a="1"/>
  <c r="E33" i="29" a="1"/>
  <c r="E16" i="29" a="1"/>
  <c r="E35" i="29" a="1"/>
  <c r="E20" i="29" a="1"/>
  <c r="E27" i="29" a="1"/>
  <c r="E39" i="29" a="1"/>
  <c r="E24" i="29" a="1"/>
  <c r="E12" i="29" a="1"/>
  <c r="E40" i="29" a="1"/>
  <c r="N97" i="3" l="1"/>
  <c r="AI97" i="3" a="1"/>
  <c r="AI97" i="3" s="1"/>
  <c r="AG97" i="3" a="1"/>
  <c r="AG97" i="3" s="1"/>
  <c r="AJ97" i="3" s="1" a="1"/>
  <c r="AJ97" i="3" s="1"/>
  <c r="AH97" i="3" a="1"/>
  <c r="AH97" i="3" s="1"/>
  <c r="N66" i="3"/>
  <c r="AH66" i="3" a="1"/>
  <c r="AH66" i="3" s="1"/>
  <c r="AI66" i="3" a="1"/>
  <c r="AI66" i="3" s="1"/>
  <c r="AG66" i="3" a="1"/>
  <c r="AG66" i="3" s="1"/>
  <c r="AJ66" i="3" s="1" a="1"/>
  <c r="AJ66" i="3" s="1"/>
  <c r="N82" i="3"/>
  <c r="AI82" i="3" a="1"/>
  <c r="AI82" i="3" s="1"/>
  <c r="AH82" i="3" a="1"/>
  <c r="AH82" i="3" s="1"/>
  <c r="AG82" i="3" a="1"/>
  <c r="AG82" i="3" s="1"/>
  <c r="AJ82" i="3" s="1" a="1"/>
  <c r="AJ82" i="3" s="1"/>
  <c r="N95" i="3"/>
  <c r="AG95" i="3" a="1"/>
  <c r="AG95" i="3" s="1"/>
  <c r="AJ95" i="3" s="1" a="1"/>
  <c r="AJ95" i="3" s="1"/>
  <c r="AH95" i="3" a="1"/>
  <c r="AH95" i="3" s="1"/>
  <c r="AI95" i="3" a="1"/>
  <c r="AI95" i="3" s="1"/>
  <c r="N79" i="3"/>
  <c r="AI79" i="3" a="1"/>
  <c r="AI79" i="3" s="1"/>
  <c r="AH79" i="3" a="1"/>
  <c r="AH79" i="3" s="1"/>
  <c r="AG79" i="3" a="1"/>
  <c r="AG79" i="3" s="1"/>
  <c r="AJ79" i="3" s="1" a="1"/>
  <c r="AJ79" i="3" s="1"/>
  <c r="N64" i="3"/>
  <c r="AH64" i="3" a="1"/>
  <c r="AH64" i="3" s="1"/>
  <c r="AI64" i="3" a="1"/>
  <c r="AI64" i="3" s="1"/>
  <c r="AG64" i="3" a="1"/>
  <c r="AG64" i="3" s="1"/>
  <c r="AJ64" i="3" s="1" a="1"/>
  <c r="AJ64" i="3" s="1"/>
  <c r="N90" i="3"/>
  <c r="AI90" i="3" a="1"/>
  <c r="AI90" i="3" s="1"/>
  <c r="AH90" i="3" a="1"/>
  <c r="AH90" i="3" s="1"/>
  <c r="AG90" i="3" a="1"/>
  <c r="AG90" i="3" s="1"/>
  <c r="AJ90" i="3" s="1" a="1"/>
  <c r="AJ90" i="3" s="1"/>
  <c r="N76" i="3"/>
  <c r="AI76" i="3" a="1"/>
  <c r="AI76" i="3" s="1"/>
  <c r="AH76" i="3" a="1"/>
  <c r="AH76" i="3" s="1"/>
  <c r="AG76" i="3" a="1"/>
  <c r="AG76" i="3" s="1"/>
  <c r="AJ76" i="3" s="1" a="1"/>
  <c r="AJ76" i="3" s="1"/>
  <c r="N62" i="3"/>
  <c r="AH62" i="3" a="1"/>
  <c r="AH62" i="3" s="1"/>
  <c r="AI62" i="3" a="1"/>
  <c r="AI62" i="3" s="1"/>
  <c r="AG62" i="3" a="1"/>
  <c r="AG62" i="3" s="1"/>
  <c r="AJ62" i="3" s="1" a="1"/>
  <c r="AJ62" i="3" s="1"/>
  <c r="N69" i="3"/>
  <c r="AG69" i="3" a="1"/>
  <c r="AG69" i="3" s="1"/>
  <c r="AJ69" i="3" s="1" a="1"/>
  <c r="AJ69" i="3" s="1"/>
  <c r="AH69" i="3" a="1"/>
  <c r="AH69" i="3" s="1"/>
  <c r="AI69" i="3" a="1"/>
  <c r="AI69" i="3" s="1"/>
  <c r="N94" i="3"/>
  <c r="AH94" i="3" a="1"/>
  <c r="AH94" i="3" s="1"/>
  <c r="AI94" i="3" a="1"/>
  <c r="AI94" i="3" s="1"/>
  <c r="AG94" i="3" a="1"/>
  <c r="AG94" i="3" s="1"/>
  <c r="AJ94" i="3" s="1" a="1"/>
  <c r="AJ94" i="3" s="1"/>
  <c r="N63" i="3"/>
  <c r="AH63" i="3" a="1"/>
  <c r="AH63" i="3" s="1"/>
  <c r="AI63" i="3" a="1"/>
  <c r="AI63" i="3" s="1"/>
  <c r="AG63" i="3" a="1"/>
  <c r="AG63" i="3" s="1"/>
  <c r="AJ63" i="3" s="1" a="1"/>
  <c r="AJ63" i="3" s="1"/>
  <c r="N61" i="3"/>
  <c r="AI61" i="3" a="1"/>
  <c r="AI61" i="3" s="1"/>
  <c r="AG61" i="3" a="1"/>
  <c r="AG61" i="3" s="1"/>
  <c r="AJ61" i="3" s="1" a="1"/>
  <c r="AJ61" i="3" s="1"/>
  <c r="AH61" i="3" a="1"/>
  <c r="AH61" i="3" s="1"/>
  <c r="N67" i="3"/>
  <c r="AH67" i="3" a="1"/>
  <c r="AH67" i="3" s="1"/>
  <c r="AI67" i="3" a="1"/>
  <c r="AI67" i="3" s="1"/>
  <c r="AG67" i="3" a="1"/>
  <c r="AG67" i="3" s="1"/>
  <c r="AJ67" i="3" s="1" a="1"/>
  <c r="AJ67" i="3" s="1"/>
  <c r="N80" i="3"/>
  <c r="AI80" i="3" a="1"/>
  <c r="AI80" i="3" s="1"/>
  <c r="AH80" i="3" a="1"/>
  <c r="AH80" i="3" s="1"/>
  <c r="AG80" i="3" a="1"/>
  <c r="AG80" i="3" s="1"/>
  <c r="AJ80" i="3" s="1" a="1"/>
  <c r="AJ80" i="3" s="1"/>
  <c r="N77" i="3"/>
  <c r="AG77" i="3" a="1"/>
  <c r="AG77" i="3" s="1"/>
  <c r="AJ77" i="3" s="1" a="1"/>
  <c r="AJ77" i="3" s="1"/>
  <c r="AI77" i="3" a="1"/>
  <c r="AI77" i="3" s="1"/>
  <c r="AH77" i="3" a="1"/>
  <c r="AH77" i="3" s="1"/>
  <c r="N103" i="3"/>
  <c r="AH103" i="3" a="1"/>
  <c r="AH103" i="3" s="1"/>
  <c r="AI103" i="3" a="1"/>
  <c r="AI103" i="3" s="1"/>
  <c r="AG103" i="3" a="1"/>
  <c r="AG103" i="3" s="1"/>
  <c r="AJ103" i="3" s="1" a="1"/>
  <c r="AJ103" i="3" s="1"/>
  <c r="N74" i="3"/>
  <c r="AI74" i="3" a="1"/>
  <c r="AI74" i="3" s="1"/>
  <c r="AH74" i="3" a="1"/>
  <c r="AH74" i="3" s="1"/>
  <c r="AG74" i="3" a="1"/>
  <c r="AG74" i="3" s="1"/>
  <c r="AJ74" i="3" s="1" a="1"/>
  <c r="AJ74" i="3" s="1"/>
  <c r="N33" i="3"/>
  <c r="AI33" i="3" a="1"/>
  <c r="AI33" i="3" s="1"/>
  <c r="AG33" i="3" a="1"/>
  <c r="AG33" i="3" s="1"/>
  <c r="AJ33" i="3" s="1" a="1"/>
  <c r="AJ33" i="3" s="1"/>
  <c r="AH33" i="3" a="1"/>
  <c r="AH33" i="3" s="1"/>
  <c r="N96" i="3"/>
  <c r="AI96" i="3" a="1"/>
  <c r="AI96" i="3" s="1"/>
  <c r="AG96" i="3" a="1"/>
  <c r="AG96" i="3" s="1"/>
  <c r="AJ96" i="3" s="1" a="1"/>
  <c r="AJ96" i="3" s="1"/>
  <c r="AH96" i="3" a="1"/>
  <c r="AH96" i="3" s="1"/>
  <c r="N81" i="3"/>
  <c r="AI81" i="3" a="1"/>
  <c r="AI81" i="3" s="1"/>
  <c r="AH81" i="3" a="1"/>
  <c r="AH81" i="3" s="1"/>
  <c r="AG81" i="3" a="1"/>
  <c r="AG81" i="3" s="1"/>
  <c r="AJ81" i="3" s="1" a="1"/>
  <c r="AJ81" i="3" s="1"/>
  <c r="N75" i="3"/>
  <c r="AI75" i="3" a="1"/>
  <c r="AI75" i="3" s="1"/>
  <c r="AH75" i="3" a="1"/>
  <c r="AH75" i="3" s="1"/>
  <c r="AG75" i="3" a="1"/>
  <c r="AG75" i="3" s="1"/>
  <c r="AJ75" i="3" s="1" a="1"/>
  <c r="AJ75" i="3" s="1"/>
  <c r="N88" i="3"/>
  <c r="AI88" i="3" a="1"/>
  <c r="AI88" i="3" s="1"/>
  <c r="AH88" i="3" a="1"/>
  <c r="AH88" i="3" s="1"/>
  <c r="AG88" i="3" a="1"/>
  <c r="AG88" i="3" s="1"/>
  <c r="AJ88" i="3" s="1" a="1"/>
  <c r="AJ88" i="3" s="1"/>
  <c r="N72" i="3"/>
  <c r="AI72" i="3" a="1"/>
  <c r="AI72" i="3" s="1"/>
  <c r="AH72" i="3" a="1"/>
  <c r="AH72" i="3" s="1"/>
  <c r="AG72" i="3" a="1"/>
  <c r="AG72" i="3" s="1"/>
  <c r="AJ72" i="3" s="1" a="1"/>
  <c r="AJ72" i="3" s="1"/>
  <c r="N93" i="3"/>
  <c r="AI93" i="3" a="1"/>
  <c r="AI93" i="3" s="1"/>
  <c r="AG93" i="3" a="1"/>
  <c r="AG93" i="3" s="1"/>
  <c r="AJ93" i="3" s="1" a="1"/>
  <c r="AJ93" i="3" s="1"/>
  <c r="AH93" i="3" a="1"/>
  <c r="AH93" i="3" s="1"/>
  <c r="N102" i="3"/>
  <c r="AH102" i="3" a="1"/>
  <c r="AH102" i="3" s="1"/>
  <c r="AI102" i="3" a="1"/>
  <c r="AI102" i="3" s="1"/>
  <c r="AG102" i="3" a="1"/>
  <c r="AG102" i="3" s="1"/>
  <c r="AJ102" i="3" s="1" a="1"/>
  <c r="AJ102" i="3" s="1"/>
  <c r="N101" i="3"/>
  <c r="AI101" i="3" a="1"/>
  <c r="AI101" i="3" s="1"/>
  <c r="AG101" i="3" a="1"/>
  <c r="AG101" i="3" s="1"/>
  <c r="AJ101" i="3" s="1" a="1"/>
  <c r="AJ101" i="3" s="1"/>
  <c r="AH101" i="3" a="1"/>
  <c r="AH101" i="3" s="1"/>
  <c r="N73" i="3"/>
  <c r="AI73" i="3" a="1"/>
  <c r="AI73" i="3" s="1"/>
  <c r="AH73" i="3" a="1"/>
  <c r="AH73" i="3" s="1"/>
  <c r="AG73" i="3" a="1"/>
  <c r="AG73" i="3" s="1"/>
  <c r="AJ73" i="3" s="1" a="1"/>
  <c r="AJ73" i="3" s="1"/>
  <c r="N99" i="3"/>
  <c r="AI99" i="3" a="1"/>
  <c r="AI99" i="3" s="1"/>
  <c r="AG99" i="3" a="1"/>
  <c r="AG99" i="3" s="1"/>
  <c r="AJ99" i="3" s="1" a="1"/>
  <c r="AJ99" i="3" s="1"/>
  <c r="AH99" i="3" a="1"/>
  <c r="AH99" i="3" s="1"/>
  <c r="N83" i="3"/>
  <c r="AI83" i="3" a="1"/>
  <c r="AI83" i="3" s="1"/>
  <c r="AH83" i="3" a="1"/>
  <c r="AH83" i="3" s="1"/>
  <c r="AG83" i="3" a="1"/>
  <c r="AG83" i="3" s="1"/>
  <c r="AJ83" i="3" s="1" a="1"/>
  <c r="AJ83" i="3" s="1"/>
  <c r="N68" i="3"/>
  <c r="AG68" i="3" a="1"/>
  <c r="AG68" i="3" s="1"/>
  <c r="AJ68" i="3" s="1" a="1"/>
  <c r="AJ68" i="3" s="1"/>
  <c r="AH68" i="3" a="1"/>
  <c r="AH68" i="3" s="1"/>
  <c r="AI68" i="3" a="1"/>
  <c r="AI68" i="3" s="1"/>
  <c r="N65" i="3"/>
  <c r="AH65" i="3" a="1"/>
  <c r="AH65" i="3" s="1"/>
  <c r="AI65" i="3" a="1"/>
  <c r="AI65" i="3" s="1"/>
  <c r="AG65" i="3" a="1"/>
  <c r="AG65" i="3" s="1"/>
  <c r="AJ65" i="3" s="1" a="1"/>
  <c r="AJ65" i="3" s="1"/>
  <c r="N92" i="3"/>
  <c r="AI92" i="3" a="1"/>
  <c r="AI92" i="3" s="1"/>
  <c r="AG92" i="3" a="1"/>
  <c r="AG92" i="3" s="1"/>
  <c r="AJ92" i="3" s="1" a="1"/>
  <c r="AJ92" i="3" s="1"/>
  <c r="AH92" i="3" a="1"/>
  <c r="AH92" i="3" s="1"/>
  <c r="N78" i="3"/>
  <c r="AH78" i="3" a="1"/>
  <c r="AH78" i="3" s="1"/>
  <c r="AG78" i="3" a="1"/>
  <c r="AG78" i="3" s="1"/>
  <c r="AJ78" i="3" s="1" a="1"/>
  <c r="AJ78" i="3" s="1"/>
  <c r="AI78" i="3" a="1"/>
  <c r="AI78" i="3" s="1"/>
  <c r="N91" i="3"/>
  <c r="AI91" i="3" a="1"/>
  <c r="AI91" i="3" s="1"/>
  <c r="AH91" i="3" a="1"/>
  <c r="AH91" i="3" s="1"/>
  <c r="AG91" i="3" a="1"/>
  <c r="AG91" i="3" s="1"/>
  <c r="AJ91" i="3" s="1" a="1"/>
  <c r="AJ91" i="3" s="1"/>
  <c r="N89" i="3"/>
  <c r="AI89" i="3" a="1"/>
  <c r="AI89" i="3" s="1"/>
  <c r="AH89" i="3" a="1"/>
  <c r="AH89" i="3" s="1"/>
  <c r="AG89" i="3" a="1"/>
  <c r="AG89" i="3" s="1"/>
  <c r="AJ89" i="3" s="1" a="1"/>
  <c r="AJ89" i="3" s="1"/>
  <c r="N87" i="3"/>
  <c r="AI87" i="3" a="1"/>
  <c r="AI87" i="3" s="1"/>
  <c r="AH87" i="3" a="1"/>
  <c r="AH87" i="3" s="1"/>
  <c r="AG87" i="3" a="1"/>
  <c r="AG87" i="3" s="1"/>
  <c r="AJ87" i="3" s="1" a="1"/>
  <c r="AJ87" i="3" s="1"/>
  <c r="N100" i="3"/>
  <c r="AI100" i="3" a="1"/>
  <c r="AI100" i="3" s="1"/>
  <c r="AG100" i="3" a="1"/>
  <c r="AG100" i="3" s="1"/>
  <c r="AJ100" i="3" s="1" a="1"/>
  <c r="AJ100" i="3" s="1"/>
  <c r="AH100" i="3" a="1"/>
  <c r="AH100" i="3" s="1"/>
  <c r="N86" i="3"/>
  <c r="AH86" i="3" a="1"/>
  <c r="AH86" i="3" s="1"/>
  <c r="AG86" i="3" a="1"/>
  <c r="AG86" i="3" s="1"/>
  <c r="AJ86" i="3" s="1" a="1"/>
  <c r="AJ86" i="3" s="1"/>
  <c r="AI86" i="3" a="1"/>
  <c r="AI86" i="3" s="1"/>
  <c r="N85" i="3"/>
  <c r="AI85" i="3" a="1"/>
  <c r="AI85" i="3" s="1"/>
  <c r="AH85" i="3" a="1"/>
  <c r="AH85" i="3" s="1"/>
  <c r="AG85" i="3" a="1"/>
  <c r="AG85" i="3" s="1"/>
  <c r="AJ85" i="3" s="1" a="1"/>
  <c r="AJ85" i="3" s="1"/>
  <c r="N71" i="3"/>
  <c r="AI71" i="3" a="1"/>
  <c r="AI71" i="3" s="1"/>
  <c r="AH71" i="3" a="1"/>
  <c r="AH71" i="3" s="1"/>
  <c r="AG71" i="3" a="1"/>
  <c r="AG71" i="3" s="1"/>
  <c r="AJ71" i="3" s="1" a="1"/>
  <c r="AJ71" i="3" s="1"/>
  <c r="N98" i="3"/>
  <c r="AI98" i="3" a="1"/>
  <c r="AI98" i="3" s="1"/>
  <c r="AG98" i="3" a="1"/>
  <c r="AG98" i="3" s="1"/>
  <c r="AJ98" i="3" s="1" a="1"/>
  <c r="AJ98" i="3" s="1"/>
  <c r="AH98" i="3" a="1"/>
  <c r="AH98" i="3" s="1"/>
  <c r="N84" i="3"/>
  <c r="AI84" i="3" a="1"/>
  <c r="AI84" i="3" s="1"/>
  <c r="AH84" i="3" a="1"/>
  <c r="AH84" i="3" s="1"/>
  <c r="AG84" i="3" a="1"/>
  <c r="AG84" i="3" s="1"/>
  <c r="AJ84" i="3" s="1" a="1"/>
  <c r="AJ84" i="3" s="1"/>
  <c r="N70" i="3"/>
  <c r="AH70" i="3" a="1"/>
  <c r="AH70" i="3" s="1"/>
  <c r="AI70" i="3" a="1"/>
  <c r="AI70" i="3" s="1"/>
  <c r="AG70" i="3" a="1"/>
  <c r="AG70" i="3" s="1"/>
  <c r="AJ70" i="3" s="1" a="1"/>
  <c r="AJ70" i="3" s="1"/>
  <c r="O47" i="29" a="1"/>
  <c r="O47" i="29" s="1"/>
  <c r="O48" i="29" s="1" a="1"/>
  <c r="O48" i="29" s="1"/>
  <c r="AK85" i="3" a="1"/>
  <c r="AK85" i="3" s="1"/>
  <c r="AK76" i="3" a="1"/>
  <c r="AK76" i="3" s="1"/>
  <c r="AK93" i="3" a="1"/>
  <c r="AK93" i="3" s="1"/>
  <c r="AK90" i="3" a="1"/>
  <c r="AK90" i="3" s="1"/>
  <c r="AK72" i="3" a="1"/>
  <c r="AK72" i="3" s="1"/>
  <c r="AK74" i="3" a="1"/>
  <c r="AK74" i="3" s="1"/>
  <c r="AK88" i="3" a="1"/>
  <c r="AK88" i="3" s="1"/>
  <c r="AK103" i="3" a="1"/>
  <c r="AK103" i="3" s="1"/>
  <c r="AK87" i="3" a="1"/>
  <c r="AK87" i="3" s="1"/>
  <c r="AK71" i="3" a="1"/>
  <c r="AK71" i="3" s="1"/>
  <c r="AK84" i="3" a="1"/>
  <c r="AK84" i="3" s="1"/>
  <c r="AK70" i="3" a="1"/>
  <c r="AK70" i="3" s="1"/>
  <c r="AK83" i="3" a="1"/>
  <c r="AK83" i="3" s="1"/>
  <c r="AK33" i="3" a="1"/>
  <c r="AK33" i="3" s="1"/>
  <c r="AK102" i="3" a="1"/>
  <c r="AK102" i="3" s="1"/>
  <c r="AK86" i="3" a="1"/>
  <c r="AK86" i="3" s="1"/>
  <c r="AK101" i="3" a="1"/>
  <c r="AK101" i="3" s="1"/>
  <c r="AK69" i="3" a="1"/>
  <c r="AK69" i="3" s="1"/>
  <c r="AK68" i="3" a="1"/>
  <c r="AK68" i="3" s="1"/>
  <c r="AK61" i="3" a="1"/>
  <c r="AK61" i="3" s="1"/>
  <c r="AK75" i="3" a="1"/>
  <c r="AK75" i="3" s="1"/>
  <c r="AK100" i="3" a="1"/>
  <c r="AK100" i="3" s="1"/>
  <c r="AK98" i="3" a="1"/>
  <c r="AK98" i="3" s="1"/>
  <c r="AK82" i="3" a="1"/>
  <c r="AK82" i="3" s="1"/>
  <c r="AK66" i="3" a="1"/>
  <c r="AK66" i="3" s="1"/>
  <c r="AK77" i="3" a="1"/>
  <c r="AK77" i="3" s="1"/>
  <c r="AK91" i="3" a="1"/>
  <c r="AK91" i="3" s="1"/>
  <c r="AK89" i="3" a="1"/>
  <c r="AK89" i="3" s="1"/>
  <c r="AK99" i="3" a="1"/>
  <c r="AK99" i="3" s="1"/>
  <c r="AK67" i="3" a="1"/>
  <c r="AK67" i="3" s="1"/>
  <c r="AK97" i="3" a="1"/>
  <c r="AK97" i="3" s="1"/>
  <c r="AK81" i="3" a="1"/>
  <c r="AK81" i="3" s="1"/>
  <c r="AK65" i="3" a="1"/>
  <c r="AK65" i="3" s="1"/>
  <c r="AK96" i="3" a="1"/>
  <c r="AK96" i="3" s="1"/>
  <c r="AK92" i="3" a="1"/>
  <c r="AK92" i="3" s="1"/>
  <c r="AK73" i="3" a="1"/>
  <c r="AK73" i="3" s="1"/>
  <c r="AK80" i="3" a="1"/>
  <c r="AK80" i="3" s="1"/>
  <c r="AK64" i="3" a="1"/>
  <c r="AK64" i="3" s="1"/>
  <c r="AK95" i="3" a="1"/>
  <c r="AK95" i="3" s="1"/>
  <c r="AK79" i="3" a="1"/>
  <c r="AK79" i="3" s="1"/>
  <c r="AK63" i="3" a="1"/>
  <c r="AK63" i="3" s="1"/>
  <c r="AK94" i="3" a="1"/>
  <c r="AK94" i="3" s="1"/>
  <c r="AK78" i="3" a="1"/>
  <c r="AK78" i="3" s="1"/>
  <c r="AK62" i="3" a="1"/>
  <c r="AK62" i="3" s="1"/>
  <c r="E40" i="29"/>
  <c r="E39" i="29"/>
  <c r="E38" i="29"/>
  <c r="E36" i="29"/>
  <c r="E35" i="29"/>
  <c r="E33" i="29"/>
  <c r="E32" i="29"/>
  <c r="E30" i="29"/>
  <c r="E28" i="29"/>
  <c r="E27" i="29"/>
  <c r="E26" i="29"/>
  <c r="E24" i="29"/>
  <c r="E21" i="29"/>
  <c r="E20" i="29"/>
  <c r="E18" i="29"/>
  <c r="E16" i="29"/>
  <c r="E13" i="29"/>
  <c r="E12" i="29"/>
  <c r="F10" i="29"/>
  <c r="H8" i="29"/>
  <c r="F8" i="29"/>
  <c r="D4" i="29"/>
  <c r="R4" i="29" s="1" a="1"/>
  <c r="R4" i="29" s="1"/>
  <c r="D5" i="29"/>
  <c r="D6" i="29"/>
  <c r="D7" i="29"/>
  <c r="D8" i="29"/>
  <c r="D9" i="29"/>
  <c r="D10" i="29"/>
  <c r="D11" i="29"/>
  <c r="D12" i="29"/>
  <c r="D13" i="29"/>
  <c r="D14" i="29"/>
  <c r="D15" i="29"/>
  <c r="D16" i="29"/>
  <c r="D17" i="29"/>
  <c r="D18" i="29"/>
  <c r="D19" i="29"/>
  <c r="D20" i="29"/>
  <c r="D21" i="29"/>
  <c r="D22" i="29"/>
  <c r="D23" i="29"/>
  <c r="D24" i="29"/>
  <c r="D25" i="29"/>
  <c r="D26" i="29"/>
  <c r="D27" i="29"/>
  <c r="D28" i="29"/>
  <c r="D29" i="29"/>
  <c r="D30" i="29"/>
  <c r="D31" i="29"/>
  <c r="D32" i="29"/>
  <c r="D33" i="29"/>
  <c r="D34" i="29"/>
  <c r="D35" i="29"/>
  <c r="D36" i="29"/>
  <c r="D37" i="29"/>
  <c r="D38" i="29"/>
  <c r="D39" i="29"/>
  <c r="D40" i="29"/>
  <c r="D41" i="29"/>
  <c r="D42" i="29"/>
  <c r="D43" i="29"/>
  <c r="D44" i="29"/>
  <c r="D45" i="29"/>
  <c r="D46" i="29"/>
  <c r="D48" i="29"/>
  <c r="D50" i="29"/>
  <c r="D51" i="29"/>
  <c r="D52" i="29"/>
  <c r="D53" i="29"/>
  <c r="D54" i="29"/>
  <c r="D55" i="29"/>
  <c r="D56" i="29"/>
  <c r="D57" i="29"/>
  <c r="D58" i="29"/>
  <c r="G4" i="29"/>
  <c r="G5" i="29"/>
  <c r="G6" i="29"/>
  <c r="G22" i="29"/>
  <c r="G23" i="29"/>
  <c r="G19" i="29"/>
  <c r="G17" i="29"/>
  <c r="G15" i="29"/>
  <c r="G14" i="29"/>
  <c r="G11" i="29"/>
  <c r="G52" i="29"/>
  <c r="G42" i="29"/>
  <c r="G51" i="29"/>
  <c r="G54" i="29"/>
  <c r="G57" i="29"/>
  <c r="G43" i="29"/>
  <c r="G56" i="29"/>
  <c r="G48" i="29"/>
  <c r="G50" i="29"/>
  <c r="G53" i="29"/>
  <c r="G40" i="29"/>
  <c r="G39" i="29"/>
  <c r="L40" i="29" l="1" a="1"/>
  <c r="L40" i="29" s="1"/>
  <c r="L39" i="29" a="1"/>
  <c r="L39" i="29" s="1"/>
  <c r="L38" i="29" a="1"/>
  <c r="L38" i="29" s="1"/>
  <c r="L36" i="29" a="1"/>
  <c r="L36" i="29" s="1"/>
  <c r="R5" i="29" a="1"/>
  <c r="R5" i="29" s="1"/>
  <c r="R6" i="29" s="1" a="1"/>
  <c r="R6" i="29" s="1"/>
  <c r="R7" i="29" s="1" a="1"/>
  <c r="R7" i="29" s="1"/>
  <c r="R8" i="29" s="1" a="1"/>
  <c r="R8" i="29" s="1"/>
  <c r="R9" i="29" s="1" a="1"/>
  <c r="R9" i="29" s="1"/>
  <c r="R10" i="29" s="1" a="1"/>
  <c r="R10" i="29" s="1"/>
  <c r="R11" i="29" s="1" a="1"/>
  <c r="R11" i="29" s="1"/>
  <c r="R12" i="29" s="1" a="1"/>
  <c r="R12" i="29" s="1"/>
  <c r="R13" i="29" s="1" a="1"/>
  <c r="R13" i="29" s="1"/>
  <c r="R14" i="29" s="1" a="1"/>
  <c r="R14" i="29" s="1"/>
  <c r="R15" i="29" s="1" a="1"/>
  <c r="R15" i="29" s="1"/>
  <c r="R16" i="29" s="1" a="1"/>
  <c r="R16" i="29" s="1"/>
  <c r="R17" i="29" s="1" a="1"/>
  <c r="R17" i="29" s="1"/>
  <c r="R18" i="29" s="1" a="1"/>
  <c r="R18" i="29" s="1"/>
  <c r="R19" i="29" s="1" a="1"/>
  <c r="R19" i="29" s="1"/>
  <c r="R20" i="29" s="1" a="1"/>
  <c r="R20" i="29" s="1"/>
  <c r="R21" i="29" s="1" a="1"/>
  <c r="R21" i="29" s="1"/>
  <c r="R22" i="29" s="1" a="1"/>
  <c r="R22" i="29" s="1"/>
  <c r="R23" i="29" s="1" a="1"/>
  <c r="R23" i="29" s="1"/>
  <c r="R24" i="29" s="1" a="1"/>
  <c r="R24" i="29" s="1"/>
  <c r="R25" i="29" s="1" a="1"/>
  <c r="R25" i="29" s="1"/>
  <c r="R26" i="29" s="1" a="1"/>
  <c r="R26" i="29" s="1"/>
  <c r="R27" i="29" s="1" a="1"/>
  <c r="R27" i="29" s="1"/>
  <c r="R28" i="29" s="1" a="1"/>
  <c r="R28" i="29" s="1"/>
  <c r="R29" i="29" s="1" a="1"/>
  <c r="R29" i="29" s="1"/>
  <c r="R30" i="29" s="1" a="1"/>
  <c r="R30" i="29" s="1"/>
  <c r="R31" i="29" s="1" a="1"/>
  <c r="R31" i="29" s="1"/>
  <c r="R32" i="29" s="1" a="1"/>
  <c r="R32" i="29" s="1"/>
  <c r="R33" i="29" s="1" a="1"/>
  <c r="R33" i="29" s="1"/>
  <c r="R34" i="29" s="1" a="1"/>
  <c r="R34" i="29" s="1"/>
  <c r="R35" i="29" s="1" a="1"/>
  <c r="R35" i="29" s="1"/>
  <c r="R36" i="29" s="1" a="1"/>
  <c r="R36" i="29" s="1"/>
  <c r="R37" i="29" s="1" a="1"/>
  <c r="R37" i="29" s="1"/>
  <c r="R38" i="29" s="1" a="1"/>
  <c r="R38" i="29" s="1"/>
  <c r="R39" i="29" s="1" a="1"/>
  <c r="R39" i="29" s="1"/>
  <c r="R40" i="29" s="1" a="1"/>
  <c r="R40" i="29" s="1"/>
  <c r="R41" i="29" s="1" a="1"/>
  <c r="R41" i="29" s="1"/>
  <c r="R42" i="29" s="1" a="1"/>
  <c r="R42" i="29" s="1"/>
  <c r="R43" i="29" s="1" a="1"/>
  <c r="R43" i="29" s="1"/>
  <c r="R44" i="29" s="1" a="1"/>
  <c r="R44" i="29" s="1"/>
  <c r="R45" i="29" s="1" a="1"/>
  <c r="R45" i="29" s="1"/>
  <c r="R46" i="29" s="1" a="1"/>
  <c r="R46" i="29" s="1"/>
  <c r="R47" i="29" s="1" a="1"/>
  <c r="R47" i="29" s="1"/>
  <c r="R48" i="29" s="1" a="1"/>
  <c r="R48" i="29" s="1"/>
  <c r="R49" i="29" s="1" a="1"/>
  <c r="R49" i="29" s="1"/>
  <c r="R50" i="29" s="1" a="1"/>
  <c r="R50" i="29" s="1"/>
  <c r="R51" i="29" s="1" a="1"/>
  <c r="R51" i="29" s="1"/>
  <c r="R52" i="29" s="1" a="1"/>
  <c r="R52" i="29" s="1"/>
  <c r="R53" i="29" s="1" a="1"/>
  <c r="R53" i="29" s="1"/>
  <c r="R54" i="29" s="1" a="1"/>
  <c r="R54" i="29" s="1"/>
  <c r="R55" i="29" s="1" a="1"/>
  <c r="R55" i="29" s="1"/>
  <c r="R56" i="29" s="1" a="1"/>
  <c r="R56" i="29" s="1"/>
  <c r="R57" i="29" s="1" a="1"/>
  <c r="R57" i="29" s="1"/>
  <c r="R58" i="29" s="1" a="1"/>
  <c r="R58" i="29" s="1"/>
  <c r="R59" i="29" s="1" a="1"/>
  <c r="R59" i="29" s="1"/>
  <c r="R60" i="29" s="1" a="1"/>
  <c r="R60" i="29" s="1"/>
  <c r="O49" i="29" a="1"/>
  <c r="O49" i="29" s="1"/>
  <c r="O50" i="29" s="1" a="1"/>
  <c r="O50" i="29" s="1"/>
  <c r="O51" i="29" s="1" a="1"/>
  <c r="O51" i="29" s="1"/>
  <c r="O52" i="29" s="1" a="1"/>
  <c r="O52" i="29" s="1"/>
  <c r="O53" i="29" s="1" a="1"/>
  <c r="O53" i="29" s="1"/>
  <c r="O54" i="29" s="1" a="1"/>
  <c r="O54" i="29" s="1"/>
  <c r="O55" i="29" s="1" a="1"/>
  <c r="O55" i="29" s="1"/>
  <c r="O56" i="29" s="1" a="1"/>
  <c r="O56" i="29" s="1"/>
  <c r="O57" i="29" s="1" a="1"/>
  <c r="O57" i="29" s="1"/>
  <c r="O58" i="29" s="1" a="1"/>
  <c r="O58" i="29" s="1"/>
  <c r="O59" i="29" s="1" a="1"/>
  <c r="O59" i="29" s="1"/>
  <c r="O60" i="29" s="1" a="1"/>
  <c r="O60" i="29" s="1"/>
  <c r="G37" i="29"/>
  <c r="G34" i="29"/>
  <c r="G31" i="29"/>
  <c r="G29" i="29"/>
  <c r="G25" i="29"/>
  <c r="G35" i="29"/>
  <c r="E7" i="29" a="1"/>
  <c r="G38" i="29"/>
  <c r="G30" i="29"/>
  <c r="G13" i="29"/>
  <c r="G20" i="29"/>
  <c r="G28" i="29"/>
  <c r="G33" i="29"/>
  <c r="G16" i="29"/>
  <c r="G36" i="29"/>
  <c r="G32" i="29"/>
  <c r="G21" i="29"/>
  <c r="G27" i="29"/>
  <c r="G26" i="29"/>
  <c r="E10" i="29" a="1"/>
  <c r="G24" i="29"/>
  <c r="G18" i="29"/>
  <c r="G12" i="29"/>
  <c r="E8" i="29" a="1"/>
  <c r="AF84" i="3" l="1" a="1"/>
  <c r="AF84" i="3" s="1"/>
  <c r="J33" i="3"/>
  <c r="AF33" i="3" a="1"/>
  <c r="AF33" i="3" s="1"/>
  <c r="AF103" i="3" a="1"/>
  <c r="AF103" i="3" s="1"/>
  <c r="AF87" i="3" a="1"/>
  <c r="AF87" i="3" s="1"/>
  <c r="AF71" i="3" a="1"/>
  <c r="AF71" i="3" s="1"/>
  <c r="AF88" i="3" a="1"/>
  <c r="AF88" i="3" s="1"/>
  <c r="AF72" i="3" a="1"/>
  <c r="AF72" i="3" s="1"/>
  <c r="AF102" i="3" a="1"/>
  <c r="AF102" i="3" s="1"/>
  <c r="AF86" i="3" a="1"/>
  <c r="AF86" i="3" s="1"/>
  <c r="AF70" i="3" a="1"/>
  <c r="AF70" i="3" s="1"/>
  <c r="AF101" i="3" a="1"/>
  <c r="AF101" i="3" s="1"/>
  <c r="AF85" i="3" a="1"/>
  <c r="AF85" i="3" s="1"/>
  <c r="AF69" i="3" a="1"/>
  <c r="AF69" i="3" s="1"/>
  <c r="J100" i="3"/>
  <c r="AF100" i="3" a="1"/>
  <c r="AF100" i="3" s="1"/>
  <c r="J68" i="3"/>
  <c r="AF68" i="3" a="1"/>
  <c r="AF68" i="3" s="1"/>
  <c r="J99" i="3"/>
  <c r="AF99" i="3" a="1"/>
  <c r="AF99" i="3" s="1"/>
  <c r="J83" i="3"/>
  <c r="AF83" i="3" a="1"/>
  <c r="AF83" i="3" s="1"/>
  <c r="J67" i="3"/>
  <c r="AF67" i="3" a="1"/>
  <c r="AF67" i="3" s="1"/>
  <c r="J98" i="3"/>
  <c r="AF98" i="3" a="1"/>
  <c r="AF98" i="3" s="1"/>
  <c r="J82" i="3"/>
  <c r="AF82" i="3" a="1"/>
  <c r="AF82" i="3" s="1"/>
  <c r="J66" i="3"/>
  <c r="AF66" i="3" a="1"/>
  <c r="AF66" i="3" s="1"/>
  <c r="J97" i="3"/>
  <c r="AF97" i="3" a="1"/>
  <c r="AF97" i="3" s="1"/>
  <c r="J81" i="3"/>
  <c r="AF81" i="3" a="1"/>
  <c r="AF81" i="3" s="1"/>
  <c r="J65" i="3"/>
  <c r="AF65" i="3" a="1"/>
  <c r="AF65" i="3" s="1"/>
  <c r="I96" i="3"/>
  <c r="AF96" i="3" a="1"/>
  <c r="AF96" i="3" s="1"/>
  <c r="I80" i="3"/>
  <c r="AF80" i="3" a="1"/>
  <c r="AF80" i="3" s="1"/>
  <c r="I64" i="3"/>
  <c r="AF64" i="3" a="1"/>
  <c r="AF64" i="3" s="1"/>
  <c r="I95" i="3"/>
  <c r="AF95" i="3" a="1"/>
  <c r="AF95" i="3" s="1"/>
  <c r="I79" i="3"/>
  <c r="AF79" i="3" a="1"/>
  <c r="AF79" i="3" s="1"/>
  <c r="I63" i="3"/>
  <c r="AF63" i="3" a="1"/>
  <c r="AF63" i="3" s="1"/>
  <c r="I94" i="3"/>
  <c r="AF94" i="3" a="1"/>
  <c r="AF94" i="3" s="1"/>
  <c r="I78" i="3"/>
  <c r="AF78" i="3" a="1"/>
  <c r="AF78" i="3" s="1"/>
  <c r="I62" i="3"/>
  <c r="AF62" i="3" a="1"/>
  <c r="AF62" i="3" s="1"/>
  <c r="I93" i="3"/>
  <c r="AF93" i="3" a="1"/>
  <c r="AF93" i="3" s="1"/>
  <c r="I77" i="3"/>
  <c r="AF77" i="3" a="1"/>
  <c r="AF77" i="3" s="1"/>
  <c r="I61" i="3"/>
  <c r="AF61" i="3" a="1"/>
  <c r="AF61" i="3" s="1"/>
  <c r="AF92" i="3" a="1"/>
  <c r="AF92" i="3" s="1"/>
  <c r="AF76" i="3" a="1"/>
  <c r="AF76" i="3" s="1"/>
  <c r="AF91" i="3" a="1"/>
  <c r="AF91" i="3" s="1"/>
  <c r="AF75" i="3" a="1"/>
  <c r="AF75" i="3" s="1"/>
  <c r="AF90" i="3" a="1"/>
  <c r="AF90" i="3" s="1"/>
  <c r="AF74" i="3" a="1"/>
  <c r="AF74" i="3" s="1"/>
  <c r="AF89" i="3" a="1"/>
  <c r="AF89" i="3" s="1"/>
  <c r="AF73" i="3" a="1"/>
  <c r="AF73" i="3" s="1"/>
  <c r="E10" i="29"/>
  <c r="E8" i="29"/>
  <c r="AD102" i="3" a="1"/>
  <c r="AD102" i="3" s="1"/>
  <c r="AE90" i="3" a="1"/>
  <c r="AE90" i="3" s="1"/>
  <c r="AD87" i="3" a="1"/>
  <c r="AD87" i="3" s="1"/>
  <c r="AD73" i="3" a="1"/>
  <c r="AD73" i="3" s="1"/>
  <c r="AE89" i="3" a="1"/>
  <c r="AE89" i="3" s="1"/>
  <c r="AE73" i="3" a="1"/>
  <c r="AE73" i="3" s="1"/>
  <c r="AD88" i="3" a="1"/>
  <c r="AD88" i="3" s="1"/>
  <c r="AD74" i="3" a="1"/>
  <c r="AD74" i="3" s="1"/>
  <c r="AE74" i="3" a="1"/>
  <c r="AE74" i="3" s="1"/>
  <c r="AD101" i="3" a="1"/>
  <c r="AD101" i="3" s="1"/>
  <c r="AD86" i="3" a="1"/>
  <c r="AD86" i="3" s="1"/>
  <c r="AD72" i="3" a="1"/>
  <c r="AD72" i="3" s="1"/>
  <c r="AE88" i="3" a="1"/>
  <c r="AE88" i="3" s="1"/>
  <c r="AE72" i="3" a="1"/>
  <c r="AE72" i="3" s="1"/>
  <c r="AD100" i="3" a="1"/>
  <c r="AD100" i="3" s="1"/>
  <c r="AD71" i="3" a="1"/>
  <c r="AD71" i="3" s="1"/>
  <c r="AE103" i="3" a="1"/>
  <c r="AE103" i="3" s="1"/>
  <c r="AE87" i="3" a="1"/>
  <c r="AE87" i="3" s="1"/>
  <c r="AE71" i="3" a="1"/>
  <c r="AE71" i="3" s="1"/>
  <c r="AD99" i="3" a="1"/>
  <c r="AD99" i="3" s="1"/>
  <c r="AD85" i="3" a="1"/>
  <c r="AD85" i="3" s="1"/>
  <c r="AD70" i="3" a="1"/>
  <c r="AD70" i="3" s="1"/>
  <c r="AE102" i="3" a="1"/>
  <c r="AE102" i="3" s="1"/>
  <c r="AE86" i="3" a="1"/>
  <c r="AE86" i="3" s="1"/>
  <c r="AE70" i="3" a="1"/>
  <c r="AE70" i="3" s="1"/>
  <c r="AD98" i="3" a="1"/>
  <c r="AD98" i="3" s="1"/>
  <c r="AD84" i="3" a="1"/>
  <c r="AD84" i="3" s="1"/>
  <c r="AE101" i="3" a="1"/>
  <c r="AE101" i="3" s="1"/>
  <c r="AE85" i="3" a="1"/>
  <c r="AE85" i="3" s="1"/>
  <c r="AE69" i="3" a="1"/>
  <c r="AE69" i="3" s="1"/>
  <c r="AD97" i="3" a="1"/>
  <c r="AD97" i="3" s="1"/>
  <c r="AD83" i="3" a="1"/>
  <c r="AD83" i="3" s="1"/>
  <c r="AD69" i="3" a="1"/>
  <c r="AD69" i="3" s="1"/>
  <c r="AE100" i="3" a="1"/>
  <c r="AE100" i="3" s="1"/>
  <c r="AE84" i="3" a="1"/>
  <c r="AE84" i="3" s="1"/>
  <c r="AE68" i="3" a="1"/>
  <c r="AE68" i="3" s="1"/>
  <c r="AD96" i="3" a="1"/>
  <c r="AD96" i="3" s="1"/>
  <c r="AD82" i="3" a="1"/>
  <c r="AD82" i="3" s="1"/>
  <c r="AD68" i="3" a="1"/>
  <c r="AD68" i="3" s="1"/>
  <c r="AE99" i="3" a="1"/>
  <c r="AE99" i="3" s="1"/>
  <c r="AE83" i="3" a="1"/>
  <c r="AE83" i="3" s="1"/>
  <c r="AE67" i="3" a="1"/>
  <c r="AE67" i="3" s="1"/>
  <c r="AD95" i="3" a="1"/>
  <c r="AD95" i="3" s="1"/>
  <c r="AD81" i="3" a="1"/>
  <c r="AD81" i="3" s="1"/>
  <c r="AD67" i="3" a="1"/>
  <c r="AD67" i="3" s="1"/>
  <c r="AE98" i="3" a="1"/>
  <c r="AE98" i="3" s="1"/>
  <c r="AE82" i="3" a="1"/>
  <c r="AE82" i="3" s="1"/>
  <c r="AE66" i="3" a="1"/>
  <c r="AE66" i="3" s="1"/>
  <c r="AE33" i="3" a="1"/>
  <c r="AE33" i="3" s="1"/>
  <c r="AD94" i="3" a="1"/>
  <c r="AD94" i="3" s="1"/>
  <c r="AD80" i="3" a="1"/>
  <c r="AD80" i="3" s="1"/>
  <c r="AD66" i="3" a="1"/>
  <c r="AD66" i="3" s="1"/>
  <c r="AE97" i="3" a="1"/>
  <c r="AE97" i="3" s="1"/>
  <c r="AE81" i="3" a="1"/>
  <c r="AE81" i="3" s="1"/>
  <c r="AE65" i="3" a="1"/>
  <c r="AE65" i="3" s="1"/>
  <c r="AD79" i="3" a="1"/>
  <c r="AD79" i="3" s="1"/>
  <c r="AD65" i="3" a="1"/>
  <c r="AD65" i="3" s="1"/>
  <c r="AE96" i="3" a="1"/>
  <c r="AE96" i="3" s="1"/>
  <c r="AE80" i="3" a="1"/>
  <c r="AE80" i="3" s="1"/>
  <c r="AE64" i="3" a="1"/>
  <c r="AE64" i="3" s="1"/>
  <c r="AD93" i="3" a="1"/>
  <c r="AD93" i="3" s="1"/>
  <c r="AD78" i="3" a="1"/>
  <c r="AD78" i="3" s="1"/>
  <c r="AD64" i="3" a="1"/>
  <c r="AD64" i="3" s="1"/>
  <c r="AE95" i="3" a="1"/>
  <c r="AE95" i="3" s="1"/>
  <c r="AE79" i="3" a="1"/>
  <c r="AE79" i="3" s="1"/>
  <c r="AE63" i="3" a="1"/>
  <c r="AE63" i="3" s="1"/>
  <c r="AD92" i="3" a="1"/>
  <c r="AD92" i="3" s="1"/>
  <c r="AD63" i="3" a="1"/>
  <c r="AD63" i="3" s="1"/>
  <c r="AD33" i="3" a="1"/>
  <c r="AD33" i="3" s="1"/>
  <c r="AE94" i="3" a="1"/>
  <c r="AE94" i="3" s="1"/>
  <c r="AE78" i="3" a="1"/>
  <c r="AE78" i="3" s="1"/>
  <c r="AE62" i="3" a="1"/>
  <c r="AE62" i="3" s="1"/>
  <c r="AD91" i="3" a="1"/>
  <c r="AD91" i="3" s="1"/>
  <c r="AD77" i="3" a="1"/>
  <c r="AD77" i="3" s="1"/>
  <c r="AD62" i="3" a="1"/>
  <c r="AD62" i="3" s="1"/>
  <c r="AE93" i="3" a="1"/>
  <c r="AE93" i="3" s="1"/>
  <c r="AE77" i="3" a="1"/>
  <c r="AE77" i="3" s="1"/>
  <c r="AE61" i="3" a="1"/>
  <c r="AE61" i="3" s="1"/>
  <c r="AD90" i="3" a="1"/>
  <c r="AD90" i="3" s="1"/>
  <c r="AD76" i="3" a="1"/>
  <c r="AD76" i="3" s="1"/>
  <c r="AE92" i="3" a="1"/>
  <c r="AE92" i="3" s="1"/>
  <c r="AE76" i="3" a="1"/>
  <c r="AE76" i="3" s="1"/>
  <c r="AD103" i="3" a="1"/>
  <c r="AD103" i="3" s="1"/>
  <c r="AD89" i="3" a="1"/>
  <c r="AD89" i="3" s="1"/>
  <c r="AD75" i="3" a="1"/>
  <c r="AD75" i="3" s="1"/>
  <c r="AD61" i="3" a="1"/>
  <c r="AD61" i="3" s="1"/>
  <c r="AE91" i="3" a="1"/>
  <c r="AE91" i="3" s="1"/>
  <c r="AE75" i="3" a="1"/>
  <c r="AE75" i="3" s="1"/>
  <c r="J96" i="3"/>
  <c r="J95" i="3"/>
  <c r="J80" i="3"/>
  <c r="J79" i="3"/>
  <c r="J64" i="3"/>
  <c r="J63" i="3"/>
  <c r="I92" i="3"/>
  <c r="I91" i="3"/>
  <c r="I76" i="3"/>
  <c r="I75" i="3"/>
  <c r="I90" i="3"/>
  <c r="I74" i="3"/>
  <c r="J94" i="3"/>
  <c r="J78" i="3"/>
  <c r="J62" i="3"/>
  <c r="I89" i="3"/>
  <c r="I73" i="3"/>
  <c r="J93" i="3"/>
  <c r="J77" i="3"/>
  <c r="J61" i="3"/>
  <c r="I88" i="3"/>
  <c r="I72" i="3"/>
  <c r="J92" i="3"/>
  <c r="J76" i="3"/>
  <c r="I103" i="3"/>
  <c r="I87" i="3"/>
  <c r="I71" i="3"/>
  <c r="J91" i="3"/>
  <c r="J75" i="3"/>
  <c r="I102" i="3"/>
  <c r="I86" i="3"/>
  <c r="I70" i="3"/>
  <c r="J90" i="3"/>
  <c r="J74" i="3"/>
  <c r="I101" i="3"/>
  <c r="I85" i="3"/>
  <c r="I69" i="3"/>
  <c r="J89" i="3"/>
  <c r="J73" i="3"/>
  <c r="I100" i="3"/>
  <c r="I84" i="3"/>
  <c r="I68" i="3"/>
  <c r="J88" i="3"/>
  <c r="J72" i="3"/>
  <c r="I99" i="3"/>
  <c r="I83" i="3"/>
  <c r="I67" i="3"/>
  <c r="I33" i="3"/>
  <c r="J103" i="3"/>
  <c r="J87" i="3"/>
  <c r="J71" i="3"/>
  <c r="I98" i="3"/>
  <c r="I82" i="3"/>
  <c r="I66" i="3"/>
  <c r="J102" i="3"/>
  <c r="J86" i="3"/>
  <c r="J70" i="3"/>
  <c r="I97" i="3"/>
  <c r="I81" i="3"/>
  <c r="I65" i="3"/>
  <c r="J101" i="3"/>
  <c r="J85" i="3"/>
  <c r="J69" i="3"/>
  <c r="J84" i="3"/>
  <c r="E7" i="29"/>
  <c r="G9" i="29"/>
  <c r="J66" i="20" l="1" a="1"/>
  <c r="J66" i="20" s="1"/>
  <c r="X66" i="20" a="1"/>
  <c r="X66" i="20" s="1"/>
  <c r="Y66" i="20"/>
  <c r="Z66" i="20"/>
  <c r="AA66" i="20"/>
  <c r="AC66" i="20"/>
  <c r="AE66" i="20" a="1"/>
  <c r="AE66" i="20" s="1"/>
  <c r="AK66" i="20"/>
  <c r="J65" i="20" a="1"/>
  <c r="J65" i="20" s="1"/>
  <c r="X65" i="20" a="1"/>
  <c r="X65" i="20" s="1"/>
  <c r="Y65" i="20"/>
  <c r="Z65" i="20"/>
  <c r="AA65" i="20"/>
  <c r="AB65" i="20"/>
  <c r="AC65" i="20"/>
  <c r="AE65" i="20" a="1"/>
  <c r="AE65" i="20" s="1"/>
  <c r="AK65" i="20"/>
  <c r="J64" i="20" a="1"/>
  <c r="J64" i="20" s="1"/>
  <c r="X64" i="20" a="1"/>
  <c r="X64" i="20" s="1"/>
  <c r="Y64" i="20"/>
  <c r="Z64" i="20"/>
  <c r="AA64" i="20"/>
  <c r="AC64" i="20"/>
  <c r="AE64" i="20" a="1"/>
  <c r="AE64" i="20" s="1"/>
  <c r="AK64" i="20"/>
  <c r="J63" i="20" a="1"/>
  <c r="J63" i="20" s="1"/>
  <c r="X63" i="20" a="1"/>
  <c r="X63" i="20" s="1"/>
  <c r="AA63" i="20"/>
  <c r="AC63" i="20"/>
  <c r="AE63" i="20" a="1"/>
  <c r="AE63" i="20" s="1"/>
  <c r="AK63" i="20"/>
  <c r="J62" i="20" a="1"/>
  <c r="J62" i="20" s="1"/>
  <c r="X62" i="20" a="1"/>
  <c r="X62" i="20" s="1"/>
  <c r="AE62" i="20" a="1"/>
  <c r="AE62" i="20" s="1"/>
  <c r="AK62" i="20"/>
  <c r="G8" i="29"/>
  <c r="G7" i="29"/>
  <c r="G10" i="29"/>
  <c r="AD65" i="20" l="1"/>
  <c r="P65" i="20" s="1"/>
  <c r="AO65" i="20" a="1"/>
  <c r="AO65" i="20" s="1"/>
  <c r="AN65" i="20" a="1"/>
  <c r="AN65" i="20" s="1"/>
  <c r="AN66" i="20" a="1"/>
  <c r="AN66" i="20" s="1"/>
  <c r="AO66" i="20" a="1"/>
  <c r="AO66" i="20" s="1"/>
  <c r="AN64" i="20" a="1"/>
  <c r="AN64" i="20" s="1"/>
  <c r="AO64" i="20" a="1"/>
  <c r="AO64" i="20" s="1"/>
  <c r="AN63" i="20" a="1"/>
  <c r="AN63" i="20" s="1"/>
  <c r="AO63" i="20" a="1"/>
  <c r="AO63" i="20" s="1"/>
  <c r="AN62" i="20" a="1"/>
  <c r="AN62" i="20" s="1"/>
  <c r="AO62" i="20" a="1"/>
  <c r="AO62" i="20" s="1"/>
  <c r="AA61" i="3" a="1"/>
  <c r="AA61" i="3" s="1"/>
  <c r="AA63" i="3" a="1"/>
  <c r="AA63" i="3" s="1"/>
  <c r="AA65" i="3" a="1"/>
  <c r="AA65" i="3" s="1"/>
  <c r="AA67" i="3" a="1"/>
  <c r="AA67" i="3" s="1"/>
  <c r="AA68" i="3" a="1"/>
  <c r="AA68" i="3" s="1"/>
  <c r="AA70" i="3" a="1"/>
  <c r="AA70" i="3" s="1"/>
  <c r="AA71" i="3" a="1"/>
  <c r="AA71" i="3" s="1"/>
  <c r="AA72" i="3" a="1"/>
  <c r="AA72" i="3" s="1"/>
  <c r="AA74" i="3" a="1"/>
  <c r="AA74" i="3" s="1"/>
  <c r="AA76" i="3" a="1"/>
  <c r="AA76" i="3" s="1"/>
  <c r="AA77" i="3" a="1"/>
  <c r="AA77" i="3" s="1"/>
  <c r="AA79" i="3" a="1"/>
  <c r="AA79" i="3" s="1"/>
  <c r="AA81" i="3" a="1"/>
  <c r="AA81" i="3" s="1"/>
  <c r="AA82" i="3" a="1"/>
  <c r="AA82" i="3" s="1"/>
  <c r="AA83" i="3" a="1"/>
  <c r="AA83" i="3" s="1"/>
  <c r="AA84" i="3" a="1"/>
  <c r="AA84" i="3" s="1"/>
  <c r="AA87" i="3" a="1"/>
  <c r="AA87" i="3" s="1"/>
  <c r="AA89" i="3" a="1"/>
  <c r="AA89" i="3" s="1"/>
  <c r="AA90" i="3" a="1"/>
  <c r="AA90" i="3" s="1"/>
  <c r="AA92" i="3" a="1"/>
  <c r="AA92" i="3" s="1"/>
  <c r="AA93" i="3" a="1"/>
  <c r="AA93" i="3" s="1"/>
  <c r="AA95" i="3" a="1"/>
  <c r="AA95" i="3" s="1"/>
  <c r="AA97" i="3" a="1"/>
  <c r="AA97" i="3" s="1"/>
  <c r="AA98" i="3" a="1"/>
  <c r="AA98" i="3" s="1"/>
  <c r="AA99" i="3" a="1"/>
  <c r="AA99" i="3" s="1"/>
  <c r="AA100" i="3" a="1"/>
  <c r="AA100" i="3" s="1"/>
  <c r="AA103" i="3" a="1"/>
  <c r="AA103" i="3" s="1"/>
  <c r="W59" i="3"/>
  <c r="W60" i="3"/>
  <c r="W61" i="3"/>
  <c r="W62" i="3"/>
  <c r="W63" i="3"/>
  <c r="W64" i="3"/>
  <c r="W65" i="3"/>
  <c r="W66" i="3"/>
  <c r="W67" i="3"/>
  <c r="W68" i="3"/>
  <c r="W69" i="3"/>
  <c r="W70" i="3"/>
  <c r="W71" i="3"/>
  <c r="W72" i="3"/>
  <c r="W73" i="3"/>
  <c r="W74" i="3"/>
  <c r="W75" i="3"/>
  <c r="W76" i="3"/>
  <c r="W77" i="3"/>
  <c r="W78" i="3"/>
  <c r="W79" i="3"/>
  <c r="W80" i="3"/>
  <c r="W81" i="3"/>
  <c r="W82" i="3"/>
  <c r="W83" i="3"/>
  <c r="W84" i="3"/>
  <c r="W85" i="3"/>
  <c r="W86" i="3"/>
  <c r="W87" i="3"/>
  <c r="W88" i="3"/>
  <c r="W89" i="3"/>
  <c r="W90" i="3"/>
  <c r="W91" i="3"/>
  <c r="W92" i="3"/>
  <c r="W93" i="3"/>
  <c r="W94" i="3"/>
  <c r="W95" i="3"/>
  <c r="W96" i="3"/>
  <c r="W97" i="3"/>
  <c r="W98" i="3"/>
  <c r="W99" i="3"/>
  <c r="W100" i="3"/>
  <c r="W101" i="3"/>
  <c r="W102" i="3"/>
  <c r="W103" i="3"/>
  <c r="Y59" i="3"/>
  <c r="Y60" i="3"/>
  <c r="Y61" i="3"/>
  <c r="Y62" i="3"/>
  <c r="Y63" i="3"/>
  <c r="Y64" i="3"/>
  <c r="Y65" i="3"/>
  <c r="Y66" i="3"/>
  <c r="Y67" i="3"/>
  <c r="Y68" i="3"/>
  <c r="Y69" i="3"/>
  <c r="Y70" i="3"/>
  <c r="Y71" i="3"/>
  <c r="Y72" i="3"/>
  <c r="Y73" i="3"/>
  <c r="Y74" i="3"/>
  <c r="Y75" i="3"/>
  <c r="Y76" i="3"/>
  <c r="Y77" i="3"/>
  <c r="Y78" i="3"/>
  <c r="Y79" i="3"/>
  <c r="Y80" i="3"/>
  <c r="Y81" i="3"/>
  <c r="Y82" i="3"/>
  <c r="Y83" i="3"/>
  <c r="Y84" i="3"/>
  <c r="Y85" i="3"/>
  <c r="Y86" i="3"/>
  <c r="Y87" i="3"/>
  <c r="Y88" i="3"/>
  <c r="Y89" i="3"/>
  <c r="Y90" i="3"/>
  <c r="Y91" i="3"/>
  <c r="Y92" i="3"/>
  <c r="Y93" i="3"/>
  <c r="Y94" i="3"/>
  <c r="Y95" i="3"/>
  <c r="Y96" i="3"/>
  <c r="Y97" i="3"/>
  <c r="Y98" i="3"/>
  <c r="Y99" i="3"/>
  <c r="Y100" i="3"/>
  <c r="Y101" i="3"/>
  <c r="Y102" i="3"/>
  <c r="Y103" i="3"/>
  <c r="AA62" i="3" a="1"/>
  <c r="AA62" i="3" s="1"/>
  <c r="AA64" i="3" a="1"/>
  <c r="AA64" i="3" s="1"/>
  <c r="AA66" i="3" a="1"/>
  <c r="AA66" i="3" s="1"/>
  <c r="AA69" i="3" a="1"/>
  <c r="AA69" i="3" s="1"/>
  <c r="AA73" i="3" a="1"/>
  <c r="AA73" i="3" s="1"/>
  <c r="AA75" i="3" a="1"/>
  <c r="AA75" i="3" s="1"/>
  <c r="AA78" i="3" a="1"/>
  <c r="AA78" i="3" s="1"/>
  <c r="AA80" i="3" a="1"/>
  <c r="AA80" i="3" s="1"/>
  <c r="AA85" i="3" a="1"/>
  <c r="AA85" i="3" s="1"/>
  <c r="AA86" i="3" a="1"/>
  <c r="AA86" i="3" s="1"/>
  <c r="AA88" i="3" a="1"/>
  <c r="AA88" i="3" s="1"/>
  <c r="AA91" i="3" a="1"/>
  <c r="AA91" i="3" s="1"/>
  <c r="AA94" i="3" a="1"/>
  <c r="AA94" i="3" s="1"/>
  <c r="AA96" i="3" a="1"/>
  <c r="AA96" i="3" s="1"/>
  <c r="AA101" i="3" a="1"/>
  <c r="AA101" i="3" s="1"/>
  <c r="AA102" i="3" a="1"/>
  <c r="AA102" i="3" s="1"/>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W57" i="3"/>
  <c r="W58" i="3"/>
  <c r="Y57" i="3"/>
  <c r="Y58" i="3"/>
  <c r="AB57" i="3"/>
  <c r="AB4" i="3" l="1"/>
  <c r="AB5" i="3"/>
  <c r="AB8" i="3"/>
  <c r="AB9" i="3"/>
  <c r="AB10" i="3"/>
  <c r="AB11" i="3"/>
  <c r="AB13" i="3"/>
  <c r="AB16" i="3"/>
  <c r="AB18" i="3"/>
  <c r="AB19" i="3"/>
  <c r="AB20" i="3"/>
  <c r="AB21" i="3"/>
  <c r="AB22" i="3"/>
  <c r="AB23" i="3"/>
  <c r="AB24" i="3"/>
  <c r="AB26" i="3"/>
  <c r="AB28" i="3"/>
  <c r="AB30" i="3"/>
  <c r="AB32" i="3"/>
  <c r="AB33" i="3"/>
  <c r="AB34" i="3"/>
  <c r="AB35" i="3"/>
  <c r="AB36" i="3"/>
  <c r="AB37" i="3"/>
  <c r="AB41" i="3"/>
  <c r="AB42" i="3"/>
  <c r="AB43" i="3"/>
  <c r="AB45" i="3"/>
  <c r="AB51" i="3"/>
  <c r="AB52" i="3"/>
  <c r="AB53" i="3"/>
  <c r="AB54" i="3"/>
  <c r="AB55" i="3"/>
  <c r="I11" i="16"/>
  <c r="I12" i="16"/>
  <c r="I9" i="16"/>
  <c r="I10" i="16"/>
  <c r="AO4" i="4"/>
  <c r="I10" i="24" a="1"/>
  <c r="J10" i="24" a="1"/>
  <c r="K10" i="24" a="1"/>
  <c r="K10" i="24" l="1"/>
  <c r="M10" i="24" s="1"/>
  <c r="J10" i="24"/>
  <c r="O10" i="24" s="1"/>
  <c r="I10" i="24"/>
  <c r="C40" i="21"/>
  <c r="L40" i="21"/>
  <c r="X40" i="21" a="1"/>
  <c r="X40" i="21" s="1"/>
  <c r="AA40" i="21"/>
  <c r="AC40" i="21"/>
  <c r="AD40" i="21" a="1"/>
  <c r="AD40" i="21" s="1"/>
  <c r="N10" i="24" l="1"/>
  <c r="L10" i="24"/>
  <c r="D40" i="9" a="1"/>
  <c r="D40" i="9" s="1"/>
  <c r="X40" i="9"/>
  <c r="Y40" i="9"/>
  <c r="Z40" i="9"/>
  <c r="AA40" i="9"/>
  <c r="AB40" i="9"/>
  <c r="C39" i="21"/>
  <c r="L39" i="21"/>
  <c r="X39" i="21" a="1"/>
  <c r="X39" i="21" s="1"/>
  <c r="AA39" i="21"/>
  <c r="AC39" i="21"/>
  <c r="AD39" i="21" a="1"/>
  <c r="AD39" i="21" s="1"/>
  <c r="D39" i="9" a="1"/>
  <c r="D39" i="9" s="1"/>
  <c r="X39" i="9"/>
  <c r="Y39" i="9"/>
  <c r="Z39" i="9"/>
  <c r="AA39" i="9"/>
  <c r="AB39" i="9"/>
  <c r="H36" i="10" a="1"/>
  <c r="H36" i="10" s="1"/>
  <c r="J36" i="10" a="1"/>
  <c r="J36" i="10" s="1"/>
  <c r="Y36" i="10" a="1"/>
  <c r="Y36" i="10" s="1"/>
  <c r="Z36" i="10"/>
  <c r="AA36" i="10"/>
  <c r="AB36" i="10"/>
  <c r="AC36" i="10"/>
  <c r="AD36" i="10"/>
  <c r="AI36" i="10"/>
  <c r="AC40" i="9" l="1"/>
  <c r="M40" i="9" s="1"/>
  <c r="AC39" i="9"/>
  <c r="M39" i="9" s="1"/>
  <c r="P10" i="24"/>
  <c r="AE36" i="10"/>
  <c r="P36" i="10" s="1"/>
  <c r="H35" i="10" a="1"/>
  <c r="H35" i="10" s="1"/>
  <c r="J35" i="10" a="1"/>
  <c r="J35" i="10" s="1"/>
  <c r="Y35" i="10" a="1"/>
  <c r="Y35" i="10" s="1"/>
  <c r="Z35" i="10"/>
  <c r="AA35" i="10"/>
  <c r="AB35" i="10"/>
  <c r="AC35" i="10"/>
  <c r="AD35" i="10"/>
  <c r="AI35" i="10"/>
  <c r="AB5" i="17"/>
  <c r="AE35" i="10" l="1"/>
  <c r="P35" i="10" s="1"/>
  <c r="C38" i="21" l="1"/>
  <c r="L38" i="21"/>
  <c r="X38" i="21" a="1"/>
  <c r="X38" i="21" s="1"/>
  <c r="AA38" i="21"/>
  <c r="AC38" i="21"/>
  <c r="AD38" i="21" a="1"/>
  <c r="AD38" i="21" s="1"/>
  <c r="D38" i="9" a="1"/>
  <c r="D38" i="9" s="1"/>
  <c r="T38" i="9" a="1"/>
  <c r="T38" i="9" s="1"/>
  <c r="G38" i="9" s="1" a="1"/>
  <c r="G38" i="9" s="1"/>
  <c r="X38" i="9"/>
  <c r="Z38" i="9"/>
  <c r="AB38" i="9"/>
  <c r="H34" i="10" l="1" a="1"/>
  <c r="H34" i="10" s="1"/>
  <c r="J34" i="10" a="1"/>
  <c r="J34" i="10" s="1"/>
  <c r="Y34" i="10" a="1"/>
  <c r="Y34" i="10" s="1"/>
  <c r="Z34" i="10"/>
  <c r="AA34" i="10"/>
  <c r="AB34" i="10"/>
  <c r="AC34" i="10"/>
  <c r="AD34" i="10"/>
  <c r="AI34" i="10"/>
  <c r="H33" i="10" a="1"/>
  <c r="H33" i="10" s="1"/>
  <c r="J33" i="10" a="1"/>
  <c r="J33" i="10" s="1"/>
  <c r="Y33" i="10" a="1"/>
  <c r="Y33" i="10" s="1"/>
  <c r="Z33" i="10"/>
  <c r="AA33" i="10"/>
  <c r="AB33" i="10"/>
  <c r="AC33" i="10"/>
  <c r="AD33" i="10"/>
  <c r="AI33" i="10"/>
  <c r="AJ33" i="10" a="1"/>
  <c r="AJ33" i="10" s="1"/>
  <c r="Y32" i="10" a="1"/>
  <c r="Y32" i="10" s="1"/>
  <c r="Z32" i="10"/>
  <c r="AA32" i="10"/>
  <c r="AB32" i="10"/>
  <c r="AC32" i="10"/>
  <c r="AD32" i="10"/>
  <c r="AI32" i="10"/>
  <c r="AJ32" i="10" a="1"/>
  <c r="AJ32" i="10" s="1"/>
  <c r="Y31" i="10" a="1"/>
  <c r="Y31" i="10" s="1"/>
  <c r="Z31" i="10"/>
  <c r="AA31" i="10"/>
  <c r="AB31" i="10"/>
  <c r="AC31" i="10"/>
  <c r="AD31" i="10"/>
  <c r="AI31" i="10"/>
  <c r="AJ31" i="10" a="1"/>
  <c r="AJ31" i="10" s="1"/>
  <c r="AE34" i="10" l="1"/>
  <c r="P34" i="10" s="1"/>
  <c r="AE33" i="10"/>
  <c r="P33" i="10" s="1"/>
  <c r="AE32" i="10"/>
  <c r="P32" i="10" s="1"/>
  <c r="AE31" i="10"/>
  <c r="P31" i="10" s="1"/>
  <c r="AK33" i="10" a="1"/>
  <c r="AK33" i="10" s="1"/>
  <c r="AL33" i="10" a="1"/>
  <c r="AL33" i="10" s="1"/>
  <c r="AK32" i="10" a="1"/>
  <c r="AK32" i="10" s="1"/>
  <c r="AL32" i="10" a="1"/>
  <c r="AL32" i="10" s="1"/>
  <c r="AK31" i="10" a="1"/>
  <c r="AK31" i="10" s="1"/>
  <c r="AL31" i="10" a="1"/>
  <c r="AL31" i="10" s="1"/>
  <c r="J58" i="20" a="1"/>
  <c r="J58" i="20" s="1"/>
  <c r="X58" i="20" a="1"/>
  <c r="X58" i="20" s="1"/>
  <c r="Y58" i="20"/>
  <c r="Z58" i="20"/>
  <c r="AA58" i="20"/>
  <c r="AC58" i="20"/>
  <c r="AE58" i="20" a="1"/>
  <c r="AE58" i="20" s="1"/>
  <c r="AK58" i="20"/>
  <c r="C37" i="21"/>
  <c r="K37" i="21" a="1"/>
  <c r="K37" i="21" s="1"/>
  <c r="AM37" i="21" s="1"/>
  <c r="L37" i="21"/>
  <c r="X37" i="21" a="1"/>
  <c r="X37" i="21" s="1"/>
  <c r="AA37" i="21"/>
  <c r="AC37" i="21"/>
  <c r="AD37" i="21" a="1"/>
  <c r="AD37" i="21" s="1"/>
  <c r="D37" i="9" a="1"/>
  <c r="D37" i="9" s="1"/>
  <c r="X37" i="9"/>
  <c r="Y37" i="9"/>
  <c r="Z37" i="9"/>
  <c r="AA37" i="9"/>
  <c r="AB37" i="9"/>
  <c r="C36" i="21"/>
  <c r="L36" i="21"/>
  <c r="X36" i="21" a="1"/>
  <c r="X36" i="21" s="1"/>
  <c r="AA36" i="21"/>
  <c r="AC36" i="21"/>
  <c r="AD36" i="21" a="1"/>
  <c r="AD36" i="21" s="1"/>
  <c r="J29" i="10" a="1"/>
  <c r="J29" i="10" s="1"/>
  <c r="J30" i="10" a="1"/>
  <c r="J30" i="10" s="1"/>
  <c r="Y29" i="10" a="1"/>
  <c r="Y29" i="10" s="1"/>
  <c r="Y30" i="10" a="1"/>
  <c r="Y30" i="10" s="1"/>
  <c r="Z29" i="10"/>
  <c r="Z30" i="10"/>
  <c r="AA29" i="10"/>
  <c r="AA30" i="10"/>
  <c r="AB29" i="10"/>
  <c r="AB30" i="10"/>
  <c r="AD29" i="10"/>
  <c r="AD30" i="10"/>
  <c r="AI29" i="10"/>
  <c r="AI30" i="10"/>
  <c r="AJ29" i="10" a="1"/>
  <c r="AJ29" i="10" s="1"/>
  <c r="AJ30" i="10" a="1"/>
  <c r="AJ30" i="10" s="1"/>
  <c r="D36" i="9" a="1"/>
  <c r="D36" i="9" s="1"/>
  <c r="T36" i="9" a="1"/>
  <c r="T36" i="9" s="1"/>
  <c r="G36" i="9" s="1" a="1"/>
  <c r="G36" i="9" s="1"/>
  <c r="X36" i="9"/>
  <c r="Z36" i="9"/>
  <c r="AB36" i="9"/>
  <c r="L18" i="21"/>
  <c r="L3" i="21"/>
  <c r="L4" i="21"/>
  <c r="L5" i="21"/>
  <c r="L6" i="21"/>
  <c r="L7" i="21"/>
  <c r="L8" i="21"/>
  <c r="L9" i="21"/>
  <c r="L10" i="21"/>
  <c r="L11" i="21"/>
  <c r="L12" i="21"/>
  <c r="L13" i="21"/>
  <c r="L14" i="21"/>
  <c r="L15" i="21"/>
  <c r="L16" i="21"/>
  <c r="L17" i="21"/>
  <c r="L19" i="21"/>
  <c r="L20" i="21"/>
  <c r="L21" i="21"/>
  <c r="L22" i="21"/>
  <c r="L23" i="21"/>
  <c r="L24" i="21"/>
  <c r="L25" i="21"/>
  <c r="L26" i="21"/>
  <c r="L27" i="21"/>
  <c r="L28" i="21"/>
  <c r="L29" i="21"/>
  <c r="L30" i="21"/>
  <c r="L31" i="21"/>
  <c r="L32" i="21"/>
  <c r="L33" i="21"/>
  <c r="L34" i="21"/>
  <c r="L35" i="21"/>
  <c r="C3" i="21"/>
  <c r="C4" i="21"/>
  <c r="C5" i="21"/>
  <c r="C6" i="21"/>
  <c r="C7" i="21"/>
  <c r="C8" i="21"/>
  <c r="C9" i="21"/>
  <c r="C10" i="21"/>
  <c r="C11" i="21"/>
  <c r="C12" i="21"/>
  <c r="C13" i="21"/>
  <c r="C14" i="21"/>
  <c r="C15" i="21"/>
  <c r="C16" i="21"/>
  <c r="C17" i="21"/>
  <c r="C18" i="21"/>
  <c r="C19" i="21"/>
  <c r="C20" i="21"/>
  <c r="C21" i="21"/>
  <c r="C22" i="21"/>
  <c r="C23" i="21"/>
  <c r="C24" i="21"/>
  <c r="C25" i="21"/>
  <c r="C26" i="21"/>
  <c r="C27" i="21"/>
  <c r="C28" i="21"/>
  <c r="C29" i="21"/>
  <c r="C30" i="21"/>
  <c r="C31" i="21"/>
  <c r="C32" i="21"/>
  <c r="C33" i="21"/>
  <c r="C34" i="21"/>
  <c r="C35" i="21"/>
  <c r="K217" i="28" a="1"/>
  <c r="AC37" i="9" l="1"/>
  <c r="M37" i="9" s="1"/>
  <c r="AN58" i="20" a="1"/>
  <c r="AN58" i="20" s="1"/>
  <c r="AO58" i="20" a="1"/>
  <c r="AO58" i="20" s="1"/>
  <c r="AL30" i="10" a="1"/>
  <c r="AL30" i="10" s="1"/>
  <c r="AK30" i="10" a="1"/>
  <c r="AK30" i="10" s="1"/>
  <c r="AL29" i="10" a="1"/>
  <c r="AL29" i="10" s="1"/>
  <c r="AK29" i="10" a="1"/>
  <c r="AK29" i="10" s="1"/>
  <c r="K217" i="28"/>
  <c r="A3" i="17"/>
  <c r="AE62" i="22" a="1"/>
  <c r="AE62" i="22" s="1"/>
  <c r="AE63" i="22" a="1"/>
  <c r="AE63" i="22" s="1"/>
  <c r="AE64" i="22" a="1"/>
  <c r="AE64" i="22" s="1"/>
  <c r="AE65" i="22" a="1"/>
  <c r="AE65" i="22" s="1"/>
  <c r="AE66" i="22" a="1"/>
  <c r="AE66" i="22" s="1"/>
  <c r="AE67" i="22" a="1"/>
  <c r="AE67" i="22" s="1"/>
  <c r="AE68" i="22" a="1"/>
  <c r="AE68" i="22" s="1"/>
  <c r="AE69" i="22" a="1"/>
  <c r="AE69" i="22" s="1"/>
  <c r="AE70" i="22" a="1"/>
  <c r="AE70" i="22" s="1"/>
  <c r="AE71" i="22" a="1"/>
  <c r="AE71" i="22" s="1"/>
  <c r="AE72" i="22" a="1"/>
  <c r="AE72" i="22" s="1"/>
  <c r="AE73" i="22" a="1"/>
  <c r="AE73" i="22" s="1"/>
  <c r="AE74" i="22" a="1"/>
  <c r="AE74" i="22" s="1"/>
  <c r="AE75" i="22" a="1"/>
  <c r="AE75" i="22" s="1"/>
  <c r="AE76" i="22" a="1"/>
  <c r="AE76" i="22" s="1"/>
  <c r="AE77" i="22" a="1"/>
  <c r="AE77" i="22" s="1"/>
  <c r="AE78" i="22" a="1"/>
  <c r="AE78" i="22" s="1"/>
  <c r="AE79" i="22" a="1"/>
  <c r="AE79" i="22" s="1"/>
  <c r="AE80" i="22" a="1"/>
  <c r="AE80" i="22" s="1"/>
  <c r="AE81" i="22" a="1"/>
  <c r="AE81" i="22" s="1"/>
  <c r="Y28" i="10" a="1"/>
  <c r="Y28" i="10" s="1"/>
  <c r="Z28" i="10"/>
  <c r="AA28" i="10"/>
  <c r="AB28" i="10"/>
  <c r="AC28" i="10"/>
  <c r="AD28" i="10"/>
  <c r="AI28" i="10"/>
  <c r="AJ28" i="10" a="1"/>
  <c r="AJ28" i="10" s="1"/>
  <c r="H57" i="20" a="1"/>
  <c r="H57" i="20" s="1"/>
  <c r="J57" i="20" a="1"/>
  <c r="J57" i="20" s="1"/>
  <c r="X57" i="20" a="1"/>
  <c r="X57" i="20" s="1"/>
  <c r="Y57" i="20"/>
  <c r="Z57" i="20"/>
  <c r="AA57" i="20"/>
  <c r="AC57" i="20"/>
  <c r="AE57" i="20" a="1"/>
  <c r="AE57" i="20" s="1"/>
  <c r="AK57" i="20"/>
  <c r="X35" i="21" a="1"/>
  <c r="X35" i="21" s="1"/>
  <c r="AA35" i="21"/>
  <c r="AC35" i="21"/>
  <c r="AD35" i="21" a="1"/>
  <c r="AD35" i="21" s="1"/>
  <c r="D35" i="9" a="1"/>
  <c r="D35" i="9" s="1"/>
  <c r="X35" i="9"/>
  <c r="Y35" i="9"/>
  <c r="Z35" i="9"/>
  <c r="AA35" i="9"/>
  <c r="AB35" i="9"/>
  <c r="I217" i="28" a="1"/>
  <c r="AC35" i="9" l="1"/>
  <c r="M35" i="9" s="1"/>
  <c r="I217" i="28"/>
  <c r="AE28" i="10"/>
  <c r="P28" i="10" s="1"/>
  <c r="E217" i="28"/>
  <c r="F217" i="28"/>
  <c r="G217" i="28"/>
  <c r="AK28" i="10" a="1"/>
  <c r="AK28" i="10" s="1"/>
  <c r="AL28" i="10" a="1"/>
  <c r="AL28" i="10" s="1"/>
  <c r="AN57" i="20" a="1"/>
  <c r="AN57" i="20" s="1"/>
  <c r="AO57" i="20" a="1"/>
  <c r="AO57" i="20" s="1"/>
  <c r="K177" i="28" a="1"/>
  <c r="K186" i="28" a="1"/>
  <c r="B217" i="28" a="1"/>
  <c r="B217" i="28" l="1"/>
  <c r="K186" i="28"/>
  <c r="K177" i="28"/>
  <c r="I177" i="28" a="1"/>
  <c r="I186" i="28" a="1"/>
  <c r="K91" i="28" a="1"/>
  <c r="I177" i="28" l="1"/>
  <c r="I186" i="28"/>
  <c r="F186" i="28"/>
  <c r="E186" i="28"/>
  <c r="G186" i="28"/>
  <c r="E177" i="28"/>
  <c r="F177" i="28"/>
  <c r="G177" i="28"/>
  <c r="K91" i="28"/>
  <c r="B177" i="28" a="1"/>
  <c r="B186" i="28" a="1"/>
  <c r="I91" i="28" a="1"/>
  <c r="K87" i="28" a="1"/>
  <c r="B186" i="28" l="1"/>
  <c r="B177" i="28"/>
  <c r="I91" i="28"/>
  <c r="F91" i="28"/>
  <c r="G91" i="28"/>
  <c r="E91" i="28"/>
  <c r="K87" i="28"/>
  <c r="I87" i="28" a="1"/>
  <c r="B91" i="28" a="1"/>
  <c r="B91" i="28" l="1"/>
  <c r="I87" i="28"/>
  <c r="E87" i="28"/>
  <c r="F87" i="28"/>
  <c r="G87" i="28"/>
  <c r="K34" i="21" a="1"/>
  <c r="K34" i="21" s="1"/>
  <c r="AM34" i="21" s="1"/>
  <c r="X34" i="21" a="1"/>
  <c r="X34" i="21" s="1"/>
  <c r="AA34" i="21"/>
  <c r="AC34" i="21"/>
  <c r="AD34" i="21" a="1"/>
  <c r="AD34" i="21" s="1"/>
  <c r="R34" i="9"/>
  <c r="X34" i="9"/>
  <c r="Y34" i="9"/>
  <c r="Z34" i="9"/>
  <c r="AA34" i="9"/>
  <c r="AB34" i="9"/>
  <c r="B87" i="28" a="1"/>
  <c r="AC34" i="9" l="1"/>
  <c r="M34" i="9" s="1"/>
  <c r="B87" i="28"/>
  <c r="H27" i="10" a="1"/>
  <c r="H27" i="10" s="1"/>
  <c r="J27" i="10" a="1"/>
  <c r="J27" i="10" s="1"/>
  <c r="Y27" i="10" a="1"/>
  <c r="Y27" i="10" s="1"/>
  <c r="Z27" i="10"/>
  <c r="AA27" i="10"/>
  <c r="AB27" i="10"/>
  <c r="AC27" i="10"/>
  <c r="AD27" i="10"/>
  <c r="AI27" i="10"/>
  <c r="AE27" i="10" l="1"/>
  <c r="P27" i="10" s="1"/>
  <c r="H21" i="25" a="1"/>
  <c r="H21" i="25" s="1"/>
  <c r="I21" i="25" a="1"/>
  <c r="I21" i="25" s="1"/>
  <c r="J21" i="25" s="1"/>
  <c r="H56" i="20" l="1" a="1"/>
  <c r="H56" i="20" s="1"/>
  <c r="X56" i="20" a="1"/>
  <c r="X56" i="20" s="1"/>
  <c r="Y56" i="20"/>
  <c r="Z56" i="20"/>
  <c r="AA56" i="20"/>
  <c r="AB56" i="20"/>
  <c r="AC56" i="20"/>
  <c r="AE56" i="20" a="1"/>
  <c r="AE56" i="20" s="1"/>
  <c r="AK56" i="20"/>
  <c r="T3" i="9" a="1"/>
  <c r="T3" i="9" s="1"/>
  <c r="T4" i="9" a="1"/>
  <c r="T4" i="9" s="1"/>
  <c r="T14" i="9" a="1"/>
  <c r="T14" i="9" s="1"/>
  <c r="T15" i="9" a="1"/>
  <c r="T15" i="9" s="1"/>
  <c r="T17" i="9" a="1"/>
  <c r="T17" i="9" s="1"/>
  <c r="T21" i="9" a="1"/>
  <c r="T21" i="9" s="1"/>
  <c r="T22" i="9" a="1"/>
  <c r="T22" i="9" s="1"/>
  <c r="T23" i="9" a="1"/>
  <c r="T23" i="9" s="1"/>
  <c r="T24" i="9" a="1"/>
  <c r="T24" i="9" s="1"/>
  <c r="T29" i="9" a="1"/>
  <c r="T29" i="9" s="1"/>
  <c r="T30" i="9" a="1"/>
  <c r="T30" i="9" s="1"/>
  <c r="J3" i="20" a="1"/>
  <c r="J3" i="20" s="1"/>
  <c r="J4" i="20" a="1"/>
  <c r="J4" i="20" s="1"/>
  <c r="J5" i="20" a="1"/>
  <c r="J5" i="20" s="1"/>
  <c r="J7" i="20" a="1"/>
  <c r="J7" i="20" s="1"/>
  <c r="J8" i="20" a="1"/>
  <c r="J8" i="20" s="1"/>
  <c r="J9" i="20" a="1"/>
  <c r="J9" i="20" s="1"/>
  <c r="J10" i="20" a="1"/>
  <c r="J10" i="20" s="1"/>
  <c r="J11" i="20" a="1"/>
  <c r="J11" i="20" s="1"/>
  <c r="J12" i="20" a="1"/>
  <c r="J12" i="20" s="1"/>
  <c r="J13" i="20" a="1"/>
  <c r="J13" i="20" s="1"/>
  <c r="J14" i="20" a="1"/>
  <c r="J14" i="20" s="1"/>
  <c r="J15" i="20" a="1"/>
  <c r="J15" i="20" s="1"/>
  <c r="J16" i="20" a="1"/>
  <c r="J16" i="20" s="1"/>
  <c r="J17" i="20" a="1"/>
  <c r="J17" i="20" s="1"/>
  <c r="J18" i="20" a="1"/>
  <c r="J18" i="20" s="1"/>
  <c r="J19" i="20" a="1"/>
  <c r="J19" i="20" s="1"/>
  <c r="J20" i="20" a="1"/>
  <c r="J20" i="20" s="1"/>
  <c r="J21" i="20" a="1"/>
  <c r="J21" i="20" s="1"/>
  <c r="J22" i="20" a="1"/>
  <c r="J22" i="20" s="1"/>
  <c r="J25" i="20" a="1"/>
  <c r="J25" i="20" s="1"/>
  <c r="J26" i="20" a="1"/>
  <c r="J26" i="20" s="1"/>
  <c r="J27" i="20" a="1"/>
  <c r="J27" i="20" s="1"/>
  <c r="J28" i="20" a="1"/>
  <c r="J28" i="20" s="1"/>
  <c r="J29" i="20" a="1"/>
  <c r="J29" i="20" s="1"/>
  <c r="J30" i="20" a="1"/>
  <c r="J30" i="20" s="1"/>
  <c r="J31" i="20" a="1"/>
  <c r="J31" i="20" s="1"/>
  <c r="J32" i="20" a="1"/>
  <c r="J32" i="20" s="1"/>
  <c r="J40" i="20" a="1"/>
  <c r="J40" i="20" s="1"/>
  <c r="J41" i="20" a="1"/>
  <c r="J41" i="20" s="1"/>
  <c r="J43" i="20" a="1"/>
  <c r="J43" i="20" s="1"/>
  <c r="J44" i="20" a="1"/>
  <c r="J44" i="20" s="1"/>
  <c r="J45" i="20" a="1"/>
  <c r="J45" i="20" s="1"/>
  <c r="J46" i="20" a="1"/>
  <c r="J46" i="20" s="1"/>
  <c r="J47" i="20" a="1"/>
  <c r="J47" i="20" s="1"/>
  <c r="J48" i="20" a="1"/>
  <c r="J48" i="20" s="1"/>
  <c r="J49" i="20" a="1"/>
  <c r="J49" i="20" s="1"/>
  <c r="J50" i="20" a="1"/>
  <c r="J50" i="20" s="1"/>
  <c r="J51" i="20" a="1"/>
  <c r="J51" i="20" s="1"/>
  <c r="J52" i="20" a="1"/>
  <c r="J52" i="20" s="1"/>
  <c r="J53" i="20" a="1"/>
  <c r="J53" i="20" s="1"/>
  <c r="J54" i="20" a="1"/>
  <c r="J54" i="20" s="1"/>
  <c r="J55" i="20" a="1"/>
  <c r="J55" i="20" s="1"/>
  <c r="J4" i="10" a="1"/>
  <c r="J4" i="10" s="1"/>
  <c r="J5" i="10" a="1"/>
  <c r="J5" i="10" s="1"/>
  <c r="J6" i="10" a="1"/>
  <c r="J6" i="10" s="1"/>
  <c r="J7" i="10" a="1"/>
  <c r="J7" i="10" s="1"/>
  <c r="J8" i="10" a="1"/>
  <c r="J8" i="10" s="1"/>
  <c r="J9" i="10" a="1"/>
  <c r="J9" i="10" s="1"/>
  <c r="J10" i="10" a="1"/>
  <c r="J10" i="10" s="1"/>
  <c r="J11" i="10" a="1"/>
  <c r="J11" i="10" s="1"/>
  <c r="J12" i="10" a="1"/>
  <c r="J12" i="10" s="1"/>
  <c r="J13" i="10" a="1"/>
  <c r="J13" i="10" s="1"/>
  <c r="J14" i="10" a="1"/>
  <c r="J14" i="10" s="1"/>
  <c r="J15" i="10" a="1"/>
  <c r="J15" i="10" s="1"/>
  <c r="J16" i="10" a="1"/>
  <c r="J16" i="10" s="1"/>
  <c r="J17" i="10" a="1"/>
  <c r="J17" i="10" s="1"/>
  <c r="J18" i="10" a="1"/>
  <c r="J18" i="10" s="1"/>
  <c r="J19" i="10" a="1"/>
  <c r="J19" i="10" s="1"/>
  <c r="J20" i="10" a="1"/>
  <c r="J20" i="10" s="1"/>
  <c r="J21" i="10" a="1"/>
  <c r="J21" i="10" s="1"/>
  <c r="J22" i="10" a="1"/>
  <c r="J22" i="10" s="1"/>
  <c r="J23" i="10" a="1"/>
  <c r="J23" i="10" s="1"/>
  <c r="J26" i="10" a="1"/>
  <c r="J26" i="10" s="1"/>
  <c r="D3" i="14" a="1"/>
  <c r="K182" i="28" a="1"/>
  <c r="K181" i="28" a="1"/>
  <c r="K88" i="28" a="1"/>
  <c r="K90" i="28" a="1"/>
  <c r="B3" i="14" a="1"/>
  <c r="C3" i="14" a="1"/>
  <c r="AD56" i="20" l="1"/>
  <c r="P56" i="20" s="1"/>
  <c r="K182" i="28"/>
  <c r="K181" i="28"/>
  <c r="AN56" i="20" a="1"/>
  <c r="AN56" i="20" s="1"/>
  <c r="AO56" i="20" a="1"/>
  <c r="AO56" i="20" s="1"/>
  <c r="D3" i="14"/>
  <c r="C3" i="14"/>
  <c r="B3" i="14"/>
  <c r="K88" i="28"/>
  <c r="K90" i="28"/>
  <c r="I181" i="28" a="1"/>
  <c r="I90" i="28" a="1"/>
  <c r="I88" i="28" a="1"/>
  <c r="I182" i="28" a="1"/>
  <c r="I90" i="28" l="1"/>
  <c r="I88" i="28"/>
  <c r="I182" i="28"/>
  <c r="I181" i="28"/>
  <c r="E182" i="28"/>
  <c r="F182" i="28"/>
  <c r="G182" i="28"/>
  <c r="E181" i="28"/>
  <c r="F181" i="28"/>
  <c r="G181" i="28"/>
  <c r="E88" i="28"/>
  <c r="F88" i="28"/>
  <c r="G88" i="28"/>
  <c r="E90" i="28"/>
  <c r="F90" i="28"/>
  <c r="G90" i="28"/>
  <c r="B90" i="28" a="1"/>
  <c r="B181" i="28" a="1"/>
  <c r="B88" i="28" a="1"/>
  <c r="B182" i="28" a="1"/>
  <c r="B88" i="28" l="1"/>
  <c r="B181" i="28"/>
  <c r="B90" i="28"/>
  <c r="B182" i="28"/>
  <c r="K33" i="21" a="1"/>
  <c r="K33" i="21" s="1"/>
  <c r="AM33" i="21" s="1"/>
  <c r="X33" i="21" a="1"/>
  <c r="X33" i="21" s="1"/>
  <c r="AA33" i="21"/>
  <c r="AC33" i="21"/>
  <c r="AD33" i="21" a="1"/>
  <c r="AD33" i="21" s="1"/>
  <c r="K89" i="28" a="1"/>
  <c r="K89" i="28" l="1"/>
  <c r="I89" i="28" a="1"/>
  <c r="I89" i="28" l="1"/>
  <c r="E89" i="28"/>
  <c r="F89" i="28"/>
  <c r="G89" i="28"/>
  <c r="K42" i="28" a="1"/>
  <c r="K45" i="28" a="1"/>
  <c r="K44" i="28" a="1"/>
  <c r="B89" i="28" a="1"/>
  <c r="B89" i="28" l="1"/>
  <c r="K45" i="28"/>
  <c r="K44" i="28"/>
  <c r="K42" i="28"/>
  <c r="I45" i="28" a="1"/>
  <c r="I42" i="28" a="1"/>
  <c r="I44" i="28" a="1"/>
  <c r="I44" i="28" l="1"/>
  <c r="I42" i="28"/>
  <c r="I45" i="28"/>
  <c r="AB12" i="3"/>
  <c r="K23" i="4"/>
  <c r="K4" i="4"/>
  <c r="K114" i="28" a="1"/>
  <c r="K209" i="28" a="1"/>
  <c r="K250" i="28" a="1"/>
  <c r="K175" i="28" a="1"/>
  <c r="K82" i="28" a="1"/>
  <c r="K93" i="28" a="1"/>
  <c r="K110" i="28" a="1"/>
  <c r="K118" i="28" a="1"/>
  <c r="K164" i="28" a="1"/>
  <c r="K136" i="28" a="1"/>
  <c r="K53" i="28" a="1"/>
  <c r="K46" i="28" a="1"/>
  <c r="K50" i="28" a="1"/>
  <c r="K78" i="28" a="1"/>
  <c r="K48" i="28" a="1"/>
  <c r="K203" i="28" a="1"/>
  <c r="K179" i="28" a="1"/>
  <c r="K198" i="28" a="1"/>
  <c r="K166" i="28" a="1"/>
  <c r="K165" i="28" a="1"/>
  <c r="K141" i="28" a="1"/>
  <c r="K224" i="28" a="1"/>
  <c r="K86" i="28" a="1"/>
  <c r="K169" i="28" a="1"/>
  <c r="K132" i="28" a="1"/>
  <c r="K100" i="28" a="1"/>
  <c r="K249" i="28" a="1"/>
  <c r="K123" i="28" a="1"/>
  <c r="K122" i="28" a="1"/>
  <c r="K95" i="28" a="1"/>
  <c r="K188" i="28" a="1"/>
  <c r="K197" i="28" a="1"/>
  <c r="K99" i="28" a="1"/>
  <c r="K222" i="28" a="1"/>
  <c r="K98" i="28" a="1"/>
  <c r="K94" i="28" a="1"/>
  <c r="K52" i="28" a="1"/>
  <c r="K196" i="28" a="1"/>
  <c r="K192" i="28" a="1"/>
  <c r="K47" i="28" a="1"/>
  <c r="K170" i="28" a="1"/>
  <c r="K204" i="28" a="1"/>
  <c r="K253" i="28" a="1"/>
  <c r="K125" i="28" a="1"/>
  <c r="K214" i="28" a="1"/>
  <c r="K97" i="28" a="1"/>
  <c r="K216" i="28" a="1"/>
  <c r="K116" i="28" a="1"/>
  <c r="K187" i="28" a="1"/>
  <c r="K145" i="28" a="1"/>
  <c r="K180" i="28" a="1"/>
  <c r="K104" i="28" a="1"/>
  <c r="K154" i="28" a="1"/>
  <c r="K183" i="28" a="1"/>
  <c r="K221" i="28" a="1"/>
  <c r="K172" i="28" a="1"/>
  <c r="K84" i="28" a="1"/>
  <c r="K101" i="28" a="1"/>
  <c r="K129" i="28" a="1"/>
  <c r="K208" i="28" a="1"/>
  <c r="K146" i="28" a="1"/>
  <c r="K147" i="28" a="1"/>
  <c r="K77" i="28" a="1"/>
  <c r="K137" i="28" a="1"/>
  <c r="K55" i="28" a="1"/>
  <c r="K109" i="28" a="1"/>
  <c r="K167" i="28" a="1"/>
  <c r="K205" i="28" a="1"/>
  <c r="K148" i="28" a="1"/>
  <c r="K189" i="28" a="1"/>
  <c r="K190" i="28" a="1"/>
  <c r="K79" i="28" a="1"/>
  <c r="K215" i="28" a="1"/>
  <c r="K144" i="28" a="1"/>
  <c r="K202" i="28" a="1"/>
  <c r="K223" i="28" a="1"/>
  <c r="K251" i="28" a="1"/>
  <c r="K124" i="28" a="1"/>
  <c r="K131" i="28" a="1"/>
  <c r="K195" i="28" a="1"/>
  <c r="K176" i="28" a="1"/>
  <c r="K168" i="28" a="1"/>
  <c r="K140" i="28" a="1"/>
  <c r="K255" i="28" a="1"/>
  <c r="K163" i="28" a="1"/>
  <c r="K149" i="28" a="1"/>
  <c r="K121" i="28" a="1"/>
  <c r="K120" i="28" a="1"/>
  <c r="K219" i="28" a="1"/>
  <c r="K142" i="28" a="1"/>
  <c r="K248" i="28" a="1"/>
  <c r="K56" i="28" a="1"/>
  <c r="K119" i="28" a="1"/>
  <c r="K143" i="28" a="1"/>
  <c r="K128" i="28" a="1"/>
  <c r="K92" i="28" a="1"/>
  <c r="K117" i="28" a="1"/>
  <c r="K111" i="28" a="1"/>
  <c r="K207" i="28" a="1"/>
  <c r="K103" i="28" a="1"/>
  <c r="K201" i="28" a="1"/>
  <c r="K49" i="28" a="1"/>
  <c r="K138" i="28" a="1"/>
  <c r="K126" i="28" a="1"/>
  <c r="K206" i="28" a="1"/>
  <c r="K130" i="28" a="1"/>
  <c r="K252" i="28" a="1"/>
  <c r="K102" i="28" a="1"/>
  <c r="K184" i="28" a="1"/>
  <c r="K194" i="28" a="1"/>
  <c r="K81" i="28" a="1"/>
  <c r="K105" i="28" a="1"/>
  <c r="K193" i="28" a="1"/>
  <c r="K178" i="28" a="1"/>
  <c r="K133" i="28" a="1"/>
  <c r="K51" i="28" a="1"/>
  <c r="K134" i="28" a="1"/>
  <c r="K210" i="28" a="1"/>
  <c r="K211" i="28" a="1"/>
  <c r="K200" i="28" a="1"/>
  <c r="K212" i="28" a="1"/>
  <c r="K54" i="28" a="1"/>
  <c r="K80" i="28" a="1"/>
  <c r="K96" i="28" a="1"/>
  <c r="K185" i="28" a="1"/>
  <c r="K173" i="28" a="1"/>
  <c r="K113" i="28" a="1"/>
  <c r="K171" i="28" a="1"/>
  <c r="K115" i="28" a="1"/>
  <c r="K135" i="28" a="1"/>
  <c r="K85" i="28" a="1"/>
  <c r="K213" i="28" a="1"/>
  <c r="K254" i="28" a="1"/>
  <c r="K220" i="28" a="1"/>
  <c r="K83" i="28" a="1"/>
  <c r="K139" i="28" a="1"/>
  <c r="K199" i="28" a="1"/>
  <c r="K19" i="4" l="1"/>
  <c r="K9" i="4"/>
  <c r="K16" i="4"/>
  <c r="K18" i="4"/>
  <c r="K11" i="4"/>
  <c r="K21" i="4"/>
  <c r="K7" i="4"/>
  <c r="K6" i="4"/>
  <c r="K20" i="4"/>
  <c r="K10" i="4"/>
  <c r="K14" i="4"/>
  <c r="K5" i="4"/>
  <c r="K12" i="4"/>
  <c r="K17" i="4"/>
  <c r="K8" i="4"/>
  <c r="K22" i="4"/>
  <c r="K15" i="4"/>
  <c r="K13" i="4"/>
  <c r="K255" i="28"/>
  <c r="K254" i="28"/>
  <c r="K253" i="28"/>
  <c r="K252" i="28"/>
  <c r="K251" i="28"/>
  <c r="K250" i="28"/>
  <c r="K210" i="28"/>
  <c r="K249" i="28"/>
  <c r="K248" i="28"/>
  <c r="K224" i="28"/>
  <c r="K223" i="28"/>
  <c r="K222" i="28"/>
  <c r="K221" i="28"/>
  <c r="K220" i="28"/>
  <c r="K219" i="28"/>
  <c r="K216" i="28"/>
  <c r="K215" i="28"/>
  <c r="K214" i="28"/>
  <c r="K213" i="28"/>
  <c r="K212" i="28"/>
  <c r="K211" i="28"/>
  <c r="K209" i="28"/>
  <c r="K200" i="28"/>
  <c r="K208" i="28"/>
  <c r="K199" i="28"/>
  <c r="K207" i="28"/>
  <c r="K206" i="28"/>
  <c r="K198" i="28"/>
  <c r="K197" i="28"/>
  <c r="K205" i="28"/>
  <c r="K196" i="28"/>
  <c r="K201" i="28"/>
  <c r="K204" i="28"/>
  <c r="K195" i="28"/>
  <c r="K203" i="28"/>
  <c r="K194" i="28"/>
  <c r="K202" i="28"/>
  <c r="K193" i="28"/>
  <c r="K192" i="28"/>
  <c r="K190" i="28"/>
  <c r="K187" i="28"/>
  <c r="K188" i="28"/>
  <c r="K184" i="28"/>
  <c r="K183" i="28"/>
  <c r="K185" i="28"/>
  <c r="K180" i="28"/>
  <c r="K179" i="28"/>
  <c r="K189" i="28"/>
  <c r="K178" i="28"/>
  <c r="K176" i="28"/>
  <c r="K175" i="28"/>
  <c r="K173" i="28"/>
  <c r="K172" i="28"/>
  <c r="K170" i="28"/>
  <c r="K171" i="28"/>
  <c r="K169" i="28"/>
  <c r="K168" i="28"/>
  <c r="K167" i="28"/>
  <c r="K166" i="28"/>
  <c r="K165" i="28"/>
  <c r="K164" i="28"/>
  <c r="K163" i="28"/>
  <c r="K154" i="28"/>
  <c r="K149" i="28"/>
  <c r="K148" i="28"/>
  <c r="K147" i="28"/>
  <c r="K145" i="28"/>
  <c r="K136" i="28"/>
  <c r="K144" i="28"/>
  <c r="K135" i="28"/>
  <c r="K143" i="28"/>
  <c r="K134" i="28"/>
  <c r="K142" i="28"/>
  <c r="K133" i="28"/>
  <c r="K141" i="28"/>
  <c r="K132" i="28"/>
  <c r="K140" i="28"/>
  <c r="K131" i="28"/>
  <c r="K139" i="28"/>
  <c r="K130" i="28"/>
  <c r="K146" i="28"/>
  <c r="K138" i="28"/>
  <c r="K137" i="28"/>
  <c r="K129" i="28"/>
  <c r="K128" i="28"/>
  <c r="K125" i="28"/>
  <c r="K117" i="28"/>
  <c r="K126" i="28"/>
  <c r="K116" i="28"/>
  <c r="K124" i="28"/>
  <c r="K115" i="28"/>
  <c r="K123" i="28"/>
  <c r="K118" i="28"/>
  <c r="K114" i="28"/>
  <c r="K122" i="28"/>
  <c r="K113" i="28"/>
  <c r="K121" i="28"/>
  <c r="K111" i="28"/>
  <c r="K120" i="28"/>
  <c r="K119" i="28"/>
  <c r="K110" i="28"/>
  <c r="K109" i="28"/>
  <c r="K101" i="28"/>
  <c r="K100" i="28"/>
  <c r="K99" i="28"/>
  <c r="K98" i="28"/>
  <c r="K97" i="28"/>
  <c r="K105" i="28"/>
  <c r="K96" i="28"/>
  <c r="K104" i="28"/>
  <c r="K95" i="28"/>
  <c r="K103" i="28"/>
  <c r="K102" i="28"/>
  <c r="K94" i="28"/>
  <c r="K93" i="28"/>
  <c r="K85" i="28"/>
  <c r="K84" i="28"/>
  <c r="K83" i="28"/>
  <c r="K82" i="28"/>
  <c r="K92" i="28"/>
  <c r="K81" i="28"/>
  <c r="K80" i="28"/>
  <c r="K79" i="28"/>
  <c r="K86" i="28"/>
  <c r="K78" i="28"/>
  <c r="K77" i="28"/>
  <c r="K56" i="28"/>
  <c r="K55" i="28"/>
  <c r="K54" i="28"/>
  <c r="K53" i="28"/>
  <c r="K52" i="28"/>
  <c r="K51" i="28"/>
  <c r="K50" i="28"/>
  <c r="K49" i="28"/>
  <c r="K48" i="28"/>
  <c r="K47" i="28"/>
  <c r="K46" i="28"/>
  <c r="X55" i="20" a="1"/>
  <c r="X55" i="20" s="1"/>
  <c r="Z55" i="20"/>
  <c r="AA55" i="20"/>
  <c r="AB55" i="20"/>
  <c r="AC55" i="20"/>
  <c r="AE55" i="20" a="1"/>
  <c r="AE55" i="20" s="1"/>
  <c r="AK55" i="20"/>
  <c r="X54" i="20" a="1"/>
  <c r="X54" i="20" s="1"/>
  <c r="Z54" i="20"/>
  <c r="AA54" i="20"/>
  <c r="AB54" i="20"/>
  <c r="AC54" i="20"/>
  <c r="AE54" i="20" a="1"/>
  <c r="AE54" i="20" s="1"/>
  <c r="AK54" i="20"/>
  <c r="H26" i="10" a="1"/>
  <c r="H26" i="10" s="1"/>
  <c r="Y26" i="10" a="1"/>
  <c r="Y26" i="10" s="1"/>
  <c r="Z26" i="10"/>
  <c r="AA26" i="10"/>
  <c r="AB26" i="10"/>
  <c r="AC26" i="10"/>
  <c r="AD26" i="10"/>
  <c r="AI26" i="10"/>
  <c r="D33" i="9" a="1"/>
  <c r="D33" i="9" s="1"/>
  <c r="X52" i="20" a="1"/>
  <c r="X52" i="20" s="1"/>
  <c r="X53" i="20" a="1"/>
  <c r="X53" i="20" s="1"/>
  <c r="Y52" i="20"/>
  <c r="Y53" i="20"/>
  <c r="Z52" i="20"/>
  <c r="Z53" i="20"/>
  <c r="AA52" i="20"/>
  <c r="AA53" i="20"/>
  <c r="AC52" i="20"/>
  <c r="AC53" i="20"/>
  <c r="AE52" i="20" a="1"/>
  <c r="AE52" i="20" s="1"/>
  <c r="AE53" i="20" a="1"/>
  <c r="AE53" i="20" s="1"/>
  <c r="AK52" i="20"/>
  <c r="AK53" i="20"/>
  <c r="AN52" i="20" a="1"/>
  <c r="AN52" i="20" s="1"/>
  <c r="H43" i="20" a="1"/>
  <c r="H43" i="20" s="1"/>
  <c r="X43" i="20" a="1"/>
  <c r="X43" i="20" s="1"/>
  <c r="X44" i="20" a="1"/>
  <c r="X44" i="20" s="1"/>
  <c r="X45" i="20" a="1"/>
  <c r="X45" i="20" s="1"/>
  <c r="X46" i="20" a="1"/>
  <c r="X46" i="20" s="1"/>
  <c r="X47" i="20" a="1"/>
  <c r="X47" i="20" s="1"/>
  <c r="X48" i="20" a="1"/>
  <c r="X48" i="20" s="1"/>
  <c r="X49" i="20" a="1"/>
  <c r="X49" i="20" s="1"/>
  <c r="X50" i="20" a="1"/>
  <c r="X50" i="20" s="1"/>
  <c r="X51" i="20" a="1"/>
  <c r="X51" i="20" s="1"/>
  <c r="Y44" i="20"/>
  <c r="Y45" i="20"/>
  <c r="Y46" i="20"/>
  <c r="Y48" i="20"/>
  <c r="Z44" i="20"/>
  <c r="Z45" i="20"/>
  <c r="Z46" i="20"/>
  <c r="Z48" i="20"/>
  <c r="Z49" i="20"/>
  <c r="Z50" i="20"/>
  <c r="Z51" i="20"/>
  <c r="AA43" i="20"/>
  <c r="AA44" i="20"/>
  <c r="AA45" i="20"/>
  <c r="AA46" i="20"/>
  <c r="AA48" i="20"/>
  <c r="AA49" i="20"/>
  <c r="AA50" i="20"/>
  <c r="AA51" i="20"/>
  <c r="AB43" i="20"/>
  <c r="AB49" i="20"/>
  <c r="AB50" i="20"/>
  <c r="AB51" i="20"/>
  <c r="AC43" i="20"/>
  <c r="AC44" i="20"/>
  <c r="AC45" i="20"/>
  <c r="AC46" i="20"/>
  <c r="AC48" i="20"/>
  <c r="AC49" i="20"/>
  <c r="AC50" i="20"/>
  <c r="AC51" i="20"/>
  <c r="AE43" i="20" a="1"/>
  <c r="AE43" i="20" s="1"/>
  <c r="AE44" i="20" a="1"/>
  <c r="AE44" i="20" s="1"/>
  <c r="AE45" i="20" a="1"/>
  <c r="AE45" i="20" s="1"/>
  <c r="AE46" i="20" a="1"/>
  <c r="AE46" i="20" s="1"/>
  <c r="AE47" i="20" a="1"/>
  <c r="AE47" i="20" s="1"/>
  <c r="AE48" i="20" a="1"/>
  <c r="AE48" i="20" s="1"/>
  <c r="AE49" i="20" a="1"/>
  <c r="AE49" i="20" s="1"/>
  <c r="AE50" i="20" a="1"/>
  <c r="AE50" i="20" s="1"/>
  <c r="AE51" i="20" a="1"/>
  <c r="AE51" i="20" s="1"/>
  <c r="AK43" i="20"/>
  <c r="AK44" i="20"/>
  <c r="AK45" i="20"/>
  <c r="AK46" i="20"/>
  <c r="AK47" i="20"/>
  <c r="AK48" i="20"/>
  <c r="AK49" i="20"/>
  <c r="AK50" i="20"/>
  <c r="AK51" i="20"/>
  <c r="X40" i="20" a="1"/>
  <c r="X40" i="20" s="1"/>
  <c r="X41" i="20" a="1"/>
  <c r="X41" i="20" s="1"/>
  <c r="Y40" i="20"/>
  <c r="AA40" i="20"/>
  <c r="AB41" i="20"/>
  <c r="AC40" i="20"/>
  <c r="AC41" i="20"/>
  <c r="AE40" i="20" a="1"/>
  <c r="AE40" i="20" s="1"/>
  <c r="AE41" i="20" a="1"/>
  <c r="AE41" i="20" s="1"/>
  <c r="AK40" i="20"/>
  <c r="AK41" i="20"/>
  <c r="AN40" i="20" a="1"/>
  <c r="AN40" i="20" s="1"/>
  <c r="F5" i="20" a="1"/>
  <c r="F5" i="20" s="1"/>
  <c r="F7" i="20" a="1"/>
  <c r="F7" i="20" s="1"/>
  <c r="F8" i="20" a="1"/>
  <c r="F8" i="20" s="1"/>
  <c r="F9" i="20" a="1"/>
  <c r="F9" i="20" s="1"/>
  <c r="F10" i="20" a="1"/>
  <c r="F10" i="20" s="1"/>
  <c r="F11" i="20" a="1"/>
  <c r="F11" i="20" s="1"/>
  <c r="F12" i="20" a="1"/>
  <c r="F12" i="20" s="1"/>
  <c r="F13" i="20" a="1"/>
  <c r="F13" i="20" s="1"/>
  <c r="F14" i="20" a="1"/>
  <c r="F14" i="20" s="1"/>
  <c r="F15" i="20" a="1"/>
  <c r="F15" i="20" s="1"/>
  <c r="F16" i="20" a="1"/>
  <c r="F16" i="20" s="1"/>
  <c r="F17" i="20" a="1"/>
  <c r="F17" i="20" s="1"/>
  <c r="F19" i="20" a="1"/>
  <c r="F19" i="20" s="1"/>
  <c r="F21" i="20" a="1"/>
  <c r="F21" i="20" s="1"/>
  <c r="F22" i="20" a="1"/>
  <c r="F22" i="20" s="1"/>
  <c r="F25" i="20" a="1"/>
  <c r="F25" i="20" s="1"/>
  <c r="F26" i="20" a="1"/>
  <c r="F26" i="20" s="1"/>
  <c r="F27" i="20" a="1"/>
  <c r="F27" i="20" s="1"/>
  <c r="F28" i="20" a="1"/>
  <c r="F28" i="20" s="1"/>
  <c r="F29" i="20" a="1"/>
  <c r="F29" i="20" s="1"/>
  <c r="F31" i="20" a="1"/>
  <c r="F31" i="20" s="1"/>
  <c r="H5" i="20" a="1"/>
  <c r="H5" i="20" s="1"/>
  <c r="H9" i="20" a="1"/>
  <c r="H9" i="20" s="1"/>
  <c r="H10" i="20" a="1"/>
  <c r="H10" i="20" s="1"/>
  <c r="H11" i="20" a="1"/>
  <c r="H11" i="20" s="1"/>
  <c r="H12" i="20" a="1"/>
  <c r="H12" i="20" s="1"/>
  <c r="H14" i="20" a="1"/>
  <c r="H14" i="20" s="1"/>
  <c r="H15" i="20" a="1"/>
  <c r="H15" i="20" s="1"/>
  <c r="H16" i="20" a="1"/>
  <c r="H16" i="20" s="1"/>
  <c r="H17" i="20" a="1"/>
  <c r="H17" i="20" s="1"/>
  <c r="H18" i="20" a="1"/>
  <c r="H18" i="20" s="1"/>
  <c r="H19" i="20" a="1"/>
  <c r="H19" i="20" s="1"/>
  <c r="H21" i="20" a="1"/>
  <c r="H21" i="20" s="1"/>
  <c r="H22" i="20" a="1"/>
  <c r="H22" i="20" s="1"/>
  <c r="H25" i="20" a="1"/>
  <c r="H25" i="20" s="1"/>
  <c r="H26" i="20" a="1"/>
  <c r="H26" i="20" s="1"/>
  <c r="H27" i="20" a="1"/>
  <c r="H27" i="20" s="1"/>
  <c r="H28" i="20" a="1"/>
  <c r="H28" i="20" s="1"/>
  <c r="H29" i="20" a="1"/>
  <c r="H29" i="20" s="1"/>
  <c r="H30" i="20" a="1"/>
  <c r="H30" i="20" s="1"/>
  <c r="H31" i="20" a="1"/>
  <c r="H31" i="20" s="1"/>
  <c r="U5" i="20" a="1"/>
  <c r="U5" i="20" s="1"/>
  <c r="U7" i="20" a="1"/>
  <c r="U7" i="20" s="1"/>
  <c r="U8" i="20" a="1"/>
  <c r="U8" i="20" s="1"/>
  <c r="U9" i="20" a="1"/>
  <c r="U9" i="20" s="1"/>
  <c r="U10" i="20" a="1"/>
  <c r="U10" i="20" s="1"/>
  <c r="U11" i="20" a="1"/>
  <c r="U11" i="20" s="1"/>
  <c r="U12" i="20" a="1"/>
  <c r="U12" i="20" s="1"/>
  <c r="U13" i="20" a="1"/>
  <c r="U13" i="20" s="1"/>
  <c r="U14" i="20" a="1"/>
  <c r="U14" i="20" s="1"/>
  <c r="U15" i="20" a="1"/>
  <c r="U15" i="20" s="1"/>
  <c r="U16" i="20" a="1"/>
  <c r="U16" i="20" s="1"/>
  <c r="U17" i="20" a="1"/>
  <c r="U17" i="20" s="1"/>
  <c r="U19" i="20" a="1"/>
  <c r="U19" i="20" s="1"/>
  <c r="U21" i="20" a="1"/>
  <c r="U21" i="20" s="1"/>
  <c r="U22" i="20" a="1"/>
  <c r="U22" i="20" s="1"/>
  <c r="U25" i="20" a="1"/>
  <c r="U25" i="20" s="1"/>
  <c r="U26" i="20" a="1"/>
  <c r="U26" i="20" s="1"/>
  <c r="U27" i="20" a="1"/>
  <c r="U27" i="20" s="1"/>
  <c r="U28" i="20" a="1"/>
  <c r="U28" i="20" s="1"/>
  <c r="U29" i="20" a="1"/>
  <c r="U29" i="20" s="1"/>
  <c r="U31" i="20" a="1"/>
  <c r="U31" i="20" s="1"/>
  <c r="X5" i="20" a="1"/>
  <c r="X5" i="20" s="1"/>
  <c r="X6" i="20" a="1"/>
  <c r="X6" i="20" s="1"/>
  <c r="X7" i="20" a="1"/>
  <c r="X7" i="20" s="1"/>
  <c r="X8" i="20" a="1"/>
  <c r="X8" i="20" s="1"/>
  <c r="X9" i="20" a="1"/>
  <c r="X9" i="20" s="1"/>
  <c r="X10" i="20" a="1"/>
  <c r="X10" i="20" s="1"/>
  <c r="X11" i="20" a="1"/>
  <c r="X11" i="20" s="1"/>
  <c r="X12" i="20" a="1"/>
  <c r="X12" i="20" s="1"/>
  <c r="X13" i="20" a="1"/>
  <c r="X13" i="20" s="1"/>
  <c r="X14" i="20" a="1"/>
  <c r="X14" i="20" s="1"/>
  <c r="X15" i="20" a="1"/>
  <c r="X15" i="20" s="1"/>
  <c r="X16" i="20" a="1"/>
  <c r="X16" i="20" s="1"/>
  <c r="X17" i="20" a="1"/>
  <c r="X17" i="20" s="1"/>
  <c r="X18" i="20" a="1"/>
  <c r="X18" i="20" s="1"/>
  <c r="X19" i="20" a="1"/>
  <c r="X19" i="20" s="1"/>
  <c r="X20" i="20" a="1"/>
  <c r="X20" i="20" s="1"/>
  <c r="X21" i="20" a="1"/>
  <c r="X21" i="20" s="1"/>
  <c r="X22" i="20" a="1"/>
  <c r="X22" i="20" s="1"/>
  <c r="X23" i="20" a="1"/>
  <c r="X23" i="20" s="1"/>
  <c r="X24" i="20" a="1"/>
  <c r="X24" i="20" s="1"/>
  <c r="X25" i="20" a="1"/>
  <c r="X25" i="20" s="1"/>
  <c r="X26" i="20" a="1"/>
  <c r="X26" i="20" s="1"/>
  <c r="X27" i="20" a="1"/>
  <c r="X27" i="20" s="1"/>
  <c r="X28" i="20" a="1"/>
  <c r="X28" i="20" s="1"/>
  <c r="X29" i="20" a="1"/>
  <c r="X29" i="20" s="1"/>
  <c r="X30" i="20" a="1"/>
  <c r="X30" i="20" s="1"/>
  <c r="X31" i="20" a="1"/>
  <c r="X31" i="20" s="1"/>
  <c r="X32" i="20" a="1"/>
  <c r="X32" i="20" s="1"/>
  <c r="X34" i="20" a="1"/>
  <c r="X34" i="20" s="1"/>
  <c r="Y5" i="20"/>
  <c r="Y6" i="20"/>
  <c r="Y7" i="20"/>
  <c r="Y8" i="20"/>
  <c r="Y9" i="20"/>
  <c r="Y10" i="20"/>
  <c r="Y11" i="20"/>
  <c r="Y12" i="20"/>
  <c r="Y13" i="20"/>
  <c r="Y14" i="20"/>
  <c r="Y15" i="20"/>
  <c r="Y16" i="20"/>
  <c r="Y17" i="20"/>
  <c r="Y19" i="20"/>
  <c r="Y20" i="20"/>
  <c r="Y21" i="20"/>
  <c r="Y22" i="20"/>
  <c r="Y23" i="20"/>
  <c r="Y24" i="20"/>
  <c r="Y25" i="20"/>
  <c r="Y26" i="20"/>
  <c r="Y27" i="20"/>
  <c r="Y28" i="20"/>
  <c r="Y29" i="20"/>
  <c r="Y30" i="20"/>
  <c r="Y31" i="20"/>
  <c r="Y32" i="20"/>
  <c r="Y34" i="20"/>
  <c r="Z5" i="20"/>
  <c r="Z6" i="20"/>
  <c r="Z7" i="20"/>
  <c r="Z8" i="20"/>
  <c r="Z9" i="20"/>
  <c r="Z10" i="20"/>
  <c r="Z11" i="20"/>
  <c r="Z12" i="20"/>
  <c r="Z13" i="20"/>
  <c r="Z14" i="20"/>
  <c r="Z15" i="20"/>
  <c r="Z16" i="20"/>
  <c r="Z17" i="20"/>
  <c r="Z19" i="20"/>
  <c r="Z20" i="20"/>
  <c r="Z21" i="20"/>
  <c r="Z22" i="20"/>
  <c r="Z23" i="20"/>
  <c r="Z24" i="20"/>
  <c r="Z25" i="20"/>
  <c r="Z26" i="20"/>
  <c r="Z27" i="20"/>
  <c r="Z28" i="20"/>
  <c r="Z29" i="20"/>
  <c r="Z30" i="20"/>
  <c r="Z31" i="20"/>
  <c r="Z32" i="20"/>
  <c r="Z34" i="20"/>
  <c r="AA5" i="20"/>
  <c r="AA6" i="20"/>
  <c r="AA7" i="20"/>
  <c r="AA8" i="20"/>
  <c r="AA9" i="20"/>
  <c r="AA10" i="20"/>
  <c r="AA11" i="20"/>
  <c r="AA12" i="20"/>
  <c r="AA13" i="20"/>
  <c r="AA14" i="20"/>
  <c r="AA15" i="20"/>
  <c r="AA16" i="20"/>
  <c r="AA17" i="20"/>
  <c r="AA19" i="20"/>
  <c r="AA20" i="20"/>
  <c r="AA21" i="20"/>
  <c r="AA22" i="20"/>
  <c r="AA23" i="20"/>
  <c r="AA24" i="20"/>
  <c r="AA25" i="20"/>
  <c r="AA26" i="20"/>
  <c r="AA27" i="20"/>
  <c r="AA28" i="20"/>
  <c r="AA29" i="20"/>
  <c r="AA30" i="20"/>
  <c r="AA31" i="20"/>
  <c r="AA32" i="20"/>
  <c r="AA34" i="20"/>
  <c r="AB5" i="20"/>
  <c r="AB6" i="20"/>
  <c r="AB7" i="20"/>
  <c r="AB8" i="20"/>
  <c r="AB9" i="20"/>
  <c r="AB10" i="20"/>
  <c r="AB11" i="20"/>
  <c r="AB12" i="20"/>
  <c r="AB13" i="20"/>
  <c r="AB14" i="20"/>
  <c r="AB15" i="20"/>
  <c r="AB16" i="20"/>
  <c r="AB17" i="20"/>
  <c r="AB18" i="20"/>
  <c r="AB19" i="20"/>
  <c r="AB20" i="20"/>
  <c r="AB21" i="20"/>
  <c r="AB22" i="20"/>
  <c r="AB23" i="20"/>
  <c r="AB24" i="20"/>
  <c r="AB25" i="20"/>
  <c r="AB26" i="20"/>
  <c r="AB27" i="20"/>
  <c r="AB28" i="20"/>
  <c r="AB29" i="20"/>
  <c r="AB30" i="20"/>
  <c r="AB31" i="20"/>
  <c r="AB32" i="20"/>
  <c r="AB34" i="20"/>
  <c r="AC5" i="20"/>
  <c r="AC6" i="20"/>
  <c r="AC7" i="20"/>
  <c r="AC8" i="20"/>
  <c r="AC9" i="20"/>
  <c r="AC10" i="20"/>
  <c r="AC11" i="20"/>
  <c r="AC12" i="20"/>
  <c r="AC13" i="20"/>
  <c r="AC14" i="20"/>
  <c r="AC15" i="20"/>
  <c r="AC16" i="20"/>
  <c r="AC17" i="20"/>
  <c r="AC18" i="20"/>
  <c r="AC19" i="20"/>
  <c r="AC20" i="20"/>
  <c r="AC21" i="20"/>
  <c r="AC22" i="20"/>
  <c r="AC23" i="20"/>
  <c r="AC24" i="20"/>
  <c r="AC25" i="20"/>
  <c r="AC26" i="20"/>
  <c r="AC27" i="20"/>
  <c r="AC28" i="20"/>
  <c r="AC29" i="20"/>
  <c r="AC30" i="20"/>
  <c r="AC31" i="20"/>
  <c r="AC32" i="20"/>
  <c r="AC34" i="20"/>
  <c r="AE5" i="20" a="1"/>
  <c r="AE5" i="20" s="1"/>
  <c r="AE6" i="20" a="1"/>
  <c r="AE6" i="20" s="1"/>
  <c r="AE7" i="20" a="1"/>
  <c r="AE7" i="20" s="1"/>
  <c r="AE8" i="20" a="1"/>
  <c r="AE8" i="20" s="1"/>
  <c r="AE9" i="20" a="1"/>
  <c r="AE9" i="20" s="1"/>
  <c r="AE10" i="20" a="1"/>
  <c r="AE10" i="20" s="1"/>
  <c r="AE11" i="20" a="1"/>
  <c r="AE11" i="20" s="1"/>
  <c r="AE12" i="20" a="1"/>
  <c r="AE12" i="20" s="1"/>
  <c r="AE13" i="20" a="1"/>
  <c r="AE13" i="20" s="1"/>
  <c r="AE14" i="20" a="1"/>
  <c r="AE14" i="20" s="1"/>
  <c r="AE15" i="20" a="1"/>
  <c r="AE15" i="20" s="1"/>
  <c r="AE16" i="20" a="1"/>
  <c r="AE16" i="20" s="1"/>
  <c r="AE17" i="20" a="1"/>
  <c r="AE17" i="20" s="1"/>
  <c r="AE18" i="20" a="1"/>
  <c r="AE18" i="20" s="1"/>
  <c r="AE19" i="20" a="1"/>
  <c r="AE19" i="20" s="1"/>
  <c r="AE20" i="20" a="1"/>
  <c r="AE20" i="20" s="1"/>
  <c r="AE21" i="20" a="1"/>
  <c r="AE21" i="20" s="1"/>
  <c r="AE22" i="20" a="1"/>
  <c r="AE22" i="20" s="1"/>
  <c r="AE23" i="20" a="1"/>
  <c r="AE23" i="20" s="1"/>
  <c r="AE24" i="20" a="1"/>
  <c r="AE24" i="20" s="1"/>
  <c r="AE25" i="20" a="1"/>
  <c r="AE25" i="20" s="1"/>
  <c r="AE26" i="20" a="1"/>
  <c r="AE26" i="20" s="1"/>
  <c r="AE27" i="20" a="1"/>
  <c r="AE27" i="20" s="1"/>
  <c r="AE28" i="20" a="1"/>
  <c r="AE28" i="20" s="1"/>
  <c r="AE29" i="20" a="1"/>
  <c r="AE29" i="20" s="1"/>
  <c r="AE30" i="20" a="1"/>
  <c r="AE30" i="20" s="1"/>
  <c r="AE31" i="20" a="1"/>
  <c r="AE31" i="20" s="1"/>
  <c r="AE32" i="20" a="1"/>
  <c r="AE32" i="20" s="1"/>
  <c r="AE34" i="20" a="1"/>
  <c r="AE34" i="20" s="1"/>
  <c r="AK6" i="20"/>
  <c r="AK7" i="20"/>
  <c r="AK8" i="20"/>
  <c r="AK9" i="20"/>
  <c r="AK11" i="20"/>
  <c r="AK14" i="20"/>
  <c r="AK15" i="20"/>
  <c r="AK20" i="20"/>
  <c r="AK21" i="20"/>
  <c r="AK23" i="20"/>
  <c r="AK24" i="20"/>
  <c r="AK25" i="20"/>
  <c r="AK28" i="20"/>
  <c r="AK32" i="20"/>
  <c r="AK34" i="20"/>
  <c r="AO9" i="20" a="1"/>
  <c r="AO9" i="20" s="1"/>
  <c r="AN11" i="20" a="1"/>
  <c r="AN11" i="20" s="1"/>
  <c r="AO14" i="20" a="1"/>
  <c r="AO14" i="20" s="1"/>
  <c r="AO15" i="20" a="1"/>
  <c r="AO15" i="20" s="1"/>
  <c r="AN18" i="20" a="1"/>
  <c r="AN18" i="20" s="1"/>
  <c r="AO20" i="20" a="1"/>
  <c r="AO20" i="20" s="1"/>
  <c r="AO23" i="20" a="1"/>
  <c r="AO23" i="20" s="1"/>
  <c r="AN24" i="20" a="1"/>
  <c r="AN24" i="20" s="1"/>
  <c r="AN25" i="20" a="1"/>
  <c r="AN25" i="20" s="1"/>
  <c r="AN28" i="20" a="1"/>
  <c r="AN28" i="20" s="1"/>
  <c r="AN32" i="20" a="1"/>
  <c r="AN32" i="20" s="1"/>
  <c r="F4" i="20" a="1"/>
  <c r="F4" i="20" s="1"/>
  <c r="H4" i="20" a="1"/>
  <c r="H4" i="20" s="1"/>
  <c r="U4" i="20" a="1"/>
  <c r="U4" i="20" s="1"/>
  <c r="X4" i="20" a="1"/>
  <c r="X4" i="20" s="1"/>
  <c r="Y4" i="20"/>
  <c r="Z4" i="20"/>
  <c r="AA4" i="20"/>
  <c r="AB4" i="20"/>
  <c r="AC4" i="20"/>
  <c r="AE4" i="20" a="1"/>
  <c r="AE4" i="20" s="1"/>
  <c r="AK4" i="20"/>
  <c r="AN4" i="20" a="1"/>
  <c r="AN4" i="20" s="1"/>
  <c r="H3" i="27" a="1"/>
  <c r="H3" i="27" s="1"/>
  <c r="H4" i="27" s="1" a="1"/>
  <c r="H4" i="27" s="1"/>
  <c r="G3" i="27" a="1"/>
  <c r="G3" i="27" s="1"/>
  <c r="G4" i="27" s="1" a="1"/>
  <c r="G4" i="27" s="1"/>
  <c r="I100" i="28" a="1"/>
  <c r="I144" i="28" a="1"/>
  <c r="I117" i="28" a="1"/>
  <c r="A11" i="14" a="1"/>
  <c r="I83" i="28" a="1"/>
  <c r="I92" i="28" a="1"/>
  <c r="I138" i="28" a="1"/>
  <c r="I165" i="28" a="1"/>
  <c r="I85" i="28" a="1"/>
  <c r="I215" i="28" a="1"/>
  <c r="I136" i="28" a="1"/>
  <c r="I126" i="28" a="1"/>
  <c r="I214" i="28" a="1"/>
  <c r="I55" i="28" a="1"/>
  <c r="I98" i="28" a="1"/>
  <c r="I169" i="28" a="1"/>
  <c r="I49" i="28" a="1"/>
  <c r="I188" i="28" a="1"/>
  <c r="I247" i="28" a="1"/>
  <c r="I222" i="28" a="1"/>
  <c r="I121" i="28" a="1"/>
  <c r="I123" i="28" a="1"/>
  <c r="I213" i="28" a="1"/>
  <c r="I115" i="28" a="1"/>
  <c r="I124" i="28" a="1"/>
  <c r="I167" i="28" a="1"/>
  <c r="I198" i="28" a="1"/>
  <c r="I218" i="28" a="1"/>
  <c r="I170" i="28" a="1"/>
  <c r="I221" i="28" a="1"/>
  <c r="I99" i="28" a="1"/>
  <c r="I111" i="28" a="1"/>
  <c r="I110" i="28" a="1"/>
  <c r="I171" i="28" a="1"/>
  <c r="I252" i="28" a="1"/>
  <c r="I134" i="28" a="1"/>
  <c r="I129" i="28" a="1"/>
  <c r="I78" i="28" a="1"/>
  <c r="I166" i="28" a="1"/>
  <c r="I94" i="28" a="1"/>
  <c r="I131" i="28" a="1"/>
  <c r="I119" i="28" a="1"/>
  <c r="I142" i="28" a="1"/>
  <c r="I249" i="28" a="1"/>
  <c r="I51" i="28" a="1"/>
  <c r="D11" i="14" a="1"/>
  <c r="I107" i="28" a="1"/>
  <c r="I187" i="28" a="1"/>
  <c r="C11" i="14" a="1"/>
  <c r="I109" i="28" a="1"/>
  <c r="I95" i="28" a="1"/>
  <c r="I216" i="28" a="1"/>
  <c r="I220" i="28" a="1"/>
  <c r="I183" i="28" a="1"/>
  <c r="I125" i="28" a="1"/>
  <c r="I196" i="28" a="1"/>
  <c r="I141" i="28" a="1"/>
  <c r="I77" i="28" a="1"/>
  <c r="I195" i="28" a="1"/>
  <c r="I120" i="28" a="1"/>
  <c r="I103" i="28" a="1"/>
  <c r="I86" i="28" a="1"/>
  <c r="I219" i="28" a="1"/>
  <c r="I203" i="28" a="1"/>
  <c r="I93" i="28" a="1"/>
  <c r="I192" i="28" a="1"/>
  <c r="I149" i="28" a="1"/>
  <c r="I113" i="28" a="1"/>
  <c r="I132" i="28" a="1"/>
  <c r="I206" i="28" a="1"/>
  <c r="I54" i="28" a="1"/>
  <c r="I250" i="28" a="1"/>
  <c r="I194" i="28" a="1"/>
  <c r="I189" i="28" a="1"/>
  <c r="I207" i="28" a="1"/>
  <c r="I197" i="28" a="1"/>
  <c r="I212" i="28" a="1"/>
  <c r="I53" i="28" a="1"/>
  <c r="I163" i="28" a="1"/>
  <c r="I253" i="28" a="1"/>
  <c r="L180" i="28" a="1"/>
  <c r="I137" i="28" a="1"/>
  <c r="I106" i="28" a="1"/>
  <c r="I209" i="28" a="1"/>
  <c r="I254" i="28" a="1"/>
  <c r="I190" i="28" a="1"/>
  <c r="I135" i="28" a="1"/>
  <c r="I176" i="28" a="1"/>
  <c r="I185" i="28" a="1"/>
  <c r="I256" i="28" a="1"/>
  <c r="I128" i="28" a="1"/>
  <c r="I104" i="28" a="1"/>
  <c r="I133" i="28" a="1"/>
  <c r="I205" i="28" a="1"/>
  <c r="I201" i="28" a="1"/>
  <c r="B11" i="14" a="1"/>
  <c r="I248" i="28" a="1"/>
  <c r="I223" i="28" a="1"/>
  <c r="I199" i="28" a="1"/>
  <c r="I172" i="28" a="1"/>
  <c r="I145" i="28" a="1"/>
  <c r="I146" i="28" a="1"/>
  <c r="I122" i="28" a="1"/>
  <c r="I96" i="28" a="1"/>
  <c r="I79" i="28" a="1"/>
  <c r="I46" i="28" a="1"/>
  <c r="I184" i="28" a="1"/>
  <c r="I143" i="28" a="1"/>
  <c r="I102" i="28" a="1"/>
  <c r="I251" i="28" a="1"/>
  <c r="I116" i="28" a="1"/>
  <c r="I154" i="28" a="1"/>
  <c r="I148" i="28" a="1"/>
  <c r="I118" i="28" a="1"/>
  <c r="I97" i="28" a="1"/>
  <c r="I48" i="28" a="1"/>
  <c r="I105" i="28" a="1"/>
  <c r="I47" i="28" a="1"/>
  <c r="I204" i="28" a="1"/>
  <c r="I200" i="28" a="1"/>
  <c r="I114" i="28" a="1"/>
  <c r="I101" i="28" a="1"/>
  <c r="I211" i="28" a="1"/>
  <c r="I175" i="28" a="1"/>
  <c r="I130" i="28" a="1"/>
  <c r="I173" i="28" a="1"/>
  <c r="I255" i="28" a="1"/>
  <c r="I168" i="28" a="1"/>
  <c r="I56" i="28" a="1"/>
  <c r="I179" i="28" a="1"/>
  <c r="I52" i="28" a="1"/>
  <c r="I178" i="28" a="1"/>
  <c r="I202" i="28" a="1"/>
  <c r="I147" i="28" a="1"/>
  <c r="I193" i="28" a="1"/>
  <c r="I164" i="28" a="1"/>
  <c r="I84" i="28" a="1"/>
  <c r="I140" i="28" a="1"/>
  <c r="I82" i="28" a="1"/>
  <c r="I50" i="28" a="1"/>
  <c r="I139" i="28" a="1"/>
  <c r="I81" i="28" a="1"/>
  <c r="I224" i="28" a="1"/>
  <c r="I80" i="28" a="1"/>
  <c r="I208" i="28" a="1"/>
  <c r="J28" i="29" l="1"/>
  <c r="J13" i="29"/>
  <c r="H5" i="27" a="1"/>
  <c r="H5" i="27" s="1"/>
  <c r="H6" i="27" s="1" a="1"/>
  <c r="H6" i="27" s="1"/>
  <c r="H7" i="27" s="1" a="1"/>
  <c r="H7" i="27" s="1"/>
  <c r="H8" i="27" s="1" a="1"/>
  <c r="H8" i="27" s="1"/>
  <c r="H9" i="27" s="1" a="1"/>
  <c r="H9" i="27" s="1"/>
  <c r="H10" i="27" s="1" a="1"/>
  <c r="H10" i="27" s="1"/>
  <c r="H11" i="27" s="1" a="1"/>
  <c r="H11" i="27" s="1"/>
  <c r="H12" i="27" s="1" a="1"/>
  <c r="H12" i="27" s="1"/>
  <c r="H13" i="27" s="1" a="1"/>
  <c r="H13" i="27" s="1"/>
  <c r="H14" i="27" s="1" a="1"/>
  <c r="H14" i="27" s="1"/>
  <c r="H15" i="27" s="1" a="1"/>
  <c r="H15" i="27" s="1"/>
  <c r="G5" i="27" a="1"/>
  <c r="G5" i="27" s="1"/>
  <c r="G6" i="27" s="1" a="1"/>
  <c r="G6" i="27" s="1"/>
  <c r="G7" i="27" s="1" a="1"/>
  <c r="G7" i="27" s="1"/>
  <c r="G8" i="27" s="1" a="1"/>
  <c r="G8" i="27" s="1"/>
  <c r="G9" i="27" s="1" a="1"/>
  <c r="G9" i="27" s="1"/>
  <c r="G10" i="27" s="1" a="1"/>
  <c r="G10" i="27" s="1"/>
  <c r="G11" i="27" s="1" a="1"/>
  <c r="G11" i="27" s="1"/>
  <c r="G12" i="27" s="1" a="1"/>
  <c r="G12" i="27" s="1"/>
  <c r="G13" i="27" s="1" a="1"/>
  <c r="G13" i="27" s="1"/>
  <c r="G14" i="27" s="1" a="1"/>
  <c r="G14" i="27" s="1"/>
  <c r="G15" i="27" s="1" a="1"/>
  <c r="G15" i="27" s="1"/>
  <c r="I207" i="28"/>
  <c r="I48" i="28"/>
  <c r="I51" i="28"/>
  <c r="I85" i="28"/>
  <c r="I109" i="28"/>
  <c r="I125" i="28"/>
  <c r="I135" i="28"/>
  <c r="I166" i="28"/>
  <c r="I184" i="28"/>
  <c r="I206" i="28"/>
  <c r="I222" i="28"/>
  <c r="I94" i="28"/>
  <c r="I119" i="28"/>
  <c r="I129" i="28"/>
  <c r="I136" i="28"/>
  <c r="I168" i="28"/>
  <c r="I187" i="28"/>
  <c r="I199" i="28"/>
  <c r="I224" i="28"/>
  <c r="I54" i="28"/>
  <c r="I102" i="28"/>
  <c r="I120" i="28"/>
  <c r="I137" i="28"/>
  <c r="I145" i="28"/>
  <c r="I169" i="28"/>
  <c r="I190" i="28"/>
  <c r="I208" i="28"/>
  <c r="I248" i="28"/>
  <c r="I55" i="28"/>
  <c r="I103" i="28"/>
  <c r="I111" i="28"/>
  <c r="I138" i="28"/>
  <c r="I147" i="28"/>
  <c r="I171" i="28"/>
  <c r="I192" i="28"/>
  <c r="I200" i="28"/>
  <c r="I249" i="28"/>
  <c r="I146" i="28"/>
  <c r="I148" i="28"/>
  <c r="I170" i="28"/>
  <c r="I193" i="28"/>
  <c r="I209" i="28"/>
  <c r="I247" i="28"/>
  <c r="I188" i="28"/>
  <c r="I121" i="28"/>
  <c r="I77" i="28"/>
  <c r="I104" i="28"/>
  <c r="I113" i="28"/>
  <c r="I130" i="28"/>
  <c r="I149" i="28"/>
  <c r="I172" i="28"/>
  <c r="I202" i="28"/>
  <c r="I211" i="28"/>
  <c r="I52" i="28"/>
  <c r="I128" i="28"/>
  <c r="I95" i="28"/>
  <c r="I78" i="28"/>
  <c r="I96" i="28"/>
  <c r="I122" i="28"/>
  <c r="I139" i="28"/>
  <c r="I154" i="28"/>
  <c r="I173" i="28"/>
  <c r="I194" i="28"/>
  <c r="I212" i="28"/>
  <c r="I250" i="28"/>
  <c r="I223" i="28"/>
  <c r="I56" i="28"/>
  <c r="I86" i="28"/>
  <c r="I105" i="28"/>
  <c r="I114" i="28"/>
  <c r="I131" i="28"/>
  <c r="I175" i="28"/>
  <c r="I203" i="28"/>
  <c r="I213" i="28"/>
  <c r="I251" i="28"/>
  <c r="I110" i="28"/>
  <c r="I79" i="28"/>
  <c r="I97" i="28"/>
  <c r="I118" i="28"/>
  <c r="I140" i="28"/>
  <c r="I176" i="28"/>
  <c r="I195" i="28"/>
  <c r="I214" i="28"/>
  <c r="I252" i="28"/>
  <c r="I80" i="28"/>
  <c r="I98" i="28"/>
  <c r="I123" i="28"/>
  <c r="I132" i="28"/>
  <c r="I178" i="28"/>
  <c r="I204" i="28"/>
  <c r="I215" i="28"/>
  <c r="I253" i="28"/>
  <c r="I81" i="28"/>
  <c r="I115" i="28"/>
  <c r="I141" i="28"/>
  <c r="I189" i="28"/>
  <c r="I201" i="28"/>
  <c r="I216" i="28"/>
  <c r="I254" i="28"/>
  <c r="I93" i="28"/>
  <c r="I144" i="28"/>
  <c r="I53" i="28"/>
  <c r="I46" i="28"/>
  <c r="I106" i="28"/>
  <c r="I47" i="28"/>
  <c r="I92" i="28"/>
  <c r="I99" i="28"/>
  <c r="I124" i="28"/>
  <c r="I133" i="28"/>
  <c r="I179" i="28"/>
  <c r="I196" i="28"/>
  <c r="I218" i="28"/>
  <c r="I255" i="28"/>
  <c r="I116" i="28"/>
  <c r="I142" i="28"/>
  <c r="I163" i="28"/>
  <c r="I205" i="28"/>
  <c r="I219" i="28"/>
  <c r="I256" i="28"/>
  <c r="I167" i="28"/>
  <c r="I107" i="28"/>
  <c r="I49" i="28"/>
  <c r="I83" i="28"/>
  <c r="I100" i="28"/>
  <c r="I126" i="28"/>
  <c r="I134" i="28"/>
  <c r="I164" i="28"/>
  <c r="I185" i="28"/>
  <c r="I197" i="28"/>
  <c r="I220" i="28"/>
  <c r="I82" i="28"/>
  <c r="I50" i="28"/>
  <c r="I84" i="28"/>
  <c r="I101" i="28"/>
  <c r="I117" i="28"/>
  <c r="I143" i="28"/>
  <c r="I165" i="28"/>
  <c r="I183" i="28"/>
  <c r="I198" i="28"/>
  <c r="I221" i="28"/>
  <c r="E192" i="28"/>
  <c r="L180" i="28"/>
  <c r="AE26" i="10"/>
  <c r="P26" i="10" s="1"/>
  <c r="E255" i="28"/>
  <c r="F255" i="28"/>
  <c r="G255" i="28"/>
  <c r="E256" i="28"/>
  <c r="F256" i="28"/>
  <c r="G256" i="28"/>
  <c r="F220" i="28"/>
  <c r="E220" i="28"/>
  <c r="G220" i="28"/>
  <c r="E250" i="28"/>
  <c r="F250" i="28"/>
  <c r="G250" i="28"/>
  <c r="F221" i="28"/>
  <c r="G221" i="28"/>
  <c r="E221" i="28"/>
  <c r="E251" i="28"/>
  <c r="G251" i="28"/>
  <c r="F251" i="28"/>
  <c r="F222" i="28"/>
  <c r="G222" i="28"/>
  <c r="E222" i="28"/>
  <c r="F252" i="28"/>
  <c r="E252" i="28"/>
  <c r="G252" i="28"/>
  <c r="G223" i="28"/>
  <c r="F223" i="28"/>
  <c r="E223" i="28"/>
  <c r="E253" i="28"/>
  <c r="F253" i="28"/>
  <c r="G253" i="28"/>
  <c r="F224" i="28"/>
  <c r="G224" i="28"/>
  <c r="E224" i="28"/>
  <c r="E254" i="28"/>
  <c r="F254" i="28"/>
  <c r="G254" i="28"/>
  <c r="E247" i="28"/>
  <c r="F247" i="28"/>
  <c r="G247" i="28"/>
  <c r="E248" i="28"/>
  <c r="F248" i="28"/>
  <c r="G248" i="28"/>
  <c r="F249" i="28"/>
  <c r="E249" i="28"/>
  <c r="G249" i="28"/>
  <c r="E219" i="28"/>
  <c r="F219" i="28"/>
  <c r="G219" i="28"/>
  <c r="F212" i="28"/>
  <c r="E212" i="28"/>
  <c r="G212" i="28"/>
  <c r="E213" i="28"/>
  <c r="G213" i="28"/>
  <c r="F213" i="28"/>
  <c r="E214" i="28"/>
  <c r="G214" i="28"/>
  <c r="F214" i="28"/>
  <c r="E216" i="28"/>
  <c r="F216" i="28"/>
  <c r="G216" i="28"/>
  <c r="E215" i="28"/>
  <c r="G215" i="28"/>
  <c r="F215" i="28"/>
  <c r="E218" i="28"/>
  <c r="G218" i="28"/>
  <c r="F218" i="28"/>
  <c r="F192" i="28"/>
  <c r="G192" i="28"/>
  <c r="E211" i="28"/>
  <c r="F211" i="28"/>
  <c r="G211" i="28"/>
  <c r="G201" i="28"/>
  <c r="F201" i="28"/>
  <c r="E201" i="28"/>
  <c r="E193" i="28"/>
  <c r="F193" i="28"/>
  <c r="G193" i="28"/>
  <c r="G209" i="28"/>
  <c r="E209" i="28"/>
  <c r="F209" i="28"/>
  <c r="G202" i="28"/>
  <c r="E202" i="28"/>
  <c r="F202" i="28"/>
  <c r="E194" i="28"/>
  <c r="F194" i="28"/>
  <c r="G194" i="28"/>
  <c r="G203" i="28"/>
  <c r="E203" i="28"/>
  <c r="F203" i="28"/>
  <c r="E195" i="28"/>
  <c r="F195" i="28"/>
  <c r="G195" i="28"/>
  <c r="F204" i="28"/>
  <c r="G204" i="28"/>
  <c r="E204" i="28"/>
  <c r="F207" i="28"/>
  <c r="G207" i="28"/>
  <c r="E207" i="28"/>
  <c r="E210" i="28"/>
  <c r="F210" i="28"/>
  <c r="G210" i="28"/>
  <c r="E196" i="28"/>
  <c r="F196" i="28"/>
  <c r="G196" i="28"/>
  <c r="G197" i="28"/>
  <c r="F197" i="28"/>
  <c r="E197" i="28"/>
  <c r="F190" i="28"/>
  <c r="G190" i="28"/>
  <c r="E190" i="28"/>
  <c r="F205" i="28"/>
  <c r="G205" i="28"/>
  <c r="E205" i="28"/>
  <c r="F206" i="28"/>
  <c r="G206" i="28"/>
  <c r="E206" i="28"/>
  <c r="G200" i="28"/>
  <c r="E200" i="28"/>
  <c r="F200" i="28"/>
  <c r="E198" i="28"/>
  <c r="F198" i="28"/>
  <c r="G198" i="28"/>
  <c r="E208" i="28"/>
  <c r="F208" i="28"/>
  <c r="G208" i="28"/>
  <c r="G199" i="28"/>
  <c r="E199" i="28"/>
  <c r="F199" i="28"/>
  <c r="G175" i="28"/>
  <c r="F175" i="28"/>
  <c r="E175" i="28"/>
  <c r="G176" i="28"/>
  <c r="F176" i="28"/>
  <c r="E176" i="28"/>
  <c r="G178" i="28"/>
  <c r="F178" i="28"/>
  <c r="E178" i="28"/>
  <c r="F189" i="28"/>
  <c r="E189" i="28"/>
  <c r="G189" i="28"/>
  <c r="G179" i="28"/>
  <c r="F179" i="28"/>
  <c r="E179" i="28"/>
  <c r="E180" i="28"/>
  <c r="G180" i="28"/>
  <c r="F180" i="28"/>
  <c r="E185" i="28"/>
  <c r="G185" i="28"/>
  <c r="F185" i="28"/>
  <c r="E183" i="28"/>
  <c r="G183" i="28"/>
  <c r="F183" i="28"/>
  <c r="E184" i="28"/>
  <c r="F184" i="28"/>
  <c r="G184" i="28"/>
  <c r="F188" i="28"/>
  <c r="E188" i="28"/>
  <c r="G188" i="28"/>
  <c r="E187" i="28"/>
  <c r="G187" i="28"/>
  <c r="F187" i="28"/>
  <c r="E171" i="28"/>
  <c r="G171" i="28"/>
  <c r="F171" i="28"/>
  <c r="G170" i="28"/>
  <c r="E170" i="28"/>
  <c r="F170" i="28"/>
  <c r="F172" i="28"/>
  <c r="E172" i="28"/>
  <c r="G172" i="28"/>
  <c r="E173" i="28"/>
  <c r="F173" i="28"/>
  <c r="G173" i="28"/>
  <c r="G169" i="28"/>
  <c r="F169" i="28"/>
  <c r="E169" i="28"/>
  <c r="E168" i="28"/>
  <c r="G168" i="28"/>
  <c r="F168" i="28"/>
  <c r="G167" i="28"/>
  <c r="E167" i="28"/>
  <c r="F167" i="28"/>
  <c r="E158" i="28"/>
  <c r="G158" i="28"/>
  <c r="F158" i="28"/>
  <c r="E159" i="28"/>
  <c r="G159" i="28"/>
  <c r="F159" i="28"/>
  <c r="E160" i="28"/>
  <c r="G160" i="28"/>
  <c r="F160" i="28"/>
  <c r="F165" i="28"/>
  <c r="G165" i="28"/>
  <c r="E165" i="28"/>
  <c r="E161" i="28"/>
  <c r="F161" i="28"/>
  <c r="G161" i="28"/>
  <c r="E162" i="28"/>
  <c r="G162" i="28"/>
  <c r="F162" i="28"/>
  <c r="F163" i="28"/>
  <c r="E163" i="28"/>
  <c r="G163" i="28"/>
  <c r="E164" i="28"/>
  <c r="G164" i="28"/>
  <c r="F164" i="28"/>
  <c r="F166" i="28"/>
  <c r="G166" i="28"/>
  <c r="E166" i="28"/>
  <c r="E157" i="28"/>
  <c r="G157" i="28"/>
  <c r="F157" i="28"/>
  <c r="E154" i="28"/>
  <c r="G154" i="28"/>
  <c r="F154" i="28"/>
  <c r="E149" i="28"/>
  <c r="F149" i="28"/>
  <c r="G149" i="28"/>
  <c r="G148" i="28"/>
  <c r="E148" i="28"/>
  <c r="F148" i="28"/>
  <c r="G147" i="28"/>
  <c r="E147" i="28"/>
  <c r="F147" i="28"/>
  <c r="G141" i="28"/>
  <c r="F141" i="28"/>
  <c r="E141" i="28"/>
  <c r="E133" i="28"/>
  <c r="G133" i="28"/>
  <c r="F133" i="28"/>
  <c r="E128" i="28"/>
  <c r="G128" i="28"/>
  <c r="F128" i="28"/>
  <c r="G142" i="28"/>
  <c r="F142" i="28"/>
  <c r="E142" i="28"/>
  <c r="E129" i="28"/>
  <c r="F129" i="28"/>
  <c r="G129" i="28"/>
  <c r="G137" i="28"/>
  <c r="E137" i="28"/>
  <c r="F137" i="28"/>
  <c r="G138" i="28"/>
  <c r="F138" i="28"/>
  <c r="E138" i="28"/>
  <c r="E146" i="28"/>
  <c r="F146" i="28"/>
  <c r="G146" i="28"/>
  <c r="F134" i="28"/>
  <c r="G134" i="28"/>
  <c r="E134" i="28"/>
  <c r="E130" i="28"/>
  <c r="F130" i="28"/>
  <c r="G130" i="28"/>
  <c r="G143" i="28"/>
  <c r="F143" i="28"/>
  <c r="E143" i="28"/>
  <c r="G139" i="28"/>
  <c r="F139" i="28"/>
  <c r="E139" i="28"/>
  <c r="F135" i="28"/>
  <c r="E135" i="28"/>
  <c r="G135" i="28"/>
  <c r="E144" i="28"/>
  <c r="G144" i="28"/>
  <c r="F144" i="28"/>
  <c r="E131" i="28"/>
  <c r="G131" i="28"/>
  <c r="F131" i="28"/>
  <c r="G136" i="28"/>
  <c r="F136" i="28"/>
  <c r="E136" i="28"/>
  <c r="F140" i="28"/>
  <c r="E140" i="28"/>
  <c r="G140" i="28"/>
  <c r="F132" i="28"/>
  <c r="E132" i="28"/>
  <c r="G132" i="28"/>
  <c r="E145" i="28"/>
  <c r="F145" i="28"/>
  <c r="G145" i="28"/>
  <c r="E117" i="28"/>
  <c r="F117" i="28"/>
  <c r="G117" i="28"/>
  <c r="F125" i="28"/>
  <c r="G125" i="28"/>
  <c r="E125" i="28"/>
  <c r="F122" i="28"/>
  <c r="G122" i="28"/>
  <c r="E122" i="28"/>
  <c r="E109" i="28"/>
  <c r="F109" i="28"/>
  <c r="G109" i="28"/>
  <c r="E114" i="28"/>
  <c r="F114" i="28"/>
  <c r="G114" i="28"/>
  <c r="E110" i="28"/>
  <c r="F110" i="28"/>
  <c r="G110" i="28"/>
  <c r="G119" i="28"/>
  <c r="E119" i="28"/>
  <c r="F119" i="28"/>
  <c r="G118" i="28"/>
  <c r="E118" i="28"/>
  <c r="F118" i="28"/>
  <c r="F123" i="28"/>
  <c r="G123" i="28"/>
  <c r="E123" i="28"/>
  <c r="G120" i="28"/>
  <c r="F120" i="28"/>
  <c r="E120" i="28"/>
  <c r="E115" i="28"/>
  <c r="F115" i="28"/>
  <c r="G115" i="28"/>
  <c r="E111" i="28"/>
  <c r="F111" i="28"/>
  <c r="G111" i="28"/>
  <c r="F124" i="28"/>
  <c r="G124" i="28"/>
  <c r="E124" i="28"/>
  <c r="G121" i="28"/>
  <c r="E121" i="28"/>
  <c r="F121" i="28"/>
  <c r="E116" i="28"/>
  <c r="G116" i="28"/>
  <c r="F116" i="28"/>
  <c r="E113" i="28"/>
  <c r="F113" i="28"/>
  <c r="G113" i="28"/>
  <c r="E126" i="28"/>
  <c r="F126" i="28"/>
  <c r="G126" i="28"/>
  <c r="E103" i="28"/>
  <c r="F103" i="28"/>
  <c r="G103" i="28"/>
  <c r="E106" i="28"/>
  <c r="G106" i="28"/>
  <c r="F106" i="28"/>
  <c r="E107" i="28"/>
  <c r="G107" i="28"/>
  <c r="F107" i="28"/>
  <c r="F105" i="28"/>
  <c r="G105" i="28"/>
  <c r="E105" i="28"/>
  <c r="E104" i="28"/>
  <c r="G104" i="28"/>
  <c r="F104" i="28"/>
  <c r="F93" i="28"/>
  <c r="E93" i="28"/>
  <c r="G93" i="28"/>
  <c r="F94" i="28"/>
  <c r="E94" i="28"/>
  <c r="G94" i="28"/>
  <c r="G101" i="28"/>
  <c r="F101" i="28"/>
  <c r="E101" i="28"/>
  <c r="E102" i="28"/>
  <c r="G102" i="28"/>
  <c r="F102" i="28"/>
  <c r="G98" i="28"/>
  <c r="F98" i="28"/>
  <c r="E98" i="28"/>
  <c r="G99" i="28"/>
  <c r="E99" i="28"/>
  <c r="F99" i="28"/>
  <c r="F95" i="28"/>
  <c r="E95" i="28"/>
  <c r="G95" i="28"/>
  <c r="E97" i="28"/>
  <c r="G97" i="28"/>
  <c r="F97" i="28"/>
  <c r="F96" i="28"/>
  <c r="E96" i="28"/>
  <c r="G96" i="28"/>
  <c r="G100" i="28"/>
  <c r="F100" i="28"/>
  <c r="E100" i="28"/>
  <c r="E77" i="28"/>
  <c r="F77" i="28"/>
  <c r="G77" i="28"/>
  <c r="E83" i="28"/>
  <c r="G83" i="28"/>
  <c r="F83" i="28"/>
  <c r="E78" i="28"/>
  <c r="F78" i="28"/>
  <c r="G78" i="28"/>
  <c r="E86" i="28"/>
  <c r="F86" i="28"/>
  <c r="G86" i="28"/>
  <c r="F81" i="28"/>
  <c r="E81" i="28"/>
  <c r="G81" i="28"/>
  <c r="E84" i="28"/>
  <c r="F84" i="28"/>
  <c r="G84" i="28"/>
  <c r="E79" i="28"/>
  <c r="F79" i="28"/>
  <c r="G79" i="28"/>
  <c r="E92" i="28"/>
  <c r="F92" i="28"/>
  <c r="G92" i="28"/>
  <c r="E80" i="28"/>
  <c r="F80" i="28"/>
  <c r="G80" i="28"/>
  <c r="E82" i="28"/>
  <c r="F82" i="28"/>
  <c r="G82" i="28"/>
  <c r="F85" i="28"/>
  <c r="E85" i="28"/>
  <c r="G85" i="28"/>
  <c r="F44" i="28"/>
  <c r="G44" i="28"/>
  <c r="F45" i="28"/>
  <c r="G45" i="28"/>
  <c r="F46" i="28"/>
  <c r="G46" i="28"/>
  <c r="F47" i="28"/>
  <c r="G47" i="28"/>
  <c r="F48" i="28"/>
  <c r="G48" i="28"/>
  <c r="F49" i="28"/>
  <c r="G49" i="28"/>
  <c r="F50" i="28"/>
  <c r="G50" i="28"/>
  <c r="F51" i="28"/>
  <c r="G51" i="28"/>
  <c r="F52" i="28"/>
  <c r="G52" i="28"/>
  <c r="F53" i="28"/>
  <c r="G53" i="28"/>
  <c r="F54" i="28"/>
  <c r="G54" i="28"/>
  <c r="F55" i="28"/>
  <c r="G55" i="28"/>
  <c r="F42" i="28"/>
  <c r="G42" i="28"/>
  <c r="F56" i="28"/>
  <c r="G56" i="28"/>
  <c r="E51" i="28"/>
  <c r="E52" i="28"/>
  <c r="E53" i="28"/>
  <c r="E54" i="28"/>
  <c r="E55" i="28"/>
  <c r="E56" i="28"/>
  <c r="E45" i="28"/>
  <c r="E46" i="28"/>
  <c r="E47" i="28"/>
  <c r="E48" i="28"/>
  <c r="E49" i="28"/>
  <c r="E50" i="28"/>
  <c r="E44" i="28"/>
  <c r="E42" i="28"/>
  <c r="AN55" i="20" a="1"/>
  <c r="AN55" i="20" s="1"/>
  <c r="AO55" i="20" a="1"/>
  <c r="AO55" i="20" s="1"/>
  <c r="AO48" i="20" a="1"/>
  <c r="AO48" i="20" s="1"/>
  <c r="AN48" i="20" a="1"/>
  <c r="AN48" i="20" s="1"/>
  <c r="AD28" i="20"/>
  <c r="P28" i="20" s="1"/>
  <c r="AD12" i="20"/>
  <c r="P12" i="20" s="1"/>
  <c r="AD26" i="20"/>
  <c r="P26" i="20" s="1"/>
  <c r="AN15" i="20" a="1"/>
  <c r="AN15" i="20" s="1"/>
  <c r="AD19" i="20"/>
  <c r="P19" i="20" s="1"/>
  <c r="AN54" i="20" a="1"/>
  <c r="AN54" i="20" s="1"/>
  <c r="AO54" i="20" a="1"/>
  <c r="AO54" i="20" s="1"/>
  <c r="AO53" i="20" a="1"/>
  <c r="AO53" i="20" s="1"/>
  <c r="AN53" i="20" a="1"/>
  <c r="AN53" i="20" s="1"/>
  <c r="AO52" i="20" a="1"/>
  <c r="AO52" i="20" s="1"/>
  <c r="AO47" i="20" a="1"/>
  <c r="AO47" i="20" s="1"/>
  <c r="AN47" i="20" a="1"/>
  <c r="AN47" i="20" s="1"/>
  <c r="AO46" i="20" a="1"/>
  <c r="AO46" i="20" s="1"/>
  <c r="AN46" i="20" a="1"/>
  <c r="AN46" i="20" s="1"/>
  <c r="AN16" i="20" a="1"/>
  <c r="AN16" i="20" s="1"/>
  <c r="AO16" i="20" a="1"/>
  <c r="AO16" i="20" s="1"/>
  <c r="AO45" i="20" a="1"/>
  <c r="AO45" i="20" s="1"/>
  <c r="AN45" i="20" a="1"/>
  <c r="AN45" i="20" s="1"/>
  <c r="AN44" i="20" a="1"/>
  <c r="AN44" i="20" s="1"/>
  <c r="AO44" i="20" a="1"/>
  <c r="AO44" i="20" s="1"/>
  <c r="AN43" i="20" a="1"/>
  <c r="AN43" i="20" s="1"/>
  <c r="AO43" i="20" a="1"/>
  <c r="AO43" i="20" s="1"/>
  <c r="AN51" i="20" a="1"/>
  <c r="AN51" i="20" s="1"/>
  <c r="AO51" i="20" a="1"/>
  <c r="AO51" i="20" s="1"/>
  <c r="AN50" i="20" a="1"/>
  <c r="AN50" i="20" s="1"/>
  <c r="AO50" i="20" a="1"/>
  <c r="AO50" i="20" s="1"/>
  <c r="AN49" i="20" a="1"/>
  <c r="AN49" i="20" s="1"/>
  <c r="AO49" i="20" a="1"/>
  <c r="AO49" i="20" s="1"/>
  <c r="AO8" i="20" a="1"/>
  <c r="AO8" i="20" s="1"/>
  <c r="AN8" i="20" a="1"/>
  <c r="AN8" i="20" s="1"/>
  <c r="AN9" i="20" a="1"/>
  <c r="AN9" i="20" s="1"/>
  <c r="AD34" i="20"/>
  <c r="P34" i="20" s="1"/>
  <c r="AD24" i="20"/>
  <c r="P24" i="20" s="1"/>
  <c r="AD31" i="20"/>
  <c r="P31" i="20" s="1"/>
  <c r="AO32" i="20" a="1"/>
  <c r="AO32" i="20" s="1"/>
  <c r="AD22" i="20"/>
  <c r="P22" i="20" s="1"/>
  <c r="AD6" i="20"/>
  <c r="P6" i="20" s="1"/>
  <c r="AO11" i="20" a="1"/>
  <c r="AO11" i="20" s="1"/>
  <c r="AN41" i="20" a="1"/>
  <c r="AN41" i="20" s="1"/>
  <c r="AO41" i="20" a="1"/>
  <c r="AO41" i="20" s="1"/>
  <c r="AO40" i="20" a="1"/>
  <c r="AO40" i="20" s="1"/>
  <c r="AD20" i="20"/>
  <c r="P20" i="20" s="1"/>
  <c r="AO28" i="20" a="1"/>
  <c r="AO28" i="20" s="1"/>
  <c r="AD23" i="20"/>
  <c r="P23" i="20" s="1"/>
  <c r="AD7" i="20"/>
  <c r="P7" i="20" s="1"/>
  <c r="AD27" i="20"/>
  <c r="P27" i="20" s="1"/>
  <c r="AD11" i="20"/>
  <c r="P11" i="20" s="1"/>
  <c r="AD21" i="20"/>
  <c r="P21" i="20" s="1"/>
  <c r="AD5" i="20"/>
  <c r="P5" i="20" s="1"/>
  <c r="AD10" i="20"/>
  <c r="P10" i="20" s="1"/>
  <c r="AD30" i="20"/>
  <c r="P30" i="20" s="1"/>
  <c r="AD15" i="20"/>
  <c r="P15" i="20" s="1"/>
  <c r="AO24" i="20" a="1"/>
  <c r="AO24" i="20" s="1"/>
  <c r="AO18" i="20" a="1"/>
  <c r="AO18" i="20" s="1"/>
  <c r="AD25" i="20"/>
  <c r="P25" i="20" s="1"/>
  <c r="AD9" i="20"/>
  <c r="P9" i="20" s="1"/>
  <c r="AD14" i="20"/>
  <c r="P14" i="20" s="1"/>
  <c r="AD32" i="20"/>
  <c r="P32" i="20" s="1"/>
  <c r="AD8" i="20"/>
  <c r="P8" i="20" s="1"/>
  <c r="AD29" i="20"/>
  <c r="P29" i="20" s="1"/>
  <c r="AD13" i="20"/>
  <c r="P13" i="20" s="1"/>
  <c r="AO6" i="20" a="1"/>
  <c r="AO6" i="20" s="1"/>
  <c r="AN6" i="20" a="1"/>
  <c r="AN6" i="20" s="1"/>
  <c r="AO21" i="20" a="1"/>
  <c r="AO21" i="20" s="1"/>
  <c r="AN21" i="20" a="1"/>
  <c r="AN21" i="20" s="1"/>
  <c r="AO25" i="20" a="1"/>
  <c r="AO25" i="20" s="1"/>
  <c r="AO34" i="20" a="1"/>
  <c r="AO34" i="20" s="1"/>
  <c r="AN34" i="20" a="1"/>
  <c r="AN34" i="20" s="1"/>
  <c r="AN27" i="20" a="1"/>
  <c r="AN27" i="20" s="1"/>
  <c r="AO27" i="20" a="1"/>
  <c r="AO27" i="20" s="1"/>
  <c r="AN7" i="20" a="1"/>
  <c r="AN7" i="20" s="1"/>
  <c r="AO7" i="20" a="1"/>
  <c r="AO7" i="20" s="1"/>
  <c r="AN23" i="20" a="1"/>
  <c r="AN23" i="20" s="1"/>
  <c r="AN20" i="20" a="1"/>
  <c r="AN20" i="20" s="1"/>
  <c r="AD4" i="20"/>
  <c r="P4" i="20" s="1"/>
  <c r="AD17" i="20"/>
  <c r="P17" i="20" s="1"/>
  <c r="AD16" i="20"/>
  <c r="P16" i="20" s="1"/>
  <c r="AN14" i="20" a="1"/>
  <c r="AN14" i="20" s="1"/>
  <c r="AO4" i="20" a="1"/>
  <c r="AO4" i="20" s="1"/>
  <c r="D11" i="14"/>
  <c r="C11" i="14"/>
  <c r="B11" i="14"/>
  <c r="A11" i="14"/>
  <c r="M12" i="24"/>
  <c r="O12" i="24"/>
  <c r="B125" i="28" a="1"/>
  <c r="B137" i="28" a="1"/>
  <c r="B47" i="28" a="1"/>
  <c r="B158" i="28" a="1"/>
  <c r="B205" i="28" a="1"/>
  <c r="B199" i="28" a="1"/>
  <c r="B107" i="28" a="1"/>
  <c r="B251" i="28" a="1"/>
  <c r="B102" i="28" a="1"/>
  <c r="B128" i="28" a="1"/>
  <c r="B178" i="28" a="1"/>
  <c r="B161" i="28" a="1"/>
  <c r="B94" i="28" a="1"/>
  <c r="B194" i="28" a="1"/>
  <c r="B196" i="28" a="1"/>
  <c r="B56" i="28" a="1"/>
  <c r="B42" i="28" a="1"/>
  <c r="B101" i="28" a="1"/>
  <c r="B135" i="28" a="1"/>
  <c r="B45" i="28" a="1"/>
  <c r="B143" i="28" a="1"/>
  <c r="B134" i="28" a="1"/>
  <c r="B122" i="28" a="1"/>
  <c r="B248" i="28" a="1"/>
  <c r="B159" i="28" a="1"/>
  <c r="B176" i="28" a="1"/>
  <c r="B172" i="28" a="1"/>
  <c r="B170" i="28" a="1"/>
  <c r="B189" i="28" a="1"/>
  <c r="B216" i="28" a="1"/>
  <c r="B173" i="28" a="1"/>
  <c r="B124" i="28" a="1"/>
  <c r="B221" i="28" a="1"/>
  <c r="B46" i="28" a="1"/>
  <c r="B92" i="28" a="1"/>
  <c r="B129" i="28" a="1"/>
  <c r="B188" i="28" a="1"/>
  <c r="K13" i="29" a="1"/>
  <c r="B185" i="28" a="1"/>
  <c r="B111" i="28" a="1"/>
  <c r="B126" i="28" a="1"/>
  <c r="B100" i="28" a="1"/>
  <c r="B162" i="28" a="1"/>
  <c r="B146" i="28" a="1"/>
  <c r="B117" i="28" a="1"/>
  <c r="B212" i="28" a="1"/>
  <c r="B130" i="28" a="1"/>
  <c r="B164" i="28" a="1"/>
  <c r="B166" i="28" a="1"/>
  <c r="B219" i="28" a="1"/>
  <c r="B255" i="28" a="1"/>
  <c r="B77" i="28" a="1"/>
  <c r="B81" i="28" a="1"/>
  <c r="B204" i="28" a="1"/>
  <c r="B149" i="28" a="1"/>
  <c r="B202" i="28" a="1"/>
  <c r="B140" i="28" a="1"/>
  <c r="B118" i="28" a="1"/>
  <c r="B183" i="28" a="1"/>
  <c r="B80" i="28" a="1"/>
  <c r="B254" i="28" a="1"/>
  <c r="B50" i="28" a="1"/>
  <c r="B165" i="28" a="1"/>
  <c r="B109" i="28" a="1"/>
  <c r="B83" i="28" a="1"/>
  <c r="B147" i="28" a="1"/>
  <c r="B131" i="28" a="1"/>
  <c r="B95" i="28" a="1"/>
  <c r="B224" i="28" a="1"/>
  <c r="B198" i="28" a="1"/>
  <c r="B179" i="28" a="1"/>
  <c r="B154" i="28" a="1"/>
  <c r="K28" i="29" a="1"/>
  <c r="B223" i="28" a="1"/>
  <c r="B105" i="28" a="1"/>
  <c r="B133" i="28" a="1"/>
  <c r="B54" i="28" a="1"/>
  <c r="B203" i="28" a="1"/>
  <c r="B148" i="28" a="1"/>
  <c r="B256" i="28" a="1"/>
  <c r="B120" i="28" a="1"/>
  <c r="B249" i="28" a="1"/>
  <c r="B98" i="28" a="1"/>
  <c r="B132" i="28" a="1"/>
  <c r="B168" i="28" a="1"/>
  <c r="B113" i="28" a="1"/>
  <c r="B99" i="28" a="1"/>
  <c r="B106" i="28" a="1"/>
  <c r="B84" i="28" a="1"/>
  <c r="B104" i="28" a="1"/>
  <c r="B93" i="28" a="1"/>
  <c r="B190" i="28" a="1"/>
  <c r="B201" i="28" a="1"/>
  <c r="B200" i="28" a="1"/>
  <c r="B136" i="28" a="1"/>
  <c r="B115" i="28" a="1"/>
  <c r="B157" i="28" a="1"/>
  <c r="B215" i="28" a="1"/>
  <c r="B78" i="28" a="1"/>
  <c r="B163" i="28" a="1"/>
  <c r="B138" i="28" a="1"/>
  <c r="B195" i="28" a="1"/>
  <c r="B206" i="28" a="1"/>
  <c r="B85" i="28" a="1"/>
  <c r="B51" i="28" a="1"/>
  <c r="B123" i="28" a="1"/>
  <c r="B142" i="28" a="1"/>
  <c r="B192" i="28" a="1"/>
  <c r="B187" i="28" a="1"/>
  <c r="I180" i="28" a="1"/>
  <c r="B55" i="28" a="1"/>
  <c r="B211" i="28" a="1"/>
  <c r="B44" i="28" a="1"/>
  <c r="B139" i="28" a="1"/>
  <c r="B52" i="28" a="1"/>
  <c r="B213" i="28" a="1"/>
  <c r="B121" i="28" a="1"/>
  <c r="B96" i="28" a="1"/>
  <c r="B197" i="28" a="1"/>
  <c r="B86" i="28" a="1"/>
  <c r="B49" i="28" a="1"/>
  <c r="B119" i="28" a="1"/>
  <c r="B145" i="28" a="1"/>
  <c r="B253" i="28" a="1"/>
  <c r="B169" i="28" a="1"/>
  <c r="B208" i="28" a="1"/>
  <c r="B103" i="28" a="1"/>
  <c r="B222" i="28" a="1"/>
  <c r="B193" i="28" a="1"/>
  <c r="B175" i="28" a="1"/>
  <c r="B141" i="28" a="1"/>
  <c r="B207" i="28" a="1"/>
  <c r="B97" i="28" a="1"/>
  <c r="B53" i="28" a="1"/>
  <c r="B114" i="28" a="1"/>
  <c r="B160" i="28" a="1"/>
  <c r="B48" i="28" a="1"/>
  <c r="B167" i="28" a="1"/>
  <c r="B171" i="28" a="1"/>
  <c r="B250" i="28" a="1"/>
  <c r="B79" i="28" a="1"/>
  <c r="B252" i="28" a="1"/>
  <c r="B214" i="28" a="1"/>
  <c r="B110" i="28" a="1"/>
  <c r="B82" i="28" a="1"/>
  <c r="B116" i="28" a="1"/>
  <c r="B209" i="28" a="1"/>
  <c r="B220" i="28" a="1"/>
  <c r="B144" i="28" a="1"/>
  <c r="B184" i="28" a="1"/>
  <c r="B218" i="28" a="1"/>
  <c r="K13" i="29" l="1"/>
  <c r="L13" i="29" s="1" a="1"/>
  <c r="L13" i="29" s="1"/>
  <c r="K28" i="29"/>
  <c r="L28" i="29" s="1" a="1"/>
  <c r="L28" i="29" s="1"/>
  <c r="A25" i="16" a="1"/>
  <c r="A25" i="16" s="1"/>
  <c r="BF1" i="4" a="1"/>
  <c r="BF1" i="4" s="1"/>
  <c r="F58" i="29" s="1"/>
  <c r="M1" i="9" a="1"/>
  <c r="M1" i="9" s="1"/>
  <c r="E1" i="12" a="1"/>
  <c r="E1" i="12" s="1"/>
  <c r="D1" i="12" a="1"/>
  <c r="D1" i="12" s="1"/>
  <c r="F1" i="12" a="1"/>
  <c r="F1" i="12" s="1"/>
  <c r="G1" i="12" a="1"/>
  <c r="G1" i="12" s="1"/>
  <c r="D1" i="10" a="1"/>
  <c r="D1" i="10" s="1"/>
  <c r="I180" i="28"/>
  <c r="G1" i="21" s="1" a="1"/>
  <c r="G1" i="21" s="1"/>
  <c r="A1" i="32" a="1"/>
  <c r="A1" i="32" s="1"/>
  <c r="B210" i="28" a="1"/>
  <c r="B210" i="28" s="1"/>
  <c r="B180" i="28" a="1"/>
  <c r="B180" i="28" s="1"/>
  <c r="B46" i="28"/>
  <c r="B190" i="28"/>
  <c r="B219" i="28"/>
  <c r="B192" i="28"/>
  <c r="B129" i="28"/>
  <c r="B160" i="28"/>
  <c r="B188" i="28"/>
  <c r="B215" i="28"/>
  <c r="B93" i="28"/>
  <c r="B142" i="28"/>
  <c r="B249" i="28"/>
  <c r="B253" i="28"/>
  <c r="B103" i="28"/>
  <c r="B79" i="28"/>
  <c r="B99" i="28"/>
  <c r="B130" i="28"/>
  <c r="B148" i="28"/>
  <c r="B164" i="28"/>
  <c r="B55" i="28"/>
  <c r="B111" i="28"/>
  <c r="B131" i="28"/>
  <c r="B134" i="28"/>
  <c r="B173" i="28"/>
  <c r="B189" i="28"/>
  <c r="B208" i="28"/>
  <c r="B197" i="28"/>
  <c r="B193" i="28"/>
  <c r="B223" i="28"/>
  <c r="B56" i="28"/>
  <c r="B54" i="28"/>
  <c r="B77" i="28"/>
  <c r="B98" i="28"/>
  <c r="B126" i="28"/>
  <c r="B117" i="28"/>
  <c r="B163" i="28"/>
  <c r="B159" i="28"/>
  <c r="B195" i="28"/>
  <c r="B201" i="28"/>
  <c r="B216" i="28"/>
  <c r="B250" i="28"/>
  <c r="B85" i="28"/>
  <c r="B84" i="28"/>
  <c r="B100" i="28"/>
  <c r="B104" i="28"/>
  <c r="B110" i="28"/>
  <c r="B172" i="28"/>
  <c r="B184" i="28"/>
  <c r="B178" i="28"/>
  <c r="B45" i="28"/>
  <c r="B83" i="28"/>
  <c r="B119" i="28"/>
  <c r="B53" i="28"/>
  <c r="B52" i="28"/>
  <c r="B105" i="28"/>
  <c r="B115" i="28"/>
  <c r="B144" i="28"/>
  <c r="B149" i="28"/>
  <c r="B198" i="28"/>
  <c r="B203" i="28"/>
  <c r="B248" i="28"/>
  <c r="B220" i="28"/>
  <c r="B51" i="28"/>
  <c r="B113" i="28"/>
  <c r="B120" i="28"/>
  <c r="B145" i="28"/>
  <c r="B128" i="28"/>
  <c r="B158" i="28"/>
  <c r="B214" i="28"/>
  <c r="B252" i="28"/>
  <c r="B81" i="28"/>
  <c r="B114" i="28"/>
  <c r="B135" i="28"/>
  <c r="B146" i="28"/>
  <c r="B162" i="28"/>
  <c r="B170" i="28"/>
  <c r="B183" i="28"/>
  <c r="B176" i="28"/>
  <c r="B200" i="28"/>
  <c r="B196" i="28"/>
  <c r="B82" i="28"/>
  <c r="B96" i="28"/>
  <c r="B102" i="28"/>
  <c r="B132" i="28"/>
  <c r="B138" i="28"/>
  <c r="B154" i="28"/>
  <c r="B167" i="28"/>
  <c r="B211" i="28"/>
  <c r="B222" i="28"/>
  <c r="B116" i="28"/>
  <c r="B139" i="28"/>
  <c r="B133" i="28"/>
  <c r="B206" i="28"/>
  <c r="B194" i="28"/>
  <c r="B213" i="28"/>
  <c r="B256" i="28"/>
  <c r="B141" i="28"/>
  <c r="B161" i="28"/>
  <c r="B185" i="28"/>
  <c r="B175" i="28"/>
  <c r="B44" i="28"/>
  <c r="B86" i="28"/>
  <c r="B107" i="28"/>
  <c r="B109" i="28"/>
  <c r="B50" i="28"/>
  <c r="B80" i="28"/>
  <c r="B121" i="28"/>
  <c r="B122" i="28"/>
  <c r="B140" i="28"/>
  <c r="B157" i="28"/>
  <c r="B165" i="28"/>
  <c r="B171" i="28"/>
  <c r="B207" i="28"/>
  <c r="B202" i="28"/>
  <c r="B212" i="28"/>
  <c r="B254" i="28"/>
  <c r="B97" i="28"/>
  <c r="B143" i="28"/>
  <c r="B137" i="28"/>
  <c r="B166" i="28"/>
  <c r="B168" i="28"/>
  <c r="B205" i="28"/>
  <c r="B224" i="28"/>
  <c r="B255" i="28"/>
  <c r="B42" i="28"/>
  <c r="B94" i="28"/>
  <c r="B218" i="28"/>
  <c r="B251" i="28"/>
  <c r="B101" i="28"/>
  <c r="B123" i="28"/>
  <c r="B49" i="28"/>
  <c r="B48" i="28"/>
  <c r="B78" i="28"/>
  <c r="B106" i="28"/>
  <c r="B124" i="28"/>
  <c r="B118" i="28"/>
  <c r="B136" i="28"/>
  <c r="B169" i="28"/>
  <c r="B47" i="28"/>
  <c r="B92" i="28"/>
  <c r="B95" i="28"/>
  <c r="B125" i="28"/>
  <c r="B147" i="28"/>
  <c r="B187" i="28"/>
  <c r="B179" i="28"/>
  <c r="B199" i="28"/>
  <c r="B204" i="28"/>
  <c r="B209" i="28"/>
  <c r="B221" i="28"/>
  <c r="B247" i="28" a="1"/>
  <c r="B247" i="28" s="1"/>
  <c r="H16" i="22" a="1"/>
  <c r="H16" i="22" s="1"/>
  <c r="A14" i="16" a="1"/>
  <c r="A14" i="16" s="1"/>
  <c r="BK1" i="4" a="1"/>
  <c r="BK1" i="4" s="1"/>
  <c r="BI1" i="4" a="1"/>
  <c r="BI1" i="4" s="1"/>
  <c r="A17" i="31" a="1"/>
  <c r="A17" i="31" s="1"/>
  <c r="A13" i="31" a="1"/>
  <c r="A13" i="31" s="1"/>
  <c r="A9" i="31" a="1"/>
  <c r="A9" i="31" s="1"/>
  <c r="A5" i="31" a="1"/>
  <c r="A5" i="31" s="1"/>
  <c r="A1" i="31" a="1"/>
  <c r="A1" i="31" s="1"/>
  <c r="B5" i="30" a="1"/>
  <c r="B5" i="30" s="1"/>
  <c r="C5" i="30" a="1"/>
  <c r="C5" i="30" s="1"/>
  <c r="BA1" i="4" a="1"/>
  <c r="BA1" i="4" s="1"/>
  <c r="B1" i="24" a="1"/>
  <c r="B1" i="24" s="1"/>
  <c r="C1" i="24" a="1"/>
  <c r="C1" i="24" s="1"/>
  <c r="D1" i="24" a="1"/>
  <c r="D1" i="24" s="1"/>
  <c r="E1" i="24" a="1"/>
  <c r="E1" i="24" s="1"/>
  <c r="F1" i="24" a="1"/>
  <c r="F1" i="24" s="1"/>
  <c r="G1" i="24" a="1"/>
  <c r="G1" i="24" s="1"/>
  <c r="A1" i="24" a="1"/>
  <c r="A1" i="24" s="1"/>
  <c r="B16" i="14" a="1"/>
  <c r="B16" i="14" s="1"/>
  <c r="B18" i="14" a="1"/>
  <c r="B18" i="14" s="1"/>
  <c r="A18" i="14" a="1"/>
  <c r="A18" i="14" s="1"/>
  <c r="B1" i="27" a="1"/>
  <c r="B1" i="27" s="1"/>
  <c r="C1" i="27" a="1"/>
  <c r="C1" i="27" s="1"/>
  <c r="E1" i="27" a="1"/>
  <c r="E1" i="27" s="1"/>
  <c r="F1" i="27" a="1"/>
  <c r="F1" i="27" s="1"/>
  <c r="D1" i="27" a="1"/>
  <c r="D1" i="27" s="1"/>
  <c r="A1" i="27" a="1"/>
  <c r="A1" i="27" s="1"/>
  <c r="B16" i="22" a="1"/>
  <c r="B16" i="22" s="1"/>
  <c r="C16" i="22" a="1"/>
  <c r="C16" i="22" s="1"/>
  <c r="D16" i="22" a="1"/>
  <c r="D16" i="22" s="1"/>
  <c r="E16" i="22" a="1"/>
  <c r="E16" i="22" s="1"/>
  <c r="F16" i="22" a="1"/>
  <c r="F16" i="22" s="1"/>
  <c r="G16" i="22" a="1"/>
  <c r="G16" i="22" s="1"/>
  <c r="A16" i="22" a="1"/>
  <c r="A16" i="22" s="1"/>
  <c r="D3" i="17" a="1"/>
  <c r="D3" i="17" s="1"/>
  <c r="L3" i="17" a="1"/>
  <c r="L3" i="17" s="1"/>
  <c r="T3" i="17" a="1"/>
  <c r="T3" i="17" s="1"/>
  <c r="M3" i="17" a="1"/>
  <c r="M3" i="17" s="1"/>
  <c r="E3" i="17" a="1"/>
  <c r="E3" i="17" s="1"/>
  <c r="N3" i="17" a="1"/>
  <c r="N3" i="17" s="1"/>
  <c r="F3" i="17" a="1"/>
  <c r="F3" i="17" s="1"/>
  <c r="O3" i="17" a="1"/>
  <c r="O3" i="17" s="1"/>
  <c r="G3" i="17" a="1"/>
  <c r="G3" i="17" s="1"/>
  <c r="P3" i="17" a="1"/>
  <c r="P3" i="17" s="1"/>
  <c r="H3" i="17" a="1"/>
  <c r="H3" i="17" s="1"/>
  <c r="Q3" i="17" a="1"/>
  <c r="Q3" i="17" s="1"/>
  <c r="I3" i="17" a="1"/>
  <c r="I3" i="17" s="1"/>
  <c r="J3" i="17" a="1"/>
  <c r="J3" i="17" s="1"/>
  <c r="S3" i="17" a="1"/>
  <c r="S3" i="17" s="1"/>
  <c r="R3" i="17" a="1"/>
  <c r="R3" i="17" s="1"/>
  <c r="K3" i="17" a="1"/>
  <c r="K3" i="17" s="1"/>
  <c r="C1" i="17" a="1"/>
  <c r="C1" i="17" s="1"/>
  <c r="C3" i="17" a="1"/>
  <c r="C3" i="17" s="1"/>
  <c r="A1" i="17" a="1"/>
  <c r="A1" i="17" s="1"/>
  <c r="AQ1" i="4" a="1"/>
  <c r="AQ1" i="4" s="1"/>
  <c r="AH1" i="4" a="1"/>
  <c r="AH1" i="4" s="1"/>
  <c r="Y1" i="4" a="1"/>
  <c r="Y1" i="4" s="1"/>
  <c r="C1" i="4" a="1"/>
  <c r="C1" i="4" s="1"/>
  <c r="E1" i="4" a="1"/>
  <c r="E1" i="4" s="1"/>
  <c r="V1" i="4" a="1"/>
  <c r="V1" i="4" s="1"/>
  <c r="AE1" i="4" a="1"/>
  <c r="AE1" i="4" s="1"/>
  <c r="Q1" i="4" a="1"/>
  <c r="Q1" i="4" s="1"/>
  <c r="O1" i="4" a="1"/>
  <c r="O1" i="4" s="1"/>
  <c r="AO1" i="4" a="1"/>
  <c r="AO1" i="4" s="1"/>
  <c r="T1" i="4" a="1"/>
  <c r="T1" i="4" s="1"/>
  <c r="AU1" i="4" a="1"/>
  <c r="AU1" i="4" s="1"/>
  <c r="AW1" i="4" a="1"/>
  <c r="AW1" i="4" s="1"/>
  <c r="AY1" i="4" a="1"/>
  <c r="AY1" i="4" s="1"/>
  <c r="M1" i="4" a="1"/>
  <c r="M1" i="4" s="1"/>
  <c r="G1" i="4" a="1"/>
  <c r="G1" i="4" s="1"/>
  <c r="J33" i="29" s="1"/>
  <c r="A1" i="4" a="1"/>
  <c r="A1" i="4" s="1"/>
  <c r="B1" i="29" a="1"/>
  <c r="B1" i="29" s="1"/>
  <c r="I1" i="29" a="1"/>
  <c r="I1" i="29" s="1"/>
  <c r="C1" i="29" a="1"/>
  <c r="C1" i="29" s="1"/>
  <c r="J1" i="29" a="1"/>
  <c r="J1" i="29" s="1"/>
  <c r="D1" i="29" a="1"/>
  <c r="D1" i="29" s="1"/>
  <c r="E1" i="29" a="1"/>
  <c r="E1" i="29" s="1"/>
  <c r="L1" i="29" a="1"/>
  <c r="L1" i="29" s="1"/>
  <c r="M1" i="29" a="1"/>
  <c r="M1" i="29" s="1"/>
  <c r="F1" i="29" a="1"/>
  <c r="F1" i="29" s="1"/>
  <c r="G1" i="29" a="1"/>
  <c r="G1" i="29" s="1"/>
  <c r="K1" i="29" a="1"/>
  <c r="K1" i="29" s="1"/>
  <c r="N1" i="29" a="1"/>
  <c r="N1" i="29" s="1"/>
  <c r="H1" i="29" a="1"/>
  <c r="H1" i="29" s="1"/>
  <c r="A1" i="29" a="1"/>
  <c r="A1" i="29" s="1"/>
  <c r="F43" i="9" s="1" a="1"/>
  <c r="F43" i="9" s="1"/>
  <c r="B1" i="25" a="1"/>
  <c r="B1" i="25" s="1"/>
  <c r="J1" i="25" a="1"/>
  <c r="J1" i="25" s="1"/>
  <c r="K1" i="25" a="1"/>
  <c r="K1" i="25" s="1"/>
  <c r="C1" i="25" a="1"/>
  <c r="C1" i="25" s="1"/>
  <c r="L1" i="25" a="1"/>
  <c r="L1" i="25" s="1"/>
  <c r="D1" i="25" a="1"/>
  <c r="D1" i="25" s="1"/>
  <c r="M1" i="25" a="1"/>
  <c r="M1" i="25" s="1"/>
  <c r="E1" i="25" a="1"/>
  <c r="E1" i="25" s="1"/>
  <c r="I1" i="25" a="1"/>
  <c r="I1" i="25" s="1"/>
  <c r="N1" i="25" a="1"/>
  <c r="N1" i="25" s="1"/>
  <c r="F1" i="25" a="1"/>
  <c r="F1" i="25" s="1"/>
  <c r="O1" i="25" a="1"/>
  <c r="O1" i="25" s="1"/>
  <c r="G1" i="25" a="1"/>
  <c r="G1" i="25" s="1"/>
  <c r="P1" i="25" a="1"/>
  <c r="P1" i="25" s="1"/>
  <c r="H1" i="25" a="1"/>
  <c r="H1" i="25" s="1"/>
  <c r="A1" i="25" a="1"/>
  <c r="A1" i="25" s="1"/>
  <c r="B1" i="9" a="1"/>
  <c r="B1" i="9" s="1"/>
  <c r="K1" i="9" a="1"/>
  <c r="K1" i="9" s="1"/>
  <c r="C1" i="9" a="1"/>
  <c r="C1" i="9" s="1"/>
  <c r="L1" i="9" a="1"/>
  <c r="L1" i="9" s="1"/>
  <c r="D1" i="9" a="1"/>
  <c r="D1" i="9" s="1"/>
  <c r="N1" i="9" a="1"/>
  <c r="N1" i="9" s="1"/>
  <c r="E1" i="9" a="1"/>
  <c r="E1" i="9" s="1"/>
  <c r="O1" i="9" a="1"/>
  <c r="O1" i="9" s="1"/>
  <c r="F1" i="9" a="1"/>
  <c r="F1" i="9" s="1"/>
  <c r="P1" i="9" a="1"/>
  <c r="P1" i="9" s="1"/>
  <c r="G1" i="9" a="1"/>
  <c r="G1" i="9" s="1"/>
  <c r="H1" i="9" a="1"/>
  <c r="H1" i="9" s="1"/>
  <c r="I1" i="9" a="1"/>
  <c r="I1" i="9" s="1"/>
  <c r="J1" i="9" a="1"/>
  <c r="J1" i="9" s="1"/>
  <c r="A1" i="9" a="1"/>
  <c r="A1" i="9" s="1"/>
  <c r="H47" i="10" s="1" a="1"/>
  <c r="H47" i="10" s="1"/>
  <c r="A1" i="10" a="1"/>
  <c r="A1" i="10" s="1"/>
  <c r="B1" i="10" a="1"/>
  <c r="B1" i="10" s="1"/>
  <c r="K1" i="10" a="1"/>
  <c r="K1" i="10" s="1"/>
  <c r="L1" i="10" a="1"/>
  <c r="L1" i="10" s="1"/>
  <c r="S1" i="10" a="1"/>
  <c r="S1" i="10" s="1"/>
  <c r="C1" i="10" a="1"/>
  <c r="C1" i="10" s="1"/>
  <c r="M1" i="10" a="1"/>
  <c r="M1" i="10" s="1"/>
  <c r="E1" i="10" a="1"/>
  <c r="E1" i="10" s="1"/>
  <c r="N1" i="10" a="1"/>
  <c r="N1" i="10" s="1"/>
  <c r="Q1" i="10" a="1"/>
  <c r="Q1" i="10" s="1"/>
  <c r="R1" i="10" a="1"/>
  <c r="R1" i="10" s="1"/>
  <c r="I1" i="10" a="1"/>
  <c r="I1" i="10" s="1"/>
  <c r="F1" i="10" a="1"/>
  <c r="F1" i="10" s="1"/>
  <c r="J1" i="10" a="1"/>
  <c r="J1" i="10" s="1"/>
  <c r="O1" i="10" a="1"/>
  <c r="O1" i="10" s="1"/>
  <c r="G1" i="10" a="1"/>
  <c r="G1" i="10" s="1"/>
  <c r="P1" i="10" a="1"/>
  <c r="P1" i="10" s="1"/>
  <c r="H1" i="10" a="1"/>
  <c r="H1" i="10" s="1"/>
  <c r="B1" i="20" a="1"/>
  <c r="B1" i="20" s="1"/>
  <c r="R1" i="20" a="1"/>
  <c r="R1" i="20" s="1"/>
  <c r="J1" i="20" a="1"/>
  <c r="J1" i="20" s="1"/>
  <c r="K1" i="20" a="1"/>
  <c r="K1" i="20" s="1"/>
  <c r="S1" i="20" a="1"/>
  <c r="S1" i="20" s="1"/>
  <c r="C1" i="20" a="1"/>
  <c r="C1" i="20" s="1"/>
  <c r="L1" i="20" a="1"/>
  <c r="L1" i="20" s="1"/>
  <c r="D1" i="20" a="1"/>
  <c r="D1" i="20" s="1"/>
  <c r="M1" i="20" a="1"/>
  <c r="M1" i="20" s="1"/>
  <c r="E1" i="20" a="1"/>
  <c r="E1" i="20" s="1"/>
  <c r="N1" i="20" a="1"/>
  <c r="N1" i="20" s="1"/>
  <c r="Q1" i="20" a="1"/>
  <c r="Q1" i="20" s="1"/>
  <c r="F1" i="20" a="1"/>
  <c r="F1" i="20" s="1"/>
  <c r="P1" i="20" a="1"/>
  <c r="P1" i="20" s="1"/>
  <c r="O1" i="20" a="1"/>
  <c r="O1" i="20" s="1"/>
  <c r="G1" i="20" a="1"/>
  <c r="G1" i="20" s="1"/>
  <c r="H1" i="20" a="1"/>
  <c r="H1" i="20" s="1"/>
  <c r="I1" i="20" a="1"/>
  <c r="I1" i="20" s="1"/>
  <c r="A1" i="20" a="1"/>
  <c r="A1" i="20" s="1"/>
  <c r="F2" i="16" a="1"/>
  <c r="F2" i="16" s="1"/>
  <c r="A6" i="16" a="1"/>
  <c r="A6" i="16" s="1"/>
  <c r="A16" i="16" a="1"/>
  <c r="A16" i="16" s="1"/>
  <c r="A12" i="16" a="1"/>
  <c r="A12" i="16" s="1"/>
  <c r="A8" i="16" a="1"/>
  <c r="A8" i="16" s="1"/>
  <c r="A4" i="16" a="1"/>
  <c r="A4" i="16" s="1"/>
  <c r="A10" i="16" a="1"/>
  <c r="A10" i="16" s="1"/>
  <c r="A2" i="16" a="1"/>
  <c r="A2" i="16" s="1"/>
  <c r="B1" i="3" a="1"/>
  <c r="B1" i="3" s="1"/>
  <c r="C1" i="3" a="1"/>
  <c r="C1" i="3" s="1"/>
  <c r="D1" i="3" a="1"/>
  <c r="D1" i="3" s="1"/>
  <c r="G1" i="3" a="1"/>
  <c r="G1" i="3" s="1"/>
  <c r="E1" i="3" a="1"/>
  <c r="E1" i="3" s="1"/>
  <c r="F1" i="3" a="1"/>
  <c r="F1" i="3" s="1"/>
  <c r="A1" i="3" a="1"/>
  <c r="A1" i="3" s="1"/>
  <c r="B1" i="13" a="1"/>
  <c r="B1" i="13" s="1"/>
  <c r="C1" i="13" a="1"/>
  <c r="C1" i="13" s="1"/>
  <c r="D1" i="13" a="1"/>
  <c r="D1" i="13" s="1"/>
  <c r="A1" i="13" a="1"/>
  <c r="A1" i="13" s="1"/>
  <c r="B1" i="12" a="1"/>
  <c r="B1" i="12" s="1"/>
  <c r="C1" i="12" a="1"/>
  <c r="C1" i="12" s="1"/>
  <c r="A1" i="12" a="1"/>
  <c r="A1" i="12" s="1"/>
  <c r="B1" i="21" a="1"/>
  <c r="B1" i="21" s="1"/>
  <c r="C1" i="21" a="1"/>
  <c r="C1" i="21" s="1"/>
  <c r="D1" i="21" a="1"/>
  <c r="D1" i="21" s="1"/>
  <c r="E1" i="21" a="1"/>
  <c r="E1" i="21" s="1"/>
  <c r="A1" i="21" a="1"/>
  <c r="A1" i="21" s="1"/>
  <c r="H42" i="28" a="1"/>
  <c r="H42" i="28" s="1"/>
  <c r="L12" i="24"/>
  <c r="N12" i="24"/>
  <c r="I228" i="28" a="1"/>
  <c r="G58" i="29"/>
  <c r="J30" i="29" l="1"/>
  <c r="J27" i="29"/>
  <c r="J26" i="29"/>
  <c r="J24" i="29"/>
  <c r="J21" i="29"/>
  <c r="J20" i="29"/>
  <c r="J18" i="29"/>
  <c r="J16" i="29"/>
  <c r="J12" i="29"/>
  <c r="J10" i="29"/>
  <c r="J8" i="29"/>
  <c r="AH16" i="21" a="1"/>
  <c r="AH16" i="21" s="1"/>
  <c r="H34" i="20" a="1"/>
  <c r="H34" i="20" s="1"/>
  <c r="H46" i="10" a="1"/>
  <c r="H46" i="10" s="1"/>
  <c r="D2" i="19" a="1"/>
  <c r="D2" i="19" s="1"/>
  <c r="H8" i="20" a="1"/>
  <c r="H8" i="20" s="1"/>
  <c r="H36" i="20" a="1"/>
  <c r="H36" i="20" s="1"/>
  <c r="AH29" i="21" a="1"/>
  <c r="AH29" i="21" s="1"/>
  <c r="F32" i="20" a="1"/>
  <c r="F32" i="20" s="1"/>
  <c r="AC15" i="3" a="1"/>
  <c r="AC15" i="3" s="1"/>
  <c r="AC14" i="3" a="1"/>
  <c r="AC14" i="3" s="1"/>
  <c r="AI14" i="3" s="1" a="1"/>
  <c r="AI14" i="3" s="1"/>
  <c r="K14" i="3" a="1"/>
  <c r="K14" i="3" s="1"/>
  <c r="B14" i="3" s="1" a="1"/>
  <c r="B14" i="3" s="1"/>
  <c r="K15" i="3" a="1"/>
  <c r="K15" i="3" s="1"/>
  <c r="AL14" i="3" a="1"/>
  <c r="AL14" i="3" s="1"/>
  <c r="AL15" i="3" a="1"/>
  <c r="AL15" i="3" s="1"/>
  <c r="F42" i="9" a="1"/>
  <c r="F42" i="9" s="1"/>
  <c r="C8" i="25" a="1"/>
  <c r="C8" i="25" s="1"/>
  <c r="H8" i="25" a="1"/>
  <c r="H8" i="25" s="1"/>
  <c r="I8" i="25" a="1"/>
  <c r="I8" i="25" s="1"/>
  <c r="F20" i="20" a="1"/>
  <c r="F20" i="20" s="1"/>
  <c r="F39" i="20" a="1"/>
  <c r="F39" i="20" s="1"/>
  <c r="H47" i="20" a="1"/>
  <c r="H47" i="20" s="1"/>
  <c r="H20" i="20" a="1"/>
  <c r="H20" i="20" s="1"/>
  <c r="H43" i="10" a="1"/>
  <c r="H43" i="10" s="1"/>
  <c r="F36" i="20" a="1"/>
  <c r="F36" i="20" s="1"/>
  <c r="L1" i="21" a="1"/>
  <c r="L1" i="21" s="1"/>
  <c r="H1" i="21" a="1"/>
  <c r="H1" i="21" s="1"/>
  <c r="I1" i="21" a="1"/>
  <c r="I1" i="21" s="1"/>
  <c r="J1" i="21" a="1"/>
  <c r="J1" i="21" s="1"/>
  <c r="O1" i="21" a="1"/>
  <c r="O1" i="21" s="1"/>
  <c r="K1" i="21" a="1"/>
  <c r="K1" i="21" s="1"/>
  <c r="F1" i="21" a="1"/>
  <c r="F1" i="21" s="1"/>
  <c r="N1" i="21" a="1"/>
  <c r="N1" i="21" s="1"/>
  <c r="M1" i="21" a="1"/>
  <c r="M1" i="21" s="1"/>
  <c r="AN44" i="3" a="1"/>
  <c r="AN44" i="3" s="1"/>
  <c r="AN53" i="3" a="1"/>
  <c r="AN53" i="3" s="1"/>
  <c r="AN45" i="3" a="1"/>
  <c r="AN45" i="3" s="1"/>
  <c r="AN38" i="3" a="1"/>
  <c r="AN38" i="3" s="1"/>
  <c r="AN54" i="3" a="1"/>
  <c r="AN54" i="3" s="1"/>
  <c r="AN6" i="3" a="1"/>
  <c r="AN6" i="3" s="1"/>
  <c r="AO6" i="3" s="1" a="1"/>
  <c r="AO6" i="3" s="1"/>
  <c r="AO7" i="3" s="1" a="1"/>
  <c r="AO7" i="3" s="1"/>
  <c r="AO8" i="3" s="1" a="1"/>
  <c r="AO8" i="3" s="1"/>
  <c r="AO9" i="3" s="1" a="1"/>
  <c r="AO9" i="3" s="1"/>
  <c r="AO10" i="3" s="1" a="1"/>
  <c r="AO10" i="3" s="1"/>
  <c r="AN46" i="3" a="1"/>
  <c r="AN46" i="3" s="1"/>
  <c r="AN39" i="3" a="1"/>
  <c r="AN39" i="3" s="1"/>
  <c r="AN55" i="3" a="1"/>
  <c r="AN55" i="3" s="1"/>
  <c r="AN31" i="3" a="1"/>
  <c r="AN31" i="3" s="1"/>
  <c r="AN47" i="3" a="1"/>
  <c r="AN47" i="3" s="1"/>
  <c r="AN40" i="3" a="1"/>
  <c r="AN40" i="3" s="1"/>
  <c r="AN56" i="3" a="1"/>
  <c r="AN56" i="3" s="1"/>
  <c r="AN58" i="3" a="1"/>
  <c r="AN58" i="3" s="1"/>
  <c r="AN48" i="3" a="1"/>
  <c r="AN48" i="3" s="1"/>
  <c r="AN49" i="3" a="1"/>
  <c r="AN49" i="3" s="1"/>
  <c r="AN25" i="3" a="1"/>
  <c r="AN25" i="3" s="1"/>
  <c r="AN57" i="3" a="1"/>
  <c r="AN57" i="3" s="1"/>
  <c r="AN26" i="3" a="1"/>
  <c r="AN26" i="3" s="1"/>
  <c r="AN50" i="3" a="1"/>
  <c r="AN50" i="3" s="1"/>
  <c r="AN19" i="3" a="1"/>
  <c r="AN19" i="3" s="1"/>
  <c r="AN11" i="3" a="1"/>
  <c r="AN11" i="3" s="1"/>
  <c r="AN35" i="3" a="1"/>
  <c r="AN35" i="3" s="1"/>
  <c r="AN43" i="3" a="1"/>
  <c r="AN43" i="3" s="1"/>
  <c r="J1" i="19" a="1"/>
  <c r="J1" i="19" s="1"/>
  <c r="J2" i="19" s="1" a="1"/>
  <c r="J2" i="19" s="1"/>
  <c r="AU5" i="17"/>
  <c r="AV5" i="17" s="1" a="1"/>
  <c r="AV5" i="17" s="1"/>
  <c r="I228" i="28"/>
  <c r="F6" i="20" a="1"/>
  <c r="F6" i="20" s="1"/>
  <c r="H42" i="20" a="1"/>
  <c r="H42" i="20" s="1"/>
  <c r="H6" i="20" a="1"/>
  <c r="H6" i="20" s="1"/>
  <c r="F42" i="20" a="1"/>
  <c r="F42" i="20" s="1"/>
  <c r="D42" i="9" a="1"/>
  <c r="D42" i="9" s="1"/>
  <c r="H42" i="10" a="1"/>
  <c r="H42" i="10" s="1"/>
  <c r="F61" i="20" a="1"/>
  <c r="F61" i="20" s="1"/>
  <c r="F30" i="20" a="1"/>
  <c r="F30" i="20" s="1"/>
  <c r="K49" i="3" a="1"/>
  <c r="K49" i="3" s="1"/>
  <c r="B49" i="3" s="1" a="1"/>
  <c r="B49" i="3" s="1"/>
  <c r="AC49" i="3" a="1"/>
  <c r="AC49" i="3" s="1"/>
  <c r="AI49" i="3" s="1" a="1"/>
  <c r="AI49" i="3" s="1"/>
  <c r="AL49" i="3" a="1"/>
  <c r="AL49" i="3" s="1"/>
  <c r="F60" i="20" a="1"/>
  <c r="F60" i="20" s="1"/>
  <c r="AH3" i="21" a="1"/>
  <c r="AH3" i="21" s="1"/>
  <c r="AH19" i="21" a="1"/>
  <c r="AH19" i="21" s="1"/>
  <c r="AH27" i="21" a="1"/>
  <c r="AH27" i="21" s="1"/>
  <c r="AH20" i="21" a="1"/>
  <c r="AH20" i="21" s="1"/>
  <c r="AH36" i="21" a="1"/>
  <c r="AH36" i="21" s="1"/>
  <c r="AH4" i="21" a="1"/>
  <c r="AH4" i="21" s="1"/>
  <c r="AH28" i="21" a="1"/>
  <c r="AH28" i="21" s="1"/>
  <c r="AH13" i="21" a="1"/>
  <c r="AH13" i="21" s="1"/>
  <c r="AH5" i="21" a="1"/>
  <c r="AH5" i="21" s="1"/>
  <c r="AH35" i="21" a="1"/>
  <c r="AH35" i="21" s="1"/>
  <c r="AH38" i="21" a="1"/>
  <c r="AH38" i="21" s="1"/>
  <c r="AH6" i="21" a="1"/>
  <c r="AH6" i="21" s="1"/>
  <c r="AH30" i="21" a="1"/>
  <c r="AH30" i="21" s="1"/>
  <c r="AH39" i="21" a="1"/>
  <c r="AH39" i="21" s="1"/>
  <c r="AH31" i="21" a="1"/>
  <c r="AH31" i="21" s="1"/>
  <c r="AH24" i="21" a="1"/>
  <c r="AH24" i="21" s="1"/>
  <c r="AH18" i="21" a="1"/>
  <c r="AH18" i="21" s="1"/>
  <c r="AH32" i="21" a="1"/>
  <c r="AH32" i="21" s="1"/>
  <c r="AH40" i="21" a="1"/>
  <c r="AH40" i="21" s="1"/>
  <c r="AH25" i="21" a="1"/>
  <c r="AH25" i="21" s="1"/>
  <c r="AH17" i="21" a="1"/>
  <c r="AH17" i="21" s="1"/>
  <c r="A42" i="28" a="1"/>
  <c r="A42" i="28" s="1"/>
  <c r="H43" i="28" a="1"/>
  <c r="H43" i="28" s="1"/>
  <c r="A43" i="28" s="1" a="1"/>
  <c r="A43" i="28" s="1"/>
  <c r="P12" i="24"/>
  <c r="I16" i="29" a="1"/>
  <c r="I26" i="29" a="1"/>
  <c r="I18" i="29" a="1"/>
  <c r="I33" i="29" a="1"/>
  <c r="I30" i="29" a="1"/>
  <c r="I21" i="29" a="1"/>
  <c r="I8" i="29" a="1"/>
  <c r="I27" i="29" a="1"/>
  <c r="I24" i="29" a="1"/>
  <c r="I10" i="29" a="1"/>
  <c r="I12" i="29" a="1"/>
  <c r="I20" i="29" a="1"/>
  <c r="AI15" i="3" l="1" a="1"/>
  <c r="AI15" i="3" s="1"/>
  <c r="AH49" i="3" a="1"/>
  <c r="AH49" i="3" s="1"/>
  <c r="AH14" i="3" a="1"/>
  <c r="AH14" i="3" s="1"/>
  <c r="AG49" i="3" a="1"/>
  <c r="AG49" i="3" s="1"/>
  <c r="AJ49" i="3" s="1" a="1"/>
  <c r="AJ49" i="3" s="1"/>
  <c r="AG14" i="3" a="1"/>
  <c r="AG14" i="3" s="1"/>
  <c r="AJ14" i="3" s="1" a="1"/>
  <c r="AJ14" i="3" s="1"/>
  <c r="I33" i="29"/>
  <c r="J32" i="29"/>
  <c r="I30" i="29"/>
  <c r="I27" i="29"/>
  <c r="I26" i="29"/>
  <c r="I24" i="29"/>
  <c r="I21" i="29"/>
  <c r="I20" i="29"/>
  <c r="I18" i="29"/>
  <c r="I16" i="29"/>
  <c r="I12" i="29"/>
  <c r="I10" i="29"/>
  <c r="I8" i="29"/>
  <c r="B15" i="3" a="1"/>
  <c r="B15" i="3" s="1"/>
  <c r="I14" i="3"/>
  <c r="AA14" i="3" s="1" a="1"/>
  <c r="AA14" i="3" s="1"/>
  <c r="AE14" i="3" a="1"/>
  <c r="AE14" i="3" s="1"/>
  <c r="N14" i="3"/>
  <c r="J14" i="3"/>
  <c r="AD14" i="3" a="1"/>
  <c r="AD14" i="3" s="1"/>
  <c r="AK14" i="3" a="1"/>
  <c r="AK14" i="3" s="1"/>
  <c r="AF14" i="3" a="1"/>
  <c r="AF14" i="3" s="1"/>
  <c r="AK15" i="3" a="1"/>
  <c r="AK15" i="3" s="1"/>
  <c r="N15" i="3" s="1"/>
  <c r="AD15" i="3" a="1"/>
  <c r="AD15" i="3" s="1"/>
  <c r="AE15" i="3" a="1"/>
  <c r="AE15" i="3" s="1"/>
  <c r="AF15" i="3" a="1"/>
  <c r="AF15" i="3" s="1"/>
  <c r="D15" i="3" s="1"/>
  <c r="O8" i="25" s="1" a="1"/>
  <c r="O8" i="25" s="1"/>
  <c r="J15" i="3"/>
  <c r="I15" i="3"/>
  <c r="AA15" i="3" s="1" a="1"/>
  <c r="AA15" i="3" s="1"/>
  <c r="D8" i="25"/>
  <c r="J8" i="25"/>
  <c r="J4" i="19" a="1"/>
  <c r="J4" i="19" s="1"/>
  <c r="A2" i="32" a="1"/>
  <c r="A2" i="32" s="1"/>
  <c r="A3" i="32" a="1"/>
  <c r="A3" i="32" s="1"/>
  <c r="L4" i="32" a="1"/>
  <c r="L4" i="32" s="1"/>
  <c r="C4" i="32" a="1"/>
  <c r="C4" i="32" s="1"/>
  <c r="S4" i="32" a="1"/>
  <c r="S4" i="32" s="1"/>
  <c r="R4" i="32" a="1"/>
  <c r="R4" i="32" s="1"/>
  <c r="B4" i="32" a="1"/>
  <c r="B4" i="32" s="1"/>
  <c r="E4" i="32" a="1"/>
  <c r="E4" i="32" s="1"/>
  <c r="Q4" i="32" a="1"/>
  <c r="Q4" i="32" s="1"/>
  <c r="I4" i="32" a="1"/>
  <c r="I4" i="32" s="1"/>
  <c r="P4" i="32" a="1"/>
  <c r="P4" i="32" s="1"/>
  <c r="G4" i="32" a="1"/>
  <c r="G4" i="32" s="1"/>
  <c r="O4" i="32" a="1"/>
  <c r="O4" i="32" s="1"/>
  <c r="F4" i="32" a="1"/>
  <c r="F4" i="32" s="1"/>
  <c r="K4" i="32" a="1"/>
  <c r="K4" i="32" s="1"/>
  <c r="N4" i="32" a="1"/>
  <c r="N4" i="32" s="1"/>
  <c r="J4" i="32" a="1"/>
  <c r="J4" i="32" s="1"/>
  <c r="M4" i="32" a="1"/>
  <c r="M4" i="32" s="1"/>
  <c r="T4" i="32" a="1"/>
  <c r="T4" i="32" s="1"/>
  <c r="D4" i="32" a="1"/>
  <c r="D4" i="32" s="1"/>
  <c r="AO11" i="3" a="1"/>
  <c r="AO11" i="3" s="1"/>
  <c r="AO12" i="3" s="1" a="1"/>
  <c r="AO12" i="3" s="1"/>
  <c r="AO13" i="3" s="1" a="1"/>
  <c r="AO13" i="3" s="1"/>
  <c r="I49" i="3"/>
  <c r="AA49" i="3" s="1" a="1"/>
  <c r="AA49" i="3" s="1"/>
  <c r="AD49" i="3" a="1"/>
  <c r="AD49" i="3" s="1"/>
  <c r="J49" i="3"/>
  <c r="AF49" i="3" a="1"/>
  <c r="AF49" i="3" s="1"/>
  <c r="D49" i="3" s="1"/>
  <c r="P49" i="3" s="1"/>
  <c r="AE49" i="3" a="1"/>
  <c r="AE49" i="3" s="1"/>
  <c r="H44" i="28" a="1"/>
  <c r="H44" i="28" s="1"/>
  <c r="A44" i="28" s="1" a="1"/>
  <c r="A44" i="28" s="1"/>
  <c r="K26" i="29" a="1"/>
  <c r="K24" i="29" a="1"/>
  <c r="K21" i="29" a="1"/>
  <c r="K12" i="29" a="1"/>
  <c r="K33" i="29" a="1"/>
  <c r="K8" i="29" a="1"/>
  <c r="K27" i="29" a="1"/>
  <c r="K10" i="29" a="1"/>
  <c r="K30" i="29" a="1"/>
  <c r="K32" i="29" a="1"/>
  <c r="K16" i="29" a="1"/>
  <c r="K18" i="29" a="1"/>
  <c r="K20" i="29" a="1"/>
  <c r="K32" i="29" l="1"/>
  <c r="L32" i="29" s="1" a="1"/>
  <c r="L32" i="29" s="1"/>
  <c r="K33" i="29"/>
  <c r="L33" i="29" s="1" a="1"/>
  <c r="L33" i="29" s="1"/>
  <c r="K21" i="29"/>
  <c r="L21" i="29" s="1" a="1"/>
  <c r="L21" i="29" s="1"/>
  <c r="K26" i="29"/>
  <c r="L26" i="29" s="1" a="1"/>
  <c r="L26" i="29" s="1"/>
  <c r="K30" i="29"/>
  <c r="L30" i="29" s="1" a="1"/>
  <c r="L30" i="29" s="1"/>
  <c r="K18" i="29"/>
  <c r="L18" i="29" s="1" a="1"/>
  <c r="L18" i="29" s="1"/>
  <c r="K20" i="29"/>
  <c r="L20" i="29" s="1" a="1"/>
  <c r="L20" i="29" s="1"/>
  <c r="K24" i="29"/>
  <c r="L24" i="29" s="1" a="1"/>
  <c r="L24" i="29" s="1"/>
  <c r="K8" i="29"/>
  <c r="L8" i="29" s="1" a="1"/>
  <c r="L8" i="29" s="1"/>
  <c r="K12" i="29"/>
  <c r="L12" i="29" s="1" a="1"/>
  <c r="L12" i="29" s="1"/>
  <c r="K27" i="29"/>
  <c r="L27" i="29" s="1" a="1"/>
  <c r="L27" i="29" s="1"/>
  <c r="K10" i="29"/>
  <c r="L10" i="29" s="1" a="1"/>
  <c r="L10" i="29" s="1"/>
  <c r="K16" i="29"/>
  <c r="AG15" i="3" a="1"/>
  <c r="AG15" i="3" s="1"/>
  <c r="AH15" i="3" a="1"/>
  <c r="AH15" i="3" s="1"/>
  <c r="V8" i="25"/>
  <c r="T14" i="3"/>
  <c r="P15" i="3"/>
  <c r="AO14" i="3" a="1"/>
  <c r="AO14" i="3" s="1"/>
  <c r="AO15" i="3" s="1" a="1"/>
  <c r="AO15" i="3" s="1"/>
  <c r="AO16" i="3" s="1" a="1"/>
  <c r="AO16" i="3" s="1"/>
  <c r="AO17" i="3" s="1" a="1"/>
  <c r="AO17" i="3" s="1"/>
  <c r="AO18" i="3" s="1" a="1"/>
  <c r="AO18" i="3" s="1"/>
  <c r="AO19" i="3" s="1" a="1"/>
  <c r="AO19" i="3" s="1"/>
  <c r="AO20" i="3" s="1" a="1"/>
  <c r="AO20" i="3" s="1"/>
  <c r="AO21" i="3" s="1" a="1"/>
  <c r="AO21" i="3" s="1"/>
  <c r="AO22" i="3" s="1" a="1"/>
  <c r="AO22" i="3" s="1"/>
  <c r="AO23" i="3" s="1" a="1"/>
  <c r="AO23" i="3" s="1"/>
  <c r="AO24" i="3" s="1" a="1"/>
  <c r="AO24" i="3" s="1"/>
  <c r="AO25" i="3" s="1" a="1"/>
  <c r="AO25" i="3" s="1"/>
  <c r="AO26" i="3" s="1" a="1"/>
  <c r="AO26" i="3" s="1"/>
  <c r="AO27" i="3" s="1" a="1"/>
  <c r="AO27" i="3" s="1"/>
  <c r="AO28" i="3" s="1" a="1"/>
  <c r="AO28" i="3" s="1"/>
  <c r="AO29" i="3" s="1" a="1"/>
  <c r="AO29" i="3" s="1"/>
  <c r="AO30" i="3" s="1" a="1"/>
  <c r="AO30" i="3" s="1"/>
  <c r="AO31" i="3" s="1" a="1"/>
  <c r="AO31" i="3" s="1"/>
  <c r="AO32" i="3" s="1" a="1"/>
  <c r="AO32" i="3" s="1"/>
  <c r="AO33" i="3" s="1" a="1"/>
  <c r="AO33" i="3" s="1"/>
  <c r="AO34" i="3" s="1" a="1"/>
  <c r="AO34" i="3" s="1"/>
  <c r="AO35" i="3" s="1" a="1"/>
  <c r="AO35" i="3" s="1"/>
  <c r="AO36" i="3" s="1" a="1"/>
  <c r="AO36" i="3" s="1"/>
  <c r="AO37" i="3" s="1" a="1"/>
  <c r="AO37" i="3" s="1"/>
  <c r="AO38" i="3" s="1" a="1"/>
  <c r="AO38" i="3" s="1"/>
  <c r="AO39" i="3" s="1" a="1"/>
  <c r="AO39" i="3" s="1"/>
  <c r="AO40" i="3" s="1" a="1"/>
  <c r="AO40" i="3" s="1"/>
  <c r="AO41" i="3" s="1" a="1"/>
  <c r="AO41" i="3" s="1"/>
  <c r="AO42" i="3" s="1" a="1"/>
  <c r="AO42" i="3" s="1"/>
  <c r="AO43" i="3" s="1" a="1"/>
  <c r="AO43" i="3" s="1"/>
  <c r="AO44" i="3" s="1" a="1"/>
  <c r="AO44" i="3" s="1"/>
  <c r="AO45" i="3" s="1" a="1"/>
  <c r="AO45" i="3" s="1"/>
  <c r="AO46" i="3" s="1" a="1"/>
  <c r="AO46" i="3" s="1"/>
  <c r="AO47" i="3" s="1" a="1"/>
  <c r="AO47" i="3" s="1"/>
  <c r="AO48" i="3" s="1" a="1"/>
  <c r="AO48" i="3" s="1"/>
  <c r="AO49" i="3" s="1" a="1"/>
  <c r="AO49" i="3" s="1"/>
  <c r="AO50" i="3" s="1" a="1"/>
  <c r="AO50" i="3" s="1"/>
  <c r="AO51" i="3" s="1" a="1"/>
  <c r="AO51" i="3" s="1"/>
  <c r="AO52" i="3" s="1" a="1"/>
  <c r="AO52" i="3" s="1"/>
  <c r="AO53" i="3" s="1" a="1"/>
  <c r="AO53" i="3" s="1"/>
  <c r="AO54" i="3" s="1" a="1"/>
  <c r="AO54" i="3" s="1"/>
  <c r="AO55" i="3" s="1" a="1"/>
  <c r="AO55" i="3" s="1"/>
  <c r="AO56" i="3" s="1" a="1"/>
  <c r="AO56" i="3" s="1"/>
  <c r="AO57" i="3" s="1" a="1"/>
  <c r="AO57" i="3" s="1"/>
  <c r="AO58" i="3" s="1" a="1"/>
  <c r="AO58" i="3" s="1"/>
  <c r="T8" i="25"/>
  <c r="L8" i="25"/>
  <c r="M8" i="25" s="1" a="1"/>
  <c r="M8" i="25" s="1"/>
  <c r="U8" i="25" s="1" a="1"/>
  <c r="U8" i="25" s="1"/>
  <c r="F49" i="3"/>
  <c r="R49" i="3" s="1"/>
  <c r="T49" i="3"/>
  <c r="H66" i="20" a="1"/>
  <c r="H66" i="20" s="1"/>
  <c r="F65" i="20" a="1"/>
  <c r="F65" i="20" s="1"/>
  <c r="H45" i="28" a="1"/>
  <c r="H45" i="28" s="1"/>
  <c r="A45" i="28" s="1" a="1"/>
  <c r="A45" i="28" s="1"/>
  <c r="K47" i="3" a="1"/>
  <c r="K47" i="3" s="1"/>
  <c r="B47" i="3" s="1" a="1"/>
  <c r="B47" i="3" s="1"/>
  <c r="AC47" i="3" a="1"/>
  <c r="AC47" i="3" s="1"/>
  <c r="AI47" i="3" s="1" a="1"/>
  <c r="AI47" i="3" s="1"/>
  <c r="F16" i="9" a="1"/>
  <c r="F16" i="9" s="1"/>
  <c r="F32" i="9" a="1"/>
  <c r="F32" i="9" s="1"/>
  <c r="F33" i="9" a="1"/>
  <c r="F33" i="9" s="1"/>
  <c r="F37" i="9" a="1"/>
  <c r="F37" i="9" s="1"/>
  <c r="F18" i="9" a="1"/>
  <c r="F18" i="9" s="1"/>
  <c r="F34" i="9" a="1"/>
  <c r="F34" i="9" s="1"/>
  <c r="F5" i="9" a="1"/>
  <c r="F5" i="9" s="1"/>
  <c r="F40" i="9" a="1"/>
  <c r="F40" i="9" s="1"/>
  <c r="F20" i="9" a="1"/>
  <c r="F20" i="9" s="1"/>
  <c r="F6" i="9" a="1"/>
  <c r="F6" i="9" s="1"/>
  <c r="F39" i="9" a="1"/>
  <c r="F39" i="9" s="1"/>
  <c r="F7" i="9" a="1"/>
  <c r="F7" i="9" s="1"/>
  <c r="F8" i="9" a="1"/>
  <c r="F8" i="9" s="1"/>
  <c r="F9" i="9" a="1"/>
  <c r="F9" i="9" s="1"/>
  <c r="F25" i="9" a="1"/>
  <c r="F25" i="9" s="1"/>
  <c r="F41" i="9" a="1"/>
  <c r="F41" i="9" s="1"/>
  <c r="F35" i="9" a="1"/>
  <c r="F35" i="9" s="1"/>
  <c r="F10" i="9" a="1"/>
  <c r="F10" i="9" s="1"/>
  <c r="F26" i="9" a="1"/>
  <c r="F26" i="9" s="1"/>
  <c r="F27" i="9" a="1"/>
  <c r="F27" i="9" s="1"/>
  <c r="F28" i="9" a="1"/>
  <c r="F28" i="9" s="1"/>
  <c r="F11" i="9" a="1"/>
  <c r="F11" i="9" s="1"/>
  <c r="F12" i="9" a="1"/>
  <c r="F12" i="9" s="1"/>
  <c r="F13" i="9" a="1"/>
  <c r="F13" i="9" s="1"/>
  <c r="F31" i="9" a="1"/>
  <c r="F31" i="9" s="1"/>
  <c r="F19" i="9" a="1"/>
  <c r="F19" i="9" s="1"/>
  <c r="C3" i="25" a="1"/>
  <c r="C3" i="25" s="1"/>
  <c r="C4" i="25" a="1"/>
  <c r="C4" i="25" s="1"/>
  <c r="C14" i="25" a="1"/>
  <c r="C14" i="25" s="1"/>
  <c r="C15" i="25" a="1"/>
  <c r="C15" i="25" s="1"/>
  <c r="C5" i="25" a="1"/>
  <c r="C5" i="25" s="1"/>
  <c r="C6" i="25" a="1"/>
  <c r="C6" i="25" s="1"/>
  <c r="C16" i="25" a="1"/>
  <c r="C16" i="25" s="1"/>
  <c r="C7" i="25" a="1"/>
  <c r="C7" i="25" s="1"/>
  <c r="C9" i="25" a="1"/>
  <c r="C9" i="25" s="1"/>
  <c r="C10" i="25" a="1"/>
  <c r="C10" i="25" s="1"/>
  <c r="C11" i="25" a="1"/>
  <c r="C11" i="25" s="1"/>
  <c r="C12" i="25" a="1"/>
  <c r="C12" i="25" s="1"/>
  <c r="C13" i="25" a="1"/>
  <c r="C13" i="25" s="1"/>
  <c r="C17" i="25" a="1"/>
  <c r="C17" i="25" s="1"/>
  <c r="C18" i="25" a="1"/>
  <c r="C18" i="25" s="1"/>
  <c r="K30" i="3" a="1"/>
  <c r="K30" i="3" s="1"/>
  <c r="B30" i="3" s="1" a="1"/>
  <c r="B30" i="3" s="1"/>
  <c r="K46" i="3" a="1"/>
  <c r="K46" i="3" s="1"/>
  <c r="B46" i="3" s="1" a="1"/>
  <c r="B46" i="3" s="1"/>
  <c r="K64" i="3" a="1"/>
  <c r="K64" i="3" s="1"/>
  <c r="K80" i="3" a="1"/>
  <c r="K80" i="3" s="1"/>
  <c r="K96" i="3" a="1"/>
  <c r="K96" i="3" s="1"/>
  <c r="K81" i="3" a="1"/>
  <c r="K81" i="3" s="1"/>
  <c r="K97" i="3" a="1"/>
  <c r="K97" i="3" s="1"/>
  <c r="K31" i="3" a="1"/>
  <c r="K31" i="3" s="1"/>
  <c r="B31" i="3" s="1" a="1"/>
  <c r="B31" i="3" s="1"/>
  <c r="K48" i="3" a="1"/>
  <c r="K48" i="3" s="1"/>
  <c r="B48" i="3" s="1" a="1"/>
  <c r="B48" i="3" s="1"/>
  <c r="K65" i="3" a="1"/>
  <c r="K65" i="3" s="1"/>
  <c r="K16" i="3" a="1"/>
  <c r="K16" i="3" s="1"/>
  <c r="B16" i="3" s="1" a="1"/>
  <c r="B16" i="3" s="1"/>
  <c r="K32" i="3" a="1"/>
  <c r="K32" i="3" s="1"/>
  <c r="B32" i="3" s="1" a="1"/>
  <c r="B32" i="3" s="1"/>
  <c r="K50" i="3" a="1"/>
  <c r="K50" i="3" s="1"/>
  <c r="B50" i="3" s="1" a="1"/>
  <c r="B50" i="3" s="1"/>
  <c r="K66" i="3" a="1"/>
  <c r="K66" i="3" s="1"/>
  <c r="K82" i="3" a="1"/>
  <c r="K82" i="3" s="1"/>
  <c r="K98" i="3" a="1"/>
  <c r="K98" i="3" s="1"/>
  <c r="K101" i="3" a="1"/>
  <c r="K101" i="3" s="1"/>
  <c r="K17" i="3" a="1"/>
  <c r="K17" i="3" s="1"/>
  <c r="B17" i="3" s="1" a="1"/>
  <c r="B17" i="3" s="1"/>
  <c r="K33" i="3" a="1"/>
  <c r="K33" i="3" s="1"/>
  <c r="K51" i="3" a="1"/>
  <c r="K51" i="3" s="1"/>
  <c r="B51" i="3" s="1" a="1"/>
  <c r="B51" i="3" s="1"/>
  <c r="K67" i="3" a="1"/>
  <c r="K67" i="3" s="1"/>
  <c r="K83" i="3" a="1"/>
  <c r="K83" i="3" s="1"/>
  <c r="K99" i="3" a="1"/>
  <c r="K99" i="3" s="1"/>
  <c r="K84" i="3" a="1"/>
  <c r="K84" i="3" s="1"/>
  <c r="K18" i="3" a="1"/>
  <c r="K18" i="3" s="1"/>
  <c r="B18" i="3" s="1" a="1"/>
  <c r="B18" i="3" s="1"/>
  <c r="K34" i="3" a="1"/>
  <c r="K34" i="3" s="1"/>
  <c r="B34" i="3" s="1" a="1"/>
  <c r="B34" i="3" s="1"/>
  <c r="K52" i="3" a="1"/>
  <c r="K52" i="3" s="1"/>
  <c r="B52" i="3" s="1" a="1"/>
  <c r="B52" i="3" s="1"/>
  <c r="K68" i="3" a="1"/>
  <c r="K68" i="3" s="1"/>
  <c r="K100" i="3" a="1"/>
  <c r="K100" i="3" s="1"/>
  <c r="K19" i="3" a="1"/>
  <c r="K19" i="3" s="1"/>
  <c r="B19" i="3" s="1" a="1"/>
  <c r="B19" i="3" s="1"/>
  <c r="K35" i="3" a="1"/>
  <c r="K35" i="3" s="1"/>
  <c r="B35" i="3" s="1" a="1"/>
  <c r="B35" i="3" s="1"/>
  <c r="K53" i="3" a="1"/>
  <c r="K53" i="3" s="1"/>
  <c r="B53" i="3" s="1" a="1"/>
  <c r="B53" i="3" s="1"/>
  <c r="K69" i="3" a="1"/>
  <c r="K69" i="3" s="1"/>
  <c r="K85" i="3" a="1"/>
  <c r="K85" i="3" s="1"/>
  <c r="K4" i="3" a="1"/>
  <c r="K4" i="3" s="1"/>
  <c r="B4" i="3" s="1" a="1"/>
  <c r="B4" i="3" s="1"/>
  <c r="K20" i="3" a="1"/>
  <c r="K20" i="3" s="1"/>
  <c r="B20" i="3" s="1" a="1"/>
  <c r="B20" i="3" s="1"/>
  <c r="K36" i="3" a="1"/>
  <c r="K36" i="3" s="1"/>
  <c r="B36" i="3" s="1" a="1"/>
  <c r="B36" i="3" s="1"/>
  <c r="K54" i="3" a="1"/>
  <c r="K54" i="3" s="1"/>
  <c r="B54" i="3" s="1" a="1"/>
  <c r="B54" i="3" s="1"/>
  <c r="K70" i="3" a="1"/>
  <c r="K70" i="3" s="1"/>
  <c r="K86" i="3" a="1"/>
  <c r="K86" i="3" s="1"/>
  <c r="K102" i="3" a="1"/>
  <c r="K102" i="3" s="1"/>
  <c r="K103" i="3" a="1"/>
  <c r="K103" i="3" s="1"/>
  <c r="K5" i="3" a="1"/>
  <c r="K5" i="3" s="1"/>
  <c r="B5" i="3" s="1" a="1"/>
  <c r="B5" i="3" s="1"/>
  <c r="K21" i="3" a="1"/>
  <c r="K21" i="3" s="1"/>
  <c r="B21" i="3" s="1" a="1"/>
  <c r="B21" i="3" s="1"/>
  <c r="K37" i="3" a="1"/>
  <c r="K37" i="3" s="1"/>
  <c r="B37" i="3" s="1" a="1"/>
  <c r="B37" i="3" s="1"/>
  <c r="K55" i="3" a="1"/>
  <c r="K55" i="3" s="1"/>
  <c r="B55" i="3" s="1" a="1"/>
  <c r="B55" i="3" s="1"/>
  <c r="K71" i="3" a="1"/>
  <c r="K71" i="3" s="1"/>
  <c r="K87" i="3" a="1"/>
  <c r="K87" i="3" s="1"/>
  <c r="K6" i="3" a="1"/>
  <c r="K6" i="3" s="1"/>
  <c r="K22" i="3" a="1"/>
  <c r="K22" i="3" s="1"/>
  <c r="B22" i="3" s="1" a="1"/>
  <c r="B22" i="3" s="1"/>
  <c r="K38" i="3" a="1"/>
  <c r="K38" i="3" s="1"/>
  <c r="B38" i="3" s="1" a="1"/>
  <c r="B38" i="3" s="1"/>
  <c r="K56" i="3" a="1"/>
  <c r="K56" i="3" s="1"/>
  <c r="B56" i="3" s="1" a="1"/>
  <c r="B56" i="3" s="1"/>
  <c r="K72" i="3" a="1"/>
  <c r="K72" i="3" s="1"/>
  <c r="K88" i="3" a="1"/>
  <c r="K88" i="3" s="1"/>
  <c r="K89" i="3" a="1"/>
  <c r="K89" i="3" s="1"/>
  <c r="K7" i="3" a="1"/>
  <c r="K7" i="3" s="1"/>
  <c r="B7" i="3" s="1" a="1"/>
  <c r="B7" i="3" s="1"/>
  <c r="K23" i="3" a="1"/>
  <c r="K23" i="3" s="1"/>
  <c r="B23" i="3" s="1" a="1"/>
  <c r="B23" i="3" s="1"/>
  <c r="K39" i="3" a="1"/>
  <c r="K39" i="3" s="1"/>
  <c r="B39" i="3" s="1" a="1"/>
  <c r="B39" i="3" s="1"/>
  <c r="K57" i="3" a="1"/>
  <c r="K57" i="3" s="1"/>
  <c r="B57" i="3" s="1" a="1"/>
  <c r="B57" i="3" s="1"/>
  <c r="K73" i="3" a="1"/>
  <c r="K73" i="3" s="1"/>
  <c r="K8" i="3" a="1"/>
  <c r="K8" i="3" s="1"/>
  <c r="B8" i="3" s="1" a="1"/>
  <c r="B8" i="3" s="1"/>
  <c r="K24" i="3" a="1"/>
  <c r="K24" i="3" s="1"/>
  <c r="B24" i="3" s="1" a="1"/>
  <c r="B24" i="3" s="1"/>
  <c r="K40" i="3" a="1"/>
  <c r="K40" i="3" s="1"/>
  <c r="B40" i="3" s="1" a="1"/>
  <c r="B40" i="3" s="1"/>
  <c r="K58" i="3" a="1"/>
  <c r="K58" i="3" s="1"/>
  <c r="B58" i="3" s="1" a="1"/>
  <c r="B58" i="3" s="1"/>
  <c r="K74" i="3" a="1"/>
  <c r="K74" i="3" s="1"/>
  <c r="K90" i="3" a="1"/>
  <c r="K90" i="3" s="1"/>
  <c r="K59" i="3" a="1"/>
  <c r="K59" i="3" s="1"/>
  <c r="K75" i="3" a="1"/>
  <c r="K75" i="3" s="1"/>
  <c r="K92" i="3" a="1"/>
  <c r="K92" i="3" s="1"/>
  <c r="K77" i="3" a="1"/>
  <c r="K77" i="3" s="1"/>
  <c r="K12" i="3" a="1"/>
  <c r="K12" i="3" s="1"/>
  <c r="B12" i="3" s="1" a="1"/>
  <c r="B12" i="3" s="1"/>
  <c r="K62" i="3" a="1"/>
  <c r="K62" i="3" s="1"/>
  <c r="K78" i="3" a="1"/>
  <c r="K78" i="3" s="1"/>
  <c r="K63" i="3" a="1"/>
  <c r="K63" i="3" s="1"/>
  <c r="K9" i="3" a="1"/>
  <c r="K9" i="3" s="1"/>
  <c r="B9" i="3" s="1" a="1"/>
  <c r="B9" i="3" s="1"/>
  <c r="K25" i="3" a="1"/>
  <c r="K25" i="3" s="1"/>
  <c r="B25" i="3" s="1" a="1"/>
  <c r="B25" i="3" s="1"/>
  <c r="K41" i="3" a="1"/>
  <c r="K41" i="3" s="1"/>
  <c r="B41" i="3" s="1" a="1"/>
  <c r="B41" i="3" s="1"/>
  <c r="K91" i="3" a="1"/>
  <c r="K91" i="3" s="1"/>
  <c r="K28" i="3" a="1"/>
  <c r="K28" i="3" s="1"/>
  <c r="B28" i="3" s="1" a="1"/>
  <c r="B28" i="3" s="1"/>
  <c r="K94" i="3" a="1"/>
  <c r="K94" i="3" s="1"/>
  <c r="K95" i="3" a="1"/>
  <c r="K95" i="3" s="1"/>
  <c r="K10" i="3" a="1"/>
  <c r="K10" i="3" s="1"/>
  <c r="B10" i="3" s="1" a="1"/>
  <c r="B10" i="3" s="1"/>
  <c r="K26" i="3" a="1"/>
  <c r="K26" i="3" s="1"/>
  <c r="B26" i="3" s="1" a="1"/>
  <c r="B26" i="3" s="1"/>
  <c r="K42" i="3" a="1"/>
  <c r="K42" i="3" s="1"/>
  <c r="B42" i="3" s="1" a="1"/>
  <c r="B42" i="3" s="1"/>
  <c r="K60" i="3" a="1"/>
  <c r="K60" i="3" s="1"/>
  <c r="B60" i="3" s="1" a="1"/>
  <c r="B60" i="3" s="1"/>
  <c r="K76" i="3" a="1"/>
  <c r="K76" i="3" s="1"/>
  <c r="K61" i="3" a="1"/>
  <c r="K61" i="3" s="1"/>
  <c r="K11" i="3" a="1"/>
  <c r="K11" i="3" s="1"/>
  <c r="B11" i="3" s="1" a="1"/>
  <c r="B11" i="3" s="1"/>
  <c r="K27" i="3" a="1"/>
  <c r="K27" i="3" s="1"/>
  <c r="B27" i="3" s="1" a="1"/>
  <c r="B27" i="3" s="1"/>
  <c r="K43" i="3" a="1"/>
  <c r="K43" i="3" s="1"/>
  <c r="B43" i="3" s="1" a="1"/>
  <c r="B43" i="3" s="1"/>
  <c r="K93" i="3" a="1"/>
  <c r="K93" i="3" s="1"/>
  <c r="K44" i="3" a="1"/>
  <c r="K44" i="3" s="1"/>
  <c r="B44" i="3" s="1" a="1"/>
  <c r="B44" i="3" s="1"/>
  <c r="K79" i="3" a="1"/>
  <c r="K79" i="3" s="1"/>
  <c r="K13" i="3" a="1"/>
  <c r="K13" i="3" s="1"/>
  <c r="B13" i="3" s="1" a="1"/>
  <c r="B13" i="3" s="1"/>
  <c r="K29" i="3" a="1"/>
  <c r="K29" i="3" s="1"/>
  <c r="B29" i="3" s="1" a="1"/>
  <c r="B29" i="3" s="1"/>
  <c r="K45" i="3" a="1"/>
  <c r="K45" i="3" s="1"/>
  <c r="B45" i="3" s="1" a="1"/>
  <c r="B45" i="3" s="1"/>
  <c r="AC59" i="3" a="1"/>
  <c r="AC59" i="3" s="1"/>
  <c r="AI59" i="3" s="1" a="1"/>
  <c r="AI59" i="3" s="1"/>
  <c r="AC60" i="3" a="1"/>
  <c r="AC60" i="3" s="1"/>
  <c r="AI60" i="3" s="1" a="1"/>
  <c r="AI60" i="3" s="1"/>
  <c r="B3" i="3" a="1"/>
  <c r="B3" i="3" s="1"/>
  <c r="AC8" i="3" a="1"/>
  <c r="AC8" i="3" s="1"/>
  <c r="AI8" i="3" s="1" a="1"/>
  <c r="AI8" i="3" s="1"/>
  <c r="AC20" i="3" a="1"/>
  <c r="AC20" i="3" s="1"/>
  <c r="AI20" i="3" s="1" a="1"/>
  <c r="AI20" i="3" s="1"/>
  <c r="AC31" i="3" a="1"/>
  <c r="AC31" i="3" s="1"/>
  <c r="AI31" i="3" s="1" a="1"/>
  <c r="AI31" i="3" s="1"/>
  <c r="AC46" i="3" a="1"/>
  <c r="AC46" i="3" s="1"/>
  <c r="AI46" i="3" s="1" a="1"/>
  <c r="AI46" i="3" s="1"/>
  <c r="AC28" i="3" a="1"/>
  <c r="AC28" i="3" s="1"/>
  <c r="AI28" i="3" s="1" a="1"/>
  <c r="AI28" i="3" s="1"/>
  <c r="AC4" i="3" a="1"/>
  <c r="AC4" i="3" s="1"/>
  <c r="AI4" i="3" s="1" a="1"/>
  <c r="AI4" i="3" s="1"/>
  <c r="AC48" i="3" a="1"/>
  <c r="AC48" i="3" s="1"/>
  <c r="AI48" i="3" s="1" a="1"/>
  <c r="AI48" i="3" s="1"/>
  <c r="AC53" i="3" a="1"/>
  <c r="AC53" i="3" s="1"/>
  <c r="AI53" i="3" s="1" a="1"/>
  <c r="AI53" i="3" s="1"/>
  <c r="AC55" i="3" a="1"/>
  <c r="AC55" i="3" s="1"/>
  <c r="AI55" i="3" s="1" a="1"/>
  <c r="AI55" i="3" s="1"/>
  <c r="AC29" i="3" a="1"/>
  <c r="AC29" i="3" s="1"/>
  <c r="AI29" i="3" s="1" a="1"/>
  <c r="AI29" i="3" s="1"/>
  <c r="AC58" i="3" a="1"/>
  <c r="AC58" i="3" s="1"/>
  <c r="AI58" i="3" s="1" a="1"/>
  <c r="AI58" i="3" s="1"/>
  <c r="AC12" i="3" a="1"/>
  <c r="AC12" i="3" s="1"/>
  <c r="AI12" i="3" s="1" a="1"/>
  <c r="AI12" i="3" s="1"/>
  <c r="AC30" i="3" a="1"/>
  <c r="AC30" i="3" s="1"/>
  <c r="AI30" i="3" s="1" a="1"/>
  <c r="AI30" i="3" s="1"/>
  <c r="AC6" i="3" a="1"/>
  <c r="AC6" i="3" s="1"/>
  <c r="AI6" i="3" s="1" a="1"/>
  <c r="AI6" i="3" s="1"/>
  <c r="AC13" i="3" a="1"/>
  <c r="AC13" i="3" s="1"/>
  <c r="AI13" i="3" s="1" a="1"/>
  <c r="AI13" i="3" s="1"/>
  <c r="AC23" i="3" a="1"/>
  <c r="AC23" i="3" s="1"/>
  <c r="AI23" i="3" s="1" a="1"/>
  <c r="AI23" i="3" s="1"/>
  <c r="AC54" i="3" a="1"/>
  <c r="AC54" i="3" s="1"/>
  <c r="AI54" i="3" s="1" a="1"/>
  <c r="AI54" i="3" s="1"/>
  <c r="AC34" i="3" a="1"/>
  <c r="AC34" i="3" s="1"/>
  <c r="AI34" i="3" s="1" a="1"/>
  <c r="AI34" i="3" s="1"/>
  <c r="AC44" i="3" a="1"/>
  <c r="AC44" i="3" s="1"/>
  <c r="AI44" i="3" s="1" a="1"/>
  <c r="AI44" i="3" s="1"/>
  <c r="AC7" i="3" a="1"/>
  <c r="AC7" i="3" s="1"/>
  <c r="AI7" i="3" s="1" a="1"/>
  <c r="AI7" i="3" s="1"/>
  <c r="AC5" i="3" a="1"/>
  <c r="AC5" i="3" s="1"/>
  <c r="AI5" i="3" s="1" a="1"/>
  <c r="AI5" i="3" s="1"/>
  <c r="AC27" i="3" a="1"/>
  <c r="AC27" i="3" s="1"/>
  <c r="AI27" i="3" s="1" a="1"/>
  <c r="AI27" i="3" s="1"/>
  <c r="AC40" i="3" a="1"/>
  <c r="AC40" i="3" s="1"/>
  <c r="AI40" i="3" s="1" a="1"/>
  <c r="AI40" i="3" s="1"/>
  <c r="AC35" i="3" a="1"/>
  <c r="AC35" i="3" s="1"/>
  <c r="AI35" i="3" s="1" a="1"/>
  <c r="AI35" i="3" s="1"/>
  <c r="AC11" i="3" a="1"/>
  <c r="AC11" i="3" s="1"/>
  <c r="AI11" i="3" s="1" a="1"/>
  <c r="AI11" i="3" s="1"/>
  <c r="AC57" i="3" a="1"/>
  <c r="AC57" i="3" s="1"/>
  <c r="AI57" i="3" s="1" a="1"/>
  <c r="AI57" i="3" s="1"/>
  <c r="AC18" i="3" a="1"/>
  <c r="AC18" i="3" s="1"/>
  <c r="AI18" i="3" s="1" a="1"/>
  <c r="AI18" i="3" s="1"/>
  <c r="AC32" i="3" a="1"/>
  <c r="AC32" i="3" s="1"/>
  <c r="AI32" i="3" s="1" a="1"/>
  <c r="AI32" i="3" s="1"/>
  <c r="AC43" i="3" a="1"/>
  <c r="AC43" i="3" s="1"/>
  <c r="AI43" i="3" s="1" a="1"/>
  <c r="AI43" i="3" s="1"/>
  <c r="AC39" i="3" a="1"/>
  <c r="AC39" i="3" s="1"/>
  <c r="AI39" i="3" s="1" a="1"/>
  <c r="AI39" i="3" s="1"/>
  <c r="AC36" i="3" a="1"/>
  <c r="AC36" i="3" s="1"/>
  <c r="AI36" i="3" s="1" a="1"/>
  <c r="AI36" i="3" s="1"/>
  <c r="AC19" i="3" a="1"/>
  <c r="AC19" i="3" s="1"/>
  <c r="AI19" i="3" s="1" a="1"/>
  <c r="AI19" i="3" s="1"/>
  <c r="AC26" i="3" a="1"/>
  <c r="AC26" i="3" s="1"/>
  <c r="AI26" i="3" s="1" a="1"/>
  <c r="AI26" i="3" s="1"/>
  <c r="AC22" i="3" a="1"/>
  <c r="AC22" i="3" s="1"/>
  <c r="AI22" i="3" s="1" a="1"/>
  <c r="AI22" i="3" s="1"/>
  <c r="AC52" i="3" a="1"/>
  <c r="AC52" i="3" s="1"/>
  <c r="AI52" i="3" s="1" a="1"/>
  <c r="AI52" i="3" s="1"/>
  <c r="AC16" i="3" a="1"/>
  <c r="AC16" i="3" s="1"/>
  <c r="AI16" i="3" s="1" a="1"/>
  <c r="AI16" i="3" s="1"/>
  <c r="AC10" i="3" a="1"/>
  <c r="AC10" i="3" s="1"/>
  <c r="AI10" i="3" s="1" a="1"/>
  <c r="AI10" i="3" s="1"/>
  <c r="AC41" i="3" a="1"/>
  <c r="AC41" i="3" s="1"/>
  <c r="AI41" i="3" s="1" a="1"/>
  <c r="AI41" i="3" s="1"/>
  <c r="AC42" i="3" a="1"/>
  <c r="AC42" i="3" s="1"/>
  <c r="AI42" i="3" s="1" a="1"/>
  <c r="AI42" i="3" s="1"/>
  <c r="AC56" i="3" a="1"/>
  <c r="AC56" i="3" s="1"/>
  <c r="AI56" i="3" s="1" a="1"/>
  <c r="AI56" i="3" s="1"/>
  <c r="AC17" i="3" a="1"/>
  <c r="AC17" i="3" s="1"/>
  <c r="AI17" i="3" s="1" a="1"/>
  <c r="AI17" i="3" s="1"/>
  <c r="AC25" i="3" a="1"/>
  <c r="AC25" i="3" s="1"/>
  <c r="AI25" i="3" s="1" a="1"/>
  <c r="AI25" i="3" s="1"/>
  <c r="AC38" i="3" a="1"/>
  <c r="AC38" i="3" s="1"/>
  <c r="AI38" i="3" s="1" a="1"/>
  <c r="AI38" i="3" s="1"/>
  <c r="AC9" i="3" a="1"/>
  <c r="AC9" i="3" s="1"/>
  <c r="AI9" i="3" s="1" a="1"/>
  <c r="AI9" i="3" s="1"/>
  <c r="AC21" i="3" a="1"/>
  <c r="AC21" i="3" s="1"/>
  <c r="AI21" i="3" s="1" a="1"/>
  <c r="AI21" i="3" s="1"/>
  <c r="AC51" i="3" a="1"/>
  <c r="AC51" i="3" s="1"/>
  <c r="AI51" i="3" s="1" a="1"/>
  <c r="AI51" i="3" s="1"/>
  <c r="AC45" i="3" a="1"/>
  <c r="AC45" i="3" s="1"/>
  <c r="AI45" i="3" s="1" a="1"/>
  <c r="AI45" i="3" s="1"/>
  <c r="AC24" i="3" a="1"/>
  <c r="AC24" i="3" s="1"/>
  <c r="AI24" i="3" s="1" a="1"/>
  <c r="AI24" i="3" s="1"/>
  <c r="AC37" i="3" a="1"/>
  <c r="AC37" i="3" s="1"/>
  <c r="AI37" i="3" s="1" a="1"/>
  <c r="AI37" i="3" s="1"/>
  <c r="AC50" i="3" a="1"/>
  <c r="AC50" i="3" s="1"/>
  <c r="AI50" i="3" s="1" a="1"/>
  <c r="AI50" i="3" s="1"/>
  <c r="AL10" i="3" a="1"/>
  <c r="AL10" i="3" s="1"/>
  <c r="AL40" i="3" a="1"/>
  <c r="AL40" i="3" s="1"/>
  <c r="AL13" i="3" a="1"/>
  <c r="AL13" i="3" s="1"/>
  <c r="AL9" i="3" a="1"/>
  <c r="AL9" i="3" s="1"/>
  <c r="AL75" i="3" a="1"/>
  <c r="AL75" i="3" s="1"/>
  <c r="AL68" i="3" a="1"/>
  <c r="AL68" i="3" s="1"/>
  <c r="AL87" i="3" a="1"/>
  <c r="AL87" i="3" s="1"/>
  <c r="AL45" i="3" a="1"/>
  <c r="AL45" i="3" s="1"/>
  <c r="AL60" i="3" a="1"/>
  <c r="AL60" i="3" s="1"/>
  <c r="AL48" i="3" a="1"/>
  <c r="AL48" i="3" s="1"/>
  <c r="AL36" i="3" a="1"/>
  <c r="AL36" i="3" s="1"/>
  <c r="AL77" i="3" a="1"/>
  <c r="AL77" i="3" s="1"/>
  <c r="AL35" i="3" a="1"/>
  <c r="AL35" i="3" s="1"/>
  <c r="AL51" i="3" a="1"/>
  <c r="AL51" i="3" s="1"/>
  <c r="AL80" i="3" a="1"/>
  <c r="AL80" i="3" s="1"/>
  <c r="AL94" i="3" a="1"/>
  <c r="AL94" i="3" s="1"/>
  <c r="AL34" i="3" a="1"/>
  <c r="AL34" i="3" s="1"/>
  <c r="AL44" i="3" a="1"/>
  <c r="AL44" i="3" s="1"/>
  <c r="AL57" i="3" a="1"/>
  <c r="AL57" i="3" s="1"/>
  <c r="AL37" i="3" a="1"/>
  <c r="AL37" i="3" s="1"/>
  <c r="AL82" i="3" a="1"/>
  <c r="AL82" i="3" s="1"/>
  <c r="AL58" i="3" a="1"/>
  <c r="AL58" i="3" s="1"/>
  <c r="AL33" i="3" a="1"/>
  <c r="AL33" i="3" s="1"/>
  <c r="AL24" i="3" a="1"/>
  <c r="AL24" i="3" s="1"/>
  <c r="AL79" i="3" a="1"/>
  <c r="AL79" i="3" s="1"/>
  <c r="AL85" i="3" a="1"/>
  <c r="AL85" i="3" s="1"/>
  <c r="AL83" i="3" a="1"/>
  <c r="AL83" i="3" s="1"/>
  <c r="AL29" i="3" a="1"/>
  <c r="AL29" i="3" s="1"/>
  <c r="AL50" i="3" a="1"/>
  <c r="AL50" i="3" s="1"/>
  <c r="AL74" i="3" a="1"/>
  <c r="AL74" i="3" s="1"/>
  <c r="AL72" i="3" a="1"/>
  <c r="AL72" i="3" s="1"/>
  <c r="AL97" i="3" a="1"/>
  <c r="AL97" i="3" s="1"/>
  <c r="AL4" i="3" a="1"/>
  <c r="AL4" i="3" s="1"/>
  <c r="AM4" i="3" s="1" a="1"/>
  <c r="AM4" i="3" s="1"/>
  <c r="AL65" i="3" a="1"/>
  <c r="AL65" i="3" s="1"/>
  <c r="AL52" i="3" a="1"/>
  <c r="AL52" i="3" s="1"/>
  <c r="AL5" i="3" a="1"/>
  <c r="AL5" i="3" s="1"/>
  <c r="AL12" i="3" a="1"/>
  <c r="AL12" i="3" s="1"/>
  <c r="AL96" i="3" a="1"/>
  <c r="AL96" i="3" s="1"/>
  <c r="AL6" i="3" a="1"/>
  <c r="AL6" i="3" s="1"/>
  <c r="AL100" i="3" a="1"/>
  <c r="AL100" i="3" s="1"/>
  <c r="AL102" i="3" a="1"/>
  <c r="AL102" i="3" s="1"/>
  <c r="AL25" i="3" a="1"/>
  <c r="AL25" i="3" s="1"/>
  <c r="AL47" i="3" a="1"/>
  <c r="AL47" i="3" s="1"/>
  <c r="AL101" i="3" a="1"/>
  <c r="AL101" i="3" s="1"/>
  <c r="AL22" i="3" a="1"/>
  <c r="AL22" i="3" s="1"/>
  <c r="AL54" i="3" a="1"/>
  <c r="AL54" i="3" s="1"/>
  <c r="AL7" i="3" a="1"/>
  <c r="AL7" i="3" s="1"/>
  <c r="AL38" i="3" a="1"/>
  <c r="AL38" i="3" s="1"/>
  <c r="AL89" i="3" a="1"/>
  <c r="AL89" i="3" s="1"/>
  <c r="AL103" i="3" a="1"/>
  <c r="AL103" i="3" s="1"/>
  <c r="AL16" i="3" a="1"/>
  <c r="AL16" i="3" s="1"/>
  <c r="AL11" i="3" a="1"/>
  <c r="AL11" i="3" s="1"/>
  <c r="AL21" i="3" a="1"/>
  <c r="AL21" i="3" s="1"/>
  <c r="AL93" i="3" a="1"/>
  <c r="AL93" i="3" s="1"/>
  <c r="AL53" i="3" a="1"/>
  <c r="AL53" i="3" s="1"/>
  <c r="AL46" i="3" a="1"/>
  <c r="AL46" i="3" s="1"/>
  <c r="AL70" i="3" a="1"/>
  <c r="AL70" i="3" s="1"/>
  <c r="AL91" i="3" a="1"/>
  <c r="AL91" i="3" s="1"/>
  <c r="AL39" i="3" a="1"/>
  <c r="AL39" i="3" s="1"/>
  <c r="AL76" i="3" a="1"/>
  <c r="AL76" i="3" s="1"/>
  <c r="AL59" i="3" a="1"/>
  <c r="AL59" i="3" s="1"/>
  <c r="AL26" i="3" a="1"/>
  <c r="AL26" i="3" s="1"/>
  <c r="AL90" i="3" a="1"/>
  <c r="AL90" i="3" s="1"/>
  <c r="AL27" i="3" a="1"/>
  <c r="AL27" i="3" s="1"/>
  <c r="AL8" i="3" a="1"/>
  <c r="AL8" i="3" s="1"/>
  <c r="AL98" i="3" a="1"/>
  <c r="AL98" i="3" s="1"/>
  <c r="AL28" i="3" a="1"/>
  <c r="AL28" i="3" s="1"/>
  <c r="AL73" i="3" a="1"/>
  <c r="AL73" i="3" s="1"/>
  <c r="AL62" i="3" a="1"/>
  <c r="AL62" i="3" s="1"/>
  <c r="AL31" i="3" a="1"/>
  <c r="AL31" i="3" s="1"/>
  <c r="AL63" i="3" a="1"/>
  <c r="AL63" i="3" s="1"/>
  <c r="AL61" i="3" a="1"/>
  <c r="AL61" i="3" s="1"/>
  <c r="AL19" i="3" a="1"/>
  <c r="AL19" i="3" s="1"/>
  <c r="AL64" i="3" a="1"/>
  <c r="AL64" i="3" s="1"/>
  <c r="AL55" i="3" a="1"/>
  <c r="AL55" i="3" s="1"/>
  <c r="AL43" i="3" a="1"/>
  <c r="AL43" i="3" s="1"/>
  <c r="AL99" i="3" a="1"/>
  <c r="AL99" i="3" s="1"/>
  <c r="AL32" i="3" a="1"/>
  <c r="AL32" i="3" s="1"/>
  <c r="AL95" i="3" a="1"/>
  <c r="AL95" i="3" s="1"/>
  <c r="AL42" i="3" a="1"/>
  <c r="AL42" i="3" s="1"/>
  <c r="AL17" i="3" a="1"/>
  <c r="AL17" i="3" s="1"/>
  <c r="AL69" i="3" a="1"/>
  <c r="AL69" i="3" s="1"/>
  <c r="AL78" i="3" a="1"/>
  <c r="AL78" i="3" s="1"/>
  <c r="AL20" i="3" a="1"/>
  <c r="AL20" i="3" s="1"/>
  <c r="AL18" i="3" a="1"/>
  <c r="AL18" i="3" s="1"/>
  <c r="AL66" i="3" a="1"/>
  <c r="AL66" i="3" s="1"/>
  <c r="AL84" i="3" a="1"/>
  <c r="AL84" i="3" s="1"/>
  <c r="AL81" i="3" a="1"/>
  <c r="AL81" i="3" s="1"/>
  <c r="AL56" i="3" a="1"/>
  <c r="AL56" i="3" s="1"/>
  <c r="AL86" i="3" a="1"/>
  <c r="AL86" i="3" s="1"/>
  <c r="AL71" i="3" a="1"/>
  <c r="AL71" i="3" s="1"/>
  <c r="AL67" i="3" a="1"/>
  <c r="AL67" i="3" s="1"/>
  <c r="AL92" i="3" a="1"/>
  <c r="AL92" i="3" s="1"/>
  <c r="AL88" i="3" a="1"/>
  <c r="AL88" i="3" s="1"/>
  <c r="AL23" i="3" a="1"/>
  <c r="AL23" i="3" s="1"/>
  <c r="AL30" i="3" a="1"/>
  <c r="AL30" i="3" s="1"/>
  <c r="C11" i="10" a="1"/>
  <c r="C11" i="10" s="1"/>
  <c r="C10" i="10" a="1"/>
  <c r="C10" i="10" s="1"/>
  <c r="AJ15" i="3" l="1" a="1"/>
  <c r="AJ15" i="3" s="1"/>
  <c r="F15" i="3" s="1"/>
  <c r="R15" i="3" s="1"/>
  <c r="L16" i="29" a="1"/>
  <c r="L16" i="29" s="1"/>
  <c r="T15" i="3"/>
  <c r="AH35" i="3" a="1"/>
  <c r="AH35" i="3" s="1"/>
  <c r="AH37" i="3" a="1"/>
  <c r="AH37" i="3" s="1"/>
  <c r="AH52" i="3" a="1"/>
  <c r="AH52" i="3" s="1"/>
  <c r="AH5" i="3" a="1"/>
  <c r="AH5" i="3" s="1"/>
  <c r="AH48" i="3" a="1"/>
  <c r="AH48" i="3" s="1"/>
  <c r="AH22" i="3" a="1"/>
  <c r="AH22" i="3" s="1"/>
  <c r="AH4" i="3" a="1"/>
  <c r="AH4" i="3" s="1"/>
  <c r="AH17" i="3" a="1"/>
  <c r="AH17" i="3" s="1"/>
  <c r="AH30" i="3" a="1"/>
  <c r="AH30" i="3" s="1"/>
  <c r="AH12" i="3" a="1"/>
  <c r="AH12" i="3" s="1"/>
  <c r="AH11" i="3" a="1"/>
  <c r="AH11" i="3" s="1"/>
  <c r="AH40" i="3" a="1"/>
  <c r="AH40" i="3" s="1"/>
  <c r="AH16" i="3" a="1"/>
  <c r="AH16" i="3" s="1"/>
  <c r="AH45" i="3" a="1"/>
  <c r="AH45" i="3" s="1"/>
  <c r="AH26" i="3" a="1"/>
  <c r="AH26" i="3" s="1"/>
  <c r="AH44" i="3" a="1"/>
  <c r="AH44" i="3" s="1"/>
  <c r="AH28" i="3" a="1"/>
  <c r="AH28" i="3" s="1"/>
  <c r="AH51" i="3" a="1"/>
  <c r="AH51" i="3" s="1"/>
  <c r="AH19" i="3" a="1"/>
  <c r="AH19" i="3" s="1"/>
  <c r="AH34" i="3" a="1"/>
  <c r="AH34" i="3" s="1"/>
  <c r="AH46" i="3" a="1"/>
  <c r="AH46" i="3" s="1"/>
  <c r="AH21" i="3" a="1"/>
  <c r="AH21" i="3" s="1"/>
  <c r="AH36" i="3" a="1"/>
  <c r="AH36" i="3" s="1"/>
  <c r="AH54" i="3" a="1"/>
  <c r="AH54" i="3" s="1"/>
  <c r="AH31" i="3" a="1"/>
  <c r="AH31" i="3" s="1"/>
  <c r="AH56" i="3" a="1"/>
  <c r="AH56" i="3" s="1"/>
  <c r="AH59" i="3" a="1"/>
  <c r="AH59" i="3" s="1"/>
  <c r="AH42" i="3" a="1"/>
  <c r="AH42" i="3" s="1"/>
  <c r="AH58" i="3" a="1"/>
  <c r="AH58" i="3" s="1"/>
  <c r="AH29" i="3" a="1"/>
  <c r="AH29" i="3" s="1"/>
  <c r="AH50" i="3" a="1"/>
  <c r="AH50" i="3" s="1"/>
  <c r="AH27" i="3" a="1"/>
  <c r="AH27" i="3" s="1"/>
  <c r="AH53" i="3" a="1"/>
  <c r="AH53" i="3" s="1"/>
  <c r="AH9" i="3" a="1"/>
  <c r="AH9" i="3" s="1"/>
  <c r="AH23" i="3" a="1"/>
  <c r="AH23" i="3" s="1"/>
  <c r="AH43" i="3" a="1"/>
  <c r="AH43" i="3" s="1"/>
  <c r="AH8" i="3" a="1"/>
  <c r="AH8" i="3" s="1"/>
  <c r="AH18" i="3" a="1"/>
  <c r="AH18" i="3" s="1"/>
  <c r="AH60" i="3" a="1"/>
  <c r="AH60" i="3" s="1"/>
  <c r="AH57" i="3" a="1"/>
  <c r="AH57" i="3" s="1"/>
  <c r="AH41" i="3" a="1"/>
  <c r="AH41" i="3" s="1"/>
  <c r="AH10" i="3" a="1"/>
  <c r="AH10" i="3" s="1"/>
  <c r="AH55" i="3" a="1"/>
  <c r="AH55" i="3" s="1"/>
  <c r="AH24" i="3" a="1"/>
  <c r="AH24" i="3" s="1"/>
  <c r="AH7" i="3" a="1"/>
  <c r="AH7" i="3" s="1"/>
  <c r="AH39" i="3" a="1"/>
  <c r="AH39" i="3" s="1"/>
  <c r="AH20" i="3" a="1"/>
  <c r="AH20" i="3" s="1"/>
  <c r="AH38" i="3" a="1"/>
  <c r="AH38" i="3" s="1"/>
  <c r="AH13" i="3" a="1"/>
  <c r="AH13" i="3" s="1"/>
  <c r="AH25" i="3" a="1"/>
  <c r="AH25" i="3" s="1"/>
  <c r="AH32" i="3" a="1"/>
  <c r="AH32" i="3" s="1"/>
  <c r="AH6" i="3" a="1"/>
  <c r="AH6" i="3" s="1"/>
  <c r="AH47" i="3" a="1"/>
  <c r="AH47" i="3" s="1"/>
  <c r="AG43" i="3" a="1"/>
  <c r="AG43" i="3" s="1"/>
  <c r="AJ43" i="3" s="1" a="1"/>
  <c r="AJ43" i="3" s="1"/>
  <c r="AG25" i="3" a="1"/>
  <c r="AG25" i="3" s="1"/>
  <c r="AJ25" i="3" s="1" a="1"/>
  <c r="AJ25" i="3" s="1"/>
  <c r="AG32" i="3" a="1"/>
  <c r="AG32" i="3" s="1"/>
  <c r="AJ32" i="3" s="1" a="1"/>
  <c r="AJ32" i="3" s="1"/>
  <c r="AG6" i="3" a="1"/>
  <c r="AG6" i="3" s="1"/>
  <c r="AJ6" i="3" s="1" a="1"/>
  <c r="AJ6" i="3" s="1"/>
  <c r="AG17" i="3" a="1"/>
  <c r="AG17" i="3" s="1"/>
  <c r="AJ17" i="3" s="1" a="1"/>
  <c r="AJ17" i="3" s="1"/>
  <c r="AG11" i="3" a="1"/>
  <c r="AG11" i="3" s="1"/>
  <c r="AJ11" i="3" s="1" a="1"/>
  <c r="AJ11" i="3" s="1"/>
  <c r="AG35" i="3" a="1"/>
  <c r="AG35" i="3" s="1"/>
  <c r="AJ35" i="3" s="1" a="1"/>
  <c r="AJ35" i="3" s="1"/>
  <c r="AG10" i="3" a="1"/>
  <c r="AG10" i="3" s="1"/>
  <c r="AJ10" i="3" s="1" a="1"/>
  <c r="AJ10" i="3" s="1"/>
  <c r="AG40" i="3" a="1"/>
  <c r="AG40" i="3" s="1"/>
  <c r="AJ40" i="3" s="1" a="1"/>
  <c r="AJ40" i="3" s="1"/>
  <c r="AG55" i="3" a="1"/>
  <c r="AG55" i="3" s="1"/>
  <c r="AJ55" i="3" s="1" a="1"/>
  <c r="AJ55" i="3" s="1"/>
  <c r="AG50" i="3" a="1"/>
  <c r="AG50" i="3" s="1"/>
  <c r="AJ50" i="3" s="1" a="1"/>
  <c r="AJ50" i="3" s="1"/>
  <c r="AG16" i="3" a="1"/>
  <c r="AG16" i="3" s="1"/>
  <c r="AJ16" i="3" s="1" a="1"/>
  <c r="AJ16" i="3" s="1"/>
  <c r="AG27" i="3" a="1"/>
  <c r="AG27" i="3" s="1"/>
  <c r="AJ27" i="3" s="1" a="1"/>
  <c r="AJ27" i="3" s="1"/>
  <c r="AG53" i="3" a="1"/>
  <c r="AG53" i="3" s="1"/>
  <c r="AJ53" i="3" s="1" a="1"/>
  <c r="AJ53" i="3" s="1"/>
  <c r="AG13" i="3" a="1"/>
  <c r="AG13" i="3" s="1"/>
  <c r="AJ13" i="3" s="1" a="1"/>
  <c r="AJ13" i="3" s="1"/>
  <c r="AG8" i="3" a="1"/>
  <c r="AG8" i="3" s="1"/>
  <c r="AJ8" i="3" s="1" a="1"/>
  <c r="AJ8" i="3" s="1"/>
  <c r="AG60" i="3" a="1"/>
  <c r="AG60" i="3" s="1"/>
  <c r="AJ60" i="3" s="1" a="1"/>
  <c r="AJ60" i="3" s="1"/>
  <c r="AG59" i="3" a="1"/>
  <c r="AG59" i="3" s="1"/>
  <c r="AJ59" i="3" s="1" a="1"/>
  <c r="AJ59" i="3" s="1"/>
  <c r="AG41" i="3" a="1"/>
  <c r="AG41" i="3" s="1"/>
  <c r="AJ41" i="3" s="1" a="1"/>
  <c r="AJ41" i="3" s="1"/>
  <c r="AG22" i="3" a="1"/>
  <c r="AG22" i="3" s="1"/>
  <c r="AJ22" i="3" s="1" a="1"/>
  <c r="AJ22" i="3" s="1"/>
  <c r="AG4" i="3" a="1"/>
  <c r="AG4" i="3" s="1"/>
  <c r="AJ4" i="3" s="1" a="1"/>
  <c r="AJ4" i="3" s="1"/>
  <c r="AG45" i="3" a="1"/>
  <c r="AG45" i="3" s="1"/>
  <c r="AJ45" i="3" s="1" a="1"/>
  <c r="AJ45" i="3" s="1"/>
  <c r="AG44" i="3" a="1"/>
  <c r="AG44" i="3" s="1"/>
  <c r="AJ44" i="3" s="1" a="1"/>
  <c r="AJ44" i="3" s="1"/>
  <c r="AG28" i="3" a="1"/>
  <c r="AG28" i="3" s="1"/>
  <c r="AJ28" i="3" s="1" a="1"/>
  <c r="AJ28" i="3" s="1"/>
  <c r="AG18" i="3" a="1"/>
  <c r="AG18" i="3" s="1"/>
  <c r="AJ18" i="3" s="1" a="1"/>
  <c r="AJ18" i="3" s="1"/>
  <c r="AG57" i="3" a="1"/>
  <c r="AG57" i="3" s="1"/>
  <c r="AJ57" i="3" s="1" a="1"/>
  <c r="AJ57" i="3" s="1"/>
  <c r="AG37" i="3" a="1"/>
  <c r="AG37" i="3" s="1"/>
  <c r="AJ37" i="3" s="1" a="1"/>
  <c r="AJ37" i="3" s="1"/>
  <c r="AG5" i="3" a="1"/>
  <c r="AG5" i="3" s="1"/>
  <c r="AJ5" i="3" s="1" a="1"/>
  <c r="AJ5" i="3" s="1"/>
  <c r="AG24" i="3" a="1"/>
  <c r="AG24" i="3" s="1"/>
  <c r="AJ24" i="3" s="1" a="1"/>
  <c r="AJ24" i="3" s="1"/>
  <c r="AG7" i="3" a="1"/>
  <c r="AG7" i="3" s="1"/>
  <c r="AJ7" i="3" s="1" a="1"/>
  <c r="AJ7" i="3" s="1"/>
  <c r="AG51" i="3" a="1"/>
  <c r="AG51" i="3" s="1"/>
  <c r="AJ51" i="3" s="1" a="1"/>
  <c r="AJ51" i="3" s="1"/>
  <c r="AG19" i="3" a="1"/>
  <c r="AG19" i="3" s="1"/>
  <c r="AJ19" i="3" s="1" a="1"/>
  <c r="AJ19" i="3" s="1"/>
  <c r="AG34" i="3" a="1"/>
  <c r="AG34" i="3" s="1"/>
  <c r="AJ34" i="3" s="1" a="1"/>
  <c r="AJ34" i="3" s="1"/>
  <c r="AG46" i="3" a="1"/>
  <c r="AG46" i="3" s="1"/>
  <c r="AJ46" i="3" s="1" a="1"/>
  <c r="AJ46" i="3" s="1"/>
  <c r="AG38" i="3" a="1"/>
  <c r="AG38" i="3" s="1"/>
  <c r="AJ38" i="3" s="1" a="1"/>
  <c r="AJ38" i="3" s="1"/>
  <c r="AG30" i="3" a="1"/>
  <c r="AG30" i="3" s="1"/>
  <c r="AJ30" i="3" s="1" a="1"/>
  <c r="AJ30" i="3" s="1"/>
  <c r="AG56" i="3" a="1"/>
  <c r="AG56" i="3" s="1"/>
  <c r="AJ56" i="3" s="1" a="1"/>
  <c r="AJ56" i="3" s="1"/>
  <c r="AG12" i="3" a="1"/>
  <c r="AG12" i="3" s="1"/>
  <c r="AJ12" i="3" s="1" a="1"/>
  <c r="AJ12" i="3" s="1"/>
  <c r="AG42" i="3" a="1"/>
  <c r="AG42" i="3" s="1"/>
  <c r="AJ42" i="3" s="1" a="1"/>
  <c r="AJ42" i="3" s="1"/>
  <c r="AG58" i="3" a="1"/>
  <c r="AG58" i="3" s="1"/>
  <c r="AJ58" i="3" s="1" a="1"/>
  <c r="AJ58" i="3" s="1"/>
  <c r="AG29" i="3" a="1"/>
  <c r="AG29" i="3" s="1"/>
  <c r="AJ29" i="3" s="1" a="1"/>
  <c r="AJ29" i="3" s="1"/>
  <c r="AG52" i="3" a="1"/>
  <c r="AG52" i="3" s="1"/>
  <c r="AJ52" i="3" s="1" a="1"/>
  <c r="AJ52" i="3" s="1"/>
  <c r="AG48" i="3" a="1"/>
  <c r="AG48" i="3" s="1"/>
  <c r="AJ48" i="3" s="1" a="1"/>
  <c r="AJ48" i="3" s="1"/>
  <c r="AG26" i="3" a="1"/>
  <c r="AG26" i="3" s="1"/>
  <c r="AJ26" i="3" s="1" a="1"/>
  <c r="AJ26" i="3" s="1"/>
  <c r="AG21" i="3" a="1"/>
  <c r="AG21" i="3" s="1"/>
  <c r="AJ21" i="3" s="1" a="1"/>
  <c r="AJ21" i="3" s="1"/>
  <c r="AG36" i="3" a="1"/>
  <c r="AG36" i="3" s="1"/>
  <c r="AJ36" i="3" s="1" a="1"/>
  <c r="AJ36" i="3" s="1"/>
  <c r="AG54" i="3" a="1"/>
  <c r="AG54" i="3" s="1"/>
  <c r="AJ54" i="3" s="1" a="1"/>
  <c r="AJ54" i="3" s="1"/>
  <c r="AG31" i="3" a="1"/>
  <c r="AG31" i="3" s="1"/>
  <c r="AJ31" i="3" s="1" a="1"/>
  <c r="AJ31" i="3" s="1"/>
  <c r="AG9" i="3" a="1"/>
  <c r="AG9" i="3" s="1"/>
  <c r="AJ9" i="3" s="1" a="1"/>
  <c r="AJ9" i="3" s="1"/>
  <c r="AG39" i="3" a="1"/>
  <c r="AG39" i="3" s="1"/>
  <c r="AJ39" i="3" s="1" a="1"/>
  <c r="AJ39" i="3" s="1"/>
  <c r="AG23" i="3" a="1"/>
  <c r="AG23" i="3" s="1"/>
  <c r="AJ23" i="3" s="1" a="1"/>
  <c r="AJ23" i="3" s="1"/>
  <c r="AG20" i="3" a="1"/>
  <c r="AG20" i="3" s="1"/>
  <c r="AJ20" i="3" s="1" a="1"/>
  <c r="AJ20" i="3" s="1"/>
  <c r="AG47" i="3" a="1"/>
  <c r="AG47" i="3" s="1"/>
  <c r="AJ47" i="3" s="1" a="1"/>
  <c r="AJ47" i="3" s="1"/>
  <c r="N13" i="3"/>
  <c r="N8" i="3"/>
  <c r="N18" i="3"/>
  <c r="N30" i="3"/>
  <c r="N10" i="3"/>
  <c r="N16" i="3"/>
  <c r="N37" i="3"/>
  <c r="N52" i="3"/>
  <c r="N5" i="3"/>
  <c r="N24" i="3"/>
  <c r="N22" i="3"/>
  <c r="N4" i="3"/>
  <c r="N42" i="3"/>
  <c r="N28" i="3"/>
  <c r="N34" i="3"/>
  <c r="N21" i="3"/>
  <c r="AN59" i="3" a="1"/>
  <c r="AN59" i="3" s="1"/>
  <c r="AO59" i="3" s="1" a="1"/>
  <c r="AO59" i="3" s="1"/>
  <c r="AO60" i="3" s="1" a="1"/>
  <c r="AO60" i="3" s="1"/>
  <c r="AO61" i="3" s="1" a="1"/>
  <c r="AO61" i="3" s="1"/>
  <c r="AO62" i="3" s="1" a="1"/>
  <c r="AO62" i="3" s="1"/>
  <c r="B59" i="3" a="1"/>
  <c r="B59" i="3" s="1"/>
  <c r="B6" i="3" a="1"/>
  <c r="B6" i="3" s="1"/>
  <c r="F24" i="20" a="1"/>
  <c r="F24" i="20" s="1"/>
  <c r="H45" i="20" a="1"/>
  <c r="H45" i="20" s="1"/>
  <c r="H40" i="20" a="1"/>
  <c r="H40" i="20" s="1"/>
  <c r="H51" i="20" a="1"/>
  <c r="H51" i="20" s="1"/>
  <c r="H50" i="20" a="1"/>
  <c r="H50" i="20" s="1"/>
  <c r="H49" i="20" a="1"/>
  <c r="H49" i="20" s="1"/>
  <c r="H46" i="20" a="1"/>
  <c r="H46" i="20" s="1"/>
  <c r="H64" i="20" a="1"/>
  <c r="H64" i="20" s="1"/>
  <c r="H48" i="20" a="1"/>
  <c r="H48" i="20" s="1"/>
  <c r="H44" i="20" a="1"/>
  <c r="H44" i="20" s="1"/>
  <c r="H32" i="20" a="1"/>
  <c r="H32" i="20" s="1"/>
  <c r="H58" i="20" a="1"/>
  <c r="H58" i="20" s="1"/>
  <c r="H41" i="20" a="1"/>
  <c r="H41" i="20" s="1"/>
  <c r="K36" i="21" a="1"/>
  <c r="K36" i="21" s="1"/>
  <c r="AM36" i="21" s="1"/>
  <c r="H13" i="20" a="1"/>
  <c r="H13" i="20" s="1"/>
  <c r="K38" i="21" a="1"/>
  <c r="K38" i="21" s="1"/>
  <c r="AM38" i="21" s="1"/>
  <c r="H53" i="20" a="1"/>
  <c r="H53" i="20" s="1"/>
  <c r="H62" i="20" a="1"/>
  <c r="H62" i="20" s="1"/>
  <c r="H63" i="20" a="1"/>
  <c r="H63" i="20" s="1"/>
  <c r="H24" i="20" a="1"/>
  <c r="H24" i="20" s="1"/>
  <c r="H23" i="20" a="1"/>
  <c r="H23" i="20" s="1"/>
  <c r="H65" i="20" a="1"/>
  <c r="H65" i="20" s="1"/>
  <c r="H7" i="20" a="1"/>
  <c r="H7" i="20" s="1"/>
  <c r="F46" i="20" a="1"/>
  <c r="F46" i="20" s="1"/>
  <c r="F56" i="20" a="1"/>
  <c r="F56" i="20" s="1"/>
  <c r="F18" i="20" a="1"/>
  <c r="F18" i="20" s="1"/>
  <c r="F41" i="20" a="1"/>
  <c r="F41" i="20" s="1"/>
  <c r="H54" i="20" a="1"/>
  <c r="H54" i="20" s="1"/>
  <c r="H55" i="20" a="1"/>
  <c r="H55" i="20" s="1"/>
  <c r="H52" i="20" a="1"/>
  <c r="H52" i="20" s="1"/>
  <c r="K35" i="21" a="1"/>
  <c r="K35" i="21" s="1"/>
  <c r="AM35" i="21" s="1"/>
  <c r="K39" i="21" a="1"/>
  <c r="K39" i="21" s="1"/>
  <c r="AM39" i="21" s="1"/>
  <c r="K40" i="21" a="1"/>
  <c r="K40" i="21" s="1"/>
  <c r="AM40" i="21" s="1"/>
  <c r="F23" i="20" a="1"/>
  <c r="F23" i="20" s="1"/>
  <c r="F57" i="20" a="1"/>
  <c r="F57" i="20" s="1"/>
  <c r="H28" i="10" a="1"/>
  <c r="H28" i="10" s="1"/>
  <c r="F40" i="20" a="1"/>
  <c r="F40" i="20" s="1"/>
  <c r="F51" i="20" a="1"/>
  <c r="F51" i="20" s="1"/>
  <c r="F54" i="20" a="1"/>
  <c r="F54" i="20" s="1"/>
  <c r="F34" i="20" a="1"/>
  <c r="F34" i="20" s="1"/>
  <c r="F44" i="20" a="1"/>
  <c r="F44" i="20" s="1"/>
  <c r="F55" i="20" a="1"/>
  <c r="F55" i="20" s="1"/>
  <c r="F49" i="20" a="1"/>
  <c r="F49" i="20" s="1"/>
  <c r="H29" i="10" a="1"/>
  <c r="H29" i="10" s="1"/>
  <c r="F50" i="20" a="1"/>
  <c r="F50" i="20" s="1"/>
  <c r="H30" i="10" a="1"/>
  <c r="H30" i="10" s="1"/>
  <c r="F62" i="20" a="1"/>
  <c r="F62" i="20" s="1"/>
  <c r="F45" i="20" a="1"/>
  <c r="F45" i="20" s="1"/>
  <c r="F64" i="20" a="1"/>
  <c r="F64" i="20" s="1"/>
  <c r="F43" i="20" a="1"/>
  <c r="F43" i="20" s="1"/>
  <c r="D41" i="9" a="1"/>
  <c r="D41" i="9" s="1"/>
  <c r="F48" i="20" a="1"/>
  <c r="F48" i="20" s="1"/>
  <c r="H32" i="10" a="1"/>
  <c r="H32" i="10" s="1"/>
  <c r="F52" i="20" a="1"/>
  <c r="F52" i="20" s="1"/>
  <c r="F59" i="20" a="1"/>
  <c r="F59" i="20" s="1"/>
  <c r="H31" i="10" a="1"/>
  <c r="H31" i="10" s="1"/>
  <c r="D34" i="9" a="1"/>
  <c r="D34" i="9" s="1"/>
  <c r="H40" i="10" a="1"/>
  <c r="H40" i="10" s="1"/>
  <c r="F63" i="20" a="1"/>
  <c r="F63" i="20" s="1"/>
  <c r="F66" i="20" a="1"/>
  <c r="F66" i="20" s="1"/>
  <c r="F47" i="20" a="1"/>
  <c r="F47" i="20" s="1"/>
  <c r="F58" i="20" a="1"/>
  <c r="F58" i="20" s="1"/>
  <c r="H39" i="10" a="1"/>
  <c r="H39" i="10" s="1"/>
  <c r="F53" i="20" a="1"/>
  <c r="F53" i="20" s="1"/>
  <c r="AB58" i="3"/>
  <c r="AB40" i="3"/>
  <c r="AB56" i="3"/>
  <c r="AB48" i="3"/>
  <c r="AB38" i="3"/>
  <c r="AB44" i="3"/>
  <c r="AB39" i="3"/>
  <c r="AB50" i="3"/>
  <c r="AB46" i="3"/>
  <c r="AB6" i="3"/>
  <c r="AB29" i="3"/>
  <c r="AB27" i="3"/>
  <c r="AB31" i="3"/>
  <c r="AB17" i="3"/>
  <c r="AB7" i="3"/>
  <c r="AB25" i="3"/>
  <c r="AC39" i="10"/>
  <c r="AE39" i="10" s="1"/>
  <c r="P39" i="10" s="1"/>
  <c r="AC40" i="10"/>
  <c r="AE40" i="10" s="1"/>
  <c r="P40" i="10" s="1"/>
  <c r="X41" i="9"/>
  <c r="Y41" i="9"/>
  <c r="Z41" i="9"/>
  <c r="AA41" i="9"/>
  <c r="AB41" i="9"/>
  <c r="AB59" i="20"/>
  <c r="AD59" i="20" s="1"/>
  <c r="P59" i="20" s="1"/>
  <c r="AB64" i="20"/>
  <c r="AD64" i="20" s="1"/>
  <c r="P64" i="20" s="1"/>
  <c r="Y62" i="20"/>
  <c r="AC62" i="20"/>
  <c r="AB62" i="20"/>
  <c r="Z62" i="20"/>
  <c r="AA62" i="20"/>
  <c r="AB63" i="20"/>
  <c r="AB66" i="20"/>
  <c r="AD66" i="20" s="1"/>
  <c r="P66" i="20" s="1"/>
  <c r="Y63" i="20"/>
  <c r="Z63" i="20"/>
  <c r="AA38" i="9"/>
  <c r="Y38" i="9"/>
  <c r="AB58" i="20"/>
  <c r="AD58" i="20" s="1"/>
  <c r="P58" i="20" s="1"/>
  <c r="Y36" i="9"/>
  <c r="AA36" i="9"/>
  <c r="AC29" i="10"/>
  <c r="AE29" i="10" s="1"/>
  <c r="P29" i="10" s="1"/>
  <c r="AC30" i="10"/>
  <c r="AE30" i="10" s="1"/>
  <c r="P30" i="10" s="1"/>
  <c r="AB57" i="20"/>
  <c r="AD57" i="20" s="1"/>
  <c r="P57" i="20" s="1"/>
  <c r="Z43" i="20"/>
  <c r="Y18" i="20"/>
  <c r="Z47" i="20"/>
  <c r="Y41" i="20"/>
  <c r="Y43" i="20"/>
  <c r="AC47" i="20"/>
  <c r="Z40" i="20"/>
  <c r="Z41" i="20"/>
  <c r="AB44" i="20"/>
  <c r="AD44" i="20" s="1"/>
  <c r="P44" i="20" s="1"/>
  <c r="Y54" i="20"/>
  <c r="AD54" i="20" s="1"/>
  <c r="P54" i="20" s="1"/>
  <c r="AB45" i="20"/>
  <c r="AD45" i="20" s="1"/>
  <c r="P45" i="20" s="1"/>
  <c r="AA41" i="20"/>
  <c r="X33" i="9"/>
  <c r="Y47" i="20"/>
  <c r="AB46" i="20"/>
  <c r="AD46" i="20" s="1"/>
  <c r="P46" i="20" s="1"/>
  <c r="AB40" i="20"/>
  <c r="Y33" i="9"/>
  <c r="AB52" i="20"/>
  <c r="AD52" i="20" s="1"/>
  <c r="P52" i="20" s="1"/>
  <c r="AB47" i="20"/>
  <c r="AA18" i="20"/>
  <c r="Z33" i="9"/>
  <c r="AB53" i="20"/>
  <c r="AD53" i="20" s="1"/>
  <c r="P53" i="20" s="1"/>
  <c r="AB48" i="20"/>
  <c r="AD48" i="20" s="1"/>
  <c r="P48" i="20" s="1"/>
  <c r="AA33" i="9"/>
  <c r="Y49" i="20"/>
  <c r="AD49" i="20" s="1"/>
  <c r="P49" i="20" s="1"/>
  <c r="Y55" i="20"/>
  <c r="AD55" i="20" s="1"/>
  <c r="P55" i="20" s="1"/>
  <c r="AB33" i="9"/>
  <c r="Y50" i="20"/>
  <c r="AD50" i="20" s="1"/>
  <c r="P50" i="20" s="1"/>
  <c r="Z18" i="20"/>
  <c r="Y51" i="20"/>
  <c r="AD51" i="20" s="1"/>
  <c r="P51" i="20" s="1"/>
  <c r="AA47" i="20"/>
  <c r="AK19" i="3" a="1"/>
  <c r="AK19" i="3" s="1"/>
  <c r="N19" i="3" s="1"/>
  <c r="AF19" i="3" a="1"/>
  <c r="AF19" i="3" s="1"/>
  <c r="D19" i="3" s="1"/>
  <c r="P19" i="3" s="1"/>
  <c r="I19" i="3"/>
  <c r="J19" i="3"/>
  <c r="AE19" i="3" a="1"/>
  <c r="AE19" i="3" s="1"/>
  <c r="AD19" i="3" a="1"/>
  <c r="AD19" i="3" s="1"/>
  <c r="AK54" i="3" a="1"/>
  <c r="AK54" i="3" s="1"/>
  <c r="N54" i="3" s="1"/>
  <c r="J54" i="3"/>
  <c r="AE54" i="3" a="1"/>
  <c r="AE54" i="3" s="1"/>
  <c r="AD54" i="3" a="1"/>
  <c r="AD54" i="3" s="1"/>
  <c r="I54" i="3"/>
  <c r="AF54" i="3" a="1"/>
  <c r="AF54" i="3" s="1"/>
  <c r="D54" i="3" s="1"/>
  <c r="P54" i="3" s="1"/>
  <c r="AE45" i="3" a="1"/>
  <c r="AE45" i="3" s="1"/>
  <c r="I45" i="3"/>
  <c r="AF45" i="3" a="1"/>
  <c r="AF45" i="3" s="1"/>
  <c r="D45" i="3" s="1"/>
  <c r="P45" i="3" s="1"/>
  <c r="AD45" i="3" a="1"/>
  <c r="AD45" i="3" s="1"/>
  <c r="J45" i="3"/>
  <c r="AK23" i="3" a="1"/>
  <c r="AK23" i="3" s="1"/>
  <c r="N23" i="3" s="1"/>
  <c r="AE23" i="3" a="1"/>
  <c r="AE23" i="3" s="1"/>
  <c r="AD23" i="3" a="1"/>
  <c r="AD23" i="3" s="1"/>
  <c r="I23" i="3"/>
  <c r="AF23" i="3" a="1"/>
  <c r="AF23" i="3" s="1"/>
  <c r="D23" i="3" s="1"/>
  <c r="P23" i="3" s="1"/>
  <c r="J23" i="3"/>
  <c r="AD51" i="3" a="1"/>
  <c r="AD51" i="3" s="1"/>
  <c r="J51" i="3"/>
  <c r="AF51" i="3" a="1"/>
  <c r="AF51" i="3" s="1"/>
  <c r="D51" i="3" s="1"/>
  <c r="P51" i="3" s="1"/>
  <c r="I51" i="3"/>
  <c r="AE51" i="3" a="1"/>
  <c r="AE51" i="3" s="1"/>
  <c r="AF39" i="3" a="1"/>
  <c r="AF39" i="3" s="1"/>
  <c r="D39" i="3" s="1"/>
  <c r="P39" i="3" s="1"/>
  <c r="AD39" i="3" a="1"/>
  <c r="AD39" i="3" s="1"/>
  <c r="AE39" i="3" a="1"/>
  <c r="AE39" i="3" s="1"/>
  <c r="I39" i="3"/>
  <c r="J39" i="3"/>
  <c r="AK13" i="3" a="1"/>
  <c r="AK13" i="3" s="1"/>
  <c r="AE13" i="3" a="1"/>
  <c r="AE13" i="3" s="1"/>
  <c r="AD13" i="3" a="1"/>
  <c r="AD13" i="3" s="1"/>
  <c r="J13" i="3"/>
  <c r="I13" i="3"/>
  <c r="AF13" i="3" a="1"/>
  <c r="AF13" i="3" s="1"/>
  <c r="AK21" i="3" a="1"/>
  <c r="AK21" i="3" s="1"/>
  <c r="I21" i="3"/>
  <c r="AF21" i="3" a="1"/>
  <c r="AF21" i="3" s="1"/>
  <c r="AD21" i="3" a="1"/>
  <c r="AD21" i="3" s="1"/>
  <c r="AE21" i="3" a="1"/>
  <c r="AE21" i="3" s="1"/>
  <c r="J21" i="3"/>
  <c r="AD43" i="3" a="1"/>
  <c r="AD43" i="3" s="1"/>
  <c r="I43" i="3"/>
  <c r="J43" i="3"/>
  <c r="AF43" i="3" a="1"/>
  <c r="AF43" i="3" s="1"/>
  <c r="D43" i="3" s="1"/>
  <c r="P43" i="3" s="1"/>
  <c r="AE43" i="3" a="1"/>
  <c r="AE43" i="3" s="1"/>
  <c r="AK6" i="3" a="1"/>
  <c r="AK6" i="3" s="1"/>
  <c r="N6" i="3" s="1"/>
  <c r="AF6" i="3" a="1"/>
  <c r="AF6" i="3" s="1"/>
  <c r="D6" i="3" s="1"/>
  <c r="P6" i="3" s="1"/>
  <c r="J6" i="3"/>
  <c r="AE6" i="3" a="1"/>
  <c r="AE6" i="3" s="1"/>
  <c r="I6" i="3"/>
  <c r="AD6" i="3" a="1"/>
  <c r="AD6" i="3" s="1"/>
  <c r="AK60" i="3" a="1"/>
  <c r="AK60" i="3" s="1"/>
  <c r="N60" i="3" s="1"/>
  <c r="AD60" i="3" a="1"/>
  <c r="AD60" i="3" s="1"/>
  <c r="J60" i="3"/>
  <c r="AF60" i="3" a="1"/>
  <c r="AF60" i="3" s="1"/>
  <c r="D60" i="3" s="1"/>
  <c r="P60" i="3" s="1"/>
  <c r="AE60" i="3" a="1"/>
  <c r="AE60" i="3" s="1"/>
  <c r="I60" i="3"/>
  <c r="AA60" i="3" s="1" a="1"/>
  <c r="AA60" i="3" s="1"/>
  <c r="AK7" i="3" a="1"/>
  <c r="AK7" i="3" s="1"/>
  <c r="N7" i="3" s="1"/>
  <c r="AF7" i="3" a="1"/>
  <c r="AF7" i="3" s="1"/>
  <c r="D7" i="3" s="1"/>
  <c r="P7" i="3" s="1"/>
  <c r="J7" i="3"/>
  <c r="AE7" i="3" a="1"/>
  <c r="AE7" i="3" s="1"/>
  <c r="I7" i="3"/>
  <c r="AD7" i="3" a="1"/>
  <c r="AD7" i="3" s="1"/>
  <c r="AK28" i="3" a="1"/>
  <c r="AK28" i="3" s="1"/>
  <c r="AF28" i="3" a="1"/>
  <c r="AF28" i="3" s="1"/>
  <c r="I28" i="3"/>
  <c r="J28" i="3"/>
  <c r="AE28" i="3" a="1"/>
  <c r="AE28" i="3" s="1"/>
  <c r="AD28" i="3" a="1"/>
  <c r="AD28" i="3" s="1"/>
  <c r="AK37" i="3" a="1"/>
  <c r="AK37" i="3" s="1"/>
  <c r="I37" i="3"/>
  <c r="AF37" i="3" a="1"/>
  <c r="AF37" i="3" s="1"/>
  <c r="AD37" i="3" a="1"/>
  <c r="AD37" i="3" s="1"/>
  <c r="AE37" i="3" a="1"/>
  <c r="AE37" i="3" s="1"/>
  <c r="J37" i="3"/>
  <c r="AK24" i="3" a="1"/>
  <c r="AK24" i="3" s="1"/>
  <c r="AD24" i="3" a="1"/>
  <c r="AD24" i="3" s="1"/>
  <c r="I24" i="3"/>
  <c r="AF24" i="3" a="1"/>
  <c r="AF24" i="3" s="1"/>
  <c r="J24" i="3"/>
  <c r="AE24" i="3" a="1"/>
  <c r="AE24" i="3" s="1"/>
  <c r="AK32" i="3" a="1"/>
  <c r="AK32" i="3" s="1"/>
  <c r="N32" i="3" s="1"/>
  <c r="J32" i="3"/>
  <c r="AF32" i="3" a="1"/>
  <c r="AF32" i="3" s="1"/>
  <c r="D32" i="3" s="1"/>
  <c r="P32" i="3" s="1"/>
  <c r="I32" i="3"/>
  <c r="AE32" i="3" a="1"/>
  <c r="AE32" i="3" s="1"/>
  <c r="AD32" i="3" a="1"/>
  <c r="AD32" i="3" s="1"/>
  <c r="AK30" i="3" a="1"/>
  <c r="AK30" i="3" s="1"/>
  <c r="AE30" i="3" a="1"/>
  <c r="AE30" i="3" s="1"/>
  <c r="J30" i="3"/>
  <c r="I30" i="3"/>
  <c r="AF30" i="3" a="1"/>
  <c r="AF30" i="3" s="1"/>
  <c r="AD30" i="3" a="1"/>
  <c r="AD30" i="3" s="1"/>
  <c r="AK59" i="3" a="1"/>
  <c r="AK59" i="3" s="1"/>
  <c r="N59" i="3" s="1"/>
  <c r="AD59" i="3" a="1"/>
  <c r="AD59" i="3" s="1"/>
  <c r="AF59" i="3" a="1"/>
  <c r="AF59" i="3" s="1"/>
  <c r="D59" i="3" s="1"/>
  <c r="P59" i="3" s="1"/>
  <c r="J59" i="3"/>
  <c r="I59" i="3"/>
  <c r="AA59" i="3" s="1" a="1"/>
  <c r="AA59" i="3" s="1"/>
  <c r="AE59" i="3" a="1"/>
  <c r="AE59" i="3" s="1"/>
  <c r="J36" i="3"/>
  <c r="AF36" i="3" a="1"/>
  <c r="AF36" i="3" s="1"/>
  <c r="D36" i="3" s="1"/>
  <c r="P36" i="3" s="1"/>
  <c r="AE36" i="3" a="1"/>
  <c r="AE36" i="3" s="1"/>
  <c r="AD36" i="3" a="1"/>
  <c r="AD36" i="3" s="1"/>
  <c r="I36" i="3"/>
  <c r="AK9" i="3" a="1"/>
  <c r="AK9" i="3" s="1"/>
  <c r="N9" i="3" s="1"/>
  <c r="AE9" i="3" a="1"/>
  <c r="AE9" i="3" s="1"/>
  <c r="I9" i="3"/>
  <c r="AF9" i="3" a="1"/>
  <c r="AF9" i="3" s="1"/>
  <c r="D9" i="3" s="1"/>
  <c r="P9" i="3" s="1"/>
  <c r="J9" i="3"/>
  <c r="AD9" i="3" a="1"/>
  <c r="AD9" i="3" s="1"/>
  <c r="AD38" i="3" a="1"/>
  <c r="AD38" i="3" s="1"/>
  <c r="AE38" i="3" a="1"/>
  <c r="AE38" i="3" s="1"/>
  <c r="I38" i="3"/>
  <c r="J38" i="3"/>
  <c r="AF38" i="3" a="1"/>
  <c r="AF38" i="3" s="1"/>
  <c r="D38" i="3" s="1"/>
  <c r="P38" i="3" s="1"/>
  <c r="AK18" i="3" a="1"/>
  <c r="AK18" i="3" s="1"/>
  <c r="AF18" i="3" a="1"/>
  <c r="AF18" i="3" s="1"/>
  <c r="J18" i="3"/>
  <c r="AE18" i="3" a="1"/>
  <c r="AE18" i="3" s="1"/>
  <c r="I18" i="3"/>
  <c r="AD18" i="3" a="1"/>
  <c r="AD18" i="3" s="1"/>
  <c r="AK12" i="3" a="1"/>
  <c r="AK12" i="3" s="1"/>
  <c r="N12" i="3" s="1"/>
  <c r="I12" i="3"/>
  <c r="AF12" i="3" a="1"/>
  <c r="AF12" i="3" s="1"/>
  <c r="D12" i="3" s="1"/>
  <c r="P12" i="3" s="1"/>
  <c r="AE12" i="3" a="1"/>
  <c r="AE12" i="3" s="1"/>
  <c r="AD12" i="3" a="1"/>
  <c r="AD12" i="3" s="1"/>
  <c r="J12" i="3"/>
  <c r="AK26" i="3" a="1"/>
  <c r="AK26" i="3" s="1"/>
  <c r="N26" i="3" s="1"/>
  <c r="AF26" i="3" a="1"/>
  <c r="AF26" i="3" s="1"/>
  <c r="D26" i="3" s="1"/>
  <c r="P26" i="3" s="1"/>
  <c r="AE26" i="3" a="1"/>
  <c r="AE26" i="3" s="1"/>
  <c r="I26" i="3"/>
  <c r="J26" i="3"/>
  <c r="AD26" i="3" a="1"/>
  <c r="AD26" i="3" s="1"/>
  <c r="AK8" i="3" a="1"/>
  <c r="AK8" i="3" s="1"/>
  <c r="AF8" i="3" a="1"/>
  <c r="AF8" i="3" s="1"/>
  <c r="AD8" i="3" a="1"/>
  <c r="AD8" i="3" s="1"/>
  <c r="I8" i="3"/>
  <c r="AE8" i="3" a="1"/>
  <c r="AE8" i="3" s="1"/>
  <c r="J8" i="3"/>
  <c r="AE25" i="3" a="1"/>
  <c r="AE25" i="3" s="1"/>
  <c r="AD25" i="3" a="1"/>
  <c r="AD25" i="3" s="1"/>
  <c r="AF25" i="3" a="1"/>
  <c r="AF25" i="3" s="1"/>
  <c r="D25" i="3" s="1"/>
  <c r="P25" i="3" s="1"/>
  <c r="I25" i="3"/>
  <c r="J25" i="3"/>
  <c r="AK57" i="3" a="1"/>
  <c r="AK57" i="3" s="1"/>
  <c r="N57" i="3" s="1"/>
  <c r="AE57" i="3" a="1"/>
  <c r="AE57" i="3" s="1"/>
  <c r="AD57" i="3" a="1"/>
  <c r="AD57" i="3" s="1"/>
  <c r="AF57" i="3" a="1"/>
  <c r="AF57" i="3" s="1"/>
  <c r="D57" i="3" s="1"/>
  <c r="P57" i="3" s="1"/>
  <c r="J57" i="3"/>
  <c r="I57" i="3"/>
  <c r="AA57" i="3" s="1" a="1"/>
  <c r="AA57" i="3" s="1"/>
  <c r="AK58" i="3" a="1"/>
  <c r="AK58" i="3" s="1"/>
  <c r="N58" i="3" s="1"/>
  <c r="AD58" i="3" a="1"/>
  <c r="AD58" i="3" s="1"/>
  <c r="J58" i="3"/>
  <c r="AE58" i="3" a="1"/>
  <c r="AE58" i="3" s="1"/>
  <c r="I58" i="3"/>
  <c r="AA58" i="3" s="1" a="1"/>
  <c r="AA58" i="3" s="1"/>
  <c r="AF58" i="3" a="1"/>
  <c r="AF58" i="3" s="1"/>
  <c r="D58" i="3" s="1"/>
  <c r="P58" i="3" s="1"/>
  <c r="AK17" i="3" a="1"/>
  <c r="AK17" i="3" s="1"/>
  <c r="N17" i="3" s="1"/>
  <c r="AF17" i="3" a="1"/>
  <c r="AF17" i="3" s="1"/>
  <c r="D17" i="3" s="1"/>
  <c r="P17" i="3" s="1"/>
  <c r="I17" i="3"/>
  <c r="AD17" i="3" a="1"/>
  <c r="AD17" i="3" s="1"/>
  <c r="J17" i="3"/>
  <c r="AE17" i="3" a="1"/>
  <c r="AE17" i="3" s="1"/>
  <c r="AK11" i="3" a="1"/>
  <c r="AK11" i="3" s="1"/>
  <c r="N11" i="3" s="1"/>
  <c r="J11" i="3"/>
  <c r="AE11" i="3" a="1"/>
  <c r="AE11" i="3" s="1"/>
  <c r="AD11" i="3" a="1"/>
  <c r="AD11" i="3" s="1"/>
  <c r="I11" i="3"/>
  <c r="AF11" i="3" a="1"/>
  <c r="AF11" i="3" s="1"/>
  <c r="D11" i="3" s="1"/>
  <c r="P11" i="3" s="1"/>
  <c r="AK29" i="3" a="1"/>
  <c r="AK29" i="3" s="1"/>
  <c r="N29" i="3" s="1"/>
  <c r="AD29" i="3" a="1"/>
  <c r="AD29" i="3" s="1"/>
  <c r="AF29" i="3" a="1"/>
  <c r="AF29" i="3" s="1"/>
  <c r="D29" i="3" s="1"/>
  <c r="P29" i="3" s="1"/>
  <c r="I29" i="3"/>
  <c r="J29" i="3"/>
  <c r="AE29" i="3" a="1"/>
  <c r="AE29" i="3" s="1"/>
  <c r="AK56" i="3" a="1"/>
  <c r="AK56" i="3" s="1"/>
  <c r="N56" i="3" s="1"/>
  <c r="AE56" i="3" a="1"/>
  <c r="AE56" i="3" s="1"/>
  <c r="I56" i="3"/>
  <c r="AF56" i="3" a="1"/>
  <c r="AF56" i="3" s="1"/>
  <c r="D56" i="3" s="1"/>
  <c r="P56" i="3" s="1"/>
  <c r="AD56" i="3" a="1"/>
  <c r="AD56" i="3" s="1"/>
  <c r="J56" i="3"/>
  <c r="AK35" i="3" a="1"/>
  <c r="AK35" i="3" s="1"/>
  <c r="N35" i="3" s="1"/>
  <c r="AF35" i="3" a="1"/>
  <c r="AF35" i="3" s="1"/>
  <c r="D35" i="3" s="1"/>
  <c r="P35" i="3" s="1"/>
  <c r="AE35" i="3" a="1"/>
  <c r="AE35" i="3" s="1"/>
  <c r="AD35" i="3" a="1"/>
  <c r="AD35" i="3" s="1"/>
  <c r="J35" i="3"/>
  <c r="I35" i="3"/>
  <c r="AK55" i="3" a="1"/>
  <c r="AK55" i="3" s="1"/>
  <c r="N55" i="3" s="1"/>
  <c r="I55" i="3"/>
  <c r="AD55" i="3" a="1"/>
  <c r="AD55" i="3" s="1"/>
  <c r="J55" i="3"/>
  <c r="AE55" i="3" a="1"/>
  <c r="AE55" i="3" s="1"/>
  <c r="AF55" i="3" a="1"/>
  <c r="AF55" i="3" s="1"/>
  <c r="D55" i="3" s="1"/>
  <c r="P55" i="3" s="1"/>
  <c r="AK42" i="3" a="1"/>
  <c r="AK42" i="3" s="1"/>
  <c r="AE42" i="3" a="1"/>
  <c r="AE42" i="3" s="1"/>
  <c r="AF42" i="3" a="1"/>
  <c r="AF42" i="3" s="1"/>
  <c r="J42" i="3"/>
  <c r="I42" i="3"/>
  <c r="AD42" i="3" a="1"/>
  <c r="AD42" i="3" s="1"/>
  <c r="AD40" i="3" a="1"/>
  <c r="AD40" i="3" s="1"/>
  <c r="J40" i="3"/>
  <c r="AE40" i="3" a="1"/>
  <c r="AE40" i="3" s="1"/>
  <c r="AF40" i="3" a="1"/>
  <c r="AF40" i="3" s="1"/>
  <c r="D40" i="3" s="1"/>
  <c r="P40" i="3" s="1"/>
  <c r="I40" i="3"/>
  <c r="AK53" i="3" a="1"/>
  <c r="AK53" i="3" s="1"/>
  <c r="N53" i="3" s="1"/>
  <c r="AF53" i="3" a="1"/>
  <c r="AF53" i="3" s="1"/>
  <c r="D53" i="3" s="1"/>
  <c r="P53" i="3" s="1"/>
  <c r="J53" i="3"/>
  <c r="AD53" i="3" a="1"/>
  <c r="AD53" i="3" s="1"/>
  <c r="I53" i="3"/>
  <c r="AE53" i="3" a="1"/>
  <c r="AE53" i="3" s="1"/>
  <c r="AF41" i="3" a="1"/>
  <c r="AF41" i="3" s="1"/>
  <c r="D41" i="3" s="1"/>
  <c r="P41" i="3" s="1"/>
  <c r="AD41" i="3" a="1"/>
  <c r="AD41" i="3" s="1"/>
  <c r="I41" i="3"/>
  <c r="AE41" i="3" a="1"/>
  <c r="AE41" i="3" s="1"/>
  <c r="J41" i="3"/>
  <c r="AK27" i="3" a="1"/>
  <c r="AK27" i="3" s="1"/>
  <c r="N27" i="3" s="1"/>
  <c r="AE27" i="3" a="1"/>
  <c r="AE27" i="3" s="1"/>
  <c r="J27" i="3"/>
  <c r="I27" i="3"/>
  <c r="AF27" i="3" a="1"/>
  <c r="AF27" i="3" s="1"/>
  <c r="D27" i="3" s="1"/>
  <c r="P27" i="3" s="1"/>
  <c r="AD27" i="3" a="1"/>
  <c r="AD27" i="3" s="1"/>
  <c r="J48" i="3"/>
  <c r="AE48" i="3" a="1"/>
  <c r="AE48" i="3" s="1"/>
  <c r="AF48" i="3" a="1"/>
  <c r="AF48" i="3" s="1"/>
  <c r="D48" i="3" s="1"/>
  <c r="P48" i="3" s="1"/>
  <c r="I48" i="3"/>
  <c r="AD48" i="3" a="1"/>
  <c r="AD48" i="3" s="1"/>
  <c r="AK10" i="3" a="1"/>
  <c r="AK10" i="3" s="1"/>
  <c r="AD10" i="3" a="1"/>
  <c r="AD10" i="3" s="1"/>
  <c r="I10" i="3"/>
  <c r="AE10" i="3" a="1"/>
  <c r="AE10" i="3" s="1"/>
  <c r="J10" i="3"/>
  <c r="AF10" i="3" a="1"/>
  <c r="AF10" i="3" s="1"/>
  <c r="AK5" i="3" a="1"/>
  <c r="AK5" i="3" s="1"/>
  <c r="AD5" i="3" a="1"/>
  <c r="AD5" i="3" s="1"/>
  <c r="AF5" i="3" a="1"/>
  <c r="AF5" i="3" s="1"/>
  <c r="AE5" i="3" a="1"/>
  <c r="AE5" i="3" s="1"/>
  <c r="I5" i="3"/>
  <c r="J5" i="3"/>
  <c r="AK4" i="3" a="1"/>
  <c r="AK4" i="3" s="1"/>
  <c r="I4" i="3"/>
  <c r="AD4" i="3" a="1"/>
  <c r="AD4" i="3" s="1"/>
  <c r="AE4" i="3" a="1"/>
  <c r="AE4" i="3" s="1"/>
  <c r="L4" i="3" a="1"/>
  <c r="L4" i="3" s="1"/>
  <c r="J4" i="3"/>
  <c r="AF4" i="3" a="1"/>
  <c r="AF4" i="3" s="1"/>
  <c r="AK52" i="3" a="1"/>
  <c r="AK52" i="3" s="1"/>
  <c r="AD52" i="3" a="1"/>
  <c r="AD52" i="3" s="1"/>
  <c r="J52" i="3"/>
  <c r="AF52" i="3" a="1"/>
  <c r="AF52" i="3" s="1"/>
  <c r="AE52" i="3" a="1"/>
  <c r="AE52" i="3" s="1"/>
  <c r="I52" i="3"/>
  <c r="AD44" i="3" a="1"/>
  <c r="AD44" i="3" s="1"/>
  <c r="I44" i="3"/>
  <c r="AF44" i="3" a="1"/>
  <c r="AF44" i="3" s="1"/>
  <c r="D44" i="3" s="1"/>
  <c r="P44" i="3" s="1"/>
  <c r="AE44" i="3" a="1"/>
  <c r="AE44" i="3" s="1"/>
  <c r="J44" i="3"/>
  <c r="J46" i="3"/>
  <c r="AF46" i="3" a="1"/>
  <c r="AF46" i="3" s="1"/>
  <c r="D46" i="3" s="1"/>
  <c r="P46" i="3" s="1"/>
  <c r="AD46" i="3" a="1"/>
  <c r="AD46" i="3" s="1"/>
  <c r="I46" i="3"/>
  <c r="AE46" i="3" a="1"/>
  <c r="AE46" i="3" s="1"/>
  <c r="AE50" i="3" a="1"/>
  <c r="AE50" i="3" s="1"/>
  <c r="J50" i="3"/>
  <c r="I50" i="3"/>
  <c r="AD50" i="3" a="1"/>
  <c r="AD50" i="3" s="1"/>
  <c r="AF50" i="3" a="1"/>
  <c r="AF50" i="3" s="1"/>
  <c r="D50" i="3" s="1"/>
  <c r="P50" i="3" s="1"/>
  <c r="AK22" i="3" a="1"/>
  <c r="AK22" i="3" s="1"/>
  <c r="AF22" i="3" a="1"/>
  <c r="AF22" i="3" s="1"/>
  <c r="J22" i="3"/>
  <c r="AD22" i="3" a="1"/>
  <c r="AD22" i="3" s="1"/>
  <c r="AE22" i="3" a="1"/>
  <c r="AE22" i="3" s="1"/>
  <c r="I22" i="3"/>
  <c r="AK34" i="3" a="1"/>
  <c r="AK34" i="3" s="1"/>
  <c r="AF34" i="3" a="1"/>
  <c r="AF34" i="3" s="1"/>
  <c r="AD34" i="3" a="1"/>
  <c r="AD34" i="3" s="1"/>
  <c r="AE34" i="3" a="1"/>
  <c r="AE34" i="3" s="1"/>
  <c r="J34" i="3"/>
  <c r="I34" i="3"/>
  <c r="AK31" i="3" a="1"/>
  <c r="AK31" i="3" s="1"/>
  <c r="N31" i="3" s="1"/>
  <c r="J31" i="3"/>
  <c r="AF31" i="3" a="1"/>
  <c r="AF31" i="3" s="1"/>
  <c r="D31" i="3" s="1"/>
  <c r="P31" i="3" s="1"/>
  <c r="AE31" i="3" a="1"/>
  <c r="AE31" i="3" s="1"/>
  <c r="AD31" i="3" a="1"/>
  <c r="AD31" i="3" s="1"/>
  <c r="I31" i="3"/>
  <c r="AK20" i="3" a="1"/>
  <c r="AK20" i="3" s="1"/>
  <c r="N20" i="3" s="1"/>
  <c r="I20" i="3"/>
  <c r="AE20" i="3" a="1"/>
  <c r="AE20" i="3" s="1"/>
  <c r="J20" i="3"/>
  <c r="AF20" i="3" a="1"/>
  <c r="AF20" i="3" s="1"/>
  <c r="D20" i="3" s="1"/>
  <c r="P20" i="3" s="1"/>
  <c r="AD20" i="3" a="1"/>
  <c r="AD20" i="3" s="1"/>
  <c r="AK16" i="3" a="1"/>
  <c r="AK16" i="3" s="1"/>
  <c r="AD16" i="3" a="1"/>
  <c r="AD16" i="3" s="1"/>
  <c r="AF16" i="3" a="1"/>
  <c r="AF16" i="3" s="1"/>
  <c r="J16" i="3"/>
  <c r="AE16" i="3" a="1"/>
  <c r="AE16" i="3" s="1"/>
  <c r="I16" i="3"/>
  <c r="I47" i="3"/>
  <c r="AA47" i="3" s="1" a="1"/>
  <c r="AA47" i="3" s="1"/>
  <c r="AE47" i="3" a="1"/>
  <c r="AE47" i="3" s="1"/>
  <c r="AF47" i="3" a="1"/>
  <c r="AF47" i="3" s="1"/>
  <c r="D47" i="3" s="1"/>
  <c r="P47" i="3" s="1"/>
  <c r="J47" i="3"/>
  <c r="AD47" i="3" a="1"/>
  <c r="AD47" i="3" s="1"/>
  <c r="AM5" i="3" a="1"/>
  <c r="AM5" i="3" s="1"/>
  <c r="AM6" i="3" s="1" a="1"/>
  <c r="AM6" i="3" s="1"/>
  <c r="AM7" i="3" s="1" a="1"/>
  <c r="AM7" i="3" s="1"/>
  <c r="AM8" i="3" s="1" a="1"/>
  <c r="AM8" i="3" s="1"/>
  <c r="AM9" i="3" s="1" a="1"/>
  <c r="AM9" i="3" s="1"/>
  <c r="AM10" i="3" s="1" a="1"/>
  <c r="AM10" i="3" s="1"/>
  <c r="AM11" i="3" s="1" a="1"/>
  <c r="AM11" i="3" s="1"/>
  <c r="AM12" i="3" s="1" a="1"/>
  <c r="AM12" i="3" s="1"/>
  <c r="AM13" i="3" s="1" a="1"/>
  <c r="AM13" i="3" s="1"/>
  <c r="H46" i="28" a="1"/>
  <c r="H46" i="28" s="1"/>
  <c r="H47" i="28" s="1" a="1"/>
  <c r="H47" i="28" s="1"/>
  <c r="A47" i="28" s="1" a="1"/>
  <c r="A47" i="28" s="1"/>
  <c r="AE20" i="22" a="1"/>
  <c r="AE20" i="22" s="1"/>
  <c r="AE21" i="22" a="1"/>
  <c r="AE21" i="22" s="1"/>
  <c r="AE22" i="22" a="1"/>
  <c r="AE22" i="22" s="1"/>
  <c r="AE23" i="22" a="1"/>
  <c r="AE23" i="22" s="1"/>
  <c r="AE24" i="22" a="1"/>
  <c r="AE24" i="22" s="1"/>
  <c r="AE25" i="22" a="1"/>
  <c r="AE25" i="22" s="1"/>
  <c r="AE26" i="22" a="1"/>
  <c r="AE26" i="22" s="1"/>
  <c r="AE27" i="22" a="1"/>
  <c r="AE27" i="22" s="1"/>
  <c r="AE28" i="22" a="1"/>
  <c r="AE28" i="22" s="1"/>
  <c r="AE30" i="22" a="1"/>
  <c r="AE30" i="22" s="1"/>
  <c r="AE31" i="22" a="1"/>
  <c r="AE31" i="22" s="1"/>
  <c r="AE32" i="22" a="1"/>
  <c r="AE32" i="22" s="1"/>
  <c r="AE33" i="22" a="1"/>
  <c r="AE33" i="22" s="1"/>
  <c r="AE34" i="22" a="1"/>
  <c r="AE34" i="22" s="1"/>
  <c r="AE35" i="22" a="1"/>
  <c r="AE35" i="22" s="1"/>
  <c r="AE36" i="22" a="1"/>
  <c r="AE36" i="22" s="1"/>
  <c r="AE37" i="22" a="1"/>
  <c r="AE37" i="22" s="1"/>
  <c r="AE38" i="22" a="1"/>
  <c r="AE38" i="22" s="1"/>
  <c r="AE39" i="22" a="1"/>
  <c r="AE39" i="22" s="1"/>
  <c r="AE40" i="22" a="1"/>
  <c r="AE40" i="22" s="1"/>
  <c r="AE41" i="22" a="1"/>
  <c r="AE41" i="22" s="1"/>
  <c r="AE42" i="22" a="1"/>
  <c r="AE42" i="22" s="1"/>
  <c r="AE43" i="22" a="1"/>
  <c r="AE43" i="22" s="1"/>
  <c r="AE44" i="22" a="1"/>
  <c r="AE44" i="22" s="1"/>
  <c r="AE45" i="22" a="1"/>
  <c r="AE45" i="22" s="1"/>
  <c r="AE46" i="22" a="1"/>
  <c r="AE46" i="22" s="1"/>
  <c r="AE47" i="22" a="1"/>
  <c r="AE47" i="22" s="1"/>
  <c r="AE48" i="22" a="1"/>
  <c r="AE48" i="22" s="1"/>
  <c r="AE49" i="22" a="1"/>
  <c r="AE49" i="22" s="1"/>
  <c r="AE50" i="22" a="1"/>
  <c r="AE50" i="22" s="1"/>
  <c r="AE51" i="22" a="1"/>
  <c r="AE51" i="22" s="1"/>
  <c r="AE52" i="22" a="1"/>
  <c r="AE52" i="22" s="1"/>
  <c r="AE53" i="22" a="1"/>
  <c r="AE53" i="22" s="1"/>
  <c r="AE54" i="22" a="1"/>
  <c r="AE54" i="22" s="1"/>
  <c r="AE55" i="22" a="1"/>
  <c r="AE55" i="22" s="1"/>
  <c r="AE56" i="22" a="1"/>
  <c r="AE56" i="22" s="1"/>
  <c r="AE57" i="22" a="1"/>
  <c r="AE57" i="22" s="1"/>
  <c r="AE59" i="22" a="1"/>
  <c r="AE59" i="22" s="1"/>
  <c r="AE60" i="22" a="1"/>
  <c r="AE60" i="22" s="1"/>
  <c r="AE61" i="22" a="1"/>
  <c r="AE61" i="22" s="1"/>
  <c r="AE19" i="22" a="1"/>
  <c r="AE29" i="22" a="1"/>
  <c r="AE18" i="22" a="1"/>
  <c r="AE58" i="22" a="1"/>
  <c r="AC36" i="9" l="1"/>
  <c r="M36" i="9" s="1"/>
  <c r="AC33" i="9"/>
  <c r="M33" i="9" s="1"/>
  <c r="AC38" i="9"/>
  <c r="M38" i="9" s="1"/>
  <c r="AC41" i="9"/>
  <c r="M41" i="9" s="1"/>
  <c r="R43" i="9"/>
  <c r="S43" i="9" s="1" a="1"/>
  <c r="S43" i="9" s="1"/>
  <c r="AK37" i="20"/>
  <c r="AK38" i="20"/>
  <c r="AK27" i="20"/>
  <c r="AK13" i="20"/>
  <c r="AK16" i="20"/>
  <c r="AK19" i="20"/>
  <c r="AK17" i="20"/>
  <c r="AK18" i="20"/>
  <c r="U32" i="20" a="1"/>
  <c r="U32" i="20" s="1"/>
  <c r="AM14" i="3" a="1"/>
  <c r="AM14" i="3" s="1"/>
  <c r="AM15" i="3" s="1" a="1"/>
  <c r="AM15" i="3" s="1"/>
  <c r="AM16" i="3" s="1" a="1"/>
  <c r="AM16" i="3" s="1"/>
  <c r="AM17" i="3" s="1" a="1"/>
  <c r="AM17" i="3" s="1"/>
  <c r="AM18" i="3" s="1" a="1"/>
  <c r="AM18" i="3" s="1"/>
  <c r="AM19" i="3" s="1" a="1"/>
  <c r="AM19" i="3" s="1"/>
  <c r="AM20" i="3" s="1" a="1"/>
  <c r="AM20" i="3" s="1"/>
  <c r="AM21" i="3" s="1" a="1"/>
  <c r="AM21" i="3" s="1"/>
  <c r="AM22" i="3" s="1" a="1"/>
  <c r="AM22" i="3" s="1"/>
  <c r="AM23" i="3" s="1" a="1"/>
  <c r="AM23" i="3" s="1"/>
  <c r="AM24" i="3" s="1" a="1"/>
  <c r="AM24" i="3" s="1"/>
  <c r="AM25" i="3" s="1" a="1"/>
  <c r="AM25" i="3" s="1"/>
  <c r="AM26" i="3" s="1" a="1"/>
  <c r="AM26" i="3" s="1"/>
  <c r="AM27" i="3" s="1" a="1"/>
  <c r="AM27" i="3" s="1"/>
  <c r="AM28" i="3" s="1" a="1"/>
  <c r="AM28" i="3" s="1"/>
  <c r="AM29" i="3" s="1" a="1"/>
  <c r="AM29" i="3" s="1"/>
  <c r="AM30" i="3" s="1" a="1"/>
  <c r="AM30" i="3" s="1"/>
  <c r="AM31" i="3" s="1" a="1"/>
  <c r="AM31" i="3" s="1"/>
  <c r="AM32" i="3" s="1" a="1"/>
  <c r="AM32" i="3" s="1"/>
  <c r="AM33" i="3" s="1" a="1"/>
  <c r="AM33" i="3" s="1"/>
  <c r="AM34" i="3" s="1" a="1"/>
  <c r="AM34" i="3" s="1"/>
  <c r="AM35" i="3" s="1" a="1"/>
  <c r="AM35" i="3" s="1"/>
  <c r="AM36" i="3" s="1" a="1"/>
  <c r="AM36" i="3" s="1"/>
  <c r="AM37" i="3" s="1" a="1"/>
  <c r="AM37" i="3" s="1"/>
  <c r="AM38" i="3" s="1" a="1"/>
  <c r="AM38" i="3" s="1"/>
  <c r="AM39" i="3" s="1" a="1"/>
  <c r="AM39" i="3" s="1"/>
  <c r="AM40" i="3" s="1" a="1"/>
  <c r="AM40" i="3" s="1"/>
  <c r="U39" i="20" a="1"/>
  <c r="U39" i="20" s="1"/>
  <c r="U20" i="20" a="1"/>
  <c r="U20" i="20" s="1"/>
  <c r="U36" i="20" a="1"/>
  <c r="U36" i="20" s="1"/>
  <c r="AK31" i="20"/>
  <c r="U6" i="20" a="1"/>
  <c r="U6" i="20" s="1"/>
  <c r="AO63" i="3" a="1"/>
  <c r="AO63" i="3" s="1"/>
  <c r="U42" i="20" a="1"/>
  <c r="U42" i="20" s="1"/>
  <c r="AK61" i="20"/>
  <c r="U30" i="20" a="1"/>
  <c r="U30" i="20" s="1"/>
  <c r="U61" i="20" a="1"/>
  <c r="U61" i="20" s="1"/>
  <c r="R42" i="9"/>
  <c r="AK30" i="20"/>
  <c r="U60" i="20" a="1"/>
  <c r="U60" i="20" s="1"/>
  <c r="AL41" i="3" a="1"/>
  <c r="AL41" i="3" s="1"/>
  <c r="L5" i="3" a="1"/>
  <c r="L5" i="3" s="1"/>
  <c r="AD43" i="20"/>
  <c r="P43" i="20" s="1"/>
  <c r="AD40" i="20"/>
  <c r="P40" i="20" s="1"/>
  <c r="AD63" i="20"/>
  <c r="P63" i="20" s="1"/>
  <c r="AD62" i="20"/>
  <c r="P62" i="20" s="1"/>
  <c r="AD41" i="20"/>
  <c r="P41" i="20" s="1"/>
  <c r="AD18" i="20"/>
  <c r="P18" i="20" s="1"/>
  <c r="AD47" i="20"/>
  <c r="P47" i="20" s="1"/>
  <c r="T16" i="3"/>
  <c r="T25" i="3"/>
  <c r="F25" i="3"/>
  <c r="R25" i="3" s="1"/>
  <c r="T37" i="3"/>
  <c r="T23" i="3"/>
  <c r="F23" i="3"/>
  <c r="R23" i="3" s="1"/>
  <c r="T38" i="3"/>
  <c r="F38" i="3"/>
  <c r="R38" i="3" s="1"/>
  <c r="T43" i="3"/>
  <c r="F43" i="3"/>
  <c r="R43" i="3" s="1"/>
  <c r="T27" i="3"/>
  <c r="F27" i="3"/>
  <c r="R27" i="3" s="1"/>
  <c r="T32" i="3"/>
  <c r="F32" i="3"/>
  <c r="R32" i="3" s="1"/>
  <c r="T53" i="3"/>
  <c r="F53" i="3"/>
  <c r="R53" i="3" s="1"/>
  <c r="T17" i="3"/>
  <c r="F17" i="3"/>
  <c r="R17" i="3" s="1"/>
  <c r="T26" i="3"/>
  <c r="F26" i="3"/>
  <c r="R26" i="3" s="1"/>
  <c r="T36" i="3"/>
  <c r="F36" i="3"/>
  <c r="R36" i="3" s="1"/>
  <c r="T13" i="3"/>
  <c r="T54" i="3"/>
  <c r="F54" i="3"/>
  <c r="R54" i="3" s="1"/>
  <c r="T57" i="3"/>
  <c r="F57" i="3"/>
  <c r="R57" i="3" s="1"/>
  <c r="T7" i="3"/>
  <c r="F7" i="3"/>
  <c r="R7" i="3" s="1"/>
  <c r="T50" i="3"/>
  <c r="F50" i="3"/>
  <c r="R50" i="3" s="1"/>
  <c r="T5" i="3"/>
  <c r="U59" i="20" a="1"/>
  <c r="U59" i="20" s="1"/>
  <c r="T48" i="3"/>
  <c r="F48" i="3"/>
  <c r="R48" i="3" s="1"/>
  <c r="T42" i="3"/>
  <c r="T31" i="3"/>
  <c r="F31" i="3"/>
  <c r="R31" i="3" s="1"/>
  <c r="T30" i="3"/>
  <c r="T6" i="3"/>
  <c r="F6" i="3"/>
  <c r="T51" i="3"/>
  <c r="F51" i="3"/>
  <c r="R51" i="3" s="1"/>
  <c r="T18" i="3"/>
  <c r="T56" i="3"/>
  <c r="F56" i="3"/>
  <c r="R56" i="3" s="1"/>
  <c r="T22" i="3"/>
  <c r="T4" i="3"/>
  <c r="T41" i="3"/>
  <c r="F41" i="3"/>
  <c r="R41" i="3" s="1"/>
  <c r="T35" i="3"/>
  <c r="F35" i="3"/>
  <c r="R35" i="3" s="1"/>
  <c r="T11" i="3"/>
  <c r="F11" i="3"/>
  <c r="R11" i="3" s="1"/>
  <c r="T28" i="3"/>
  <c r="T44" i="3"/>
  <c r="F44" i="3"/>
  <c r="R44" i="3" s="1"/>
  <c r="T47" i="3"/>
  <c r="F47" i="3"/>
  <c r="R47" i="3" s="1"/>
  <c r="T8" i="3"/>
  <c r="T21" i="3"/>
  <c r="T45" i="3"/>
  <c r="F45" i="3"/>
  <c r="R45" i="3" s="1"/>
  <c r="T58" i="3"/>
  <c r="F58" i="3"/>
  <c r="R58" i="3" s="1"/>
  <c r="T9" i="3"/>
  <c r="F9" i="3"/>
  <c r="R9" i="3" s="1"/>
  <c r="T46" i="3"/>
  <c r="F46" i="3"/>
  <c r="R46" i="3" s="1"/>
  <c r="T20" i="3"/>
  <c r="F20" i="3"/>
  <c r="R20" i="3" s="1"/>
  <c r="T40" i="3"/>
  <c r="F40" i="3"/>
  <c r="R40" i="3" s="1"/>
  <c r="T24" i="3"/>
  <c r="T52" i="3"/>
  <c r="T10" i="3"/>
  <c r="F60" i="3"/>
  <c r="R60" i="3" s="1"/>
  <c r="T60" i="3"/>
  <c r="T34" i="3"/>
  <c r="T29" i="3"/>
  <c r="F29" i="3"/>
  <c r="R29" i="3" s="1"/>
  <c r="F59" i="3"/>
  <c r="R59" i="3" s="1"/>
  <c r="T59" i="3"/>
  <c r="T39" i="3"/>
  <c r="F39" i="3"/>
  <c r="R39" i="3" s="1"/>
  <c r="T55" i="3"/>
  <c r="F55" i="3"/>
  <c r="R55" i="3" s="1"/>
  <c r="T12" i="3"/>
  <c r="F12" i="3"/>
  <c r="R12" i="3" s="1"/>
  <c r="T19" i="3"/>
  <c r="F19" i="3"/>
  <c r="R19" i="3" s="1"/>
  <c r="AE58" i="22"/>
  <c r="AE19" i="22"/>
  <c r="AE29" i="22"/>
  <c r="AE18" i="22"/>
  <c r="A46" i="28" a="1"/>
  <c r="A46" i="28" s="1"/>
  <c r="H48" i="28" a="1"/>
  <c r="H48" i="28" s="1"/>
  <c r="A48" i="28" s="1" a="1"/>
  <c r="A48" i="28" s="1"/>
  <c r="AD3" i="21" a="1"/>
  <c r="AD3" i="21" s="1"/>
  <c r="AD4" i="21" a="1"/>
  <c r="AD4" i="21" s="1"/>
  <c r="AD5" i="21" a="1"/>
  <c r="AD5" i="21" s="1"/>
  <c r="AD6" i="21" a="1"/>
  <c r="AD6" i="21" s="1"/>
  <c r="AD7" i="21" a="1"/>
  <c r="AD7" i="21" s="1"/>
  <c r="AD8" i="21" a="1"/>
  <c r="AD8" i="21" s="1"/>
  <c r="AD9" i="21" a="1"/>
  <c r="AD9" i="21" s="1"/>
  <c r="AD10" i="21" a="1"/>
  <c r="AD10" i="21" s="1"/>
  <c r="AD11" i="21" a="1"/>
  <c r="AD11" i="21" s="1"/>
  <c r="AD12" i="21" a="1"/>
  <c r="AD12" i="21" s="1"/>
  <c r="AD13" i="21" a="1"/>
  <c r="AD13" i="21" s="1"/>
  <c r="AD14" i="21" a="1"/>
  <c r="AD14" i="21" s="1"/>
  <c r="AD15" i="21" a="1"/>
  <c r="AD15" i="21" s="1"/>
  <c r="AD16" i="21" a="1"/>
  <c r="AD16" i="21" s="1"/>
  <c r="AD17" i="21" a="1"/>
  <c r="AD17" i="21" s="1"/>
  <c r="AD18" i="21" a="1"/>
  <c r="AD18" i="21" s="1"/>
  <c r="AD19" i="21" a="1"/>
  <c r="AD19" i="21" s="1"/>
  <c r="AD20" i="21" a="1"/>
  <c r="AD20" i="21" s="1"/>
  <c r="AD21" i="21" a="1"/>
  <c r="AD21" i="21" s="1"/>
  <c r="AD22" i="21" a="1"/>
  <c r="AD22" i="21" s="1"/>
  <c r="AD23" i="21" a="1"/>
  <c r="AD23" i="21" s="1"/>
  <c r="AD24" i="21" a="1"/>
  <c r="AD24" i="21" s="1"/>
  <c r="AD25" i="21" a="1"/>
  <c r="AD25" i="21" s="1"/>
  <c r="AD26" i="21" a="1"/>
  <c r="AD26" i="21" s="1"/>
  <c r="AD27" i="21" a="1"/>
  <c r="AD27" i="21" s="1"/>
  <c r="AD28" i="21" a="1"/>
  <c r="AD28" i="21" s="1"/>
  <c r="AD29" i="21" a="1"/>
  <c r="AD29" i="21" s="1"/>
  <c r="AD30" i="21" a="1"/>
  <c r="AD30" i="21" s="1"/>
  <c r="AD31" i="21" a="1"/>
  <c r="AD31" i="21" s="1"/>
  <c r="AD32" i="21" a="1"/>
  <c r="AD32" i="21" s="1"/>
  <c r="AJ22" i="10" a="1"/>
  <c r="AJ22" i="10" s="1"/>
  <c r="AJ23" i="10" a="1"/>
  <c r="AJ23" i="10" s="1"/>
  <c r="AJ24" i="10" a="1"/>
  <c r="AJ24" i="10" s="1"/>
  <c r="AJ25" i="10" a="1"/>
  <c r="AJ25" i="10" s="1"/>
  <c r="E1" i="30" a="1"/>
  <c r="AM41" i="3" l="1" a="1"/>
  <c r="AM41" i="3" s="1"/>
  <c r="AM42" i="3" s="1" a="1"/>
  <c r="AM42" i="3" s="1"/>
  <c r="AM43" i="3" s="1" a="1"/>
  <c r="AM43" i="3" s="1"/>
  <c r="AM44" i="3" s="1" a="1"/>
  <c r="AM44" i="3" s="1"/>
  <c r="AM45" i="3" s="1" a="1"/>
  <c r="AM45" i="3" s="1"/>
  <c r="AM46" i="3" s="1" a="1"/>
  <c r="AM46" i="3" s="1"/>
  <c r="AM47" i="3" s="1" a="1"/>
  <c r="AM47" i="3" s="1"/>
  <c r="AM48" i="3" s="1" a="1"/>
  <c r="AM48" i="3" s="1"/>
  <c r="AM49" i="3" s="1" a="1"/>
  <c r="AM49" i="3" s="1"/>
  <c r="AM50" i="3" s="1" a="1"/>
  <c r="AM50" i="3" s="1"/>
  <c r="AM51" i="3" s="1" a="1"/>
  <c r="AM51" i="3" s="1"/>
  <c r="AM52" i="3" s="1" a="1"/>
  <c r="AM52" i="3" s="1"/>
  <c r="AM53" i="3" s="1" a="1"/>
  <c r="AM53" i="3" s="1"/>
  <c r="AM54" i="3" s="1" a="1"/>
  <c r="AM54" i="3" s="1"/>
  <c r="AM55" i="3" s="1" a="1"/>
  <c r="AM55" i="3" s="1"/>
  <c r="AM56" i="3" s="1" a="1"/>
  <c r="AM56" i="3" s="1"/>
  <c r="AM57" i="3" s="1" a="1"/>
  <c r="AM57" i="3" s="1"/>
  <c r="AM58" i="3" s="1" a="1"/>
  <c r="AM58" i="3" s="1"/>
  <c r="AM59" i="3" s="1" a="1"/>
  <c r="AM59" i="3" s="1"/>
  <c r="AM60" i="3" s="1" a="1"/>
  <c r="AM60" i="3" s="1"/>
  <c r="AM61" i="3" s="1" a="1"/>
  <c r="AM61" i="3" s="1"/>
  <c r="AM62" i="3" s="1" a="1"/>
  <c r="AM62" i="3" s="1"/>
  <c r="AM63" i="3" s="1" a="1"/>
  <c r="AM63" i="3" s="1"/>
  <c r="AM64" i="3" s="1" a="1"/>
  <c r="AM64" i="3" s="1"/>
  <c r="AM65" i="3" s="1" a="1"/>
  <c r="AM65" i="3" s="1"/>
  <c r="AM66" i="3" s="1" a="1"/>
  <c r="AM66" i="3" s="1"/>
  <c r="AM67" i="3" s="1" a="1"/>
  <c r="AM67" i="3" s="1"/>
  <c r="AM68" i="3" s="1" a="1"/>
  <c r="AM68" i="3" s="1"/>
  <c r="AM69" i="3" s="1" a="1"/>
  <c r="AM69" i="3" s="1"/>
  <c r="AM70" i="3" s="1" a="1"/>
  <c r="AM70" i="3" s="1"/>
  <c r="AM71" i="3" s="1" a="1"/>
  <c r="AM71" i="3" s="1"/>
  <c r="AM72" i="3" s="1" a="1"/>
  <c r="AM72" i="3" s="1"/>
  <c r="AM73" i="3" s="1" a="1"/>
  <c r="AM73" i="3" s="1"/>
  <c r="AM74" i="3" s="1" a="1"/>
  <c r="AM74" i="3" s="1"/>
  <c r="AM75" i="3" s="1" a="1"/>
  <c r="AM75" i="3" s="1"/>
  <c r="AM76" i="3" s="1" a="1"/>
  <c r="AM76" i="3" s="1"/>
  <c r="AO64" i="3" a="1"/>
  <c r="AO64" i="3" s="1"/>
  <c r="E1" i="30"/>
  <c r="R6" i="3"/>
  <c r="L6" i="3" a="1"/>
  <c r="L6" i="3" s="1"/>
  <c r="H49" i="28" a="1"/>
  <c r="H49" i="28" s="1"/>
  <c r="A49" i="28" s="1" a="1"/>
  <c r="A49" i="28" s="1"/>
  <c r="AO3" i="20" a="1"/>
  <c r="AO3" i="20" s="1"/>
  <c r="AO65" i="3" l="1" a="1"/>
  <c r="AO65" i="3" s="1"/>
  <c r="L7" i="3" a="1"/>
  <c r="L7" i="3" s="1"/>
  <c r="AM77" i="3" a="1"/>
  <c r="AM77" i="3" s="1"/>
  <c r="H50" i="28" a="1"/>
  <c r="H50" i="28" s="1"/>
  <c r="AN3" i="20" a="1"/>
  <c r="AN3" i="20" s="1"/>
  <c r="AL25" i="10" a="1"/>
  <c r="AL25" i="10" s="1"/>
  <c r="AK25" i="10" a="1"/>
  <c r="AK25" i="10" s="1"/>
  <c r="AL24" i="10" a="1"/>
  <c r="AL24" i="10" s="1"/>
  <c r="AK24" i="10" a="1"/>
  <c r="AK24" i="10" s="1"/>
  <c r="AL23" i="10" a="1"/>
  <c r="AL23" i="10" s="1"/>
  <c r="AK23" i="10" a="1"/>
  <c r="AK23" i="10" s="1"/>
  <c r="AL22" i="10" a="1"/>
  <c r="AL22" i="10" s="1"/>
  <c r="AK22" i="10" a="1"/>
  <c r="AK22" i="10" s="1"/>
  <c r="AO5" i="17"/>
  <c r="AN5" i="17" a="1"/>
  <c r="AN5" i="17" s="1"/>
  <c r="AM5" i="17"/>
  <c r="AL5" i="17" a="1"/>
  <c r="AL5" i="17" s="1"/>
  <c r="AK5" i="17"/>
  <c r="AJ5" i="17" a="1"/>
  <c r="AJ5" i="17" s="1"/>
  <c r="I7" i="22"/>
  <c r="J7" i="22" s="1"/>
  <c r="P7" i="22"/>
  <c r="I14" i="22"/>
  <c r="Q14" i="22" s="1"/>
  <c r="P14" i="22"/>
  <c r="AC3" i="21"/>
  <c r="AC4" i="21"/>
  <c r="AC5" i="21"/>
  <c r="AC6" i="21"/>
  <c r="AC7" i="21"/>
  <c r="AC8" i="21"/>
  <c r="AC9" i="21"/>
  <c r="AC10" i="21"/>
  <c r="AC11" i="21"/>
  <c r="AC12" i="21"/>
  <c r="AC13" i="21"/>
  <c r="AC14" i="21"/>
  <c r="AC15" i="21"/>
  <c r="AC16" i="21"/>
  <c r="AC17" i="21"/>
  <c r="AC18" i="21"/>
  <c r="AC19" i="21"/>
  <c r="AC20" i="21"/>
  <c r="AC21" i="21"/>
  <c r="AC22" i="21"/>
  <c r="AC23" i="21"/>
  <c r="AC24" i="21"/>
  <c r="AC25" i="21"/>
  <c r="AC26" i="21"/>
  <c r="AC27" i="21"/>
  <c r="AC28" i="21"/>
  <c r="AC29" i="21"/>
  <c r="AC30" i="21"/>
  <c r="AC31" i="21"/>
  <c r="AC32" i="21"/>
  <c r="AB3" i="21" a="1"/>
  <c r="AB3" i="21" s="1"/>
  <c r="AB4" i="21" s="1" a="1"/>
  <c r="AB4" i="21" s="1"/>
  <c r="AB5" i="21" s="1" a="1"/>
  <c r="AB5" i="21" s="1"/>
  <c r="AB6" i="21" s="1" a="1"/>
  <c r="AB6" i="21" s="1"/>
  <c r="AB7" i="21" s="1" a="1"/>
  <c r="AB7" i="21" s="1"/>
  <c r="AB8" i="21" s="1" a="1"/>
  <c r="AB8" i="21" s="1"/>
  <c r="AB9" i="21" s="1" a="1"/>
  <c r="AB9" i="21" s="1"/>
  <c r="AB10" i="21" s="1" a="1"/>
  <c r="AB10" i="21" s="1"/>
  <c r="AB11" i="21" s="1" a="1"/>
  <c r="AB11" i="21" s="1"/>
  <c r="AB12" i="21" s="1" a="1"/>
  <c r="AB12" i="21" s="1"/>
  <c r="AB13" i="21" s="1" a="1"/>
  <c r="AB13" i="21" s="1"/>
  <c r="AB14" i="21" s="1" a="1"/>
  <c r="AB14" i="21" s="1"/>
  <c r="AB15" i="21" s="1" a="1"/>
  <c r="AB15" i="21" s="1"/>
  <c r="AB16" i="21" s="1" a="1"/>
  <c r="AB16" i="21" s="1"/>
  <c r="AB17" i="21" s="1" a="1"/>
  <c r="AB17" i="21" s="1"/>
  <c r="AB18" i="21" s="1" a="1"/>
  <c r="AB18" i="21" s="1"/>
  <c r="AB19" i="21" s="1" a="1"/>
  <c r="AB19" i="21" s="1"/>
  <c r="AB20" i="21" s="1" a="1"/>
  <c r="AB20" i="21" s="1"/>
  <c r="AB21" i="21" s="1" a="1"/>
  <c r="AB21" i="21" s="1"/>
  <c r="AB22" i="21" s="1" a="1"/>
  <c r="AB22" i="21" s="1"/>
  <c r="AB23" i="21" s="1" a="1"/>
  <c r="AB23" i="21" s="1"/>
  <c r="AB24" i="21" s="1" a="1"/>
  <c r="AB24" i="21" s="1"/>
  <c r="AB25" i="21" s="1" a="1"/>
  <c r="AB25" i="21" s="1"/>
  <c r="AB26" i="21" s="1" a="1"/>
  <c r="AB26" i="21" s="1"/>
  <c r="AB27" i="21" s="1" a="1"/>
  <c r="AB27" i="21" s="1"/>
  <c r="AB28" i="21" s="1" a="1"/>
  <c r="AB28" i="21" s="1"/>
  <c r="AB29" i="21" s="1" a="1"/>
  <c r="AB29" i="21" s="1"/>
  <c r="AB30" i="21" s="1" a="1"/>
  <c r="AB30" i="21" s="1"/>
  <c r="AB31" i="21" s="1" a="1"/>
  <c r="AB31" i="21" s="1"/>
  <c r="AB32" i="21" s="1" a="1"/>
  <c r="AB32" i="21" s="1"/>
  <c r="AB33" i="21" s="1" a="1"/>
  <c r="AB33" i="21" s="1"/>
  <c r="AB34" i="21" s="1" a="1"/>
  <c r="AB34" i="21" s="1"/>
  <c r="AB35" i="21" s="1" a="1"/>
  <c r="AB35" i="21" s="1"/>
  <c r="AB36" i="21" s="1" a="1"/>
  <c r="AB36" i="21" s="1"/>
  <c r="AB37" i="21" s="1" a="1"/>
  <c r="AB37" i="21" s="1"/>
  <c r="AB38" i="21" s="1" a="1"/>
  <c r="AB38" i="21" s="1"/>
  <c r="AB39" i="21" s="1" a="1"/>
  <c r="AB39" i="21" s="1"/>
  <c r="AB40" i="21" s="1" a="1"/>
  <c r="AB40" i="21" s="1"/>
  <c r="AB41" i="21" s="1" a="1"/>
  <c r="AB41" i="21" s="1"/>
  <c r="AB42" i="21" s="1" a="1"/>
  <c r="AB42" i="21" s="1"/>
  <c r="AB43" i="21" s="1" a="1"/>
  <c r="AB43" i="21" s="1"/>
  <c r="AA3" i="21"/>
  <c r="AA4" i="21"/>
  <c r="AA5" i="21"/>
  <c r="AA6" i="21"/>
  <c r="AA7" i="21"/>
  <c r="AA8" i="21"/>
  <c r="AA9" i="21"/>
  <c r="AA10" i="21"/>
  <c r="AA11" i="21"/>
  <c r="AA12" i="21"/>
  <c r="AA13" i="21"/>
  <c r="AA14" i="21"/>
  <c r="AA15" i="21"/>
  <c r="AA16" i="21"/>
  <c r="AA17" i="21"/>
  <c r="AA18" i="21"/>
  <c r="AA19" i="21"/>
  <c r="AA20" i="21"/>
  <c r="AA21" i="21"/>
  <c r="AA22" i="21"/>
  <c r="AA23" i="21"/>
  <c r="AA24" i="21"/>
  <c r="AA25" i="21"/>
  <c r="AA26" i="21"/>
  <c r="AA27" i="21"/>
  <c r="AA28" i="21"/>
  <c r="AA29" i="21"/>
  <c r="AA30" i="21"/>
  <c r="AA31" i="21"/>
  <c r="AA32" i="21"/>
  <c r="Z3" i="21" a="1"/>
  <c r="Z3" i="21" s="1"/>
  <c r="Z4" i="21" s="1" a="1"/>
  <c r="Z4" i="21" s="1"/>
  <c r="Z5" i="21" s="1" a="1"/>
  <c r="Z5" i="21" s="1"/>
  <c r="Z6" i="21" s="1" a="1"/>
  <c r="Z6" i="21" s="1"/>
  <c r="Z7" i="21" s="1" a="1"/>
  <c r="Z7" i="21" s="1"/>
  <c r="Z8" i="21" s="1" a="1"/>
  <c r="Z8" i="21" s="1"/>
  <c r="Z9" i="21" s="1" a="1"/>
  <c r="Z9" i="21" s="1"/>
  <c r="Z10" i="21" s="1" a="1"/>
  <c r="Z10" i="21" s="1"/>
  <c r="Z11" i="21" s="1" a="1"/>
  <c r="Z11" i="21" s="1"/>
  <c r="Z12" i="21" s="1" a="1"/>
  <c r="Z12" i="21" s="1"/>
  <c r="Z13" i="21" s="1" a="1"/>
  <c r="Z13" i="21" s="1"/>
  <c r="Z14" i="21" s="1" a="1"/>
  <c r="Z14" i="21" s="1"/>
  <c r="Z15" i="21" s="1" a="1"/>
  <c r="Z15" i="21" s="1"/>
  <c r="Z16" i="21" s="1" a="1"/>
  <c r="Z16" i="21" s="1"/>
  <c r="Z17" i="21" s="1" a="1"/>
  <c r="Z17" i="21" s="1"/>
  <c r="Z18" i="21" s="1" a="1"/>
  <c r="Z18" i="21" s="1"/>
  <c r="Z19" i="21" s="1" a="1"/>
  <c r="Z19" i="21" s="1"/>
  <c r="Z20" i="21" s="1" a="1"/>
  <c r="Z20" i="21" s="1"/>
  <c r="Z21" i="21" s="1" a="1"/>
  <c r="Z21" i="21" s="1"/>
  <c r="Z22" i="21" s="1" a="1"/>
  <c r="Z22" i="21" s="1"/>
  <c r="Z23" i="21" s="1" a="1"/>
  <c r="Z23" i="21" s="1"/>
  <c r="Z24" i="21" s="1" a="1"/>
  <c r="Z24" i="21" s="1"/>
  <c r="Z25" i="21" s="1" a="1"/>
  <c r="Z25" i="21" s="1"/>
  <c r="Z26" i="21" s="1" a="1"/>
  <c r="Z26" i="21" s="1"/>
  <c r="Z27" i="21" s="1" a="1"/>
  <c r="Z27" i="21" s="1"/>
  <c r="Z28" i="21" s="1" a="1"/>
  <c r="Z28" i="21" s="1"/>
  <c r="Z29" i="21" s="1" a="1"/>
  <c r="Z29" i="21" s="1"/>
  <c r="Z30" i="21" s="1" a="1"/>
  <c r="Z30" i="21" s="1"/>
  <c r="Z31" i="21" s="1" a="1"/>
  <c r="Z31" i="21" s="1"/>
  <c r="Z32" i="21" s="1" a="1"/>
  <c r="Z32" i="21" s="1"/>
  <c r="Z33" i="21" s="1" a="1"/>
  <c r="Z33" i="21" s="1"/>
  <c r="Z34" i="21" s="1" a="1"/>
  <c r="Z34" i="21" s="1"/>
  <c r="Z35" i="21" s="1" a="1"/>
  <c r="Z35" i="21" s="1"/>
  <c r="Z36" i="21" s="1" a="1"/>
  <c r="Z36" i="21" s="1"/>
  <c r="Z37" i="21" s="1" a="1"/>
  <c r="Z37" i="21" s="1"/>
  <c r="Z38" i="21" s="1" a="1"/>
  <c r="Z38" i="21" s="1"/>
  <c r="Z39" i="21" s="1" a="1"/>
  <c r="Z39" i="21" s="1"/>
  <c r="Z40" i="21" s="1" a="1"/>
  <c r="Z40" i="21" s="1"/>
  <c r="Z41" i="21" s="1" a="1"/>
  <c r="Z41" i="21" s="1"/>
  <c r="Z42" i="21" s="1" a="1"/>
  <c r="Z42" i="21" s="1"/>
  <c r="Z43" i="21" s="1" a="1"/>
  <c r="Z43" i="21" s="1"/>
  <c r="B6" i="22" a="1"/>
  <c r="D11" i="22" a="1"/>
  <c r="F11" i="22" a="1"/>
  <c r="D4" i="22" a="1"/>
  <c r="C11" i="22" a="1"/>
  <c r="B11" i="22" a="1"/>
  <c r="C6" i="22" a="1"/>
  <c r="D6" i="22" a="1"/>
  <c r="C12" i="22" a="1"/>
  <c r="D13" i="22" a="1"/>
  <c r="F6" i="22" a="1"/>
  <c r="F13" i="22" a="1"/>
  <c r="B4" i="22" a="1"/>
  <c r="F12" i="22" a="1"/>
  <c r="C4" i="22" a="1"/>
  <c r="B12" i="22" a="1"/>
  <c r="F4" i="22" a="1"/>
  <c r="B13" i="22" a="1"/>
  <c r="D12" i="22" a="1"/>
  <c r="C13" i="22" a="1"/>
  <c r="AO66" i="3" l="1" a="1"/>
  <c r="AO66" i="3" s="1"/>
  <c r="L8" i="3" a="1"/>
  <c r="L8" i="3" s="1"/>
  <c r="AM78" i="3" a="1"/>
  <c r="AM78" i="3" s="1"/>
  <c r="A50" i="28" a="1"/>
  <c r="A50" i="28" s="1"/>
  <c r="H51" i="28" a="1"/>
  <c r="H51" i="28" s="1"/>
  <c r="B13" i="22"/>
  <c r="B6" i="22"/>
  <c r="N14" i="22"/>
  <c r="K14" i="22"/>
  <c r="M14" i="22"/>
  <c r="J14" i="22"/>
  <c r="L14" i="22"/>
  <c r="D13" i="22"/>
  <c r="C13" i="22"/>
  <c r="F13" i="22"/>
  <c r="D12" i="22"/>
  <c r="C12" i="22"/>
  <c r="B12" i="22"/>
  <c r="F12" i="22"/>
  <c r="D6" i="22"/>
  <c r="C6" i="22"/>
  <c r="F6" i="22"/>
  <c r="Q7" i="22"/>
  <c r="N7" i="22"/>
  <c r="M7" i="22"/>
  <c r="L7" i="22"/>
  <c r="K7" i="22"/>
  <c r="D11" i="22"/>
  <c r="C11" i="22"/>
  <c r="B11" i="22"/>
  <c r="F11" i="22"/>
  <c r="F4" i="22"/>
  <c r="D4" i="22"/>
  <c r="C4" i="22"/>
  <c r="B4" i="22"/>
  <c r="Y4" i="3"/>
  <c r="Y5" i="3"/>
  <c r="Y6" i="3"/>
  <c r="Y7" i="3"/>
  <c r="Y8" i="3"/>
  <c r="Y9" i="3"/>
  <c r="Y10" i="3"/>
  <c r="Y11" i="3"/>
  <c r="Y12" i="3"/>
  <c r="Y13" i="3"/>
  <c r="Y16" i="3"/>
  <c r="Y17" i="3"/>
  <c r="Y18" i="3"/>
  <c r="Y19" i="3"/>
  <c r="Y20" i="3"/>
  <c r="Y21" i="3"/>
  <c r="Y22" i="3"/>
  <c r="Y23" i="3"/>
  <c r="Y24" i="3"/>
  <c r="Y25" i="3"/>
  <c r="Y26" i="3"/>
  <c r="Y27" i="3"/>
  <c r="Y28" i="3"/>
  <c r="Y29" i="3"/>
  <c r="Y30" i="3"/>
  <c r="Y31" i="3"/>
  <c r="Y32" i="3"/>
  <c r="Y33" i="3"/>
  <c r="Y34" i="3"/>
  <c r="Y35" i="3"/>
  <c r="Y36" i="3"/>
  <c r="Y37" i="3"/>
  <c r="Y38" i="3"/>
  <c r="Y39" i="3"/>
  <c r="Y40" i="3"/>
  <c r="Y41" i="3"/>
  <c r="Y42" i="3"/>
  <c r="Y43" i="3"/>
  <c r="Y44" i="3"/>
  <c r="Y45" i="3"/>
  <c r="Y46" i="3"/>
  <c r="Y48" i="3"/>
  <c r="Y50" i="3"/>
  <c r="Y51" i="3"/>
  <c r="Y52" i="3"/>
  <c r="Y53" i="3"/>
  <c r="Y54" i="3"/>
  <c r="Y55" i="3"/>
  <c r="Y56" i="3"/>
  <c r="X4" i="3" a="1"/>
  <c r="X4" i="3" s="1"/>
  <c r="X5" i="3" s="1" a="1"/>
  <c r="X5" i="3" s="1"/>
  <c r="X6" i="3" s="1" a="1"/>
  <c r="X6" i="3" s="1"/>
  <c r="X7" i="3" s="1" a="1"/>
  <c r="X7" i="3" s="1"/>
  <c r="X8" i="3" s="1" a="1"/>
  <c r="X8" i="3" s="1"/>
  <c r="X9" i="3" s="1" a="1"/>
  <c r="X9" i="3" s="1"/>
  <c r="X10" i="3" s="1" a="1"/>
  <c r="X10" i="3" s="1"/>
  <c r="X11" i="3" s="1" a="1"/>
  <c r="X11" i="3" s="1"/>
  <c r="X12" i="3" s="1" a="1"/>
  <c r="X12" i="3" s="1"/>
  <c r="X13" i="3" s="1" a="1"/>
  <c r="X13" i="3" s="1"/>
  <c r="AI5" i="17"/>
  <c r="AH5" i="17" a="1"/>
  <c r="AH5" i="17" s="1"/>
  <c r="W4" i="3"/>
  <c r="W5" i="3"/>
  <c r="W6" i="3"/>
  <c r="W7" i="3"/>
  <c r="W8" i="3"/>
  <c r="W9" i="3"/>
  <c r="W10" i="3"/>
  <c r="W11" i="3"/>
  <c r="W12" i="3"/>
  <c r="W13" i="3"/>
  <c r="W16" i="3"/>
  <c r="W17" i="3"/>
  <c r="W18" i="3"/>
  <c r="W19" i="3"/>
  <c r="W20" i="3"/>
  <c r="W21" i="3"/>
  <c r="W22" i="3"/>
  <c r="W23" i="3"/>
  <c r="W24" i="3"/>
  <c r="W25" i="3"/>
  <c r="W26" i="3"/>
  <c r="W27" i="3"/>
  <c r="W28" i="3"/>
  <c r="W29" i="3"/>
  <c r="W30" i="3"/>
  <c r="W31" i="3"/>
  <c r="W32" i="3"/>
  <c r="W33" i="3"/>
  <c r="W34" i="3"/>
  <c r="W35" i="3"/>
  <c r="W36" i="3"/>
  <c r="W37" i="3"/>
  <c r="W38" i="3"/>
  <c r="W39" i="3"/>
  <c r="W40" i="3"/>
  <c r="W41" i="3"/>
  <c r="W42" i="3"/>
  <c r="W43" i="3"/>
  <c r="W44" i="3"/>
  <c r="W45" i="3"/>
  <c r="W46" i="3"/>
  <c r="W48" i="3"/>
  <c r="W50" i="3"/>
  <c r="W51" i="3"/>
  <c r="W52" i="3"/>
  <c r="W53" i="3"/>
  <c r="W54" i="3"/>
  <c r="W55" i="3"/>
  <c r="W56" i="3"/>
  <c r="V4" i="3" a="1"/>
  <c r="V4" i="3" s="1"/>
  <c r="V5" i="3" s="1" a="1"/>
  <c r="V5" i="3" s="1"/>
  <c r="V6" i="3" s="1" a="1"/>
  <c r="V6" i="3" s="1"/>
  <c r="V7" i="3" s="1" a="1"/>
  <c r="V7" i="3" s="1"/>
  <c r="V8" i="3" s="1" a="1"/>
  <c r="V8" i="3" s="1"/>
  <c r="V9" i="3" s="1" a="1"/>
  <c r="V9" i="3" s="1"/>
  <c r="V10" i="3" s="1" a="1"/>
  <c r="V10" i="3" s="1"/>
  <c r="V11" i="3" s="1" a="1"/>
  <c r="V11" i="3" s="1"/>
  <c r="V12" i="3" s="1" a="1"/>
  <c r="V12" i="3" s="1"/>
  <c r="V13" i="3" s="1" a="1"/>
  <c r="V13" i="3" s="1"/>
  <c r="U4" i="3" a="1"/>
  <c r="U4" i="3" s="1"/>
  <c r="M4" i="3" a="1"/>
  <c r="M4" i="3" s="1"/>
  <c r="O4" i="3" a="1"/>
  <c r="O4" i="3" s="1"/>
  <c r="Q4" i="3" a="1"/>
  <c r="Q4" i="3" s="1"/>
  <c r="S4" i="3" a="1"/>
  <c r="S4" i="3" s="1"/>
  <c r="AA5" i="3" a="1"/>
  <c r="AA5" i="3" s="1"/>
  <c r="AA8" i="3" a="1"/>
  <c r="AA8" i="3" s="1"/>
  <c r="AA9" i="3" a="1"/>
  <c r="AA9" i="3" s="1"/>
  <c r="AA10" i="3" a="1"/>
  <c r="AA10" i="3" s="1"/>
  <c r="AA11" i="3" a="1"/>
  <c r="AA11" i="3" s="1"/>
  <c r="AA12" i="3" a="1"/>
  <c r="AA12" i="3" s="1"/>
  <c r="AA13" i="3" a="1"/>
  <c r="AA13" i="3" s="1"/>
  <c r="AA16" i="3" a="1"/>
  <c r="AA16" i="3" s="1"/>
  <c r="AA17" i="3" a="1"/>
  <c r="AA17" i="3" s="1"/>
  <c r="AA18" i="3" a="1"/>
  <c r="AA18" i="3" s="1"/>
  <c r="AA19" i="3" a="1"/>
  <c r="AA19" i="3" s="1"/>
  <c r="AA20" i="3" a="1"/>
  <c r="AA20" i="3" s="1"/>
  <c r="AA21" i="3" a="1"/>
  <c r="AA21" i="3" s="1"/>
  <c r="AA22" i="3" a="1"/>
  <c r="AA22" i="3" s="1"/>
  <c r="AA23" i="3" a="1"/>
  <c r="AA23" i="3" s="1"/>
  <c r="AA24" i="3" a="1"/>
  <c r="AA24" i="3" s="1"/>
  <c r="AA25" i="3" a="1"/>
  <c r="AA25" i="3" s="1"/>
  <c r="AA26" i="3" a="1"/>
  <c r="AA26" i="3" s="1"/>
  <c r="AA27" i="3" a="1"/>
  <c r="AA27" i="3" s="1"/>
  <c r="AA28" i="3" a="1"/>
  <c r="AA28" i="3" s="1"/>
  <c r="AA29" i="3" a="1"/>
  <c r="AA29" i="3" s="1"/>
  <c r="AA30" i="3" a="1"/>
  <c r="AA30" i="3" s="1"/>
  <c r="AA31" i="3" a="1"/>
  <c r="AA31" i="3" s="1"/>
  <c r="AA32" i="3" a="1"/>
  <c r="AA32" i="3" s="1"/>
  <c r="AA33" i="3" a="1"/>
  <c r="AA33" i="3" s="1"/>
  <c r="AA34" i="3" a="1"/>
  <c r="AA34" i="3" s="1"/>
  <c r="AA37" i="3" a="1"/>
  <c r="AA37" i="3" s="1"/>
  <c r="AA38" i="3" a="1"/>
  <c r="AA38" i="3" s="1"/>
  <c r="AA39" i="3" a="1"/>
  <c r="AA39" i="3" s="1"/>
  <c r="AA40" i="3" a="1"/>
  <c r="AA40" i="3" s="1"/>
  <c r="AA42" i="3" a="1"/>
  <c r="AA42" i="3" s="1"/>
  <c r="AA44" i="3" a="1"/>
  <c r="AA44" i="3" s="1"/>
  <c r="AA45" i="3" a="1"/>
  <c r="AA45" i="3" s="1"/>
  <c r="AA46" i="3" a="1"/>
  <c r="AA46" i="3" s="1"/>
  <c r="AA48" i="3" a="1"/>
  <c r="AA48" i="3" s="1"/>
  <c r="AA50" i="3" a="1"/>
  <c r="AA50" i="3" s="1"/>
  <c r="AA51" i="3" a="1"/>
  <c r="AA51" i="3" s="1"/>
  <c r="AA52" i="3" a="1"/>
  <c r="AA52" i="3" s="1"/>
  <c r="AA53" i="3" a="1"/>
  <c r="AA53" i="3" s="1"/>
  <c r="AA54" i="3" a="1"/>
  <c r="AA54" i="3" s="1"/>
  <c r="AA56" i="3" a="1"/>
  <c r="AA56" i="3" s="1"/>
  <c r="K32" i="21" a="1"/>
  <c r="K32" i="21" s="1"/>
  <c r="X32" i="21" a="1"/>
  <c r="X32" i="21" s="1"/>
  <c r="R5" i="9"/>
  <c r="R6" i="9"/>
  <c r="R7" i="9"/>
  <c r="R8" i="9"/>
  <c r="R9" i="9"/>
  <c r="R12" i="9"/>
  <c r="R13" i="9"/>
  <c r="R20" i="9"/>
  <c r="R25" i="9"/>
  <c r="R26" i="9"/>
  <c r="D32" i="9" a="1"/>
  <c r="D32" i="9" s="1"/>
  <c r="X32" i="9"/>
  <c r="Y32" i="9"/>
  <c r="Z32" i="9"/>
  <c r="AA32" i="9"/>
  <c r="AB32" i="9"/>
  <c r="AK3" i="20"/>
  <c r="D7" i="14" a="1"/>
  <c r="C3" i="22" a="1"/>
  <c r="C7" i="14" a="1"/>
  <c r="D5" i="22" a="1"/>
  <c r="B5" i="22" a="1"/>
  <c r="F10" i="22" a="1"/>
  <c r="B10" i="22" a="1"/>
  <c r="D3" i="22" a="1"/>
  <c r="C10" i="22" a="1"/>
  <c r="A7" i="14" a="1"/>
  <c r="C5" i="22" a="1"/>
  <c r="D10" i="22" a="1"/>
  <c r="B3" i="22" a="1"/>
  <c r="F3" i="22" a="1"/>
  <c r="F5" i="22" a="1"/>
  <c r="AC32" i="9" l="1"/>
  <c r="M32" i="9" s="1"/>
  <c r="V14" i="3" a="1"/>
  <c r="V14" i="3" s="1"/>
  <c r="V15" i="3" s="1" a="1"/>
  <c r="V15" i="3" s="1"/>
  <c r="V16" i="3" s="1" a="1"/>
  <c r="V16" i="3" s="1"/>
  <c r="V17" i="3" s="1" a="1"/>
  <c r="V17" i="3" s="1"/>
  <c r="V18" i="3" s="1" a="1"/>
  <c r="V18" i="3" s="1"/>
  <c r="V19" i="3" s="1" a="1"/>
  <c r="V19" i="3" s="1"/>
  <c r="V20" i="3" s="1" a="1"/>
  <c r="V20" i="3" s="1"/>
  <c r="V21" i="3" s="1" a="1"/>
  <c r="V21" i="3" s="1"/>
  <c r="V22" i="3" s="1" a="1"/>
  <c r="V22" i="3" s="1"/>
  <c r="V23" i="3" s="1" a="1"/>
  <c r="V23" i="3" s="1"/>
  <c r="V24" i="3" s="1" a="1"/>
  <c r="V24" i="3" s="1"/>
  <c r="V25" i="3" s="1" a="1"/>
  <c r="V25" i="3" s="1"/>
  <c r="V26" i="3" s="1" a="1"/>
  <c r="V26" i="3" s="1"/>
  <c r="V27" i="3" s="1" a="1"/>
  <c r="V27" i="3" s="1"/>
  <c r="V28" i="3" s="1" a="1"/>
  <c r="V28" i="3" s="1"/>
  <c r="V29" i="3" s="1" a="1"/>
  <c r="V29" i="3" s="1"/>
  <c r="V30" i="3" s="1" a="1"/>
  <c r="V30" i="3" s="1"/>
  <c r="V31" i="3" s="1" a="1"/>
  <c r="V31" i="3" s="1"/>
  <c r="V32" i="3" s="1" a="1"/>
  <c r="V32" i="3" s="1"/>
  <c r="V33" i="3" s="1" a="1"/>
  <c r="V33" i="3" s="1"/>
  <c r="V34" i="3" s="1" a="1"/>
  <c r="V34" i="3" s="1"/>
  <c r="V35" i="3" s="1" a="1"/>
  <c r="V35" i="3" s="1"/>
  <c r="V36" i="3" s="1" a="1"/>
  <c r="V36" i="3" s="1"/>
  <c r="V37" i="3" s="1" a="1"/>
  <c r="V37" i="3" s="1"/>
  <c r="V38" i="3" s="1" a="1"/>
  <c r="V38" i="3" s="1"/>
  <c r="V39" i="3" s="1" a="1"/>
  <c r="V39" i="3" s="1"/>
  <c r="V40" i="3" s="1" a="1"/>
  <c r="V40" i="3" s="1"/>
  <c r="V41" i="3" s="1" a="1"/>
  <c r="V41" i="3" s="1"/>
  <c r="V42" i="3" s="1" a="1"/>
  <c r="V42" i="3" s="1"/>
  <c r="V43" i="3" s="1" a="1"/>
  <c r="V43" i="3" s="1"/>
  <c r="V44" i="3" s="1" a="1"/>
  <c r="V44" i="3" s="1"/>
  <c r="V45" i="3" s="1" a="1"/>
  <c r="V45" i="3" s="1"/>
  <c r="V46" i="3" s="1" a="1"/>
  <c r="V46" i="3" s="1"/>
  <c r="V47" i="3" s="1" a="1"/>
  <c r="V47" i="3" s="1"/>
  <c r="V48" i="3" s="1" a="1"/>
  <c r="V48" i="3" s="1"/>
  <c r="X14" i="3" a="1"/>
  <c r="X14" i="3" s="1"/>
  <c r="X15" i="3" s="1" a="1"/>
  <c r="X15" i="3" s="1"/>
  <c r="X16" i="3" s="1" a="1"/>
  <c r="X16" i="3" s="1"/>
  <c r="X17" i="3" s="1" a="1"/>
  <c r="X17" i="3" s="1"/>
  <c r="X18" i="3" s="1" a="1"/>
  <c r="X18" i="3" s="1"/>
  <c r="X19" i="3" s="1" a="1"/>
  <c r="X19" i="3" s="1"/>
  <c r="X20" i="3" s="1" a="1"/>
  <c r="X20" i="3" s="1"/>
  <c r="X21" i="3" s="1" a="1"/>
  <c r="X21" i="3" s="1"/>
  <c r="X22" i="3" s="1" a="1"/>
  <c r="X22" i="3" s="1"/>
  <c r="X23" i="3" s="1" a="1"/>
  <c r="X23" i="3" s="1"/>
  <c r="X24" i="3" s="1" a="1"/>
  <c r="X24" i="3" s="1"/>
  <c r="X25" i="3" s="1" a="1"/>
  <c r="X25" i="3" s="1"/>
  <c r="X26" i="3" s="1" a="1"/>
  <c r="X26" i="3" s="1"/>
  <c r="X27" i="3" s="1" a="1"/>
  <c r="X27" i="3" s="1"/>
  <c r="X28" i="3" s="1" a="1"/>
  <c r="X28" i="3" s="1"/>
  <c r="X29" i="3" s="1" a="1"/>
  <c r="X29" i="3" s="1"/>
  <c r="X30" i="3" s="1" a="1"/>
  <c r="X30" i="3" s="1"/>
  <c r="X31" i="3" s="1" a="1"/>
  <c r="X31" i="3" s="1"/>
  <c r="X32" i="3" s="1" a="1"/>
  <c r="X32" i="3" s="1"/>
  <c r="X33" i="3" s="1" a="1"/>
  <c r="X33" i="3" s="1"/>
  <c r="X34" i="3" s="1" a="1"/>
  <c r="X34" i="3" s="1"/>
  <c r="X35" i="3" s="1" a="1"/>
  <c r="X35" i="3" s="1"/>
  <c r="X36" i="3" s="1" a="1"/>
  <c r="X36" i="3" s="1"/>
  <c r="X37" i="3" s="1" a="1"/>
  <c r="X37" i="3" s="1"/>
  <c r="X38" i="3" s="1" a="1"/>
  <c r="X38" i="3" s="1"/>
  <c r="X39" i="3" s="1" a="1"/>
  <c r="X39" i="3" s="1"/>
  <c r="X40" i="3" s="1" a="1"/>
  <c r="X40" i="3" s="1"/>
  <c r="X41" i="3" s="1" a="1"/>
  <c r="X41" i="3" s="1"/>
  <c r="X42" i="3" s="1" a="1"/>
  <c r="X42" i="3" s="1"/>
  <c r="X43" i="3" s="1" a="1"/>
  <c r="X43" i="3" s="1"/>
  <c r="X44" i="3" s="1" a="1"/>
  <c r="X44" i="3" s="1"/>
  <c r="X45" i="3" s="1" a="1"/>
  <c r="X45" i="3" s="1"/>
  <c r="X46" i="3" s="1" a="1"/>
  <c r="X46" i="3" s="1"/>
  <c r="X47" i="3" s="1" a="1"/>
  <c r="X47" i="3" s="1"/>
  <c r="X48" i="3" s="1" a="1"/>
  <c r="X48" i="3" s="1"/>
  <c r="AO67" i="3" a="1"/>
  <c r="AO67" i="3" s="1"/>
  <c r="L9" i="3" a="1"/>
  <c r="L9" i="3" s="1"/>
  <c r="AM79" i="3" a="1"/>
  <c r="AM79" i="3" s="1"/>
  <c r="U62" i="20" a="1"/>
  <c r="U62" i="20" s="1"/>
  <c r="U63" i="20" a="1"/>
  <c r="U63" i="20" s="1"/>
  <c r="U64" i="20" a="1"/>
  <c r="U64" i="20" s="1"/>
  <c r="U65" i="20" a="1"/>
  <c r="U65" i="20" s="1"/>
  <c r="U66" i="20" a="1"/>
  <c r="U66" i="20" s="1"/>
  <c r="AA7" i="3" a="1"/>
  <c r="AA7" i="3" s="1"/>
  <c r="R40" i="9"/>
  <c r="S40" i="9" s="1" a="1"/>
  <c r="S40" i="9" s="1"/>
  <c r="R39" i="9"/>
  <c r="S39" i="9" s="1" a="1"/>
  <c r="S39" i="9" s="1"/>
  <c r="R35" i="9"/>
  <c r="S35" i="9" s="1" a="1"/>
  <c r="S35" i="9" s="1"/>
  <c r="AA4" i="3" a="1"/>
  <c r="AA4" i="3" s="1"/>
  <c r="AK22" i="20"/>
  <c r="AA41" i="3" a="1"/>
  <c r="AA41" i="3" s="1"/>
  <c r="R38" i="9"/>
  <c r="S38" i="9" s="1" a="1"/>
  <c r="S38" i="9" s="1"/>
  <c r="AA43" i="3" a="1"/>
  <c r="AA43" i="3" s="1"/>
  <c r="R36" i="9"/>
  <c r="S36" i="9" s="1" a="1"/>
  <c r="S36" i="9" s="1"/>
  <c r="U58" i="20" a="1"/>
  <c r="U58" i="20" s="1"/>
  <c r="R37" i="9"/>
  <c r="S37" i="9" s="1" a="1"/>
  <c r="S37" i="9" s="1"/>
  <c r="AA55" i="3" a="1"/>
  <c r="AA55" i="3" s="1"/>
  <c r="U57" i="20" a="1"/>
  <c r="U57" i="20" s="1"/>
  <c r="AA6" i="3" a="1"/>
  <c r="AA6" i="3" s="1"/>
  <c r="U56" i="20" a="1"/>
  <c r="U56" i="20" s="1"/>
  <c r="U47" i="20" a="1"/>
  <c r="U47" i="20" s="1"/>
  <c r="Q5" i="3" a="1"/>
  <c r="Q5" i="3" s="1"/>
  <c r="H52" i="28" a="1"/>
  <c r="H52" i="28" s="1"/>
  <c r="A51" i="28" a="1"/>
  <c r="A51" i="28" s="1"/>
  <c r="U54" i="20" a="1"/>
  <c r="U54" i="20" s="1"/>
  <c r="U55" i="20" a="1"/>
  <c r="U55" i="20" s="1"/>
  <c r="AK26" i="20"/>
  <c r="U23" i="20" a="1"/>
  <c r="U23" i="20" s="1"/>
  <c r="U34" i="20" a="1"/>
  <c r="U34" i="20" s="1"/>
  <c r="AK29" i="20"/>
  <c r="R33" i="9"/>
  <c r="S33" i="9" s="1" a="1"/>
  <c r="S33" i="9" s="1"/>
  <c r="U24" i="20" a="1"/>
  <c r="U24" i="20" s="1"/>
  <c r="AA35" i="3" a="1"/>
  <c r="AA35" i="3" s="1"/>
  <c r="U45" i="20" a="1"/>
  <c r="U45" i="20" s="1"/>
  <c r="U52" i="20" a="1"/>
  <c r="U52" i="20" s="1"/>
  <c r="U46" i="20" a="1"/>
  <c r="U46" i="20" s="1"/>
  <c r="U53" i="20" a="1"/>
  <c r="U53" i="20" s="1"/>
  <c r="U48" i="20" a="1"/>
  <c r="U48" i="20" s="1"/>
  <c r="AK5" i="20"/>
  <c r="U49" i="20" a="1"/>
  <c r="U49" i="20" s="1"/>
  <c r="U18" i="20" a="1"/>
  <c r="U18" i="20" s="1"/>
  <c r="U50" i="20" a="1"/>
  <c r="U50" i="20" s="1"/>
  <c r="U51" i="20" a="1"/>
  <c r="U51" i="20" s="1"/>
  <c r="AK10" i="20"/>
  <c r="AK12" i="20"/>
  <c r="U40" i="20" a="1"/>
  <c r="U40" i="20" s="1"/>
  <c r="U41" i="20" a="1"/>
  <c r="U41" i="20" s="1"/>
  <c r="U43" i="20" a="1"/>
  <c r="U43" i="20" s="1"/>
  <c r="U44" i="20" a="1"/>
  <c r="U44" i="20" s="1"/>
  <c r="AA36" i="3" a="1"/>
  <c r="AA36" i="3" s="1"/>
  <c r="M5" i="3" a="1"/>
  <c r="M5" i="3" s="1"/>
  <c r="M6" i="3" s="1" a="1"/>
  <c r="M6" i="3" s="1"/>
  <c r="M7" i="3" s="1" a="1"/>
  <c r="M7" i="3" s="1"/>
  <c r="M8" i="3" s="1" a="1"/>
  <c r="M8" i="3" s="1"/>
  <c r="M9" i="3" s="1" a="1"/>
  <c r="M9" i="3" s="1"/>
  <c r="M10" i="3" s="1" a="1"/>
  <c r="M10" i="3" s="1"/>
  <c r="M11" i="3" s="1" a="1"/>
  <c r="M11" i="3" s="1"/>
  <c r="M12" i="3" s="1" a="1"/>
  <c r="M12" i="3" s="1"/>
  <c r="M13" i="3" s="1" a="1"/>
  <c r="M13" i="3" s="1"/>
  <c r="R32" i="9"/>
  <c r="S32" i="9" s="1" a="1"/>
  <c r="S32" i="9" s="1"/>
  <c r="I13" i="22"/>
  <c r="P13" i="22"/>
  <c r="I12" i="22"/>
  <c r="P12" i="22"/>
  <c r="I6" i="22"/>
  <c r="P6" i="22"/>
  <c r="I11" i="22"/>
  <c r="P11" i="22"/>
  <c r="I4" i="22"/>
  <c r="P4" i="22"/>
  <c r="C10" i="22"/>
  <c r="D10" i="22"/>
  <c r="R11" i="9"/>
  <c r="S11" i="9" s="1" a="1"/>
  <c r="S11" i="9" s="1"/>
  <c r="R15" i="9"/>
  <c r="S15" i="9" s="1" a="1"/>
  <c r="S15" i="9" s="1"/>
  <c r="B10" i="22"/>
  <c r="F10" i="22"/>
  <c r="B5" i="22"/>
  <c r="C5" i="22"/>
  <c r="F5" i="22"/>
  <c r="D5" i="22"/>
  <c r="F3" i="22"/>
  <c r="D3" i="22"/>
  <c r="R14" i="9"/>
  <c r="S14" i="9" s="1" a="1"/>
  <c r="S14" i="9" s="1"/>
  <c r="U5" i="3" a="1"/>
  <c r="U5" i="3" s="1"/>
  <c r="U6" i="3" s="1" a="1"/>
  <c r="U6" i="3" s="1"/>
  <c r="U7" i="3" s="1" a="1"/>
  <c r="U7" i="3" s="1"/>
  <c r="U8" i="3" s="1" a="1"/>
  <c r="U8" i="3" s="1"/>
  <c r="U9" i="3" s="1" a="1"/>
  <c r="U9" i="3" s="1"/>
  <c r="U10" i="3" s="1" a="1"/>
  <c r="U10" i="3" s="1"/>
  <c r="U11" i="3" s="1" a="1"/>
  <c r="U11" i="3" s="1"/>
  <c r="U12" i="3" s="1" a="1"/>
  <c r="U12" i="3" s="1"/>
  <c r="U13" i="3" s="1" a="1"/>
  <c r="U13" i="3" s="1"/>
  <c r="C3" i="22"/>
  <c r="B3" i="22"/>
  <c r="R21" i="9"/>
  <c r="R24" i="9"/>
  <c r="S24" i="9" s="1" a="1"/>
  <c r="S24" i="9" s="1"/>
  <c r="O5" i="3" a="1"/>
  <c r="O5" i="3" s="1"/>
  <c r="O6" i="3" s="1" a="1"/>
  <c r="O6" i="3" s="1"/>
  <c r="O7" i="3" s="1" a="1"/>
  <c r="O7" i="3" s="1"/>
  <c r="O8" i="3" s="1" a="1"/>
  <c r="O8" i="3" s="1"/>
  <c r="O9" i="3" s="1" a="1"/>
  <c r="O9" i="3" s="1"/>
  <c r="O10" i="3" s="1" a="1"/>
  <c r="O10" i="3" s="1"/>
  <c r="O11" i="3" s="1" a="1"/>
  <c r="O11" i="3" s="1"/>
  <c r="O12" i="3" s="1" a="1"/>
  <c r="O12" i="3" s="1"/>
  <c r="O13" i="3" s="1" a="1"/>
  <c r="O13" i="3" s="1"/>
  <c r="R31" i="9"/>
  <c r="R30" i="9"/>
  <c r="S30" i="9" s="1" a="1"/>
  <c r="S30" i="9" s="1"/>
  <c r="R3" i="9"/>
  <c r="S3" i="9" s="1" a="1"/>
  <c r="S3" i="9" s="1"/>
  <c r="R23" i="9"/>
  <c r="S23" i="9" s="1" a="1"/>
  <c r="S23" i="9" s="1"/>
  <c r="R19" i="9"/>
  <c r="S19" i="9" s="1" a="1"/>
  <c r="S19" i="9" s="1"/>
  <c r="R17" i="9"/>
  <c r="S17" i="9" s="1" a="1"/>
  <c r="S17" i="9" s="1"/>
  <c r="R16" i="9"/>
  <c r="D7" i="14"/>
  <c r="C7" i="14"/>
  <c r="A7" i="14"/>
  <c r="E7" i="14" s="1"/>
  <c r="R4" i="9"/>
  <c r="S4" i="9" s="1" a="1"/>
  <c r="S4" i="9" s="1"/>
  <c r="R22" i="9"/>
  <c r="S22" i="9" s="1" a="1"/>
  <c r="S22" i="9" s="1"/>
  <c r="R18" i="9"/>
  <c r="R10" i="9"/>
  <c r="S10" i="9" s="1" a="1"/>
  <c r="S10" i="9" s="1"/>
  <c r="R29" i="9"/>
  <c r="S29" i="9" s="1" a="1"/>
  <c r="S29" i="9" s="1"/>
  <c r="R28" i="9"/>
  <c r="R27" i="9"/>
  <c r="S5" i="3" a="1"/>
  <c r="S5" i="3" s="1"/>
  <c r="AI4" i="10"/>
  <c r="AI5" i="10"/>
  <c r="AI6" i="10"/>
  <c r="AI7" i="10"/>
  <c r="AI8" i="10"/>
  <c r="AI9" i="10"/>
  <c r="AI10" i="10"/>
  <c r="AI11" i="10"/>
  <c r="AI12" i="10"/>
  <c r="AI13" i="10"/>
  <c r="AI14" i="10"/>
  <c r="AI15" i="10"/>
  <c r="AI16" i="10"/>
  <c r="AI17" i="10"/>
  <c r="AI18" i="10"/>
  <c r="AI19" i="10"/>
  <c r="AI20" i="10"/>
  <c r="AI21" i="10"/>
  <c r="AI22" i="10"/>
  <c r="AI23" i="10"/>
  <c r="AI24" i="10"/>
  <c r="AI25" i="10"/>
  <c r="K31" i="21" a="1"/>
  <c r="K31" i="21" s="1"/>
  <c r="X31" i="21" a="1"/>
  <c r="X31" i="21" s="1"/>
  <c r="H25" i="10" a="1"/>
  <c r="H25" i="10" s="1"/>
  <c r="Y25" i="10" a="1"/>
  <c r="Y25" i="10" s="1"/>
  <c r="Z25" i="10"/>
  <c r="AA25" i="10"/>
  <c r="AB25" i="10"/>
  <c r="AC25" i="10"/>
  <c r="AD25" i="10"/>
  <c r="D31" i="9" a="1"/>
  <c r="D31" i="9" s="1"/>
  <c r="X31" i="9"/>
  <c r="Y31" i="9"/>
  <c r="Z31" i="9"/>
  <c r="AA31" i="9"/>
  <c r="AB31" i="9"/>
  <c r="E3" i="25"/>
  <c r="R3" i="25" a="1"/>
  <c r="R3" i="25" s="1"/>
  <c r="R4" i="25" s="1" a="1"/>
  <c r="R4" i="25" s="1"/>
  <c r="R5" i="25" s="1" a="1"/>
  <c r="R5" i="25" s="1"/>
  <c r="R6" i="25" s="1" a="1"/>
  <c r="R6" i="25" s="1"/>
  <c r="R7" i="25" s="1" a="1"/>
  <c r="R7" i="25" s="1"/>
  <c r="J9" i="24" a="1"/>
  <c r="D9" i="14" a="1"/>
  <c r="C9" i="14" a="1"/>
  <c r="A9" i="14" a="1"/>
  <c r="B9" i="14" a="1"/>
  <c r="K9" i="24" a="1"/>
  <c r="I9" i="24" a="1"/>
  <c r="AL17" i="20" l="1" a="1"/>
  <c r="AL17" i="20" s="1"/>
  <c r="AC31" i="9"/>
  <c r="M31" i="9" s="1"/>
  <c r="AL10" i="20" a="1"/>
  <c r="AL10" i="20" s="1"/>
  <c r="AL61" i="20" a="1"/>
  <c r="AL61" i="20" s="1"/>
  <c r="AM61" i="20" s="1" a="1"/>
  <c r="AM61" i="20" s="1"/>
  <c r="AL12" i="20" a="1"/>
  <c r="AL12" i="20" s="1"/>
  <c r="AL19" i="20" a="1"/>
  <c r="AL19" i="20" s="1"/>
  <c r="AL5" i="20" a="1"/>
  <c r="AL5" i="20" s="1"/>
  <c r="AL26" i="20" a="1"/>
  <c r="AL26" i="20" s="1"/>
  <c r="AL13" i="20" a="1"/>
  <c r="AL13" i="20" s="1"/>
  <c r="AL22" i="20" a="1"/>
  <c r="AL22" i="20" s="1"/>
  <c r="AL29" i="20" a="1"/>
  <c r="AL29" i="20" s="1"/>
  <c r="AL30" i="20" a="1"/>
  <c r="AL30" i="20" s="1"/>
  <c r="Q26" i="29" a="1"/>
  <c r="Q26" i="29" s="1"/>
  <c r="AK25" i="3" s="1" a="1"/>
  <c r="AK25" i="3" s="1"/>
  <c r="N25" i="3" s="1"/>
  <c r="O14" i="3" a="1"/>
  <c r="O14" i="3" s="1"/>
  <c r="O15" i="3" s="1" a="1"/>
  <c r="O15" i="3" s="1"/>
  <c r="O16" i="3" s="1" a="1"/>
  <c r="O16" i="3" s="1"/>
  <c r="O17" i="3" s="1" a="1"/>
  <c r="O17" i="3" s="1"/>
  <c r="O18" i="3" s="1" a="1"/>
  <c r="O18" i="3" s="1"/>
  <c r="O19" i="3" s="1" a="1"/>
  <c r="O19" i="3" s="1"/>
  <c r="O20" i="3" s="1" a="1"/>
  <c r="O20" i="3" s="1"/>
  <c r="O21" i="3" s="1" a="1"/>
  <c r="O21" i="3" s="1"/>
  <c r="O22" i="3" s="1" a="1"/>
  <c r="O22" i="3" s="1"/>
  <c r="O23" i="3" s="1" a="1"/>
  <c r="O23" i="3" s="1"/>
  <c r="O24" i="3" s="1" a="1"/>
  <c r="O24" i="3" s="1"/>
  <c r="M14" i="3" a="1"/>
  <c r="M14" i="3" s="1"/>
  <c r="M15" i="3" s="1" a="1"/>
  <c r="M15" i="3" s="1"/>
  <c r="M16" i="3" s="1" a="1"/>
  <c r="M16" i="3" s="1"/>
  <c r="M17" i="3" s="1" a="1"/>
  <c r="M17" i="3" s="1"/>
  <c r="M18" i="3" s="1" a="1"/>
  <c r="M18" i="3" s="1"/>
  <c r="M19" i="3" s="1" a="1"/>
  <c r="M19" i="3" s="1"/>
  <c r="M20" i="3" s="1" a="1"/>
  <c r="M20" i="3" s="1"/>
  <c r="M21" i="3" s="1" a="1"/>
  <c r="M21" i="3" s="1"/>
  <c r="M22" i="3" s="1" a="1"/>
  <c r="M22" i="3" s="1"/>
  <c r="M23" i="3" s="1" a="1"/>
  <c r="M23" i="3" s="1"/>
  <c r="M24" i="3" s="1" a="1"/>
  <c r="M24" i="3" s="1"/>
  <c r="M25" i="3" s="1" a="1"/>
  <c r="M25" i="3" s="1"/>
  <c r="M26" i="3" s="1" a="1"/>
  <c r="M26" i="3" s="1"/>
  <c r="M27" i="3" s="1" a="1"/>
  <c r="M27" i="3" s="1"/>
  <c r="M28" i="3" s="1" a="1"/>
  <c r="M28" i="3" s="1"/>
  <c r="M29" i="3" s="1" a="1"/>
  <c r="M29" i="3" s="1"/>
  <c r="M30" i="3" s="1" a="1"/>
  <c r="M30" i="3" s="1"/>
  <c r="M31" i="3" s="1" a="1"/>
  <c r="M31" i="3" s="1"/>
  <c r="M32" i="3" s="1" a="1"/>
  <c r="M32" i="3" s="1"/>
  <c r="M33" i="3" s="1" a="1"/>
  <c r="M33" i="3" s="1"/>
  <c r="M34" i="3" s="1" a="1"/>
  <c r="M34" i="3" s="1"/>
  <c r="M35" i="3" s="1" a="1"/>
  <c r="M35" i="3" s="1"/>
  <c r="M36" i="3" s="1" a="1"/>
  <c r="M36" i="3" s="1"/>
  <c r="M37" i="3" s="1" a="1"/>
  <c r="M37" i="3" s="1"/>
  <c r="M38" i="3" s="1" a="1"/>
  <c r="M38" i="3" s="1"/>
  <c r="M39" i="3" s="1" a="1"/>
  <c r="M39" i="3" s="1"/>
  <c r="M40" i="3" s="1" a="1"/>
  <c r="M40" i="3" s="1"/>
  <c r="M41" i="3" s="1" a="1"/>
  <c r="M41" i="3" s="1"/>
  <c r="M42" i="3" s="1" a="1"/>
  <c r="M42" i="3" s="1"/>
  <c r="M43" i="3" s="1" a="1"/>
  <c r="M43" i="3" s="1"/>
  <c r="M44" i="3" s="1" a="1"/>
  <c r="M44" i="3" s="1"/>
  <c r="M45" i="3" s="1" a="1"/>
  <c r="M45" i="3" s="1"/>
  <c r="M46" i="3" s="1" a="1"/>
  <c r="M46" i="3" s="1"/>
  <c r="M47" i="3" s="1" a="1"/>
  <c r="M47" i="3" s="1"/>
  <c r="M48" i="3" s="1" a="1"/>
  <c r="M48" i="3" s="1"/>
  <c r="M49" i="3" s="1" a="1"/>
  <c r="M49" i="3" s="1"/>
  <c r="U14" i="3" a="1"/>
  <c r="U14" i="3" s="1"/>
  <c r="U15" i="3" s="1" a="1"/>
  <c r="U15" i="3" s="1"/>
  <c r="U16" i="3" s="1" a="1"/>
  <c r="U16" i="3" s="1"/>
  <c r="U17" i="3" s="1" a="1"/>
  <c r="U17" i="3" s="1"/>
  <c r="U18" i="3" s="1" a="1"/>
  <c r="U18" i="3" s="1"/>
  <c r="U19" i="3" s="1" a="1"/>
  <c r="U19" i="3" s="1"/>
  <c r="U20" i="3" s="1" a="1"/>
  <c r="U20" i="3" s="1"/>
  <c r="U21" i="3" s="1" a="1"/>
  <c r="U21" i="3" s="1"/>
  <c r="U22" i="3" s="1" a="1"/>
  <c r="U22" i="3" s="1"/>
  <c r="U23" i="3" s="1" a="1"/>
  <c r="U23" i="3" s="1"/>
  <c r="U24" i="3" s="1" a="1"/>
  <c r="U24" i="3" s="1"/>
  <c r="U25" i="3" s="1" a="1"/>
  <c r="U25" i="3" s="1"/>
  <c r="U26" i="3" s="1" a="1"/>
  <c r="U26" i="3" s="1"/>
  <c r="U27" i="3" s="1" a="1"/>
  <c r="U27" i="3" s="1"/>
  <c r="U28" i="3" s="1" a="1"/>
  <c r="U28" i="3" s="1"/>
  <c r="U29" i="3" s="1" a="1"/>
  <c r="U29" i="3" s="1"/>
  <c r="U30" i="3" s="1" a="1"/>
  <c r="U30" i="3" s="1"/>
  <c r="U31" i="3" s="1" a="1"/>
  <c r="U31" i="3" s="1"/>
  <c r="U32" i="3" s="1" a="1"/>
  <c r="U32" i="3" s="1"/>
  <c r="U33" i="3" s="1" a="1"/>
  <c r="U33" i="3" s="1"/>
  <c r="U34" i="3" s="1" a="1"/>
  <c r="U34" i="3" s="1"/>
  <c r="U35" i="3" s="1" a="1"/>
  <c r="U35" i="3" s="1"/>
  <c r="U36" i="3" s="1" a="1"/>
  <c r="U36" i="3" s="1"/>
  <c r="U37" i="3" s="1" a="1"/>
  <c r="U37" i="3" s="1"/>
  <c r="U38" i="3" s="1" a="1"/>
  <c r="U38" i="3" s="1"/>
  <c r="U39" i="3" s="1" a="1"/>
  <c r="U39" i="3" s="1"/>
  <c r="U40" i="3" s="1" a="1"/>
  <c r="U40" i="3" s="1"/>
  <c r="U41" i="3" s="1" a="1"/>
  <c r="U41" i="3" s="1"/>
  <c r="U42" i="3" s="1" a="1"/>
  <c r="U42" i="3" s="1"/>
  <c r="U43" i="3" s="1" a="1"/>
  <c r="U43" i="3" s="1"/>
  <c r="U44" i="3" s="1" a="1"/>
  <c r="U44" i="3" s="1"/>
  <c r="U45" i="3" s="1" a="1"/>
  <c r="U45" i="3" s="1"/>
  <c r="U46" i="3" s="1" a="1"/>
  <c r="U46" i="3" s="1"/>
  <c r="U47" i="3" s="1" a="1"/>
  <c r="U47" i="3" s="1"/>
  <c r="U48" i="3" s="1" a="1"/>
  <c r="U48" i="3" s="1"/>
  <c r="R8" i="25" a="1"/>
  <c r="R8" i="25" s="1"/>
  <c r="R9" i="25" s="1" a="1"/>
  <c r="R9" i="25" s="1"/>
  <c r="R10" i="25" s="1" a="1"/>
  <c r="R10" i="25" s="1"/>
  <c r="R11" i="25" s="1" a="1"/>
  <c r="R11" i="25" s="1"/>
  <c r="R12" i="25" s="1" a="1"/>
  <c r="R12" i="25" s="1"/>
  <c r="R13" i="25" s="1" a="1"/>
  <c r="R13" i="25" s="1"/>
  <c r="R14" i="25" s="1" a="1"/>
  <c r="R14" i="25" s="1"/>
  <c r="R15" i="25" s="1" a="1"/>
  <c r="R15" i="25" s="1"/>
  <c r="R16" i="25" s="1" a="1"/>
  <c r="R16" i="25" s="1"/>
  <c r="R17" i="25" s="1" a="1"/>
  <c r="R17" i="25" s="1"/>
  <c r="R18" i="25" s="1" a="1"/>
  <c r="R18" i="25" s="1"/>
  <c r="R19" i="25" s="1" a="1"/>
  <c r="R19" i="25" s="1"/>
  <c r="R20" i="25" s="1" a="1"/>
  <c r="R20" i="25" s="1"/>
  <c r="R21" i="25" s="1" a="1"/>
  <c r="R21" i="25" s="1"/>
  <c r="AO68" i="3" a="1"/>
  <c r="AO68" i="3" s="1"/>
  <c r="S42" i="9" a="1"/>
  <c r="S42" i="9" s="1"/>
  <c r="X49" i="3" a="1"/>
  <c r="X49" i="3" s="1"/>
  <c r="X50" i="3" s="1" a="1"/>
  <c r="X50" i="3" s="1"/>
  <c r="X51" i="3" s="1" a="1"/>
  <c r="X51" i="3" s="1"/>
  <c r="X52" i="3" s="1" a="1"/>
  <c r="X52" i="3" s="1"/>
  <c r="X53" i="3" s="1" a="1"/>
  <c r="X53" i="3" s="1"/>
  <c r="X54" i="3" s="1" a="1"/>
  <c r="X54" i="3" s="1"/>
  <c r="X55" i="3" s="1" a="1"/>
  <c r="X55" i="3" s="1"/>
  <c r="X56" i="3" s="1" a="1"/>
  <c r="X56" i="3" s="1"/>
  <c r="X57" i="3" s="1" a="1"/>
  <c r="X57" i="3" s="1"/>
  <c r="X58" i="3" s="1" a="1"/>
  <c r="X58" i="3" s="1"/>
  <c r="X59" i="3" s="1" a="1"/>
  <c r="X59" i="3" s="1"/>
  <c r="X60" i="3" s="1" a="1"/>
  <c r="X60" i="3" s="1"/>
  <c r="X61" i="3" s="1" a="1"/>
  <c r="X61" i="3" s="1"/>
  <c r="X62" i="3" s="1" a="1"/>
  <c r="X62" i="3" s="1"/>
  <c r="X63" i="3" s="1" a="1"/>
  <c r="X63" i="3" s="1"/>
  <c r="X64" i="3" s="1" a="1"/>
  <c r="X64" i="3" s="1"/>
  <c r="X65" i="3" s="1" a="1"/>
  <c r="X65" i="3" s="1"/>
  <c r="X66" i="3" s="1" a="1"/>
  <c r="X66" i="3" s="1"/>
  <c r="X67" i="3" s="1" a="1"/>
  <c r="X67" i="3" s="1"/>
  <c r="X68" i="3" s="1" a="1"/>
  <c r="X68" i="3" s="1"/>
  <c r="X69" i="3" s="1" a="1"/>
  <c r="X69" i="3" s="1"/>
  <c r="X70" i="3" s="1" a="1"/>
  <c r="X70" i="3" s="1"/>
  <c r="X71" i="3" s="1" a="1"/>
  <c r="X71" i="3" s="1"/>
  <c r="X72" i="3" s="1" a="1"/>
  <c r="X72" i="3" s="1"/>
  <c r="X73" i="3" s="1" a="1"/>
  <c r="X73" i="3" s="1"/>
  <c r="X74" i="3" s="1" a="1"/>
  <c r="X74" i="3" s="1"/>
  <c r="X75" i="3" s="1" a="1"/>
  <c r="X75" i="3" s="1"/>
  <c r="X76" i="3" s="1" a="1"/>
  <c r="X76" i="3" s="1"/>
  <c r="X77" i="3" s="1" a="1"/>
  <c r="X77" i="3" s="1"/>
  <c r="X78" i="3" s="1" a="1"/>
  <c r="X78" i="3" s="1"/>
  <c r="X79" i="3" s="1" a="1"/>
  <c r="X79" i="3" s="1"/>
  <c r="X80" i="3" s="1" a="1"/>
  <c r="X80" i="3" s="1"/>
  <c r="X81" i="3" s="1" a="1"/>
  <c r="X81" i="3" s="1"/>
  <c r="X82" i="3" s="1" a="1"/>
  <c r="X82" i="3" s="1"/>
  <c r="X83" i="3" s="1" a="1"/>
  <c r="X83" i="3" s="1"/>
  <c r="X84" i="3" s="1" a="1"/>
  <c r="X84" i="3" s="1"/>
  <c r="X85" i="3" s="1" a="1"/>
  <c r="X85" i="3" s="1"/>
  <c r="X86" i="3" s="1" a="1"/>
  <c r="X86" i="3" s="1"/>
  <c r="X87" i="3" s="1" a="1"/>
  <c r="X87" i="3" s="1"/>
  <c r="X88" i="3" s="1" a="1"/>
  <c r="X88" i="3" s="1"/>
  <c r="X89" i="3" s="1" a="1"/>
  <c r="X89" i="3" s="1"/>
  <c r="X90" i="3" s="1" a="1"/>
  <c r="X90" i="3" s="1"/>
  <c r="X91" i="3" s="1" a="1"/>
  <c r="X91" i="3" s="1"/>
  <c r="X92" i="3" s="1" a="1"/>
  <c r="X92" i="3" s="1"/>
  <c r="X93" i="3" s="1" a="1"/>
  <c r="X93" i="3" s="1"/>
  <c r="X94" i="3" s="1" a="1"/>
  <c r="X94" i="3" s="1"/>
  <c r="X95" i="3" s="1" a="1"/>
  <c r="X95" i="3" s="1"/>
  <c r="X96" i="3" s="1" a="1"/>
  <c r="X96" i="3" s="1"/>
  <c r="X97" i="3" s="1" a="1"/>
  <c r="X97" i="3" s="1"/>
  <c r="X98" i="3" s="1" a="1"/>
  <c r="X98" i="3" s="1"/>
  <c r="X99" i="3" s="1" a="1"/>
  <c r="X99" i="3" s="1"/>
  <c r="X100" i="3" s="1" a="1"/>
  <c r="X100" i="3" s="1"/>
  <c r="X101" i="3" s="1" a="1"/>
  <c r="X101" i="3" s="1"/>
  <c r="X102" i="3" s="1" a="1"/>
  <c r="X102" i="3" s="1"/>
  <c r="X103" i="3" s="1" a="1"/>
  <c r="X103" i="3" s="1"/>
  <c r="V49" i="3" a="1"/>
  <c r="V49" i="3" s="1"/>
  <c r="V50" i="3" s="1" a="1"/>
  <c r="V50" i="3" s="1"/>
  <c r="V51" i="3" s="1" a="1"/>
  <c r="V51" i="3" s="1"/>
  <c r="V52" i="3" s="1" a="1"/>
  <c r="V52" i="3" s="1"/>
  <c r="V53" i="3" s="1" a="1"/>
  <c r="V53" i="3" s="1"/>
  <c r="V54" i="3" s="1" a="1"/>
  <c r="V54" i="3" s="1"/>
  <c r="V55" i="3" s="1" a="1"/>
  <c r="V55" i="3" s="1"/>
  <c r="V56" i="3" s="1" a="1"/>
  <c r="V56" i="3" s="1"/>
  <c r="V57" i="3" s="1" a="1"/>
  <c r="V57" i="3" s="1"/>
  <c r="V58" i="3" s="1" a="1"/>
  <c r="V58" i="3" s="1"/>
  <c r="V59" i="3" s="1" a="1"/>
  <c r="V59" i="3" s="1"/>
  <c r="V60" i="3" s="1" a="1"/>
  <c r="V60" i="3" s="1"/>
  <c r="V61" i="3" s="1" a="1"/>
  <c r="V61" i="3" s="1"/>
  <c r="V62" i="3" s="1" a="1"/>
  <c r="V62" i="3" s="1"/>
  <c r="V63" i="3" s="1" a="1"/>
  <c r="V63" i="3" s="1"/>
  <c r="V64" i="3" s="1" a="1"/>
  <c r="V64" i="3" s="1"/>
  <c r="V65" i="3" s="1" a="1"/>
  <c r="V65" i="3" s="1"/>
  <c r="V66" i="3" s="1" a="1"/>
  <c r="V66" i="3" s="1"/>
  <c r="V67" i="3" s="1" a="1"/>
  <c r="V67" i="3" s="1"/>
  <c r="V68" i="3" s="1" a="1"/>
  <c r="V68" i="3" s="1"/>
  <c r="V69" i="3" s="1" a="1"/>
  <c r="V69" i="3" s="1"/>
  <c r="V70" i="3" s="1" a="1"/>
  <c r="V70" i="3" s="1"/>
  <c r="V71" i="3" s="1" a="1"/>
  <c r="V71" i="3" s="1"/>
  <c r="V72" i="3" s="1" a="1"/>
  <c r="V72" i="3" s="1"/>
  <c r="V73" i="3" s="1" a="1"/>
  <c r="V73" i="3" s="1"/>
  <c r="V74" i="3" s="1" a="1"/>
  <c r="V74" i="3" s="1"/>
  <c r="V75" i="3" s="1" a="1"/>
  <c r="V75" i="3" s="1"/>
  <c r="V76" i="3" s="1" a="1"/>
  <c r="V76" i="3" s="1"/>
  <c r="V77" i="3" s="1" a="1"/>
  <c r="V77" i="3" s="1"/>
  <c r="V78" i="3" s="1" a="1"/>
  <c r="V78" i="3" s="1"/>
  <c r="V79" i="3" s="1" a="1"/>
  <c r="V79" i="3" s="1"/>
  <c r="V80" i="3" s="1" a="1"/>
  <c r="V80" i="3" s="1"/>
  <c r="V81" i="3" s="1" a="1"/>
  <c r="V81" i="3" s="1"/>
  <c r="V82" i="3" s="1" a="1"/>
  <c r="V82" i="3" s="1"/>
  <c r="V83" i="3" s="1" a="1"/>
  <c r="V83" i="3" s="1"/>
  <c r="V84" i="3" s="1" a="1"/>
  <c r="V84" i="3" s="1"/>
  <c r="V85" i="3" s="1" a="1"/>
  <c r="V85" i="3" s="1"/>
  <c r="V86" i="3" s="1" a="1"/>
  <c r="V86" i="3" s="1"/>
  <c r="V87" i="3" s="1" a="1"/>
  <c r="V87" i="3" s="1"/>
  <c r="V88" i="3" s="1" a="1"/>
  <c r="V88" i="3" s="1"/>
  <c r="V89" i="3" s="1" a="1"/>
  <c r="V89" i="3" s="1"/>
  <c r="V90" i="3" s="1" a="1"/>
  <c r="V90" i="3" s="1"/>
  <c r="V91" i="3" s="1" a="1"/>
  <c r="V91" i="3" s="1"/>
  <c r="V92" i="3" s="1" a="1"/>
  <c r="V92" i="3" s="1"/>
  <c r="V93" i="3" s="1" a="1"/>
  <c r="V93" i="3" s="1"/>
  <c r="V94" i="3" s="1" a="1"/>
  <c r="V94" i="3" s="1"/>
  <c r="V95" i="3" s="1" a="1"/>
  <c r="V95" i="3" s="1"/>
  <c r="V96" i="3" s="1" a="1"/>
  <c r="V96" i="3" s="1"/>
  <c r="V97" i="3" s="1" a="1"/>
  <c r="V97" i="3" s="1"/>
  <c r="V98" i="3" s="1" a="1"/>
  <c r="V98" i="3" s="1"/>
  <c r="V99" i="3" s="1" a="1"/>
  <c r="V99" i="3" s="1"/>
  <c r="V100" i="3" s="1" a="1"/>
  <c r="V100" i="3" s="1"/>
  <c r="V101" i="3" s="1" a="1"/>
  <c r="V101" i="3" s="1"/>
  <c r="V102" i="3" s="1" a="1"/>
  <c r="V102" i="3" s="1"/>
  <c r="V103" i="3" s="1" a="1"/>
  <c r="V103" i="3" s="1"/>
  <c r="Q49" i="29" a="1"/>
  <c r="Q49" i="29" s="1"/>
  <c r="AK49" i="3" s="1" a="1"/>
  <c r="AK49" i="3" s="1"/>
  <c r="L10" i="3" a="1"/>
  <c r="L10" i="3" s="1"/>
  <c r="AM80" i="3" a="1"/>
  <c r="AM80" i="3" s="1"/>
  <c r="Q47" i="29" a="1"/>
  <c r="Q47" i="29" s="1"/>
  <c r="AK47" i="3" s="1" a="1"/>
  <c r="AK47" i="3" s="1"/>
  <c r="S41" i="9" a="1"/>
  <c r="S41" i="9" s="1"/>
  <c r="Q37" i="29" a="1"/>
  <c r="Q37" i="29" s="1"/>
  <c r="Q41" i="29" a="1"/>
  <c r="Q41" i="29" s="1"/>
  <c r="AK41" i="3" s="1" a="1"/>
  <c r="AK41" i="3" s="1"/>
  <c r="Q42" i="29" a="1"/>
  <c r="Q42" i="29" s="1"/>
  <c r="Q43" i="29" a="1"/>
  <c r="Q43" i="29" s="1"/>
  <c r="AK43" i="3" s="1" a="1"/>
  <c r="AK43" i="3" s="1"/>
  <c r="Q44" i="29" a="1"/>
  <c r="Q44" i="29" s="1"/>
  <c r="AK44" i="3" s="1" a="1"/>
  <c r="AK44" i="3" s="1"/>
  <c r="Q45" i="29" a="1"/>
  <c r="Q45" i="29" s="1"/>
  <c r="AK45" i="3" s="1" a="1"/>
  <c r="AK45" i="3" s="1"/>
  <c r="Q46" i="29" a="1"/>
  <c r="Q46" i="29" s="1"/>
  <c r="AK46" i="3" s="1" a="1"/>
  <c r="AK46" i="3" s="1"/>
  <c r="Q48" i="29" a="1"/>
  <c r="Q48" i="29" s="1"/>
  <c r="AK48" i="3" s="1" a="1"/>
  <c r="AK48" i="3" s="1"/>
  <c r="Q50" i="29" a="1"/>
  <c r="Q50" i="29" s="1"/>
  <c r="AK50" i="3" s="1" a="1"/>
  <c r="AK50" i="3" s="1"/>
  <c r="Q51" i="29" a="1"/>
  <c r="Q51" i="29" s="1"/>
  <c r="AK51" i="3" s="1" a="1"/>
  <c r="AK51" i="3" s="1"/>
  <c r="Q40" i="29" a="1"/>
  <c r="Q40" i="29" s="1"/>
  <c r="AK40" i="3" s="1" a="1"/>
  <c r="AK40" i="3" s="1"/>
  <c r="Q36" i="29" a="1"/>
  <c r="Q36" i="29" s="1"/>
  <c r="AK36" i="3" s="1" a="1"/>
  <c r="AK36" i="3" s="1"/>
  <c r="Q38" i="29" a="1"/>
  <c r="Q38" i="29" s="1"/>
  <c r="AK38" i="3" s="1" a="1"/>
  <c r="AK38" i="3" s="1"/>
  <c r="Q39" i="29" a="1"/>
  <c r="Q39" i="29" s="1"/>
  <c r="AK39" i="3" s="1" a="1"/>
  <c r="AK39" i="3" s="1"/>
  <c r="S26" i="9" a="1"/>
  <c r="S26" i="9" s="1"/>
  <c r="S8" i="9" a="1"/>
  <c r="S8" i="9" s="1"/>
  <c r="S28" i="9" a="1"/>
  <c r="S28" i="9" s="1"/>
  <c r="S27" i="9" a="1"/>
  <c r="S27" i="9" s="1"/>
  <c r="S31" i="9" a="1"/>
  <c r="S31" i="9" s="1"/>
  <c r="S18" i="9" a="1"/>
  <c r="S18" i="9" s="1"/>
  <c r="S25" i="9" a="1"/>
  <c r="S25" i="9" s="1"/>
  <c r="S16" i="9" a="1"/>
  <c r="S16" i="9" s="1"/>
  <c r="S5" i="9" a="1"/>
  <c r="S5" i="9" s="1"/>
  <c r="S6" i="9" a="1"/>
  <c r="S6" i="9" s="1"/>
  <c r="S9" i="9" a="1"/>
  <c r="S9" i="9" s="1"/>
  <c r="S21" i="9" s="1" a="1"/>
  <c r="S21" i="9" s="1"/>
  <c r="S20" i="9" s="1" a="1"/>
  <c r="S20" i="9" s="1"/>
  <c r="S7" i="9" a="1"/>
  <c r="S7" i="9" s="1"/>
  <c r="U36" i="9"/>
  <c r="U38" i="9"/>
  <c r="H53" i="28" a="1"/>
  <c r="H53" i="28" s="1"/>
  <c r="A52" i="28" a="1"/>
  <c r="A52" i="28" s="1"/>
  <c r="Q13" i="22"/>
  <c r="M13" i="22"/>
  <c r="K13" i="22"/>
  <c r="J13" i="22"/>
  <c r="J12" i="22"/>
  <c r="Q12" i="22"/>
  <c r="M12" i="22"/>
  <c r="K12" i="22"/>
  <c r="J6" i="22"/>
  <c r="Q6" i="22"/>
  <c r="M6" i="22"/>
  <c r="K6" i="22"/>
  <c r="J11" i="22"/>
  <c r="K11" i="22"/>
  <c r="Q11" i="22"/>
  <c r="M11" i="22"/>
  <c r="J4" i="22"/>
  <c r="Q4" i="22"/>
  <c r="M4" i="22"/>
  <c r="K4" i="22"/>
  <c r="P10" i="22"/>
  <c r="I10" i="22"/>
  <c r="I5" i="22"/>
  <c r="P5" i="22"/>
  <c r="I7" i="14"/>
  <c r="F7" i="14"/>
  <c r="H7" i="14"/>
  <c r="G7" i="14"/>
  <c r="I3" i="22"/>
  <c r="P3" i="22"/>
  <c r="Q6" i="3" a="1"/>
  <c r="Q6" i="3" s="1"/>
  <c r="L7" i="14"/>
  <c r="AE25" i="10"/>
  <c r="P25" i="10" s="1"/>
  <c r="K9" i="24"/>
  <c r="J9" i="24"/>
  <c r="O9" i="24" s="1"/>
  <c r="I9" i="24"/>
  <c r="D9" i="14"/>
  <c r="A9" i="14"/>
  <c r="C9" i="14"/>
  <c r="B9" i="14"/>
  <c r="I3" i="25" a="1"/>
  <c r="I3" i="25" s="1"/>
  <c r="J3" i="25" s="1"/>
  <c r="I4" i="25" a="1"/>
  <c r="I4" i="25" s="1"/>
  <c r="D4" i="25" s="1"/>
  <c r="I5" i="25" a="1"/>
  <c r="I5" i="25" s="1"/>
  <c r="D5" i="25" s="1"/>
  <c r="I6" i="25" a="1"/>
  <c r="I6" i="25" s="1"/>
  <c r="D6" i="25" s="1"/>
  <c r="I7" i="25" a="1"/>
  <c r="I7" i="25" s="1"/>
  <c r="D7" i="25" s="1"/>
  <c r="I9" i="25" a="1"/>
  <c r="I9" i="25" s="1"/>
  <c r="D9" i="25" s="1"/>
  <c r="I10" i="25" a="1"/>
  <c r="I10" i="25" s="1"/>
  <c r="D10" i="25" s="1"/>
  <c r="I11" i="25" a="1"/>
  <c r="I11" i="25" s="1"/>
  <c r="D11" i="25" s="1"/>
  <c r="I12" i="25" a="1"/>
  <c r="I12" i="25" s="1"/>
  <c r="D12" i="25" s="1"/>
  <c r="I13" i="25" a="1"/>
  <c r="I13" i="25" s="1"/>
  <c r="D13" i="25" s="1"/>
  <c r="I14" i="25" a="1"/>
  <c r="I14" i="25" s="1"/>
  <c r="D14" i="25" s="1"/>
  <c r="I15" i="25" a="1"/>
  <c r="I15" i="25" s="1"/>
  <c r="D15" i="25" s="1"/>
  <c r="I16" i="25" a="1"/>
  <c r="I16" i="25" s="1"/>
  <c r="D16" i="25" s="1"/>
  <c r="I17" i="25" a="1"/>
  <c r="I17" i="25" s="1"/>
  <c r="D17" i="25" s="1"/>
  <c r="I18" i="25" a="1"/>
  <c r="I18" i="25" s="1"/>
  <c r="D18" i="25" s="1"/>
  <c r="I19" i="25" a="1"/>
  <c r="I19" i="25" s="1"/>
  <c r="I20" i="25" a="1"/>
  <c r="I20" i="25" s="1"/>
  <c r="H3" i="25" a="1"/>
  <c r="H3" i="25" s="1"/>
  <c r="H4" i="25" a="1"/>
  <c r="H4" i="25" s="1"/>
  <c r="H5" i="25" a="1"/>
  <c r="H5" i="25" s="1"/>
  <c r="H6" i="25" a="1"/>
  <c r="H6" i="25" s="1"/>
  <c r="H7" i="25" a="1"/>
  <c r="H7" i="25" s="1"/>
  <c r="H9" i="25" a="1"/>
  <c r="H9" i="25" s="1"/>
  <c r="H10" i="25" a="1"/>
  <c r="H10" i="25" s="1"/>
  <c r="O10" i="25" s="1" a="1"/>
  <c r="O10" i="25" s="1"/>
  <c r="H11" i="25" a="1"/>
  <c r="H11" i="25" s="1"/>
  <c r="O11" i="25" s="1" a="1"/>
  <c r="O11" i="25" s="1"/>
  <c r="H12" i="25" a="1"/>
  <c r="H12" i="25" s="1"/>
  <c r="O12" i="25" s="1" a="1"/>
  <c r="O12" i="25" s="1"/>
  <c r="H13" i="25" a="1"/>
  <c r="H13" i="25" s="1"/>
  <c r="H14" i="25" a="1"/>
  <c r="H14" i="25" s="1"/>
  <c r="O14" i="25" s="1" a="1"/>
  <c r="O14" i="25" s="1"/>
  <c r="H15" i="25" a="1"/>
  <c r="H15" i="25" s="1"/>
  <c r="H16" i="25" a="1"/>
  <c r="H16" i="25" s="1"/>
  <c r="H17" i="25" a="1"/>
  <c r="H17" i="25" s="1"/>
  <c r="H18" i="25" a="1"/>
  <c r="H18" i="25" s="1"/>
  <c r="O18" i="25" s="1" a="1"/>
  <c r="O18" i="25" s="1"/>
  <c r="H19" i="25" a="1"/>
  <c r="H19" i="25" s="1"/>
  <c r="H20" i="25" a="1"/>
  <c r="H20" i="25" s="1"/>
  <c r="B4" i="14" a="1"/>
  <c r="L11" i="22"/>
  <c r="D4" i="14" a="1"/>
  <c r="C4" i="14" a="1"/>
  <c r="N13" i="22"/>
  <c r="L13" i="22"/>
  <c r="A4" i="14" a="1"/>
  <c r="N11" i="22"/>
  <c r="L4" i="22"/>
  <c r="L6" i="22"/>
  <c r="N4" i="22"/>
  <c r="N6" i="22"/>
  <c r="N12" i="22"/>
  <c r="L12" i="22"/>
  <c r="O5" i="25" l="1" a="1"/>
  <c r="O5" i="25" s="1"/>
  <c r="O6" i="25" a="1"/>
  <c r="O6" i="25" s="1"/>
  <c r="O25" i="3" a="1"/>
  <c r="O25" i="3" s="1"/>
  <c r="O26" i="3" s="1" a="1"/>
  <c r="O26" i="3" s="1"/>
  <c r="O27" i="3" s="1" a="1"/>
  <c r="O27" i="3" s="1"/>
  <c r="O28" i="3" s="1" a="1"/>
  <c r="O28" i="3" s="1"/>
  <c r="O29" i="3" s="1" a="1"/>
  <c r="O29" i="3" s="1"/>
  <c r="O30" i="3" s="1" a="1"/>
  <c r="O30" i="3" s="1"/>
  <c r="O31" i="3" s="1" a="1"/>
  <c r="O31" i="3" s="1"/>
  <c r="O32" i="3" s="1" a="1"/>
  <c r="O32" i="3" s="1"/>
  <c r="O33" i="3" s="1" a="1"/>
  <c r="O33" i="3" s="1"/>
  <c r="O34" i="3" s="1" a="1"/>
  <c r="O34" i="3" s="1"/>
  <c r="O35" i="3" s="1" a="1"/>
  <c r="O35" i="3" s="1"/>
  <c r="N41" i="3"/>
  <c r="N39" i="3"/>
  <c r="N47" i="3"/>
  <c r="N36" i="3"/>
  <c r="N40" i="3"/>
  <c r="N38" i="3"/>
  <c r="N51" i="3"/>
  <c r="N48" i="3"/>
  <c r="N50" i="3"/>
  <c r="N49" i="3"/>
  <c r="N46" i="3"/>
  <c r="N45" i="3"/>
  <c r="N44" i="3"/>
  <c r="N43" i="3"/>
  <c r="AO69" i="3" a="1"/>
  <c r="AO69" i="3" s="1"/>
  <c r="U49" i="3" a="1"/>
  <c r="U49" i="3" s="1"/>
  <c r="U50" i="3" s="1" a="1"/>
  <c r="U50" i="3" s="1"/>
  <c r="U51" i="3" s="1" a="1"/>
  <c r="U51" i="3" s="1"/>
  <c r="U52" i="3" s="1" a="1"/>
  <c r="U52" i="3" s="1"/>
  <c r="U53" i="3" s="1" a="1"/>
  <c r="U53" i="3" s="1"/>
  <c r="U54" i="3" s="1" a="1"/>
  <c r="U54" i="3" s="1"/>
  <c r="U55" i="3" s="1" a="1"/>
  <c r="U55" i="3" s="1"/>
  <c r="U56" i="3" s="1" a="1"/>
  <c r="U56" i="3" s="1"/>
  <c r="U57" i="3" s="1" a="1"/>
  <c r="U57" i="3" s="1"/>
  <c r="U58" i="3" s="1" a="1"/>
  <c r="U58" i="3" s="1"/>
  <c r="U59" i="3" s="1" a="1"/>
  <c r="U59" i="3" s="1"/>
  <c r="U60" i="3" s="1" a="1"/>
  <c r="U60" i="3" s="1"/>
  <c r="U61" i="3" s="1" a="1"/>
  <c r="U61" i="3" s="1"/>
  <c r="U62" i="3" s="1" a="1"/>
  <c r="U62" i="3" s="1"/>
  <c r="U63" i="3" s="1" a="1"/>
  <c r="U63" i="3" s="1"/>
  <c r="U64" i="3" s="1" a="1"/>
  <c r="U64" i="3" s="1"/>
  <c r="U65" i="3" s="1" a="1"/>
  <c r="U65" i="3" s="1"/>
  <c r="U66" i="3" s="1" a="1"/>
  <c r="U66" i="3" s="1"/>
  <c r="U67" i="3" s="1" a="1"/>
  <c r="U67" i="3" s="1"/>
  <c r="U68" i="3" s="1" a="1"/>
  <c r="U68" i="3" s="1"/>
  <c r="U69" i="3" s="1" a="1"/>
  <c r="U69" i="3" s="1"/>
  <c r="U70" i="3" s="1" a="1"/>
  <c r="U70" i="3" s="1"/>
  <c r="U71" i="3" s="1" a="1"/>
  <c r="U71" i="3" s="1"/>
  <c r="U72" i="3" s="1" a="1"/>
  <c r="U72" i="3" s="1"/>
  <c r="U73" i="3" s="1" a="1"/>
  <c r="U73" i="3" s="1"/>
  <c r="U74" i="3" s="1" a="1"/>
  <c r="U74" i="3" s="1"/>
  <c r="U75" i="3" s="1" a="1"/>
  <c r="U75" i="3" s="1"/>
  <c r="U76" i="3" s="1" a="1"/>
  <c r="U76" i="3" s="1"/>
  <c r="U77" i="3" s="1" a="1"/>
  <c r="U77" i="3" s="1"/>
  <c r="U78" i="3" s="1" a="1"/>
  <c r="U78" i="3" s="1"/>
  <c r="U79" i="3" s="1" a="1"/>
  <c r="U79" i="3" s="1"/>
  <c r="U80" i="3" s="1" a="1"/>
  <c r="U80" i="3" s="1"/>
  <c r="U81" i="3" s="1" a="1"/>
  <c r="U81" i="3" s="1"/>
  <c r="U82" i="3" s="1" a="1"/>
  <c r="U82" i="3" s="1"/>
  <c r="U83" i="3" s="1" a="1"/>
  <c r="U83" i="3" s="1"/>
  <c r="U84" i="3" s="1" a="1"/>
  <c r="U84" i="3" s="1"/>
  <c r="U85" i="3" s="1" a="1"/>
  <c r="U85" i="3" s="1"/>
  <c r="U86" i="3" s="1" a="1"/>
  <c r="U86" i="3" s="1"/>
  <c r="U87" i="3" s="1" a="1"/>
  <c r="U87" i="3" s="1"/>
  <c r="U88" i="3" s="1" a="1"/>
  <c r="U88" i="3" s="1"/>
  <c r="U89" i="3" s="1" a="1"/>
  <c r="U89" i="3" s="1"/>
  <c r="U90" i="3" s="1" a="1"/>
  <c r="U90" i="3" s="1"/>
  <c r="U91" i="3" s="1" a="1"/>
  <c r="U91" i="3" s="1"/>
  <c r="U92" i="3" s="1" a="1"/>
  <c r="U92" i="3" s="1"/>
  <c r="U93" i="3" s="1" a="1"/>
  <c r="U93" i="3" s="1"/>
  <c r="U94" i="3" s="1" a="1"/>
  <c r="U94" i="3" s="1"/>
  <c r="U95" i="3" s="1" a="1"/>
  <c r="U95" i="3" s="1"/>
  <c r="U96" i="3" s="1" a="1"/>
  <c r="U96" i="3" s="1"/>
  <c r="U97" i="3" s="1" a="1"/>
  <c r="U97" i="3" s="1"/>
  <c r="U98" i="3" s="1" a="1"/>
  <c r="U98" i="3" s="1"/>
  <c r="U99" i="3" s="1" a="1"/>
  <c r="U99" i="3" s="1"/>
  <c r="U100" i="3" s="1" a="1"/>
  <c r="U100" i="3" s="1"/>
  <c r="U101" i="3" s="1" a="1"/>
  <c r="U101" i="3" s="1"/>
  <c r="U102" i="3" s="1" a="1"/>
  <c r="U102" i="3" s="1"/>
  <c r="U103" i="3" s="1" a="1"/>
  <c r="U103" i="3" s="1"/>
  <c r="O7" i="25" a="1"/>
  <c r="O7" i="25" s="1"/>
  <c r="L11" i="3" a="1"/>
  <c r="L11" i="3" s="1"/>
  <c r="O13" i="25" a="1"/>
  <c r="O13" i="25" s="1"/>
  <c r="AM81" i="3" a="1"/>
  <c r="AM81" i="3" s="1"/>
  <c r="M50" i="3" a="1"/>
  <c r="M50" i="3" s="1"/>
  <c r="M51" i="3" s="1" a="1"/>
  <c r="M51" i="3" s="1"/>
  <c r="M52" i="3" s="1" a="1"/>
  <c r="M52" i="3" s="1"/>
  <c r="M53" i="3" s="1" a="1"/>
  <c r="M53" i="3" s="1"/>
  <c r="M54" i="3" s="1" a="1"/>
  <c r="M54" i="3" s="1"/>
  <c r="M55" i="3" s="1" a="1"/>
  <c r="M55" i="3" s="1"/>
  <c r="M56" i="3" s="1" a="1"/>
  <c r="M56" i="3" s="1"/>
  <c r="M57" i="3" s="1" a="1"/>
  <c r="M57" i="3" s="1"/>
  <c r="M58" i="3" s="1" a="1"/>
  <c r="M58" i="3" s="1"/>
  <c r="M59" i="3" s="1" a="1"/>
  <c r="M59" i="3" s="1"/>
  <c r="M60" i="3" s="1" a="1"/>
  <c r="M60" i="3" s="1"/>
  <c r="M61" i="3" s="1" a="1"/>
  <c r="M61" i="3" s="1"/>
  <c r="M62" i="3" s="1" a="1"/>
  <c r="M62" i="3" s="1"/>
  <c r="M63" i="3" s="1" a="1"/>
  <c r="M63" i="3" s="1"/>
  <c r="M64" i="3" s="1" a="1"/>
  <c r="M64" i="3" s="1"/>
  <c r="M65" i="3" s="1" a="1"/>
  <c r="M65" i="3" s="1"/>
  <c r="M66" i="3" s="1" a="1"/>
  <c r="M66" i="3" s="1"/>
  <c r="M67" i="3" s="1" a="1"/>
  <c r="M67" i="3" s="1"/>
  <c r="M68" i="3" s="1" a="1"/>
  <c r="M68" i="3" s="1"/>
  <c r="M69" i="3" s="1" a="1"/>
  <c r="M69" i="3" s="1"/>
  <c r="M70" i="3" s="1" a="1"/>
  <c r="M70" i="3" s="1"/>
  <c r="M71" i="3" s="1" a="1"/>
  <c r="M71" i="3" s="1"/>
  <c r="M72" i="3" s="1" a="1"/>
  <c r="M72" i="3" s="1"/>
  <c r="M73" i="3" s="1" a="1"/>
  <c r="M73" i="3" s="1"/>
  <c r="M74" i="3" s="1" a="1"/>
  <c r="M74" i="3" s="1"/>
  <c r="M75" i="3" s="1" a="1"/>
  <c r="M75" i="3" s="1"/>
  <c r="M76" i="3" s="1" a="1"/>
  <c r="M76" i="3" s="1"/>
  <c r="M77" i="3" s="1" a="1"/>
  <c r="M77" i="3" s="1"/>
  <c r="M78" i="3" s="1" a="1"/>
  <c r="M78" i="3" s="1"/>
  <c r="M79" i="3" s="1" a="1"/>
  <c r="M79" i="3" s="1"/>
  <c r="M80" i="3" s="1" a="1"/>
  <c r="M80" i="3" s="1"/>
  <c r="M81" i="3" s="1" a="1"/>
  <c r="M81" i="3" s="1"/>
  <c r="M82" i="3" s="1" a="1"/>
  <c r="M82" i="3" s="1"/>
  <c r="M83" i="3" s="1" a="1"/>
  <c r="M83" i="3" s="1"/>
  <c r="M84" i="3" s="1" a="1"/>
  <c r="M84" i="3" s="1"/>
  <c r="M85" i="3" s="1" a="1"/>
  <c r="M85" i="3" s="1"/>
  <c r="M86" i="3" s="1" a="1"/>
  <c r="M86" i="3" s="1"/>
  <c r="M87" i="3" s="1" a="1"/>
  <c r="M87" i="3" s="1"/>
  <c r="M88" i="3" s="1" a="1"/>
  <c r="M88" i="3" s="1"/>
  <c r="M89" i="3" s="1" a="1"/>
  <c r="M89" i="3" s="1"/>
  <c r="M90" i="3" s="1" a="1"/>
  <c r="M90" i="3" s="1"/>
  <c r="M91" i="3" s="1" a="1"/>
  <c r="M91" i="3" s="1"/>
  <c r="M92" i="3" s="1" a="1"/>
  <c r="M92" i="3" s="1"/>
  <c r="M93" i="3" s="1" a="1"/>
  <c r="M93" i="3" s="1"/>
  <c r="M94" i="3" s="1" a="1"/>
  <c r="M94" i="3" s="1"/>
  <c r="M95" i="3" s="1" a="1"/>
  <c r="M95" i="3" s="1"/>
  <c r="M96" i="3" s="1" a="1"/>
  <c r="M96" i="3" s="1"/>
  <c r="M97" i="3" s="1" a="1"/>
  <c r="M97" i="3" s="1"/>
  <c r="M98" i="3" s="1" a="1"/>
  <c r="M98" i="3" s="1"/>
  <c r="M99" i="3" s="1" a="1"/>
  <c r="M99" i="3" s="1"/>
  <c r="M100" i="3" s="1" a="1"/>
  <c r="M100" i="3" s="1"/>
  <c r="M101" i="3" s="1" a="1"/>
  <c r="M101" i="3" s="1"/>
  <c r="M102" i="3" s="1" a="1"/>
  <c r="M102" i="3" s="1"/>
  <c r="M103" i="3" s="1" a="1"/>
  <c r="M103" i="3" s="1"/>
  <c r="O17" i="25" a="1"/>
  <c r="O17" i="25" s="1"/>
  <c r="O16" i="25" a="1"/>
  <c r="O16" i="25" s="1"/>
  <c r="O4" i="25" a="1"/>
  <c r="O4" i="25" s="1"/>
  <c r="O3" i="25" a="1"/>
  <c r="O3" i="25" s="1"/>
  <c r="O15" i="25" a="1"/>
  <c r="O15" i="25" s="1"/>
  <c r="O9" i="25" a="1"/>
  <c r="O9" i="25" s="1"/>
  <c r="S34" i="9" a="1"/>
  <c r="S34" i="9" s="1"/>
  <c r="S13" i="9" a="1"/>
  <c r="S13" i="9" s="1"/>
  <c r="S12" i="9" a="1"/>
  <c r="S12" i="9" s="1"/>
  <c r="W38" i="9"/>
  <c r="AH38" i="9" a="1"/>
  <c r="AH38" i="9" s="1"/>
  <c r="AH36" i="9" a="1"/>
  <c r="AH36" i="9" s="1"/>
  <c r="W36" i="9"/>
  <c r="D3" i="25"/>
  <c r="L16" i="25"/>
  <c r="M16" i="25" s="1" a="1"/>
  <c r="M16" i="25" s="1"/>
  <c r="U16" i="25" s="1" a="1"/>
  <c r="U16" i="25" s="1"/>
  <c r="L15" i="25"/>
  <c r="M15" i="25" s="1" a="1"/>
  <c r="M15" i="25" s="1"/>
  <c r="U15" i="25" s="1" a="1"/>
  <c r="U15" i="25" s="1"/>
  <c r="L14" i="25"/>
  <c r="M14" i="25" s="1" a="1"/>
  <c r="M14" i="25" s="1"/>
  <c r="U14" i="25" s="1" a="1"/>
  <c r="U14" i="25" s="1"/>
  <c r="L13" i="25"/>
  <c r="M13" i="25" s="1" a="1"/>
  <c r="M13" i="25" s="1"/>
  <c r="U13" i="25" s="1" a="1"/>
  <c r="U13" i="25" s="1"/>
  <c r="L12" i="25"/>
  <c r="M12" i="25" s="1" a="1"/>
  <c r="M12" i="25" s="1"/>
  <c r="U12" i="25" s="1" a="1"/>
  <c r="U12" i="25" s="1"/>
  <c r="L11" i="25"/>
  <c r="M11" i="25" s="1" a="1"/>
  <c r="M11" i="25" s="1"/>
  <c r="U11" i="25" s="1" a="1"/>
  <c r="U11" i="25" s="1"/>
  <c r="L17" i="25"/>
  <c r="M17" i="25" s="1" a="1"/>
  <c r="M17" i="25" s="1"/>
  <c r="U17" i="25" s="1" a="1"/>
  <c r="U17" i="25" s="1"/>
  <c r="L10" i="25"/>
  <c r="M10" i="25" s="1" a="1"/>
  <c r="M10" i="25" s="1"/>
  <c r="U10" i="25" s="1" a="1"/>
  <c r="U10" i="25" s="1"/>
  <c r="L9" i="25"/>
  <c r="M9" i="25" s="1" a="1"/>
  <c r="M9" i="25" s="1"/>
  <c r="U9" i="25" s="1" a="1"/>
  <c r="U9" i="25" s="1"/>
  <c r="L7" i="25"/>
  <c r="M7" i="25" s="1" a="1"/>
  <c r="M7" i="25" s="1"/>
  <c r="U7" i="25" s="1" a="1"/>
  <c r="U7" i="25" s="1"/>
  <c r="L6" i="25"/>
  <c r="M6" i="25" s="1" a="1"/>
  <c r="M6" i="25" s="1"/>
  <c r="U6" i="25" s="1" a="1"/>
  <c r="U6" i="25" s="1"/>
  <c r="L18" i="25"/>
  <c r="M18" i="25" s="1" a="1"/>
  <c r="M18" i="25" s="1"/>
  <c r="U18" i="25" s="1" a="1"/>
  <c r="U18" i="25" s="1"/>
  <c r="L5" i="25"/>
  <c r="M5" i="25" s="1" a="1"/>
  <c r="M5" i="25" s="1"/>
  <c r="U5" i="25" s="1" a="1"/>
  <c r="U5" i="25" s="1"/>
  <c r="L4" i="25"/>
  <c r="M4" i="25" s="1" a="1"/>
  <c r="M4" i="25" s="1"/>
  <c r="U4" i="25" s="1" a="1"/>
  <c r="U4" i="25" s="1"/>
  <c r="J20" i="25"/>
  <c r="J19" i="25"/>
  <c r="J18" i="25"/>
  <c r="V18" i="25" s="1"/>
  <c r="J17" i="25"/>
  <c r="J16" i="25"/>
  <c r="J14" i="25"/>
  <c r="V14" i="25" s="1"/>
  <c r="J13" i="25"/>
  <c r="J12" i="25"/>
  <c r="V12" i="25" s="1"/>
  <c r="J11" i="25"/>
  <c r="V11" i="25" s="1"/>
  <c r="J10" i="25"/>
  <c r="V10" i="25" s="1"/>
  <c r="J9" i="25"/>
  <c r="J15" i="25"/>
  <c r="J7" i="25"/>
  <c r="J6" i="25"/>
  <c r="V6" i="25" s="1"/>
  <c r="J5" i="25"/>
  <c r="V5" i="25" s="1"/>
  <c r="J4" i="25"/>
  <c r="H54" i="28" a="1"/>
  <c r="H54" i="28" s="1"/>
  <c r="A53" i="28" a="1"/>
  <c r="A53" i="28" s="1"/>
  <c r="Q10" i="22"/>
  <c r="M10" i="22"/>
  <c r="K10" i="22"/>
  <c r="J10" i="22"/>
  <c r="Q3" i="22"/>
  <c r="Q5" i="22"/>
  <c r="M5" i="22"/>
  <c r="K5" i="22"/>
  <c r="J5" i="22"/>
  <c r="K3" i="22"/>
  <c r="J3" i="22"/>
  <c r="M3" i="22"/>
  <c r="L9" i="24"/>
  <c r="E9" i="14"/>
  <c r="L9" i="14"/>
  <c r="A4" i="14"/>
  <c r="B4" i="14"/>
  <c r="C4" i="14"/>
  <c r="D4" i="14"/>
  <c r="Q3" i="25" a="1"/>
  <c r="Q3" i="25" s="1"/>
  <c r="Q4" i="25" s="1" a="1"/>
  <c r="Q4" i="25" s="1"/>
  <c r="Q5" i="25" s="1" a="1"/>
  <c r="Q5" i="25" s="1"/>
  <c r="Q6" i="25" s="1" a="1"/>
  <c r="Q6" i="25" s="1"/>
  <c r="Q7" i="25" s="1" a="1"/>
  <c r="Q7" i="25" s="1"/>
  <c r="I15" i="24" a="1"/>
  <c r="N10" i="22"/>
  <c r="N5" i="22"/>
  <c r="K15" i="24" a="1"/>
  <c r="J8" i="24" a="1"/>
  <c r="K7" i="24" a="1"/>
  <c r="I7" i="24" a="1"/>
  <c r="L5" i="22"/>
  <c r="J7" i="24" a="1"/>
  <c r="L10" i="22"/>
  <c r="K8" i="24" a="1"/>
  <c r="I8" i="24" a="1"/>
  <c r="N3" i="22"/>
  <c r="L3" i="22"/>
  <c r="J46" i="10" l="1" a="1"/>
  <c r="J46" i="10" s="1"/>
  <c r="V13" i="25"/>
  <c r="V15" i="25"/>
  <c r="V7" i="25"/>
  <c r="V9" i="25"/>
  <c r="V16" i="25"/>
  <c r="V4" i="25"/>
  <c r="V17" i="25"/>
  <c r="O36" i="3" a="1"/>
  <c r="O36" i="3" s="1"/>
  <c r="O37" i="3" s="1" a="1"/>
  <c r="O37" i="3" s="1"/>
  <c r="O38" i="3" s="1" a="1"/>
  <c r="O38" i="3" s="1"/>
  <c r="O39" i="3" s="1" a="1"/>
  <c r="O39" i="3" s="1"/>
  <c r="O40" i="3" s="1" a="1"/>
  <c r="O40" i="3" s="1"/>
  <c r="O41" i="3" s="1" a="1"/>
  <c r="O41" i="3" s="1"/>
  <c r="O42" i="3" s="1" a="1"/>
  <c r="O42" i="3" s="1"/>
  <c r="O43" i="3" s="1" a="1"/>
  <c r="O43" i="3" s="1"/>
  <c r="O44" i="3" s="1" a="1"/>
  <c r="O44" i="3" s="1"/>
  <c r="O45" i="3" s="1" a="1"/>
  <c r="O45" i="3" s="1"/>
  <c r="O46" i="3" s="1" a="1"/>
  <c r="O46" i="3" s="1"/>
  <c r="O47" i="3" s="1" a="1"/>
  <c r="O47" i="3" s="1"/>
  <c r="O48" i="3" s="1" a="1"/>
  <c r="O48" i="3" s="1"/>
  <c r="O49" i="3" s="1" a="1"/>
  <c r="O49" i="3" s="1"/>
  <c r="O50" i="3" s="1" a="1"/>
  <c r="O50" i="3" s="1"/>
  <c r="O51" i="3" s="1" a="1"/>
  <c r="O51" i="3" s="1"/>
  <c r="O52" i="3" s="1" a="1"/>
  <c r="O52" i="3" s="1"/>
  <c r="O53" i="3" s="1" a="1"/>
  <c r="O53" i="3" s="1"/>
  <c r="O54" i="3" s="1" a="1"/>
  <c r="O54" i="3" s="1"/>
  <c r="O55" i="3" s="1" a="1"/>
  <c r="O55" i="3" s="1"/>
  <c r="O56" i="3" s="1" a="1"/>
  <c r="O56" i="3" s="1"/>
  <c r="O57" i="3" s="1" a="1"/>
  <c r="O57" i="3" s="1"/>
  <c r="O58" i="3" s="1" a="1"/>
  <c r="O58" i="3" s="1"/>
  <c r="O59" i="3" s="1" a="1"/>
  <c r="O59" i="3" s="1"/>
  <c r="O60" i="3" s="1" a="1"/>
  <c r="O60" i="3" s="1"/>
  <c r="O61" i="3" s="1" a="1"/>
  <c r="O61" i="3" s="1"/>
  <c r="O62" i="3" s="1" a="1"/>
  <c r="O62" i="3" s="1"/>
  <c r="O63" i="3" s="1" a="1"/>
  <c r="O63" i="3" s="1"/>
  <c r="O64" i="3" s="1" a="1"/>
  <c r="O64" i="3" s="1"/>
  <c r="O65" i="3" s="1" a="1"/>
  <c r="O65" i="3" s="1"/>
  <c r="O66" i="3" s="1" a="1"/>
  <c r="O66" i="3" s="1"/>
  <c r="O67" i="3" s="1" a="1"/>
  <c r="O67" i="3" s="1"/>
  <c r="O68" i="3" s="1" a="1"/>
  <c r="O68" i="3" s="1"/>
  <c r="O69" i="3" s="1" a="1"/>
  <c r="O69" i="3" s="1"/>
  <c r="O70" i="3" s="1" a="1"/>
  <c r="O70" i="3" s="1"/>
  <c r="O71" i="3" s="1" a="1"/>
  <c r="O71" i="3" s="1"/>
  <c r="O72" i="3" s="1" a="1"/>
  <c r="O72" i="3" s="1"/>
  <c r="O73" i="3" s="1" a="1"/>
  <c r="O73" i="3" s="1"/>
  <c r="O74" i="3" s="1" a="1"/>
  <c r="O74" i="3" s="1"/>
  <c r="O75" i="3" s="1" a="1"/>
  <c r="O75" i="3" s="1"/>
  <c r="O76" i="3" s="1" a="1"/>
  <c r="O76" i="3" s="1"/>
  <c r="O77" i="3" s="1" a="1"/>
  <c r="O77" i="3" s="1"/>
  <c r="O78" i="3" s="1" a="1"/>
  <c r="O78" i="3" s="1"/>
  <c r="O79" i="3" s="1" a="1"/>
  <c r="O79" i="3" s="1"/>
  <c r="O80" i="3" s="1" a="1"/>
  <c r="O80" i="3" s="1"/>
  <c r="O81" i="3" s="1" a="1"/>
  <c r="O81" i="3" s="1"/>
  <c r="O82" i="3" s="1" a="1"/>
  <c r="O82" i="3" s="1"/>
  <c r="O83" i="3" s="1" a="1"/>
  <c r="O83" i="3" s="1"/>
  <c r="O84" i="3" s="1" a="1"/>
  <c r="O84" i="3" s="1"/>
  <c r="O85" i="3" s="1" a="1"/>
  <c r="O85" i="3" s="1"/>
  <c r="O86" i="3" s="1" a="1"/>
  <c r="O86" i="3" s="1"/>
  <c r="O87" i="3" s="1" a="1"/>
  <c r="O87" i="3" s="1"/>
  <c r="O88" i="3" s="1" a="1"/>
  <c r="O88" i="3" s="1"/>
  <c r="O89" i="3" s="1" a="1"/>
  <c r="O89" i="3" s="1"/>
  <c r="O90" i="3" s="1" a="1"/>
  <c r="O90" i="3" s="1"/>
  <c r="O91" i="3" s="1" a="1"/>
  <c r="O91" i="3" s="1"/>
  <c r="O92" i="3" s="1" a="1"/>
  <c r="O92" i="3" s="1"/>
  <c r="O93" i="3" s="1" a="1"/>
  <c r="O93" i="3" s="1"/>
  <c r="O94" i="3" s="1" a="1"/>
  <c r="O94" i="3" s="1"/>
  <c r="O95" i="3" s="1" a="1"/>
  <c r="O95" i="3" s="1"/>
  <c r="O96" i="3" s="1" a="1"/>
  <c r="O96" i="3" s="1"/>
  <c r="O97" i="3" s="1" a="1"/>
  <c r="O97" i="3" s="1"/>
  <c r="O98" i="3" s="1" a="1"/>
  <c r="O98" i="3" s="1"/>
  <c r="O99" i="3" s="1" a="1"/>
  <c r="O99" i="3" s="1"/>
  <c r="O100" i="3" s="1" a="1"/>
  <c r="O100" i="3" s="1"/>
  <c r="O101" i="3" s="1" a="1"/>
  <c r="O101" i="3" s="1"/>
  <c r="O102" i="3" s="1" a="1"/>
  <c r="O102" i="3" s="1"/>
  <c r="O103" i="3" s="1" a="1"/>
  <c r="O103" i="3" s="1"/>
  <c r="Q8" i="25" a="1"/>
  <c r="Q8" i="25" s="1"/>
  <c r="Q9" i="25" s="1" a="1"/>
  <c r="Q9" i="25" s="1"/>
  <c r="Q10" i="25" s="1" a="1"/>
  <c r="Q10" i="25" s="1"/>
  <c r="Q11" i="25" s="1" a="1"/>
  <c r="Q11" i="25" s="1"/>
  <c r="Q12" i="25" s="1" a="1"/>
  <c r="Q12" i="25" s="1"/>
  <c r="Q13" i="25" s="1" a="1"/>
  <c r="Q13" i="25" s="1"/>
  <c r="Q14" i="25" s="1" a="1"/>
  <c r="Q14" i="25" s="1"/>
  <c r="Q15" i="25" s="1" a="1"/>
  <c r="Q15" i="25" s="1"/>
  <c r="Q16" i="25" s="1" a="1"/>
  <c r="Q16" i="25" s="1"/>
  <c r="Q17" i="25" s="1" a="1"/>
  <c r="Q17" i="25" s="1"/>
  <c r="Q18" i="25" s="1" a="1"/>
  <c r="Q18" i="25" s="1"/>
  <c r="Q19" i="25" s="1" a="1"/>
  <c r="Q19" i="25" s="1"/>
  <c r="Q20" i="25" s="1" a="1"/>
  <c r="Q20" i="25" s="1"/>
  <c r="Q21" i="25" s="1" a="1"/>
  <c r="Q21" i="25" s="1"/>
  <c r="J43" i="10" a="1"/>
  <c r="J43" i="10" s="1"/>
  <c r="J6" i="20" a="1"/>
  <c r="J6" i="20" s="1"/>
  <c r="AO70" i="3" a="1"/>
  <c r="AO70" i="3" s="1"/>
  <c r="J42" i="10" a="1"/>
  <c r="J42" i="10" s="1"/>
  <c r="L12" i="3" a="1"/>
  <c r="L12" i="3" s="1"/>
  <c r="AM82" i="3" a="1"/>
  <c r="AM82" i="3" s="1"/>
  <c r="B12" i="19"/>
  <c r="J31" i="10" a="1"/>
  <c r="J31" i="10" s="1"/>
  <c r="J32" i="10" a="1"/>
  <c r="J32" i="10" s="1"/>
  <c r="J28" i="10" a="1"/>
  <c r="J28" i="10" s="1"/>
  <c r="L3" i="25"/>
  <c r="T5" i="25"/>
  <c r="J56" i="20" a="1"/>
  <c r="J56" i="20" s="1"/>
  <c r="S3" i="25" a="1"/>
  <c r="S3" i="25" s="1"/>
  <c r="T3" i="25"/>
  <c r="J25" i="10" a="1"/>
  <c r="J25" i="10" s="1"/>
  <c r="J34" i="20" a="1"/>
  <c r="J34" i="20" s="1"/>
  <c r="J23" i="20" a="1"/>
  <c r="J23" i="20" s="1"/>
  <c r="J24" i="20" a="1"/>
  <c r="J24" i="20" s="1"/>
  <c r="J24" i="10" a="1"/>
  <c r="J24" i="10" s="1"/>
  <c r="T15" i="25"/>
  <c r="T9" i="25"/>
  <c r="T10" i="25"/>
  <c r="T11" i="25"/>
  <c r="T12" i="25"/>
  <c r="T13" i="25"/>
  <c r="T14" i="25"/>
  <c r="T16" i="25"/>
  <c r="T17" i="25"/>
  <c r="T18" i="25"/>
  <c r="T6" i="25"/>
  <c r="T7" i="25"/>
  <c r="H55" i="28" a="1"/>
  <c r="H55" i="28" s="1"/>
  <c r="A55" i="28" s="1" a="1"/>
  <c r="A55" i="28" s="1"/>
  <c r="A54" i="28" a="1"/>
  <c r="A54" i="28" s="1"/>
  <c r="O10" i="22" a="1"/>
  <c r="O10" i="22" s="1"/>
  <c r="O11" i="22" s="1" a="1"/>
  <c r="O11" i="22" s="1"/>
  <c r="O12" i="22" s="1" a="1"/>
  <c r="O12" i="22" s="1"/>
  <c r="O13" i="22" s="1" a="1"/>
  <c r="O13" i="22" s="1"/>
  <c r="O14" i="22" s="1" a="1"/>
  <c r="O14" i="22" s="1"/>
  <c r="O3" i="22" a="1"/>
  <c r="O3" i="22" s="1"/>
  <c r="O4" i="22" s="1" a="1"/>
  <c r="O4" i="22" s="1"/>
  <c r="O5" i="22" s="1" a="1"/>
  <c r="O5" i="22" s="1"/>
  <c r="O6" i="22" s="1" a="1"/>
  <c r="O6" i="22" s="1"/>
  <c r="O7" i="22" s="1" a="1"/>
  <c r="O7" i="22" s="1"/>
  <c r="B11" i="19"/>
  <c r="B10" i="19"/>
  <c r="H9" i="14"/>
  <c r="I9" i="14"/>
  <c r="G9" i="14"/>
  <c r="F9" i="14"/>
  <c r="E4" i="14"/>
  <c r="L4" i="14"/>
  <c r="J8" i="24"/>
  <c r="O8" i="24" s="1"/>
  <c r="I8" i="24"/>
  <c r="I7" i="24"/>
  <c r="K8" i="24"/>
  <c r="M8" i="24" s="1"/>
  <c r="O15" i="24"/>
  <c r="I15" i="24"/>
  <c r="K15" i="24"/>
  <c r="M15" i="24" s="1"/>
  <c r="J7" i="24"/>
  <c r="O7" i="24" s="1"/>
  <c r="K7" i="24"/>
  <c r="M7" i="24" s="1"/>
  <c r="J6" i="24" a="1"/>
  <c r="J5" i="24" a="1"/>
  <c r="I5" i="24" a="1"/>
  <c r="K6" i="24" a="1"/>
  <c r="K5" i="24" a="1"/>
  <c r="I6" i="24" a="1"/>
  <c r="AM17" i="20" l="1" a="1"/>
  <c r="AM17" i="20" s="1"/>
  <c r="AO17" i="20" s="1" a="1"/>
  <c r="AO17" i="20" s="1"/>
  <c r="AJ47" i="10" a="1"/>
  <c r="AJ47" i="10" s="1"/>
  <c r="M3" i="25" a="1"/>
  <c r="M3" i="25" s="1"/>
  <c r="U3" i="25" s="1" a="1"/>
  <c r="U3" i="25" s="1"/>
  <c r="AM30" i="20" a="1"/>
  <c r="AM30" i="20" s="1"/>
  <c r="AM29" i="20" a="1"/>
  <c r="AM29" i="20" s="1"/>
  <c r="AM22" i="20" a="1"/>
  <c r="AM22" i="20" s="1"/>
  <c r="AM13" i="20" a="1"/>
  <c r="AM13" i="20" s="1"/>
  <c r="AM26" i="20" a="1"/>
  <c r="AM26" i="20" s="1"/>
  <c r="AM5" i="20" a="1"/>
  <c r="AM5" i="20" s="1"/>
  <c r="AM19" i="20" a="1"/>
  <c r="AM19" i="20" s="1"/>
  <c r="AM12" i="20" a="1"/>
  <c r="AM12" i="20" s="1"/>
  <c r="AM10" i="20" a="1"/>
  <c r="AM10" i="20" s="1"/>
  <c r="AN31" i="20" a="1"/>
  <c r="AN31" i="20" s="1"/>
  <c r="AJ44" i="10" a="1"/>
  <c r="AJ44" i="10" s="1"/>
  <c r="AO71" i="3" a="1"/>
  <c r="AO71" i="3" s="1"/>
  <c r="T42" i="9" a="1"/>
  <c r="T42" i="9" s="1"/>
  <c r="G42" i="9" s="1" a="1"/>
  <c r="G42" i="9" s="1"/>
  <c r="AJ41" i="10" a="1"/>
  <c r="AJ41" i="10" s="1"/>
  <c r="AL41" i="10" s="1" a="1"/>
  <c r="AL41" i="10" s="1"/>
  <c r="AJ39" i="10" a="1"/>
  <c r="AJ39" i="10" s="1"/>
  <c r="AK39" i="10" s="1" a="1"/>
  <c r="AK39" i="10" s="1"/>
  <c r="L13" i="3" a="1"/>
  <c r="L13" i="3" s="1"/>
  <c r="AM83" i="3" a="1"/>
  <c r="AM83" i="3" s="1"/>
  <c r="AJ12" i="10" a="1"/>
  <c r="AJ12" i="10" s="1"/>
  <c r="AJ15" i="10" a="1"/>
  <c r="AJ15" i="10" s="1"/>
  <c r="AJ13" i="10" a="1"/>
  <c r="AJ13" i="10" s="1"/>
  <c r="AJ5" i="10" a="1"/>
  <c r="AJ5" i="10" s="1"/>
  <c r="AJ11" i="10" a="1"/>
  <c r="AJ11" i="10" s="1"/>
  <c r="AJ27" i="10" a="1"/>
  <c r="AJ27" i="10" s="1"/>
  <c r="AJ17" i="10" a="1"/>
  <c r="AJ17" i="10" s="1"/>
  <c r="AJ14" i="10" a="1"/>
  <c r="AJ14" i="10" s="1"/>
  <c r="AJ16" i="10" a="1"/>
  <c r="AJ16" i="10" s="1"/>
  <c r="AJ9" i="10" a="1"/>
  <c r="AJ9" i="10" s="1"/>
  <c r="AJ34" i="10" a="1"/>
  <c r="AJ34" i="10" s="1"/>
  <c r="AJ18" i="10" a="1"/>
  <c r="AJ18" i="10" s="1"/>
  <c r="AJ10" i="10" a="1"/>
  <c r="AJ10" i="10" s="1"/>
  <c r="AJ20" i="10" a="1"/>
  <c r="AJ20" i="10" s="1"/>
  <c r="AJ19" i="10" a="1"/>
  <c r="AJ19" i="10" s="1"/>
  <c r="AJ26" i="10" a="1"/>
  <c r="AJ26" i="10" s="1"/>
  <c r="AJ21" i="10" a="1"/>
  <c r="AJ21" i="10" s="1"/>
  <c r="AJ4" i="10" a="1"/>
  <c r="AJ4" i="10" s="1"/>
  <c r="AJ35" i="10" a="1"/>
  <c r="AJ35" i="10" s="1"/>
  <c r="AJ6" i="10" a="1"/>
  <c r="AJ6" i="10" s="1"/>
  <c r="AJ7" i="10" a="1"/>
  <c r="AJ7" i="10" s="1"/>
  <c r="AJ8" i="10" a="1"/>
  <c r="AJ8" i="10" s="1"/>
  <c r="AJ36" i="10" a="1"/>
  <c r="AJ36" i="10" s="1"/>
  <c r="T40" i="9" a="1"/>
  <c r="T40" i="9" s="1"/>
  <c r="T39" i="9" a="1"/>
  <c r="T39" i="9" s="1"/>
  <c r="T37" i="9" a="1"/>
  <c r="T37" i="9" s="1"/>
  <c r="G37" i="9" s="1" a="1"/>
  <c r="G37" i="9" s="1"/>
  <c r="T34" i="9" a="1"/>
  <c r="T34" i="9" s="1"/>
  <c r="G34" i="9" s="1" a="1"/>
  <c r="G34" i="9" s="1"/>
  <c r="T11" i="9" a="1"/>
  <c r="T11" i="9" s="1"/>
  <c r="T33" i="9" a="1"/>
  <c r="T33" i="9" s="1"/>
  <c r="T6" i="9" a="1"/>
  <c r="T6" i="9" s="1"/>
  <c r="T10" i="9" a="1"/>
  <c r="T10" i="9" s="1"/>
  <c r="T13" i="9" a="1"/>
  <c r="T13" i="9" s="1"/>
  <c r="T19" i="9" a="1"/>
  <c r="T19" i="9" s="1"/>
  <c r="T16" i="9" a="1"/>
  <c r="T16" i="9" s="1"/>
  <c r="S4" i="25" a="1"/>
  <c r="S4" i="25" s="1"/>
  <c r="T4" i="25"/>
  <c r="T43" i="9" s="1" a="1"/>
  <c r="T43" i="9" s="1"/>
  <c r="T5" i="9" a="1"/>
  <c r="T5" i="9" s="1"/>
  <c r="T25" i="9" a="1"/>
  <c r="T25" i="9" s="1"/>
  <c r="T27" i="9" a="1"/>
  <c r="T27" i="9" s="1"/>
  <c r="T28" i="9" a="1"/>
  <c r="T28" i="9" s="1"/>
  <c r="T31" i="9" a="1"/>
  <c r="T31" i="9" s="1"/>
  <c r="T18" i="9" a="1"/>
  <c r="T18" i="9" s="1"/>
  <c r="T20" i="9" a="1"/>
  <c r="T20" i="9" s="1"/>
  <c r="T8" i="9" a="1"/>
  <c r="T8" i="9" s="1"/>
  <c r="T9" i="9" a="1"/>
  <c r="T9" i="9" s="1"/>
  <c r="T12" i="9" a="1"/>
  <c r="T12" i="9" s="1"/>
  <c r="H56" i="28" a="1"/>
  <c r="H56" i="28" s="1"/>
  <c r="H4" i="14"/>
  <c r="I4" i="14"/>
  <c r="G4" i="14"/>
  <c r="F4" i="14"/>
  <c r="L8" i="24"/>
  <c r="N8" i="24"/>
  <c r="L15" i="24"/>
  <c r="N15" i="24"/>
  <c r="N7" i="24"/>
  <c r="L7" i="24"/>
  <c r="K6" i="24"/>
  <c r="M6" i="24" s="1"/>
  <c r="J6" i="24"/>
  <c r="O6" i="24" s="1"/>
  <c r="I6" i="24"/>
  <c r="K5" i="24"/>
  <c r="M5" i="24" s="1"/>
  <c r="J5" i="24"/>
  <c r="O5" i="24" s="1"/>
  <c r="I5" i="24"/>
  <c r="AN17" i="20" l="1" a="1"/>
  <c r="AN17" i="20" s="1"/>
  <c r="AK47" i="10" a="1"/>
  <c r="AK47" i="10" s="1"/>
  <c r="AL47" i="10" a="1"/>
  <c r="AL47" i="10" s="1"/>
  <c r="V3" i="25"/>
  <c r="G43" i="9" a="1"/>
  <c r="G43" i="9" s="1"/>
  <c r="U43" i="9"/>
  <c r="AO13" i="20" a="1"/>
  <c r="AO13" i="20" s="1"/>
  <c r="AN13" i="20" a="1"/>
  <c r="AN13" i="20" s="1"/>
  <c r="AO19" i="20" a="1"/>
  <c r="AO19" i="20" s="1"/>
  <c r="AN19" i="20" a="1"/>
  <c r="AN19" i="20" s="1"/>
  <c r="L14" i="3" a="1"/>
  <c r="L14" i="3" s="1"/>
  <c r="AO31" i="20" a="1"/>
  <c r="AO31" i="20" s="1"/>
  <c r="AL44" i="10" a="1"/>
  <c r="AL44" i="10" s="1"/>
  <c r="AK44" i="10" a="1"/>
  <c r="AK44" i="10" s="1"/>
  <c r="AO72" i="3" a="1"/>
  <c r="AO72" i="3" s="1"/>
  <c r="U42" i="9"/>
  <c r="W42" i="9" s="1"/>
  <c r="AK41" i="10" a="1"/>
  <c r="AK41" i="10" s="1"/>
  <c r="AN61" i="20" a="1"/>
  <c r="AN61" i="20" s="1"/>
  <c r="AO61" i="20" a="1"/>
  <c r="AO61" i="20" s="1"/>
  <c r="AL39" i="10" a="1"/>
  <c r="AL39" i="10" s="1"/>
  <c r="AN30" i="20" a="1"/>
  <c r="AN30" i="20" s="1"/>
  <c r="AO30" i="20" a="1"/>
  <c r="AO30" i="20" s="1"/>
  <c r="H57" i="28" a="1"/>
  <c r="H57" i="28" s="1"/>
  <c r="AM84" i="3" a="1"/>
  <c r="AM84" i="3" s="1"/>
  <c r="AO10" i="20" a="1"/>
  <c r="AO10" i="20" s="1"/>
  <c r="AN10" i="20" a="1"/>
  <c r="AN10" i="20" s="1"/>
  <c r="AL18" i="10" a="1"/>
  <c r="AL18" i="10" s="1"/>
  <c r="AK18" i="10" a="1"/>
  <c r="AK18" i="10" s="1"/>
  <c r="AO12" i="20" a="1"/>
  <c r="AO12" i="20" s="1"/>
  <c r="AN12" i="20" a="1"/>
  <c r="AN12" i="20" s="1"/>
  <c r="AL34" i="10" a="1"/>
  <c r="AL34" i="10" s="1"/>
  <c r="AK34" i="10" a="1"/>
  <c r="AK34" i="10" s="1"/>
  <c r="AK36" i="10" a="1"/>
  <c r="AK36" i="10" s="1"/>
  <c r="AL36" i="10" a="1"/>
  <c r="AL36" i="10" s="1"/>
  <c r="AL9" i="10" a="1"/>
  <c r="AL9" i="10" s="1"/>
  <c r="AK9" i="10" a="1"/>
  <c r="AK9" i="10" s="1"/>
  <c r="AL16" i="10" a="1"/>
  <c r="AL16" i="10" s="1"/>
  <c r="AK16" i="10" a="1"/>
  <c r="AK16" i="10" s="1"/>
  <c r="AL10" i="10" a="1"/>
  <c r="AL10" i="10" s="1"/>
  <c r="AK10" i="10" a="1"/>
  <c r="AK10" i="10" s="1"/>
  <c r="AK8" i="10" a="1"/>
  <c r="AK8" i="10" s="1"/>
  <c r="AL8" i="10" a="1"/>
  <c r="AL8" i="10" s="1"/>
  <c r="AL7" i="10" a="1"/>
  <c r="AL7" i="10" s="1"/>
  <c r="AK7" i="10" a="1"/>
  <c r="AK7" i="10" s="1"/>
  <c r="AK14" i="10" a="1"/>
  <c r="AK14" i="10" s="1"/>
  <c r="AL14" i="10" a="1"/>
  <c r="AL14" i="10" s="1"/>
  <c r="AN5" i="20" a="1"/>
  <c r="AN5" i="20" s="1"/>
  <c r="AO5" i="20" a="1"/>
  <c r="AO5" i="20" s="1"/>
  <c r="AO22" i="20" a="1"/>
  <c r="AO22" i="20" s="1"/>
  <c r="AN22" i="20" a="1"/>
  <c r="AN22" i="20" s="1"/>
  <c r="AL6" i="10" a="1"/>
  <c r="AL6" i="10" s="1"/>
  <c r="AK6" i="10" a="1"/>
  <c r="AK6" i="10" s="1"/>
  <c r="AK17" i="10" a="1"/>
  <c r="AK17" i="10" s="1"/>
  <c r="AL17" i="10" a="1"/>
  <c r="AL17" i="10" s="1"/>
  <c r="AN29" i="20" a="1"/>
  <c r="AN29" i="20" s="1"/>
  <c r="AO29" i="20" a="1"/>
  <c r="AO29" i="20" s="1"/>
  <c r="AK27" i="10" a="1"/>
  <c r="AK27" i="10" s="1"/>
  <c r="AL27" i="10" a="1"/>
  <c r="AL27" i="10" s="1"/>
  <c r="AK11" i="10" a="1"/>
  <c r="AK11" i="10" s="1"/>
  <c r="AL11" i="10" a="1"/>
  <c r="AL11" i="10" s="1"/>
  <c r="AK35" i="10" a="1"/>
  <c r="AK35" i="10" s="1"/>
  <c r="AL35" i="10" a="1"/>
  <c r="AL35" i="10" s="1"/>
  <c r="AK4" i="10" a="1"/>
  <c r="AK4" i="10" s="1"/>
  <c r="AL4" i="10" a="1"/>
  <c r="AL4" i="10" s="1"/>
  <c r="AK5" i="10" a="1"/>
  <c r="AK5" i="10" s="1"/>
  <c r="AL5" i="10" a="1"/>
  <c r="AL5" i="10" s="1"/>
  <c r="AK19" i="10" a="1"/>
  <c r="AK19" i="10" s="1"/>
  <c r="AL19" i="10" a="1"/>
  <c r="AL19" i="10" s="1"/>
  <c r="AN26" i="20" a="1"/>
  <c r="AN26" i="20" s="1"/>
  <c r="AO26" i="20" a="1"/>
  <c r="AO26" i="20" s="1"/>
  <c r="AL13" i="10" a="1"/>
  <c r="AL13" i="10" s="1"/>
  <c r="AK13" i="10" a="1"/>
  <c r="AK13" i="10" s="1"/>
  <c r="AL21" i="10" a="1"/>
  <c r="AL21" i="10" s="1"/>
  <c r="AK21" i="10" a="1"/>
  <c r="AK21" i="10" s="1"/>
  <c r="AK15" i="10" a="1"/>
  <c r="AK15" i="10" s="1"/>
  <c r="AL15" i="10" a="1"/>
  <c r="AL15" i="10" s="1"/>
  <c r="AK20" i="10" a="1"/>
  <c r="AK20" i="10" s="1"/>
  <c r="AL20" i="10" a="1"/>
  <c r="AL20" i="10" s="1"/>
  <c r="AL26" i="10" a="1"/>
  <c r="AL26" i="10" s="1"/>
  <c r="AK26" i="10" a="1"/>
  <c r="AK26" i="10" s="1"/>
  <c r="AK12" i="10" a="1"/>
  <c r="AK12" i="10" s="1"/>
  <c r="AL12" i="10" a="1"/>
  <c r="AL12" i="10" s="1"/>
  <c r="T7" i="9" a="1"/>
  <c r="T7" i="9" s="1"/>
  <c r="T41" i="9" a="1"/>
  <c r="T41" i="9" s="1"/>
  <c r="G40" i="9" a="1"/>
  <c r="G40" i="9" s="1"/>
  <c r="U40" i="9"/>
  <c r="G39" i="9" a="1"/>
  <c r="G39" i="9" s="1"/>
  <c r="U39" i="9"/>
  <c r="U37" i="9"/>
  <c r="AH37" i="9" s="1" a="1"/>
  <c r="AH37" i="9" s="1"/>
  <c r="T35" i="9" a="1"/>
  <c r="T35" i="9" s="1"/>
  <c r="G35" i="9" s="1" a="1"/>
  <c r="G35" i="9" s="1"/>
  <c r="S5" i="25" a="1"/>
  <c r="S5" i="25" s="1"/>
  <c r="S6" i="25" s="1" a="1"/>
  <c r="S6" i="25" s="1"/>
  <c r="S7" i="25" s="1" a="1"/>
  <c r="S7" i="25" s="1"/>
  <c r="G33" i="9" a="1"/>
  <c r="G33" i="9" s="1"/>
  <c r="U33" i="9"/>
  <c r="T26" i="9" a="1"/>
  <c r="T26" i="9" s="1"/>
  <c r="T32" i="9" a="1"/>
  <c r="T32" i="9" s="1"/>
  <c r="U32" i="9" s="1"/>
  <c r="A56" i="28" a="1"/>
  <c r="A56" i="28" s="1"/>
  <c r="P8" i="24"/>
  <c r="P15" i="24"/>
  <c r="P7" i="24"/>
  <c r="L6" i="24"/>
  <c r="N6" i="24"/>
  <c r="L5" i="24"/>
  <c r="N5" i="24"/>
  <c r="W43" i="9" l="1"/>
  <c r="AH43" i="9" a="1"/>
  <c r="AH43" i="9" s="1"/>
  <c r="L15" i="3" a="1"/>
  <c r="L15" i="3" s="1"/>
  <c r="Z14" i="3"/>
  <c r="Z15" i="3"/>
  <c r="S8" i="25" a="1"/>
  <c r="S8" i="25" s="1"/>
  <c r="S9" i="25" s="1" a="1"/>
  <c r="S9" i="25" s="1"/>
  <c r="S10" i="25" s="1" a="1"/>
  <c r="S10" i="25" s="1"/>
  <c r="S11" i="25" s="1" a="1"/>
  <c r="S11" i="25" s="1"/>
  <c r="S12" i="25" s="1" a="1"/>
  <c r="S12" i="25" s="1"/>
  <c r="S13" i="25" s="1" a="1"/>
  <c r="S13" i="25" s="1"/>
  <c r="S14" i="25" s="1" a="1"/>
  <c r="S14" i="25" s="1"/>
  <c r="S15" i="25" s="1" a="1"/>
  <c r="S15" i="25" s="1"/>
  <c r="S16" i="25" s="1" a="1"/>
  <c r="S16" i="25" s="1"/>
  <c r="S17" i="25" s="1" a="1"/>
  <c r="S17" i="25" s="1"/>
  <c r="S18" i="25" s="1" a="1"/>
  <c r="S18" i="25" s="1"/>
  <c r="AO73" i="3" a="1"/>
  <c r="AO73" i="3" s="1"/>
  <c r="AH42" i="9" a="1"/>
  <c r="AH42" i="9" s="1"/>
  <c r="Z49" i="3"/>
  <c r="A57" i="28" a="1"/>
  <c r="A57" i="28" s="1"/>
  <c r="AM85" i="3" a="1"/>
  <c r="AM85" i="3" s="1"/>
  <c r="Z47" i="3"/>
  <c r="Z69" i="3"/>
  <c r="Z77" i="3"/>
  <c r="Z95" i="3"/>
  <c r="Z35" i="3"/>
  <c r="Z37" i="3"/>
  <c r="Z32" i="3"/>
  <c r="Z71" i="3"/>
  <c r="Z41" i="3"/>
  <c r="Z36" i="3"/>
  <c r="Z27" i="3"/>
  <c r="Z101" i="3"/>
  <c r="Z94" i="3"/>
  <c r="Z64" i="3"/>
  <c r="Z19" i="3"/>
  <c r="Z10" i="3"/>
  <c r="Z12" i="3"/>
  <c r="Z68" i="3"/>
  <c r="Z16" i="3"/>
  <c r="Z89" i="3"/>
  <c r="Z86" i="3"/>
  <c r="Z67" i="3"/>
  <c r="Z96" i="3"/>
  <c r="Z53" i="3"/>
  <c r="Z23" i="3"/>
  <c r="Z90" i="3"/>
  <c r="Z103" i="3"/>
  <c r="Z9" i="3"/>
  <c r="Z13" i="3"/>
  <c r="Z43" i="3"/>
  <c r="Z59" i="3"/>
  <c r="Z80" i="3"/>
  <c r="Z55" i="3"/>
  <c r="Z50" i="3"/>
  <c r="Z22" i="3"/>
  <c r="Z57" i="3"/>
  <c r="Z40" i="3"/>
  <c r="Z58" i="3"/>
  <c r="Z45" i="3"/>
  <c r="Z84" i="3"/>
  <c r="Z63" i="3"/>
  <c r="Z34" i="3"/>
  <c r="Z46" i="3"/>
  <c r="Z38" i="3"/>
  <c r="Z52" i="3"/>
  <c r="Z85" i="3"/>
  <c r="Z74" i="3"/>
  <c r="Z98" i="3"/>
  <c r="Z54" i="3"/>
  <c r="Z44" i="3"/>
  <c r="Z56" i="3"/>
  <c r="Z30" i="3"/>
  <c r="Z76" i="3"/>
  <c r="Z21" i="3"/>
  <c r="Z62" i="3"/>
  <c r="Z102" i="3"/>
  <c r="Z70" i="3"/>
  <c r="Z72" i="3"/>
  <c r="Z61" i="3"/>
  <c r="Z65" i="3"/>
  <c r="Z51" i="3"/>
  <c r="Z17" i="3"/>
  <c r="Z26" i="3"/>
  <c r="Z7" i="3"/>
  <c r="Z88" i="3"/>
  <c r="Z93" i="3"/>
  <c r="Z81" i="3"/>
  <c r="Z4" i="3"/>
  <c r="Z39" i="3"/>
  <c r="Z31" i="3"/>
  <c r="Z28" i="3"/>
  <c r="Z5" i="3"/>
  <c r="Z42" i="3"/>
  <c r="Z75" i="3"/>
  <c r="Z99" i="3"/>
  <c r="Z100" i="3"/>
  <c r="Z92" i="3"/>
  <c r="Z79" i="3"/>
  <c r="Z91" i="3"/>
  <c r="Z97" i="3"/>
  <c r="Z24" i="3"/>
  <c r="Z8" i="3"/>
  <c r="Z6" i="3"/>
  <c r="Z33" i="3"/>
  <c r="Z83" i="3"/>
  <c r="Z11" i="3"/>
  <c r="Z73" i="3"/>
  <c r="Z60" i="3"/>
  <c r="Z82" i="3"/>
  <c r="Z29" i="3"/>
  <c r="Z87" i="3"/>
  <c r="Z20" i="3"/>
  <c r="Z78" i="3"/>
  <c r="Z66" i="3"/>
  <c r="Z18" i="3"/>
  <c r="Z25" i="3"/>
  <c r="Z48" i="3"/>
  <c r="G41" i="9" a="1"/>
  <c r="G41" i="9" s="1"/>
  <c r="U41" i="9"/>
  <c r="AH40" i="9" a="1"/>
  <c r="AH40" i="9" s="1"/>
  <c r="W40" i="9"/>
  <c r="AH39" i="9" a="1"/>
  <c r="AH39" i="9" s="1"/>
  <c r="W39" i="9"/>
  <c r="W37" i="9"/>
  <c r="U35" i="9"/>
  <c r="AH35" i="9" s="1" a="1"/>
  <c r="AH35" i="9" s="1"/>
  <c r="AH32" i="9" a="1"/>
  <c r="AH32" i="9" s="1"/>
  <c r="W32" i="9"/>
  <c r="AH33" i="9" a="1"/>
  <c r="AH33" i="9" s="1"/>
  <c r="W33" i="9"/>
  <c r="P6" i="24"/>
  <c r="P5" i="24"/>
  <c r="Q5" i="24" a="1"/>
  <c r="AO74" i="3" l="1" a="1"/>
  <c r="AO74" i="3" s="1"/>
  <c r="L16" i="3" a="1"/>
  <c r="L16" i="3" s="1"/>
  <c r="H58" i="28" a="1"/>
  <c r="H58" i="28" s="1"/>
  <c r="AM86" i="3" a="1"/>
  <c r="AM86" i="3" s="1"/>
  <c r="W41" i="9"/>
  <c r="AH41" i="9" a="1"/>
  <c r="AH41" i="9" s="1"/>
  <c r="W35" i="9"/>
  <c r="Q5" i="24"/>
  <c r="E5" i="24" s="1" a="1"/>
  <c r="E5" i="24" s="1"/>
  <c r="C5" i="24" a="1"/>
  <c r="AO75" i="3" l="1" a="1"/>
  <c r="AO75" i="3" s="1"/>
  <c r="H59" i="28" a="1"/>
  <c r="H59" i="28" s="1"/>
  <c r="L17" i="3" a="1"/>
  <c r="L17" i="3" s="1"/>
  <c r="A58" i="28" a="1"/>
  <c r="A58" i="28" s="1"/>
  <c r="AM87" i="3" a="1"/>
  <c r="AM87" i="3" s="1"/>
  <c r="C5" i="24"/>
  <c r="H60" i="28" l="1" a="1"/>
  <c r="H60" i="28" s="1"/>
  <c r="A60" i="28" s="1" a="1"/>
  <c r="A60" i="28" s="1"/>
  <c r="AO76" i="3" a="1"/>
  <c r="AO76" i="3" s="1"/>
  <c r="A59" i="28" a="1"/>
  <c r="A59" i="28" s="1"/>
  <c r="L18" i="3" a="1"/>
  <c r="L18" i="3" s="1"/>
  <c r="AM88" i="3" a="1"/>
  <c r="AM88" i="3" s="1"/>
  <c r="A5" i="24"/>
  <c r="D5" i="24"/>
  <c r="H61" i="28" l="1" a="1"/>
  <c r="H61" i="28" s="1"/>
  <c r="H62" i="28" s="1" a="1"/>
  <c r="H62" i="28" s="1"/>
  <c r="H63" i="28" s="1" a="1"/>
  <c r="H63" i="28" s="1"/>
  <c r="A63" i="28" s="1" a="1"/>
  <c r="A63" i="28" s="1"/>
  <c r="AO77" i="3" a="1"/>
  <c r="AO77" i="3" s="1"/>
  <c r="L19" i="3" a="1"/>
  <c r="L19" i="3" s="1"/>
  <c r="AM89" i="3" a="1"/>
  <c r="AM89" i="3" s="1"/>
  <c r="K24" i="21" a="1"/>
  <c r="K24" i="21" s="1"/>
  <c r="AM24" i="21" s="1"/>
  <c r="K25" i="21" a="1"/>
  <c r="K25" i="21" s="1"/>
  <c r="AM25" i="21" s="1"/>
  <c r="K26" i="21" a="1"/>
  <c r="K26" i="21" s="1"/>
  <c r="AM26" i="21" s="1"/>
  <c r="K27" i="21" a="1"/>
  <c r="K27" i="21" s="1"/>
  <c r="AM27" i="21" s="1"/>
  <c r="K28" i="21" a="1"/>
  <c r="K28" i="21" s="1"/>
  <c r="AM28" i="21" s="1"/>
  <c r="K29" i="21" a="1"/>
  <c r="K29" i="21" s="1"/>
  <c r="AM29" i="21" s="1"/>
  <c r="K30" i="21" a="1"/>
  <c r="K30" i="21" s="1"/>
  <c r="AM30" i="21" s="1"/>
  <c r="X24" i="21" a="1"/>
  <c r="X24" i="21" s="1"/>
  <c r="X25" i="21" a="1"/>
  <c r="X25" i="21" s="1"/>
  <c r="X26" i="21" a="1"/>
  <c r="X26" i="21" s="1"/>
  <c r="X27" i="21" a="1"/>
  <c r="X27" i="21" s="1"/>
  <c r="X28" i="21" a="1"/>
  <c r="X28" i="21" s="1"/>
  <c r="X29" i="21" a="1"/>
  <c r="X29" i="21" s="1"/>
  <c r="X30" i="21" a="1"/>
  <c r="X30" i="21" s="1"/>
  <c r="J2" i="16" a="1"/>
  <c r="J2" i="16" s="1"/>
  <c r="I4" i="24" a="1"/>
  <c r="A61" i="28" l="1" a="1"/>
  <c r="A61" i="28" s="1"/>
  <c r="AO78" i="3" a="1"/>
  <c r="AO78" i="3" s="1"/>
  <c r="H64" i="28" a="1"/>
  <c r="H64" i="28" s="1"/>
  <c r="A64" i="28" s="1" a="1"/>
  <c r="A64" i="28" s="1"/>
  <c r="A62" i="28" a="1"/>
  <c r="A62" i="28" s="1"/>
  <c r="L20" i="3" a="1"/>
  <c r="L20" i="3" s="1"/>
  <c r="AM90" i="3" a="1"/>
  <c r="AM90" i="3" s="1"/>
  <c r="J3" i="16" a="1"/>
  <c r="J3" i="16" s="1"/>
  <c r="J4" i="16" s="1" a="1"/>
  <c r="J4" i="16" s="1"/>
  <c r="J5" i="16" s="1" a="1"/>
  <c r="J5" i="16" s="1"/>
  <c r="J6" i="16" s="1" a="1"/>
  <c r="J6" i="16" s="1"/>
  <c r="J7" i="16" s="1" a="1"/>
  <c r="J7" i="16" s="1"/>
  <c r="J8" i="16" s="1" a="1"/>
  <c r="J8" i="16" s="1"/>
  <c r="J9" i="16" s="1" a="1"/>
  <c r="J9" i="16" s="1"/>
  <c r="J10" i="16" s="1" a="1"/>
  <c r="J10" i="16" s="1"/>
  <c r="J11" i="16" s="1" a="1"/>
  <c r="J11" i="16" s="1"/>
  <c r="J12" i="16" s="1" a="1"/>
  <c r="J12" i="16" s="1"/>
  <c r="J13" i="16" s="1" a="1"/>
  <c r="J13" i="16" s="1"/>
  <c r="J14" i="16" s="1" a="1"/>
  <c r="J14" i="16" s="1"/>
  <c r="J15" i="16" s="1" a="1"/>
  <c r="J15" i="16" s="1"/>
  <c r="J16" i="16" s="1" a="1"/>
  <c r="J16" i="16" s="1"/>
  <c r="J17" i="16" s="1" a="1"/>
  <c r="J17" i="16" s="1"/>
  <c r="J18" i="16" s="1" a="1"/>
  <c r="J18" i="16" s="1"/>
  <c r="I4" i="24"/>
  <c r="I16" i="24" a="1"/>
  <c r="K4" i="24" a="1"/>
  <c r="J4" i="24" a="1"/>
  <c r="J16" i="24" a="1"/>
  <c r="K16" i="24" a="1"/>
  <c r="AO79" i="3" l="1" a="1"/>
  <c r="AO79" i="3" s="1"/>
  <c r="H65" i="28" a="1"/>
  <c r="H65" i="28" s="1"/>
  <c r="A65" i="28" s="1" a="1"/>
  <c r="A65" i="28" s="1"/>
  <c r="L21" i="3" a="1"/>
  <c r="L21" i="3" s="1"/>
  <c r="AM91" i="3" a="1"/>
  <c r="AM91" i="3" s="1"/>
  <c r="K4" i="24"/>
  <c r="M4" i="24" s="1"/>
  <c r="J4" i="24"/>
  <c r="O4" i="24" s="1"/>
  <c r="K16" i="24"/>
  <c r="I16" i="24"/>
  <c r="J16" i="24"/>
  <c r="O16" i="24" s="1"/>
  <c r="AE3" i="20" a="1"/>
  <c r="AE3" i="20" s="1"/>
  <c r="AO80" i="3" l="1" a="1"/>
  <c r="AO80" i="3" s="1"/>
  <c r="H66" i="28" a="1"/>
  <c r="H66" i="28" s="1"/>
  <c r="A66" i="28" s="1" a="1"/>
  <c r="A66" i="28" s="1"/>
  <c r="L22" i="3" a="1"/>
  <c r="L22" i="3" s="1"/>
  <c r="AM92" i="3" a="1"/>
  <c r="AM92" i="3" s="1"/>
  <c r="L4" i="24"/>
  <c r="N4" i="24"/>
  <c r="M16" i="24"/>
  <c r="N16" i="24" s="1"/>
  <c r="L16" i="24"/>
  <c r="AO81" i="3" l="1" a="1"/>
  <c r="AO81" i="3" s="1"/>
  <c r="H67" i="28" a="1"/>
  <c r="H67" i="28" s="1"/>
  <c r="A67" i="28" s="1" a="1"/>
  <c r="A67" i="28" s="1"/>
  <c r="L23" i="3" a="1"/>
  <c r="L23" i="3" s="1"/>
  <c r="AM93" i="3" a="1"/>
  <c r="AM93" i="3" s="1"/>
  <c r="P4" i="24"/>
  <c r="P16" i="24"/>
  <c r="Q4" i="24" a="1"/>
  <c r="AO82" i="3" l="1" a="1"/>
  <c r="AO82" i="3" s="1"/>
  <c r="H68" i="28" a="1"/>
  <c r="H68" i="28" s="1"/>
  <c r="A68" i="28" s="1" a="1"/>
  <c r="A68" i="28" s="1"/>
  <c r="L24" i="3" a="1"/>
  <c r="L24" i="3" s="1"/>
  <c r="AM94" i="3" a="1"/>
  <c r="AM94" i="3" s="1"/>
  <c r="Q4" i="24"/>
  <c r="E4" i="24" s="1" a="1"/>
  <c r="E4" i="24" s="1"/>
  <c r="X3" i="21" a="1"/>
  <c r="X3" i="21" s="1"/>
  <c r="X4" i="21" a="1"/>
  <c r="X4" i="21" s="1"/>
  <c r="X5" i="21" a="1"/>
  <c r="X5" i="21" s="1"/>
  <c r="X6" i="21" a="1"/>
  <c r="X6" i="21" s="1"/>
  <c r="X7" i="21" a="1"/>
  <c r="X7" i="21" s="1"/>
  <c r="X8" i="21" a="1"/>
  <c r="X8" i="21" s="1"/>
  <c r="X9" i="21" a="1"/>
  <c r="X9" i="21" s="1"/>
  <c r="X10" i="21" a="1"/>
  <c r="X10" i="21" s="1"/>
  <c r="X11" i="21" a="1"/>
  <c r="X11" i="21" s="1"/>
  <c r="X12" i="21" a="1"/>
  <c r="X12" i="21" s="1"/>
  <c r="X13" i="21" a="1"/>
  <c r="X13" i="21" s="1"/>
  <c r="X14" i="21" a="1"/>
  <c r="X14" i="21" s="1"/>
  <c r="X15" i="21" a="1"/>
  <c r="X15" i="21" s="1"/>
  <c r="X16" i="21" a="1"/>
  <c r="X16" i="21" s="1"/>
  <c r="X17" i="21" a="1"/>
  <c r="X17" i="21" s="1"/>
  <c r="X18" i="21" a="1"/>
  <c r="X18" i="21" s="1"/>
  <c r="X19" i="21" a="1"/>
  <c r="X19" i="21" s="1"/>
  <c r="X20" i="21" a="1"/>
  <c r="X20" i="21" s="1"/>
  <c r="X21" i="21" a="1"/>
  <c r="X21" i="21" s="1"/>
  <c r="X22" i="21" a="1"/>
  <c r="X22" i="21" s="1"/>
  <c r="X23" i="21" a="1"/>
  <c r="X23" i="21" s="1"/>
  <c r="C4" i="24" a="1"/>
  <c r="D4" i="24"/>
  <c r="V47" i="10" l="1"/>
  <c r="AF47" i="10" s="1" a="1"/>
  <c r="AF47" i="10" s="1"/>
  <c r="V46" i="10"/>
  <c r="AF46" i="10" s="1" a="1"/>
  <c r="AF46" i="10" s="1"/>
  <c r="V33" i="20"/>
  <c r="AH33" i="20" s="1" a="1"/>
  <c r="AH33" i="20" s="1"/>
  <c r="V44" i="10"/>
  <c r="AF44" i="10" s="1" a="1"/>
  <c r="AF44" i="10" s="1"/>
  <c r="V39" i="20"/>
  <c r="AH39" i="20" s="1" a="1"/>
  <c r="AH39" i="20" s="1"/>
  <c r="V45" i="10"/>
  <c r="AF45" i="10" s="1" a="1"/>
  <c r="AF45" i="10" s="1"/>
  <c r="V38" i="20"/>
  <c r="AH38" i="20" s="1" a="1"/>
  <c r="AH38" i="20" s="1"/>
  <c r="V36" i="20"/>
  <c r="AH36" i="20" s="1" a="1"/>
  <c r="AH36" i="20" s="1"/>
  <c r="V35" i="20"/>
  <c r="AH35" i="20" s="1" a="1"/>
  <c r="AH35" i="20" s="1"/>
  <c r="V37" i="20"/>
  <c r="AH37" i="20" s="1" a="1"/>
  <c r="AH37" i="20" s="1"/>
  <c r="V43" i="10"/>
  <c r="AF43" i="10" s="1" a="1"/>
  <c r="AF43" i="10" s="1"/>
  <c r="V42" i="20"/>
  <c r="AH42" i="20" s="1" a="1"/>
  <c r="AH42" i="20" s="1"/>
  <c r="AO83" i="3" a="1"/>
  <c r="AO83" i="3" s="1"/>
  <c r="V61" i="20"/>
  <c r="AH61" i="20" s="1" a="1"/>
  <c r="AH61" i="20" s="1"/>
  <c r="V42" i="10"/>
  <c r="AF42" i="10" s="1" a="1"/>
  <c r="AF42" i="10" s="1"/>
  <c r="H69" i="28" a="1"/>
  <c r="H69" i="28" s="1"/>
  <c r="A69" i="28" s="1" a="1"/>
  <c r="A69" i="28" s="1"/>
  <c r="V41" i="10"/>
  <c r="AF41" i="10" s="1" a="1"/>
  <c r="AF41" i="10" s="1"/>
  <c r="V60" i="20"/>
  <c r="AH60" i="20" s="1" a="1"/>
  <c r="AH60" i="20" s="1"/>
  <c r="L25" i="3" a="1"/>
  <c r="L25" i="3" s="1"/>
  <c r="AM95" i="3" a="1"/>
  <c r="AM95" i="3" s="1"/>
  <c r="V40" i="10"/>
  <c r="AF40" i="10" s="1" a="1"/>
  <c r="AF40" i="10" s="1"/>
  <c r="V39" i="10"/>
  <c r="AF39" i="10" s="1" a="1"/>
  <c r="AF39" i="10" s="1"/>
  <c r="V38" i="10"/>
  <c r="AF38" i="10" s="1" a="1"/>
  <c r="AF38" i="10" s="1"/>
  <c r="V59" i="20"/>
  <c r="AH59" i="20" s="1" a="1"/>
  <c r="AH59" i="20" s="1"/>
  <c r="V37" i="10"/>
  <c r="AF37" i="10" s="1" a="1"/>
  <c r="AF37" i="10" s="1"/>
  <c r="V62" i="20"/>
  <c r="AH62" i="20" s="1" a="1"/>
  <c r="AH62" i="20" s="1"/>
  <c r="V65" i="20"/>
  <c r="AH65" i="20" s="1" a="1"/>
  <c r="AH65" i="20" s="1"/>
  <c r="V63" i="20"/>
  <c r="AH63" i="20" s="1" a="1"/>
  <c r="AH63" i="20" s="1"/>
  <c r="V66" i="20"/>
  <c r="AH66" i="20" s="1" a="1"/>
  <c r="AH66" i="20" s="1"/>
  <c r="V64" i="20"/>
  <c r="AH64" i="20" s="1" a="1"/>
  <c r="AH64" i="20" s="1"/>
  <c r="V36" i="10"/>
  <c r="AF36" i="10" s="1" a="1"/>
  <c r="AF36" i="10" s="1"/>
  <c r="V35" i="10"/>
  <c r="AF35" i="10" s="1" a="1"/>
  <c r="AF35" i="10" s="1"/>
  <c r="C4" i="24"/>
  <c r="V34" i="10"/>
  <c r="AF34" i="10" s="1" a="1"/>
  <c r="AF34" i="10" s="1"/>
  <c r="V33" i="10"/>
  <c r="AF33" i="10" s="1" a="1"/>
  <c r="AF33" i="10" s="1"/>
  <c r="V32" i="10"/>
  <c r="AF32" i="10" s="1" a="1"/>
  <c r="AF32" i="10" s="1"/>
  <c r="V31" i="10"/>
  <c r="AF31" i="10" s="1" a="1"/>
  <c r="AF31" i="10" s="1"/>
  <c r="V29" i="10"/>
  <c r="AF29" i="10" s="1" a="1"/>
  <c r="AF29" i="10" s="1"/>
  <c r="V58" i="20"/>
  <c r="AH58" i="20" s="1" a="1"/>
  <c r="AH58" i="20" s="1"/>
  <c r="V30" i="10"/>
  <c r="AF30" i="10" s="1" a="1"/>
  <c r="AF30" i="10" s="1"/>
  <c r="V57" i="20"/>
  <c r="AH57" i="20" s="1" a="1"/>
  <c r="AH57" i="20" s="1"/>
  <c r="V28" i="10"/>
  <c r="AF28" i="10" s="1" a="1"/>
  <c r="AF28" i="10" s="1"/>
  <c r="V27" i="10"/>
  <c r="AF27" i="10" s="1" a="1"/>
  <c r="AF27" i="10" s="1"/>
  <c r="V56" i="20"/>
  <c r="AH56" i="20" s="1" a="1"/>
  <c r="AH56" i="20" s="1"/>
  <c r="V55" i="20"/>
  <c r="AH55" i="20" s="1" a="1"/>
  <c r="AH55" i="20" s="1"/>
  <c r="V54" i="20"/>
  <c r="AH54" i="20" s="1" a="1"/>
  <c r="AH54" i="20" s="1"/>
  <c r="V26" i="10"/>
  <c r="AF26" i="10" s="1" a="1"/>
  <c r="AF26" i="10" s="1"/>
  <c r="V49" i="20"/>
  <c r="AH49" i="20" s="1" a="1"/>
  <c r="AH49" i="20" s="1"/>
  <c r="V14" i="20"/>
  <c r="AH14" i="20" s="1" a="1"/>
  <c r="AH14" i="20" s="1"/>
  <c r="V52" i="20"/>
  <c r="AH52" i="20" s="1" a="1"/>
  <c r="AH52" i="20" s="1"/>
  <c r="V50" i="20"/>
  <c r="AH50" i="20" s="1" a="1"/>
  <c r="AH50" i="20" s="1"/>
  <c r="V15" i="20"/>
  <c r="AH15" i="20" s="1" a="1"/>
  <c r="AH15" i="20" s="1"/>
  <c r="V30" i="20"/>
  <c r="AH30" i="20" s="1" a="1"/>
  <c r="AH30" i="20" s="1"/>
  <c r="V18" i="20"/>
  <c r="AH18" i="20" s="1" a="1"/>
  <c r="AH18" i="20" s="1"/>
  <c r="V53" i="20"/>
  <c r="AH53" i="20" s="1" a="1"/>
  <c r="AH53" i="20" s="1"/>
  <c r="V51" i="20"/>
  <c r="AH51" i="20" s="1" a="1"/>
  <c r="AH51" i="20" s="1"/>
  <c r="V16" i="20"/>
  <c r="AH16" i="20" s="1" a="1"/>
  <c r="AH16" i="20" s="1"/>
  <c r="V17" i="20"/>
  <c r="AH17" i="20" s="1" a="1"/>
  <c r="AH17" i="20" s="1"/>
  <c r="V19" i="20"/>
  <c r="AH19" i="20" s="1" a="1"/>
  <c r="AH19" i="20" s="1"/>
  <c r="V20" i="20"/>
  <c r="AH20" i="20" s="1" a="1"/>
  <c r="AH20" i="20" s="1"/>
  <c r="V5" i="20"/>
  <c r="AH5" i="20" s="1" a="1"/>
  <c r="AH5" i="20" s="1"/>
  <c r="V21" i="20"/>
  <c r="AH21" i="20" s="1" a="1"/>
  <c r="AH21" i="20" s="1"/>
  <c r="V29" i="20"/>
  <c r="AH29" i="20" s="1" a="1"/>
  <c r="AH29" i="20" s="1"/>
  <c r="V6" i="20"/>
  <c r="AH6" i="20" s="1" a="1"/>
  <c r="AH6" i="20" s="1"/>
  <c r="V22" i="20"/>
  <c r="AH22" i="20" s="1" a="1"/>
  <c r="AH22" i="20" s="1"/>
  <c r="V43" i="20"/>
  <c r="AH43" i="20" s="1" a="1"/>
  <c r="AH43" i="20" s="1"/>
  <c r="V7" i="20"/>
  <c r="AH7" i="20" s="1" a="1"/>
  <c r="AH7" i="20" s="1"/>
  <c r="V23" i="20"/>
  <c r="AH23" i="20" s="1" a="1"/>
  <c r="AH23" i="20" s="1"/>
  <c r="V31" i="20"/>
  <c r="AH31" i="20" s="1" a="1"/>
  <c r="AH31" i="20" s="1"/>
  <c r="V44" i="20"/>
  <c r="AH44" i="20" s="1" a="1"/>
  <c r="AH44" i="20" s="1"/>
  <c r="V8" i="20"/>
  <c r="AH8" i="20" s="1" a="1"/>
  <c r="AH8" i="20" s="1"/>
  <c r="V24" i="20"/>
  <c r="AH24" i="20" s="1" a="1"/>
  <c r="AH24" i="20" s="1"/>
  <c r="V32" i="20"/>
  <c r="AH32" i="20" s="1" a="1"/>
  <c r="AH32" i="20" s="1"/>
  <c r="V45" i="20"/>
  <c r="AH45" i="20" s="1" a="1"/>
  <c r="AH45" i="20" s="1"/>
  <c r="V40" i="20"/>
  <c r="AH40" i="20" s="1" a="1"/>
  <c r="AH40" i="20" s="1"/>
  <c r="V9" i="20"/>
  <c r="AH9" i="20" s="1" a="1"/>
  <c r="AH9" i="20" s="1"/>
  <c r="V25" i="20"/>
  <c r="AH25" i="20" s="1" a="1"/>
  <c r="AH25" i="20" s="1"/>
  <c r="V34" i="20"/>
  <c r="AH34" i="20" s="1" a="1"/>
  <c r="AH34" i="20" s="1"/>
  <c r="V46" i="20"/>
  <c r="AH46" i="20" s="1" a="1"/>
  <c r="AH46" i="20" s="1"/>
  <c r="V41" i="20"/>
  <c r="AH41" i="20" s="1" a="1"/>
  <c r="AH41" i="20" s="1"/>
  <c r="V10" i="20"/>
  <c r="AH10" i="20" s="1" a="1"/>
  <c r="AH10" i="20" s="1"/>
  <c r="V26" i="20"/>
  <c r="AH26" i="20" s="1" a="1"/>
  <c r="AH26" i="20" s="1"/>
  <c r="V28" i="20"/>
  <c r="AH28" i="20" s="1" a="1"/>
  <c r="AH28" i="20" s="1"/>
  <c r="V13" i="20"/>
  <c r="AH13" i="20" s="1" a="1"/>
  <c r="AH13" i="20" s="1"/>
  <c r="V47" i="20"/>
  <c r="AH47" i="20" s="1" a="1"/>
  <c r="AH47" i="20" s="1"/>
  <c r="V11" i="20"/>
  <c r="AH11" i="20" s="1" a="1"/>
  <c r="AH11" i="20" s="1"/>
  <c r="V27" i="20"/>
  <c r="AH27" i="20" s="1" a="1"/>
  <c r="AH27" i="20" s="1"/>
  <c r="V4" i="20"/>
  <c r="AH4" i="20" s="1" a="1"/>
  <c r="AH4" i="20" s="1"/>
  <c r="V48" i="20"/>
  <c r="AH48" i="20" s="1" a="1"/>
  <c r="AH48" i="20" s="1"/>
  <c r="V12" i="20"/>
  <c r="AH12" i="20" s="1" a="1"/>
  <c r="AH12" i="20" s="1"/>
  <c r="V25" i="10"/>
  <c r="AF25" i="10" s="1" a="1"/>
  <c r="AF25" i="10" s="1"/>
  <c r="V15" i="10"/>
  <c r="AF15" i="10" s="1" a="1"/>
  <c r="AF15" i="10" s="1"/>
  <c r="V5" i="10"/>
  <c r="AF5" i="10" s="1" a="1"/>
  <c r="AF5" i="10" s="1"/>
  <c r="V4" i="10"/>
  <c r="AF4" i="10" s="1" a="1"/>
  <c r="AF4" i="10" s="1"/>
  <c r="V17" i="10"/>
  <c r="AF17" i="10" s="1" a="1"/>
  <c r="AF17" i="10" s="1"/>
  <c r="V6" i="10"/>
  <c r="AF6" i="10" s="1" a="1"/>
  <c r="AF6" i="10" s="1"/>
  <c r="V18" i="10"/>
  <c r="AF18" i="10" s="1" a="1"/>
  <c r="AF18" i="10" s="1"/>
  <c r="V21" i="10"/>
  <c r="AF21" i="10" s="1" a="1"/>
  <c r="AF21" i="10" s="1"/>
  <c r="V20" i="10"/>
  <c r="AF20" i="10" s="1" a="1"/>
  <c r="AF20" i="10" s="1"/>
  <c r="V19" i="10"/>
  <c r="AF19" i="10" s="1" a="1"/>
  <c r="AF19" i="10" s="1"/>
  <c r="V16" i="10"/>
  <c r="AF16" i="10" s="1" a="1"/>
  <c r="AF16" i="10" s="1"/>
  <c r="V14" i="10"/>
  <c r="AF14" i="10" s="1" a="1"/>
  <c r="AF14" i="10" s="1"/>
  <c r="V3" i="20"/>
  <c r="V13" i="10"/>
  <c r="AF13" i="10" s="1" a="1"/>
  <c r="AF13" i="10" s="1"/>
  <c r="V12" i="10"/>
  <c r="AF12" i="10" s="1" a="1"/>
  <c r="AF12" i="10" s="1"/>
  <c r="V11" i="10"/>
  <c r="AF11" i="10" s="1" a="1"/>
  <c r="AF11" i="10" s="1"/>
  <c r="V10" i="10"/>
  <c r="AF10" i="10" s="1" a="1"/>
  <c r="AF10" i="10" s="1"/>
  <c r="V9" i="10"/>
  <c r="AF9" i="10" s="1" a="1"/>
  <c r="AF9" i="10" s="1"/>
  <c r="V8" i="10"/>
  <c r="AF8" i="10" s="1" a="1"/>
  <c r="AF8" i="10" s="1"/>
  <c r="V24" i="10"/>
  <c r="AF24" i="10" s="1" a="1"/>
  <c r="AF24" i="10" s="1"/>
  <c r="V23" i="10"/>
  <c r="AF23" i="10" s="1" a="1"/>
  <c r="AF23" i="10" s="1"/>
  <c r="V7" i="10"/>
  <c r="AF7" i="10" s="1" a="1"/>
  <c r="AF7" i="10" s="1"/>
  <c r="V22" i="10"/>
  <c r="AF22" i="10" s="1" a="1"/>
  <c r="AF22" i="10" s="1"/>
  <c r="H3" i="20" a="1"/>
  <c r="H3" i="20" s="1"/>
  <c r="K23" i="21" a="1"/>
  <c r="K23" i="21" s="1"/>
  <c r="AM23" i="21" s="1"/>
  <c r="K17" i="21" a="1"/>
  <c r="K17" i="21" s="1"/>
  <c r="AM17" i="21" s="1"/>
  <c r="K18" i="21" a="1"/>
  <c r="K18" i="21" s="1"/>
  <c r="AM18" i="21" s="1"/>
  <c r="K19" i="21" a="1"/>
  <c r="K19" i="21" s="1"/>
  <c r="AM19" i="21" s="1"/>
  <c r="K20" i="21" a="1"/>
  <c r="K20" i="21" s="1"/>
  <c r="AM20" i="21" s="1"/>
  <c r="K21" i="21" a="1"/>
  <c r="K21" i="21" s="1"/>
  <c r="AM21" i="21" s="1"/>
  <c r="K22" i="21" a="1"/>
  <c r="K22" i="21" s="1"/>
  <c r="AM22" i="21" s="1"/>
  <c r="C3" i="19"/>
  <c r="X5" i="17" a="1"/>
  <c r="X5" i="17" s="1"/>
  <c r="C2" i="19"/>
  <c r="H17" i="10" a="1"/>
  <c r="H17" i="10" s="1"/>
  <c r="Y17" i="10" a="1"/>
  <c r="Y17" i="10" s="1"/>
  <c r="Z17" i="10"/>
  <c r="AA17" i="10"/>
  <c r="AB17" i="10"/>
  <c r="AC17" i="10"/>
  <c r="AD17" i="10"/>
  <c r="H11" i="10" a="1"/>
  <c r="H11" i="10" s="1"/>
  <c r="Y11" i="10" a="1"/>
  <c r="Y11" i="10" s="1"/>
  <c r="Z11" i="10"/>
  <c r="AA11" i="10"/>
  <c r="AB11" i="10"/>
  <c r="AC11" i="10"/>
  <c r="AD11" i="10"/>
  <c r="F3" i="20" a="1"/>
  <c r="F3" i="20" s="1"/>
  <c r="H7" i="10" a="1"/>
  <c r="H7" i="10" s="1"/>
  <c r="H8" i="10" a="1"/>
  <c r="H8" i="10" s="1"/>
  <c r="H9" i="10" a="1"/>
  <c r="H9" i="10" s="1"/>
  <c r="H10" i="10" a="1"/>
  <c r="H10" i="10" s="1"/>
  <c r="H12" i="10" a="1"/>
  <c r="H12" i="10" s="1"/>
  <c r="H13" i="10" a="1"/>
  <c r="H13" i="10" s="1"/>
  <c r="H14" i="10" a="1"/>
  <c r="H14" i="10" s="1"/>
  <c r="Y7" i="10" a="1"/>
  <c r="Y7" i="10" s="1"/>
  <c r="Y8" i="10" a="1"/>
  <c r="Y8" i="10" s="1"/>
  <c r="Y9" i="10" a="1"/>
  <c r="Y9" i="10" s="1"/>
  <c r="Y10" i="10" a="1"/>
  <c r="Y10" i="10" s="1"/>
  <c r="Y12" i="10" a="1"/>
  <c r="Y12" i="10" s="1"/>
  <c r="Y13" i="10" a="1"/>
  <c r="Y13" i="10" s="1"/>
  <c r="Y14" i="10" a="1"/>
  <c r="Y14" i="10" s="1"/>
  <c r="Z7" i="10"/>
  <c r="Z8" i="10"/>
  <c r="Z9" i="10"/>
  <c r="Z10" i="10"/>
  <c r="Z12" i="10"/>
  <c r="Z13" i="10"/>
  <c r="Z14" i="10"/>
  <c r="AA7" i="10"/>
  <c r="AA8" i="10"/>
  <c r="AA9" i="10"/>
  <c r="AA10" i="10"/>
  <c r="AA12" i="10"/>
  <c r="AA13" i="10"/>
  <c r="AA14" i="10"/>
  <c r="AB7" i="10"/>
  <c r="AB8" i="10"/>
  <c r="AB9" i="10"/>
  <c r="AB10" i="10"/>
  <c r="AB12" i="10"/>
  <c r="AB13" i="10"/>
  <c r="AB14" i="10"/>
  <c r="AC7" i="10"/>
  <c r="AC8" i="10"/>
  <c r="AC9" i="10"/>
  <c r="AC10" i="10"/>
  <c r="AC12" i="10"/>
  <c r="AC13" i="10"/>
  <c r="AC14" i="10"/>
  <c r="AD7" i="10"/>
  <c r="AD8" i="10"/>
  <c r="AD9" i="10"/>
  <c r="AD10" i="10"/>
  <c r="AD12" i="10"/>
  <c r="AD13" i="10"/>
  <c r="AD14" i="10"/>
  <c r="H6" i="10" a="1"/>
  <c r="H6" i="10" s="1"/>
  <c r="Y6" i="10" a="1"/>
  <c r="Y6" i="10" s="1"/>
  <c r="Z6" i="10"/>
  <c r="AA6" i="10"/>
  <c r="AB6" i="10"/>
  <c r="AC6" i="10"/>
  <c r="AD6" i="10"/>
  <c r="H5" i="10" a="1"/>
  <c r="H5" i="10" s="1"/>
  <c r="Y5" i="10" a="1"/>
  <c r="Y5" i="10" s="1"/>
  <c r="Z5" i="10"/>
  <c r="AA5" i="10"/>
  <c r="AB5" i="10"/>
  <c r="AC5" i="10"/>
  <c r="AD5" i="10"/>
  <c r="D30" i="9" a="1"/>
  <c r="D30" i="9" s="1"/>
  <c r="G30" i="9" a="1"/>
  <c r="G30" i="9" s="1"/>
  <c r="X30" i="9"/>
  <c r="Y30" i="9"/>
  <c r="Z30" i="9"/>
  <c r="AA30" i="9"/>
  <c r="AB30" i="9"/>
  <c r="AA4" i="10"/>
  <c r="AB4" i="10"/>
  <c r="AC4" i="10"/>
  <c r="AD4" i="10"/>
  <c r="AA15" i="10"/>
  <c r="AB15" i="10"/>
  <c r="AC15" i="10"/>
  <c r="AD15" i="10"/>
  <c r="AA16" i="10"/>
  <c r="AB16" i="10"/>
  <c r="AC16" i="10"/>
  <c r="AD16" i="10"/>
  <c r="AA18" i="10"/>
  <c r="AB18" i="10"/>
  <c r="AC18" i="10"/>
  <c r="AD18" i="10"/>
  <c r="AA19" i="10"/>
  <c r="AB19" i="10"/>
  <c r="AC19" i="10"/>
  <c r="AD19" i="10"/>
  <c r="AA20" i="10"/>
  <c r="AB20" i="10"/>
  <c r="AC20" i="10"/>
  <c r="AD20" i="10"/>
  <c r="AA21" i="10"/>
  <c r="AB21" i="10"/>
  <c r="AC21" i="10"/>
  <c r="AD21" i="10"/>
  <c r="AA22" i="10"/>
  <c r="AB22" i="10"/>
  <c r="AC22" i="10"/>
  <c r="AD22" i="10"/>
  <c r="AA23" i="10"/>
  <c r="AB23" i="10"/>
  <c r="AC23" i="10"/>
  <c r="AD23" i="10"/>
  <c r="AA24" i="10"/>
  <c r="AB24" i="10"/>
  <c r="AC24" i="10"/>
  <c r="AD24" i="10"/>
  <c r="Z4" i="10"/>
  <c r="Z15" i="10"/>
  <c r="Z16" i="10"/>
  <c r="Z18" i="10"/>
  <c r="Z19" i="10"/>
  <c r="Z20" i="10"/>
  <c r="Z21" i="10"/>
  <c r="Z22" i="10"/>
  <c r="Z23" i="10"/>
  <c r="Z24" i="10"/>
  <c r="K3" i="21" a="1"/>
  <c r="K3" i="21" s="1"/>
  <c r="AM3" i="21" s="1"/>
  <c r="K4" i="21" a="1"/>
  <c r="K4" i="21" s="1"/>
  <c r="AM4" i="21" s="1"/>
  <c r="K5" i="21" a="1"/>
  <c r="K5" i="21" s="1"/>
  <c r="AM5" i="21" s="1"/>
  <c r="K6" i="21" a="1"/>
  <c r="K6" i="21" s="1"/>
  <c r="AM6" i="21" s="1"/>
  <c r="K7" i="21" a="1"/>
  <c r="K7" i="21" s="1"/>
  <c r="AM7" i="21" s="1"/>
  <c r="K8" i="21" a="1"/>
  <c r="K8" i="21" s="1"/>
  <c r="AM8" i="21" s="1"/>
  <c r="K9" i="21" a="1"/>
  <c r="K9" i="21" s="1"/>
  <c r="AM9" i="21" s="1"/>
  <c r="K10" i="21" a="1"/>
  <c r="K10" i="21" s="1"/>
  <c r="AM10" i="21" s="1"/>
  <c r="K11" i="21" a="1"/>
  <c r="K11" i="21" s="1"/>
  <c r="AM11" i="21" s="1"/>
  <c r="K12" i="21" a="1"/>
  <c r="K12" i="21" s="1"/>
  <c r="AM12" i="21" s="1"/>
  <c r="K13" i="21" a="1"/>
  <c r="K13" i="21" s="1"/>
  <c r="AM13" i="21" s="1"/>
  <c r="K14" i="21" a="1"/>
  <c r="K14" i="21" s="1"/>
  <c r="AM14" i="21" s="1"/>
  <c r="K15" i="21" a="1"/>
  <c r="K15" i="21" s="1"/>
  <c r="AM15" i="21" s="1"/>
  <c r="K16" i="21" a="1"/>
  <c r="K16" i="21" s="1"/>
  <c r="AM16" i="21" s="1"/>
  <c r="B6" i="19"/>
  <c r="Y4" i="10" a="1"/>
  <c r="Y4" i="10" s="1"/>
  <c r="Y15" i="10" a="1"/>
  <c r="Y15" i="10" s="1"/>
  <c r="Y16" i="10" a="1"/>
  <c r="Y16" i="10" s="1"/>
  <c r="Y18" i="10" a="1"/>
  <c r="Y18" i="10" s="1"/>
  <c r="Y19" i="10" a="1"/>
  <c r="Y19" i="10" s="1"/>
  <c r="Y20" i="10" a="1"/>
  <c r="Y20" i="10" s="1"/>
  <c r="Y21" i="10" a="1"/>
  <c r="Y21" i="10" s="1"/>
  <c r="Y22" i="10" a="1"/>
  <c r="Y22" i="10" s="1"/>
  <c r="Y23" i="10" a="1"/>
  <c r="Y23" i="10" s="1"/>
  <c r="Y24" i="10" a="1"/>
  <c r="Y24" i="10" s="1"/>
  <c r="D29" i="9" a="1"/>
  <c r="D29" i="9" s="1"/>
  <c r="G29" i="9" a="1"/>
  <c r="G29" i="9" s="1"/>
  <c r="X29" i="9"/>
  <c r="Y29" i="9"/>
  <c r="Z29" i="9"/>
  <c r="AA29" i="9"/>
  <c r="AB29" i="9"/>
  <c r="H4" i="10" a="1"/>
  <c r="H4" i="10" s="1"/>
  <c r="H15" i="10" a="1"/>
  <c r="H15" i="10" s="1"/>
  <c r="H16" i="10" a="1"/>
  <c r="H16" i="10" s="1"/>
  <c r="H18" i="10" a="1"/>
  <c r="H18" i="10" s="1"/>
  <c r="H19" i="10" a="1"/>
  <c r="H19" i="10" s="1"/>
  <c r="H20" i="10" a="1"/>
  <c r="H20" i="10" s="1"/>
  <c r="H21" i="10" a="1"/>
  <c r="H21" i="10" s="1"/>
  <c r="H22" i="10" a="1"/>
  <c r="H22" i="10" s="1"/>
  <c r="H23" i="10" a="1"/>
  <c r="H23" i="10" s="1"/>
  <c r="H24" i="10" a="1"/>
  <c r="H24" i="10" s="1"/>
  <c r="D3" i="9" a="1"/>
  <c r="D3" i="9" s="1"/>
  <c r="D4" i="9" a="1"/>
  <c r="D4" i="9" s="1"/>
  <c r="D5" i="9" a="1"/>
  <c r="D5" i="9" s="1"/>
  <c r="D6" i="9" a="1"/>
  <c r="D6" i="9" s="1"/>
  <c r="D7" i="9" a="1"/>
  <c r="D7" i="9" s="1"/>
  <c r="D8" i="9" a="1"/>
  <c r="D8" i="9" s="1"/>
  <c r="D9" i="9" a="1"/>
  <c r="D9" i="9" s="1"/>
  <c r="D10" i="9" a="1"/>
  <c r="D10" i="9" s="1"/>
  <c r="D11" i="9" a="1"/>
  <c r="D11" i="9" s="1"/>
  <c r="D12" i="9" a="1"/>
  <c r="D12" i="9" s="1"/>
  <c r="D13" i="9" a="1"/>
  <c r="D13" i="9" s="1"/>
  <c r="D14" i="9" a="1"/>
  <c r="D14" i="9" s="1"/>
  <c r="D15" i="9" a="1"/>
  <c r="D15" i="9" s="1"/>
  <c r="D16" i="9" a="1"/>
  <c r="D16" i="9" s="1"/>
  <c r="D17" i="9" a="1"/>
  <c r="D17" i="9" s="1"/>
  <c r="D18" i="9" a="1"/>
  <c r="D18" i="9" s="1"/>
  <c r="D19" i="9" a="1"/>
  <c r="D19" i="9" s="1"/>
  <c r="D20" i="9" a="1"/>
  <c r="D20" i="9" s="1"/>
  <c r="D21" i="9" a="1"/>
  <c r="D21" i="9" s="1"/>
  <c r="D22" i="9" a="1"/>
  <c r="D22" i="9" s="1"/>
  <c r="D23" i="9" a="1"/>
  <c r="D23" i="9" s="1"/>
  <c r="D24" i="9" a="1"/>
  <c r="D24" i="9" s="1"/>
  <c r="D25" i="9" a="1"/>
  <c r="D25" i="9" s="1"/>
  <c r="D26" i="9" a="1"/>
  <c r="D26" i="9" s="1"/>
  <c r="D27" i="9" a="1"/>
  <c r="D27" i="9" s="1"/>
  <c r="D28" i="9" a="1"/>
  <c r="D28" i="9" s="1"/>
  <c r="X28" i="9"/>
  <c r="Y28" i="9"/>
  <c r="Z28" i="9"/>
  <c r="AA28" i="9"/>
  <c r="AB28" i="9"/>
  <c r="X27" i="9"/>
  <c r="Y27" i="9"/>
  <c r="Z27" i="9"/>
  <c r="AA27" i="9"/>
  <c r="AB27" i="9"/>
  <c r="X26" i="9"/>
  <c r="Y26" i="9"/>
  <c r="Z26" i="9"/>
  <c r="AA26" i="9"/>
  <c r="AB26" i="9"/>
  <c r="X25" i="9"/>
  <c r="Y25" i="9"/>
  <c r="Z25" i="9"/>
  <c r="AA25" i="9"/>
  <c r="AB25" i="9"/>
  <c r="G24" i="9" a="1"/>
  <c r="G24" i="9" s="1"/>
  <c r="X24" i="9"/>
  <c r="Y24" i="9"/>
  <c r="Z24" i="9"/>
  <c r="AA24" i="9"/>
  <c r="AB24" i="9"/>
  <c r="G23" i="9" a="1"/>
  <c r="G23" i="9" s="1"/>
  <c r="X23" i="9"/>
  <c r="Y23" i="9"/>
  <c r="Z23" i="9"/>
  <c r="AA23" i="9"/>
  <c r="AB23" i="9"/>
  <c r="G22" i="9" a="1"/>
  <c r="G22" i="9" s="1"/>
  <c r="X22" i="9"/>
  <c r="Y22" i="9"/>
  <c r="Z22" i="9"/>
  <c r="AA22" i="9"/>
  <c r="AB22" i="9"/>
  <c r="G21" i="9" a="1"/>
  <c r="G21" i="9" s="1"/>
  <c r="X21" i="9"/>
  <c r="Y21" i="9"/>
  <c r="Z21" i="9"/>
  <c r="AA21" i="9"/>
  <c r="AB21" i="9"/>
  <c r="Q3" i="21" a="1"/>
  <c r="Q3" i="21" s="1"/>
  <c r="Q4" i="21" s="1" a="1"/>
  <c r="Q4" i="21" s="1"/>
  <c r="Q5" i="21" s="1" a="1"/>
  <c r="Q5" i="21" s="1"/>
  <c r="Q6" i="21" s="1" a="1"/>
  <c r="Q6" i="21" s="1"/>
  <c r="Q7" i="21" s="1" a="1"/>
  <c r="Q7" i="21" s="1"/>
  <c r="Q8" i="21" s="1" a="1"/>
  <c r="Q8" i="21" s="1"/>
  <c r="Q9" i="21" s="1" a="1"/>
  <c r="Q9" i="21" s="1"/>
  <c r="Q10" i="21" s="1" a="1"/>
  <c r="Q10" i="21" s="1"/>
  <c r="Q11" i="21" s="1" a="1"/>
  <c r="Q11" i="21" s="1"/>
  <c r="Q12" i="21" s="1" a="1"/>
  <c r="Q12" i="21" s="1"/>
  <c r="Q13" i="21" s="1" a="1"/>
  <c r="Q13" i="21" s="1"/>
  <c r="Q14" i="21" s="1" a="1"/>
  <c r="Q14" i="21" s="1"/>
  <c r="Q15" i="21" s="1" a="1"/>
  <c r="Q15" i="21" s="1"/>
  <c r="Q16" i="21" s="1" a="1"/>
  <c r="Q16" i="21" s="1"/>
  <c r="Q17" i="21" s="1" a="1"/>
  <c r="Q17" i="21" s="1"/>
  <c r="Q18" i="21" s="1" a="1"/>
  <c r="Q18" i="21" s="1"/>
  <c r="Q19" i="21" s="1" a="1"/>
  <c r="Q19" i="21" s="1"/>
  <c r="Q20" i="21" s="1" a="1"/>
  <c r="Q20" i="21" s="1"/>
  <c r="Q21" i="21" s="1" a="1"/>
  <c r="Q21" i="21" s="1"/>
  <c r="Q22" i="21" s="1" a="1"/>
  <c r="Q22" i="21" s="1"/>
  <c r="Q23" i="21" s="1" a="1"/>
  <c r="Q23" i="21" s="1"/>
  <c r="Q24" i="21" s="1" a="1"/>
  <c r="Q24" i="21" s="1"/>
  <c r="Q25" i="21" s="1" a="1"/>
  <c r="Q25" i="21" s="1"/>
  <c r="Q26" i="21" s="1" a="1"/>
  <c r="Q26" i="21" s="1"/>
  <c r="Q27" i="21" s="1" a="1"/>
  <c r="Q27" i="21" s="1"/>
  <c r="Q28" i="21" s="1" a="1"/>
  <c r="Q28" i="21" s="1"/>
  <c r="Q29" i="21" s="1" a="1"/>
  <c r="Q29" i="21" s="1"/>
  <c r="Q30" i="21" s="1" a="1"/>
  <c r="Q30" i="21" s="1"/>
  <c r="Q31" i="21" s="1" a="1"/>
  <c r="Q31" i="21" s="1"/>
  <c r="Q32" i="21" s="1" a="1"/>
  <c r="Q32" i="21" s="1"/>
  <c r="Q33" i="21" s="1" a="1"/>
  <c r="Q33" i="21" s="1"/>
  <c r="Q34" i="21" s="1" a="1"/>
  <c r="Q34" i="21" s="1"/>
  <c r="Q35" i="21" s="1" a="1"/>
  <c r="Q35" i="21" s="1"/>
  <c r="Q36" i="21" s="1" a="1"/>
  <c r="Q36" i="21" s="1"/>
  <c r="Q37" i="21" s="1" a="1"/>
  <c r="Q37" i="21" s="1"/>
  <c r="Q38" i="21" s="1" a="1"/>
  <c r="Q38" i="21" s="1"/>
  <c r="Q39" i="21" s="1" a="1"/>
  <c r="Q39" i="21" s="1"/>
  <c r="Q40" i="21" s="1" a="1"/>
  <c r="Q40" i="21" s="1"/>
  <c r="Q41" i="21" s="1" a="1"/>
  <c r="Q41" i="21" s="1"/>
  <c r="Q42" i="21" s="1" a="1"/>
  <c r="Q42" i="21" s="1"/>
  <c r="Q43" i="21" s="1" a="1"/>
  <c r="Q43" i="21" s="1"/>
  <c r="B5" i="19"/>
  <c r="AM47" i="10" s="1" a="1"/>
  <c r="AM47" i="10" s="1"/>
  <c r="AN47" i="10" s="1" a="1"/>
  <c r="AN47" i="10" s="1"/>
  <c r="Z3" i="20"/>
  <c r="AA3" i="20"/>
  <c r="AB3" i="20"/>
  <c r="AC3" i="20"/>
  <c r="Y3" i="20"/>
  <c r="B4" i="19"/>
  <c r="X3" i="20" a="1"/>
  <c r="X3" i="20" s="1"/>
  <c r="U3" i="20" a="1"/>
  <c r="U3" i="20" s="1"/>
  <c r="W3" i="20" a="1"/>
  <c r="W3" i="20" s="1"/>
  <c r="T3" i="20" a="1"/>
  <c r="T3" i="20" s="1"/>
  <c r="B6" i="14" a="1"/>
  <c r="C6" i="14" a="1"/>
  <c r="A6" i="14" a="1"/>
  <c r="D6" i="14" a="1"/>
  <c r="AC24" i="9" l="1"/>
  <c r="M24" i="9" s="1"/>
  <c r="AC22" i="9"/>
  <c r="M22" i="9" s="1"/>
  <c r="AC27" i="9"/>
  <c r="M27" i="9" s="1"/>
  <c r="AC30" i="9"/>
  <c r="M30" i="9" s="1"/>
  <c r="AC28" i="9"/>
  <c r="M28" i="9" s="1"/>
  <c r="AC23" i="9"/>
  <c r="M23" i="9" s="1"/>
  <c r="AC25" i="9"/>
  <c r="M25" i="9" s="1"/>
  <c r="AC29" i="9"/>
  <c r="M29" i="9" s="1"/>
  <c r="AC21" i="9"/>
  <c r="M21" i="9" s="1"/>
  <c r="AC26" i="9"/>
  <c r="M26" i="9" s="1"/>
  <c r="AP33" i="20" a="1"/>
  <c r="AP33" i="20" s="1"/>
  <c r="AQ33" i="20" s="1" a="1"/>
  <c r="AQ33" i="20" s="1"/>
  <c r="AF33" i="20" a="1"/>
  <c r="AF33" i="20" s="1"/>
  <c r="AJ33" i="20" s="1" a="1"/>
  <c r="AJ33" i="20" s="1"/>
  <c r="AM45" i="10" a="1"/>
  <c r="AM45" i="10" s="1"/>
  <c r="AN45" i="10" s="1" a="1"/>
  <c r="AN45" i="10" s="1"/>
  <c r="AF3" i="20" a="1"/>
  <c r="AF3" i="20" s="1"/>
  <c r="AE43" i="9" a="1"/>
  <c r="AE43" i="9" s="1"/>
  <c r="AG43" i="9" a="1"/>
  <c r="AG43" i="9" s="1"/>
  <c r="AF4" i="20" a="1"/>
  <c r="AF4" i="20" s="1"/>
  <c r="AF11" i="20" a="1"/>
  <c r="AF11" i="20" s="1"/>
  <c r="AF18" i="20" a="1"/>
  <c r="AF18" i="20" s="1"/>
  <c r="AF25" i="20" a="1"/>
  <c r="AF25" i="20" s="1"/>
  <c r="AF32" i="20" a="1"/>
  <c r="AF32" i="20" s="1"/>
  <c r="AF40" i="20" a="1"/>
  <c r="AF40" i="20" s="1"/>
  <c r="AF47" i="20" a="1"/>
  <c r="AF47" i="20" s="1"/>
  <c r="AF61" i="20" a="1"/>
  <c r="AF61" i="20" s="1"/>
  <c r="AF65" i="20" a="1"/>
  <c r="AF65" i="20" s="1"/>
  <c r="AF5" i="20" a="1"/>
  <c r="AF5" i="20" s="1"/>
  <c r="AF12" i="20" a="1"/>
  <c r="AF12" i="20" s="1"/>
  <c r="AF19" i="20" a="1"/>
  <c r="AF19" i="20" s="1"/>
  <c r="AF26" i="20" a="1"/>
  <c r="AF26" i="20" s="1"/>
  <c r="AF48" i="20" a="1"/>
  <c r="AF48" i="20" s="1"/>
  <c r="AF6" i="20" a="1"/>
  <c r="AF6" i="20" s="1"/>
  <c r="AF20" i="20" a="1"/>
  <c r="AF20" i="20" s="1"/>
  <c r="AF35" i="20" a="1"/>
  <c r="AF35" i="20" s="1"/>
  <c r="AF49" i="20" a="1"/>
  <c r="AF49" i="20" s="1"/>
  <c r="AF43" i="20" a="1"/>
  <c r="AF43" i="20" s="1"/>
  <c r="AF54" i="20" a="1"/>
  <c r="AF54" i="20" s="1"/>
  <c r="AF34" i="20" a="1"/>
  <c r="AF34" i="20" s="1"/>
  <c r="AF55" i="20" a="1"/>
  <c r="AF55" i="20" s="1"/>
  <c r="AF66" i="20" a="1"/>
  <c r="AF66" i="20" s="1"/>
  <c r="AF13" i="20" a="1"/>
  <c r="AF13" i="20" s="1"/>
  <c r="AF27" i="20" a="1"/>
  <c r="AF27" i="20" s="1"/>
  <c r="AF42" i="20" a="1"/>
  <c r="AF42" i="20" s="1"/>
  <c r="AF56" i="20" a="1"/>
  <c r="AF56" i="20" s="1"/>
  <c r="AF28" i="20" a="1"/>
  <c r="AF28" i="20" s="1"/>
  <c r="AF57" i="20" a="1"/>
  <c r="AF57" i="20" s="1"/>
  <c r="AF22" i="20" a="1"/>
  <c r="AF22" i="20" s="1"/>
  <c r="AF44" i="20" a="1"/>
  <c r="AF44" i="20" s="1"/>
  <c r="AF14" i="20" a="1"/>
  <c r="AF14" i="20" s="1"/>
  <c r="AF29" i="20" a="1"/>
  <c r="AF29" i="20" s="1"/>
  <c r="AF41" i="20" a="1"/>
  <c r="AF41" i="20" s="1"/>
  <c r="AF36" i="20" a="1"/>
  <c r="AF36" i="20" s="1"/>
  <c r="AF50" i="20" a="1"/>
  <c r="AF50" i="20" s="1"/>
  <c r="AF58" i="20" a="1"/>
  <c r="AF58" i="20" s="1"/>
  <c r="AF21" i="20" a="1"/>
  <c r="AF21" i="20" s="1"/>
  <c r="AF7" i="20" a="1"/>
  <c r="AF7" i="20" s="1"/>
  <c r="AF8" i="20" a="1"/>
  <c r="AF8" i="20" s="1"/>
  <c r="AF62" i="20" a="1"/>
  <c r="AF62" i="20" s="1"/>
  <c r="AF9" i="20" a="1"/>
  <c r="AF9" i="20" s="1"/>
  <c r="AF23" i="20" a="1"/>
  <c r="AF23" i="20" s="1"/>
  <c r="AF30" i="20" a="1"/>
  <c r="AF30" i="20" s="1"/>
  <c r="AI43" i="21" s="1" a="1"/>
  <c r="AI43" i="21" s="1"/>
  <c r="AF38" i="20" a="1"/>
  <c r="AF38" i="20" s="1"/>
  <c r="AF52" i="20" a="1"/>
  <c r="AF52" i="20" s="1"/>
  <c r="AF63" i="20" a="1"/>
  <c r="AF63" i="20" s="1"/>
  <c r="AF17" i="20" a="1"/>
  <c r="AF17" i="20" s="1"/>
  <c r="AF31" i="20" a="1"/>
  <c r="AF31" i="20" s="1"/>
  <c r="AF39" i="20" a="1"/>
  <c r="AF39" i="20" s="1"/>
  <c r="AJ39" i="20" s="1" a="1"/>
  <c r="AJ39" i="20" s="1"/>
  <c r="AF53" i="20" a="1"/>
  <c r="AF53" i="20" s="1"/>
  <c r="AF64" i="20" a="1"/>
  <c r="AF64" i="20" s="1"/>
  <c r="AF51" i="20" a="1"/>
  <c r="AF51" i="20" s="1"/>
  <c r="AF16" i="20" a="1"/>
  <c r="AF16" i="20" s="1"/>
  <c r="AF45" i="20" a="1"/>
  <c r="AF45" i="20" s="1"/>
  <c r="AF59" i="20" a="1"/>
  <c r="AF59" i="20" s="1"/>
  <c r="AF10" i="20" a="1"/>
  <c r="AF10" i="20" s="1"/>
  <c r="AF24" i="20" a="1"/>
  <c r="AF24" i="20" s="1"/>
  <c r="AF46" i="20" a="1"/>
  <c r="AF46" i="20" s="1"/>
  <c r="AF60" i="20" a="1"/>
  <c r="AF60" i="20" s="1"/>
  <c r="AJ60" i="20" s="1" a="1"/>
  <c r="AJ60" i="20" s="1"/>
  <c r="AF15" i="20" a="1"/>
  <c r="AF15" i="20" s="1"/>
  <c r="AF37" i="20" a="1"/>
  <c r="AF37" i="20" s="1"/>
  <c r="AP39" i="20" a="1"/>
  <c r="AP39" i="20" s="1"/>
  <c r="AQ39" i="20" s="1" a="1"/>
  <c r="AQ39" i="20" s="1"/>
  <c r="AM44" i="10" a="1"/>
  <c r="AM44" i="10" s="1"/>
  <c r="AN44" i="10" s="1" a="1"/>
  <c r="AN44" i="10" s="1"/>
  <c r="AN3" i="21" a="1"/>
  <c r="AN3" i="21" s="1"/>
  <c r="AN4" i="21" s="1" a="1"/>
  <c r="AN4" i="21" s="1"/>
  <c r="AN5" i="21" s="1" a="1"/>
  <c r="AN5" i="21" s="1"/>
  <c r="AN6" i="21" s="1" a="1"/>
  <c r="AN6" i="21" s="1"/>
  <c r="AN7" i="21" s="1" a="1"/>
  <c r="AN7" i="21" s="1"/>
  <c r="AN8" i="21" s="1" a="1"/>
  <c r="AN8" i="21" s="1"/>
  <c r="AN9" i="21" s="1" a="1"/>
  <c r="AN9" i="21" s="1"/>
  <c r="AN10" i="21" s="1" a="1"/>
  <c r="AN10" i="21" s="1"/>
  <c r="AN11" i="21" s="1" a="1"/>
  <c r="AN11" i="21" s="1"/>
  <c r="AN12" i="21" s="1" a="1"/>
  <c r="AN12" i="21" s="1"/>
  <c r="AN13" i="21" s="1" a="1"/>
  <c r="AN13" i="21" s="1"/>
  <c r="AN14" i="21" s="1" a="1"/>
  <c r="AN14" i="21" s="1"/>
  <c r="AN15" i="21" s="1" a="1"/>
  <c r="AN15" i="21" s="1"/>
  <c r="AN16" i="21" s="1" a="1"/>
  <c r="AN16" i="21" s="1"/>
  <c r="AN17" i="21" s="1" a="1"/>
  <c r="AN17" i="21" s="1"/>
  <c r="AN18" i="21" s="1" a="1"/>
  <c r="AN18" i="21" s="1"/>
  <c r="AN19" i="21" s="1" a="1"/>
  <c r="AN19" i="21" s="1"/>
  <c r="AN20" i="21" s="1" a="1"/>
  <c r="AN20" i="21" s="1"/>
  <c r="AN21" i="21" s="1" a="1"/>
  <c r="AN21" i="21" s="1"/>
  <c r="AN22" i="21" s="1" a="1"/>
  <c r="AN22" i="21" s="1"/>
  <c r="AN23" i="21" s="1" a="1"/>
  <c r="AN23" i="21" s="1"/>
  <c r="AN24" i="21" s="1" a="1"/>
  <c r="AN24" i="21" s="1"/>
  <c r="AN25" i="21" s="1" a="1"/>
  <c r="AN25" i="21" s="1"/>
  <c r="AN26" i="21" s="1" a="1"/>
  <c r="AN26" i="21" s="1"/>
  <c r="AN27" i="21" s="1" a="1"/>
  <c r="AN27" i="21" s="1"/>
  <c r="AN28" i="21" s="1" a="1"/>
  <c r="AN28" i="21" s="1"/>
  <c r="AN29" i="21" s="1" a="1"/>
  <c r="AN29" i="21" s="1"/>
  <c r="AN30" i="21" s="1" a="1"/>
  <c r="AN30" i="21" s="1"/>
  <c r="AP37" i="20" a="1"/>
  <c r="AP37" i="20" s="1"/>
  <c r="AQ37" i="20" s="1" a="1"/>
  <c r="AQ37" i="20" s="1"/>
  <c r="AP38" i="20" a="1"/>
  <c r="AP38" i="20" s="1"/>
  <c r="AQ38" i="20" s="1" a="1"/>
  <c r="AQ38" i="20" s="1"/>
  <c r="AP35" i="20" a="1"/>
  <c r="AP35" i="20" s="1"/>
  <c r="AQ35" i="20" s="1" a="1"/>
  <c r="AQ35" i="20" s="1"/>
  <c r="AM43" i="10" a="1"/>
  <c r="AM43" i="10" s="1"/>
  <c r="AN43" i="10" s="1" a="1"/>
  <c r="AN43" i="10" s="1"/>
  <c r="AO84" i="3" a="1"/>
  <c r="AO84" i="3" s="1"/>
  <c r="AM42" i="10" a="1"/>
  <c r="AM42" i="10" s="1"/>
  <c r="AN42" i="10" s="1" a="1"/>
  <c r="AN42" i="10" s="1"/>
  <c r="AM41" i="10" a="1"/>
  <c r="AM41" i="10" s="1"/>
  <c r="AN41" i="10" s="1" a="1"/>
  <c r="AN41" i="10" s="1"/>
  <c r="AP61" i="20" a="1"/>
  <c r="AP61" i="20" s="1"/>
  <c r="AQ61" i="20" s="1" a="1"/>
  <c r="AQ61" i="20" s="1"/>
  <c r="H70" i="28" a="1"/>
  <c r="H70" i="28" s="1"/>
  <c r="A70" i="28" s="1" a="1"/>
  <c r="A70" i="28" s="1"/>
  <c r="AG42" i="9" a="1"/>
  <c r="AG42" i="9" s="1"/>
  <c r="AE42" i="9" a="1"/>
  <c r="AE42" i="9" s="1"/>
  <c r="AM40" i="10" a="1"/>
  <c r="AM40" i="10" s="1"/>
  <c r="AN40" i="10" s="1" a="1"/>
  <c r="AN40" i="10" s="1"/>
  <c r="AP60" i="20" a="1"/>
  <c r="AP60" i="20" s="1"/>
  <c r="AQ60" i="20" s="1" a="1"/>
  <c r="AQ60" i="20" s="1"/>
  <c r="L26" i="3" a="1"/>
  <c r="L26" i="3" s="1"/>
  <c r="AM96" i="3" a="1"/>
  <c r="AM96" i="3" s="1"/>
  <c r="AM38" i="10" a="1"/>
  <c r="AM38" i="10" s="1"/>
  <c r="AN38" i="10" s="1" a="1"/>
  <c r="AN38" i="10" s="1"/>
  <c r="AM39" i="10" a="1"/>
  <c r="AM39" i="10" s="1"/>
  <c r="AN39" i="10" s="1" a="1"/>
  <c r="AN39" i="10" s="1"/>
  <c r="AM37" i="10" a="1"/>
  <c r="AM37" i="10" s="1"/>
  <c r="AN37" i="10" s="1" a="1"/>
  <c r="AN37" i="10" s="1"/>
  <c r="AP59" i="20" a="1"/>
  <c r="AP59" i="20" s="1"/>
  <c r="AQ59" i="20" s="1" a="1"/>
  <c r="AQ59" i="20" s="1"/>
  <c r="AG41" i="9" a="1"/>
  <c r="AG41" i="9" s="1"/>
  <c r="AE41" i="9" a="1"/>
  <c r="AE41" i="9" s="1"/>
  <c r="AP62" i="20" a="1"/>
  <c r="AP62" i="20" s="1"/>
  <c r="AQ62" i="20" s="1" a="1"/>
  <c r="AQ62" i="20" s="1"/>
  <c r="AP63" i="20" a="1"/>
  <c r="AP63" i="20" s="1"/>
  <c r="AQ63" i="20" s="1" a="1"/>
  <c r="AQ63" i="20" s="1"/>
  <c r="AP66" i="20" a="1"/>
  <c r="AP66" i="20" s="1"/>
  <c r="AQ66" i="20" s="1" a="1"/>
  <c r="AQ66" i="20" s="1"/>
  <c r="AP65" i="20" a="1"/>
  <c r="AP65" i="20" s="1"/>
  <c r="AQ65" i="20" s="1" a="1"/>
  <c r="AQ65" i="20" s="1"/>
  <c r="AP64" i="20" a="1"/>
  <c r="AP64" i="20" s="1"/>
  <c r="AQ64" i="20" s="1" a="1"/>
  <c r="AQ64" i="20" s="1"/>
  <c r="AG39" i="9" a="1"/>
  <c r="AG39" i="9" s="1"/>
  <c r="AE39" i="9" a="1"/>
  <c r="AE39" i="9" s="1"/>
  <c r="AE40" i="9" a="1"/>
  <c r="AE40" i="9" s="1"/>
  <c r="AG40" i="9" a="1"/>
  <c r="AG40" i="9" s="1"/>
  <c r="AM36" i="10" a="1"/>
  <c r="AM36" i="10" s="1"/>
  <c r="AN36" i="10" s="1" a="1"/>
  <c r="AN36" i="10" s="1"/>
  <c r="AM35" i="10" a="1"/>
  <c r="AM35" i="10" s="1"/>
  <c r="AN35" i="10" s="1" a="1"/>
  <c r="AN35" i="10" s="1"/>
  <c r="AG38" i="9" a="1"/>
  <c r="AG38" i="9" s="1"/>
  <c r="AE38" i="9" a="1"/>
  <c r="AE38" i="9" s="1"/>
  <c r="AM32" i="10" a="1"/>
  <c r="AM32" i="10" s="1"/>
  <c r="AN32" i="10" s="1" a="1"/>
  <c r="AN32" i="10" s="1"/>
  <c r="AM34" i="10" a="1"/>
  <c r="AM34" i="10" s="1"/>
  <c r="AN34" i="10" s="1" a="1"/>
  <c r="AN34" i="10" s="1"/>
  <c r="AM33" i="10" a="1"/>
  <c r="AM33" i="10" s="1"/>
  <c r="AN33" i="10" s="1" a="1"/>
  <c r="AN33" i="10" s="1"/>
  <c r="AM31" i="10" a="1"/>
  <c r="AM31" i="10" s="1"/>
  <c r="AN31" i="10" s="1" a="1"/>
  <c r="AN31" i="10" s="1"/>
  <c r="AG37" i="9" a="1"/>
  <c r="AG37" i="9" s="1"/>
  <c r="AE36" i="9" a="1"/>
  <c r="AE36" i="9" s="1"/>
  <c r="AE37" i="9" a="1"/>
  <c r="AE37" i="9" s="1"/>
  <c r="AM29" i="10" a="1"/>
  <c r="AM29" i="10" s="1"/>
  <c r="AN29" i="10" s="1" a="1"/>
  <c r="AN29" i="10" s="1"/>
  <c r="AM30" i="10" a="1"/>
  <c r="AM30" i="10" s="1"/>
  <c r="AN30" i="10" s="1" a="1"/>
  <c r="AN30" i="10" s="1"/>
  <c r="AG36" i="9" a="1"/>
  <c r="AG36" i="9" s="1"/>
  <c r="AM27" i="10" a="1"/>
  <c r="AM27" i="10" s="1"/>
  <c r="AN27" i="10" s="1" a="1"/>
  <c r="AN27" i="10" s="1"/>
  <c r="AP57" i="20" a="1"/>
  <c r="AP57" i="20" s="1"/>
  <c r="AQ57" i="20" s="1" a="1"/>
  <c r="AQ57" i="20" s="1"/>
  <c r="AG34" i="9" a="1"/>
  <c r="AG34" i="9" s="1"/>
  <c r="AG35" i="9" a="1"/>
  <c r="AG35" i="9" s="1"/>
  <c r="AE35" i="9" a="1"/>
  <c r="AE35" i="9" s="1"/>
  <c r="T4" i="20" a="1"/>
  <c r="T4" i="20" s="1"/>
  <c r="T5" i="20" s="1" a="1"/>
  <c r="T5" i="20" s="1"/>
  <c r="T6" i="20" s="1" a="1"/>
  <c r="T6" i="20" s="1"/>
  <c r="T7" i="20" s="1" a="1"/>
  <c r="T7" i="20" s="1"/>
  <c r="T8" i="20" s="1" a="1"/>
  <c r="T8" i="20" s="1"/>
  <c r="T9" i="20" s="1" a="1"/>
  <c r="T9" i="20" s="1"/>
  <c r="T10" i="20" s="1" a="1"/>
  <c r="T10" i="20" s="1"/>
  <c r="T11" i="20" s="1" a="1"/>
  <c r="T11" i="20" s="1"/>
  <c r="T12" i="20" s="1" a="1"/>
  <c r="T12" i="20" s="1"/>
  <c r="T13" i="20" s="1" a="1"/>
  <c r="T13" i="20" s="1"/>
  <c r="T14" i="20" s="1" a="1"/>
  <c r="T14" i="20" s="1"/>
  <c r="T15" i="20" s="1" a="1"/>
  <c r="T15" i="20" s="1"/>
  <c r="T16" i="20" s="1" a="1"/>
  <c r="T16" i="20" s="1"/>
  <c r="T17" i="20" s="1" a="1"/>
  <c r="T17" i="20" s="1"/>
  <c r="T18" i="20" s="1" a="1"/>
  <c r="T18" i="20" s="1"/>
  <c r="T19" i="20" s="1" a="1"/>
  <c r="T19" i="20" s="1"/>
  <c r="T20" i="20" s="1" a="1"/>
  <c r="T20" i="20" s="1"/>
  <c r="T21" i="20" s="1" a="1"/>
  <c r="T21" i="20" s="1"/>
  <c r="T22" i="20" s="1" a="1"/>
  <c r="T22" i="20" s="1"/>
  <c r="T23" i="20" s="1" a="1"/>
  <c r="T23" i="20" s="1"/>
  <c r="T24" i="20" s="1" a="1"/>
  <c r="T24" i="20" s="1"/>
  <c r="T25" i="20" s="1" a="1"/>
  <c r="T25" i="20" s="1"/>
  <c r="T26" i="20" s="1" a="1"/>
  <c r="T26" i="20" s="1"/>
  <c r="T27" i="20" s="1" a="1"/>
  <c r="T27" i="20" s="1"/>
  <c r="T28" i="20" s="1" a="1"/>
  <c r="T28" i="20" s="1"/>
  <c r="T29" i="20" s="1" a="1"/>
  <c r="T29" i="20" s="1"/>
  <c r="T30" i="20" s="1" a="1"/>
  <c r="T30" i="20" s="1"/>
  <c r="T31" i="20" s="1" a="1"/>
  <c r="T31" i="20" s="1"/>
  <c r="T32" i="20" s="1" a="1"/>
  <c r="T32" i="20" s="1"/>
  <c r="W4" i="20" a="1"/>
  <c r="W4" i="20" s="1"/>
  <c r="W5" i="20" s="1" a="1"/>
  <c r="W5" i="20" s="1"/>
  <c r="W6" i="20" s="1" a="1"/>
  <c r="W6" i="20" s="1"/>
  <c r="W7" i="20" s="1" a="1"/>
  <c r="W7" i="20" s="1"/>
  <c r="W8" i="20" s="1" a="1"/>
  <c r="W8" i="20" s="1"/>
  <c r="W9" i="20" s="1" a="1"/>
  <c r="W9" i="20" s="1"/>
  <c r="W10" i="20" s="1" a="1"/>
  <c r="W10" i="20" s="1"/>
  <c r="W11" i="20" s="1" a="1"/>
  <c r="W11" i="20" s="1"/>
  <c r="W12" i="20" s="1" a="1"/>
  <c r="W12" i="20" s="1"/>
  <c r="W13" i="20" s="1" a="1"/>
  <c r="W13" i="20" s="1"/>
  <c r="W14" i="20" s="1" a="1"/>
  <c r="W14" i="20" s="1"/>
  <c r="W15" i="20" s="1" a="1"/>
  <c r="W15" i="20" s="1"/>
  <c r="W16" i="20" s="1" a="1"/>
  <c r="W16" i="20" s="1"/>
  <c r="W17" i="20" s="1" a="1"/>
  <c r="W17" i="20" s="1"/>
  <c r="W18" i="20" s="1" a="1"/>
  <c r="W18" i="20" s="1"/>
  <c r="W19" i="20" s="1" a="1"/>
  <c r="W19" i="20" s="1"/>
  <c r="W20" i="20" s="1" a="1"/>
  <c r="W20" i="20" s="1"/>
  <c r="W21" i="20" s="1" a="1"/>
  <c r="W21" i="20" s="1"/>
  <c r="W22" i="20" s="1" a="1"/>
  <c r="W22" i="20" s="1"/>
  <c r="W23" i="20" s="1" a="1"/>
  <c r="W23" i="20" s="1"/>
  <c r="W24" i="20" s="1" a="1"/>
  <c r="W24" i="20" s="1"/>
  <c r="W25" i="20" s="1" a="1"/>
  <c r="W25" i="20" s="1"/>
  <c r="W26" i="20" s="1" a="1"/>
  <c r="W26" i="20" s="1"/>
  <c r="W27" i="20" s="1" a="1"/>
  <c r="W27" i="20" s="1"/>
  <c r="W28" i="20" s="1" a="1"/>
  <c r="W28" i="20" s="1"/>
  <c r="W29" i="20" s="1" a="1"/>
  <c r="W29" i="20" s="1"/>
  <c r="W30" i="20" s="1" a="1"/>
  <c r="W30" i="20" s="1"/>
  <c r="W31" i="20" s="1" a="1"/>
  <c r="W31" i="20" s="1"/>
  <c r="W32" i="20" s="1" a="1"/>
  <c r="W32" i="20" s="1"/>
  <c r="AE34" i="9" a="1"/>
  <c r="AE34" i="9" s="1"/>
  <c r="AP56" i="20" a="1"/>
  <c r="AP56" i="20" s="1"/>
  <c r="AQ56" i="20" s="1" a="1"/>
  <c r="AQ56" i="20" s="1"/>
  <c r="AM26" i="10" a="1"/>
  <c r="AM26" i="10" s="1"/>
  <c r="AN26" i="10" s="1" a="1"/>
  <c r="AN26" i="10" s="1"/>
  <c r="AP55" i="20" a="1"/>
  <c r="AP55" i="20" s="1"/>
  <c r="AQ55" i="20" s="1" a="1"/>
  <c r="AQ55" i="20" s="1"/>
  <c r="AG33" i="9" a="1"/>
  <c r="AG33" i="9" s="1"/>
  <c r="AE33" i="9" a="1"/>
  <c r="AE33" i="9" s="1"/>
  <c r="AP49" i="20" a="1"/>
  <c r="AP49" i="20" s="1"/>
  <c r="AQ49" i="20" s="1" a="1"/>
  <c r="AQ49" i="20" s="1"/>
  <c r="AP12" i="20" a="1"/>
  <c r="AP12" i="20" s="1"/>
  <c r="AQ12" i="20" s="1" a="1"/>
  <c r="AQ12" i="20" s="1"/>
  <c r="AP14" i="20" a="1"/>
  <c r="AP14" i="20" s="1"/>
  <c r="AQ14" i="20" s="1" a="1"/>
  <c r="AQ14" i="20" s="1"/>
  <c r="AP32" i="20" a="1"/>
  <c r="AP32" i="20" s="1"/>
  <c r="AQ32" i="20" s="1" a="1"/>
  <c r="AQ32" i="20" s="1"/>
  <c r="AP30" i="20" a="1"/>
  <c r="AP30" i="20" s="1"/>
  <c r="AQ30" i="20" s="1" a="1"/>
  <c r="AQ30" i="20" s="1"/>
  <c r="AP10" i="20" a="1"/>
  <c r="AP10" i="20" s="1"/>
  <c r="AQ10" i="20" s="1" a="1"/>
  <c r="AQ10" i="20" s="1"/>
  <c r="AP27" i="20" a="1"/>
  <c r="AP27" i="20" s="1"/>
  <c r="AQ27" i="20" s="1" a="1"/>
  <c r="AQ27" i="20" s="1"/>
  <c r="AP4" i="20" a="1"/>
  <c r="AP4" i="20" s="1"/>
  <c r="AQ4" i="20" s="1" a="1"/>
  <c r="AQ4" i="20" s="1"/>
  <c r="AP19" i="20" a="1"/>
  <c r="AP19" i="20" s="1"/>
  <c r="AQ19" i="20" s="1" a="1"/>
  <c r="AQ19" i="20" s="1"/>
  <c r="AP44" i="20" a="1"/>
  <c r="AP44" i="20" s="1"/>
  <c r="AQ44" i="20" s="1" a="1"/>
  <c r="AQ44" i="20" s="1"/>
  <c r="AP52" i="20" a="1"/>
  <c r="AP52" i="20" s="1"/>
  <c r="AQ52" i="20" s="1" a="1"/>
  <c r="AQ52" i="20" s="1"/>
  <c r="AP53" i="20" a="1"/>
  <c r="AP53" i="20" s="1"/>
  <c r="AQ53" i="20" s="1" a="1"/>
  <c r="AQ53" i="20" s="1"/>
  <c r="AP43" i="20" a="1"/>
  <c r="AP43" i="20" s="1"/>
  <c r="AQ43" i="20" s="1" a="1"/>
  <c r="AQ43" i="20" s="1"/>
  <c r="AP22" i="20" a="1"/>
  <c r="AP22" i="20" s="1"/>
  <c r="AQ22" i="20" s="1" a="1"/>
  <c r="AQ22" i="20" s="1"/>
  <c r="AP24" i="20" a="1"/>
  <c r="AP24" i="20" s="1"/>
  <c r="AQ24" i="20" s="1" a="1"/>
  <c r="AQ24" i="20" s="1"/>
  <c r="AP48" i="20" a="1"/>
  <c r="AP48" i="20" s="1"/>
  <c r="AQ48" i="20" s="1" a="1"/>
  <c r="AQ48" i="20" s="1"/>
  <c r="AP25" i="20" a="1"/>
  <c r="AP25" i="20" s="1"/>
  <c r="AQ25" i="20" s="1" a="1"/>
  <c r="AQ25" i="20" s="1"/>
  <c r="AP26" i="20" a="1"/>
  <c r="AP26" i="20" s="1"/>
  <c r="AQ26" i="20" s="1" a="1"/>
  <c r="AQ26" i="20" s="1"/>
  <c r="AP5" i="20" a="1"/>
  <c r="AP5" i="20" s="1"/>
  <c r="AQ5" i="20" s="1" a="1"/>
  <c r="AQ5" i="20" s="1"/>
  <c r="AP6" i="20" a="1"/>
  <c r="AP6" i="20" s="1"/>
  <c r="AQ6" i="20" s="1" a="1"/>
  <c r="AQ6" i="20" s="1"/>
  <c r="AP46" i="20" a="1"/>
  <c r="AP46" i="20" s="1"/>
  <c r="AQ46" i="20" s="1" a="1"/>
  <c r="AQ46" i="20" s="1"/>
  <c r="AP7" i="20" a="1"/>
  <c r="AP7" i="20" s="1"/>
  <c r="AQ7" i="20" s="1" a="1"/>
  <c r="AQ7" i="20" s="1"/>
  <c r="AP31" i="20" a="1"/>
  <c r="AP31" i="20" s="1"/>
  <c r="AQ31" i="20" s="1" a="1"/>
  <c r="AQ31" i="20" s="1"/>
  <c r="AP8" i="20" a="1"/>
  <c r="AP8" i="20" s="1"/>
  <c r="AQ8" i="20" s="1" a="1"/>
  <c r="AQ8" i="20" s="1"/>
  <c r="AM4" i="10" a="1"/>
  <c r="AM4" i="10" s="1"/>
  <c r="AN4" i="10" s="1" a="1"/>
  <c r="AN4" i="10" s="1"/>
  <c r="AM10" i="10" a="1"/>
  <c r="AM10" i="10" s="1"/>
  <c r="AN10" i="10" s="1" a="1"/>
  <c r="AN10" i="10" s="1"/>
  <c r="AM13" i="10" a="1"/>
  <c r="AM13" i="10" s="1"/>
  <c r="AN13" i="10" s="1" a="1"/>
  <c r="AN13" i="10" s="1"/>
  <c r="AP3" i="20" a="1"/>
  <c r="AP3" i="20" s="1"/>
  <c r="AQ3" i="20" s="1" a="1"/>
  <c r="AQ3" i="20" s="1"/>
  <c r="AM25" i="10" a="1"/>
  <c r="AM25" i="10" s="1"/>
  <c r="AN25" i="10" s="1" a="1"/>
  <c r="AN25" i="10" s="1"/>
  <c r="AM17" i="10" a="1"/>
  <c r="AM17" i="10" s="1"/>
  <c r="AN17" i="10" s="1" a="1"/>
  <c r="AN17" i="10" s="1"/>
  <c r="AM5" i="10" a="1"/>
  <c r="AM5" i="10" s="1"/>
  <c r="AN5" i="10" s="1" a="1"/>
  <c r="AN5" i="10" s="1"/>
  <c r="AM14" i="10" a="1"/>
  <c r="AM14" i="10" s="1"/>
  <c r="AN14" i="10" s="1" a="1"/>
  <c r="AN14" i="10" s="1"/>
  <c r="AM9" i="10" a="1"/>
  <c r="AM9" i="10" s="1"/>
  <c r="AN9" i="10" s="1" a="1"/>
  <c r="AN9" i="10" s="1"/>
  <c r="AM6" i="10" a="1"/>
  <c r="AM6" i="10" s="1"/>
  <c r="AN6" i="10" s="1" a="1"/>
  <c r="AN6" i="10" s="1"/>
  <c r="AM11" i="10" a="1"/>
  <c r="AM11" i="10" s="1"/>
  <c r="AN11" i="10" s="1" a="1"/>
  <c r="AN11" i="10" s="1"/>
  <c r="AM22" i="10" a="1"/>
  <c r="AM22" i="10" s="1"/>
  <c r="AN22" i="10" s="1" a="1"/>
  <c r="AN22" i="10" s="1"/>
  <c r="AM7" i="10" a="1"/>
  <c r="AM7" i="10" s="1"/>
  <c r="AN7" i="10" s="1" a="1"/>
  <c r="AN7" i="10" s="1"/>
  <c r="AM23" i="10" a="1"/>
  <c r="AM23" i="10" s="1"/>
  <c r="AN23" i="10" s="1" a="1"/>
  <c r="AN23" i="10" s="1"/>
  <c r="AM12" i="10" a="1"/>
  <c r="AM12" i="10" s="1"/>
  <c r="AN12" i="10" s="1" a="1"/>
  <c r="AN12" i="10" s="1"/>
  <c r="AM8" i="10" a="1"/>
  <c r="AM8" i="10" s="1"/>
  <c r="AN8" i="10" s="1" a="1"/>
  <c r="AN8" i="10" s="1"/>
  <c r="AE11" i="10"/>
  <c r="P11" i="10" s="1"/>
  <c r="AE16" i="10"/>
  <c r="P16" i="10" s="1"/>
  <c r="AE31" i="9" a="1"/>
  <c r="AE31" i="9" s="1"/>
  <c r="AG32" i="9" a="1"/>
  <c r="AG32" i="9" s="1"/>
  <c r="AE32" i="9" a="1"/>
  <c r="AE32" i="9" s="1"/>
  <c r="AG31" i="9" a="1"/>
  <c r="AG31" i="9" s="1"/>
  <c r="AE10" i="10"/>
  <c r="P10" i="10" s="1"/>
  <c r="AE15" i="10"/>
  <c r="P15" i="10" s="1"/>
  <c r="AE9" i="10"/>
  <c r="P9" i="10" s="1"/>
  <c r="AE4" i="10"/>
  <c r="P4" i="10" s="1"/>
  <c r="AE8" i="10"/>
  <c r="P8" i="10" s="1"/>
  <c r="AE7" i="10"/>
  <c r="P7" i="10" s="1"/>
  <c r="AE22" i="10"/>
  <c r="P22" i="10" s="1"/>
  <c r="AE21" i="10"/>
  <c r="P21" i="10" s="1"/>
  <c r="AE5" i="10"/>
  <c r="P5" i="10" s="1"/>
  <c r="AE24" i="10"/>
  <c r="P24" i="10" s="1"/>
  <c r="AE23" i="10"/>
  <c r="P23" i="10" s="1"/>
  <c r="AE20" i="10"/>
  <c r="P20" i="10" s="1"/>
  <c r="AE14" i="10"/>
  <c r="P14" i="10" s="1"/>
  <c r="AE17" i="10"/>
  <c r="P17" i="10" s="1"/>
  <c r="AE19" i="10"/>
  <c r="P19" i="10" s="1"/>
  <c r="AE6" i="10"/>
  <c r="P6" i="10" s="1"/>
  <c r="AE13" i="10"/>
  <c r="P13" i="10" s="1"/>
  <c r="AE18" i="10"/>
  <c r="P18" i="10" s="1"/>
  <c r="AE12" i="10"/>
  <c r="P12" i="10" s="1"/>
  <c r="A4" i="24"/>
  <c r="AH3" i="20" a="1"/>
  <c r="AH3" i="20" s="1"/>
  <c r="AD3" i="20"/>
  <c r="P3" i="20" s="1"/>
  <c r="AE25" i="9" a="1"/>
  <c r="AE25" i="9" s="1"/>
  <c r="AE27" i="9" a="1"/>
  <c r="AE27" i="9" s="1"/>
  <c r="AE28" i="9" a="1"/>
  <c r="AE28" i="9" s="1"/>
  <c r="AE29" i="9" a="1"/>
  <c r="AE29" i="9" s="1"/>
  <c r="AE30" i="9" a="1"/>
  <c r="AE30" i="9" s="1"/>
  <c r="U29" i="9"/>
  <c r="U30" i="9"/>
  <c r="AG30" i="9" a="1"/>
  <c r="AG30" i="9" s="1"/>
  <c r="AG5" i="9" a="1"/>
  <c r="AG5" i="9" s="1"/>
  <c r="AG17" i="9" a="1"/>
  <c r="AG17" i="9" s="1"/>
  <c r="AG16" i="9" a="1"/>
  <c r="AG16" i="9" s="1"/>
  <c r="AG15" i="9" a="1"/>
  <c r="AG15" i="9" s="1"/>
  <c r="AG14" i="9" a="1"/>
  <c r="AG14" i="9" s="1"/>
  <c r="AG13" i="9" a="1"/>
  <c r="AG13" i="9" s="1"/>
  <c r="AG12" i="9" a="1"/>
  <c r="AG12" i="9" s="1"/>
  <c r="AG29" i="9" a="1"/>
  <c r="AG29" i="9" s="1"/>
  <c r="AG28" i="9" a="1"/>
  <c r="AG28" i="9" s="1"/>
  <c r="AG11" i="9" a="1"/>
  <c r="AG11" i="9" s="1"/>
  <c r="AG26" i="9" a="1"/>
  <c r="AG26" i="9" s="1"/>
  <c r="AG10" i="9" a="1"/>
  <c r="AG10" i="9" s="1"/>
  <c r="AG25" i="9" a="1"/>
  <c r="AG25" i="9" s="1"/>
  <c r="AG9" i="9" a="1"/>
  <c r="AG9" i="9" s="1"/>
  <c r="AG27" i="9" a="1"/>
  <c r="AG27" i="9" s="1"/>
  <c r="AG24" i="9" a="1"/>
  <c r="AG24" i="9" s="1"/>
  <c r="AG8" i="9" a="1"/>
  <c r="AG8" i="9" s="1"/>
  <c r="AG23" i="9" a="1"/>
  <c r="AG23" i="9" s="1"/>
  <c r="AG7" i="9" a="1"/>
  <c r="AG7" i="9" s="1"/>
  <c r="AG22" i="9" a="1"/>
  <c r="AG22" i="9" s="1"/>
  <c r="AG6" i="9" a="1"/>
  <c r="AG6" i="9" s="1"/>
  <c r="AG21" i="9" a="1"/>
  <c r="AG21" i="9" s="1"/>
  <c r="AG20" i="9" a="1"/>
  <c r="AG20" i="9" s="1"/>
  <c r="AG4" i="9" a="1"/>
  <c r="AG4" i="9" s="1"/>
  <c r="AG19" i="9" a="1"/>
  <c r="AG19" i="9" s="1"/>
  <c r="AG3" i="9" a="1"/>
  <c r="AG3" i="9" s="1"/>
  <c r="AG18" i="9" a="1"/>
  <c r="AG18" i="9" s="1"/>
  <c r="AE22" i="9" a="1"/>
  <c r="AE22" i="9" s="1"/>
  <c r="AE21" i="9" a="1"/>
  <c r="AE21" i="9" s="1"/>
  <c r="AE24" i="9" a="1"/>
  <c r="AE24" i="9" s="1"/>
  <c r="AE26" i="9" a="1"/>
  <c r="AE26" i="9" s="1"/>
  <c r="AE23" i="9" a="1"/>
  <c r="AE23" i="9" s="1"/>
  <c r="AE11" i="9" a="1"/>
  <c r="AE11" i="9" s="1"/>
  <c r="AE5" i="9" a="1"/>
  <c r="AE5" i="9" s="1"/>
  <c r="AE18" i="9" a="1"/>
  <c r="AE18" i="9" s="1"/>
  <c r="AE17" i="9" a="1"/>
  <c r="AE17" i="9" s="1"/>
  <c r="AE16" i="9" a="1"/>
  <c r="AE16" i="9" s="1"/>
  <c r="AE15" i="9" a="1"/>
  <c r="AE15" i="9" s="1"/>
  <c r="AE14" i="9" a="1"/>
  <c r="AE14" i="9" s="1"/>
  <c r="AE13" i="9" a="1"/>
  <c r="AE13" i="9" s="1"/>
  <c r="AE12" i="9" a="1"/>
  <c r="AE12" i="9" s="1"/>
  <c r="AE10" i="9" a="1"/>
  <c r="AE10" i="9" s="1"/>
  <c r="AE9" i="9" a="1"/>
  <c r="AE9" i="9" s="1"/>
  <c r="AE8" i="9" a="1"/>
  <c r="AE8" i="9" s="1"/>
  <c r="AE7" i="9" a="1"/>
  <c r="AE7" i="9" s="1"/>
  <c r="AE6" i="9" a="1"/>
  <c r="AE6" i="9" s="1"/>
  <c r="AE4" i="9" a="1"/>
  <c r="AE4" i="9" s="1"/>
  <c r="AE20" i="9" a="1"/>
  <c r="AE20" i="9" s="1"/>
  <c r="AE3" i="9" a="1"/>
  <c r="AE3" i="9" s="1"/>
  <c r="AE19" i="9" a="1"/>
  <c r="AE19" i="9" s="1"/>
  <c r="D6" i="14"/>
  <c r="C6" i="14"/>
  <c r="B6" i="14"/>
  <c r="A6" i="14"/>
  <c r="AG33" i="20" l="1" a="1"/>
  <c r="AG33" i="20" s="1"/>
  <c r="W33" i="20" a="1"/>
  <c r="W33" i="20" s="1"/>
  <c r="W34" i="20" s="1" a="1"/>
  <c r="W34" i="20" s="1"/>
  <c r="W35" i="20" s="1" a="1"/>
  <c r="W35" i="20" s="1"/>
  <c r="W36" i="20" s="1" a="1"/>
  <c r="W36" i="20" s="1"/>
  <c r="W37" i="20" s="1" a="1"/>
  <c r="W37" i="20" s="1"/>
  <c r="W38" i="20" s="1" a="1"/>
  <c r="W38" i="20" s="1"/>
  <c r="W39" i="20" s="1" a="1"/>
  <c r="W39" i="20" s="1"/>
  <c r="W40" i="20" s="1" a="1"/>
  <c r="W40" i="20" s="1"/>
  <c r="W41" i="20" s="1" a="1"/>
  <c r="W41" i="20" s="1"/>
  <c r="T33" i="20" a="1"/>
  <c r="T33" i="20" s="1"/>
  <c r="T34" i="20" s="1" a="1"/>
  <c r="T34" i="20" s="1"/>
  <c r="T35" i="20" s="1" a="1"/>
  <c r="T35" i="20" s="1"/>
  <c r="T36" i="20" s="1" a="1"/>
  <c r="T36" i="20" s="1"/>
  <c r="T37" i="20" s="1" a="1"/>
  <c r="T37" i="20" s="1"/>
  <c r="T38" i="20" s="1" a="1"/>
  <c r="T38" i="20" s="1"/>
  <c r="T39" i="20" s="1" a="1"/>
  <c r="T39" i="20" s="1"/>
  <c r="T40" i="20" s="1" a="1"/>
  <c r="T40" i="20" s="1"/>
  <c r="T41" i="20" s="1" a="1"/>
  <c r="T41" i="20" s="1"/>
  <c r="AJ61" i="20" a="1"/>
  <c r="AJ61" i="20" s="1"/>
  <c r="AJ37" i="20" a="1"/>
  <c r="AJ37" i="20" s="1"/>
  <c r="AG39" i="20" a="1"/>
  <c r="AG39" i="20" s="1"/>
  <c r="AG37" i="20" a="1"/>
  <c r="AG37" i="20" s="1"/>
  <c r="AJ38" i="20" a="1"/>
  <c r="AJ38" i="20" s="1"/>
  <c r="AG38" i="20" a="1"/>
  <c r="AG38" i="20" s="1"/>
  <c r="AJ36" i="20" a="1"/>
  <c r="AJ36" i="20" s="1"/>
  <c r="AG36" i="20" a="1"/>
  <c r="AG36" i="20" s="1"/>
  <c r="AO85" i="3" a="1"/>
  <c r="AO85" i="3" s="1"/>
  <c r="AG61" i="20" a="1"/>
  <c r="AG61" i="20" s="1"/>
  <c r="AJ42" i="20" a="1"/>
  <c r="AJ42" i="20" s="1"/>
  <c r="AG42" i="20" a="1"/>
  <c r="AG42" i="20" s="1"/>
  <c r="AG60" i="20" a="1"/>
  <c r="AG60" i="20" s="1"/>
  <c r="AJ47" i="20" a="1"/>
  <c r="AJ47" i="20" s="1"/>
  <c r="AJ56" i="20" a="1"/>
  <c r="AJ56" i="20" s="1"/>
  <c r="AJ52" i="20" a="1"/>
  <c r="AJ52" i="20" s="1"/>
  <c r="AJ13" i="20" a="1"/>
  <c r="AJ13" i="20" s="1"/>
  <c r="AJ58" i="20" a="1"/>
  <c r="AJ58" i="20" s="1"/>
  <c r="AJ46" i="20" a="1"/>
  <c r="AJ46" i="20" s="1"/>
  <c r="AJ27" i="20" a="1"/>
  <c r="AJ27" i="20" s="1"/>
  <c r="AJ19" i="20" a="1"/>
  <c r="AJ19" i="20" s="1"/>
  <c r="AJ41" i="20" a="1"/>
  <c r="AJ41" i="20" s="1"/>
  <c r="AJ63" i="20" a="1"/>
  <c r="AJ63" i="20" s="1"/>
  <c r="AJ40" i="20" a="1"/>
  <c r="AJ40" i="20" s="1"/>
  <c r="AJ55" i="20" a="1"/>
  <c r="AJ55" i="20" s="1"/>
  <c r="AJ34" i="20" a="1"/>
  <c r="AJ34" i="20" s="1"/>
  <c r="AJ51" i="20" a="1"/>
  <c r="AJ51" i="20" s="1"/>
  <c r="AJ65" i="20" a="1"/>
  <c r="AJ65" i="20" s="1"/>
  <c r="AJ44" i="20" a="1"/>
  <c r="AJ44" i="20" s="1"/>
  <c r="AJ57" i="20" a="1"/>
  <c r="AJ57" i="20" s="1"/>
  <c r="AJ5" i="20" a="1"/>
  <c r="AJ5" i="20" s="1"/>
  <c r="AJ43" i="20" a="1"/>
  <c r="AJ43" i="20" s="1"/>
  <c r="AJ16" i="20" a="1"/>
  <c r="AJ16" i="20" s="1"/>
  <c r="AJ49" i="20" a="1"/>
  <c r="AJ49" i="20" s="1"/>
  <c r="AJ20" i="20" a="1"/>
  <c r="AJ20" i="20" s="1"/>
  <c r="AJ24" i="20" a="1"/>
  <c r="AJ24" i="20" s="1"/>
  <c r="AJ53" i="20" a="1"/>
  <c r="AJ53" i="20" s="1"/>
  <c r="AJ3" i="20" a="1"/>
  <c r="AJ3" i="20" s="1"/>
  <c r="AJ26" i="20" a="1"/>
  <c r="AJ26" i="20" s="1"/>
  <c r="AJ48" i="20" a="1"/>
  <c r="AJ48" i="20" s="1"/>
  <c r="AJ54" i="20" a="1"/>
  <c r="AJ54" i="20" s="1"/>
  <c r="L27" i="3" a="1"/>
  <c r="L27" i="3" s="1"/>
  <c r="AM97" i="3" a="1"/>
  <c r="AM97" i="3" s="1"/>
  <c r="AJ59" i="20" a="1"/>
  <c r="AJ59" i="20" s="1"/>
  <c r="AG59" i="20" a="1"/>
  <c r="AG59" i="20" s="1"/>
  <c r="AG65" i="20" a="1"/>
  <c r="AG65" i="20" s="1"/>
  <c r="AJ66" i="20" a="1"/>
  <c r="AJ66" i="20" s="1"/>
  <c r="AG66" i="20" a="1"/>
  <c r="AG66" i="20" s="1"/>
  <c r="AG63" i="20" a="1"/>
  <c r="AG63" i="20" s="1"/>
  <c r="AJ64" i="20" a="1"/>
  <c r="AJ64" i="20" s="1"/>
  <c r="AG64" i="20" a="1"/>
  <c r="AG64" i="20" s="1"/>
  <c r="AJ62" i="20" a="1"/>
  <c r="AJ62" i="20" s="1"/>
  <c r="AG62" i="20" a="1"/>
  <c r="AG62" i="20" s="1"/>
  <c r="AG3" i="20" a="1"/>
  <c r="AG3" i="20" s="1"/>
  <c r="AG58" i="20" a="1"/>
  <c r="AG58" i="20" s="1"/>
  <c r="AH30" i="9" a="1"/>
  <c r="AH30" i="9" s="1"/>
  <c r="W30" i="9"/>
  <c r="AH29" i="9" a="1"/>
  <c r="AH29" i="9" s="1"/>
  <c r="W29" i="9"/>
  <c r="AG57" i="20" a="1"/>
  <c r="AG57" i="20" s="1"/>
  <c r="D19" i="25"/>
  <c r="L19" i="25" s="1"/>
  <c r="M19" i="25" s="1" a="1"/>
  <c r="M19" i="25" s="1"/>
  <c r="D20" i="25"/>
  <c r="L20" i="25" s="1"/>
  <c r="M20" i="25" s="1" a="1"/>
  <c r="M20" i="25" s="1"/>
  <c r="D21" i="25"/>
  <c r="L21" i="25" s="1"/>
  <c r="M21" i="25" s="1" a="1"/>
  <c r="M21" i="25" s="1"/>
  <c r="AG55" i="20" a="1"/>
  <c r="AG55" i="20" s="1"/>
  <c r="AG56" i="20" a="1"/>
  <c r="AG56" i="20" s="1"/>
  <c r="AG54" i="20" a="1"/>
  <c r="AG54" i="20" s="1"/>
  <c r="AG53" i="20" a="1"/>
  <c r="AG53" i="20" s="1"/>
  <c r="AG52" i="20" a="1"/>
  <c r="AG52" i="20" s="1"/>
  <c r="AG46" i="20" a="1"/>
  <c r="AG46" i="20" s="1"/>
  <c r="AG41" i="20" a="1"/>
  <c r="AG41" i="20" s="1"/>
  <c r="AG40" i="20" a="1"/>
  <c r="AG40" i="20" s="1"/>
  <c r="AG51" i="20" a="1"/>
  <c r="AG51" i="20" s="1"/>
  <c r="AG44" i="20" a="1"/>
  <c r="AG44" i="20" s="1"/>
  <c r="AG43" i="20" a="1"/>
  <c r="AG43" i="20" s="1"/>
  <c r="AG49" i="20" a="1"/>
  <c r="AG49" i="20" s="1"/>
  <c r="AG48" i="20" a="1"/>
  <c r="AG48" i="20" s="1"/>
  <c r="AG47" i="20" a="1"/>
  <c r="AG47" i="20" s="1"/>
  <c r="AG5" i="20" a="1"/>
  <c r="AG5" i="20" s="1"/>
  <c r="AG16" i="20" a="1"/>
  <c r="AG16" i="20" s="1"/>
  <c r="AG26" i="20" a="1"/>
  <c r="AG26" i="20" s="1"/>
  <c r="AG34" i="20" a="1"/>
  <c r="AG34" i="20" s="1"/>
  <c r="AG24" i="20" a="1"/>
  <c r="AG24" i="20" s="1"/>
  <c r="AG20" i="20" a="1"/>
  <c r="AG20" i="20" s="1"/>
  <c r="AG13" i="20" a="1"/>
  <c r="AG13" i="20" s="1"/>
  <c r="AG27" i="20" a="1"/>
  <c r="AG27" i="20" s="1"/>
  <c r="AG19" i="20" a="1"/>
  <c r="AG19" i="20" s="1"/>
  <c r="AI3" i="20" a="1"/>
  <c r="AI3" i="20" s="1"/>
  <c r="E6" i="14"/>
  <c r="L6" i="14"/>
  <c r="U5" i="17" a="1"/>
  <c r="U5" i="17" s="1"/>
  <c r="L11" i="14"/>
  <c r="L12" i="14"/>
  <c r="L13" i="14"/>
  <c r="L14" i="14"/>
  <c r="L15" i="14"/>
  <c r="C20" i="14" a="1"/>
  <c r="C20" i="14" s="1"/>
  <c r="AD3" i="9" a="1"/>
  <c r="AD3" i="9" s="1"/>
  <c r="H3" i="13" a="1"/>
  <c r="H3" i="13" s="1"/>
  <c r="H4" i="13" s="1" a="1"/>
  <c r="H4" i="13" s="1"/>
  <c r="H5" i="13" s="1" a="1"/>
  <c r="H5" i="13" s="1"/>
  <c r="H6" i="13" s="1" a="1"/>
  <c r="H6" i="13" s="1"/>
  <c r="H7" i="13" s="1" a="1"/>
  <c r="H7" i="13" s="1"/>
  <c r="H8" i="13" s="1" a="1"/>
  <c r="H8" i="13" s="1"/>
  <c r="H9" i="13" s="1" a="1"/>
  <c r="H9" i="13" s="1"/>
  <c r="H10" i="13" s="1" a="1"/>
  <c r="H10" i="13" s="1"/>
  <c r="H11" i="13" s="1" a="1"/>
  <c r="H11" i="13" s="1"/>
  <c r="H12" i="13" s="1" a="1"/>
  <c r="H12" i="13" s="1"/>
  <c r="H13" i="13" s="1" a="1"/>
  <c r="H13" i="13" s="1"/>
  <c r="H14" i="13" s="1" a="1"/>
  <c r="H14" i="13" s="1"/>
  <c r="H15" i="13" s="1" a="1"/>
  <c r="H15" i="13" s="1"/>
  <c r="H16" i="13" s="1" a="1"/>
  <c r="H16" i="13" s="1"/>
  <c r="H17" i="13" s="1" a="1"/>
  <c r="H17" i="13" s="1"/>
  <c r="H18" i="13" s="1" a="1"/>
  <c r="H18" i="13" s="1"/>
  <c r="H19" i="13" s="1" a="1"/>
  <c r="H19" i="13" s="1"/>
  <c r="H20" i="13" s="1" a="1"/>
  <c r="H20" i="13" s="1"/>
  <c r="E11" i="14"/>
  <c r="E12" i="14"/>
  <c r="E13" i="14"/>
  <c r="E14" i="14"/>
  <c r="E15" i="14"/>
  <c r="W4" i="10" a="1"/>
  <c r="W4" i="10" s="1"/>
  <c r="AJ3" i="4"/>
  <c r="AK3" i="4"/>
  <c r="AL3" i="4"/>
  <c r="AM3" i="4"/>
  <c r="AI3" i="4"/>
  <c r="AH5" i="4"/>
  <c r="AH6" i="4"/>
  <c r="AH7" i="4"/>
  <c r="AH8" i="4"/>
  <c r="AH4" i="4"/>
  <c r="AB4" i="4" a="1"/>
  <c r="AB4" i="4" s="1"/>
  <c r="B8" i="14" a="1"/>
  <c r="A10" i="14" a="1"/>
  <c r="A8" i="14" a="1"/>
  <c r="D8" i="14" a="1"/>
  <c r="B10" i="14" a="1"/>
  <c r="C8" i="14" a="1"/>
  <c r="C10" i="14" a="1"/>
  <c r="A5" i="14" a="1"/>
  <c r="C5" i="14" a="1"/>
  <c r="B5" i="14" a="1"/>
  <c r="D5" i="14" a="1"/>
  <c r="D10" i="14" a="1"/>
  <c r="U19" i="25" l="1" a="1"/>
  <c r="U19" i="25" s="1"/>
  <c r="V19" i="25"/>
  <c r="U21" i="25" a="1"/>
  <c r="U21" i="25" s="1"/>
  <c r="V21" i="25"/>
  <c r="U20" i="25" a="1"/>
  <c r="U20" i="25" s="1"/>
  <c r="V20" i="25"/>
  <c r="H71" i="28" a="1"/>
  <c r="H71" i="28" s="1"/>
  <c r="A71" i="28" s="1" a="1"/>
  <c r="A71" i="28" s="1"/>
  <c r="AO86" i="3" a="1"/>
  <c r="AO86" i="3" s="1"/>
  <c r="T42" i="20" a="1"/>
  <c r="T42" i="20" s="1"/>
  <c r="T43" i="20" s="1" a="1"/>
  <c r="T43" i="20" s="1"/>
  <c r="T44" i="20" s="1" a="1"/>
  <c r="T44" i="20" s="1"/>
  <c r="T45" i="20" s="1" a="1"/>
  <c r="T45" i="20" s="1"/>
  <c r="T46" i="20" s="1" a="1"/>
  <c r="T46" i="20" s="1"/>
  <c r="T47" i="20" s="1" a="1"/>
  <c r="T47" i="20" s="1"/>
  <c r="T48" i="20" s="1" a="1"/>
  <c r="T48" i="20" s="1"/>
  <c r="T49" i="20" s="1" a="1"/>
  <c r="T49" i="20" s="1"/>
  <c r="T50" i="20" s="1" a="1"/>
  <c r="T50" i="20" s="1"/>
  <c r="T51" i="20" s="1" a="1"/>
  <c r="T51" i="20" s="1"/>
  <c r="T52" i="20" s="1" a="1"/>
  <c r="T52" i="20" s="1"/>
  <c r="T53" i="20" s="1" a="1"/>
  <c r="T53" i="20" s="1"/>
  <c r="T54" i="20" s="1" a="1"/>
  <c r="T54" i="20" s="1"/>
  <c r="T55" i="20" s="1" a="1"/>
  <c r="T55" i="20" s="1"/>
  <c r="T56" i="20" s="1" a="1"/>
  <c r="T56" i="20" s="1"/>
  <c r="T57" i="20" s="1" a="1"/>
  <c r="T57" i="20" s="1"/>
  <c r="T58" i="20" s="1" a="1"/>
  <c r="T58" i="20" s="1"/>
  <c r="T59" i="20" s="1" a="1"/>
  <c r="T59" i="20" s="1"/>
  <c r="W42" i="20" a="1"/>
  <c r="W42" i="20" s="1"/>
  <c r="W43" i="20" s="1" a="1"/>
  <c r="W43" i="20" s="1"/>
  <c r="W44" i="20" s="1" a="1"/>
  <c r="W44" i="20" s="1"/>
  <c r="W45" i="20" s="1" a="1"/>
  <c r="W45" i="20" s="1"/>
  <c r="W46" i="20" s="1" a="1"/>
  <c r="W46" i="20" s="1"/>
  <c r="W47" i="20" s="1" a="1"/>
  <c r="W47" i="20" s="1"/>
  <c r="W48" i="20" s="1" a="1"/>
  <c r="W48" i="20" s="1"/>
  <c r="W49" i="20" s="1" a="1"/>
  <c r="W49" i="20" s="1"/>
  <c r="W50" i="20" s="1" a="1"/>
  <c r="W50" i="20" s="1"/>
  <c r="W51" i="20" s="1" a="1"/>
  <c r="W51" i="20" s="1"/>
  <c r="W52" i="20" s="1" a="1"/>
  <c r="W52" i="20" s="1"/>
  <c r="W53" i="20" s="1" a="1"/>
  <c r="W53" i="20" s="1"/>
  <c r="W54" i="20" s="1" a="1"/>
  <c r="W54" i="20" s="1"/>
  <c r="W55" i="20" s="1" a="1"/>
  <c r="W55" i="20" s="1"/>
  <c r="W56" i="20" s="1" a="1"/>
  <c r="W56" i="20" s="1"/>
  <c r="W57" i="20" s="1" a="1"/>
  <c r="W57" i="20" s="1"/>
  <c r="W58" i="20" s="1" a="1"/>
  <c r="W58" i="20" s="1"/>
  <c r="W59" i="20" s="1" a="1"/>
  <c r="W59" i="20" s="1"/>
  <c r="L28" i="3" a="1"/>
  <c r="L28" i="3" s="1"/>
  <c r="AM98" i="3" a="1"/>
  <c r="AM98" i="3" s="1"/>
  <c r="T19" i="25"/>
  <c r="S19" i="25" a="1"/>
  <c r="S19" i="25" s="1"/>
  <c r="AB5" i="4" a="1"/>
  <c r="AB5" i="4" s="1"/>
  <c r="AC5" i="4" s="1"/>
  <c r="AC4" i="4"/>
  <c r="T21" i="25"/>
  <c r="T20" i="25"/>
  <c r="G15" i="14"/>
  <c r="I15" i="14"/>
  <c r="H15" i="14"/>
  <c r="F15" i="14"/>
  <c r="G14" i="14"/>
  <c r="I14" i="14"/>
  <c r="H14" i="14"/>
  <c r="F14" i="14"/>
  <c r="J13" i="14"/>
  <c r="G13" i="14"/>
  <c r="I13" i="14"/>
  <c r="H13" i="14"/>
  <c r="F13" i="14"/>
  <c r="I12" i="14"/>
  <c r="G12" i="14"/>
  <c r="H12" i="14"/>
  <c r="F12" i="14"/>
  <c r="H11" i="14"/>
  <c r="F11" i="14"/>
  <c r="G11" i="14"/>
  <c r="I11" i="14"/>
  <c r="H6" i="14"/>
  <c r="I6" i="14"/>
  <c r="G6" i="14"/>
  <c r="F6" i="14"/>
  <c r="AD4" i="9" a="1"/>
  <c r="AD4" i="9" s="1"/>
  <c r="D10" i="14"/>
  <c r="C10" i="14"/>
  <c r="B10" i="14"/>
  <c r="A10" i="14"/>
  <c r="D20" i="14"/>
  <c r="J15" i="14"/>
  <c r="J14" i="14"/>
  <c r="D8" i="14"/>
  <c r="C8" i="14"/>
  <c r="B8" i="14"/>
  <c r="L3" i="14"/>
  <c r="D5" i="14"/>
  <c r="C5" i="14"/>
  <c r="B5" i="14"/>
  <c r="A5" i="14"/>
  <c r="L5" i="14" s="1"/>
  <c r="A8" i="14"/>
  <c r="L8" i="14" s="1"/>
  <c r="J11" i="14"/>
  <c r="H72" i="28" l="1" a="1"/>
  <c r="H72" i="28" s="1"/>
  <c r="A72" i="28" s="1" a="1"/>
  <c r="A72" i="28" s="1"/>
  <c r="AO87" i="3" a="1"/>
  <c r="AO87" i="3" s="1"/>
  <c r="W60" i="20" a="1"/>
  <c r="W60" i="20" s="1"/>
  <c r="W61" i="20" s="1" a="1"/>
  <c r="W61" i="20" s="1"/>
  <c r="T60" i="20" a="1"/>
  <c r="T60" i="20" s="1"/>
  <c r="L29" i="3" a="1"/>
  <c r="L29" i="3" s="1"/>
  <c r="AM99" i="3" a="1"/>
  <c r="AM99" i="3" s="1"/>
  <c r="S20" i="25" a="1"/>
  <c r="S20" i="25" s="1"/>
  <c r="S21" i="25" s="1" a="1"/>
  <c r="S21" i="25" s="1"/>
  <c r="G11" i="13" s="1"/>
  <c r="AB6" i="4" a="1"/>
  <c r="AB6" i="4" s="1"/>
  <c r="AC6" i="4" s="1"/>
  <c r="AD5" i="9" a="1"/>
  <c r="AD5" i="9" s="1"/>
  <c r="E10" i="14"/>
  <c r="L10" i="14"/>
  <c r="E3" i="14"/>
  <c r="E8" i="14"/>
  <c r="E5" i="14"/>
  <c r="G9" i="13" l="1"/>
  <c r="D9" i="13" s="1" a="1"/>
  <c r="D9" i="13" s="1"/>
  <c r="H73" i="28" a="1"/>
  <c r="H73" i="28" s="1"/>
  <c r="A73" i="28" s="1" a="1"/>
  <c r="A73" i="28" s="1"/>
  <c r="AO88" i="3" a="1"/>
  <c r="AO88" i="3" s="1"/>
  <c r="T61" i="20" a="1"/>
  <c r="T61" i="20" s="1"/>
  <c r="L30" i="3" a="1"/>
  <c r="L30" i="3" s="1"/>
  <c r="AM100" i="3" a="1"/>
  <c r="AM100" i="3" s="1"/>
  <c r="G3" i="13"/>
  <c r="C3" i="13" s="1" a="1"/>
  <c r="C3" i="13" s="1"/>
  <c r="G6" i="13"/>
  <c r="G7" i="13"/>
  <c r="G5" i="13"/>
  <c r="G4" i="13"/>
  <c r="G8" i="13"/>
  <c r="G12" i="13"/>
  <c r="A12" i="13" s="1" a="1"/>
  <c r="A12" i="13" s="1"/>
  <c r="G15" i="13"/>
  <c r="D15" i="13" s="1" a="1"/>
  <c r="D15" i="13" s="1"/>
  <c r="G10" i="13"/>
  <c r="G13" i="13"/>
  <c r="D13" i="13" s="1" a="1"/>
  <c r="D13" i="13" s="1"/>
  <c r="G20" i="13"/>
  <c r="D20" i="13" s="1" a="1"/>
  <c r="D20" i="13" s="1"/>
  <c r="G19" i="13"/>
  <c r="D19" i="13" s="1" a="1"/>
  <c r="D19" i="13" s="1"/>
  <c r="G16" i="13"/>
  <c r="D16" i="13" s="1" a="1"/>
  <c r="D16" i="13" s="1"/>
  <c r="G14" i="13"/>
  <c r="C14" i="13" s="1" a="1"/>
  <c r="C14" i="13" s="1"/>
  <c r="G17" i="13"/>
  <c r="B17" i="13" s="1" a="1"/>
  <c r="B17" i="13" s="1"/>
  <c r="G18" i="13"/>
  <c r="D18" i="13" s="1" a="1"/>
  <c r="D18" i="13" s="1"/>
  <c r="AB7" i="4" a="1"/>
  <c r="AB7" i="4" s="1"/>
  <c r="D11" i="13" a="1"/>
  <c r="D11" i="13" s="1"/>
  <c r="C11" i="13" a="1"/>
  <c r="C11" i="13" s="1"/>
  <c r="B11" i="13" a="1"/>
  <c r="B11" i="13" s="1"/>
  <c r="A11" i="13" a="1"/>
  <c r="A11" i="13" s="1"/>
  <c r="H5" i="14"/>
  <c r="I5" i="14"/>
  <c r="H8" i="14"/>
  <c r="I8" i="14"/>
  <c r="H10" i="14"/>
  <c r="I10" i="14"/>
  <c r="H3" i="14"/>
  <c r="I3" i="14"/>
  <c r="G5" i="14"/>
  <c r="F5" i="14"/>
  <c r="G8" i="14"/>
  <c r="F8" i="14"/>
  <c r="G3" i="14"/>
  <c r="F3" i="14"/>
  <c r="G10" i="14"/>
  <c r="F10" i="14"/>
  <c r="AD6" i="9" a="1"/>
  <c r="AD6" i="9" s="1"/>
  <c r="J8" i="14"/>
  <c r="J3" i="14"/>
  <c r="A9" i="13" l="1" a="1"/>
  <c r="A9" i="13" s="1"/>
  <c r="C9" i="13" a="1"/>
  <c r="C9" i="13" s="1"/>
  <c r="B9" i="13" a="1"/>
  <c r="B9" i="13" s="1"/>
  <c r="H74" i="28" a="1"/>
  <c r="H74" i="28" s="1"/>
  <c r="H75" i="28" s="1" a="1"/>
  <c r="H75" i="28" s="1"/>
  <c r="H76" i="28" s="1" a="1"/>
  <c r="H76" i="28" s="1"/>
  <c r="A76" i="28" s="1" a="1"/>
  <c r="A76" i="28" s="1"/>
  <c r="AO89" i="3" a="1"/>
  <c r="AO89" i="3" s="1"/>
  <c r="L31" i="3" a="1"/>
  <c r="L31" i="3" s="1"/>
  <c r="AM101" i="3" a="1"/>
  <c r="AM101" i="3" s="1"/>
  <c r="A3" i="13" a="1"/>
  <c r="A3" i="13" s="1"/>
  <c r="B3" i="13" a="1"/>
  <c r="B3" i="13" s="1"/>
  <c r="A8" i="13" a="1"/>
  <c r="A8" i="13" s="1"/>
  <c r="C8" i="13" a="1"/>
  <c r="C8" i="13" s="1"/>
  <c r="B8" i="13" a="1"/>
  <c r="B8" i="13" s="1"/>
  <c r="B4" i="13" a="1"/>
  <c r="B4" i="13" s="1"/>
  <c r="A4" i="13" a="1"/>
  <c r="A4" i="13" s="1"/>
  <c r="C4" i="13" a="1"/>
  <c r="C4" i="13" s="1"/>
  <c r="A5" i="13" a="1"/>
  <c r="A5" i="13" s="1"/>
  <c r="B5" i="13" a="1"/>
  <c r="B5" i="13" s="1"/>
  <c r="C5" i="13" a="1"/>
  <c r="C5" i="13" s="1"/>
  <c r="A7" i="13" a="1"/>
  <c r="A7" i="13" s="1"/>
  <c r="B7" i="13" a="1"/>
  <c r="B7" i="13" s="1"/>
  <c r="C7" i="13" a="1"/>
  <c r="C7" i="13" s="1"/>
  <c r="B6" i="13" a="1"/>
  <c r="B6" i="13" s="1"/>
  <c r="A6" i="13" a="1"/>
  <c r="A6" i="13" s="1"/>
  <c r="C6" i="13" a="1"/>
  <c r="C6" i="13" s="1"/>
  <c r="B13" i="13" a="1"/>
  <c r="B13" i="13" s="1"/>
  <c r="C13" i="13" a="1"/>
  <c r="C13" i="13" s="1"/>
  <c r="A13" i="13" a="1"/>
  <c r="A13" i="13" s="1"/>
  <c r="C15" i="13" a="1"/>
  <c r="C15" i="13" s="1"/>
  <c r="C10" i="13" a="1"/>
  <c r="C10" i="13" s="1"/>
  <c r="A10" i="13" a="1"/>
  <c r="A10" i="13" s="1"/>
  <c r="B20" i="13" a="1"/>
  <c r="B20" i="13" s="1"/>
  <c r="C20" i="13" a="1"/>
  <c r="C20" i="13" s="1"/>
  <c r="B10" i="13" a="1"/>
  <c r="B10" i="13" s="1"/>
  <c r="B15" i="13" a="1"/>
  <c r="B15" i="13" s="1"/>
  <c r="A14" i="13" a="1"/>
  <c r="A14" i="13" s="1"/>
  <c r="A15" i="13" a="1"/>
  <c r="A15" i="13" s="1"/>
  <c r="C16" i="13" a="1"/>
  <c r="C16" i="13" s="1"/>
  <c r="C12" i="13" a="1"/>
  <c r="C12" i="13" s="1"/>
  <c r="D12" i="13" a="1"/>
  <c r="D12" i="13" s="1"/>
  <c r="B12" i="13" a="1"/>
  <c r="B12" i="13" s="1"/>
  <c r="A20" i="13" a="1"/>
  <c r="A20" i="13" s="1"/>
  <c r="D14" i="13" a="1"/>
  <c r="D14" i="13" s="1"/>
  <c r="C17" i="13" a="1"/>
  <c r="C17" i="13" s="1"/>
  <c r="D17" i="13" a="1"/>
  <c r="D17" i="13" s="1"/>
  <c r="A16" i="13" a="1"/>
  <c r="A16" i="13" s="1"/>
  <c r="B16" i="13" a="1"/>
  <c r="B16" i="13" s="1"/>
  <c r="C19" i="13" a="1"/>
  <c r="C19" i="13" s="1"/>
  <c r="A19" i="13" a="1"/>
  <c r="A19" i="13" s="1"/>
  <c r="B19" i="13" a="1"/>
  <c r="B19" i="13" s="1"/>
  <c r="B14" i="13" a="1"/>
  <c r="B14" i="13" s="1"/>
  <c r="A17" i="13" a="1"/>
  <c r="A17" i="13" s="1"/>
  <c r="B18" i="13" a="1"/>
  <c r="B18" i="13" s="1"/>
  <c r="A18" i="13" a="1"/>
  <c r="A18" i="13" s="1"/>
  <c r="C18" i="13" a="1"/>
  <c r="C18" i="13" s="1"/>
  <c r="AB8" i="4" a="1"/>
  <c r="AB8" i="4" s="1"/>
  <c r="AC8" i="4" s="1"/>
  <c r="AC7" i="4"/>
  <c r="AD7" i="9" a="1"/>
  <c r="AD7" i="9" s="1"/>
  <c r="K3" i="14" a="1"/>
  <c r="K3" i="14" s="1"/>
  <c r="T62" i="20" l="1" a="1"/>
  <c r="T62" i="20" s="1"/>
  <c r="T63" i="20" s="1" a="1"/>
  <c r="T63" i="20" s="1"/>
  <c r="T64" i="20" s="1" a="1"/>
  <c r="T64" i="20" s="1"/>
  <c r="T65" i="20" s="1" a="1"/>
  <c r="T65" i="20" s="1"/>
  <c r="T66" i="20" s="1" a="1"/>
  <c r="T66" i="20" s="1"/>
  <c r="A75" i="28" a="1"/>
  <c r="A75" i="28" s="1"/>
  <c r="A74" i="28" a="1"/>
  <c r="A74" i="28" s="1"/>
  <c r="AO90" i="3" a="1"/>
  <c r="AO90" i="3" s="1"/>
  <c r="L32" i="3" a="1"/>
  <c r="L32" i="3" s="1"/>
  <c r="AM102" i="3" a="1"/>
  <c r="AM102" i="3" s="1"/>
  <c r="AB9" i="4" a="1"/>
  <c r="AB9" i="4" s="1"/>
  <c r="AD8" i="9" a="1"/>
  <c r="AD8" i="9" s="1"/>
  <c r="AO91" i="3" l="1" a="1"/>
  <c r="AO91" i="3" s="1"/>
  <c r="W62" i="20" a="1"/>
  <c r="W62" i="20" s="1"/>
  <c r="L33" i="3" a="1"/>
  <c r="L33" i="3" s="1"/>
  <c r="AM103" i="3" a="1"/>
  <c r="AM103" i="3" s="1"/>
  <c r="AB10" i="4" a="1"/>
  <c r="AB10" i="4" s="1"/>
  <c r="AC9" i="4"/>
  <c r="AD9" i="9" a="1"/>
  <c r="AD9" i="9" s="1"/>
  <c r="Q20" i="24" a="1"/>
  <c r="AO92" i="3" l="1" a="1"/>
  <c r="AO92" i="3" s="1"/>
  <c r="W63" i="20" a="1"/>
  <c r="W63" i="20" s="1"/>
  <c r="L34" i="3" a="1"/>
  <c r="L34" i="3" s="1"/>
  <c r="Q20" i="24"/>
  <c r="AB11" i="4" a="1"/>
  <c r="AB11" i="4" s="1"/>
  <c r="AC10" i="4"/>
  <c r="AD10" i="9" a="1"/>
  <c r="AD10" i="9" s="1"/>
  <c r="C20" i="24" a="1"/>
  <c r="AO93" i="3" l="1" a="1"/>
  <c r="AO93" i="3" s="1"/>
  <c r="W64" i="20" a="1"/>
  <c r="W64" i="20" s="1"/>
  <c r="L35" i="3" a="1"/>
  <c r="L35" i="3" s="1"/>
  <c r="C20" i="24"/>
  <c r="E20" i="24" a="1"/>
  <c r="E20" i="24" s="1"/>
  <c r="D20" i="24" s="1"/>
  <c r="H77" i="28" a="1"/>
  <c r="H77" i="28" s="1"/>
  <c r="A77" i="28" s="1" a="1"/>
  <c r="A77" i="28" s="1"/>
  <c r="AB12" i="4" a="1"/>
  <c r="AB12" i="4" s="1"/>
  <c r="AC11" i="4"/>
  <c r="AD11" i="9" a="1"/>
  <c r="AD11" i="9" s="1"/>
  <c r="AO94" i="3" l="1" a="1"/>
  <c r="AO94" i="3" s="1"/>
  <c r="W65" i="20" a="1"/>
  <c r="W65" i="20" s="1"/>
  <c r="L36" i="3" a="1"/>
  <c r="L36" i="3" s="1"/>
  <c r="A20" i="24"/>
  <c r="H78" i="28" a="1"/>
  <c r="H78" i="28" s="1"/>
  <c r="A78" i="28" s="1" a="1"/>
  <c r="A78" i="28" s="1"/>
  <c r="AB13" i="4" a="1"/>
  <c r="AB13" i="4" s="1"/>
  <c r="AC13" i="4" s="1"/>
  <c r="AC12" i="4"/>
  <c r="AD12" i="9" a="1"/>
  <c r="AD12" i="9" s="1"/>
  <c r="Y3" i="9"/>
  <c r="Z3" i="9"/>
  <c r="AA3" i="9"/>
  <c r="AB3" i="9"/>
  <c r="Y4" i="9"/>
  <c r="Z4" i="9"/>
  <c r="AA4" i="9"/>
  <c r="AB4" i="9"/>
  <c r="Y5" i="9"/>
  <c r="Z5" i="9"/>
  <c r="AA5" i="9"/>
  <c r="AB5" i="9"/>
  <c r="Y6" i="9"/>
  <c r="Z6" i="9"/>
  <c r="AA6" i="9"/>
  <c r="AB6" i="9"/>
  <c r="Y7" i="9"/>
  <c r="Z7" i="9"/>
  <c r="AA7" i="9"/>
  <c r="AB7" i="9"/>
  <c r="Y8" i="9"/>
  <c r="Z8" i="9"/>
  <c r="AA8" i="9"/>
  <c r="AB8" i="9"/>
  <c r="Y9" i="9"/>
  <c r="Z9" i="9"/>
  <c r="AA9" i="9"/>
  <c r="AB9" i="9"/>
  <c r="Y10" i="9"/>
  <c r="Z10" i="9"/>
  <c r="AA10" i="9"/>
  <c r="AB10" i="9"/>
  <c r="Y11" i="9"/>
  <c r="Z11" i="9"/>
  <c r="AA11" i="9"/>
  <c r="AB11" i="9"/>
  <c r="Y12" i="9"/>
  <c r="Z12" i="9"/>
  <c r="AA12" i="9"/>
  <c r="AB12" i="9"/>
  <c r="Y13" i="9"/>
  <c r="Z13" i="9"/>
  <c r="AA13" i="9"/>
  <c r="AB13" i="9"/>
  <c r="Y14" i="9"/>
  <c r="Z14" i="9"/>
  <c r="AA14" i="9"/>
  <c r="AB14" i="9"/>
  <c r="Y15" i="9"/>
  <c r="Z15" i="9"/>
  <c r="AA15" i="9"/>
  <c r="AB15" i="9"/>
  <c r="Y16" i="9"/>
  <c r="Z16" i="9"/>
  <c r="AA16" i="9"/>
  <c r="AB16" i="9"/>
  <c r="Y17" i="9"/>
  <c r="Z17" i="9"/>
  <c r="AA17" i="9"/>
  <c r="AB17" i="9"/>
  <c r="Y18" i="9"/>
  <c r="Z18" i="9"/>
  <c r="AA18" i="9"/>
  <c r="AB18" i="9"/>
  <c r="Y19" i="9"/>
  <c r="Z19" i="9"/>
  <c r="AA19" i="9"/>
  <c r="AB19" i="9"/>
  <c r="Y20" i="9"/>
  <c r="Z20" i="9"/>
  <c r="AA20" i="9"/>
  <c r="AB20" i="9"/>
  <c r="X3" i="9"/>
  <c r="X4" i="9"/>
  <c r="X5" i="9"/>
  <c r="X6" i="9"/>
  <c r="X7" i="9"/>
  <c r="X8" i="9"/>
  <c r="X9" i="9"/>
  <c r="X10" i="9"/>
  <c r="X11" i="9"/>
  <c r="X12" i="9"/>
  <c r="X13" i="9"/>
  <c r="X14" i="9"/>
  <c r="X15" i="9"/>
  <c r="X16" i="9"/>
  <c r="X17" i="9"/>
  <c r="X18" i="9"/>
  <c r="X19" i="9"/>
  <c r="X20" i="9"/>
  <c r="I3" i="12" a="1"/>
  <c r="I3" i="12" s="1"/>
  <c r="G3" i="9" a="1"/>
  <c r="G3" i="9" s="1"/>
  <c r="G4" i="9" a="1"/>
  <c r="G4" i="9" s="1"/>
  <c r="G14" i="9" a="1"/>
  <c r="G14" i="9" s="1"/>
  <c r="G15" i="9" a="1"/>
  <c r="G15" i="9" s="1"/>
  <c r="G17" i="9" a="1"/>
  <c r="G17" i="9" s="1"/>
  <c r="AC5" i="9" l="1"/>
  <c r="M5" i="9" s="1"/>
  <c r="AC9" i="9"/>
  <c r="M9" i="9" s="1"/>
  <c r="AC10" i="9"/>
  <c r="M10" i="9" s="1"/>
  <c r="AC19" i="9"/>
  <c r="M19" i="9" s="1"/>
  <c r="AC7" i="9"/>
  <c r="M7" i="9" s="1"/>
  <c r="AC17" i="9"/>
  <c r="M17" i="9" s="1"/>
  <c r="AC3" i="9"/>
  <c r="M3" i="9" s="1"/>
  <c r="AC14" i="9"/>
  <c r="M14" i="9" s="1"/>
  <c r="AC13" i="9"/>
  <c r="M13" i="9" s="1"/>
  <c r="AC20" i="9"/>
  <c r="M20" i="9" s="1"/>
  <c r="AC6" i="9"/>
  <c r="M6" i="9" s="1"/>
  <c r="AC18" i="9"/>
  <c r="M18" i="9" s="1"/>
  <c r="AC4" i="9"/>
  <c r="M4" i="9" s="1"/>
  <c r="AC16" i="9"/>
  <c r="M16" i="9" s="1"/>
  <c r="AC15" i="9"/>
  <c r="M15" i="9" s="1"/>
  <c r="AC12" i="9"/>
  <c r="M12" i="9" s="1"/>
  <c r="AC11" i="9"/>
  <c r="M11" i="9" s="1"/>
  <c r="AC8" i="9"/>
  <c r="M8" i="9" s="1"/>
  <c r="AO95" i="3" a="1"/>
  <c r="AO95" i="3" s="1"/>
  <c r="W66" i="20" a="1"/>
  <c r="W66" i="20" s="1"/>
  <c r="L37" i="3" a="1"/>
  <c r="L37" i="3" s="1"/>
  <c r="H79" i="28" a="1"/>
  <c r="H79" i="28" s="1"/>
  <c r="A79" i="28" s="1" a="1"/>
  <c r="A79" i="28" s="1"/>
  <c r="AB14" i="4" a="1"/>
  <c r="AB14" i="4" s="1"/>
  <c r="AC14" i="4" s="1"/>
  <c r="AD13" i="9" a="1"/>
  <c r="AD13" i="9" s="1"/>
  <c r="W5" i="10" a="1"/>
  <c r="W5" i="10" s="1"/>
  <c r="W6" i="10" s="1" a="1"/>
  <c r="W6" i="10" s="1"/>
  <c r="W7" i="10" s="1" a="1"/>
  <c r="W7" i="10" s="1"/>
  <c r="W8" i="10" s="1" a="1"/>
  <c r="W8" i="10" s="1"/>
  <c r="W9" i="10" s="1" a="1"/>
  <c r="W9" i="10" s="1"/>
  <c r="W10" i="10" s="1" a="1"/>
  <c r="W10" i="10" s="1"/>
  <c r="W11" i="10" s="1" a="1"/>
  <c r="W11" i="10" s="1"/>
  <c r="W12" i="10" s="1" a="1"/>
  <c r="W12" i="10" s="1"/>
  <c r="W13" i="10" s="1" a="1"/>
  <c r="W13" i="10" s="1"/>
  <c r="W14" i="10" s="1" a="1"/>
  <c r="W14" i="10" s="1"/>
  <c r="W15" i="10" s="1" a="1"/>
  <c r="W15" i="10" s="1"/>
  <c r="J3" i="12"/>
  <c r="J6" i="14"/>
  <c r="AO96" i="3" l="1" a="1"/>
  <c r="AO96" i="3" s="1"/>
  <c r="L38" i="3" a="1"/>
  <c r="L38" i="3" s="1"/>
  <c r="H80" i="28" a="1"/>
  <c r="H80" i="28" s="1"/>
  <c r="A80" i="28" s="1" a="1"/>
  <c r="A80" i="28" s="1"/>
  <c r="U3" i="9"/>
  <c r="W3" i="9" s="1"/>
  <c r="AB15" i="4" a="1"/>
  <c r="AB15" i="4" s="1"/>
  <c r="AC15" i="4" s="1"/>
  <c r="AD14" i="9" a="1"/>
  <c r="AD14" i="9" s="1"/>
  <c r="U11" i="9"/>
  <c r="U10" i="9"/>
  <c r="U24" i="9"/>
  <c r="U23" i="9"/>
  <c r="U14" i="9"/>
  <c r="U19" i="9"/>
  <c r="U4" i="9"/>
  <c r="W4" i="9" s="1"/>
  <c r="U17" i="9"/>
  <c r="U15" i="9"/>
  <c r="W16" i="10" a="1"/>
  <c r="W16" i="10" s="1"/>
  <c r="W17" i="10" s="1" a="1"/>
  <c r="W17" i="10" s="1"/>
  <c r="W18" i="10" s="1" a="1"/>
  <c r="W18" i="10" s="1"/>
  <c r="W19" i="10" s="1" a="1"/>
  <c r="W19" i="10" s="1"/>
  <c r="W20" i="10" s="1" a="1"/>
  <c r="W20" i="10" s="1"/>
  <c r="W21" i="10" s="1" a="1"/>
  <c r="W21" i="10" s="1"/>
  <c r="W22" i="10" s="1" a="1"/>
  <c r="W22" i="10" s="1"/>
  <c r="W23" i="10" s="1" a="1"/>
  <c r="W23" i="10" s="1"/>
  <c r="W24" i="10" s="1" a="1"/>
  <c r="W24" i="10" s="1"/>
  <c r="W25" i="10" s="1" a="1"/>
  <c r="W25" i="10" s="1"/>
  <c r="W26" i="10" s="1" a="1"/>
  <c r="W26" i="10" s="1"/>
  <c r="W27" i="10" s="1" a="1"/>
  <c r="W27" i="10" s="1"/>
  <c r="W28" i="10" s="1" a="1"/>
  <c r="W28" i="10" s="1"/>
  <c r="W29" i="10" s="1" a="1"/>
  <c r="W29" i="10" s="1"/>
  <c r="W30" i="10" s="1" a="1"/>
  <c r="W30" i="10" s="1"/>
  <c r="W31" i="10" s="1" a="1"/>
  <c r="W31" i="10" s="1"/>
  <c r="W32" i="10" s="1" a="1"/>
  <c r="W32" i="10" s="1"/>
  <c r="W33" i="10" s="1" a="1"/>
  <c r="W33" i="10" s="1"/>
  <c r="W34" i="10" s="1" a="1"/>
  <c r="W34" i="10" s="1"/>
  <c r="W35" i="10" s="1" a="1"/>
  <c r="W35" i="10" s="1"/>
  <c r="W36" i="10" s="1" a="1"/>
  <c r="W36" i="10" s="1"/>
  <c r="W37" i="10" s="1" a="1"/>
  <c r="W37" i="10" s="1"/>
  <c r="W38" i="10" s="1" a="1"/>
  <c r="W38" i="10" s="1"/>
  <c r="W39" i="10" s="1" a="1"/>
  <c r="W39" i="10" s="1"/>
  <c r="W40" i="10" s="1" a="1"/>
  <c r="W40" i="10" s="1"/>
  <c r="W41" i="10" s="1" a="1"/>
  <c r="W41" i="10" s="1"/>
  <c r="W42" i="10" s="1" a="1"/>
  <c r="W42" i="10" s="1"/>
  <c r="W43" i="10" s="1" a="1"/>
  <c r="W43" i="10" s="1"/>
  <c r="W44" i="10" s="1" a="1"/>
  <c r="W44" i="10" s="1"/>
  <c r="W45" i="10" s="1" a="1"/>
  <c r="W45" i="10" s="1"/>
  <c r="W46" i="10" s="1" a="1"/>
  <c r="W46" i="10" s="1"/>
  <c r="W47" i="10" s="1" a="1"/>
  <c r="W47" i="10" s="1"/>
  <c r="T4" i="10" a="1"/>
  <c r="T4" i="10" s="1"/>
  <c r="Q3" i="9" a="1"/>
  <c r="Q3" i="9" s="1"/>
  <c r="AO97" i="3" l="1" a="1"/>
  <c r="AO97" i="3" s="1"/>
  <c r="L39" i="3" a="1"/>
  <c r="L39" i="3" s="1"/>
  <c r="H81" i="28" a="1"/>
  <c r="H81" i="28" s="1"/>
  <c r="A81" i="28" s="1" a="1"/>
  <c r="A81" i="28" s="1"/>
  <c r="U6" i="9"/>
  <c r="U8" i="9"/>
  <c r="V3" i="9" a="1"/>
  <c r="V3" i="9" s="1"/>
  <c r="U27" i="9"/>
  <c r="U18" i="9"/>
  <c r="AH3" i="9" a="1"/>
  <c r="AH3" i="9" s="1"/>
  <c r="U16" i="9"/>
  <c r="AH16" i="9" s="1" a="1"/>
  <c r="AH16" i="9" s="1"/>
  <c r="AH11" i="9" a="1"/>
  <c r="AH11" i="9" s="1"/>
  <c r="W11" i="9"/>
  <c r="AH23" i="9" a="1"/>
  <c r="AH23" i="9" s="1"/>
  <c r="W23" i="9"/>
  <c r="AH19" i="9" a="1"/>
  <c r="AH19" i="9" s="1"/>
  <c r="W19" i="9"/>
  <c r="AH24" i="9" a="1"/>
  <c r="AH24" i="9" s="1"/>
  <c r="W24" i="9"/>
  <c r="AH15" i="9" a="1"/>
  <c r="AH15" i="9" s="1"/>
  <c r="W15" i="9"/>
  <c r="AH14" i="9" a="1"/>
  <c r="AH14" i="9" s="1"/>
  <c r="W14" i="9"/>
  <c r="AH10" i="9" a="1"/>
  <c r="AH10" i="9" s="1"/>
  <c r="W10" i="9"/>
  <c r="AH17" i="9" a="1"/>
  <c r="AH17" i="9" s="1"/>
  <c r="W17" i="9"/>
  <c r="AB16" i="4" a="1"/>
  <c r="AB16" i="4" s="1"/>
  <c r="AC16" i="4" s="1"/>
  <c r="AH4" i="9" a="1"/>
  <c r="AH4" i="9" s="1"/>
  <c r="U22" i="9"/>
  <c r="Q4" i="9" a="1"/>
  <c r="Q4" i="9" s="1"/>
  <c r="R4" i="21" s="1"/>
  <c r="R3" i="21"/>
  <c r="U7" i="9"/>
  <c r="AD15" i="9" a="1"/>
  <c r="AD15" i="9" s="1"/>
  <c r="U28" i="9"/>
  <c r="T5" i="10" a="1"/>
  <c r="T5" i="10" s="1"/>
  <c r="AO98" i="3" l="1" a="1"/>
  <c r="AO98" i="3" s="1"/>
  <c r="V4" i="9" a="1"/>
  <c r="V4" i="9" s="1"/>
  <c r="L40" i="3" a="1"/>
  <c r="L40" i="3" s="1"/>
  <c r="H82" i="28" a="1"/>
  <c r="H82" i="28" s="1"/>
  <c r="A82" i="28" s="1" a="1"/>
  <c r="A82" i="28" s="1"/>
  <c r="U13" i="9"/>
  <c r="U12" i="9"/>
  <c r="W12" i="9" s="1"/>
  <c r="U5" i="9"/>
  <c r="W5" i="9" s="1"/>
  <c r="U9" i="9"/>
  <c r="AH9" i="9" s="1" a="1"/>
  <c r="AH9" i="9" s="1"/>
  <c r="W16" i="9"/>
  <c r="AH28" i="9" a="1"/>
  <c r="AH28" i="9" s="1"/>
  <c r="W28" i="9"/>
  <c r="AH22" i="9" a="1"/>
  <c r="AH22" i="9" s="1"/>
  <c r="W22" i="9"/>
  <c r="AH27" i="9" a="1"/>
  <c r="AH27" i="9" s="1"/>
  <c r="W27" i="9"/>
  <c r="AH6" i="9" a="1"/>
  <c r="AH6" i="9" s="1"/>
  <c r="W6" i="9"/>
  <c r="AH18" i="9" a="1"/>
  <c r="AH18" i="9" s="1"/>
  <c r="W18" i="9"/>
  <c r="AH7" i="9" a="1"/>
  <c r="AH7" i="9" s="1"/>
  <c r="W7" i="9"/>
  <c r="AH8" i="9" a="1"/>
  <c r="AH8" i="9" s="1"/>
  <c r="W8" i="9"/>
  <c r="AB17" i="4" a="1"/>
  <c r="AB17" i="4" s="1"/>
  <c r="AC17" i="4" s="1"/>
  <c r="U26" i="9"/>
  <c r="U31" i="9"/>
  <c r="U25" i="9"/>
  <c r="Q5" i="9" a="1"/>
  <c r="Q5" i="9" s="1"/>
  <c r="AD16" i="9" a="1"/>
  <c r="AD16" i="9" s="1"/>
  <c r="T6" i="10" a="1"/>
  <c r="T6" i="10" s="1"/>
  <c r="T7" i="10" s="1" a="1"/>
  <c r="T7" i="10" s="1"/>
  <c r="T8" i="10" s="1" a="1"/>
  <c r="T8" i="10" s="1"/>
  <c r="T9" i="10" s="1" a="1"/>
  <c r="T9" i="10" s="1"/>
  <c r="T10" i="10" s="1" a="1"/>
  <c r="T10" i="10" s="1"/>
  <c r="G11" i="9" a="1"/>
  <c r="G11" i="9" s="1"/>
  <c r="AO99" i="3" l="1" a="1"/>
  <c r="AO99" i="3" s="1"/>
  <c r="L41" i="3" a="1"/>
  <c r="L41" i="3" s="1"/>
  <c r="H83" i="28" a="1"/>
  <c r="H83" i="28" s="1"/>
  <c r="A83" i="28" s="1" a="1"/>
  <c r="A83" i="28" s="1"/>
  <c r="AH5" i="9" a="1"/>
  <c r="AH5" i="9" s="1"/>
  <c r="V5" i="9" a="1"/>
  <c r="V5" i="9" s="1"/>
  <c r="W9" i="9"/>
  <c r="U21" i="9"/>
  <c r="AH13" i="9" a="1"/>
  <c r="AH13" i="9" s="1"/>
  <c r="W13" i="9"/>
  <c r="AH31" i="9" a="1"/>
  <c r="AH31" i="9" s="1"/>
  <c r="W31" i="9"/>
  <c r="AH25" i="9" a="1"/>
  <c r="AH25" i="9" s="1"/>
  <c r="W25" i="9"/>
  <c r="AH26" i="9" a="1"/>
  <c r="AH26" i="9" s="1"/>
  <c r="W26" i="9"/>
  <c r="AB18" i="4" a="1"/>
  <c r="AB18" i="4" s="1"/>
  <c r="AC18" i="4" s="1"/>
  <c r="AH12" i="9" a="1"/>
  <c r="AH12" i="9" s="1"/>
  <c r="G31" i="9" a="1"/>
  <c r="G31" i="9" s="1"/>
  <c r="Q6" i="9" a="1"/>
  <c r="Q6" i="9" s="1"/>
  <c r="R6" i="21" s="1"/>
  <c r="R5" i="21"/>
  <c r="AD17" i="9" a="1"/>
  <c r="AD17" i="9" s="1"/>
  <c r="G20" i="9" a="1"/>
  <c r="G20" i="9" s="1"/>
  <c r="G27" i="9" a="1"/>
  <c r="G27" i="9" s="1"/>
  <c r="G28" i="9" a="1"/>
  <c r="G28" i="9" s="1"/>
  <c r="G25" i="9" a="1"/>
  <c r="G25" i="9" s="1"/>
  <c r="G19" i="9" a="1"/>
  <c r="G19" i="9" s="1"/>
  <c r="T11" i="10" a="1"/>
  <c r="T11" i="10" s="1"/>
  <c r="T12" i="10" s="1" a="1"/>
  <c r="T12" i="10" s="1"/>
  <c r="T13" i="10" s="1" a="1"/>
  <c r="T13" i="10" s="1"/>
  <c r="T14" i="10" s="1" a="1"/>
  <c r="T14" i="10" s="1"/>
  <c r="T15" i="10" s="1" a="1"/>
  <c r="T15" i="10" s="1"/>
  <c r="T16" i="10" s="1" a="1"/>
  <c r="T16" i="10" s="1"/>
  <c r="G5" i="9" a="1"/>
  <c r="G5" i="9" s="1"/>
  <c r="G9" i="9" a="1"/>
  <c r="G9" i="9" s="1"/>
  <c r="G8" i="9" a="1"/>
  <c r="G8" i="9" s="1"/>
  <c r="G12" i="9" a="1"/>
  <c r="G12" i="9" s="1"/>
  <c r="G18" i="9" a="1"/>
  <c r="G18" i="9" s="1"/>
  <c r="D8" i="13" a="1"/>
  <c r="D8" i="13" s="1"/>
  <c r="AO100" i="3" l="1" a="1"/>
  <c r="AO100" i="3" s="1"/>
  <c r="V6" i="9" a="1"/>
  <c r="V6" i="9" s="1"/>
  <c r="L42" i="3" a="1"/>
  <c r="L42" i="3" s="1"/>
  <c r="H84" i="28" a="1"/>
  <c r="H84" i="28" s="1"/>
  <c r="A84" i="28" s="1" a="1"/>
  <c r="A84" i="28" s="1"/>
  <c r="U20" i="9"/>
  <c r="U34" i="9"/>
  <c r="W21" i="9"/>
  <c r="AH21" i="9" a="1"/>
  <c r="AH21" i="9" s="1"/>
  <c r="AB19" i="4" a="1"/>
  <c r="AB19" i="4" s="1"/>
  <c r="AC19" i="4" s="1"/>
  <c r="G7" i="9" a="1"/>
  <c r="G7" i="9" s="1"/>
  <c r="G32" i="9" a="1"/>
  <c r="G32" i="9" s="1"/>
  <c r="Q7" i="9" a="1"/>
  <c r="Q7" i="9" s="1"/>
  <c r="R7" i="21" s="1"/>
  <c r="G10" i="9" a="1"/>
  <c r="G10" i="9" s="1"/>
  <c r="G6" i="9" a="1"/>
  <c r="G6" i="9" s="1"/>
  <c r="G16" i="9" a="1"/>
  <c r="G16" i="9" s="1"/>
  <c r="G26" i="9" a="1"/>
  <c r="G26" i="9" s="1"/>
  <c r="AD18" i="9" a="1"/>
  <c r="AD18" i="9" s="1"/>
  <c r="G13" i="9" a="1"/>
  <c r="G13" i="9" s="1"/>
  <c r="T17" i="10" a="1"/>
  <c r="T17" i="10" s="1"/>
  <c r="T18" i="10" s="1" a="1"/>
  <c r="T18" i="10" s="1"/>
  <c r="T19" i="10" s="1" a="1"/>
  <c r="T19" i="10" s="1"/>
  <c r="T20" i="10" s="1" a="1"/>
  <c r="T20" i="10" s="1"/>
  <c r="T21" i="10" s="1" a="1"/>
  <c r="T21" i="10" s="1"/>
  <c r="T22" i="10" s="1" a="1"/>
  <c r="T22" i="10" s="1"/>
  <c r="T23" i="10" s="1" a="1"/>
  <c r="T23" i="10" s="1"/>
  <c r="T24" i="10" s="1" a="1"/>
  <c r="T24" i="10" s="1"/>
  <c r="T25" i="10" s="1" a="1"/>
  <c r="T25" i="10" s="1"/>
  <c r="T26" i="10" s="1" a="1"/>
  <c r="T26" i="10" s="1"/>
  <c r="T27" i="10" s="1" a="1"/>
  <c r="T27" i="10" s="1"/>
  <c r="T28" i="10" s="1" a="1"/>
  <c r="T28" i="10" s="1"/>
  <c r="T29" i="10" s="1" a="1"/>
  <c r="T29" i="10" s="1"/>
  <c r="T30" i="10" s="1" a="1"/>
  <c r="T30" i="10" s="1"/>
  <c r="T31" i="10" s="1" a="1"/>
  <c r="T31" i="10" s="1"/>
  <c r="T32" i="10" s="1" a="1"/>
  <c r="T32" i="10" s="1"/>
  <c r="T33" i="10" s="1" a="1"/>
  <c r="T33" i="10" s="1"/>
  <c r="T34" i="10" s="1" a="1"/>
  <c r="T34" i="10" s="1"/>
  <c r="T35" i="10" s="1" a="1"/>
  <c r="T35" i="10" s="1"/>
  <c r="T36" i="10" s="1" a="1"/>
  <c r="T36" i="10" s="1"/>
  <c r="T37" i="10" s="1" a="1"/>
  <c r="T37" i="10" s="1"/>
  <c r="T38" i="10" s="1" a="1"/>
  <c r="T38" i="10" s="1"/>
  <c r="T39" i="10" s="1" a="1"/>
  <c r="T39" i="10" s="1"/>
  <c r="T40" i="10" s="1" a="1"/>
  <c r="T40" i="10" s="1"/>
  <c r="T41" i="10" s="1" a="1"/>
  <c r="T41" i="10" s="1"/>
  <c r="T42" i="10" s="1" a="1"/>
  <c r="T42" i="10" s="1"/>
  <c r="T43" i="10" s="1" a="1"/>
  <c r="T43" i="10" s="1"/>
  <c r="T44" i="10" s="1" a="1"/>
  <c r="T44" i="10" s="1"/>
  <c r="T45" i="10" s="1" a="1"/>
  <c r="T45" i="10" s="1"/>
  <c r="T46" i="10" s="1" a="1"/>
  <c r="T46" i="10" s="1"/>
  <c r="T47" i="10" s="1" a="1"/>
  <c r="T47" i="10" s="1"/>
  <c r="D10" i="13" a="1"/>
  <c r="D10" i="13" s="1"/>
  <c r="D7" i="13" a="1"/>
  <c r="D7" i="13" s="1"/>
  <c r="J5" i="14"/>
  <c r="AO101" i="3" l="1" a="1"/>
  <c r="AO101" i="3" s="1"/>
  <c r="V7" i="9" a="1"/>
  <c r="V7" i="9" s="1"/>
  <c r="L43" i="3" a="1"/>
  <c r="L43" i="3" s="1"/>
  <c r="H85" i="28" a="1"/>
  <c r="H85" i="28" s="1"/>
  <c r="A85" i="28" s="1" a="1"/>
  <c r="A85" i="28" s="1"/>
  <c r="AH34" i="9" a="1"/>
  <c r="AH34" i="9" s="1"/>
  <c r="W34" i="9"/>
  <c r="AH20" i="9" a="1"/>
  <c r="AH20" i="9" s="1"/>
  <c r="AI43" i="9" s="1"/>
  <c r="W20" i="9"/>
  <c r="AB20" i="4" a="1"/>
  <c r="AB20" i="4" s="1"/>
  <c r="AC20" i="4" s="1"/>
  <c r="Q8" i="9" a="1"/>
  <c r="Q8" i="9" s="1"/>
  <c r="AD19" i="9" a="1"/>
  <c r="AD19" i="9" s="1"/>
  <c r="S6" i="3" a="1"/>
  <c r="S6" i="3" s="1"/>
  <c r="S7" i="3" s="1" a="1"/>
  <c r="S7" i="3" s="1"/>
  <c r="S8" i="3" s="1" a="1"/>
  <c r="S8" i="3" s="1"/>
  <c r="S9" i="3" s="1" a="1"/>
  <c r="S9" i="3" s="1"/>
  <c r="S10" i="3" s="1" a="1"/>
  <c r="S10" i="3" s="1"/>
  <c r="S11" i="3" s="1" a="1"/>
  <c r="S11" i="3" s="1"/>
  <c r="S12" i="3" s="1" a="1"/>
  <c r="S12" i="3" s="1"/>
  <c r="S13" i="3" s="1" a="1"/>
  <c r="S13" i="3" s="1"/>
  <c r="AI42" i="9" l="1"/>
  <c r="S14" i="3" a="1"/>
  <c r="S14" i="3" s="1"/>
  <c r="S15" i="3" s="1" a="1"/>
  <c r="S15" i="3" s="1"/>
  <c r="S16" i="3" s="1" a="1"/>
  <c r="S16" i="3" s="1"/>
  <c r="S17" i="3" s="1" a="1"/>
  <c r="S17" i="3" s="1"/>
  <c r="S18" i="3" s="1" a="1"/>
  <c r="S18" i="3" s="1"/>
  <c r="S19" i="3" s="1" a="1"/>
  <c r="S19" i="3" s="1"/>
  <c r="S20" i="3" s="1" a="1"/>
  <c r="S20" i="3" s="1"/>
  <c r="S21" i="3" s="1" a="1"/>
  <c r="S21" i="3" s="1"/>
  <c r="S22" i="3" s="1" a="1"/>
  <c r="S22" i="3" s="1"/>
  <c r="S23" i="3" s="1" a="1"/>
  <c r="S23" i="3" s="1"/>
  <c r="S24" i="3" s="1" a="1"/>
  <c r="S24" i="3" s="1"/>
  <c r="S25" i="3" s="1" a="1"/>
  <c r="S25" i="3" s="1"/>
  <c r="S26" i="3" s="1" a="1"/>
  <c r="S26" i="3" s="1"/>
  <c r="S27" i="3" s="1" a="1"/>
  <c r="S27" i="3" s="1"/>
  <c r="S28" i="3" s="1" a="1"/>
  <c r="S28" i="3" s="1"/>
  <c r="S29" i="3" s="1" a="1"/>
  <c r="S29" i="3" s="1"/>
  <c r="S30" i="3" s="1" a="1"/>
  <c r="S30" i="3" s="1"/>
  <c r="S31" i="3" s="1" a="1"/>
  <c r="S31" i="3" s="1"/>
  <c r="S32" i="3" s="1" a="1"/>
  <c r="S32" i="3" s="1"/>
  <c r="S33" i="3" s="1" a="1"/>
  <c r="S33" i="3" s="1"/>
  <c r="S34" i="3" s="1" a="1"/>
  <c r="S34" i="3" s="1"/>
  <c r="S35" i="3" s="1" a="1"/>
  <c r="S35" i="3" s="1"/>
  <c r="S36" i="3" s="1" a="1"/>
  <c r="S36" i="3" s="1"/>
  <c r="S37" i="3" s="1" a="1"/>
  <c r="S37" i="3" s="1"/>
  <c r="S38" i="3" s="1" a="1"/>
  <c r="S38" i="3" s="1"/>
  <c r="S39" i="3" s="1" a="1"/>
  <c r="S39" i="3" s="1"/>
  <c r="S40" i="3" s="1" a="1"/>
  <c r="S40" i="3" s="1"/>
  <c r="S41" i="3" s="1" a="1"/>
  <c r="S41" i="3" s="1"/>
  <c r="S42" i="3" s="1" a="1"/>
  <c r="S42" i="3" s="1"/>
  <c r="S43" i="3" s="1" a="1"/>
  <c r="S43" i="3" s="1"/>
  <c r="S44" i="3" s="1" a="1"/>
  <c r="S44" i="3" s="1"/>
  <c r="S45" i="3" s="1" a="1"/>
  <c r="S45" i="3" s="1"/>
  <c r="S46" i="3" s="1" a="1"/>
  <c r="S46" i="3" s="1"/>
  <c r="S47" i="3" s="1" a="1"/>
  <c r="S47" i="3" s="1"/>
  <c r="S48" i="3" s="1" a="1"/>
  <c r="S48" i="3" s="1"/>
  <c r="AO102" i="3" a="1"/>
  <c r="AO102" i="3" s="1"/>
  <c r="V8" i="9" a="1"/>
  <c r="V8" i="9" s="1"/>
  <c r="L44" i="3" a="1"/>
  <c r="L44" i="3" s="1"/>
  <c r="AI38" i="9"/>
  <c r="AI41" i="9"/>
  <c r="H86" i="28" a="1"/>
  <c r="H86" i="28" s="1"/>
  <c r="H87" i="28" s="1" a="1"/>
  <c r="H87" i="28" s="1"/>
  <c r="AI39" i="9"/>
  <c r="AI40" i="9"/>
  <c r="AI5" i="9"/>
  <c r="Y5" i="21" s="1" a="1"/>
  <c r="Y5" i="21" s="1"/>
  <c r="AK5" i="21" s="1"/>
  <c r="AI12" i="9"/>
  <c r="AI13" i="9"/>
  <c r="AI6" i="9"/>
  <c r="Y6" i="21" s="1" a="1"/>
  <c r="Y6" i="21" s="1"/>
  <c r="AK6" i="21" s="1"/>
  <c r="AI9" i="9"/>
  <c r="AI3" i="9"/>
  <c r="AI7" i="9"/>
  <c r="Y7" i="21" s="1" a="1"/>
  <c r="Y7" i="21" s="1"/>
  <c r="AK7" i="21" s="1"/>
  <c r="AI8" i="9"/>
  <c r="AI16" i="9"/>
  <c r="AI36" i="9"/>
  <c r="AI4" i="9"/>
  <c r="Y4" i="21" s="1" a="1"/>
  <c r="Y4" i="21" s="1"/>
  <c r="AK4" i="21" s="1"/>
  <c r="AI17" i="9"/>
  <c r="AI10" i="9"/>
  <c r="AI29" i="9"/>
  <c r="AI30" i="9"/>
  <c r="AI18" i="9"/>
  <c r="AI19" i="9"/>
  <c r="B13" i="19"/>
  <c r="AI31" i="9"/>
  <c r="AI20" i="9"/>
  <c r="AI26" i="9"/>
  <c r="AI27" i="9"/>
  <c r="AI22" i="9"/>
  <c r="AI15" i="9"/>
  <c r="AI37" i="9"/>
  <c r="AI11" i="9"/>
  <c r="AI34" i="9"/>
  <c r="AI33" i="9"/>
  <c r="AI14" i="9"/>
  <c r="AI35" i="9"/>
  <c r="AI21" i="9"/>
  <c r="AI32" i="9"/>
  <c r="AI25" i="9"/>
  <c r="AI23" i="9"/>
  <c r="AI24" i="9"/>
  <c r="AI28" i="9"/>
  <c r="AB21" i="4" a="1"/>
  <c r="AB21" i="4" s="1"/>
  <c r="AC21" i="4" s="1"/>
  <c r="D6" i="13" a="1"/>
  <c r="D6" i="13" s="1"/>
  <c r="D5" i="13" a="1"/>
  <c r="D5" i="13" s="1"/>
  <c r="Q7" i="3" a="1"/>
  <c r="Q7" i="3" s="1"/>
  <c r="Q8" i="3" s="1" a="1"/>
  <c r="Q8" i="3" s="1"/>
  <c r="Q9" i="3" s="1" a="1"/>
  <c r="Q9" i="3" s="1"/>
  <c r="Q10" i="3" s="1" a="1"/>
  <c r="Q10" i="3" s="1"/>
  <c r="Q11" i="3" s="1" a="1"/>
  <c r="Q11" i="3" s="1"/>
  <c r="Q12" i="3" s="1" a="1"/>
  <c r="Q12" i="3" s="1"/>
  <c r="Q13" i="3" s="1" a="1"/>
  <c r="Q13" i="3" s="1"/>
  <c r="Q9" i="9" a="1"/>
  <c r="Q9" i="9" s="1"/>
  <c r="R9" i="21" s="1"/>
  <c r="R8" i="21"/>
  <c r="AD20" i="9" a="1"/>
  <c r="AD20" i="9" s="1"/>
  <c r="Q14" i="3" l="1" a="1"/>
  <c r="Q14" i="3" s="1"/>
  <c r="Q15" i="3" s="1" a="1"/>
  <c r="Q15" i="3" s="1"/>
  <c r="Q16" i="3" s="1" a="1"/>
  <c r="Q16" i="3" s="1"/>
  <c r="Q17" i="3" s="1" a="1"/>
  <c r="Q17" i="3" s="1"/>
  <c r="Q18" i="3" s="1" a="1"/>
  <c r="Q18" i="3" s="1"/>
  <c r="Q19" i="3" s="1" a="1"/>
  <c r="Q19" i="3" s="1"/>
  <c r="Q20" i="3" s="1" a="1"/>
  <c r="Q20" i="3" s="1"/>
  <c r="Q21" i="3" s="1" a="1"/>
  <c r="Q21" i="3" s="1"/>
  <c r="Q22" i="3" s="1" a="1"/>
  <c r="Q22" i="3" s="1"/>
  <c r="Q23" i="3" s="1" a="1"/>
  <c r="Q23" i="3" s="1"/>
  <c r="Q24" i="3" s="1" a="1"/>
  <c r="Q24" i="3" s="1"/>
  <c r="Q25" i="3" s="1" a="1"/>
  <c r="Q25" i="3" s="1"/>
  <c r="Q26" i="3" s="1" a="1"/>
  <c r="Q26" i="3" s="1"/>
  <c r="Q27" i="3" s="1" a="1"/>
  <c r="Q27" i="3" s="1"/>
  <c r="Q28" i="3" s="1" a="1"/>
  <c r="Q28" i="3" s="1"/>
  <c r="Q29" i="3" s="1" a="1"/>
  <c r="Q29" i="3" s="1"/>
  <c r="Q30" i="3" s="1" a="1"/>
  <c r="Q30" i="3" s="1"/>
  <c r="Q31" i="3" s="1" a="1"/>
  <c r="Q31" i="3" s="1"/>
  <c r="Q32" i="3" s="1" a="1"/>
  <c r="Q32" i="3" s="1"/>
  <c r="Q33" i="3" s="1" a="1"/>
  <c r="Q33" i="3" s="1"/>
  <c r="Q34" i="3" s="1" a="1"/>
  <c r="Q34" i="3" s="1"/>
  <c r="Q35" i="3" s="1" a="1"/>
  <c r="Q35" i="3" s="1"/>
  <c r="Q36" i="3" s="1" a="1"/>
  <c r="Q36" i="3" s="1"/>
  <c r="Q37" i="3" s="1" a="1"/>
  <c r="Q37" i="3" s="1"/>
  <c r="Q38" i="3" s="1" a="1"/>
  <c r="Q38" i="3" s="1"/>
  <c r="Q39" i="3" s="1" a="1"/>
  <c r="Q39" i="3" s="1"/>
  <c r="Q40" i="3" s="1" a="1"/>
  <c r="Q40" i="3" s="1"/>
  <c r="Q41" i="3" s="1" a="1"/>
  <c r="Q41" i="3" s="1"/>
  <c r="Q42" i="3" s="1" a="1"/>
  <c r="Q42" i="3" s="1"/>
  <c r="Q43" i="3" s="1" a="1"/>
  <c r="Q43" i="3" s="1"/>
  <c r="Q44" i="3" s="1" a="1"/>
  <c r="Q44" i="3" s="1"/>
  <c r="Q45" i="3" s="1" a="1"/>
  <c r="Q45" i="3" s="1"/>
  <c r="Q46" i="3" s="1" a="1"/>
  <c r="Q46" i="3" s="1"/>
  <c r="Q47" i="3" s="1" a="1"/>
  <c r="Q47" i="3" s="1"/>
  <c r="Q48" i="3" s="1" a="1"/>
  <c r="Q48" i="3" s="1"/>
  <c r="AO103" i="3" a="1"/>
  <c r="AO103" i="3" s="1"/>
  <c r="S49" i="3" a="1"/>
  <c r="S49" i="3" s="1"/>
  <c r="S50" i="3" s="1" a="1"/>
  <c r="S50" i="3" s="1"/>
  <c r="S51" i="3" s="1" a="1"/>
  <c r="S51" i="3" s="1"/>
  <c r="S52" i="3" s="1" a="1"/>
  <c r="S52" i="3" s="1"/>
  <c r="S53" i="3" s="1" a="1"/>
  <c r="S53" i="3" s="1"/>
  <c r="S54" i="3" s="1" a="1"/>
  <c r="S54" i="3" s="1"/>
  <c r="S55" i="3" s="1" a="1"/>
  <c r="S55" i="3" s="1"/>
  <c r="S56" i="3" s="1" a="1"/>
  <c r="S56" i="3" s="1"/>
  <c r="S57" i="3" s="1" a="1"/>
  <c r="S57" i="3" s="1"/>
  <c r="S58" i="3" s="1" a="1"/>
  <c r="S58" i="3" s="1"/>
  <c r="S59" i="3" s="1" a="1"/>
  <c r="S59" i="3" s="1"/>
  <c r="S60" i="3" s="1" a="1"/>
  <c r="S60" i="3" s="1"/>
  <c r="S61" i="3" s="1" a="1"/>
  <c r="S61" i="3" s="1"/>
  <c r="S62" i="3" s="1" a="1"/>
  <c r="S62" i="3" s="1"/>
  <c r="S63" i="3" s="1" a="1"/>
  <c r="S63" i="3" s="1"/>
  <c r="S64" i="3" s="1" a="1"/>
  <c r="S64" i="3" s="1"/>
  <c r="S65" i="3" s="1" a="1"/>
  <c r="S65" i="3" s="1"/>
  <c r="S66" i="3" s="1" a="1"/>
  <c r="S66" i="3" s="1"/>
  <c r="S67" i="3" s="1" a="1"/>
  <c r="S67" i="3" s="1"/>
  <c r="S68" i="3" s="1" a="1"/>
  <c r="S68" i="3" s="1"/>
  <c r="S69" i="3" s="1" a="1"/>
  <c r="S69" i="3" s="1"/>
  <c r="S70" i="3" s="1" a="1"/>
  <c r="S70" i="3" s="1"/>
  <c r="S71" i="3" s="1" a="1"/>
  <c r="S71" i="3" s="1"/>
  <c r="S72" i="3" s="1" a="1"/>
  <c r="S72" i="3" s="1"/>
  <c r="S73" i="3" s="1" a="1"/>
  <c r="S73" i="3" s="1"/>
  <c r="S74" i="3" s="1" a="1"/>
  <c r="S74" i="3" s="1"/>
  <c r="S75" i="3" s="1" a="1"/>
  <c r="S75" i="3" s="1"/>
  <c r="S76" i="3" s="1" a="1"/>
  <c r="S76" i="3" s="1"/>
  <c r="S77" i="3" s="1" a="1"/>
  <c r="S77" i="3" s="1"/>
  <c r="S78" i="3" s="1" a="1"/>
  <c r="S78" i="3" s="1"/>
  <c r="S79" i="3" s="1" a="1"/>
  <c r="S79" i="3" s="1"/>
  <c r="S80" i="3" s="1" a="1"/>
  <c r="S80" i="3" s="1"/>
  <c r="S81" i="3" s="1" a="1"/>
  <c r="S81" i="3" s="1"/>
  <c r="S82" i="3" s="1" a="1"/>
  <c r="S82" i="3" s="1"/>
  <c r="S83" i="3" s="1" a="1"/>
  <c r="S83" i="3" s="1"/>
  <c r="S84" i="3" s="1" a="1"/>
  <c r="S84" i="3" s="1"/>
  <c r="S85" i="3" s="1" a="1"/>
  <c r="S85" i="3" s="1"/>
  <c r="S86" i="3" s="1" a="1"/>
  <c r="S86" i="3" s="1"/>
  <c r="S87" i="3" s="1" a="1"/>
  <c r="S87" i="3" s="1"/>
  <c r="S88" i="3" s="1" a="1"/>
  <c r="S88" i="3" s="1"/>
  <c r="S89" i="3" s="1" a="1"/>
  <c r="S89" i="3" s="1"/>
  <c r="S90" i="3" s="1" a="1"/>
  <c r="S90" i="3" s="1"/>
  <c r="S91" i="3" s="1" a="1"/>
  <c r="S91" i="3" s="1"/>
  <c r="S92" i="3" s="1" a="1"/>
  <c r="S92" i="3" s="1"/>
  <c r="S93" i="3" s="1" a="1"/>
  <c r="S93" i="3" s="1"/>
  <c r="S94" i="3" s="1" a="1"/>
  <c r="S94" i="3" s="1"/>
  <c r="S95" i="3" s="1" a="1"/>
  <c r="S95" i="3" s="1"/>
  <c r="S96" i="3" s="1" a="1"/>
  <c r="S96" i="3" s="1"/>
  <c r="S97" i="3" s="1" a="1"/>
  <c r="S97" i="3" s="1"/>
  <c r="S98" i="3" s="1" a="1"/>
  <c r="S98" i="3" s="1"/>
  <c r="S99" i="3" s="1" a="1"/>
  <c r="S99" i="3" s="1"/>
  <c r="S100" i="3" s="1" a="1"/>
  <c r="S100" i="3" s="1"/>
  <c r="S101" i="3" s="1" a="1"/>
  <c r="S101" i="3" s="1"/>
  <c r="S102" i="3" s="1" a="1"/>
  <c r="S102" i="3" s="1"/>
  <c r="S103" i="3" s="1" a="1"/>
  <c r="S103" i="3" s="1"/>
  <c r="Y9" i="21" a="1"/>
  <c r="Y9" i="21" s="1"/>
  <c r="AK9" i="21" s="1"/>
  <c r="V9" i="9" a="1"/>
  <c r="V9" i="9" s="1"/>
  <c r="Y3" i="21" a="1"/>
  <c r="Y3" i="21" s="1"/>
  <c r="AK3" i="21" s="1"/>
  <c r="AL3" i="21" s="1" a="1"/>
  <c r="AL3" i="21" s="1"/>
  <c r="AL4" i="21" s="1" a="1"/>
  <c r="AL4" i="21" s="1"/>
  <c r="AL5" i="21" s="1" a="1"/>
  <c r="AL5" i="21" s="1"/>
  <c r="AL6" i="21" s="1" a="1"/>
  <c r="AL6" i="21" s="1"/>
  <c r="AL7" i="21" s="1" a="1"/>
  <c r="AL7" i="21" s="1"/>
  <c r="L45" i="3" a="1"/>
  <c r="L45" i="3" s="1"/>
  <c r="A86" i="28" a="1"/>
  <c r="A86" i="28" s="1"/>
  <c r="A87" i="28" a="1"/>
  <c r="A87" i="28" s="1"/>
  <c r="H88" i="28" a="1"/>
  <c r="H88" i="28" s="1"/>
  <c r="Y8" i="21" a="1"/>
  <c r="Y8" i="21" s="1"/>
  <c r="AK8" i="21" s="1"/>
  <c r="AB22" i="4" a="1"/>
  <c r="AB22" i="4" s="1"/>
  <c r="AC22" i="4" s="1"/>
  <c r="D4" i="13" a="1"/>
  <c r="D4" i="13" s="1"/>
  <c r="D3" i="13" a="1"/>
  <c r="D3" i="13" s="1"/>
  <c r="Q10" i="9" a="1"/>
  <c r="Q10" i="9" s="1"/>
  <c r="F3" i="13" a="1"/>
  <c r="F3" i="13" s="1"/>
  <c r="AD21" i="9" a="1"/>
  <c r="AD21" i="9" s="1"/>
  <c r="Q22" i="24" a="1"/>
  <c r="Q22" i="24" l="1"/>
  <c r="Q49" i="3" a="1"/>
  <c r="Q49" i="3" s="1"/>
  <c r="Q50" i="3" s="1" a="1"/>
  <c r="Q50" i="3" s="1"/>
  <c r="Q51" i="3" s="1" a="1"/>
  <c r="Q51" i="3" s="1"/>
  <c r="Q52" i="3" s="1" a="1"/>
  <c r="Q52" i="3" s="1"/>
  <c r="Q53" i="3" s="1" a="1"/>
  <c r="Q53" i="3" s="1"/>
  <c r="Q54" i="3" s="1" a="1"/>
  <c r="Q54" i="3" s="1"/>
  <c r="Q55" i="3" s="1" a="1"/>
  <c r="Q55" i="3" s="1"/>
  <c r="Q56" i="3" s="1" a="1"/>
  <c r="Q56" i="3" s="1"/>
  <c r="Q57" i="3" s="1" a="1"/>
  <c r="Q57" i="3" s="1"/>
  <c r="Q58" i="3" s="1" a="1"/>
  <c r="Q58" i="3" s="1"/>
  <c r="Q59" i="3" s="1" a="1"/>
  <c r="Q59" i="3" s="1"/>
  <c r="Q60" i="3" s="1" a="1"/>
  <c r="Q60" i="3" s="1"/>
  <c r="Q61" i="3" s="1" a="1"/>
  <c r="Q61" i="3" s="1"/>
  <c r="Q62" i="3" s="1" a="1"/>
  <c r="Q62" i="3" s="1"/>
  <c r="Q63" i="3" s="1" a="1"/>
  <c r="Q63" i="3" s="1"/>
  <c r="Q64" i="3" s="1" a="1"/>
  <c r="Q64" i="3" s="1"/>
  <c r="Q65" i="3" s="1" a="1"/>
  <c r="Q65" i="3" s="1"/>
  <c r="Q66" i="3" s="1" a="1"/>
  <c r="Q66" i="3" s="1"/>
  <c r="Q67" i="3" s="1" a="1"/>
  <c r="Q67" i="3" s="1"/>
  <c r="Q68" i="3" s="1" a="1"/>
  <c r="Q68" i="3" s="1"/>
  <c r="Q69" i="3" s="1" a="1"/>
  <c r="Q69" i="3" s="1"/>
  <c r="Q70" i="3" s="1" a="1"/>
  <c r="Q70" i="3" s="1"/>
  <c r="Q71" i="3" s="1" a="1"/>
  <c r="Q71" i="3" s="1"/>
  <c r="Q72" i="3" s="1" a="1"/>
  <c r="Q72" i="3" s="1"/>
  <c r="Q73" i="3" s="1" a="1"/>
  <c r="Q73" i="3" s="1"/>
  <c r="Q74" i="3" s="1" a="1"/>
  <c r="Q74" i="3" s="1"/>
  <c r="Q75" i="3" s="1" a="1"/>
  <c r="Q75" i="3" s="1"/>
  <c r="Q76" i="3" s="1" a="1"/>
  <c r="Q76" i="3" s="1"/>
  <c r="Q77" i="3" s="1" a="1"/>
  <c r="Q77" i="3" s="1"/>
  <c r="Q78" i="3" s="1" a="1"/>
  <c r="Q78" i="3" s="1"/>
  <c r="Q79" i="3" s="1" a="1"/>
  <c r="Q79" i="3" s="1"/>
  <c r="Q80" i="3" s="1" a="1"/>
  <c r="Q80" i="3" s="1"/>
  <c r="Q81" i="3" s="1" a="1"/>
  <c r="Q81" i="3" s="1"/>
  <c r="Q82" i="3" s="1" a="1"/>
  <c r="Q82" i="3" s="1"/>
  <c r="Q83" i="3" s="1" a="1"/>
  <c r="Q83" i="3" s="1"/>
  <c r="Q84" i="3" s="1" a="1"/>
  <c r="Q84" i="3" s="1"/>
  <c r="Q85" i="3" s="1" a="1"/>
  <c r="Q85" i="3" s="1"/>
  <c r="Q86" i="3" s="1" a="1"/>
  <c r="Q86" i="3" s="1"/>
  <c r="Q87" i="3" s="1" a="1"/>
  <c r="Q87" i="3" s="1"/>
  <c r="Q88" i="3" s="1" a="1"/>
  <c r="Q88" i="3" s="1"/>
  <c r="Q89" i="3" s="1" a="1"/>
  <c r="Q89" i="3" s="1"/>
  <c r="Q90" i="3" s="1" a="1"/>
  <c r="Q90" i="3" s="1"/>
  <c r="Q91" i="3" s="1" a="1"/>
  <c r="Q91" i="3" s="1"/>
  <c r="Q92" i="3" s="1" a="1"/>
  <c r="Q92" i="3" s="1"/>
  <c r="Q93" i="3" s="1" a="1"/>
  <c r="Q93" i="3" s="1"/>
  <c r="Q94" i="3" s="1" a="1"/>
  <c r="Q94" i="3" s="1"/>
  <c r="Q95" i="3" s="1" a="1"/>
  <c r="Q95" i="3" s="1"/>
  <c r="Q96" i="3" s="1" a="1"/>
  <c r="Q96" i="3" s="1"/>
  <c r="Q97" i="3" s="1" a="1"/>
  <c r="Q97" i="3" s="1"/>
  <c r="Q98" i="3" s="1" a="1"/>
  <c r="Q98" i="3" s="1"/>
  <c r="Q99" i="3" s="1" a="1"/>
  <c r="Q99" i="3" s="1"/>
  <c r="Q100" i="3" s="1" a="1"/>
  <c r="Q100" i="3" s="1"/>
  <c r="Q101" i="3" s="1" a="1"/>
  <c r="Q101" i="3" s="1"/>
  <c r="Q102" i="3" s="1" a="1"/>
  <c r="Q102" i="3" s="1"/>
  <c r="Q103" i="3" s="1" a="1"/>
  <c r="Q103" i="3" s="1"/>
  <c r="AL8" i="21" a="1"/>
  <c r="AL8" i="21" s="1"/>
  <c r="AL9" i="21" s="1" a="1"/>
  <c r="AL9" i="21" s="1"/>
  <c r="V10" i="9" a="1"/>
  <c r="V10" i="9" s="1"/>
  <c r="L46" i="3" a="1"/>
  <c r="L46" i="3" s="1"/>
  <c r="A88" i="28" a="1"/>
  <c r="A88" i="28" s="1"/>
  <c r="H89" i="28" a="1"/>
  <c r="H89" i="28" s="1"/>
  <c r="A89" i="28" s="1" a="1"/>
  <c r="A89" i="28" s="1"/>
  <c r="AB23" i="4" a="1"/>
  <c r="AB23" i="4" s="1"/>
  <c r="AC23" i="4" s="1"/>
  <c r="Q11" i="9" a="1"/>
  <c r="Q11" i="9" s="1"/>
  <c r="R11" i="21" s="1"/>
  <c r="Y11" i="21" s="1" a="1"/>
  <c r="Y11" i="21" s="1"/>
  <c r="AK11" i="21" s="1"/>
  <c r="R10" i="21"/>
  <c r="Y10" i="21" s="1" a="1"/>
  <c r="Y10" i="21" s="1"/>
  <c r="AK10" i="21" s="1"/>
  <c r="F4" i="13" a="1"/>
  <c r="F4" i="13" s="1"/>
  <c r="F5" i="13" s="1" a="1"/>
  <c r="F5" i="13" s="1"/>
  <c r="F6" i="13" s="1" a="1"/>
  <c r="F6" i="13" s="1"/>
  <c r="F7" i="13" s="1" a="1"/>
  <c r="F7" i="13" s="1"/>
  <c r="F8" i="13" s="1" a="1"/>
  <c r="F8" i="13" s="1"/>
  <c r="F9" i="13" s="1" a="1"/>
  <c r="F9" i="13" s="1"/>
  <c r="F10" i="13" s="1" a="1"/>
  <c r="F10" i="13" s="1"/>
  <c r="F11" i="13" s="1" a="1"/>
  <c r="F11" i="13" s="1"/>
  <c r="F12" i="13" s="1" a="1"/>
  <c r="F12" i="13" s="1"/>
  <c r="F13" i="13" s="1" a="1"/>
  <c r="F13" i="13" s="1"/>
  <c r="F14" i="13" s="1" a="1"/>
  <c r="F14" i="13" s="1"/>
  <c r="F15" i="13" s="1" a="1"/>
  <c r="F15" i="13" s="1"/>
  <c r="F16" i="13" s="1" a="1"/>
  <c r="F16" i="13" s="1"/>
  <c r="F17" i="13" s="1" a="1"/>
  <c r="F17" i="13" s="1"/>
  <c r="F18" i="13" s="1" a="1"/>
  <c r="F18" i="13" s="1"/>
  <c r="F19" i="13" s="1" a="1"/>
  <c r="F19" i="13" s="1"/>
  <c r="F20" i="13" s="1" a="1"/>
  <c r="F20" i="13" s="1"/>
  <c r="AD22" i="9" a="1"/>
  <c r="AD22" i="9" s="1"/>
  <c r="C22" i="24" a="1"/>
  <c r="C22" i="24" l="1"/>
  <c r="E22" i="24" a="1"/>
  <c r="E22" i="24" s="1"/>
  <c r="V11" i="9" a="1"/>
  <c r="V11" i="9" s="1"/>
  <c r="AL10" i="21" a="1"/>
  <c r="AL10" i="21" s="1"/>
  <c r="L47" i="3" a="1"/>
  <c r="L47" i="3" s="1"/>
  <c r="H90" i="28" a="1"/>
  <c r="H90" i="28" s="1"/>
  <c r="A90" i="28" s="1" a="1"/>
  <c r="A90" i="28" s="1"/>
  <c r="AB24" i="4" a="1"/>
  <c r="AB24" i="4" s="1"/>
  <c r="Q12" i="9" a="1"/>
  <c r="Q12" i="9" s="1"/>
  <c r="Q13" i="9" s="1" a="1"/>
  <c r="Q13" i="9" s="1"/>
  <c r="Q14" i="9" s="1" a="1"/>
  <c r="Q14" i="9" s="1"/>
  <c r="Q15" i="9" s="1" a="1"/>
  <c r="Q15" i="9" s="1"/>
  <c r="Q16" i="9" s="1" a="1"/>
  <c r="Q16" i="9" s="1"/>
  <c r="Q17" i="9" s="1" a="1"/>
  <c r="Q17" i="9" s="1"/>
  <c r="Q18" i="9" s="1" a="1"/>
  <c r="Q18" i="9" s="1"/>
  <c r="Q19" i="9" s="1" a="1"/>
  <c r="Q19" i="9" s="1"/>
  <c r="Q20" i="9" s="1" a="1"/>
  <c r="Q20" i="9" s="1"/>
  <c r="Q21" i="9" s="1" a="1"/>
  <c r="Q21" i="9" s="1"/>
  <c r="Q22" i="9" s="1" a="1"/>
  <c r="Q22" i="9" s="1"/>
  <c r="Q23" i="9" s="1" a="1"/>
  <c r="Q23" i="9" s="1"/>
  <c r="Q24" i="9" s="1" a="1"/>
  <c r="Q24" i="9" s="1"/>
  <c r="Q25" i="9" s="1" a="1"/>
  <c r="Q25" i="9" s="1"/>
  <c r="Q26" i="9" s="1" a="1"/>
  <c r="Q26" i="9" s="1"/>
  <c r="Q27" i="9" s="1" a="1"/>
  <c r="Q27" i="9" s="1"/>
  <c r="Q28" i="9" s="1" a="1"/>
  <c r="Q28" i="9" s="1"/>
  <c r="Q29" i="9" s="1" a="1"/>
  <c r="Q29" i="9" s="1"/>
  <c r="Q30" i="9" s="1" a="1"/>
  <c r="Q30" i="9" s="1"/>
  <c r="Q31" i="9" s="1" a="1"/>
  <c r="Q31" i="9" s="1"/>
  <c r="Q32" i="9" s="1" a="1"/>
  <c r="Q32" i="9" s="1"/>
  <c r="Q33" i="9" s="1" a="1"/>
  <c r="Q33" i="9" s="1"/>
  <c r="Q34" i="9" s="1" a="1"/>
  <c r="Q34" i="9" s="1"/>
  <c r="AD23" i="9" a="1"/>
  <c r="AD23" i="9" s="1"/>
  <c r="A3" i="21" a="1"/>
  <c r="A3" i="21" s="1"/>
  <c r="A4" i="21" a="1"/>
  <c r="A4" i="21" s="1"/>
  <c r="A11" i="21" a="1"/>
  <c r="A11" i="21" s="1"/>
  <c r="A7" i="21" a="1"/>
  <c r="A7" i="21" s="1"/>
  <c r="A6" i="21" a="1"/>
  <c r="A6" i="21" s="1"/>
  <c r="A8" i="21" a="1"/>
  <c r="A8" i="21" s="1"/>
  <c r="A10" i="21" a="1"/>
  <c r="A10" i="21" s="1"/>
  <c r="A5" i="21" a="1"/>
  <c r="A5" i="21" s="1"/>
  <c r="AP42" i="20" s="1" a="1"/>
  <c r="AP42" i="20" s="1"/>
  <c r="AQ42" i="20" s="1" a="1"/>
  <c r="AQ42" i="20" s="1"/>
  <c r="A9" i="21" a="1"/>
  <c r="A9" i="21" s="1"/>
  <c r="V5" i="17" a="1"/>
  <c r="V5" i="17" s="1"/>
  <c r="A22" i="24" l="1"/>
  <c r="V12" i="9" a="1"/>
  <c r="V12" i="9" s="1"/>
  <c r="AL11" i="21" a="1"/>
  <c r="AL11" i="21" s="1"/>
  <c r="AG6" i="21" a="1"/>
  <c r="AG6" i="21" s="1"/>
  <c r="AG4" i="21" a="1"/>
  <c r="AG4" i="21" s="1"/>
  <c r="L48" i="3" a="1"/>
  <c r="L48" i="3" s="1"/>
  <c r="AG5" i="21" a="1"/>
  <c r="AG5" i="21" s="1"/>
  <c r="AG8" i="21" a="1"/>
  <c r="AG8" i="21" s="1"/>
  <c r="AG7" i="21" a="1"/>
  <c r="AG7" i="21" s="1"/>
  <c r="AG9" i="21" a="1"/>
  <c r="AG9" i="21" s="1"/>
  <c r="AG10" i="21" a="1"/>
  <c r="AG10" i="21" s="1"/>
  <c r="AG11" i="21" a="1"/>
  <c r="AG11" i="21" s="1"/>
  <c r="AG3" i="21" a="1"/>
  <c r="AG3" i="21" s="1"/>
  <c r="H91" i="28" a="1"/>
  <c r="H91" i="28" s="1"/>
  <c r="H92" i="28" s="1" a="1"/>
  <c r="H92" i="28" s="1"/>
  <c r="AP58" i="20" a="1"/>
  <c r="AP58" i="20" s="1"/>
  <c r="AQ58" i="20" s="1" a="1"/>
  <c r="AQ58" i="20" s="1"/>
  <c r="R34" i="21"/>
  <c r="Y34" i="21" s="1" a="1"/>
  <c r="Y34" i="21" s="1"/>
  <c r="AK34" i="21" s="1"/>
  <c r="Q35" i="9" a="1"/>
  <c r="Q35" i="9" s="1"/>
  <c r="AB25" i="4" a="1"/>
  <c r="AB25" i="4" s="1"/>
  <c r="AC24" i="4"/>
  <c r="AP23" i="20" a="1"/>
  <c r="AP23" i="20" s="1"/>
  <c r="AQ23" i="20" s="1" a="1"/>
  <c r="AQ23" i="20" s="1"/>
  <c r="F9" i="21" a="1"/>
  <c r="F9" i="21" s="1"/>
  <c r="F5" i="21" a="1"/>
  <c r="F5" i="21" s="1"/>
  <c r="F4" i="21" a="1"/>
  <c r="F4" i="21" s="1"/>
  <c r="F11" i="21" a="1"/>
  <c r="F11" i="21" s="1"/>
  <c r="R32" i="21"/>
  <c r="Y32" i="21" s="1" a="1"/>
  <c r="Y32" i="21" s="1"/>
  <c r="AK32" i="21" s="1"/>
  <c r="R33" i="21"/>
  <c r="Y33" i="21" s="1" a="1"/>
  <c r="Y33" i="21" s="1"/>
  <c r="AK33" i="21" s="1"/>
  <c r="F10" i="21" a="1"/>
  <c r="F10" i="21" s="1"/>
  <c r="F7" i="21" a="1"/>
  <c r="F7" i="21" s="1"/>
  <c r="F8" i="21" a="1"/>
  <c r="F8" i="21" s="1"/>
  <c r="AP15" i="20" a="1"/>
  <c r="AP15" i="20" s="1"/>
  <c r="AQ15" i="20" s="1" a="1"/>
  <c r="AQ15" i="20" s="1"/>
  <c r="F6" i="21" a="1"/>
  <c r="F6" i="21" s="1"/>
  <c r="AM15" i="10" a="1"/>
  <c r="AM15" i="10" s="1"/>
  <c r="AN15" i="10" s="1" a="1"/>
  <c r="AN15" i="10" s="1"/>
  <c r="F3" i="21" a="1"/>
  <c r="F3" i="21" s="1"/>
  <c r="AP41" i="20" a="1"/>
  <c r="AP41" i="20" s="1"/>
  <c r="AQ41" i="20" s="1" a="1"/>
  <c r="AQ41" i="20" s="1"/>
  <c r="R12" i="21"/>
  <c r="Y12" i="21" s="1" a="1"/>
  <c r="Y12" i="21" s="1"/>
  <c r="AK12" i="21" s="1"/>
  <c r="R17" i="21"/>
  <c r="Y17" i="21" s="1" a="1"/>
  <c r="Y17" i="21" s="1"/>
  <c r="R26" i="21"/>
  <c r="Y26" i="21" s="1" a="1"/>
  <c r="Y26" i="21" s="1"/>
  <c r="AK26" i="21" s="1"/>
  <c r="R31" i="21"/>
  <c r="Y31" i="21" s="1" a="1"/>
  <c r="Y31" i="21" s="1"/>
  <c r="AK31" i="21" s="1"/>
  <c r="R28" i="21"/>
  <c r="Y28" i="21" s="1" a="1"/>
  <c r="Y28" i="21" s="1"/>
  <c r="AK28" i="21" s="1"/>
  <c r="R24" i="21"/>
  <c r="Y24" i="21" s="1" a="1"/>
  <c r="Y24" i="21" s="1"/>
  <c r="AK24" i="21" s="1"/>
  <c r="R27" i="21"/>
  <c r="Y27" i="21" s="1" a="1"/>
  <c r="Y27" i="21" s="1"/>
  <c r="AK27" i="21" s="1"/>
  <c r="R20" i="21"/>
  <c r="Y20" i="21" s="1" a="1"/>
  <c r="Y20" i="21" s="1"/>
  <c r="R15" i="21"/>
  <c r="Y15" i="21" s="1" a="1"/>
  <c r="Y15" i="21" s="1"/>
  <c r="AK15" i="21" s="1"/>
  <c r="R25" i="21"/>
  <c r="Y25" i="21" s="1" a="1"/>
  <c r="Y25" i="21" s="1"/>
  <c r="AK25" i="21" s="1"/>
  <c r="R19" i="21"/>
  <c r="Y19" i="21" s="1" a="1"/>
  <c r="Y19" i="21" s="1"/>
  <c r="AK19" i="21" s="1"/>
  <c r="R14" i="21"/>
  <c r="Y14" i="21" s="1" a="1"/>
  <c r="Y14" i="21" s="1"/>
  <c r="AK14" i="21" s="1"/>
  <c r="R30" i="21"/>
  <c r="Y30" i="21" s="1" a="1"/>
  <c r="Y30" i="21" s="1"/>
  <c r="AK30" i="21" s="1"/>
  <c r="R18" i="21"/>
  <c r="Y18" i="21" s="1" a="1"/>
  <c r="Y18" i="21" s="1"/>
  <c r="R16" i="21"/>
  <c r="Y16" i="21" s="1" a="1"/>
  <c r="Y16" i="21" s="1"/>
  <c r="AK16" i="21" s="1"/>
  <c r="R13" i="21"/>
  <c r="Y13" i="21" s="1" a="1"/>
  <c r="Y13" i="21" s="1"/>
  <c r="AK13" i="21" s="1"/>
  <c r="R23" i="21"/>
  <c r="Y23" i="21" s="1" a="1"/>
  <c r="Y23" i="21" s="1"/>
  <c r="AK23" i="21" s="1"/>
  <c r="R29" i="21"/>
  <c r="Y29" i="21" s="1" a="1"/>
  <c r="Y29" i="21" s="1"/>
  <c r="AK29" i="21" s="1"/>
  <c r="R22" i="21"/>
  <c r="Y22" i="21" s="1" a="1"/>
  <c r="Y22" i="21" s="1"/>
  <c r="AK22" i="21" s="1"/>
  <c r="R21" i="21"/>
  <c r="Y21" i="21" s="1" a="1"/>
  <c r="Y21" i="21" s="1"/>
  <c r="AK21" i="21" s="1"/>
  <c r="AD24" i="9" a="1"/>
  <c r="AD24" i="9" s="1"/>
  <c r="B3" i="21" a="1"/>
  <c r="B3" i="21" s="1"/>
  <c r="B4" i="21" a="1"/>
  <c r="B4" i="21" s="1"/>
  <c r="B8" i="21" a="1"/>
  <c r="B8" i="21" s="1"/>
  <c r="B6" i="21" a="1"/>
  <c r="B6" i="21" s="1"/>
  <c r="B9" i="21" a="1"/>
  <c r="B9" i="21" s="1"/>
  <c r="B5" i="21" a="1"/>
  <c r="B5" i="21" s="1"/>
  <c r="B10" i="21" a="1"/>
  <c r="B10" i="21" s="1"/>
  <c r="B7" i="21" a="1"/>
  <c r="B7" i="21" s="1"/>
  <c r="B11" i="21" a="1"/>
  <c r="B11" i="21" s="1"/>
  <c r="D22" i="24"/>
  <c r="AK18" i="21" l="1"/>
  <c r="L49" i="3" a="1"/>
  <c r="L49" i="3" s="1"/>
  <c r="V13" i="9" a="1"/>
  <c r="V13" i="9" s="1"/>
  <c r="AL12" i="21" a="1"/>
  <c r="AL12" i="21" s="1"/>
  <c r="A91" i="28" a="1"/>
  <c r="A91" i="28" s="1"/>
  <c r="A92" i="28" a="1"/>
  <c r="A92" i="28" s="1"/>
  <c r="H93" i="28" a="1"/>
  <c r="H93" i="28" s="1"/>
  <c r="A93" i="28" s="1" a="1"/>
  <c r="A93" i="28" s="1"/>
  <c r="R35" i="21"/>
  <c r="B35" i="21" s="1" a="1"/>
  <c r="B35" i="21" s="1"/>
  <c r="Q36" i="9" a="1"/>
  <c r="Q36" i="9" s="1"/>
  <c r="Q37" i="9" s="1" a="1"/>
  <c r="Q37" i="9" s="1"/>
  <c r="B34" i="21" a="1"/>
  <c r="B34" i="21" s="1"/>
  <c r="A34" i="21" a="1"/>
  <c r="A34" i="21" s="1"/>
  <c r="AB26" i="4" a="1"/>
  <c r="AB26" i="4" s="1"/>
  <c r="AC26" i="4" s="1"/>
  <c r="AC25" i="4"/>
  <c r="B16" i="21" a="1"/>
  <c r="B16" i="21" s="1"/>
  <c r="B15" i="21" a="1"/>
  <c r="B15" i="21" s="1"/>
  <c r="A32" i="21" a="1"/>
  <c r="A32" i="21" s="1"/>
  <c r="AP20" i="20" s="1" a="1"/>
  <c r="AP20" i="20" s="1"/>
  <c r="AQ20" i="20" s="1" a="1"/>
  <c r="AQ20" i="20" s="1"/>
  <c r="A26" i="21" a="1"/>
  <c r="A26" i="21" s="1"/>
  <c r="B17" i="21" a="1"/>
  <c r="B17" i="21" s="1"/>
  <c r="B13" i="21" a="1"/>
  <c r="B13" i="21" s="1"/>
  <c r="B32" i="21" a="1"/>
  <c r="B32" i="21" s="1"/>
  <c r="A12" i="21" a="1"/>
  <c r="A12" i="21" s="1"/>
  <c r="A33" i="21" a="1"/>
  <c r="A33" i="21" s="1"/>
  <c r="B33" i="21" a="1"/>
  <c r="B33" i="21" s="1"/>
  <c r="B12" i="21" a="1"/>
  <c r="B12" i="21" s="1"/>
  <c r="A17" i="21" a="1"/>
  <c r="A17" i="21" s="1"/>
  <c r="B26" i="21" a="1"/>
  <c r="B26" i="21" s="1"/>
  <c r="AP29" i="20" a="1"/>
  <c r="AP29" i="20" s="1"/>
  <c r="AQ29" i="20" s="1" a="1"/>
  <c r="AQ29" i="20" s="1"/>
  <c r="A31" i="21" a="1"/>
  <c r="A31" i="21" s="1"/>
  <c r="AP36" i="20" s="1" a="1"/>
  <c r="AP36" i="20" s="1"/>
  <c r="AQ36" i="20" s="1" a="1"/>
  <c r="AQ36" i="20" s="1"/>
  <c r="B31" i="21" a="1"/>
  <c r="B31" i="21" s="1"/>
  <c r="B30" i="21" a="1"/>
  <c r="B30" i="21" s="1"/>
  <c r="A30" i="21" a="1"/>
  <c r="A30" i="21" s="1"/>
  <c r="B20" i="21" a="1"/>
  <c r="B20" i="21" s="1"/>
  <c r="A20" i="21" a="1"/>
  <c r="A20" i="21" s="1"/>
  <c r="A19" i="21" a="1"/>
  <c r="A19" i="21" s="1"/>
  <c r="B19" i="21" a="1"/>
  <c r="B19" i="21" s="1"/>
  <c r="A27" i="21" a="1"/>
  <c r="A27" i="21" s="1"/>
  <c r="B27" i="21" a="1"/>
  <c r="B27" i="21" s="1"/>
  <c r="A24" i="21" a="1"/>
  <c r="A24" i="21" s="1"/>
  <c r="B24" i="21" a="1"/>
  <c r="B24" i="21" s="1"/>
  <c r="A22" i="21" a="1"/>
  <c r="A22" i="21" s="1"/>
  <c r="B22" i="21" a="1"/>
  <c r="B22" i="21" s="1"/>
  <c r="B21" i="21" a="1"/>
  <c r="B21" i="21" s="1"/>
  <c r="A21" i="21" a="1"/>
  <c r="A21" i="21" s="1"/>
  <c r="A29" i="21" a="1"/>
  <c r="A29" i="21" s="1"/>
  <c r="B29" i="21" a="1"/>
  <c r="B29" i="21" s="1"/>
  <c r="B18" i="21" a="1"/>
  <c r="B18" i="21" s="1"/>
  <c r="A18" i="21" a="1"/>
  <c r="A18" i="21" s="1"/>
  <c r="A14" i="21" a="1"/>
  <c r="A14" i="21" s="1"/>
  <c r="A25" i="21" a="1"/>
  <c r="A25" i="21" s="1"/>
  <c r="B25" i="21" a="1"/>
  <c r="B25" i="21" s="1"/>
  <c r="B14" i="21" a="1"/>
  <c r="B14" i="21" s="1"/>
  <c r="B23" i="21" a="1"/>
  <c r="B23" i="21" s="1"/>
  <c r="A23" i="21" a="1"/>
  <c r="A23" i="21" s="1"/>
  <c r="B28" i="21" a="1"/>
  <c r="B28" i="21" s="1"/>
  <c r="A28" i="21" a="1"/>
  <c r="A28" i="21" s="1"/>
  <c r="A15" i="21" a="1"/>
  <c r="A15" i="21" s="1"/>
  <c r="A13" i="21" a="1"/>
  <c r="A13" i="21" s="1"/>
  <c r="A16" i="21" a="1"/>
  <c r="A16" i="21" s="1"/>
  <c r="AM46" i="10" s="1" a="1"/>
  <c r="AM46" i="10" s="1"/>
  <c r="AN46" i="10" s="1" a="1"/>
  <c r="AN46" i="10" s="1"/>
  <c r="AD25" i="9" a="1"/>
  <c r="AD25" i="9" s="1"/>
  <c r="P3" i="21" a="1"/>
  <c r="P3" i="21" s="1"/>
  <c r="AM32" i="21" l="1"/>
  <c r="AM31" i="21"/>
  <c r="AN31" i="21" s="1" a="1"/>
  <c r="AN31" i="21" s="1"/>
  <c r="L50" i="3" a="1"/>
  <c r="L50" i="3" s="1"/>
  <c r="AK20" i="21"/>
  <c r="AK17" i="21"/>
  <c r="V14" i="9" a="1"/>
  <c r="V14" i="9" s="1"/>
  <c r="AL13" i="21" a="1"/>
  <c r="AL13" i="21" s="1"/>
  <c r="AG13" i="21" a="1"/>
  <c r="AG13" i="21" s="1"/>
  <c r="AG28" i="21" a="1"/>
  <c r="AG28" i="21" s="1"/>
  <c r="AG18" i="21" a="1"/>
  <c r="AG18" i="21" s="1"/>
  <c r="AG19" i="21" a="1"/>
  <c r="AG19" i="21" s="1"/>
  <c r="AG20" i="21" a="1"/>
  <c r="AG20" i="21" s="1"/>
  <c r="AG31" i="21" a="1"/>
  <c r="AG31" i="21" s="1"/>
  <c r="A35" i="21" a="1"/>
  <c r="A35" i="21" s="1"/>
  <c r="AM28" i="10" s="1" a="1"/>
  <c r="AM28" i="10" s="1"/>
  <c r="AN28" i="10" s="1" a="1"/>
  <c r="AN28" i="10" s="1"/>
  <c r="AG16" i="21" a="1"/>
  <c r="AG16" i="21" s="1"/>
  <c r="AG23" i="21" a="1"/>
  <c r="AG23" i="21" s="1"/>
  <c r="AP47" i="20" a="1"/>
  <c r="AP47" i="20" s="1"/>
  <c r="AQ47" i="20" s="1" a="1"/>
  <c r="AQ47" i="20" s="1"/>
  <c r="AG25" i="21" a="1"/>
  <c r="AG25" i="21" s="1"/>
  <c r="AG21" i="21" a="1"/>
  <c r="AG21" i="21" s="1"/>
  <c r="AG30" i="21" a="1"/>
  <c r="AG30" i="21" s="1"/>
  <c r="AG12" i="21" a="1"/>
  <c r="AG12" i="21" s="1"/>
  <c r="AG32" i="21" a="1"/>
  <c r="AG32" i="21" s="1"/>
  <c r="AG15" i="21" a="1"/>
  <c r="AG15" i="21" s="1"/>
  <c r="AG14" i="21" a="1"/>
  <c r="AG14" i="21" s="1"/>
  <c r="AG29" i="21" a="1"/>
  <c r="AG29" i="21" s="1"/>
  <c r="AG22" i="21" a="1"/>
  <c r="AG22" i="21" s="1"/>
  <c r="AG24" i="21" a="1"/>
  <c r="AG24" i="21" s="1"/>
  <c r="AG27" i="21" a="1"/>
  <c r="AG27" i="21" s="1"/>
  <c r="AG17" i="21" a="1"/>
  <c r="AG17" i="21" s="1"/>
  <c r="AG33" i="21" a="1"/>
  <c r="AG33" i="21" s="1"/>
  <c r="AG26" i="21" a="1"/>
  <c r="AG26" i="21" s="1"/>
  <c r="F34" i="21" a="1"/>
  <c r="F34" i="21" s="1"/>
  <c r="AG34" i="21" a="1"/>
  <c r="AG34" i="21" s="1"/>
  <c r="H94" i="28" a="1"/>
  <c r="H94" i="28" s="1"/>
  <c r="A94" i="28" s="1" a="1"/>
  <c r="A94" i="28" s="1"/>
  <c r="Y35" i="21" a="1"/>
  <c r="Y35" i="21" s="1"/>
  <c r="AK35" i="21" s="1"/>
  <c r="P4" i="21" a="1"/>
  <c r="P4" i="21" s="1"/>
  <c r="R36" i="21"/>
  <c r="B36" i="21" s="1" a="1"/>
  <c r="B36" i="21" s="1"/>
  <c r="Q38" i="9" a="1"/>
  <c r="Q38" i="9" s="1"/>
  <c r="Q39" i="9" s="1" a="1"/>
  <c r="Q39" i="9" s="1"/>
  <c r="Q40" i="9" s="1" a="1"/>
  <c r="Q40" i="9" s="1"/>
  <c r="Q41" i="9" s="1" a="1"/>
  <c r="Q41" i="9" s="1"/>
  <c r="F26" i="21" a="1"/>
  <c r="F26" i="21" s="1"/>
  <c r="F32" i="21" a="1"/>
  <c r="F32" i="21" s="1"/>
  <c r="F12" i="21" a="1"/>
  <c r="F12" i="21" s="1"/>
  <c r="AP34" i="20" a="1"/>
  <c r="AP34" i="20" s="1"/>
  <c r="AQ34" i="20" s="1" a="1"/>
  <c r="AQ34" i="20" s="1"/>
  <c r="AP40" i="20" a="1"/>
  <c r="AP40" i="20" s="1"/>
  <c r="AQ40" i="20" s="1" a="1"/>
  <c r="AQ40" i="20" s="1"/>
  <c r="AP45" i="20" a="1"/>
  <c r="AP45" i="20" s="1"/>
  <c r="AQ45" i="20" s="1" a="1"/>
  <c r="AQ45" i="20" s="1"/>
  <c r="AP18" i="20" a="1"/>
  <c r="AP18" i="20" s="1"/>
  <c r="AQ18" i="20" s="1" a="1"/>
  <c r="AQ18" i="20" s="1"/>
  <c r="AP51" i="20" a="1"/>
  <c r="AP51" i="20" s="1"/>
  <c r="AQ51" i="20" s="1" a="1"/>
  <c r="AQ51" i="20" s="1"/>
  <c r="AP54" i="20" a="1"/>
  <c r="AP54" i="20" s="1"/>
  <c r="AQ54" i="20" s="1" a="1"/>
  <c r="AQ54" i="20" s="1"/>
  <c r="F16" i="21" a="1"/>
  <c r="F16" i="21" s="1"/>
  <c r="AM24" i="10" a="1"/>
  <c r="AM24" i="10" s="1"/>
  <c r="AN24" i="10" s="1" a="1"/>
  <c r="AN24" i="10" s="1"/>
  <c r="F24" i="21" a="1"/>
  <c r="F24" i="21" s="1"/>
  <c r="F14" i="21" a="1"/>
  <c r="F14" i="21" s="1"/>
  <c r="F17" i="21" a="1"/>
  <c r="F17" i="21" s="1"/>
  <c r="AP17" i="20" a="1"/>
  <c r="AP17" i="20" s="1"/>
  <c r="AQ17" i="20" s="1" a="1"/>
  <c r="AQ17" i="20" s="1"/>
  <c r="F13" i="21" a="1"/>
  <c r="F13" i="21" s="1"/>
  <c r="F18" i="21" a="1"/>
  <c r="F18" i="21" s="1"/>
  <c r="F27" i="21" a="1"/>
  <c r="F27" i="21" s="1"/>
  <c r="F31" i="21" a="1"/>
  <c r="F31" i="21" s="1"/>
  <c r="F22" i="21" a="1"/>
  <c r="F22" i="21" s="1"/>
  <c r="F15" i="21" a="1"/>
  <c r="F15" i="21" s="1"/>
  <c r="AP9" i="20" a="1"/>
  <c r="AP9" i="20" s="1"/>
  <c r="AQ9" i="20" s="1" a="1"/>
  <c r="AQ9" i="20" s="1"/>
  <c r="F19" i="21" a="1"/>
  <c r="F19" i="21" s="1"/>
  <c r="F28" i="21" a="1"/>
  <c r="F28" i="21" s="1"/>
  <c r="AM19" i="10" a="1"/>
  <c r="AM19" i="10" s="1"/>
  <c r="AN19" i="10" s="1" a="1"/>
  <c r="AN19" i="10" s="1"/>
  <c r="F29" i="21" a="1"/>
  <c r="F29" i="21" s="1"/>
  <c r="AP28" i="20" a="1"/>
  <c r="AP28" i="20" s="1"/>
  <c r="AQ28" i="20" s="1" a="1"/>
  <c r="AQ28" i="20" s="1"/>
  <c r="F20" i="21" a="1"/>
  <c r="F20" i="21" s="1"/>
  <c r="F21" i="21" a="1"/>
  <c r="F21" i="21" s="1"/>
  <c r="AM18" i="10" a="1"/>
  <c r="AM18" i="10" s="1"/>
  <c r="AN18" i="10" s="1" a="1"/>
  <c r="AN18" i="10" s="1"/>
  <c r="F23" i="21" a="1"/>
  <c r="F23" i="21" s="1"/>
  <c r="AM16" i="10" a="1"/>
  <c r="AM16" i="10" s="1"/>
  <c r="AN16" i="10" s="1" a="1"/>
  <c r="AN16" i="10" s="1"/>
  <c r="F30" i="21" a="1"/>
  <c r="F30" i="21" s="1"/>
  <c r="F33" i="21" a="1"/>
  <c r="F33" i="21" s="1"/>
  <c r="AP11" i="20" a="1"/>
  <c r="AP11" i="20" s="1"/>
  <c r="AQ11" i="20" s="1" a="1"/>
  <c r="AQ11" i="20" s="1"/>
  <c r="F25" i="21" a="1"/>
  <c r="F25" i="21" s="1"/>
  <c r="AP13" i="20" a="1"/>
  <c r="AP13" i="20" s="1"/>
  <c r="AQ13" i="20" s="1" a="1"/>
  <c r="AQ13" i="20" s="1"/>
  <c r="AP21" i="20" a="1"/>
  <c r="AP21" i="20" s="1"/>
  <c r="AQ21" i="20" s="1" a="1"/>
  <c r="AQ21" i="20" s="1"/>
  <c r="AP16" i="20" a="1"/>
  <c r="AP16" i="20" s="1"/>
  <c r="AQ16" i="20" s="1" a="1"/>
  <c r="AQ16" i="20" s="1"/>
  <c r="AD26" i="9" a="1"/>
  <c r="AD26" i="9" s="1"/>
  <c r="F35" i="21" l="1" a="1"/>
  <c r="F35" i="21" s="1"/>
  <c r="AG35" i="21" a="1"/>
  <c r="AG35" i="21" s="1"/>
  <c r="AN32" i="21" a="1"/>
  <c r="AN32" i="21" s="1"/>
  <c r="L51" i="3" a="1"/>
  <c r="L51" i="3" s="1"/>
  <c r="Q42" i="9" a="1"/>
  <c r="Q42" i="9" s="1"/>
  <c r="Q43" i="9" s="1" a="1"/>
  <c r="Q43" i="9" s="1"/>
  <c r="R43" i="21" s="1"/>
  <c r="R41" i="21"/>
  <c r="B41" i="21" s="1" a="1"/>
  <c r="B41" i="21" s="1"/>
  <c r="V15" i="9" a="1"/>
  <c r="V15" i="9" s="1"/>
  <c r="AL14" i="21" a="1"/>
  <c r="AL14" i="21" s="1"/>
  <c r="H95" i="28" a="1"/>
  <c r="H95" i="28" s="1"/>
  <c r="A95" i="28" s="1" a="1"/>
  <c r="A95" i="28" s="1"/>
  <c r="R39" i="21"/>
  <c r="A39" i="21" s="1" a="1"/>
  <c r="A39" i="21" s="1"/>
  <c r="R40" i="21"/>
  <c r="P5" i="21" a="1"/>
  <c r="P5" i="21" s="1"/>
  <c r="Y36" i="21" a="1"/>
  <c r="Y36" i="21" s="1"/>
  <c r="A36" i="21" a="1"/>
  <c r="A36" i="21" s="1"/>
  <c r="R37" i="21"/>
  <c r="A37" i="21" s="1" a="1"/>
  <c r="A37" i="21" s="1"/>
  <c r="R38" i="21"/>
  <c r="AD27" i="9" a="1"/>
  <c r="AD27" i="9" s="1"/>
  <c r="A43" i="21" l="1" a="1"/>
  <c r="A43" i="21" s="1"/>
  <c r="B43" i="21" a="1"/>
  <c r="B43" i="21" s="1"/>
  <c r="Y43" i="21" a="1"/>
  <c r="Y43" i="21" s="1"/>
  <c r="AK43" i="21" s="1"/>
  <c r="L52" i="3" a="1"/>
  <c r="L52" i="3" s="1"/>
  <c r="R42" i="21"/>
  <c r="B42" i="21" s="1" a="1"/>
  <c r="B42" i="21" s="1"/>
  <c r="AN33" i="21" a="1"/>
  <c r="AN33" i="21" s="1"/>
  <c r="A41" i="21" a="1"/>
  <c r="A41" i="21" s="1"/>
  <c r="F41" i="21" s="1" a="1"/>
  <c r="F41" i="21" s="1"/>
  <c r="Y41" i="21" a="1"/>
  <c r="Y41" i="21" s="1"/>
  <c r="AK41" i="21" s="1"/>
  <c r="AK36" i="21"/>
  <c r="V16" i="9" a="1"/>
  <c r="V16" i="9" s="1"/>
  <c r="AL15" i="21" a="1"/>
  <c r="AL15" i="21" s="1"/>
  <c r="AG37" i="21" a="1"/>
  <c r="AG37" i="21" s="1"/>
  <c r="AG36" i="21" a="1"/>
  <c r="AG36" i="21" s="1"/>
  <c r="AG39" i="21" a="1"/>
  <c r="AG39" i="21" s="1"/>
  <c r="H96" i="28" a="1"/>
  <c r="H96" i="28" s="1"/>
  <c r="A96" i="28" s="1" a="1"/>
  <c r="A96" i="28" s="1"/>
  <c r="Y39" i="21" a="1"/>
  <c r="Y39" i="21" s="1"/>
  <c r="AK39" i="21" s="1"/>
  <c r="B39" i="21" a="1"/>
  <c r="B39" i="21" s="1"/>
  <c r="A40" i="21" a="1"/>
  <c r="A40" i="21" s="1"/>
  <c r="B40" i="21" a="1"/>
  <c r="B40" i="21" s="1"/>
  <c r="Y40" i="21" a="1"/>
  <c r="Y40" i="21" s="1"/>
  <c r="AK40" i="21" s="1"/>
  <c r="P6" i="21" a="1"/>
  <c r="P6" i="21" s="1"/>
  <c r="F39" i="21" a="1"/>
  <c r="F39" i="21" s="1"/>
  <c r="AM20" i="10" a="1"/>
  <c r="AM20" i="10" s="1"/>
  <c r="AN20" i="10" s="1" a="1"/>
  <c r="AN20" i="10" s="1"/>
  <c r="F36" i="21" a="1"/>
  <c r="F36" i="21" s="1"/>
  <c r="Y37" i="21" a="1"/>
  <c r="Y37" i="21" s="1"/>
  <c r="AK37" i="21" s="1"/>
  <c r="B37" i="21" a="1"/>
  <c r="B37" i="21" s="1"/>
  <c r="A38" i="21" a="1"/>
  <c r="A38" i="21" s="1"/>
  <c r="B38" i="21" a="1"/>
  <c r="B38" i="21" s="1"/>
  <c r="Y38" i="21" a="1"/>
  <c r="Y38" i="21" s="1"/>
  <c r="F37" i="21" a="1"/>
  <c r="F37" i="21" s="1"/>
  <c r="AD28" i="9" a="1"/>
  <c r="AD28" i="9" s="1"/>
  <c r="L53" i="3" l="1" a="1"/>
  <c r="L53" i="3" s="1"/>
  <c r="AG41" i="21" a="1"/>
  <c r="AG41" i="21" s="1"/>
  <c r="AG43" i="21" a="1"/>
  <c r="AG43" i="21" s="1"/>
  <c r="F43" i="21" a="1"/>
  <c r="F43" i="21" s="1"/>
  <c r="Y42" i="21" a="1"/>
  <c r="Y42" i="21" s="1"/>
  <c r="AK42" i="21" s="1"/>
  <c r="A42" i="21" a="1"/>
  <c r="A42" i="21" s="1"/>
  <c r="F42" i="21" s="1" a="1"/>
  <c r="F42" i="21" s="1"/>
  <c r="AN34" i="21" a="1"/>
  <c r="AN34" i="21" s="1"/>
  <c r="AK38" i="21"/>
  <c r="V17" i="9" a="1"/>
  <c r="V17" i="9" s="1"/>
  <c r="AL16" i="21" a="1"/>
  <c r="AL16" i="21" s="1"/>
  <c r="AG38" i="21" a="1"/>
  <c r="AG38" i="21" s="1"/>
  <c r="AG40" i="21" a="1"/>
  <c r="AG40" i="21" s="1"/>
  <c r="H97" i="28" a="1"/>
  <c r="H97" i="28" s="1"/>
  <c r="A97" i="28" s="1" a="1"/>
  <c r="A97" i="28" s="1"/>
  <c r="AM21" i="10" a="1"/>
  <c r="AM21" i="10" s="1"/>
  <c r="AN21" i="10" s="1" a="1"/>
  <c r="AN21" i="10" s="1"/>
  <c r="F40" i="21" a="1"/>
  <c r="F40" i="21" s="1"/>
  <c r="P7" i="21" a="1"/>
  <c r="P7" i="21" s="1"/>
  <c r="F38" i="21" a="1"/>
  <c r="F38" i="21" s="1"/>
  <c r="AP50" i="20" a="1"/>
  <c r="AP50" i="20" s="1"/>
  <c r="AQ50" i="20" s="1" a="1"/>
  <c r="AQ50" i="20" s="1"/>
  <c r="AD29" i="9" a="1"/>
  <c r="AD29" i="9" s="1"/>
  <c r="AG42" i="21" l="1" a="1"/>
  <c r="AG42" i="21" s="1"/>
  <c r="L54" i="3" a="1"/>
  <c r="L54" i="3" s="1"/>
  <c r="AN35" i="21" a="1"/>
  <c r="AN35" i="21" s="1"/>
  <c r="V18" i="9" a="1"/>
  <c r="V18" i="9" s="1"/>
  <c r="AL17" i="21" a="1"/>
  <c r="AL17" i="21" s="1"/>
  <c r="H98" i="28" a="1"/>
  <c r="H98" i="28" s="1"/>
  <c r="A98" i="28" s="1" a="1"/>
  <c r="A98" i="28" s="1"/>
  <c r="P8" i="21" a="1"/>
  <c r="P8" i="21" s="1"/>
  <c r="AD30" i="9" a="1"/>
  <c r="AD30" i="9" s="1"/>
  <c r="AD31" i="9" s="1" a="1"/>
  <c r="AD31" i="9" s="1"/>
  <c r="AD32" i="9" s="1" a="1"/>
  <c r="AD32" i="9" s="1"/>
  <c r="AD33" i="9" s="1" a="1"/>
  <c r="AD33" i="9" s="1"/>
  <c r="AD34" i="9" s="1" a="1"/>
  <c r="AD34" i="9" s="1"/>
  <c r="AD35" i="9" s="1" a="1"/>
  <c r="AD35" i="9" s="1"/>
  <c r="AD36" i="9" s="1" a="1"/>
  <c r="AD36" i="9" s="1"/>
  <c r="AD37" i="9" s="1" a="1"/>
  <c r="AD37" i="9" s="1"/>
  <c r="AD38" i="9" s="1" a="1"/>
  <c r="AD38" i="9" s="1"/>
  <c r="AD39" i="9" s="1" a="1"/>
  <c r="AD39" i="9" s="1"/>
  <c r="AD40" i="9" s="1" a="1"/>
  <c r="AD40" i="9" s="1"/>
  <c r="AD41" i="9" s="1" a="1"/>
  <c r="AD41" i="9" s="1"/>
  <c r="AD42" i="9" s="1" a="1"/>
  <c r="AD42" i="9" s="1"/>
  <c r="AD43" i="9" s="1" a="1"/>
  <c r="AD43" i="9" s="1"/>
  <c r="J4" i="14"/>
  <c r="L55" i="3" l="1" a="1"/>
  <c r="L55" i="3" s="1"/>
  <c r="AN36" i="21" a="1"/>
  <c r="AN36" i="21" s="1"/>
  <c r="V19" i="9" a="1"/>
  <c r="V19" i="9" s="1"/>
  <c r="AL18" i="21" a="1"/>
  <c r="AL18" i="21" s="1"/>
  <c r="H99" i="28" a="1"/>
  <c r="H99" i="28" s="1"/>
  <c r="A99" i="28" s="1" a="1"/>
  <c r="A99" i="28" s="1"/>
  <c r="P9" i="21" a="1"/>
  <c r="P9" i="21" s="1"/>
  <c r="K4" i="14" a="1"/>
  <c r="K4" i="14" s="1"/>
  <c r="L56" i="3" l="1" a="1"/>
  <c r="L56" i="3" s="1"/>
  <c r="AN37" i="21" a="1"/>
  <c r="AN37" i="21" s="1"/>
  <c r="AL19" i="21" a="1"/>
  <c r="AL19" i="21" s="1"/>
  <c r="V20" i="9" a="1"/>
  <c r="V20" i="9" s="1"/>
  <c r="H100" i="28" a="1"/>
  <c r="H100" i="28" s="1"/>
  <c r="A100" i="28" s="1" a="1"/>
  <c r="A100" i="28" s="1"/>
  <c r="P10" i="21" a="1"/>
  <c r="P10" i="21" s="1"/>
  <c r="K5" i="14" a="1"/>
  <c r="K5" i="14" s="1"/>
  <c r="K6" i="14" s="1" a="1"/>
  <c r="K6" i="14" s="1"/>
  <c r="L57" i="3" l="1" a="1"/>
  <c r="L57" i="3" s="1"/>
  <c r="L58" i="3" s="1" a="1"/>
  <c r="L58" i="3" s="1"/>
  <c r="AN38" i="21" a="1"/>
  <c r="AN38" i="21" s="1"/>
  <c r="AL20" i="21" a="1"/>
  <c r="AL20" i="21" s="1"/>
  <c r="V21" i="9" a="1"/>
  <c r="V21" i="9" s="1"/>
  <c r="H101" i="28" a="1"/>
  <c r="H101" i="28" s="1"/>
  <c r="A101" i="28" s="1" a="1"/>
  <c r="A101" i="28" s="1"/>
  <c r="P11" i="21" a="1"/>
  <c r="P11" i="21" s="1"/>
  <c r="AN39" i="21" l="1" a="1"/>
  <c r="AN39" i="21" s="1"/>
  <c r="V22" i="9" a="1"/>
  <c r="V22" i="9" s="1"/>
  <c r="AL21" i="21" a="1"/>
  <c r="AL21" i="21" s="1"/>
  <c r="L59" i="3" a="1"/>
  <c r="L59" i="3" s="1"/>
  <c r="H102" i="28" a="1"/>
  <c r="H102" i="28" s="1"/>
  <c r="A102" i="28" s="1" a="1"/>
  <c r="A102" i="28" s="1"/>
  <c r="P12" i="21" a="1"/>
  <c r="P12" i="21" s="1"/>
  <c r="AN40" i="21" l="1" a="1"/>
  <c r="AN40" i="21" s="1"/>
  <c r="V23" i="9" a="1"/>
  <c r="V23" i="9" s="1"/>
  <c r="AL22" i="21" a="1"/>
  <c r="AL22" i="21" s="1"/>
  <c r="L60" i="3" a="1"/>
  <c r="L60" i="3" s="1"/>
  <c r="H103" i="28" a="1"/>
  <c r="H103" i="28" s="1"/>
  <c r="A103" i="28" s="1" a="1"/>
  <c r="A103" i="28" s="1"/>
  <c r="P13" i="21" a="1"/>
  <c r="P13" i="21" s="1"/>
  <c r="AN41" i="21" l="1" a="1"/>
  <c r="AN41" i="21" s="1"/>
  <c r="AL23" i="21" a="1"/>
  <c r="AL23" i="21" s="1"/>
  <c r="V24" i="9" a="1"/>
  <c r="V24" i="9" s="1"/>
  <c r="L61" i="3" a="1"/>
  <c r="L61" i="3" s="1"/>
  <c r="H104" i="28" a="1"/>
  <c r="H104" i="28" s="1"/>
  <c r="A104" i="28" s="1" a="1"/>
  <c r="A104" i="28" s="1"/>
  <c r="P14" i="21" a="1"/>
  <c r="P14" i="21" s="1"/>
  <c r="AN42" i="21" l="1" a="1"/>
  <c r="AN42" i="21" s="1"/>
  <c r="AN43" i="21" s="1" a="1"/>
  <c r="AN43" i="21" s="1"/>
  <c r="V25" i="9" a="1"/>
  <c r="V25" i="9" s="1"/>
  <c r="AL24" i="21" a="1"/>
  <c r="AL24" i="21" s="1"/>
  <c r="L62" i="3" a="1"/>
  <c r="L62" i="3" s="1"/>
  <c r="H105" i="28" a="1"/>
  <c r="H105" i="28" s="1"/>
  <c r="H106" i="28" s="1" a="1"/>
  <c r="H106" i="28" s="1"/>
  <c r="P15" i="21" a="1"/>
  <c r="P15" i="21" s="1"/>
  <c r="Q18" i="24" a="1"/>
  <c r="Q18" i="24" l="1"/>
  <c r="V26" i="9" a="1"/>
  <c r="V26" i="9" s="1"/>
  <c r="AL25" i="21" a="1"/>
  <c r="AL25" i="21" s="1"/>
  <c r="L63" i="3" a="1"/>
  <c r="L63" i="3" s="1"/>
  <c r="A105" i="28" a="1"/>
  <c r="A105" i="28" s="1"/>
  <c r="A106" i="28" a="1"/>
  <c r="A106" i="28" s="1"/>
  <c r="H107" i="28" a="1"/>
  <c r="H107" i="28" s="1"/>
  <c r="P16" i="21" a="1"/>
  <c r="P16" i="21" s="1"/>
  <c r="C18" i="24" a="1"/>
  <c r="A107" i="28" l="1" a="1"/>
  <c r="A107" i="28" s="1"/>
  <c r="H108" i="28" a="1"/>
  <c r="H108" i="28" s="1"/>
  <c r="A108" i="28" s="1" a="1"/>
  <c r="A108" i="28" s="1"/>
  <c r="C18" i="24"/>
  <c r="E18" i="24" a="1"/>
  <c r="E18" i="24" s="1"/>
  <c r="V27" i="9" a="1"/>
  <c r="V27" i="9" s="1"/>
  <c r="AL26" i="21" a="1"/>
  <c r="AL26" i="21" s="1"/>
  <c r="L64" i="3" a="1"/>
  <c r="L64" i="3" s="1"/>
  <c r="P17" i="21" a="1"/>
  <c r="P17" i="21" s="1"/>
  <c r="H109" i="28" l="1" a="1"/>
  <c r="H109" i="28" s="1"/>
  <c r="H110" i="28" s="1" a="1"/>
  <c r="H110" i="28" s="1"/>
  <c r="H111" i="28" s="1" a="1"/>
  <c r="H111" i="28" s="1"/>
  <c r="A18" i="24"/>
  <c r="V28" i="9" a="1"/>
  <c r="V28" i="9" s="1"/>
  <c r="AL27" i="21" a="1"/>
  <c r="AL27" i="21" s="1"/>
  <c r="L65" i="3" a="1"/>
  <c r="L65" i="3" s="1"/>
  <c r="P18" i="21" a="1"/>
  <c r="P18" i="21" s="1"/>
  <c r="D18" i="24"/>
  <c r="A109" i="28" l="1" a="1"/>
  <c r="A109" i="28" s="1"/>
  <c r="A110" i="28" a="1"/>
  <c r="A110" i="28" s="1"/>
  <c r="H112" i="28" a="1"/>
  <c r="H112" i="28" s="1"/>
  <c r="A112" i="28" s="1" a="1"/>
  <c r="A112" i="28" s="1"/>
  <c r="V29" i="9" a="1"/>
  <c r="V29" i="9" s="1"/>
  <c r="AL28" i="21" a="1"/>
  <c r="AL28" i="21" s="1"/>
  <c r="L66" i="3" a="1"/>
  <c r="L66" i="3" s="1"/>
  <c r="A111" i="28" a="1"/>
  <c r="A111" i="28" s="1"/>
  <c r="P19" i="21" a="1"/>
  <c r="P19" i="21" s="1"/>
  <c r="H113" i="28" l="1" a="1"/>
  <c r="H113" i="28" s="1"/>
  <c r="A113" i="28" s="1" a="1"/>
  <c r="A113" i="28" s="1"/>
  <c r="V30" i="9" a="1"/>
  <c r="V30" i="9" s="1"/>
  <c r="AL29" i="21" a="1"/>
  <c r="AL29" i="21" s="1"/>
  <c r="L67" i="3" a="1"/>
  <c r="L67" i="3" s="1"/>
  <c r="P20" i="21" a="1"/>
  <c r="P20" i="21" s="1"/>
  <c r="H114" i="28" l="1" a="1"/>
  <c r="H114" i="28" s="1"/>
  <c r="H115" i="28" s="1" a="1"/>
  <c r="H115" i="28" s="1"/>
  <c r="A115" i="28" s="1" a="1"/>
  <c r="A115" i="28" s="1"/>
  <c r="V31" i="9" a="1"/>
  <c r="V31" i="9" s="1"/>
  <c r="AL30" i="21" a="1"/>
  <c r="AL30" i="21" s="1"/>
  <c r="L68" i="3" a="1"/>
  <c r="L68" i="3" s="1"/>
  <c r="P21" i="21" a="1"/>
  <c r="P21" i="21" s="1"/>
  <c r="H116" i="28" l="1" a="1"/>
  <c r="H116" i="28" s="1"/>
  <c r="A116" i="28" s="1" a="1"/>
  <c r="A116" i="28" s="1"/>
  <c r="A114" i="28" a="1"/>
  <c r="A114" i="28" s="1"/>
  <c r="V32" i="9" a="1"/>
  <c r="V32" i="9" s="1"/>
  <c r="AL31" i="21" a="1"/>
  <c r="AL31" i="21" s="1"/>
  <c r="L69" i="3" a="1"/>
  <c r="L69" i="3" s="1"/>
  <c r="P22" i="21" a="1"/>
  <c r="P22" i="21" s="1"/>
  <c r="H117" i="28" l="1" a="1"/>
  <c r="H117" i="28" s="1"/>
  <c r="A117" i="28" s="1" a="1"/>
  <c r="A117" i="28" s="1"/>
  <c r="V33" i="9" a="1"/>
  <c r="V33" i="9" s="1"/>
  <c r="AL32" i="21" a="1"/>
  <c r="AL32" i="21" s="1"/>
  <c r="L70" i="3" a="1"/>
  <c r="L70" i="3" s="1"/>
  <c r="P23" i="21" a="1"/>
  <c r="P23" i="21" s="1"/>
  <c r="H118" i="28" l="1" a="1"/>
  <c r="H118" i="28" s="1"/>
  <c r="A118" i="28" s="1" a="1"/>
  <c r="A118" i="28" s="1"/>
  <c r="V34" i="9" a="1"/>
  <c r="V34" i="9" s="1"/>
  <c r="AL33" i="21" a="1"/>
  <c r="AL33" i="21" s="1"/>
  <c r="L71" i="3" a="1"/>
  <c r="L71" i="3" s="1"/>
  <c r="P24" i="21" a="1"/>
  <c r="P24" i="21" s="1"/>
  <c r="H119" i="28" l="1" a="1"/>
  <c r="H119" i="28" s="1"/>
  <c r="A119" i="28" s="1" a="1"/>
  <c r="A119" i="28" s="1"/>
  <c r="V35" i="9" a="1"/>
  <c r="V35" i="9" s="1"/>
  <c r="AL34" i="21" a="1"/>
  <c r="AL34" i="21" s="1"/>
  <c r="L72" i="3" a="1"/>
  <c r="L72" i="3" s="1"/>
  <c r="P25" i="21" a="1"/>
  <c r="P25" i="21" s="1"/>
  <c r="H120" i="28" l="1" a="1"/>
  <c r="H120" i="28" s="1"/>
  <c r="H121" i="28" s="1" a="1"/>
  <c r="H121" i="28" s="1"/>
  <c r="A121" i="28" s="1" a="1"/>
  <c r="A121" i="28" s="1"/>
  <c r="V36" i="9" a="1"/>
  <c r="V36" i="9" s="1"/>
  <c r="AL35" i="21" a="1"/>
  <c r="AL35" i="21" s="1"/>
  <c r="L73" i="3" a="1"/>
  <c r="L73" i="3" s="1"/>
  <c r="P26" i="21" a="1"/>
  <c r="P26" i="21" s="1"/>
  <c r="A120" i="28" l="1" a="1"/>
  <c r="A120" i="28" s="1"/>
  <c r="H122" i="28" a="1"/>
  <c r="H122" i="28" s="1"/>
  <c r="A122" i="28" s="1" a="1"/>
  <c r="A122" i="28" s="1"/>
  <c r="V37" i="9" a="1"/>
  <c r="V37" i="9" s="1"/>
  <c r="AL36" i="21" a="1"/>
  <c r="AL36" i="21" s="1"/>
  <c r="L74" i="3" a="1"/>
  <c r="L74" i="3" s="1"/>
  <c r="P27" i="21" a="1"/>
  <c r="P27" i="21" s="1"/>
  <c r="H123" i="28" l="1" a="1"/>
  <c r="H123" i="28" s="1"/>
  <c r="A123" i="28" s="1" a="1"/>
  <c r="A123" i="28" s="1"/>
  <c r="V38" i="9" a="1"/>
  <c r="V38" i="9" s="1"/>
  <c r="AL37" i="21" a="1"/>
  <c r="AL37" i="21" s="1"/>
  <c r="L75" i="3" a="1"/>
  <c r="L75" i="3" s="1"/>
  <c r="P28" i="21" a="1"/>
  <c r="P28" i="21" s="1"/>
  <c r="H124" i="28" l="1" a="1"/>
  <c r="H124" i="28" s="1"/>
  <c r="H125" i="28" s="1" a="1"/>
  <c r="H125" i="28" s="1"/>
  <c r="V39" i="9" a="1"/>
  <c r="V39" i="9" s="1"/>
  <c r="AL38" i="21" a="1"/>
  <c r="AL38" i="21" s="1"/>
  <c r="L76" i="3" a="1"/>
  <c r="L76" i="3" s="1"/>
  <c r="P29" i="21" a="1"/>
  <c r="P29" i="21" s="1"/>
  <c r="A124" i="28" l="1" a="1"/>
  <c r="A124" i="28" s="1"/>
  <c r="V40" i="9" a="1"/>
  <c r="V40" i="9" s="1"/>
  <c r="AL39" i="21" a="1"/>
  <c r="AL39" i="21" s="1"/>
  <c r="L77" i="3" a="1"/>
  <c r="L77" i="3" s="1"/>
  <c r="A125" i="28" a="1"/>
  <c r="A125" i="28" s="1"/>
  <c r="H126" i="28" a="1"/>
  <c r="H126" i="28" s="1"/>
  <c r="P30" i="21" a="1"/>
  <c r="P30" i="21" s="1"/>
  <c r="V41" i="9" l="1" a="1"/>
  <c r="V41" i="9" s="1"/>
  <c r="V42" i="9" s="1" a="1"/>
  <c r="V42" i="9" s="1"/>
  <c r="AL40" i="21" a="1"/>
  <c r="AL40" i="21" s="1"/>
  <c r="L78" i="3" a="1"/>
  <c r="L78" i="3" s="1"/>
  <c r="A126" i="28" a="1"/>
  <c r="A126" i="28" s="1"/>
  <c r="H127" i="28" a="1"/>
  <c r="H127" i="28" s="1"/>
  <c r="A127" i="28" s="1" a="1"/>
  <c r="A127" i="28" s="1"/>
  <c r="P31" i="21" a="1"/>
  <c r="P31" i="21" s="1"/>
  <c r="J7" i="14"/>
  <c r="V43" i="9" l="1" a="1"/>
  <c r="V43" i="9" s="1"/>
  <c r="B7" i="19" s="1"/>
  <c r="AL41" i="21" a="1"/>
  <c r="AL41" i="21" s="1"/>
  <c r="AL42" i="21" s="1" a="1"/>
  <c r="AL42" i="21" s="1"/>
  <c r="AL43" i="21" s="1" a="1"/>
  <c r="AL43" i="21" s="1"/>
  <c r="L79" i="3" a="1"/>
  <c r="L79" i="3" s="1"/>
  <c r="H128" i="28" a="1"/>
  <c r="H128" i="28" s="1"/>
  <c r="A128" i="28" s="1" a="1"/>
  <c r="A128" i="28" s="1"/>
  <c r="P32" i="21" a="1"/>
  <c r="P32" i="21" s="1"/>
  <c r="K7" i="14" a="1"/>
  <c r="K7" i="14" s="1"/>
  <c r="K8" i="14" s="1" a="1"/>
  <c r="K8" i="14" s="1"/>
  <c r="P3" i="12" l="1"/>
  <c r="L3" i="12" s="1" a="1"/>
  <c r="L3" i="12" s="1"/>
  <c r="L80" i="3" a="1"/>
  <c r="L80" i="3" s="1"/>
  <c r="H129" i="28" a="1"/>
  <c r="H129" i="28" s="1"/>
  <c r="A129" i="28" s="1" a="1"/>
  <c r="A129" i="28" s="1"/>
  <c r="P33" i="21" a="1"/>
  <c r="P33" i="21" s="1"/>
  <c r="R3" i="12" l="1" a="1"/>
  <c r="R3" i="12" s="1"/>
  <c r="S3" i="12" s="1"/>
  <c r="I4" i="12" s="1" a="1"/>
  <c r="I4" i="12" s="1"/>
  <c r="J4" i="12" s="1"/>
  <c r="Q3" i="12" a="1"/>
  <c r="Q3" i="12" s="1"/>
  <c r="K3" i="12" s="1"/>
  <c r="B3" i="12" s="1" a="1"/>
  <c r="B3" i="12" s="1"/>
  <c r="A3" i="12" s="1" a="1"/>
  <c r="A3" i="12" s="1"/>
  <c r="CT3" i="12" s="1"/>
  <c r="CU3" i="12" s="1" a="1"/>
  <c r="CU3" i="12" s="1"/>
  <c r="M3" i="12" a="1"/>
  <c r="M3" i="12" s="1"/>
  <c r="C3" i="12" s="1" a="1"/>
  <c r="C3" i="12" s="1"/>
  <c r="L81" i="3" a="1"/>
  <c r="L81" i="3" s="1"/>
  <c r="H130" i="28" a="1"/>
  <c r="H130" i="28" s="1"/>
  <c r="A130" i="28" s="1" a="1"/>
  <c r="A130" i="28" s="1"/>
  <c r="P34" i="21" a="1"/>
  <c r="P34" i="21" s="1"/>
  <c r="BH3" i="12" l="1"/>
  <c r="X3" i="12" a="1"/>
  <c r="X3" i="12" s="1"/>
  <c r="AC3" i="12" s="1"/>
  <c r="P4" i="12"/>
  <c r="M4" i="12" s="1" a="1"/>
  <c r="M4" i="12" s="1"/>
  <c r="C4" i="12" s="1" a="1"/>
  <c r="C4" i="12" s="1"/>
  <c r="CQ3" i="12"/>
  <c r="T3" i="12" a="1"/>
  <c r="T3" i="12" s="1"/>
  <c r="D3" i="12" s="1"/>
  <c r="B6" i="32"/>
  <c r="AC6" i="32" s="1"/>
  <c r="W3" i="12" a="1"/>
  <c r="W3" i="12" s="1"/>
  <c r="AB3" i="12" s="1"/>
  <c r="AI3" i="12"/>
  <c r="AA3" i="12" a="1"/>
  <c r="AA3" i="12" s="1"/>
  <c r="AF3" i="12" s="1"/>
  <c r="Y3" i="12" a="1"/>
  <c r="Y3" i="12" s="1"/>
  <c r="AD3" i="12" s="1"/>
  <c r="Z3" i="12" a="1"/>
  <c r="Z3" i="12" s="1"/>
  <c r="AE3" i="12" s="1"/>
  <c r="AH3" i="12" a="1"/>
  <c r="AH3" i="12" s="1"/>
  <c r="H3" i="12" a="1"/>
  <c r="H3" i="12" s="1"/>
  <c r="E3" i="12" a="1"/>
  <c r="E3" i="12" s="1"/>
  <c r="L82" i="3" a="1"/>
  <c r="L82" i="3" s="1"/>
  <c r="H131" i="28" a="1"/>
  <c r="H131" i="28" s="1"/>
  <c r="A131" i="28" s="1" a="1"/>
  <c r="A131" i="28" s="1"/>
  <c r="P35" i="21" a="1"/>
  <c r="P35" i="21" s="1"/>
  <c r="R4" i="12" l="1" a="1"/>
  <c r="R4" i="12" s="1"/>
  <c r="S4" i="12" s="1"/>
  <c r="I5" i="12" s="1" a="1"/>
  <c r="I5" i="12" s="1"/>
  <c r="J5" i="12" s="1"/>
  <c r="Q4" i="12" a="1"/>
  <c r="Q4" i="12" s="1"/>
  <c r="K4" i="12" s="1"/>
  <c r="AI4" i="12" s="1"/>
  <c r="L4" i="12" a="1"/>
  <c r="L4" i="12" s="1"/>
  <c r="B4" i="12" s="1" a="1"/>
  <c r="B4" i="12" s="1"/>
  <c r="A4" i="12" s="1" a="1"/>
  <c r="A4" i="12" s="1"/>
  <c r="T4" i="12" a="1"/>
  <c r="T4" i="12" s="1"/>
  <c r="D4" i="12" s="1"/>
  <c r="U6" i="32" a="1"/>
  <c r="U6" i="32" s="1"/>
  <c r="AG3" i="12"/>
  <c r="F3" i="12" s="1"/>
  <c r="G3" i="12" s="1"/>
  <c r="AJ3" i="12" s="1" a="1"/>
  <c r="AJ3" i="12" s="1"/>
  <c r="AA4" i="12" a="1"/>
  <c r="AA4" i="12" s="1"/>
  <c r="AF4" i="12" s="1"/>
  <c r="Z4" i="12" a="1"/>
  <c r="Z4" i="12" s="1"/>
  <c r="AE4" i="12" s="1"/>
  <c r="BH4" i="12"/>
  <c r="L83" i="3" a="1"/>
  <c r="L83" i="3" s="1"/>
  <c r="H132" i="28" a="1"/>
  <c r="H132" i="28" s="1"/>
  <c r="A132" i="28" s="1" a="1"/>
  <c r="A132" i="28" s="1"/>
  <c r="P36" i="21" a="1"/>
  <c r="P36" i="21" s="1"/>
  <c r="Y4" i="12" l="1" a="1"/>
  <c r="Y4" i="12" s="1"/>
  <c r="AD4" i="12" s="1"/>
  <c r="W4" i="12" a="1"/>
  <c r="W4" i="12" s="1"/>
  <c r="AB4" i="12" s="1"/>
  <c r="P5" i="12"/>
  <c r="CQ4" i="12"/>
  <c r="CR3" i="12" s="1"/>
  <c r="CS3" i="12" s="1" a="1"/>
  <c r="CS3" i="12" s="1"/>
  <c r="X4" i="12" a="1"/>
  <c r="X4" i="12" s="1"/>
  <c r="AC4" i="12" s="1"/>
  <c r="AG4" i="12" s="1"/>
  <c r="F4" i="12" s="1"/>
  <c r="G4" i="12" s="1"/>
  <c r="AJ4" i="12" s="1" a="1"/>
  <c r="AJ4" i="12" s="1"/>
  <c r="AH4" i="12" a="1"/>
  <c r="AH4" i="12" s="1"/>
  <c r="E4" i="12" a="1"/>
  <c r="E4" i="12" s="1"/>
  <c r="CT4" i="12"/>
  <c r="CU4" i="12" s="1" a="1"/>
  <c r="CU4" i="12" s="1"/>
  <c r="B7" i="32"/>
  <c r="AC7" i="32" s="1"/>
  <c r="H4" i="12" a="1"/>
  <c r="H4" i="12" s="1"/>
  <c r="L5" i="12" a="1"/>
  <c r="L5" i="12" s="1"/>
  <c r="Q5" i="12" a="1"/>
  <c r="Q5" i="12" s="1"/>
  <c r="K5" i="12" s="1"/>
  <c r="M5" i="12" a="1"/>
  <c r="M5" i="12" s="1"/>
  <c r="C5" i="12" s="1" a="1"/>
  <c r="C5" i="12" s="1"/>
  <c r="R5" i="12" a="1"/>
  <c r="R5" i="12" s="1"/>
  <c r="S5" i="12" s="1"/>
  <c r="L84" i="3" a="1"/>
  <c r="L84" i="3" s="1"/>
  <c r="H133" i="28" a="1"/>
  <c r="H133" i="28" s="1"/>
  <c r="A133" i="28" s="1" a="1"/>
  <c r="A133" i="28" s="1"/>
  <c r="P37" i="21" a="1"/>
  <c r="P37" i="21" s="1"/>
  <c r="U7" i="32" l="1" a="1"/>
  <c r="U7" i="32" s="1"/>
  <c r="B5" i="12" a="1"/>
  <c r="B5" i="12" s="1"/>
  <c r="A5" i="12" s="1" a="1"/>
  <c r="A5" i="12" s="1"/>
  <c r="I6" i="12" a="1"/>
  <c r="I6" i="12" s="1"/>
  <c r="CQ5" i="12"/>
  <c r="T5" i="12" a="1"/>
  <c r="T5" i="12" s="1"/>
  <c r="D5" i="12" s="1"/>
  <c r="BH5" i="12"/>
  <c r="AI5" i="12"/>
  <c r="Y5" i="12" a="1"/>
  <c r="Y5" i="12" s="1"/>
  <c r="AD5" i="12" s="1"/>
  <c r="W5" i="12" a="1"/>
  <c r="W5" i="12" s="1"/>
  <c r="AB5" i="12" s="1"/>
  <c r="X5" i="12" a="1"/>
  <c r="X5" i="12" s="1"/>
  <c r="AC5" i="12" s="1"/>
  <c r="Z5" i="12" a="1"/>
  <c r="Z5" i="12" s="1"/>
  <c r="AE5" i="12" s="1"/>
  <c r="AA5" i="12" a="1"/>
  <c r="AA5" i="12" s="1"/>
  <c r="AF5" i="12" s="1"/>
  <c r="L85" i="3" a="1"/>
  <c r="L85" i="3" s="1"/>
  <c r="H134" i="28" a="1"/>
  <c r="H134" i="28" s="1"/>
  <c r="A134" i="28" s="1" a="1"/>
  <c r="A134" i="28" s="1"/>
  <c r="P38" i="21" a="1"/>
  <c r="P38" i="21" s="1"/>
  <c r="E5" i="12" l="1" a="1"/>
  <c r="E5" i="12" s="1"/>
  <c r="H5" i="12" a="1"/>
  <c r="H5" i="12" s="1"/>
  <c r="AH5" i="12" a="1"/>
  <c r="AH5" i="12" s="1"/>
  <c r="CT5" i="12"/>
  <c r="CU5" i="12" s="1" a="1"/>
  <c r="CU5" i="12" s="1"/>
  <c r="B8" i="32"/>
  <c r="AC8" i="32" s="1"/>
  <c r="AG5" i="12"/>
  <c r="F5" i="12" s="1"/>
  <c r="G5" i="12" s="1"/>
  <c r="AJ5" i="12" s="1" a="1"/>
  <c r="AJ5" i="12" s="1"/>
  <c r="CR4" i="12"/>
  <c r="CS4" i="12" s="1" a="1"/>
  <c r="CS4" i="12" s="1"/>
  <c r="P6" i="12"/>
  <c r="J6" i="12"/>
  <c r="L86" i="3" a="1"/>
  <c r="L86" i="3" s="1"/>
  <c r="H135" i="28" a="1"/>
  <c r="H135" i="28" s="1"/>
  <c r="A135" i="28" s="1" a="1"/>
  <c r="A135" i="28" s="1"/>
  <c r="P39" i="21" a="1"/>
  <c r="P39" i="21" s="1"/>
  <c r="U8" i="32" l="1" a="1"/>
  <c r="U8" i="32" s="1"/>
  <c r="Q6" i="12" a="1"/>
  <c r="Q6" i="12" s="1"/>
  <c r="K6" i="12" s="1"/>
  <c r="M6" i="12" a="1"/>
  <c r="M6" i="12" s="1"/>
  <c r="C6" i="12" s="1" a="1"/>
  <c r="C6" i="12" s="1"/>
  <c r="R6" i="12" a="1"/>
  <c r="R6" i="12" s="1"/>
  <c r="S6" i="12" s="1"/>
  <c r="L6" i="12" a="1"/>
  <c r="L6" i="12" s="1"/>
  <c r="L87" i="3" a="1"/>
  <c r="L87" i="3" s="1"/>
  <c r="H136" i="28" a="1"/>
  <c r="H136" i="28" s="1"/>
  <c r="A136" i="28" s="1" a="1"/>
  <c r="A136" i="28" s="1"/>
  <c r="P40" i="21" a="1"/>
  <c r="P40" i="21" s="1"/>
  <c r="P41" i="21" s="1" a="1"/>
  <c r="P41" i="21" s="1"/>
  <c r="P42" i="21" s="1" a="1"/>
  <c r="P42" i="21" s="1"/>
  <c r="P43" i="21" s="1" a="1"/>
  <c r="P43" i="21" s="1"/>
  <c r="B6" i="12" l="1" a="1"/>
  <c r="B6" i="12" s="1"/>
  <c r="A6" i="12" s="1" a="1"/>
  <c r="A6" i="12" s="1"/>
  <c r="CQ6" i="12"/>
  <c r="I7" i="12" a="1"/>
  <c r="I7" i="12" s="1"/>
  <c r="T6" i="12" a="1"/>
  <c r="T6" i="12" s="1"/>
  <c r="D6" i="12" s="1"/>
  <c r="BH6" i="12"/>
  <c r="X6" i="12" a="1"/>
  <c r="X6" i="12" s="1"/>
  <c r="AC6" i="12" s="1"/>
  <c r="AA6" i="12" a="1"/>
  <c r="AA6" i="12" s="1"/>
  <c r="AF6" i="12" s="1"/>
  <c r="Z6" i="12" a="1"/>
  <c r="Z6" i="12" s="1"/>
  <c r="AE6" i="12" s="1"/>
  <c r="Y6" i="12" a="1"/>
  <c r="Y6" i="12" s="1"/>
  <c r="AD6" i="12" s="1"/>
  <c r="W6" i="12" a="1"/>
  <c r="W6" i="12" s="1"/>
  <c r="AB6" i="12" s="1"/>
  <c r="AI6" i="12"/>
  <c r="B14" i="19"/>
  <c r="L88" i="3" a="1"/>
  <c r="L88" i="3" s="1"/>
  <c r="H137" i="28" a="1"/>
  <c r="H137" i="28" s="1"/>
  <c r="A137" i="28" s="1" a="1"/>
  <c r="A137" i="28" s="1"/>
  <c r="Q11" i="24" a="1"/>
  <c r="E6" i="12" l="1" a="1"/>
  <c r="E6" i="12" s="1"/>
  <c r="B9" i="32"/>
  <c r="U9" i="32" s="1" a="1"/>
  <c r="U9" i="32" s="1"/>
  <c r="H6" i="12" a="1"/>
  <c r="H6" i="12" s="1"/>
  <c r="AH6" i="12" a="1"/>
  <c r="AH6" i="12" s="1"/>
  <c r="CT6" i="12"/>
  <c r="CU6" i="12" s="1" a="1"/>
  <c r="CU6" i="12" s="1"/>
  <c r="AG6" i="12"/>
  <c r="F6" i="12" s="1"/>
  <c r="G6" i="12" s="1"/>
  <c r="AJ6" i="12" s="1" a="1"/>
  <c r="AJ6" i="12" s="1"/>
  <c r="P7" i="12"/>
  <c r="J7" i="12"/>
  <c r="CR5" i="12"/>
  <c r="CS5" i="12" s="1" a="1"/>
  <c r="CS5" i="12" s="1"/>
  <c r="Q11" i="24"/>
  <c r="L89" i="3" a="1"/>
  <c r="L89" i="3" s="1"/>
  <c r="H138" i="28" a="1"/>
  <c r="H138" i="28" s="1"/>
  <c r="A138" i="28" s="1" a="1"/>
  <c r="A138" i="28" s="1"/>
  <c r="C11" i="24" a="1"/>
  <c r="AC9" i="32" l="1"/>
  <c r="Q7" i="12" a="1"/>
  <c r="Q7" i="12" s="1"/>
  <c r="K7" i="12" s="1"/>
  <c r="M7" i="12" a="1"/>
  <c r="M7" i="12" s="1"/>
  <c r="C7" i="12" s="1" a="1"/>
  <c r="C7" i="12" s="1"/>
  <c r="L7" i="12" a="1"/>
  <c r="L7" i="12" s="1"/>
  <c r="R7" i="12" a="1"/>
  <c r="R7" i="12" s="1"/>
  <c r="S7" i="12" s="1"/>
  <c r="C11" i="24"/>
  <c r="E11" i="24" a="1"/>
  <c r="E11" i="24" s="1"/>
  <c r="L90" i="3" a="1"/>
  <c r="L90" i="3" s="1"/>
  <c r="H139" i="28" a="1"/>
  <c r="H139" i="28" s="1"/>
  <c r="A139" i="28" s="1" a="1"/>
  <c r="A139" i="28" s="1"/>
  <c r="Q7" i="24" a="1"/>
  <c r="Q8" i="24" a="1"/>
  <c r="B7" i="12" l="1" a="1"/>
  <c r="B7" i="12" s="1"/>
  <c r="A7" i="12" s="1" a="1"/>
  <c r="A7" i="12" s="1"/>
  <c r="I8" i="12" a="1"/>
  <c r="I8" i="12" s="1"/>
  <c r="CQ7" i="12"/>
  <c r="T7" i="12" a="1"/>
  <c r="T7" i="12" s="1"/>
  <c r="D7" i="12" s="1"/>
  <c r="BH7" i="12"/>
  <c r="AA7" i="12" a="1"/>
  <c r="AA7" i="12" s="1"/>
  <c r="AF7" i="12" s="1"/>
  <c r="AI7" i="12"/>
  <c r="Z7" i="12" a="1"/>
  <c r="Z7" i="12" s="1"/>
  <c r="AE7" i="12" s="1"/>
  <c r="Y7" i="12" a="1"/>
  <c r="Y7" i="12" s="1"/>
  <c r="AD7" i="12" s="1"/>
  <c r="W7" i="12" a="1"/>
  <c r="W7" i="12" s="1"/>
  <c r="AB7" i="12" s="1"/>
  <c r="X7" i="12" a="1"/>
  <c r="X7" i="12" s="1"/>
  <c r="AC7" i="12" s="1"/>
  <c r="A11" i="24"/>
  <c r="L91" i="3" a="1"/>
  <c r="L91" i="3" s="1"/>
  <c r="H140" i="28" a="1"/>
  <c r="H140" i="28" s="1"/>
  <c r="A140" i="28" s="1" a="1"/>
  <c r="A140" i="28" s="1"/>
  <c r="Q8" i="24"/>
  <c r="E8" i="24" s="1" a="1"/>
  <c r="E8" i="24" s="1"/>
  <c r="Q7" i="24"/>
  <c r="E7" i="24" s="1" a="1"/>
  <c r="E7" i="24" s="1"/>
  <c r="D11" i="24"/>
  <c r="C8" i="24" a="1"/>
  <c r="C7" i="24" a="1"/>
  <c r="E7" i="12" l="1" a="1"/>
  <c r="E7" i="12" s="1"/>
  <c r="B10" i="32"/>
  <c r="AC10" i="32" s="1"/>
  <c r="AH7" i="12" a="1"/>
  <c r="AH7" i="12" s="1"/>
  <c r="H7" i="12" a="1"/>
  <c r="H7" i="12" s="1"/>
  <c r="CT7" i="12"/>
  <c r="CU7" i="12" s="1" a="1"/>
  <c r="CU7" i="12" s="1"/>
  <c r="AG7" i="12"/>
  <c r="F7" i="12" s="1"/>
  <c r="G7" i="12" s="1"/>
  <c r="AJ7" i="12" s="1" a="1"/>
  <c r="AJ7" i="12" s="1"/>
  <c r="CR6" i="12"/>
  <c r="CS6" i="12" s="1" a="1"/>
  <c r="CS6" i="12" s="1"/>
  <c r="P8" i="12"/>
  <c r="J8" i="12"/>
  <c r="L92" i="3" a="1"/>
  <c r="L92" i="3" s="1"/>
  <c r="H141" i="28" a="1"/>
  <c r="H141" i="28" s="1"/>
  <c r="A141" i="28" s="1" a="1"/>
  <c r="A141" i="28" s="1"/>
  <c r="C7" i="24"/>
  <c r="C8" i="24"/>
  <c r="U10" i="32" l="1" a="1"/>
  <c r="U10" i="32" s="1"/>
  <c r="M8" i="12" a="1"/>
  <c r="M8" i="12" s="1"/>
  <c r="C8" i="12" s="1" a="1"/>
  <c r="C8" i="12" s="1"/>
  <c r="R8" i="12" a="1"/>
  <c r="R8" i="12" s="1"/>
  <c r="S8" i="12" s="1"/>
  <c r="L8" i="12" a="1"/>
  <c r="L8" i="12" s="1"/>
  <c r="Q8" i="12" a="1"/>
  <c r="Q8" i="12" s="1"/>
  <c r="K8" i="12" s="1"/>
  <c r="L93" i="3" a="1"/>
  <c r="L93" i="3" s="1"/>
  <c r="H142" i="28" a="1"/>
  <c r="H142" i="28" s="1"/>
  <c r="A142" i="28" s="1" a="1"/>
  <c r="A142" i="28" s="1"/>
  <c r="A8" i="24"/>
  <c r="A7" i="24"/>
  <c r="D8" i="24"/>
  <c r="D7" i="24"/>
  <c r="Q6" i="24" a="1"/>
  <c r="B8" i="12" l="1" a="1"/>
  <c r="B8" i="12" s="1"/>
  <c r="A8" i="12" s="1" a="1"/>
  <c r="A8" i="12" s="1"/>
  <c r="BH8" i="12"/>
  <c r="AI8" i="12"/>
  <c r="Y8" i="12" a="1"/>
  <c r="Y8" i="12" s="1"/>
  <c r="AD8" i="12" s="1"/>
  <c r="W8" i="12" a="1"/>
  <c r="W8" i="12" s="1"/>
  <c r="AB8" i="12" s="1"/>
  <c r="X8" i="12" a="1"/>
  <c r="X8" i="12" s="1"/>
  <c r="AC8" i="12" s="1"/>
  <c r="Z8" i="12" a="1"/>
  <c r="Z8" i="12" s="1"/>
  <c r="AE8" i="12" s="1"/>
  <c r="AA8" i="12" a="1"/>
  <c r="AA8" i="12" s="1"/>
  <c r="AF8" i="12" s="1"/>
  <c r="CQ8" i="12"/>
  <c r="I9" i="12" a="1"/>
  <c r="I9" i="12" s="1"/>
  <c r="T8" i="12" a="1"/>
  <c r="T8" i="12" s="1"/>
  <c r="D8" i="12" s="1"/>
  <c r="L94" i="3" a="1"/>
  <c r="L94" i="3" s="1"/>
  <c r="H143" i="28" a="1"/>
  <c r="H143" i="28" s="1"/>
  <c r="A143" i="28" s="1" a="1"/>
  <c r="A143" i="28" s="1"/>
  <c r="Q6" i="24"/>
  <c r="E6" i="24" s="1" a="1"/>
  <c r="E6" i="24" s="1"/>
  <c r="C6" i="24" a="1"/>
  <c r="E8" i="12" l="1" a="1"/>
  <c r="E8" i="12" s="1"/>
  <c r="B11" i="32"/>
  <c r="AC11" i="32" s="1"/>
  <c r="H8" i="12" a="1"/>
  <c r="H8" i="12" s="1"/>
  <c r="AH8" i="12" a="1"/>
  <c r="AH8" i="12" s="1"/>
  <c r="CT8" i="12"/>
  <c r="CU8" i="12" s="1" a="1"/>
  <c r="CU8" i="12" s="1"/>
  <c r="J9" i="12"/>
  <c r="P9" i="12"/>
  <c r="CR7" i="12"/>
  <c r="CS7" i="12" s="1" a="1"/>
  <c r="CS7" i="12" s="1"/>
  <c r="AG8" i="12"/>
  <c r="F8" i="12" s="1"/>
  <c r="G8" i="12" s="1"/>
  <c r="AJ8" i="12" s="1" a="1"/>
  <c r="AJ8" i="12" s="1"/>
  <c r="L95" i="3" a="1"/>
  <c r="L95" i="3" s="1"/>
  <c r="H144" i="28" a="1"/>
  <c r="H144" i="28" s="1"/>
  <c r="A144" i="28" s="1" a="1"/>
  <c r="A144" i="28" s="1"/>
  <c r="C6" i="24"/>
  <c r="D6" i="24"/>
  <c r="U11" i="32" l="1" a="1"/>
  <c r="U11" i="32" s="1"/>
  <c r="Q9" i="12" a="1"/>
  <c r="Q9" i="12" s="1"/>
  <c r="K9" i="12" s="1"/>
  <c r="R9" i="12" a="1"/>
  <c r="R9" i="12" s="1"/>
  <c r="S9" i="12" s="1"/>
  <c r="L9" i="12" a="1"/>
  <c r="L9" i="12" s="1"/>
  <c r="M9" i="12" a="1"/>
  <c r="M9" i="12" s="1"/>
  <c r="C9" i="12" s="1" a="1"/>
  <c r="C9" i="12" s="1"/>
  <c r="L96" i="3" a="1"/>
  <c r="L96" i="3" s="1"/>
  <c r="H145" i="28" a="1"/>
  <c r="H145" i="28" s="1"/>
  <c r="A145" i="28" s="1" a="1"/>
  <c r="A145" i="28" s="1"/>
  <c r="A6" i="24"/>
  <c r="B9" i="12" l="1" a="1"/>
  <c r="B9" i="12" s="1"/>
  <c r="A9" i="12" s="1" a="1"/>
  <c r="A9" i="12" s="1"/>
  <c r="T9" i="12" a="1"/>
  <c r="T9" i="12" s="1"/>
  <c r="D9" i="12" s="1"/>
  <c r="I10" i="12" a="1"/>
  <c r="I10" i="12" s="1"/>
  <c r="CQ9" i="12"/>
  <c r="BH9" i="12"/>
  <c r="X9" i="12" a="1"/>
  <c r="X9" i="12" s="1"/>
  <c r="AC9" i="12" s="1"/>
  <c r="Y9" i="12" a="1"/>
  <c r="Y9" i="12" s="1"/>
  <c r="AD9" i="12" s="1"/>
  <c r="AI9" i="12"/>
  <c r="W9" i="12" a="1"/>
  <c r="W9" i="12" s="1"/>
  <c r="AB9" i="12" s="1"/>
  <c r="Z9" i="12" a="1"/>
  <c r="Z9" i="12" s="1"/>
  <c r="AE9" i="12" s="1"/>
  <c r="AA9" i="12" a="1"/>
  <c r="AA9" i="12" s="1"/>
  <c r="AF9" i="12" s="1"/>
  <c r="L97" i="3" a="1"/>
  <c r="L97" i="3" s="1"/>
  <c r="H146" i="28" a="1"/>
  <c r="H146" i="28" s="1"/>
  <c r="A146" i="28" s="1" a="1"/>
  <c r="A146" i="28" s="1"/>
  <c r="E9" i="12" l="1" a="1"/>
  <c r="E9" i="12" s="1"/>
  <c r="CT9" i="12"/>
  <c r="CU9" i="12" s="1" a="1"/>
  <c r="CU9" i="12" s="1"/>
  <c r="AH9" i="12" a="1"/>
  <c r="AH9" i="12" s="1"/>
  <c r="H9" i="12" a="1"/>
  <c r="H9" i="12" s="1"/>
  <c r="B12" i="32"/>
  <c r="U12" i="32" s="1" a="1"/>
  <c r="U12" i="32" s="1"/>
  <c r="AG9" i="12"/>
  <c r="F9" i="12" s="1"/>
  <c r="G9" i="12" s="1"/>
  <c r="AJ9" i="12" s="1" a="1"/>
  <c r="AJ9" i="12" s="1"/>
  <c r="CR8" i="12"/>
  <c r="CS8" i="12" s="1" a="1"/>
  <c r="CS8" i="12" s="1"/>
  <c r="J10" i="12"/>
  <c r="P10" i="12"/>
  <c r="L98" i="3" a="1"/>
  <c r="L98" i="3" s="1"/>
  <c r="H147" i="28" a="1"/>
  <c r="H147" i="28" s="1"/>
  <c r="A147" i="28" s="1" a="1"/>
  <c r="A147" i="28" s="1"/>
  <c r="AC12" i="32" l="1"/>
  <c r="L10" i="12" a="1"/>
  <c r="L10" i="12" s="1"/>
  <c r="Q10" i="12" a="1"/>
  <c r="Q10" i="12" s="1"/>
  <c r="K10" i="12" s="1"/>
  <c r="M10" i="12" a="1"/>
  <c r="M10" i="12" s="1"/>
  <c r="C10" i="12" s="1" a="1"/>
  <c r="C10" i="12" s="1"/>
  <c r="R10" i="12" a="1"/>
  <c r="R10" i="12" s="1"/>
  <c r="S10" i="12" s="1"/>
  <c r="L99" i="3" a="1"/>
  <c r="L99" i="3" s="1"/>
  <c r="H148" i="28" a="1"/>
  <c r="H148" i="28" s="1"/>
  <c r="A148" i="28" s="1" a="1"/>
  <c r="A148" i="28" s="1"/>
  <c r="B10" i="12" l="1" a="1"/>
  <c r="B10" i="12" s="1"/>
  <c r="A10" i="12" s="1" a="1"/>
  <c r="A10" i="12" s="1"/>
  <c r="I11" i="12" a="1"/>
  <c r="I11" i="12" s="1"/>
  <c r="CQ10" i="12"/>
  <c r="T10" i="12" a="1"/>
  <c r="T10" i="12" s="1"/>
  <c r="D10" i="12" s="1"/>
  <c r="BH10" i="12"/>
  <c r="Z10" i="12" a="1"/>
  <c r="Z10" i="12" s="1"/>
  <c r="AE10" i="12" s="1"/>
  <c r="W10" i="12" a="1"/>
  <c r="W10" i="12" s="1"/>
  <c r="AB10" i="12" s="1"/>
  <c r="X10" i="12" a="1"/>
  <c r="X10" i="12" s="1"/>
  <c r="AC10" i="12" s="1"/>
  <c r="AI10" i="12"/>
  <c r="Y10" i="12" a="1"/>
  <c r="Y10" i="12" s="1"/>
  <c r="AD10" i="12" s="1"/>
  <c r="AA10" i="12" a="1"/>
  <c r="AA10" i="12" s="1"/>
  <c r="AF10" i="12" s="1"/>
  <c r="L100" i="3" a="1"/>
  <c r="L100" i="3" s="1"/>
  <c r="H149" i="28" a="1"/>
  <c r="H149" i="28" s="1"/>
  <c r="H150" i="28" s="1" a="1"/>
  <c r="H150" i="28" s="1"/>
  <c r="E10" i="12" l="1" a="1"/>
  <c r="E10" i="12" s="1"/>
  <c r="H10" i="12" a="1"/>
  <c r="H10" i="12" s="1"/>
  <c r="AH10" i="12" a="1"/>
  <c r="AH10" i="12" s="1"/>
  <c r="CT10" i="12"/>
  <c r="CU10" i="12" s="1" a="1"/>
  <c r="CU10" i="12" s="1"/>
  <c r="B13" i="32"/>
  <c r="AC13" i="32" s="1"/>
  <c r="AG10" i="12"/>
  <c r="F10" i="12" s="1"/>
  <c r="G10" i="12" s="1"/>
  <c r="AJ10" i="12" s="1" a="1"/>
  <c r="AJ10" i="12" s="1"/>
  <c r="CR9" i="12"/>
  <c r="CS9" i="12" s="1" a="1"/>
  <c r="CS9" i="12" s="1"/>
  <c r="P11" i="12"/>
  <c r="J11" i="12"/>
  <c r="L101" i="3" a="1"/>
  <c r="L101" i="3" s="1"/>
  <c r="A149" i="28" a="1"/>
  <c r="A149" i="28" s="1"/>
  <c r="H151" i="28" a="1"/>
  <c r="H151" i="28" s="1"/>
  <c r="A150" i="28" a="1"/>
  <c r="A150" i="28" s="1"/>
  <c r="U13" i="32" l="1" a="1"/>
  <c r="U13" i="32" s="1"/>
  <c r="L11" i="12" a="1"/>
  <c r="L11" i="12" s="1"/>
  <c r="M11" i="12" a="1"/>
  <c r="M11" i="12" s="1"/>
  <c r="C11" i="12" s="1" a="1"/>
  <c r="C11" i="12" s="1"/>
  <c r="R11" i="12" a="1"/>
  <c r="R11" i="12" s="1"/>
  <c r="S11" i="12" s="1"/>
  <c r="Q11" i="12" a="1"/>
  <c r="Q11" i="12" s="1"/>
  <c r="K11" i="12" s="1"/>
  <c r="L102" i="3" a="1"/>
  <c r="L102" i="3" s="1"/>
  <c r="H152" i="28" a="1"/>
  <c r="H152" i="28" s="1"/>
  <c r="A151" i="28" a="1"/>
  <c r="A151" i="28" s="1"/>
  <c r="B11" i="12" l="1" a="1"/>
  <c r="B11" i="12" s="1"/>
  <c r="A11" i="12" s="1" a="1"/>
  <c r="A11" i="12" s="1"/>
  <c r="BH11" i="12"/>
  <c r="AA11" i="12" a="1"/>
  <c r="AA11" i="12" s="1"/>
  <c r="AF11" i="12" s="1"/>
  <c r="X11" i="12" a="1"/>
  <c r="X11" i="12" s="1"/>
  <c r="AC11" i="12" s="1"/>
  <c r="W11" i="12" a="1"/>
  <c r="W11" i="12" s="1"/>
  <c r="AB11" i="12" s="1"/>
  <c r="Z11" i="12" a="1"/>
  <c r="Z11" i="12" s="1"/>
  <c r="AE11" i="12" s="1"/>
  <c r="Y11" i="12" a="1"/>
  <c r="Y11" i="12" s="1"/>
  <c r="AD11" i="12" s="1"/>
  <c r="AI11" i="12"/>
  <c r="I12" i="12" a="1"/>
  <c r="I12" i="12" s="1"/>
  <c r="CQ11" i="12"/>
  <c r="T11" i="12" a="1"/>
  <c r="T11" i="12" s="1"/>
  <c r="D11" i="12" s="1"/>
  <c r="H153" i="28" a="1"/>
  <c r="H153" i="28" s="1"/>
  <c r="A153" i="28" s="1" a="1"/>
  <c r="A153" i="28" s="1"/>
  <c r="L103" i="3" a="1"/>
  <c r="L103" i="3" s="1"/>
  <c r="A152" i="28" a="1"/>
  <c r="A152" i="28" s="1"/>
  <c r="C7" i="30" a="1"/>
  <c r="E3" i="30" a="1"/>
  <c r="E2" i="30" a="1"/>
  <c r="C7" i="30" l="1"/>
  <c r="E11" i="12" a="1"/>
  <c r="E11" i="12" s="1"/>
  <c r="AH11" i="12" a="1"/>
  <c r="AH11" i="12" s="1"/>
  <c r="B14" i="32"/>
  <c r="AC14" i="32" s="1"/>
  <c r="H11" i="12" a="1"/>
  <c r="H11" i="12" s="1"/>
  <c r="CT11" i="12"/>
  <c r="CU11" i="12" s="1" a="1"/>
  <c r="CU11" i="12" s="1"/>
  <c r="CR10" i="12"/>
  <c r="CS10" i="12" s="1" a="1"/>
  <c r="CS10" i="12" s="1"/>
  <c r="J12" i="12"/>
  <c r="P12" i="12"/>
  <c r="AG11" i="12"/>
  <c r="F11" i="12" s="1"/>
  <c r="G11" i="12" s="1"/>
  <c r="AJ11" i="12" s="1" a="1"/>
  <c r="AJ11" i="12" s="1"/>
  <c r="E3" i="30"/>
  <c r="H154" i="28" a="1"/>
  <c r="H154" i="28" s="1"/>
  <c r="E2" i="30"/>
  <c r="A154" i="28" l="1" a="1"/>
  <c r="A154" i="28" s="1"/>
  <c r="H155" i="28" a="1"/>
  <c r="H155" i="28" s="1"/>
  <c r="A155" i="28" s="1" a="1"/>
  <c r="A155" i="28" s="1"/>
  <c r="U14" i="32" a="1"/>
  <c r="U14" i="32" s="1"/>
  <c r="L12" i="12" a="1"/>
  <c r="L12" i="12" s="1"/>
  <c r="M12" i="12" a="1"/>
  <c r="M12" i="12" s="1"/>
  <c r="C12" i="12" s="1" a="1"/>
  <c r="C12" i="12" s="1"/>
  <c r="R12" i="12" a="1"/>
  <c r="R12" i="12" s="1"/>
  <c r="S12" i="12" s="1"/>
  <c r="Q12" i="12" a="1"/>
  <c r="Q12" i="12" s="1"/>
  <c r="K12" i="12" s="1"/>
  <c r="B12" i="12" l="1" a="1"/>
  <c r="B12" i="12" s="1"/>
  <c r="A12" i="12" s="1" a="1"/>
  <c r="A12" i="12" s="1"/>
  <c r="I13" i="12" a="1"/>
  <c r="I13" i="12" s="1"/>
  <c r="CQ12" i="12"/>
  <c r="T12" i="12" a="1"/>
  <c r="T12" i="12" s="1"/>
  <c r="D12" i="12" s="1"/>
  <c r="BH12" i="12"/>
  <c r="X12" i="12" a="1"/>
  <c r="X12" i="12" s="1"/>
  <c r="AC12" i="12" s="1"/>
  <c r="Z12" i="12" a="1"/>
  <c r="Z12" i="12" s="1"/>
  <c r="AE12" i="12" s="1"/>
  <c r="Y12" i="12" a="1"/>
  <c r="Y12" i="12" s="1"/>
  <c r="AD12" i="12" s="1"/>
  <c r="W12" i="12" a="1"/>
  <c r="W12" i="12" s="1"/>
  <c r="AB12" i="12" s="1"/>
  <c r="AI12" i="12"/>
  <c r="AA12" i="12" a="1"/>
  <c r="AA12" i="12" s="1"/>
  <c r="AF12" i="12" s="1"/>
  <c r="E12" i="12" l="1" a="1"/>
  <c r="E12" i="12" s="1"/>
  <c r="H12" i="12" a="1"/>
  <c r="H12" i="12" s="1"/>
  <c r="B15" i="32"/>
  <c r="AC15" i="32" s="1"/>
  <c r="AH12" i="12" a="1"/>
  <c r="AH12" i="12" s="1"/>
  <c r="CT12" i="12"/>
  <c r="CU12" i="12" s="1" a="1"/>
  <c r="CU12" i="12" s="1"/>
  <c r="AG12" i="12"/>
  <c r="F12" i="12" s="1"/>
  <c r="G12" i="12" s="1"/>
  <c r="AJ12" i="12" s="1" a="1"/>
  <c r="AJ12" i="12" s="1"/>
  <c r="CR11" i="12"/>
  <c r="CS11" i="12" s="1" a="1"/>
  <c r="CS11" i="12" s="1"/>
  <c r="P13" i="12"/>
  <c r="J13" i="12"/>
  <c r="U15" i="32" l="1" a="1"/>
  <c r="U15" i="32" s="1"/>
  <c r="L13" i="12" a="1"/>
  <c r="L13" i="12" s="1"/>
  <c r="Q13" i="12" a="1"/>
  <c r="Q13" i="12" s="1"/>
  <c r="K13" i="12" s="1"/>
  <c r="M13" i="12" a="1"/>
  <c r="M13" i="12" s="1"/>
  <c r="C13" i="12" s="1" a="1"/>
  <c r="C13" i="12" s="1"/>
  <c r="R13" i="12" a="1"/>
  <c r="R13" i="12" s="1"/>
  <c r="S13" i="12" s="1"/>
  <c r="H156" i="28" a="1"/>
  <c r="H156" i="28" s="1"/>
  <c r="A156" i="28" s="1" a="1"/>
  <c r="A156" i="28" s="1"/>
  <c r="B13" i="12" l="1" a="1"/>
  <c r="B13" i="12" s="1"/>
  <c r="A13" i="12" s="1" a="1"/>
  <c r="A13" i="12" s="1"/>
  <c r="T13" i="12" a="1"/>
  <c r="T13" i="12" s="1"/>
  <c r="D13" i="12" s="1"/>
  <c r="BH13" i="12"/>
  <c r="AA13" i="12" a="1"/>
  <c r="AA13" i="12" s="1"/>
  <c r="AF13" i="12" s="1"/>
  <c r="AI13" i="12"/>
  <c r="W13" i="12" a="1"/>
  <c r="W13" i="12" s="1"/>
  <c r="AB13" i="12" s="1"/>
  <c r="Z13" i="12" a="1"/>
  <c r="Z13" i="12" s="1"/>
  <c r="AE13" i="12" s="1"/>
  <c r="Y13" i="12" a="1"/>
  <c r="Y13" i="12" s="1"/>
  <c r="AD13" i="12" s="1"/>
  <c r="X13" i="12" a="1"/>
  <c r="X13" i="12" s="1"/>
  <c r="AC13" i="12" s="1"/>
  <c r="CQ13" i="12"/>
  <c r="I14" i="12" a="1"/>
  <c r="I14" i="12" s="1"/>
  <c r="H157" i="28" a="1"/>
  <c r="H157" i="28" s="1"/>
  <c r="A157" i="28" s="1" a="1"/>
  <c r="A157" i="28" s="1"/>
  <c r="E13" i="12" l="1" a="1"/>
  <c r="E13" i="12" s="1"/>
  <c r="CT13" i="12"/>
  <c r="CU13" i="12" s="1" a="1"/>
  <c r="CU13" i="12" s="1"/>
  <c r="H13" i="12" a="1"/>
  <c r="H13" i="12" s="1"/>
  <c r="AH13" i="12" a="1"/>
  <c r="AH13" i="12" s="1"/>
  <c r="B16" i="32"/>
  <c r="AC16" i="32" s="1"/>
  <c r="P14" i="12"/>
  <c r="J14" i="12"/>
  <c r="CR12" i="12"/>
  <c r="CS12" i="12" s="1" a="1"/>
  <c r="CS12" i="12" s="1"/>
  <c r="AG13" i="12"/>
  <c r="F13" i="12" s="1"/>
  <c r="G13" i="12" s="1"/>
  <c r="AJ13" i="12" s="1" a="1"/>
  <c r="AJ13" i="12" s="1"/>
  <c r="H158" i="28" a="1"/>
  <c r="H158" i="28" s="1"/>
  <c r="A158" i="28" s="1" a="1"/>
  <c r="A158" i="28" s="1"/>
  <c r="U16" i="32" l="1" a="1"/>
  <c r="U16" i="32" s="1"/>
  <c r="R14" i="12" a="1"/>
  <c r="R14" i="12" s="1"/>
  <c r="S14" i="12" s="1"/>
  <c r="Q14" i="12" a="1"/>
  <c r="Q14" i="12" s="1"/>
  <c r="K14" i="12" s="1"/>
  <c r="L14" i="12" a="1"/>
  <c r="L14" i="12" s="1"/>
  <c r="M14" i="12" a="1"/>
  <c r="M14" i="12" s="1"/>
  <c r="C14" i="12" s="1" a="1"/>
  <c r="C14" i="12" s="1"/>
  <c r="H159" i="28" a="1"/>
  <c r="H159" i="28" s="1"/>
  <c r="A159" i="28" s="1" a="1"/>
  <c r="A159" i="28" s="1"/>
  <c r="J10" i="14"/>
  <c r="B14" i="12" l="1" a="1"/>
  <c r="B14" i="12" s="1"/>
  <c r="A14" i="12" s="1" a="1"/>
  <c r="A14" i="12" s="1"/>
  <c r="T14" i="12" a="1"/>
  <c r="T14" i="12" s="1"/>
  <c r="D14" i="12" s="1"/>
  <c r="BH14" i="12"/>
  <c r="AA14" i="12" a="1"/>
  <c r="AA14" i="12" s="1"/>
  <c r="AF14" i="12" s="1"/>
  <c r="W14" i="12" a="1"/>
  <c r="W14" i="12" s="1"/>
  <c r="AB14" i="12" s="1"/>
  <c r="Y14" i="12" a="1"/>
  <c r="Y14" i="12" s="1"/>
  <c r="AD14" i="12" s="1"/>
  <c r="Z14" i="12" a="1"/>
  <c r="Z14" i="12" s="1"/>
  <c r="AE14" i="12" s="1"/>
  <c r="AI14" i="12"/>
  <c r="X14" i="12" a="1"/>
  <c r="X14" i="12" s="1"/>
  <c r="AC14" i="12" s="1"/>
  <c r="CQ14" i="12"/>
  <c r="I15" i="12" a="1"/>
  <c r="I15" i="12" s="1"/>
  <c r="H160" i="28" a="1"/>
  <c r="H160" i="28" s="1"/>
  <c r="H161" i="28" s="1" a="1"/>
  <c r="H161" i="28" s="1"/>
  <c r="H162" i="28" s="1" a="1"/>
  <c r="H162" i="28" s="1"/>
  <c r="B3" i="19"/>
  <c r="E14" i="12" l="1" a="1"/>
  <c r="E14" i="12" s="1"/>
  <c r="CT14" i="12"/>
  <c r="CU14" i="12" s="1" a="1"/>
  <c r="CU14" i="12" s="1"/>
  <c r="H14" i="12" a="1"/>
  <c r="H14" i="12" s="1"/>
  <c r="AH14" i="12" a="1"/>
  <c r="AH14" i="12" s="1"/>
  <c r="B17" i="32"/>
  <c r="AC17" i="32" s="1"/>
  <c r="AG14" i="12"/>
  <c r="F14" i="12" s="1"/>
  <c r="G14" i="12" s="1"/>
  <c r="AJ14" i="12" s="1" a="1"/>
  <c r="AJ14" i="12" s="1"/>
  <c r="CR13" i="12"/>
  <c r="CS13" i="12" s="1" a="1"/>
  <c r="CS13" i="12" s="1"/>
  <c r="J15" i="12"/>
  <c r="P15" i="12"/>
  <c r="A161" i="28" a="1"/>
  <c r="A161" i="28" s="1"/>
  <c r="A160" i="28" a="1"/>
  <c r="A160" i="28" s="1"/>
  <c r="A162" i="28" a="1"/>
  <c r="A162" i="28" s="1"/>
  <c r="H163" i="28" a="1"/>
  <c r="H163" i="28" s="1"/>
  <c r="U17" i="32" l="1" a="1"/>
  <c r="U17" i="32" s="1"/>
  <c r="Q15" i="12" a="1"/>
  <c r="Q15" i="12" s="1"/>
  <c r="K15" i="12" s="1"/>
  <c r="R15" i="12" a="1"/>
  <c r="R15" i="12" s="1"/>
  <c r="S15" i="12" s="1"/>
  <c r="L15" i="12" a="1"/>
  <c r="L15" i="12" s="1"/>
  <c r="M15" i="12" a="1"/>
  <c r="M15" i="12" s="1"/>
  <c r="C15" i="12" s="1" a="1"/>
  <c r="C15" i="12" s="1"/>
  <c r="A163" i="28" a="1"/>
  <c r="A163" i="28" s="1"/>
  <c r="H164" i="28" a="1"/>
  <c r="H164" i="28" s="1"/>
  <c r="B15" i="12" l="1" a="1"/>
  <c r="B15" i="12" s="1"/>
  <c r="A15" i="12" s="1" a="1"/>
  <c r="A15" i="12" s="1"/>
  <c r="T15" i="12" a="1"/>
  <c r="T15" i="12" s="1"/>
  <c r="D15" i="12" s="1"/>
  <c r="CQ15" i="12"/>
  <c r="I16" i="12" a="1"/>
  <c r="I16" i="12" s="1"/>
  <c r="BH15" i="12"/>
  <c r="X15" i="12" a="1"/>
  <c r="X15" i="12" s="1"/>
  <c r="AC15" i="12" s="1"/>
  <c r="AA15" i="12" a="1"/>
  <c r="AA15" i="12" s="1"/>
  <c r="AF15" i="12" s="1"/>
  <c r="Z15" i="12" a="1"/>
  <c r="Z15" i="12" s="1"/>
  <c r="AE15" i="12" s="1"/>
  <c r="Y15" i="12" a="1"/>
  <c r="Y15" i="12" s="1"/>
  <c r="AD15" i="12" s="1"/>
  <c r="W15" i="12" a="1"/>
  <c r="W15" i="12" s="1"/>
  <c r="AB15" i="12" s="1"/>
  <c r="AI15" i="12"/>
  <c r="A164" i="28" a="1"/>
  <c r="A164" i="28" s="1"/>
  <c r="H165" i="28" a="1"/>
  <c r="H165" i="28" s="1"/>
  <c r="E15" i="12" l="1" a="1"/>
  <c r="E15" i="12" s="1"/>
  <c r="CT15" i="12"/>
  <c r="CU15" i="12" s="1" a="1"/>
  <c r="CU15" i="12" s="1"/>
  <c r="AH15" i="12" a="1"/>
  <c r="AH15" i="12" s="1"/>
  <c r="B18" i="32"/>
  <c r="AC18" i="32" s="1"/>
  <c r="H15" i="12" a="1"/>
  <c r="H15" i="12" s="1"/>
  <c r="AG15" i="12"/>
  <c r="F15" i="12" s="1"/>
  <c r="G15" i="12" s="1"/>
  <c r="AJ15" i="12" s="1" a="1"/>
  <c r="AJ15" i="12" s="1"/>
  <c r="P16" i="12"/>
  <c r="J16" i="12"/>
  <c r="CR14" i="12"/>
  <c r="CS14" i="12" s="1" a="1"/>
  <c r="CS14" i="12" s="1"/>
  <c r="A165" i="28" a="1"/>
  <c r="A165" i="28" s="1"/>
  <c r="H166" i="28" a="1"/>
  <c r="H166" i="28" s="1"/>
  <c r="H167" i="28" s="1" a="1"/>
  <c r="H167" i="28" s="1"/>
  <c r="U18" i="32" l="1" a="1"/>
  <c r="U18" i="32" s="1"/>
  <c r="L16" i="12" a="1"/>
  <c r="L16" i="12" s="1"/>
  <c r="M16" i="12" a="1"/>
  <c r="M16" i="12" s="1"/>
  <c r="C16" i="12" s="1" a="1"/>
  <c r="C16" i="12" s="1"/>
  <c r="Q16" i="12" a="1"/>
  <c r="Q16" i="12" s="1"/>
  <c r="K16" i="12" s="1"/>
  <c r="R16" i="12" a="1"/>
  <c r="R16" i="12" s="1"/>
  <c r="S16" i="12" s="1"/>
  <c r="A166" i="28" a="1"/>
  <c r="A166" i="28" s="1"/>
  <c r="A167" i="28" a="1"/>
  <c r="A167" i="28" s="1"/>
  <c r="H168" i="28" a="1"/>
  <c r="H168" i="28" s="1"/>
  <c r="B16" i="12" l="1" a="1"/>
  <c r="B16" i="12" s="1"/>
  <c r="A16" i="12" s="1" a="1"/>
  <c r="A16" i="12" s="1"/>
  <c r="T16" i="12" a="1"/>
  <c r="T16" i="12" s="1"/>
  <c r="D16" i="12" s="1"/>
  <c r="CQ16" i="12"/>
  <c r="I17" i="12" a="1"/>
  <c r="I17" i="12" s="1"/>
  <c r="BH16" i="12"/>
  <c r="AI16" i="12"/>
  <c r="Y16" i="12" a="1"/>
  <c r="Y16" i="12" s="1"/>
  <c r="AD16" i="12" s="1"/>
  <c r="X16" i="12" a="1"/>
  <c r="X16" i="12" s="1"/>
  <c r="AC16" i="12" s="1"/>
  <c r="W16" i="12" a="1"/>
  <c r="W16" i="12" s="1"/>
  <c r="AB16" i="12" s="1"/>
  <c r="Z16" i="12" a="1"/>
  <c r="Z16" i="12" s="1"/>
  <c r="AE16" i="12" s="1"/>
  <c r="AA16" i="12" a="1"/>
  <c r="AA16" i="12" s="1"/>
  <c r="AF16" i="12" s="1"/>
  <c r="A168" i="28" a="1"/>
  <c r="A168" i="28" s="1"/>
  <c r="H169" i="28" a="1"/>
  <c r="H169" i="28" s="1"/>
  <c r="A169" i="28" s="1" a="1"/>
  <c r="A169" i="28" s="1"/>
  <c r="E16" i="12" l="1" a="1"/>
  <c r="E16" i="12" s="1"/>
  <c r="CT16" i="12"/>
  <c r="CU16" i="12" s="1" a="1"/>
  <c r="CU16" i="12" s="1"/>
  <c r="B19" i="32"/>
  <c r="U19" i="32" s="1" a="1"/>
  <c r="U19" i="32" s="1"/>
  <c r="H16" i="12" a="1"/>
  <c r="H16" i="12" s="1"/>
  <c r="AH16" i="12" a="1"/>
  <c r="AH16" i="12" s="1"/>
  <c r="J17" i="12"/>
  <c r="P17" i="12"/>
  <c r="CR15" i="12"/>
  <c r="CS15" i="12" s="1" a="1"/>
  <c r="CS15" i="12" s="1"/>
  <c r="AG16" i="12"/>
  <c r="F16" i="12" s="1"/>
  <c r="G16" i="12" s="1"/>
  <c r="AJ16" i="12" s="1" a="1"/>
  <c r="AJ16" i="12" s="1"/>
  <c r="H170" i="28" a="1"/>
  <c r="H170" i="28" s="1"/>
  <c r="A170" i="28" s="1" a="1"/>
  <c r="A170" i="28" s="1"/>
  <c r="AC19" i="32" l="1"/>
  <c r="Q17" i="12" a="1"/>
  <c r="Q17" i="12" s="1"/>
  <c r="K17" i="12" s="1"/>
  <c r="R17" i="12" a="1"/>
  <c r="R17" i="12" s="1"/>
  <c r="S17" i="12" s="1"/>
  <c r="L17" i="12" a="1"/>
  <c r="L17" i="12" s="1"/>
  <c r="M17" i="12" a="1"/>
  <c r="M17" i="12" s="1"/>
  <c r="C17" i="12" s="1" a="1"/>
  <c r="C17" i="12" s="1"/>
  <c r="H171" i="28" a="1"/>
  <c r="H171" i="28" s="1"/>
  <c r="A171" i="28" s="1" a="1"/>
  <c r="A171" i="28" s="1"/>
  <c r="B17" i="12" l="1" a="1"/>
  <c r="B17" i="12" s="1"/>
  <c r="A17" i="12" s="1" a="1"/>
  <c r="A17" i="12" s="1"/>
  <c r="T17" i="12" a="1"/>
  <c r="T17" i="12" s="1"/>
  <c r="D17" i="12" s="1"/>
  <c r="CQ17" i="12"/>
  <c r="I18" i="12" a="1"/>
  <c r="I18" i="12" s="1"/>
  <c r="BH17" i="12"/>
  <c r="AI17" i="12"/>
  <c r="X17" i="12" a="1"/>
  <c r="X17" i="12" s="1"/>
  <c r="AC17" i="12" s="1"/>
  <c r="W17" i="12" a="1"/>
  <c r="W17" i="12" s="1"/>
  <c r="AB17" i="12" s="1"/>
  <c r="Z17" i="12" a="1"/>
  <c r="Z17" i="12" s="1"/>
  <c r="AE17" i="12" s="1"/>
  <c r="Y17" i="12" a="1"/>
  <c r="Y17" i="12" s="1"/>
  <c r="AD17" i="12" s="1"/>
  <c r="AA17" i="12" a="1"/>
  <c r="AA17" i="12" s="1"/>
  <c r="AF17" i="12" s="1"/>
  <c r="H172" i="28" a="1"/>
  <c r="H172" i="28" s="1"/>
  <c r="A172" i="28" s="1" a="1"/>
  <c r="A172" i="28" s="1"/>
  <c r="E17" i="12" l="1" a="1"/>
  <c r="E17" i="12" s="1"/>
  <c r="CT17" i="12"/>
  <c r="CU17" i="12" s="1" a="1"/>
  <c r="CU17" i="12" s="1"/>
  <c r="AH17" i="12" a="1"/>
  <c r="AH17" i="12" s="1"/>
  <c r="B20" i="32"/>
  <c r="AC20" i="32" s="1"/>
  <c r="H17" i="12" a="1"/>
  <c r="H17" i="12" s="1"/>
  <c r="P18" i="12"/>
  <c r="J18" i="12"/>
  <c r="CR16" i="12"/>
  <c r="CS16" i="12" s="1" a="1"/>
  <c r="CS16" i="12" s="1"/>
  <c r="AG17" i="12"/>
  <c r="F17" i="12" s="1"/>
  <c r="G17" i="12" s="1"/>
  <c r="AJ17" i="12" s="1" a="1"/>
  <c r="AJ17" i="12" s="1"/>
  <c r="H173" i="28" a="1"/>
  <c r="H173" i="28" s="1"/>
  <c r="U20" i="32" l="1" a="1"/>
  <c r="U20" i="32" s="1"/>
  <c r="A173" i="28" a="1"/>
  <c r="A173" i="28" s="1"/>
  <c r="H174" i="28" a="1"/>
  <c r="H174" i="28" s="1"/>
  <c r="A174" i="28" s="1" a="1"/>
  <c r="A174" i="28" s="1"/>
  <c r="M18" i="12" a="1"/>
  <c r="M18" i="12" s="1"/>
  <c r="C18" i="12" s="1" a="1"/>
  <c r="C18" i="12" s="1"/>
  <c r="Q18" i="12" a="1"/>
  <c r="Q18" i="12" s="1"/>
  <c r="K18" i="12" s="1"/>
  <c r="R18" i="12" a="1"/>
  <c r="R18" i="12" s="1"/>
  <c r="S18" i="12" s="1"/>
  <c r="L18" i="12" a="1"/>
  <c r="L18" i="12" s="1"/>
  <c r="H175" i="28" l="1" a="1"/>
  <c r="H175" i="28" s="1"/>
  <c r="A175" i="28" s="1" a="1"/>
  <c r="A175" i="28" s="1"/>
  <c r="B18" i="12" a="1"/>
  <c r="B18" i="12" s="1"/>
  <c r="A18" i="12" s="1" a="1"/>
  <c r="A18" i="12" s="1"/>
  <c r="I19" i="12" a="1"/>
  <c r="I19" i="12" s="1"/>
  <c r="CQ18" i="12"/>
  <c r="BH18" i="12"/>
  <c r="W18" i="12" a="1"/>
  <c r="W18" i="12" s="1"/>
  <c r="AB18" i="12" s="1"/>
  <c r="AI18" i="12"/>
  <c r="Y18" i="12" a="1"/>
  <c r="Y18" i="12" s="1"/>
  <c r="AD18" i="12" s="1"/>
  <c r="X18" i="12" a="1"/>
  <c r="X18" i="12" s="1"/>
  <c r="AC18" i="12" s="1"/>
  <c r="AA18" i="12" a="1"/>
  <c r="AA18" i="12" s="1"/>
  <c r="AF18" i="12" s="1"/>
  <c r="Z18" i="12" a="1"/>
  <c r="Z18" i="12" s="1"/>
  <c r="AE18" i="12" s="1"/>
  <c r="T18" i="12" a="1"/>
  <c r="T18" i="12" s="1"/>
  <c r="D18" i="12" s="1"/>
  <c r="H176" i="28" l="1" a="1"/>
  <c r="H176" i="28" s="1"/>
  <c r="H177" i="28" s="1" a="1"/>
  <c r="H177" i="28" s="1"/>
  <c r="H178" i="28" s="1" a="1"/>
  <c r="H178" i="28" s="1"/>
  <c r="A178" i="28" s="1" a="1"/>
  <c r="A178" i="28" s="1"/>
  <c r="E18" i="12" a="1"/>
  <c r="E18" i="12" s="1"/>
  <c r="CT18" i="12"/>
  <c r="CU18" i="12" s="1" a="1"/>
  <c r="CU18" i="12" s="1"/>
  <c r="AH18" i="12" a="1"/>
  <c r="AH18" i="12" s="1"/>
  <c r="H18" i="12" a="1"/>
  <c r="H18" i="12" s="1"/>
  <c r="B21" i="32"/>
  <c r="AC21" i="32" s="1"/>
  <c r="AG18" i="12"/>
  <c r="F18" i="12" s="1"/>
  <c r="G18" i="12" s="1"/>
  <c r="AJ18" i="12" s="1" a="1"/>
  <c r="AJ18" i="12" s="1"/>
  <c r="CR17" i="12"/>
  <c r="CS17" i="12" s="1" a="1"/>
  <c r="CS17" i="12" s="1"/>
  <c r="P19" i="12"/>
  <c r="J19" i="12"/>
  <c r="A176" i="28" l="1" a="1"/>
  <c r="A176" i="28" s="1"/>
  <c r="A177" i="28" a="1"/>
  <c r="A177" i="28" s="1"/>
  <c r="U21" i="32" a="1"/>
  <c r="U21" i="32" s="1"/>
  <c r="R19" i="12" a="1"/>
  <c r="R19" i="12" s="1"/>
  <c r="S19" i="12" s="1"/>
  <c r="M19" i="12" a="1"/>
  <c r="M19" i="12" s="1"/>
  <c r="C19" i="12" s="1" a="1"/>
  <c r="C19" i="12" s="1"/>
  <c r="L19" i="12" a="1"/>
  <c r="L19" i="12" s="1"/>
  <c r="Q19" i="12" a="1"/>
  <c r="Q19" i="12" s="1"/>
  <c r="K19" i="12" s="1"/>
  <c r="H179" i="28" a="1"/>
  <c r="H179" i="28" s="1"/>
  <c r="A179" i="28" s="1" a="1"/>
  <c r="A179" i="28" s="1"/>
  <c r="B19" i="12" l="1" a="1"/>
  <c r="B19" i="12" s="1"/>
  <c r="A19" i="12" s="1" a="1"/>
  <c r="A19" i="12" s="1"/>
  <c r="BH19" i="12"/>
  <c r="W19" i="12" a="1"/>
  <c r="W19" i="12" s="1"/>
  <c r="AB19" i="12" s="1"/>
  <c r="X19" i="12" a="1"/>
  <c r="X19" i="12" s="1"/>
  <c r="AC19" i="12" s="1"/>
  <c r="AI19" i="12"/>
  <c r="Y19" i="12" a="1"/>
  <c r="Y19" i="12" s="1"/>
  <c r="AD19" i="12" s="1"/>
  <c r="AA19" i="12" a="1"/>
  <c r="AA19" i="12" s="1"/>
  <c r="AF19" i="12" s="1"/>
  <c r="Z19" i="12" a="1"/>
  <c r="Z19" i="12" s="1"/>
  <c r="AE19" i="12" s="1"/>
  <c r="T19" i="12" a="1"/>
  <c r="T19" i="12" s="1"/>
  <c r="D19" i="12" s="1"/>
  <c r="CQ19" i="12"/>
  <c r="I20" i="12" a="1"/>
  <c r="I20" i="12" s="1"/>
  <c r="H180" i="28" a="1"/>
  <c r="H180" i="28" s="1"/>
  <c r="A180" i="28" s="1" a="1"/>
  <c r="A180" i="28" s="1"/>
  <c r="E19" i="12" l="1" a="1"/>
  <c r="E19" i="12" s="1"/>
  <c r="CT19" i="12"/>
  <c r="CU19" i="12" s="1" a="1"/>
  <c r="CU19" i="12" s="1"/>
  <c r="AH19" i="12" a="1"/>
  <c r="AH19" i="12" s="1"/>
  <c r="B22" i="32"/>
  <c r="AC22" i="32" s="1"/>
  <c r="H19" i="12" a="1"/>
  <c r="H19" i="12" s="1"/>
  <c r="CR18" i="12"/>
  <c r="CS18" i="12" s="1" a="1"/>
  <c r="CS18" i="12" s="1"/>
  <c r="AG19" i="12"/>
  <c r="F19" i="12" s="1"/>
  <c r="G19" i="12" s="1"/>
  <c r="AJ19" i="12" s="1" a="1"/>
  <c r="AJ19" i="12" s="1"/>
  <c r="P20" i="12"/>
  <c r="J20" i="12"/>
  <c r="H181" i="28" a="1"/>
  <c r="H181" i="28" s="1"/>
  <c r="A181" i="28" s="1" a="1"/>
  <c r="A181" i="28" s="1"/>
  <c r="U22" i="32" l="1" a="1"/>
  <c r="U22" i="32" s="1"/>
  <c r="L20" i="12" a="1"/>
  <c r="L20" i="12" s="1"/>
  <c r="R20" i="12" a="1"/>
  <c r="R20" i="12" s="1"/>
  <c r="S20" i="12" s="1"/>
  <c r="M20" i="12" a="1"/>
  <c r="M20" i="12" s="1"/>
  <c r="C20" i="12" s="1" a="1"/>
  <c r="C20" i="12" s="1"/>
  <c r="Q20" i="12" a="1"/>
  <c r="Q20" i="12" s="1"/>
  <c r="K20" i="12" s="1"/>
  <c r="H182" i="28" a="1"/>
  <c r="H182" i="28" s="1"/>
  <c r="H183" i="28" s="1" a="1"/>
  <c r="H183" i="28" s="1"/>
  <c r="B20" i="12" l="1" a="1"/>
  <c r="B20" i="12" s="1"/>
  <c r="A20" i="12" s="1" a="1"/>
  <c r="A20" i="12" s="1"/>
  <c r="CQ20" i="12"/>
  <c r="I21" i="12" a="1"/>
  <c r="I21" i="12" s="1"/>
  <c r="BH20" i="12"/>
  <c r="X20" i="12" a="1"/>
  <c r="X20" i="12" s="1"/>
  <c r="AC20" i="12" s="1"/>
  <c r="AA20" i="12" a="1"/>
  <c r="AA20" i="12" s="1"/>
  <c r="AF20" i="12" s="1"/>
  <c r="Z20" i="12" a="1"/>
  <c r="Z20" i="12" s="1"/>
  <c r="AE20" i="12" s="1"/>
  <c r="AI20" i="12"/>
  <c r="Y20" i="12" a="1"/>
  <c r="Y20" i="12" s="1"/>
  <c r="AD20" i="12" s="1"/>
  <c r="W20" i="12" a="1"/>
  <c r="W20" i="12" s="1"/>
  <c r="AB20" i="12" s="1"/>
  <c r="T20" i="12" a="1"/>
  <c r="T20" i="12" s="1"/>
  <c r="D20" i="12" s="1"/>
  <c r="A182" i="28" a="1"/>
  <c r="A182" i="28" s="1"/>
  <c r="A183" i="28" a="1"/>
  <c r="A183" i="28" s="1"/>
  <c r="H184" i="28" a="1"/>
  <c r="H184" i="28" s="1"/>
  <c r="E20" i="12" l="1" a="1"/>
  <c r="E20" i="12" s="1"/>
  <c r="AH20" i="12" a="1"/>
  <c r="AH20" i="12" s="1"/>
  <c r="B23" i="32"/>
  <c r="U23" i="32" s="1" a="1"/>
  <c r="U23" i="32" s="1"/>
  <c r="H20" i="12" a="1"/>
  <c r="H20" i="12" s="1"/>
  <c r="CT20" i="12"/>
  <c r="CU20" i="12" s="1" a="1"/>
  <c r="CU20" i="12" s="1"/>
  <c r="AG20" i="12"/>
  <c r="F20" i="12" s="1"/>
  <c r="G20" i="12" s="1"/>
  <c r="AJ20" i="12" s="1" a="1"/>
  <c r="AJ20" i="12" s="1"/>
  <c r="P21" i="12"/>
  <c r="J21" i="12"/>
  <c r="CR19" i="12"/>
  <c r="CS19" i="12" s="1" a="1"/>
  <c r="CS19" i="12" s="1"/>
  <c r="A184" i="28" a="1"/>
  <c r="A184" i="28" s="1"/>
  <c r="H185" i="28" a="1"/>
  <c r="H185" i="28" s="1"/>
  <c r="H186" i="28" s="1" a="1"/>
  <c r="H186" i="28" s="1"/>
  <c r="AC23" i="32" l="1"/>
  <c r="M21" i="12" a="1"/>
  <c r="M21" i="12" s="1"/>
  <c r="C21" i="12" s="1" a="1"/>
  <c r="C21" i="12" s="1"/>
  <c r="R21" i="12" a="1"/>
  <c r="R21" i="12" s="1"/>
  <c r="S21" i="12" s="1"/>
  <c r="Q21" i="12" a="1"/>
  <c r="Q21" i="12" s="1"/>
  <c r="K21" i="12" s="1"/>
  <c r="L21" i="12" a="1"/>
  <c r="L21" i="12" s="1"/>
  <c r="A185" i="28" a="1"/>
  <c r="A185" i="28" s="1"/>
  <c r="A186" i="28" a="1"/>
  <c r="A186" i="28" s="1"/>
  <c r="H187" i="28" a="1"/>
  <c r="H187" i="28" s="1"/>
  <c r="B21" i="12" l="1" a="1"/>
  <c r="B21" i="12" s="1"/>
  <c r="A21" i="12" s="1" a="1"/>
  <c r="A21" i="12" s="1"/>
  <c r="BH21" i="12"/>
  <c r="AI21" i="12"/>
  <c r="Z21" i="12" a="1"/>
  <c r="Z21" i="12" s="1"/>
  <c r="AE21" i="12" s="1"/>
  <c r="W21" i="12" a="1"/>
  <c r="W21" i="12" s="1"/>
  <c r="AB21" i="12" s="1"/>
  <c r="X21" i="12" a="1"/>
  <c r="X21" i="12" s="1"/>
  <c r="AC21" i="12" s="1"/>
  <c r="Y21" i="12" a="1"/>
  <c r="Y21" i="12" s="1"/>
  <c r="AD21" i="12" s="1"/>
  <c r="AA21" i="12" a="1"/>
  <c r="AA21" i="12" s="1"/>
  <c r="AF21" i="12" s="1"/>
  <c r="CQ21" i="12"/>
  <c r="I22" i="12" a="1"/>
  <c r="I22" i="12" s="1"/>
  <c r="T21" i="12" a="1"/>
  <c r="T21" i="12" s="1"/>
  <c r="D21" i="12" s="1"/>
  <c r="A187" i="28" a="1"/>
  <c r="A187" i="28" s="1"/>
  <c r="H188" i="28" a="1"/>
  <c r="H188" i="28" s="1"/>
  <c r="A188" i="28" s="1" a="1"/>
  <c r="A188" i="28" s="1"/>
  <c r="E21" i="12" l="1" a="1"/>
  <c r="E21" i="12" s="1"/>
  <c r="CT21" i="12"/>
  <c r="CU21" i="12" s="1" a="1"/>
  <c r="CU21" i="12" s="1"/>
  <c r="H21" i="12" a="1"/>
  <c r="H21" i="12" s="1"/>
  <c r="AH21" i="12" a="1"/>
  <c r="AH21" i="12" s="1"/>
  <c r="B24" i="32"/>
  <c r="AC24" i="32" s="1"/>
  <c r="AG21" i="12"/>
  <c r="F21" i="12" s="1"/>
  <c r="G21" i="12" s="1"/>
  <c r="AJ21" i="12" s="1" a="1"/>
  <c r="AJ21" i="12" s="1"/>
  <c r="J22" i="12"/>
  <c r="P22" i="12"/>
  <c r="CR20" i="12"/>
  <c r="CS20" i="12" s="1" a="1"/>
  <c r="CS20" i="12" s="1"/>
  <c r="H189" i="28" a="1"/>
  <c r="H189" i="28" s="1"/>
  <c r="A189" i="28" s="1" a="1"/>
  <c r="A189" i="28" s="1"/>
  <c r="U24" i="32" l="1" a="1"/>
  <c r="U24" i="32" s="1"/>
  <c r="L22" i="12" a="1"/>
  <c r="L22" i="12" s="1"/>
  <c r="M22" i="12" a="1"/>
  <c r="M22" i="12" s="1"/>
  <c r="C22" i="12" s="1" a="1"/>
  <c r="C22" i="12" s="1"/>
  <c r="R22" i="12" a="1"/>
  <c r="R22" i="12" s="1"/>
  <c r="S22" i="12" s="1"/>
  <c r="Q22" i="12" a="1"/>
  <c r="Q22" i="12" s="1"/>
  <c r="K22" i="12" s="1"/>
  <c r="H190" i="28" a="1"/>
  <c r="H190" i="28" s="1"/>
  <c r="AC5" i="17" a="1"/>
  <c r="AC5" i="17" s="1"/>
  <c r="B22" i="12" l="1" a="1"/>
  <c r="B22" i="12" s="1"/>
  <c r="A22" i="12" s="1" a="1"/>
  <c r="A22" i="12" s="1"/>
  <c r="T22" i="12" a="1"/>
  <c r="T22" i="12" s="1"/>
  <c r="D22" i="12" s="1"/>
  <c r="BH22" i="12"/>
  <c r="AA22" i="12" a="1"/>
  <c r="AA22" i="12" s="1"/>
  <c r="AF22" i="12" s="1"/>
  <c r="X22" i="12" a="1"/>
  <c r="X22" i="12" s="1"/>
  <c r="AC22" i="12" s="1"/>
  <c r="AI22" i="12"/>
  <c r="Y22" i="12" a="1"/>
  <c r="Y22" i="12" s="1"/>
  <c r="AD22" i="12" s="1"/>
  <c r="Z22" i="12" a="1"/>
  <c r="Z22" i="12" s="1"/>
  <c r="AE22" i="12" s="1"/>
  <c r="W22" i="12" a="1"/>
  <c r="W22" i="12" s="1"/>
  <c r="AB22" i="12" s="1"/>
  <c r="I23" i="12" a="1"/>
  <c r="I23" i="12" s="1"/>
  <c r="CQ22" i="12"/>
  <c r="H191" i="28" a="1"/>
  <c r="H191" i="28" s="1"/>
  <c r="H192" i="28" s="1" a="1"/>
  <c r="H192" i="28" s="1"/>
  <c r="H193" i="28" s="1" a="1"/>
  <c r="H193" i="28" s="1"/>
  <c r="A193" i="28" s="1" a="1"/>
  <c r="A193" i="28" s="1"/>
  <c r="A190" i="28" a="1"/>
  <c r="A190" i="28" s="1"/>
  <c r="E22" i="12" l="1" a="1"/>
  <c r="E22" i="12" s="1"/>
  <c r="AH22" i="12" a="1"/>
  <c r="AH22" i="12" s="1"/>
  <c r="H22" i="12" a="1"/>
  <c r="H22" i="12" s="1"/>
  <c r="CT22" i="12"/>
  <c r="CU22" i="12" s="1" a="1"/>
  <c r="CU22" i="12" s="1"/>
  <c r="B25" i="32"/>
  <c r="U25" i="32" s="1" a="1"/>
  <c r="U25" i="32" s="1"/>
  <c r="CR21" i="12"/>
  <c r="CS21" i="12" s="1" a="1"/>
  <c r="CS21" i="12" s="1"/>
  <c r="P23" i="12"/>
  <c r="J23" i="12"/>
  <c r="AG22" i="12"/>
  <c r="F22" i="12" s="1"/>
  <c r="G22" i="12" s="1"/>
  <c r="AJ22" i="12" s="1" a="1"/>
  <c r="AJ22" i="12" s="1"/>
  <c r="A192" i="28" a="1"/>
  <c r="A192" i="28" s="1"/>
  <c r="A191" i="28" a="1"/>
  <c r="A191" i="28" s="1"/>
  <c r="H194" i="28" a="1"/>
  <c r="H194" i="28" s="1"/>
  <c r="H195" i="28" s="1" a="1"/>
  <c r="H195" i="28" s="1"/>
  <c r="J9" i="14"/>
  <c r="AC25" i="32" l="1"/>
  <c r="M23" i="12" a="1"/>
  <c r="M23" i="12" s="1"/>
  <c r="C23" i="12" s="1" a="1"/>
  <c r="C23" i="12" s="1"/>
  <c r="R23" i="12" a="1"/>
  <c r="R23" i="12" s="1"/>
  <c r="S23" i="12" s="1"/>
  <c r="Q23" i="12" a="1"/>
  <c r="Q23" i="12" s="1"/>
  <c r="K23" i="12" s="1"/>
  <c r="L23" i="12" a="1"/>
  <c r="L23" i="12" s="1"/>
  <c r="A194" i="28" a="1"/>
  <c r="A194" i="28" s="1"/>
  <c r="A195" i="28" a="1"/>
  <c r="A195" i="28" s="1"/>
  <c r="H196" i="28" a="1"/>
  <c r="H196" i="28" s="1"/>
  <c r="H197" i="28" s="1" a="1"/>
  <c r="H197" i="28" s="1"/>
  <c r="K9" i="14" a="1"/>
  <c r="K9" i="14" s="1"/>
  <c r="K10" i="14" s="1" a="1"/>
  <c r="K10" i="14" s="1"/>
  <c r="B23" i="12" l="1" a="1"/>
  <c r="B23" i="12" s="1"/>
  <c r="A23" i="12" s="1" a="1"/>
  <c r="A23" i="12" s="1"/>
  <c r="BH23" i="12"/>
  <c r="Z23" i="12" a="1"/>
  <c r="Z23" i="12" s="1"/>
  <c r="AE23" i="12" s="1"/>
  <c r="AA23" i="12" a="1"/>
  <c r="AA23" i="12" s="1"/>
  <c r="AF23" i="12" s="1"/>
  <c r="W23" i="12" a="1"/>
  <c r="W23" i="12" s="1"/>
  <c r="AB23" i="12" s="1"/>
  <c r="X23" i="12" a="1"/>
  <c r="X23" i="12" s="1"/>
  <c r="AC23" i="12" s="1"/>
  <c r="Y23" i="12" a="1"/>
  <c r="Y23" i="12" s="1"/>
  <c r="AD23" i="12" s="1"/>
  <c r="AI23" i="12"/>
  <c r="I24" i="12" a="1"/>
  <c r="I24" i="12" s="1"/>
  <c r="CQ23" i="12"/>
  <c r="T23" i="12" a="1"/>
  <c r="T23" i="12" s="1"/>
  <c r="D23" i="12" s="1"/>
  <c r="A196" i="28" a="1"/>
  <c r="A196" i="28" s="1"/>
  <c r="A197" i="28" a="1"/>
  <c r="A197" i="28" s="1"/>
  <c r="H198" i="28" a="1"/>
  <c r="H198" i="28" s="1"/>
  <c r="K11" i="14" a="1"/>
  <c r="K11" i="14" s="1"/>
  <c r="E23" i="12" l="1" a="1"/>
  <c r="E23" i="12" s="1"/>
  <c r="B26" i="32"/>
  <c r="U26" i="32" s="1" a="1"/>
  <c r="U26" i="32" s="1"/>
  <c r="AH23" i="12" a="1"/>
  <c r="AH23" i="12" s="1"/>
  <c r="H23" i="12" a="1"/>
  <c r="H23" i="12" s="1"/>
  <c r="CT23" i="12"/>
  <c r="CU23" i="12" s="1" a="1"/>
  <c r="CU23" i="12" s="1"/>
  <c r="CR22" i="12"/>
  <c r="CS22" i="12" s="1" a="1"/>
  <c r="CS22" i="12" s="1"/>
  <c r="J24" i="12"/>
  <c r="P24" i="12"/>
  <c r="AG23" i="12"/>
  <c r="F23" i="12" s="1"/>
  <c r="G23" i="12" s="1"/>
  <c r="AJ23" i="12" s="1" a="1"/>
  <c r="AJ23" i="12" s="1"/>
  <c r="A198" i="28" a="1"/>
  <c r="A198" i="28" s="1"/>
  <c r="H199" i="28" a="1"/>
  <c r="H199" i="28" s="1"/>
  <c r="AC26" i="32" l="1"/>
  <c r="M24" i="12" a="1"/>
  <c r="M24" i="12" s="1"/>
  <c r="C24" i="12" s="1" a="1"/>
  <c r="C24" i="12" s="1"/>
  <c r="Q24" i="12" a="1"/>
  <c r="Q24" i="12" s="1"/>
  <c r="K24" i="12" s="1"/>
  <c r="L24" i="12" a="1"/>
  <c r="L24" i="12" s="1"/>
  <c r="R24" i="12" a="1"/>
  <c r="R24" i="12" s="1"/>
  <c r="S24" i="12" s="1"/>
  <c r="A199" i="28" a="1"/>
  <c r="A199" i="28" s="1"/>
  <c r="H200" i="28" a="1"/>
  <c r="H200" i="28" s="1"/>
  <c r="B24" i="12" l="1" a="1"/>
  <c r="B24" i="12" s="1"/>
  <c r="A24" i="12" s="1" a="1"/>
  <c r="A24" i="12" s="1"/>
  <c r="I25" i="12" a="1"/>
  <c r="I25" i="12" s="1"/>
  <c r="CQ24" i="12"/>
  <c r="BH24" i="12"/>
  <c r="AI24" i="12"/>
  <c r="X24" i="12" a="1"/>
  <c r="X24" i="12" s="1"/>
  <c r="AC24" i="12" s="1"/>
  <c r="Z24" i="12" a="1"/>
  <c r="Z24" i="12" s="1"/>
  <c r="AE24" i="12" s="1"/>
  <c r="W24" i="12" a="1"/>
  <c r="W24" i="12" s="1"/>
  <c r="AB24" i="12" s="1"/>
  <c r="Y24" i="12" a="1"/>
  <c r="Y24" i="12" s="1"/>
  <c r="AD24" i="12" s="1"/>
  <c r="AA24" i="12" a="1"/>
  <c r="AA24" i="12" s="1"/>
  <c r="AF24" i="12" s="1"/>
  <c r="T24" i="12" a="1"/>
  <c r="T24" i="12" s="1"/>
  <c r="D24" i="12" s="1"/>
  <c r="A200" i="28" a="1"/>
  <c r="A200" i="28" s="1"/>
  <c r="H201" i="28" a="1"/>
  <c r="H201" i="28" s="1"/>
  <c r="E24" i="12" l="1" a="1"/>
  <c r="E24" i="12" s="1"/>
  <c r="CT24" i="12"/>
  <c r="CU24" i="12" s="1" a="1"/>
  <c r="CU24" i="12" s="1"/>
  <c r="H24" i="12" a="1"/>
  <c r="H24" i="12" s="1"/>
  <c r="AH24" i="12" a="1"/>
  <c r="AH24" i="12" s="1"/>
  <c r="B27" i="32"/>
  <c r="AC27" i="32" s="1"/>
  <c r="AG24" i="12"/>
  <c r="F24" i="12" s="1"/>
  <c r="G24" i="12" s="1"/>
  <c r="AJ24" i="12" s="1" a="1"/>
  <c r="AJ24" i="12" s="1"/>
  <c r="CR23" i="12"/>
  <c r="CS23" i="12" s="1" a="1"/>
  <c r="CS23" i="12" s="1"/>
  <c r="P25" i="12"/>
  <c r="J25" i="12"/>
  <c r="A201" i="28" a="1"/>
  <c r="A201" i="28" s="1"/>
  <c r="H202" i="28" a="1"/>
  <c r="H202" i="28" s="1"/>
  <c r="U27" i="32" l="1" a="1"/>
  <c r="U27" i="32" s="1"/>
  <c r="L25" i="12" a="1"/>
  <c r="L25" i="12" s="1"/>
  <c r="Q25" i="12" a="1"/>
  <c r="Q25" i="12" s="1"/>
  <c r="K25" i="12" s="1"/>
  <c r="M25" i="12" a="1"/>
  <c r="M25" i="12" s="1"/>
  <c r="C25" i="12" s="1" a="1"/>
  <c r="C25" i="12" s="1"/>
  <c r="R25" i="12" a="1"/>
  <c r="R25" i="12" s="1"/>
  <c r="S25" i="12" s="1"/>
  <c r="A202" i="28" a="1"/>
  <c r="A202" i="28" s="1"/>
  <c r="H203" i="28" a="1"/>
  <c r="H203" i="28" s="1"/>
  <c r="A203" i="28" s="1" a="1"/>
  <c r="A203" i="28" s="1"/>
  <c r="B25" i="12" l="1" a="1"/>
  <c r="B25" i="12" s="1"/>
  <c r="A25" i="12" s="1" a="1"/>
  <c r="A25" i="12" s="1"/>
  <c r="BH25" i="12"/>
  <c r="W25" i="12" a="1"/>
  <c r="W25" i="12" s="1"/>
  <c r="AB25" i="12" s="1"/>
  <c r="Z25" i="12" a="1"/>
  <c r="Z25" i="12" s="1"/>
  <c r="AE25" i="12" s="1"/>
  <c r="AA25" i="12" a="1"/>
  <c r="AA25" i="12" s="1"/>
  <c r="AF25" i="12" s="1"/>
  <c r="AI25" i="12"/>
  <c r="Y25" i="12" a="1"/>
  <c r="Y25" i="12" s="1"/>
  <c r="AD25" i="12" s="1"/>
  <c r="X25" i="12" a="1"/>
  <c r="X25" i="12" s="1"/>
  <c r="AC25" i="12" s="1"/>
  <c r="CQ25" i="12"/>
  <c r="I26" i="12" a="1"/>
  <c r="I26" i="12" s="1"/>
  <c r="T25" i="12" a="1"/>
  <c r="T25" i="12" s="1"/>
  <c r="D25" i="12" s="1"/>
  <c r="H204" i="28" a="1"/>
  <c r="H204" i="28" s="1"/>
  <c r="A204" i="28" s="1" a="1"/>
  <c r="A204" i="28" s="1"/>
  <c r="E25" i="12" l="1" a="1"/>
  <c r="E25" i="12" s="1"/>
  <c r="CT25" i="12"/>
  <c r="CU25" i="12" s="1" a="1"/>
  <c r="CU25" i="12" s="1"/>
  <c r="H25" i="12" a="1"/>
  <c r="H25" i="12" s="1"/>
  <c r="B28" i="32"/>
  <c r="AC28" i="32" s="1"/>
  <c r="AH25" i="12" a="1"/>
  <c r="AH25" i="12" s="1"/>
  <c r="P26" i="12"/>
  <c r="J26" i="12"/>
  <c r="CR24" i="12"/>
  <c r="CS24" i="12" s="1" a="1"/>
  <c r="CS24" i="12" s="1"/>
  <c r="AG25" i="12"/>
  <c r="F25" i="12" s="1"/>
  <c r="G25" i="12" s="1"/>
  <c r="AJ25" i="12" s="1" a="1"/>
  <c r="AJ25" i="12" s="1"/>
  <c r="H205" i="28" a="1"/>
  <c r="H205" i="28" s="1"/>
  <c r="A205" i="28" s="1" a="1"/>
  <c r="A205" i="28" s="1"/>
  <c r="U28" i="32" l="1" a="1"/>
  <c r="U28" i="32" s="1"/>
  <c r="L26" i="12" a="1"/>
  <c r="L26" i="12" s="1"/>
  <c r="M26" i="12" a="1"/>
  <c r="M26" i="12" s="1"/>
  <c r="C26" i="12" s="1" a="1"/>
  <c r="C26" i="12" s="1"/>
  <c r="R26" i="12" a="1"/>
  <c r="R26" i="12" s="1"/>
  <c r="S26" i="12" s="1"/>
  <c r="Q26" i="12" a="1"/>
  <c r="Q26" i="12" s="1"/>
  <c r="K26" i="12" s="1"/>
  <c r="H206" i="28" a="1"/>
  <c r="H206" i="28" s="1"/>
  <c r="A206" i="28" s="1" a="1"/>
  <c r="A206" i="28" s="1"/>
  <c r="B26" i="12" l="1" a="1"/>
  <c r="B26" i="12" s="1"/>
  <c r="A26" i="12" s="1" a="1"/>
  <c r="A26" i="12" s="1"/>
  <c r="T26" i="12" a="1"/>
  <c r="T26" i="12" s="1"/>
  <c r="D26" i="12" s="1"/>
  <c r="BH26" i="12"/>
  <c r="X26" i="12" a="1"/>
  <c r="X26" i="12" s="1"/>
  <c r="AC26" i="12" s="1"/>
  <c r="Z26" i="12" a="1"/>
  <c r="Z26" i="12" s="1"/>
  <c r="AE26" i="12" s="1"/>
  <c r="AA26" i="12" a="1"/>
  <c r="AA26" i="12" s="1"/>
  <c r="AF26" i="12" s="1"/>
  <c r="AI26" i="12"/>
  <c r="Y26" i="12" a="1"/>
  <c r="Y26" i="12" s="1"/>
  <c r="AD26" i="12" s="1"/>
  <c r="W26" i="12" a="1"/>
  <c r="W26" i="12" s="1"/>
  <c r="AB26" i="12" s="1"/>
  <c r="I27" i="12" a="1"/>
  <c r="I27" i="12" s="1"/>
  <c r="CQ26" i="12"/>
  <c r="H207" i="28" a="1"/>
  <c r="H207" i="28" s="1"/>
  <c r="A207" i="28" s="1" a="1"/>
  <c r="A207" i="28" s="1"/>
  <c r="E26" i="12" l="1" a="1"/>
  <c r="E26" i="12" s="1"/>
  <c r="CT26" i="12"/>
  <c r="CU26" i="12" s="1" a="1"/>
  <c r="CU26" i="12" s="1"/>
  <c r="AH26" i="12" a="1"/>
  <c r="AH26" i="12" s="1"/>
  <c r="H26" i="12" a="1"/>
  <c r="H26" i="12" s="1"/>
  <c r="B29" i="32"/>
  <c r="U29" i="32" s="1" a="1"/>
  <c r="U29" i="32" s="1"/>
  <c r="AG26" i="12"/>
  <c r="F26" i="12" s="1"/>
  <c r="G26" i="12" s="1"/>
  <c r="AJ26" i="12" s="1" a="1"/>
  <c r="AJ26" i="12" s="1"/>
  <c r="CR25" i="12"/>
  <c r="CS25" i="12" s="1" a="1"/>
  <c r="CS25" i="12" s="1"/>
  <c r="P27" i="12"/>
  <c r="J27" i="12"/>
  <c r="H208" i="28" a="1"/>
  <c r="H208" i="28" s="1"/>
  <c r="A208" i="28" s="1" a="1"/>
  <c r="A208" i="28" s="1"/>
  <c r="AC29" i="32" l="1"/>
  <c r="L27" i="12" a="1"/>
  <c r="L27" i="12" s="1"/>
  <c r="Q27" i="12" a="1"/>
  <c r="Q27" i="12" s="1"/>
  <c r="K27" i="12" s="1"/>
  <c r="M27" i="12" a="1"/>
  <c r="M27" i="12" s="1"/>
  <c r="C27" i="12" s="1" a="1"/>
  <c r="C27" i="12" s="1"/>
  <c r="R27" i="12" a="1"/>
  <c r="R27" i="12" s="1"/>
  <c r="S27" i="12" s="1"/>
  <c r="H209" i="28" a="1"/>
  <c r="H209" i="28" s="1"/>
  <c r="A209" i="28" s="1" a="1"/>
  <c r="A209" i="28" s="1"/>
  <c r="B27" i="12" l="1" a="1"/>
  <c r="B27" i="12" s="1"/>
  <c r="A27" i="12" s="1" a="1"/>
  <c r="A27" i="12" s="1"/>
  <c r="CQ27" i="12"/>
  <c r="I28" i="12" a="1"/>
  <c r="I28" i="12" s="1"/>
  <c r="T27" i="12" a="1"/>
  <c r="T27" i="12" s="1"/>
  <c r="D27" i="12" s="1"/>
  <c r="BH27" i="12"/>
  <c r="AI27" i="12"/>
  <c r="X27" i="12" a="1"/>
  <c r="X27" i="12" s="1"/>
  <c r="AC27" i="12" s="1"/>
  <c r="W27" i="12" a="1"/>
  <c r="W27" i="12" s="1"/>
  <c r="AB27" i="12" s="1"/>
  <c r="Y27" i="12" a="1"/>
  <c r="Y27" i="12" s="1"/>
  <c r="AD27" i="12" s="1"/>
  <c r="AA27" i="12" a="1"/>
  <c r="AA27" i="12" s="1"/>
  <c r="AF27" i="12" s="1"/>
  <c r="Z27" i="12" a="1"/>
  <c r="Z27" i="12" s="1"/>
  <c r="AE27" i="12" s="1"/>
  <c r="H210" i="28" a="1"/>
  <c r="H210" i="28" s="1"/>
  <c r="A210" i="28" s="1" a="1"/>
  <c r="A210" i="28" s="1"/>
  <c r="E27" i="12" l="1" a="1"/>
  <c r="E27" i="12" s="1"/>
  <c r="AH27" i="12" a="1"/>
  <c r="AH27" i="12" s="1"/>
  <c r="B30" i="32"/>
  <c r="AC30" i="32" s="1"/>
  <c r="CT27" i="12"/>
  <c r="CU27" i="12" s="1" a="1"/>
  <c r="CU27" i="12" s="1"/>
  <c r="H27" i="12" a="1"/>
  <c r="H27" i="12" s="1"/>
  <c r="AG27" i="12"/>
  <c r="F27" i="12" s="1"/>
  <c r="G27" i="12" s="1"/>
  <c r="AJ27" i="12" s="1" a="1"/>
  <c r="AJ27" i="12" s="1"/>
  <c r="J28" i="12"/>
  <c r="P28" i="12"/>
  <c r="CR26" i="12"/>
  <c r="CS26" i="12" s="1" a="1"/>
  <c r="CS26" i="12" s="1"/>
  <c r="H211" i="28" a="1"/>
  <c r="H211" i="28" s="1"/>
  <c r="A211" i="28" s="1" a="1"/>
  <c r="A211" i="28" s="1"/>
  <c r="U30" i="32" l="1" a="1"/>
  <c r="U30" i="32" s="1"/>
  <c r="L28" i="12" a="1"/>
  <c r="L28" i="12" s="1"/>
  <c r="Q28" i="12" a="1"/>
  <c r="Q28" i="12" s="1"/>
  <c r="K28" i="12" s="1"/>
  <c r="M28" i="12" a="1"/>
  <c r="M28" i="12" s="1"/>
  <c r="C28" i="12" s="1" a="1"/>
  <c r="C28" i="12" s="1"/>
  <c r="R28" i="12" a="1"/>
  <c r="R28" i="12" s="1"/>
  <c r="S28" i="12" s="1"/>
  <c r="H212" i="28" a="1"/>
  <c r="H212" i="28" s="1"/>
  <c r="A212" i="28" s="1" a="1"/>
  <c r="A212" i="28" s="1"/>
  <c r="B28" i="12" l="1" a="1"/>
  <c r="B28" i="12" s="1"/>
  <c r="A28" i="12" s="1" a="1"/>
  <c r="A28" i="12" s="1"/>
  <c r="BH28" i="12"/>
  <c r="W28" i="12" a="1"/>
  <c r="W28" i="12" s="1"/>
  <c r="AB28" i="12" s="1"/>
  <c r="X28" i="12" a="1"/>
  <c r="X28" i="12" s="1"/>
  <c r="AC28" i="12" s="1"/>
  <c r="AI28" i="12"/>
  <c r="Y28" i="12" a="1"/>
  <c r="Y28" i="12" s="1"/>
  <c r="AD28" i="12" s="1"/>
  <c r="Z28" i="12" a="1"/>
  <c r="Z28" i="12" s="1"/>
  <c r="AE28" i="12" s="1"/>
  <c r="AA28" i="12" a="1"/>
  <c r="AA28" i="12" s="1"/>
  <c r="AF28" i="12" s="1"/>
  <c r="I29" i="12" a="1"/>
  <c r="I29" i="12" s="1"/>
  <c r="CQ28" i="12"/>
  <c r="T28" i="12" a="1"/>
  <c r="T28" i="12" s="1"/>
  <c r="D28" i="12" s="1"/>
  <c r="H213" i="28" a="1"/>
  <c r="H213" i="28" s="1"/>
  <c r="A213" i="28" s="1" a="1"/>
  <c r="A213" i="28" s="1"/>
  <c r="E28" i="12" l="1" a="1"/>
  <c r="E28" i="12" s="1"/>
  <c r="H28" i="12" a="1"/>
  <c r="H28" i="12" s="1"/>
  <c r="B31" i="32"/>
  <c r="U31" i="32" s="1" a="1"/>
  <c r="U31" i="32" s="1"/>
  <c r="CT28" i="12"/>
  <c r="CU28" i="12" s="1" a="1"/>
  <c r="CU28" i="12" s="1"/>
  <c r="AH28" i="12" a="1"/>
  <c r="AH28" i="12" s="1"/>
  <c r="CR27" i="12"/>
  <c r="CS27" i="12" s="1" a="1"/>
  <c r="CS27" i="12" s="1"/>
  <c r="J29" i="12"/>
  <c r="P29" i="12"/>
  <c r="AG28" i="12"/>
  <c r="F28" i="12" s="1"/>
  <c r="G28" i="12" s="1"/>
  <c r="AJ28" i="12" s="1" a="1"/>
  <c r="AJ28" i="12" s="1"/>
  <c r="H214" i="28" a="1"/>
  <c r="H214" i="28" s="1"/>
  <c r="A214" i="28" s="1" a="1"/>
  <c r="A214" i="28" s="1"/>
  <c r="AC31" i="32" l="1"/>
  <c r="M29" i="12" a="1"/>
  <c r="M29" i="12" s="1"/>
  <c r="C29" i="12" s="1" a="1"/>
  <c r="C29" i="12" s="1"/>
  <c r="L29" i="12" a="1"/>
  <c r="L29" i="12" s="1"/>
  <c r="Q29" i="12" a="1"/>
  <c r="Q29" i="12" s="1"/>
  <c r="K29" i="12" s="1"/>
  <c r="R29" i="12" a="1"/>
  <c r="R29" i="12" s="1"/>
  <c r="S29" i="12" s="1"/>
  <c r="H215" i="28" a="1"/>
  <c r="H215" i="28" s="1"/>
  <c r="A215" i="28" s="1" a="1"/>
  <c r="A215" i="28" s="1"/>
  <c r="M9" i="24"/>
  <c r="B29" i="12" l="1" a="1"/>
  <c r="B29" i="12" s="1"/>
  <c r="A29" i="12" s="1" a="1"/>
  <c r="A29" i="12" s="1"/>
  <c r="I30" i="12" a="1"/>
  <c r="I30" i="12" s="1"/>
  <c r="CQ29" i="12"/>
  <c r="BH29" i="12"/>
  <c r="AA29" i="12" a="1"/>
  <c r="AA29" i="12" s="1"/>
  <c r="AF29" i="12" s="1"/>
  <c r="W29" i="12" a="1"/>
  <c r="W29" i="12" s="1"/>
  <c r="AB29" i="12" s="1"/>
  <c r="AI29" i="12"/>
  <c r="Z29" i="12" a="1"/>
  <c r="Z29" i="12" s="1"/>
  <c r="AE29" i="12" s="1"/>
  <c r="X29" i="12" a="1"/>
  <c r="X29" i="12" s="1"/>
  <c r="AC29" i="12" s="1"/>
  <c r="Y29" i="12" a="1"/>
  <c r="Y29" i="12" s="1"/>
  <c r="AD29" i="12" s="1"/>
  <c r="T29" i="12" a="1"/>
  <c r="T29" i="12" s="1"/>
  <c r="D29" i="12" s="1"/>
  <c r="H216" i="28" a="1"/>
  <c r="H216" i="28" s="1"/>
  <c r="H217" i="28" s="1" a="1"/>
  <c r="H217" i="28" s="1"/>
  <c r="N9" i="24"/>
  <c r="P9" i="24"/>
  <c r="E29" i="12" l="1" a="1"/>
  <c r="E29" i="12" s="1"/>
  <c r="B32" i="32"/>
  <c r="U32" i="32" s="1" a="1"/>
  <c r="U32" i="32" s="1"/>
  <c r="H29" i="12" a="1"/>
  <c r="H29" i="12" s="1"/>
  <c r="AH29" i="12" a="1"/>
  <c r="AH29" i="12" s="1"/>
  <c r="CT29" i="12"/>
  <c r="CU29" i="12" s="1" a="1"/>
  <c r="CU29" i="12" s="1"/>
  <c r="AG29" i="12"/>
  <c r="F29" i="12" s="1"/>
  <c r="G29" i="12" s="1"/>
  <c r="AJ29" i="12" s="1" a="1"/>
  <c r="AJ29" i="12" s="1"/>
  <c r="CR28" i="12"/>
  <c r="CS28" i="12" s="1" a="1"/>
  <c r="CS28" i="12" s="1"/>
  <c r="J30" i="12"/>
  <c r="P30" i="12"/>
  <c r="A216" i="28" a="1"/>
  <c r="A216" i="28" s="1"/>
  <c r="A217" i="28" a="1"/>
  <c r="A217" i="28" s="1"/>
  <c r="H218" i="28" a="1"/>
  <c r="H218" i="28" s="1"/>
  <c r="AC32" i="32" l="1"/>
  <c r="M30" i="12" a="1"/>
  <c r="M30" i="12" s="1"/>
  <c r="C30" i="12" s="1" a="1"/>
  <c r="C30" i="12" s="1"/>
  <c r="R30" i="12" a="1"/>
  <c r="R30" i="12" s="1"/>
  <c r="S30" i="12" s="1"/>
  <c r="L30" i="12" a="1"/>
  <c r="L30" i="12" s="1"/>
  <c r="Q30" i="12" a="1"/>
  <c r="Q30" i="12" s="1"/>
  <c r="K30" i="12" s="1"/>
  <c r="A218" i="28" a="1"/>
  <c r="A218" i="28" s="1"/>
  <c r="H219" i="28" a="1"/>
  <c r="H219" i="28" s="1"/>
  <c r="B30" i="12" l="1" a="1"/>
  <c r="B30" i="12" s="1"/>
  <c r="A30" i="12" s="1" a="1"/>
  <c r="A30" i="12" s="1"/>
  <c r="BH30" i="12"/>
  <c r="AA30" i="12" a="1"/>
  <c r="AA30" i="12" s="1"/>
  <c r="AF30" i="12" s="1"/>
  <c r="W30" i="12" a="1"/>
  <c r="W30" i="12" s="1"/>
  <c r="AB30" i="12" s="1"/>
  <c r="Z30" i="12" a="1"/>
  <c r="Z30" i="12" s="1"/>
  <c r="AE30" i="12" s="1"/>
  <c r="AI30" i="12"/>
  <c r="X30" i="12" a="1"/>
  <c r="X30" i="12" s="1"/>
  <c r="AC30" i="12" s="1"/>
  <c r="Y30" i="12" a="1"/>
  <c r="Y30" i="12" s="1"/>
  <c r="AD30" i="12" s="1"/>
  <c r="I31" i="12" a="1"/>
  <c r="I31" i="12" s="1"/>
  <c r="CQ30" i="12"/>
  <c r="T30" i="12" a="1"/>
  <c r="T30" i="12" s="1"/>
  <c r="D30" i="12" s="1"/>
  <c r="A219" i="28" a="1"/>
  <c r="A219" i="28" s="1"/>
  <c r="H220" i="28" a="1"/>
  <c r="H220" i="28" s="1"/>
  <c r="E30" i="12" l="1" a="1"/>
  <c r="E30" i="12" s="1"/>
  <c r="CT30" i="12"/>
  <c r="CU30" i="12" s="1" a="1"/>
  <c r="CU30" i="12" s="1"/>
  <c r="B33" i="32"/>
  <c r="AC33" i="32" s="1"/>
  <c r="AH30" i="12" a="1"/>
  <c r="AH30" i="12" s="1"/>
  <c r="H30" i="12" a="1"/>
  <c r="H30" i="12" s="1"/>
  <c r="P31" i="12"/>
  <c r="J31" i="12"/>
  <c r="CR29" i="12"/>
  <c r="CS29" i="12" s="1" a="1"/>
  <c r="CS29" i="12" s="1"/>
  <c r="AG30" i="12"/>
  <c r="F30" i="12" s="1"/>
  <c r="G30" i="12" s="1"/>
  <c r="AJ30" i="12" s="1" a="1"/>
  <c r="AJ30" i="12" s="1"/>
  <c r="H221" i="28" a="1"/>
  <c r="H221" i="28" s="1"/>
  <c r="A221" i="28" s="1" a="1"/>
  <c r="A221" i="28" s="1"/>
  <c r="A220" i="28" a="1"/>
  <c r="A220" i="28" s="1"/>
  <c r="U33" i="32" l="1" a="1"/>
  <c r="U33" i="32" s="1"/>
  <c r="L31" i="12" a="1"/>
  <c r="L31" i="12" s="1"/>
  <c r="Q31" i="12" a="1"/>
  <c r="Q31" i="12" s="1"/>
  <c r="K31" i="12" s="1"/>
  <c r="M31" i="12" a="1"/>
  <c r="M31" i="12" s="1"/>
  <c r="C31" i="12" s="1" a="1"/>
  <c r="C31" i="12" s="1"/>
  <c r="R31" i="12" a="1"/>
  <c r="R31" i="12" s="1"/>
  <c r="S31" i="12" s="1"/>
  <c r="H222" i="28" a="1"/>
  <c r="H222" i="28" s="1"/>
  <c r="A222" i="28" s="1" a="1"/>
  <c r="A222" i="28" s="1"/>
  <c r="B31" i="12" l="1" a="1"/>
  <c r="B31" i="12" s="1"/>
  <c r="A31" i="12" s="1" a="1"/>
  <c r="A31" i="12" s="1"/>
  <c r="BH31" i="12"/>
  <c r="AI31" i="12"/>
  <c r="X31" i="12" a="1"/>
  <c r="X31" i="12" s="1"/>
  <c r="AC31" i="12" s="1"/>
  <c r="Y31" i="12" a="1"/>
  <c r="Y31" i="12" s="1"/>
  <c r="AD31" i="12" s="1"/>
  <c r="W31" i="12" a="1"/>
  <c r="W31" i="12" s="1"/>
  <c r="AB31" i="12" s="1"/>
  <c r="Z31" i="12" a="1"/>
  <c r="Z31" i="12" s="1"/>
  <c r="AE31" i="12" s="1"/>
  <c r="AA31" i="12" a="1"/>
  <c r="AA31" i="12" s="1"/>
  <c r="AF31" i="12" s="1"/>
  <c r="I32" i="12" a="1"/>
  <c r="I32" i="12" s="1"/>
  <c r="CQ31" i="12"/>
  <c r="T31" i="12" a="1"/>
  <c r="T31" i="12" s="1"/>
  <c r="D31" i="12" s="1"/>
  <c r="H223" i="28" a="1"/>
  <c r="H223" i="28" s="1"/>
  <c r="A223" i="28" s="1" a="1"/>
  <c r="A223" i="28" s="1"/>
  <c r="E31" i="12" l="1" a="1"/>
  <c r="E31" i="12" s="1"/>
  <c r="AH31" i="12" a="1"/>
  <c r="AH31" i="12" s="1"/>
  <c r="B34" i="32"/>
  <c r="AC34" i="32" s="1"/>
  <c r="CT31" i="12"/>
  <c r="CU31" i="12" s="1" a="1"/>
  <c r="CU31" i="12" s="1"/>
  <c r="H31" i="12" a="1"/>
  <c r="H31" i="12" s="1"/>
  <c r="CR30" i="12"/>
  <c r="CS30" i="12" s="1" a="1"/>
  <c r="CS30" i="12" s="1"/>
  <c r="P32" i="12"/>
  <c r="J32" i="12"/>
  <c r="AG31" i="12"/>
  <c r="F31" i="12" s="1"/>
  <c r="G31" i="12" s="1"/>
  <c r="AJ31" i="12" s="1" a="1"/>
  <c r="AJ31" i="12" s="1"/>
  <c r="H224" i="28" a="1"/>
  <c r="H224" i="28" s="1"/>
  <c r="U34" i="32" l="1" a="1"/>
  <c r="U34" i="32" s="1"/>
  <c r="R32" i="12" a="1"/>
  <c r="R32" i="12" s="1"/>
  <c r="S32" i="12" s="1"/>
  <c r="L32" i="12" a="1"/>
  <c r="L32" i="12" s="1"/>
  <c r="Q32" i="12" a="1"/>
  <c r="Q32" i="12" s="1"/>
  <c r="K32" i="12" s="1"/>
  <c r="M32" i="12" a="1"/>
  <c r="M32" i="12" s="1"/>
  <c r="C32" i="12" s="1" a="1"/>
  <c r="C32" i="12" s="1"/>
  <c r="A224" i="28" a="1"/>
  <c r="A224" i="28" s="1"/>
  <c r="H225" i="28" a="1"/>
  <c r="H225" i="28" s="1"/>
  <c r="B32" i="12" l="1" a="1"/>
  <c r="B32" i="12" s="1"/>
  <c r="A32" i="12" s="1" a="1"/>
  <c r="A32" i="12" s="1"/>
  <c r="T32" i="12" a="1"/>
  <c r="T32" i="12" s="1"/>
  <c r="D32" i="12" s="1"/>
  <c r="BH32" i="12"/>
  <c r="X32" i="12" a="1"/>
  <c r="X32" i="12" s="1"/>
  <c r="AC32" i="12" s="1"/>
  <c r="W32" i="12" a="1"/>
  <c r="W32" i="12" s="1"/>
  <c r="AB32" i="12" s="1"/>
  <c r="Y32" i="12" a="1"/>
  <c r="Y32" i="12" s="1"/>
  <c r="AD32" i="12" s="1"/>
  <c r="AI32" i="12"/>
  <c r="Z32" i="12" a="1"/>
  <c r="Z32" i="12" s="1"/>
  <c r="AE32" i="12" s="1"/>
  <c r="AA32" i="12" a="1"/>
  <c r="AA32" i="12" s="1"/>
  <c r="AF32" i="12" s="1"/>
  <c r="CQ32" i="12"/>
  <c r="I33" i="12" a="1"/>
  <c r="I33" i="12" s="1"/>
  <c r="H226" i="28" a="1"/>
  <c r="H226" i="28" s="1"/>
  <c r="A225" i="28" a="1"/>
  <c r="A225" i="28" s="1"/>
  <c r="E32" i="12" l="1" a="1"/>
  <c r="E32" i="12" s="1"/>
  <c r="H32" i="12" a="1"/>
  <c r="H32" i="12" s="1"/>
  <c r="B35" i="32"/>
  <c r="AC35" i="32" s="1"/>
  <c r="AH32" i="12" a="1"/>
  <c r="AH32" i="12" s="1"/>
  <c r="CT32" i="12"/>
  <c r="CU32" i="12" s="1" a="1"/>
  <c r="CU32" i="12" s="1"/>
  <c r="CR31" i="12"/>
  <c r="CS31" i="12" s="1" a="1"/>
  <c r="CS31" i="12" s="1"/>
  <c r="AG32" i="12"/>
  <c r="F32" i="12" s="1"/>
  <c r="G32" i="12" s="1"/>
  <c r="AJ32" i="12" s="1" a="1"/>
  <c r="AJ32" i="12" s="1"/>
  <c r="P33" i="12"/>
  <c r="J33" i="12"/>
  <c r="H227" i="28" a="1"/>
  <c r="H227" i="28" s="1"/>
  <c r="H228" i="28" s="1" a="1"/>
  <c r="H228" i="28" s="1"/>
  <c r="H229" i="28" s="1" a="1"/>
  <c r="H229" i="28" s="1"/>
  <c r="A226" i="28" a="1"/>
  <c r="A226" i="28" s="1"/>
  <c r="U35" i="32" l="1" a="1"/>
  <c r="U35" i="32" s="1"/>
  <c r="M33" i="12" a="1"/>
  <c r="M33" i="12" s="1"/>
  <c r="C33" i="12" s="1" a="1"/>
  <c r="C33" i="12" s="1"/>
  <c r="L33" i="12" a="1"/>
  <c r="L33" i="12" s="1"/>
  <c r="Q33" i="12" a="1"/>
  <c r="Q33" i="12" s="1"/>
  <c r="K33" i="12" s="1"/>
  <c r="R33" i="12" a="1"/>
  <c r="R33" i="12" s="1"/>
  <c r="S33" i="12" s="1"/>
  <c r="A228" i="28" a="1"/>
  <c r="A228" i="28" s="1"/>
  <c r="A227" i="28" a="1"/>
  <c r="A227" i="28" s="1"/>
  <c r="H230" i="28" a="1"/>
  <c r="H230" i="28" s="1"/>
  <c r="A229" i="28" a="1"/>
  <c r="A229" i="28" s="1"/>
  <c r="B33" i="12" l="1" a="1"/>
  <c r="B33" i="12" s="1"/>
  <c r="A33" i="12" s="1" a="1"/>
  <c r="A33" i="12" s="1"/>
  <c r="BH33" i="12"/>
  <c r="Y33" i="12" a="1"/>
  <c r="Y33" i="12" s="1"/>
  <c r="AD33" i="12" s="1"/>
  <c r="X33" i="12" a="1"/>
  <c r="X33" i="12" s="1"/>
  <c r="AC33" i="12" s="1"/>
  <c r="W33" i="12" a="1"/>
  <c r="W33" i="12" s="1"/>
  <c r="AB33" i="12" s="1"/>
  <c r="Z33" i="12" a="1"/>
  <c r="Z33" i="12" s="1"/>
  <c r="AE33" i="12" s="1"/>
  <c r="AA33" i="12" a="1"/>
  <c r="AA33" i="12" s="1"/>
  <c r="AF33" i="12" s="1"/>
  <c r="AI33" i="12"/>
  <c r="CQ33" i="12"/>
  <c r="I34" i="12" a="1"/>
  <c r="I34" i="12" s="1"/>
  <c r="T33" i="12" a="1"/>
  <c r="T33" i="12" s="1"/>
  <c r="D33" i="12" s="1"/>
  <c r="H231" i="28" a="1"/>
  <c r="H231" i="28" s="1"/>
  <c r="A230" i="28" a="1"/>
  <c r="A230" i="28" s="1"/>
  <c r="E33" i="12" l="1" a="1"/>
  <c r="E33" i="12" s="1"/>
  <c r="CT33" i="12"/>
  <c r="CU33" i="12" s="1" a="1"/>
  <c r="CU33" i="12" s="1"/>
  <c r="AH33" i="12" a="1"/>
  <c r="AH33" i="12" s="1"/>
  <c r="H33" i="12" a="1"/>
  <c r="H33" i="12" s="1"/>
  <c r="B36" i="32"/>
  <c r="AC36" i="32" s="1"/>
  <c r="AG33" i="12"/>
  <c r="F33" i="12" s="1"/>
  <c r="G33" i="12" s="1"/>
  <c r="AJ33" i="12" s="1" a="1"/>
  <c r="AJ33" i="12" s="1"/>
  <c r="J34" i="12"/>
  <c r="P34" i="12"/>
  <c r="CR32" i="12"/>
  <c r="CS32" i="12" s="1" a="1"/>
  <c r="CS32" i="12" s="1"/>
  <c r="H232" i="28" a="1"/>
  <c r="H232" i="28" s="1"/>
  <c r="A231" i="28" a="1"/>
  <c r="A231" i="28" s="1"/>
  <c r="U36" i="32" l="1" a="1"/>
  <c r="U36" i="32" s="1"/>
  <c r="L34" i="12" a="1"/>
  <c r="L34" i="12" s="1"/>
  <c r="Q34" i="12" a="1"/>
  <c r="Q34" i="12" s="1"/>
  <c r="K34" i="12" s="1"/>
  <c r="M34" i="12" a="1"/>
  <c r="M34" i="12" s="1"/>
  <c r="C34" i="12" s="1" a="1"/>
  <c r="C34" i="12" s="1"/>
  <c r="R34" i="12" a="1"/>
  <c r="R34" i="12" s="1"/>
  <c r="S34" i="12" s="1"/>
  <c r="H233" i="28" a="1"/>
  <c r="H233" i="28" s="1"/>
  <c r="A232" i="28" a="1"/>
  <c r="A232" i="28" s="1"/>
  <c r="B34" i="12" l="1" a="1"/>
  <c r="B34" i="12" s="1"/>
  <c r="A34" i="12" s="1" a="1"/>
  <c r="A34" i="12" s="1"/>
  <c r="T34" i="12" a="1"/>
  <c r="T34" i="12" s="1"/>
  <c r="D34" i="12" s="1"/>
  <c r="CQ34" i="12"/>
  <c r="I35" i="12" a="1"/>
  <c r="I35" i="12" s="1"/>
  <c r="BH34" i="12"/>
  <c r="AA34" i="12" a="1"/>
  <c r="AA34" i="12" s="1"/>
  <c r="AF34" i="12" s="1"/>
  <c r="X34" i="12" a="1"/>
  <c r="X34" i="12" s="1"/>
  <c r="AC34" i="12" s="1"/>
  <c r="Y34" i="12" a="1"/>
  <c r="Y34" i="12" s="1"/>
  <c r="AD34" i="12" s="1"/>
  <c r="Z34" i="12" a="1"/>
  <c r="Z34" i="12" s="1"/>
  <c r="AE34" i="12" s="1"/>
  <c r="W34" i="12" a="1"/>
  <c r="W34" i="12" s="1"/>
  <c r="AB34" i="12" s="1"/>
  <c r="AI34" i="12"/>
  <c r="H234" i="28" a="1"/>
  <c r="H234" i="28" s="1"/>
  <c r="A234" i="28" s="1" a="1"/>
  <c r="A234" i="28" s="1"/>
  <c r="A233" i="28" a="1"/>
  <c r="A233" i="28" s="1"/>
  <c r="E34" i="12" l="1" a="1"/>
  <c r="E34" i="12" s="1"/>
  <c r="CT34" i="12"/>
  <c r="CU34" i="12" s="1" a="1"/>
  <c r="CU34" i="12" s="1"/>
  <c r="B37" i="32"/>
  <c r="AC37" i="32" s="1"/>
  <c r="AH34" i="12" a="1"/>
  <c r="AH34" i="12" s="1"/>
  <c r="H34" i="12" a="1"/>
  <c r="H34" i="12" s="1"/>
  <c r="AG34" i="12"/>
  <c r="F34" i="12" s="1"/>
  <c r="G34" i="12" s="1"/>
  <c r="AJ34" i="12" s="1" a="1"/>
  <c r="AJ34" i="12" s="1"/>
  <c r="P35" i="12"/>
  <c r="J35" i="12"/>
  <c r="CR33" i="12"/>
  <c r="CS33" i="12" s="1" a="1"/>
  <c r="CS33" i="12" s="1"/>
  <c r="H235" i="28" a="1"/>
  <c r="H235" i="28" s="1"/>
  <c r="U37" i="32" l="1" a="1"/>
  <c r="U37" i="32" s="1"/>
  <c r="Q35" i="12" a="1"/>
  <c r="Q35" i="12" s="1"/>
  <c r="K35" i="12" s="1"/>
  <c r="R35" i="12" a="1"/>
  <c r="R35" i="12" s="1"/>
  <c r="S35" i="12" s="1"/>
  <c r="L35" i="12" a="1"/>
  <c r="L35" i="12" s="1"/>
  <c r="M35" i="12" a="1"/>
  <c r="M35" i="12" s="1"/>
  <c r="C35" i="12" s="1" a="1"/>
  <c r="C35" i="12" s="1"/>
  <c r="H236" i="28" a="1"/>
  <c r="H236" i="28" s="1"/>
  <c r="A235" i="28" a="1"/>
  <c r="A235" i="28" s="1"/>
  <c r="B35" i="12" l="1" a="1"/>
  <c r="B35" i="12" s="1"/>
  <c r="A35" i="12" s="1" a="1"/>
  <c r="A35" i="12" s="1"/>
  <c r="T35" i="12" a="1"/>
  <c r="T35" i="12" s="1"/>
  <c r="D35" i="12" s="1"/>
  <c r="I36" i="12" a="1"/>
  <c r="I36" i="12" s="1"/>
  <c r="CQ35" i="12"/>
  <c r="BH35" i="12"/>
  <c r="AA35" i="12" a="1"/>
  <c r="AA35" i="12" s="1"/>
  <c r="AF35" i="12" s="1"/>
  <c r="W35" i="12" a="1"/>
  <c r="W35" i="12" s="1"/>
  <c r="AB35" i="12" s="1"/>
  <c r="X35" i="12" a="1"/>
  <c r="X35" i="12" s="1"/>
  <c r="AC35" i="12" s="1"/>
  <c r="Y35" i="12" a="1"/>
  <c r="Y35" i="12" s="1"/>
  <c r="AD35" i="12" s="1"/>
  <c r="AI35" i="12"/>
  <c r="Z35" i="12" a="1"/>
  <c r="Z35" i="12" s="1"/>
  <c r="AE35" i="12" s="1"/>
  <c r="H237" i="28" a="1"/>
  <c r="H237" i="28" s="1"/>
  <c r="A236" i="28" a="1"/>
  <c r="A236" i="28" s="1"/>
  <c r="E35" i="12" l="1" a="1"/>
  <c r="E35" i="12" s="1"/>
  <c r="B38" i="32"/>
  <c r="U38" i="32" s="1" a="1"/>
  <c r="U38" i="32" s="1"/>
  <c r="AH35" i="12" a="1"/>
  <c r="AH35" i="12" s="1"/>
  <c r="H35" i="12" a="1"/>
  <c r="H35" i="12" s="1"/>
  <c r="CT35" i="12"/>
  <c r="CU35" i="12" s="1" a="1"/>
  <c r="CU35" i="12" s="1"/>
  <c r="AG35" i="12"/>
  <c r="F35" i="12" s="1"/>
  <c r="G35" i="12" s="1"/>
  <c r="AJ35" i="12" s="1" a="1"/>
  <c r="AJ35" i="12" s="1"/>
  <c r="P36" i="12"/>
  <c r="J36" i="12"/>
  <c r="CR34" i="12"/>
  <c r="CS34" i="12" s="1" a="1"/>
  <c r="CS34" i="12" s="1"/>
  <c r="H238" i="28" a="1"/>
  <c r="H238" i="28" s="1"/>
  <c r="A237" i="28" a="1"/>
  <c r="A237" i="28" s="1"/>
  <c r="AC38" i="32" l="1"/>
  <c r="M36" i="12" a="1"/>
  <c r="M36" i="12" s="1"/>
  <c r="C36" i="12" s="1" a="1"/>
  <c r="C36" i="12" s="1"/>
  <c r="R36" i="12" a="1"/>
  <c r="R36" i="12" s="1"/>
  <c r="S36" i="12" s="1"/>
  <c r="L36" i="12" a="1"/>
  <c r="L36" i="12" s="1"/>
  <c r="Q36" i="12" a="1"/>
  <c r="Q36" i="12" s="1"/>
  <c r="K36" i="12" s="1"/>
  <c r="H239" i="28" a="1"/>
  <c r="H239" i="28" s="1"/>
  <c r="A238" i="28" a="1"/>
  <c r="A238" i="28" s="1"/>
  <c r="B36" i="12" l="1" a="1"/>
  <c r="B36" i="12" s="1"/>
  <c r="A36" i="12" s="1" a="1"/>
  <c r="A36" i="12" s="1"/>
  <c r="BH36" i="12"/>
  <c r="AI36" i="12"/>
  <c r="Z36" i="12" a="1"/>
  <c r="Z36" i="12" s="1"/>
  <c r="AE36" i="12" s="1"/>
  <c r="Y36" i="12" a="1"/>
  <c r="Y36" i="12" s="1"/>
  <c r="AD36" i="12" s="1"/>
  <c r="X36" i="12" a="1"/>
  <c r="X36" i="12" s="1"/>
  <c r="AC36" i="12" s="1"/>
  <c r="AA36" i="12" a="1"/>
  <c r="AA36" i="12" s="1"/>
  <c r="AF36" i="12" s="1"/>
  <c r="W36" i="12" a="1"/>
  <c r="W36" i="12" s="1"/>
  <c r="AB36" i="12" s="1"/>
  <c r="I37" i="12" a="1"/>
  <c r="I37" i="12" s="1"/>
  <c r="CQ36" i="12"/>
  <c r="T36" i="12" a="1"/>
  <c r="T36" i="12" s="1"/>
  <c r="D36" i="12" s="1"/>
  <c r="H240" i="28" a="1"/>
  <c r="H240" i="28" s="1"/>
  <c r="A239" i="28" a="1"/>
  <c r="A239" i="28" s="1"/>
  <c r="E36" i="12" l="1" a="1"/>
  <c r="E36" i="12" s="1"/>
  <c r="CT36" i="12"/>
  <c r="CU36" i="12" s="1" a="1"/>
  <c r="CU36" i="12" s="1"/>
  <c r="B39" i="32"/>
  <c r="AC39" i="32" s="1"/>
  <c r="H36" i="12" a="1"/>
  <c r="H36" i="12" s="1"/>
  <c r="AH36" i="12" a="1"/>
  <c r="AH36" i="12" s="1"/>
  <c r="P37" i="12"/>
  <c r="J37" i="12"/>
  <c r="AG36" i="12"/>
  <c r="F36" i="12" s="1"/>
  <c r="G36" i="12" s="1"/>
  <c r="AJ36" i="12" s="1" a="1"/>
  <c r="AJ36" i="12" s="1"/>
  <c r="CR35" i="12"/>
  <c r="CS35" i="12" s="1" a="1"/>
  <c r="CS35" i="12" s="1"/>
  <c r="H241" i="28" a="1"/>
  <c r="H241" i="28" s="1"/>
  <c r="A240" i="28" a="1"/>
  <c r="A240" i="28" s="1"/>
  <c r="U39" i="32" l="1" a="1"/>
  <c r="U39" i="32" s="1"/>
  <c r="L37" i="12" a="1"/>
  <c r="L37" i="12" s="1"/>
  <c r="Q37" i="12" a="1"/>
  <c r="Q37" i="12" s="1"/>
  <c r="K37" i="12" s="1"/>
  <c r="M37" i="12" a="1"/>
  <c r="M37" i="12" s="1"/>
  <c r="C37" i="12" s="1" a="1"/>
  <c r="C37" i="12" s="1"/>
  <c r="R37" i="12" a="1"/>
  <c r="R37" i="12" s="1"/>
  <c r="S37" i="12" s="1"/>
  <c r="H242" i="28" a="1"/>
  <c r="H242" i="28" s="1"/>
  <c r="A241" i="28" a="1"/>
  <c r="A241" i="28" s="1"/>
  <c r="B37" i="12" l="1" a="1"/>
  <c r="B37" i="12" s="1"/>
  <c r="A37" i="12" s="1" a="1"/>
  <c r="A37" i="12" s="1"/>
  <c r="BH37" i="12"/>
  <c r="Y37" i="12" a="1"/>
  <c r="Y37" i="12" s="1"/>
  <c r="AD37" i="12" s="1"/>
  <c r="AI37" i="12"/>
  <c r="Z37" i="12" a="1"/>
  <c r="Z37" i="12" s="1"/>
  <c r="AE37" i="12" s="1"/>
  <c r="AA37" i="12" a="1"/>
  <c r="AA37" i="12" s="1"/>
  <c r="AF37" i="12" s="1"/>
  <c r="W37" i="12" a="1"/>
  <c r="W37" i="12" s="1"/>
  <c r="AB37" i="12" s="1"/>
  <c r="X37" i="12" a="1"/>
  <c r="X37" i="12" s="1"/>
  <c r="AC37" i="12" s="1"/>
  <c r="CQ37" i="12"/>
  <c r="I38" i="12" a="1"/>
  <c r="I38" i="12" s="1"/>
  <c r="T37" i="12" a="1"/>
  <c r="T37" i="12" s="1"/>
  <c r="D37" i="12" s="1"/>
  <c r="H243" i="28" a="1"/>
  <c r="H243" i="28" s="1"/>
  <c r="A242" i="28" a="1"/>
  <c r="A242" i="28" s="1"/>
  <c r="E37" i="12" l="1" a="1"/>
  <c r="E37" i="12" s="1"/>
  <c r="CT37" i="12"/>
  <c r="CU37" i="12" s="1" a="1"/>
  <c r="CU37" i="12" s="1"/>
  <c r="H37" i="12" a="1"/>
  <c r="H37" i="12" s="1"/>
  <c r="B40" i="32"/>
  <c r="U40" i="32" s="1" a="1"/>
  <c r="U40" i="32" s="1"/>
  <c r="AH37" i="12" a="1"/>
  <c r="AH37" i="12" s="1"/>
  <c r="AG37" i="12"/>
  <c r="F37" i="12" s="1"/>
  <c r="G37" i="12" s="1"/>
  <c r="AJ37" i="12" s="1" a="1"/>
  <c r="AJ37" i="12" s="1"/>
  <c r="P38" i="12"/>
  <c r="J38" i="12"/>
  <c r="CR36" i="12"/>
  <c r="CS36" i="12" s="1" a="1"/>
  <c r="CS36" i="12" s="1"/>
  <c r="H244" i="28" a="1"/>
  <c r="H244" i="28" s="1"/>
  <c r="A243" i="28" a="1"/>
  <c r="A243" i="28" s="1"/>
  <c r="AC40" i="32" l="1"/>
  <c r="Q38" i="12" a="1"/>
  <c r="Q38" i="12" s="1"/>
  <c r="K38" i="12" s="1"/>
  <c r="R38" i="12" a="1"/>
  <c r="R38" i="12" s="1"/>
  <c r="S38" i="12" s="1"/>
  <c r="M38" i="12" a="1"/>
  <c r="M38" i="12" s="1"/>
  <c r="C38" i="12" s="1" a="1"/>
  <c r="C38" i="12" s="1"/>
  <c r="L38" i="12" a="1"/>
  <c r="L38" i="12" s="1"/>
  <c r="H245" i="28" a="1"/>
  <c r="H245" i="28" s="1"/>
  <c r="A244" i="28" a="1"/>
  <c r="A244" i="28" s="1"/>
  <c r="B38" i="12" l="1" a="1"/>
  <c r="B38" i="12" s="1"/>
  <c r="A38" i="12" s="1" a="1"/>
  <c r="A38" i="12" s="1"/>
  <c r="T38" i="12" a="1"/>
  <c r="T38" i="12" s="1"/>
  <c r="D38" i="12" s="1"/>
  <c r="I39" i="12" a="1"/>
  <c r="I39" i="12" s="1"/>
  <c r="CQ38" i="12"/>
  <c r="BH38" i="12"/>
  <c r="AI38" i="12"/>
  <c r="Y38" i="12" a="1"/>
  <c r="Y38" i="12" s="1"/>
  <c r="AD38" i="12" s="1"/>
  <c r="AA38" i="12" a="1"/>
  <c r="AA38" i="12" s="1"/>
  <c r="AF38" i="12" s="1"/>
  <c r="X38" i="12" a="1"/>
  <c r="X38" i="12" s="1"/>
  <c r="AC38" i="12" s="1"/>
  <c r="W38" i="12" a="1"/>
  <c r="W38" i="12" s="1"/>
  <c r="AB38" i="12" s="1"/>
  <c r="Z38" i="12" a="1"/>
  <c r="Z38" i="12" s="1"/>
  <c r="AE38" i="12" s="1"/>
  <c r="H246" i="28" a="1"/>
  <c r="H246" i="28" s="1"/>
  <c r="A246" i="28" s="1" a="1"/>
  <c r="A246" i="28" s="1"/>
  <c r="A245" i="28" a="1"/>
  <c r="A245" i="28" s="1"/>
  <c r="E38" i="12" l="1" a="1"/>
  <c r="E38" i="12" s="1"/>
  <c r="CT38" i="12"/>
  <c r="CU38" i="12" s="1" a="1"/>
  <c r="CU38" i="12" s="1"/>
  <c r="H38" i="12" a="1"/>
  <c r="H38" i="12" s="1"/>
  <c r="AH38" i="12" a="1"/>
  <c r="AH38" i="12" s="1"/>
  <c r="B41" i="32"/>
  <c r="AC41" i="32" s="1"/>
  <c r="CR37" i="12"/>
  <c r="CS37" i="12" s="1" a="1"/>
  <c r="CS37" i="12" s="1"/>
  <c r="J39" i="12"/>
  <c r="P39" i="12"/>
  <c r="AG38" i="12"/>
  <c r="F38" i="12" s="1"/>
  <c r="G38" i="12" s="1"/>
  <c r="AJ38" i="12" s="1" a="1"/>
  <c r="AJ38" i="12" s="1"/>
  <c r="U41" i="32" l="1" a="1"/>
  <c r="U41" i="32" s="1"/>
  <c r="M39" i="12" a="1"/>
  <c r="M39" i="12" s="1"/>
  <c r="C39" i="12" s="1" a="1"/>
  <c r="C39" i="12" s="1"/>
  <c r="L39" i="12" a="1"/>
  <c r="L39" i="12" s="1"/>
  <c r="R39" i="12" a="1"/>
  <c r="R39" i="12" s="1"/>
  <c r="S39" i="12" s="1"/>
  <c r="Q39" i="12" a="1"/>
  <c r="Q39" i="12" s="1"/>
  <c r="K39" i="12" s="1"/>
  <c r="B39" i="12" l="1" a="1"/>
  <c r="B39" i="12" s="1"/>
  <c r="A39" i="12" s="1" a="1"/>
  <c r="A39" i="12" s="1"/>
  <c r="CQ39" i="12"/>
  <c r="I40" i="12" a="1"/>
  <c r="I40" i="12" s="1"/>
  <c r="BH39" i="12"/>
  <c r="AA39" i="12" a="1"/>
  <c r="AA39" i="12" s="1"/>
  <c r="AF39" i="12" s="1"/>
  <c r="W39" i="12" a="1"/>
  <c r="W39" i="12" s="1"/>
  <c r="AB39" i="12" s="1"/>
  <c r="X39" i="12" a="1"/>
  <c r="X39" i="12" s="1"/>
  <c r="AC39" i="12" s="1"/>
  <c r="AI39" i="12"/>
  <c r="Z39" i="12" a="1"/>
  <c r="Z39" i="12" s="1"/>
  <c r="AE39" i="12" s="1"/>
  <c r="Y39" i="12" a="1"/>
  <c r="Y39" i="12" s="1"/>
  <c r="AD39" i="12" s="1"/>
  <c r="T39" i="12" a="1"/>
  <c r="T39" i="12" s="1"/>
  <c r="D39" i="12" s="1"/>
  <c r="E39" i="12" l="1" a="1"/>
  <c r="E39" i="12" s="1"/>
  <c r="CT39" i="12"/>
  <c r="CU39" i="12" s="1" a="1"/>
  <c r="CU39" i="12" s="1"/>
  <c r="H39" i="12" a="1"/>
  <c r="H39" i="12" s="1"/>
  <c r="AH39" i="12" a="1"/>
  <c r="AH39" i="12" s="1"/>
  <c r="B42" i="32"/>
  <c r="AC42" i="32" s="1"/>
  <c r="AG39" i="12"/>
  <c r="F39" i="12" s="1"/>
  <c r="G39" i="12" s="1"/>
  <c r="AJ39" i="12" s="1" a="1"/>
  <c r="AJ39" i="12" s="1"/>
  <c r="P40" i="12"/>
  <c r="J40" i="12"/>
  <c r="CR38" i="12"/>
  <c r="CS38" i="12" s="1" a="1"/>
  <c r="CS38" i="12" s="1"/>
  <c r="U42" i="32" l="1" a="1"/>
  <c r="U42" i="32" s="1"/>
  <c r="L40" i="12" a="1"/>
  <c r="L40" i="12" s="1"/>
  <c r="R40" i="12" a="1"/>
  <c r="R40" i="12" s="1"/>
  <c r="S40" i="12" s="1"/>
  <c r="Q40" i="12" a="1"/>
  <c r="Q40" i="12" s="1"/>
  <c r="K40" i="12" s="1"/>
  <c r="M40" i="12" a="1"/>
  <c r="M40" i="12" s="1"/>
  <c r="C40" i="12" s="1" a="1"/>
  <c r="C40" i="12" s="1"/>
  <c r="B40" i="12" l="1" a="1"/>
  <c r="B40" i="12" s="1"/>
  <c r="A40" i="12" s="1" a="1"/>
  <c r="A40" i="12" s="1"/>
  <c r="CQ40" i="12"/>
  <c r="I41" i="12" a="1"/>
  <c r="I41" i="12" s="1"/>
  <c r="T40" i="12" a="1"/>
  <c r="T40" i="12" s="1"/>
  <c r="D40" i="12" s="1"/>
  <c r="BH40" i="12"/>
  <c r="AA40" i="12" a="1"/>
  <c r="AA40" i="12" s="1"/>
  <c r="AF40" i="12" s="1"/>
  <c r="Z40" i="12" a="1"/>
  <c r="Z40" i="12" s="1"/>
  <c r="AE40" i="12" s="1"/>
  <c r="X40" i="12" a="1"/>
  <c r="X40" i="12" s="1"/>
  <c r="AC40" i="12" s="1"/>
  <c r="AI40" i="12"/>
  <c r="W40" i="12" a="1"/>
  <c r="W40" i="12" s="1"/>
  <c r="AB40" i="12" s="1"/>
  <c r="Y40" i="12" a="1"/>
  <c r="Y40" i="12" s="1"/>
  <c r="AD40" i="12" s="1"/>
  <c r="E40" i="12" l="1" a="1"/>
  <c r="E40" i="12" s="1"/>
  <c r="AH40" i="12" a="1"/>
  <c r="AH40" i="12" s="1"/>
  <c r="B43" i="32"/>
  <c r="AC43" i="32" s="1"/>
  <c r="H40" i="12" a="1"/>
  <c r="H40" i="12" s="1"/>
  <c r="CT40" i="12"/>
  <c r="CU40" i="12" s="1" a="1"/>
  <c r="CU40" i="12" s="1"/>
  <c r="AG40" i="12"/>
  <c r="F40" i="12" s="1"/>
  <c r="G40" i="12" s="1"/>
  <c r="AJ40" i="12" s="1" a="1"/>
  <c r="AJ40" i="12" s="1"/>
  <c r="P41" i="12"/>
  <c r="J41" i="12"/>
  <c r="CR39" i="12"/>
  <c r="CS39" i="12" s="1" a="1"/>
  <c r="CS39" i="12" s="1"/>
  <c r="U43" i="32" l="1" a="1"/>
  <c r="U43" i="32" s="1"/>
  <c r="R41" i="12" a="1"/>
  <c r="R41" i="12" s="1"/>
  <c r="S41" i="12" s="1"/>
  <c r="Q41" i="12" a="1"/>
  <c r="Q41" i="12" s="1"/>
  <c r="K41" i="12" s="1"/>
  <c r="L41" i="12" a="1"/>
  <c r="L41" i="12" s="1"/>
  <c r="M41" i="12" a="1"/>
  <c r="M41" i="12" s="1"/>
  <c r="C41" i="12" s="1" a="1"/>
  <c r="C41" i="12" s="1"/>
  <c r="B41" i="12" l="1" a="1"/>
  <c r="B41" i="12" s="1"/>
  <c r="A41" i="12" s="1" a="1"/>
  <c r="A41" i="12" s="1"/>
  <c r="T41" i="12" a="1"/>
  <c r="T41" i="12" s="1"/>
  <c r="D41" i="12" s="1"/>
  <c r="BH41" i="12"/>
  <c r="AA41" i="12" a="1"/>
  <c r="AA41" i="12" s="1"/>
  <c r="AF41" i="12" s="1"/>
  <c r="W41" i="12" a="1"/>
  <c r="W41" i="12" s="1"/>
  <c r="AB41" i="12" s="1"/>
  <c r="Z41" i="12" a="1"/>
  <c r="Z41" i="12" s="1"/>
  <c r="AE41" i="12" s="1"/>
  <c r="Y41" i="12" a="1"/>
  <c r="Y41" i="12" s="1"/>
  <c r="AD41" i="12" s="1"/>
  <c r="X41" i="12" a="1"/>
  <c r="X41" i="12" s="1"/>
  <c r="AC41" i="12" s="1"/>
  <c r="AI41" i="12"/>
  <c r="I42" i="12" a="1"/>
  <c r="I42" i="12" s="1"/>
  <c r="CQ41" i="12"/>
  <c r="H247" i="28" a="1"/>
  <c r="H247" i="28" s="1"/>
  <c r="A247" i="28" s="1" a="1"/>
  <c r="A247" i="28" s="1"/>
  <c r="E41" i="12" l="1" a="1"/>
  <c r="E41" i="12" s="1"/>
  <c r="CT41" i="12"/>
  <c r="CU41" i="12" s="1" a="1"/>
  <c r="CU41" i="12" s="1"/>
  <c r="AH41" i="12" a="1"/>
  <c r="AH41" i="12" s="1"/>
  <c r="B44" i="32"/>
  <c r="AC44" i="32" s="1"/>
  <c r="H41" i="12" a="1"/>
  <c r="H41" i="12" s="1"/>
  <c r="AG41" i="12"/>
  <c r="F41" i="12" s="1"/>
  <c r="G41" i="12" s="1"/>
  <c r="AJ41" i="12" s="1" a="1"/>
  <c r="AJ41" i="12" s="1"/>
  <c r="P42" i="12"/>
  <c r="J42" i="12"/>
  <c r="CR40" i="12"/>
  <c r="CS40" i="12" s="1" a="1"/>
  <c r="CS40" i="12" s="1"/>
  <c r="H248" i="28" a="1"/>
  <c r="H248" i="28" s="1"/>
  <c r="A248" i="28" s="1" a="1"/>
  <c r="A248" i="28" s="1"/>
  <c r="U44" i="32" l="1" a="1"/>
  <c r="U44" i="32" s="1"/>
  <c r="M42" i="12" a="1"/>
  <c r="M42" i="12" s="1"/>
  <c r="C42" i="12" s="1" a="1"/>
  <c r="C42" i="12" s="1"/>
  <c r="L42" i="12" a="1"/>
  <c r="L42" i="12" s="1"/>
  <c r="Q42" i="12" a="1"/>
  <c r="Q42" i="12" s="1"/>
  <c r="K42" i="12" s="1"/>
  <c r="R42" i="12" a="1"/>
  <c r="R42" i="12" s="1"/>
  <c r="S42" i="12" s="1"/>
  <c r="H249" i="28" a="1"/>
  <c r="H249" i="28" s="1"/>
  <c r="A249" i="28" s="1" a="1"/>
  <c r="A249" i="28" s="1"/>
  <c r="B42" i="12" l="1" a="1"/>
  <c r="B42" i="12" s="1"/>
  <c r="A42" i="12" s="1" a="1"/>
  <c r="A42" i="12" s="1"/>
  <c r="I43" i="12" a="1"/>
  <c r="I43" i="12" s="1"/>
  <c r="CQ42" i="12"/>
  <c r="BH42" i="12"/>
  <c r="Z42" i="12" a="1"/>
  <c r="Z42" i="12" s="1"/>
  <c r="AE42" i="12" s="1"/>
  <c r="W42" i="12" a="1"/>
  <c r="W42" i="12" s="1"/>
  <c r="AB42" i="12" s="1"/>
  <c r="AI42" i="12"/>
  <c r="Y42" i="12" a="1"/>
  <c r="Y42" i="12" s="1"/>
  <c r="AD42" i="12" s="1"/>
  <c r="AA42" i="12" a="1"/>
  <c r="AA42" i="12" s="1"/>
  <c r="AF42" i="12" s="1"/>
  <c r="X42" i="12" a="1"/>
  <c r="X42" i="12" s="1"/>
  <c r="AC42" i="12" s="1"/>
  <c r="T42" i="12" a="1"/>
  <c r="T42" i="12" s="1"/>
  <c r="D42" i="12" s="1"/>
  <c r="H250" i="28" a="1"/>
  <c r="H250" i="28" s="1"/>
  <c r="A250" i="28" s="1" a="1"/>
  <c r="A250" i="28" s="1"/>
  <c r="E42" i="12" l="1" a="1"/>
  <c r="E42" i="12" s="1"/>
  <c r="CT42" i="12"/>
  <c r="CU42" i="12" s="1" a="1"/>
  <c r="CU42" i="12" s="1"/>
  <c r="AH42" i="12" a="1"/>
  <c r="AH42" i="12" s="1"/>
  <c r="B45" i="32"/>
  <c r="U45" i="32" s="1" a="1"/>
  <c r="U45" i="32" s="1"/>
  <c r="H42" i="12" a="1"/>
  <c r="H42" i="12" s="1"/>
  <c r="CR41" i="12"/>
  <c r="CS41" i="12" s="1" a="1"/>
  <c r="CS41" i="12" s="1"/>
  <c r="AG42" i="12"/>
  <c r="F42" i="12" s="1"/>
  <c r="G42" i="12" s="1"/>
  <c r="AJ42" i="12" s="1" a="1"/>
  <c r="AJ42" i="12" s="1"/>
  <c r="J43" i="12"/>
  <c r="P43" i="12"/>
  <c r="H251" i="28" a="1"/>
  <c r="H251" i="28" s="1"/>
  <c r="A251" i="28" s="1" a="1"/>
  <c r="A251" i="28" s="1"/>
  <c r="AC45" i="32" l="1"/>
  <c r="R43" i="12" a="1"/>
  <c r="R43" i="12" s="1"/>
  <c r="S43" i="12" s="1"/>
  <c r="Q43" i="12" a="1"/>
  <c r="Q43" i="12" s="1"/>
  <c r="K43" i="12" s="1"/>
  <c r="M43" i="12" a="1"/>
  <c r="M43" i="12" s="1"/>
  <c r="C43" i="12" s="1" a="1"/>
  <c r="C43" i="12" s="1"/>
  <c r="L43" i="12" a="1"/>
  <c r="L43" i="12" s="1"/>
  <c r="H252" i="28" a="1"/>
  <c r="H252" i="28" s="1"/>
  <c r="A252" i="28" s="1" a="1"/>
  <c r="A252" i="28" s="1"/>
  <c r="B43" i="12" l="1" a="1"/>
  <c r="B43" i="12" s="1"/>
  <c r="A43" i="12" s="1" a="1"/>
  <c r="A43" i="12" s="1"/>
  <c r="T43" i="12" a="1"/>
  <c r="T43" i="12" s="1"/>
  <c r="D43" i="12" s="1"/>
  <c r="BH43" i="12"/>
  <c r="Z43" i="12" a="1"/>
  <c r="Z43" i="12" s="1"/>
  <c r="AE43" i="12" s="1"/>
  <c r="Y43" i="12" a="1"/>
  <c r="Y43" i="12" s="1"/>
  <c r="AD43" i="12" s="1"/>
  <c r="W43" i="12" a="1"/>
  <c r="W43" i="12" s="1"/>
  <c r="AB43" i="12" s="1"/>
  <c r="AI43" i="12"/>
  <c r="X43" i="12" a="1"/>
  <c r="X43" i="12" s="1"/>
  <c r="AC43" i="12" s="1"/>
  <c r="AA43" i="12" a="1"/>
  <c r="AA43" i="12" s="1"/>
  <c r="AF43" i="12" s="1"/>
  <c r="CQ43" i="12"/>
  <c r="I44" i="12" a="1"/>
  <c r="I44" i="12" s="1"/>
  <c r="H253" i="28" a="1"/>
  <c r="H253" i="28" s="1"/>
  <c r="A253" i="28" s="1" a="1"/>
  <c r="A253" i="28" s="1"/>
  <c r="E43" i="12" l="1" a="1"/>
  <c r="E43" i="12" s="1"/>
  <c r="CT43" i="12"/>
  <c r="CU43" i="12" s="1" a="1"/>
  <c r="CU43" i="12" s="1"/>
  <c r="AH43" i="12" a="1"/>
  <c r="AH43" i="12" s="1"/>
  <c r="H43" i="12" a="1"/>
  <c r="H43" i="12" s="1"/>
  <c r="B46" i="32"/>
  <c r="AC46" i="32" s="1"/>
  <c r="CR42" i="12"/>
  <c r="CS42" i="12" s="1" a="1"/>
  <c r="CS42" i="12" s="1"/>
  <c r="AG43" i="12"/>
  <c r="F43" i="12" s="1"/>
  <c r="G43" i="12" s="1"/>
  <c r="AJ43" i="12" s="1" a="1"/>
  <c r="AJ43" i="12" s="1"/>
  <c r="P44" i="12"/>
  <c r="J44" i="12"/>
  <c r="H254" i="28" a="1"/>
  <c r="H254" i="28" s="1"/>
  <c r="A254" i="28" s="1" a="1"/>
  <c r="A254" i="28" s="1"/>
  <c r="U46" i="32" l="1" a="1"/>
  <c r="U46" i="32" s="1"/>
  <c r="Q44" i="12" a="1"/>
  <c r="Q44" i="12" s="1"/>
  <c r="K44" i="12" s="1"/>
  <c r="M44" i="12" a="1"/>
  <c r="M44" i="12" s="1"/>
  <c r="C44" i="12" s="1" a="1"/>
  <c r="C44" i="12" s="1"/>
  <c r="L44" i="12" a="1"/>
  <c r="L44" i="12" s="1"/>
  <c r="R44" i="12" a="1"/>
  <c r="R44" i="12" s="1"/>
  <c r="S44" i="12" s="1"/>
  <c r="H255" i="28" a="1"/>
  <c r="H255" i="28" s="1"/>
  <c r="A255" i="28" s="1" a="1"/>
  <c r="A255" i="28" s="1"/>
  <c r="B44" i="12" l="1" a="1"/>
  <c r="B44" i="12" s="1"/>
  <c r="A44" i="12" s="1" a="1"/>
  <c r="A44" i="12" s="1"/>
  <c r="CQ44" i="12"/>
  <c r="I45" i="12" a="1"/>
  <c r="I45" i="12" s="1"/>
  <c r="T44" i="12" a="1"/>
  <c r="T44" i="12" s="1"/>
  <c r="D44" i="12" s="1"/>
  <c r="BH44" i="12"/>
  <c r="AI44" i="12"/>
  <c r="X44" i="12" a="1"/>
  <c r="X44" i="12" s="1"/>
  <c r="AC44" i="12" s="1"/>
  <c r="W44" i="12" a="1"/>
  <c r="W44" i="12" s="1"/>
  <c r="AB44" i="12" s="1"/>
  <c r="Y44" i="12" a="1"/>
  <c r="Y44" i="12" s="1"/>
  <c r="AD44" i="12" s="1"/>
  <c r="Z44" i="12" a="1"/>
  <c r="Z44" i="12" s="1"/>
  <c r="AE44" i="12" s="1"/>
  <c r="AA44" i="12" a="1"/>
  <c r="AA44" i="12" s="1"/>
  <c r="AF44" i="12" s="1"/>
  <c r="H256" i="28" a="1"/>
  <c r="H256" i="28" s="1"/>
  <c r="A256" i="28" s="1" a="1"/>
  <c r="A256" i="28" s="1"/>
  <c r="E44" i="12" l="1" a="1"/>
  <c r="E44" i="12" s="1"/>
  <c r="CT44" i="12"/>
  <c r="CU44" i="12" s="1" a="1"/>
  <c r="CU44" i="12" s="1"/>
  <c r="B47" i="32"/>
  <c r="AC47" i="32" s="1"/>
  <c r="AH44" i="12" a="1"/>
  <c r="AH44" i="12" s="1"/>
  <c r="H44" i="12" a="1"/>
  <c r="H44" i="12" s="1"/>
  <c r="AG44" i="12"/>
  <c r="F44" i="12" s="1"/>
  <c r="G44" i="12" s="1"/>
  <c r="AJ44" i="12" s="1" a="1"/>
  <c r="AJ44" i="12" s="1"/>
  <c r="P45" i="12"/>
  <c r="J45" i="12"/>
  <c r="CR43" i="12"/>
  <c r="CS43" i="12" s="1" a="1"/>
  <c r="CS43" i="12" s="1"/>
  <c r="H257" i="28" a="1"/>
  <c r="H257" i="28" s="1"/>
  <c r="H258" i="28" s="1" a="1"/>
  <c r="H258" i="28" s="1"/>
  <c r="A258" i="28" s="1" a="1"/>
  <c r="A258" i="28" s="1"/>
  <c r="U47" i="32" l="1" a="1"/>
  <c r="U47" i="32" s="1"/>
  <c r="Q45" i="12" a="1"/>
  <c r="Q45" i="12" s="1"/>
  <c r="K45" i="12" s="1"/>
  <c r="L45" i="12" a="1"/>
  <c r="L45" i="12" s="1"/>
  <c r="R45" i="12" a="1"/>
  <c r="R45" i="12" s="1"/>
  <c r="S45" i="12" s="1"/>
  <c r="M45" i="12" a="1"/>
  <c r="M45" i="12" s="1"/>
  <c r="C45" i="12" s="1" a="1"/>
  <c r="C45" i="12" s="1"/>
  <c r="A257" i="28" a="1"/>
  <c r="A257" i="28" s="1"/>
  <c r="B45" i="12" l="1" a="1"/>
  <c r="B45" i="12" s="1"/>
  <c r="A45" i="12" s="1" a="1"/>
  <c r="A45" i="12" s="1"/>
  <c r="T45" i="12" a="1"/>
  <c r="T45" i="12" s="1"/>
  <c r="D45" i="12" s="1"/>
  <c r="I46" i="12" a="1"/>
  <c r="I46" i="12" s="1"/>
  <c r="CQ45" i="12"/>
  <c r="BH45" i="12"/>
  <c r="AA45" i="12" a="1"/>
  <c r="AA45" i="12" s="1"/>
  <c r="AF45" i="12" s="1"/>
  <c r="W45" i="12" a="1"/>
  <c r="W45" i="12" s="1"/>
  <c r="AB45" i="12" s="1"/>
  <c r="Z45" i="12" a="1"/>
  <c r="Z45" i="12" s="1"/>
  <c r="AE45" i="12" s="1"/>
  <c r="X45" i="12" a="1"/>
  <c r="X45" i="12" s="1"/>
  <c r="AC45" i="12" s="1"/>
  <c r="AI45" i="12"/>
  <c r="Y45" i="12" a="1"/>
  <c r="Y45" i="12" s="1"/>
  <c r="AD45" i="12" s="1"/>
  <c r="E45" i="12" l="1" a="1"/>
  <c r="E45" i="12" s="1"/>
  <c r="CT45" i="12"/>
  <c r="CU45" i="12" s="1" a="1"/>
  <c r="CU45" i="12" s="1"/>
  <c r="AH45" i="12" a="1"/>
  <c r="AH45" i="12" s="1"/>
  <c r="H45" i="12" a="1"/>
  <c r="H45" i="12" s="1"/>
  <c r="B48" i="32"/>
  <c r="AC48" i="32" s="1"/>
  <c r="AG45" i="12"/>
  <c r="F45" i="12" s="1"/>
  <c r="G45" i="12" s="1"/>
  <c r="AJ45" i="12" s="1" a="1"/>
  <c r="AJ45" i="12" s="1"/>
  <c r="CR44" i="12"/>
  <c r="CS44" i="12" s="1" a="1"/>
  <c r="CS44" i="12" s="1"/>
  <c r="J46" i="12"/>
  <c r="P46" i="12"/>
  <c r="U48" i="32" l="1" a="1"/>
  <c r="U48" i="32" s="1"/>
  <c r="L46" i="12" a="1"/>
  <c r="L46" i="12" s="1"/>
  <c r="R46" i="12" a="1"/>
  <c r="R46" i="12" s="1"/>
  <c r="S46" i="12" s="1"/>
  <c r="Q46" i="12" a="1"/>
  <c r="Q46" i="12" s="1"/>
  <c r="K46" i="12" s="1"/>
  <c r="M46" i="12" a="1"/>
  <c r="M46" i="12" s="1"/>
  <c r="C46" i="12" s="1" a="1"/>
  <c r="C46" i="12" s="1"/>
  <c r="B46" i="12" l="1" a="1"/>
  <c r="B46" i="12" s="1"/>
  <c r="A46" i="12" s="1" a="1"/>
  <c r="A46" i="12" s="1"/>
  <c r="CQ46" i="12"/>
  <c r="I47" i="12" a="1"/>
  <c r="I47" i="12" s="1"/>
  <c r="T46" i="12" a="1"/>
  <c r="T46" i="12" s="1"/>
  <c r="D46" i="12" s="1"/>
  <c r="BH46" i="12"/>
  <c r="AI46" i="12"/>
  <c r="AA46" i="12" a="1"/>
  <c r="AA46" i="12" s="1"/>
  <c r="AF46" i="12" s="1"/>
  <c r="X46" i="12" a="1"/>
  <c r="X46" i="12" s="1"/>
  <c r="AC46" i="12" s="1"/>
  <c r="Y46" i="12" a="1"/>
  <c r="Y46" i="12" s="1"/>
  <c r="AD46" i="12" s="1"/>
  <c r="W46" i="12" a="1"/>
  <c r="W46" i="12" s="1"/>
  <c r="AB46" i="12" s="1"/>
  <c r="Z46" i="12" a="1"/>
  <c r="Z46" i="12" s="1"/>
  <c r="AE46" i="12" s="1"/>
  <c r="E46" i="12" l="1" a="1"/>
  <c r="E46" i="12" s="1"/>
  <c r="AH46" i="12" a="1"/>
  <c r="AH46" i="12" s="1"/>
  <c r="B49" i="32"/>
  <c r="U49" i="32" s="1" a="1"/>
  <c r="U49" i="32" s="1"/>
  <c r="H46" i="12" a="1"/>
  <c r="H46" i="12" s="1"/>
  <c r="CT46" i="12"/>
  <c r="CU46" i="12" s="1" a="1"/>
  <c r="CU46" i="12" s="1"/>
  <c r="AG46" i="12"/>
  <c r="F46" i="12" s="1"/>
  <c r="G46" i="12" s="1"/>
  <c r="AJ46" i="12" s="1" a="1"/>
  <c r="AJ46" i="12" s="1"/>
  <c r="P47" i="12"/>
  <c r="J47" i="12"/>
  <c r="CR45" i="12"/>
  <c r="CS45" i="12" s="1" a="1"/>
  <c r="CS45" i="12" s="1"/>
  <c r="AC49" i="32" l="1"/>
  <c r="Q47" i="12" a="1"/>
  <c r="Q47" i="12" s="1"/>
  <c r="K47" i="12" s="1"/>
  <c r="R47" i="12" a="1"/>
  <c r="R47" i="12" s="1"/>
  <c r="S47" i="12" s="1"/>
  <c r="M47" i="12" a="1"/>
  <c r="M47" i="12" s="1"/>
  <c r="C47" i="12" s="1" a="1"/>
  <c r="C47" i="12" s="1"/>
  <c r="L47" i="12" a="1"/>
  <c r="L47" i="12" s="1"/>
  <c r="B47" i="12" l="1" a="1"/>
  <c r="B47" i="12" s="1"/>
  <c r="A47" i="12" s="1" a="1"/>
  <c r="A47" i="12" s="1"/>
  <c r="T47" i="12" a="1"/>
  <c r="T47" i="12" s="1"/>
  <c r="D47" i="12" s="1"/>
  <c r="I48" i="12" a="1"/>
  <c r="I48" i="12" s="1"/>
  <c r="CQ47" i="12"/>
  <c r="BH47" i="12"/>
  <c r="Y47" i="12" a="1"/>
  <c r="Y47" i="12" s="1"/>
  <c r="AD47" i="12" s="1"/>
  <c r="Z47" i="12" a="1"/>
  <c r="Z47" i="12" s="1"/>
  <c r="AE47" i="12" s="1"/>
  <c r="AA47" i="12" a="1"/>
  <c r="AA47" i="12" s="1"/>
  <c r="AF47" i="12" s="1"/>
  <c r="W47" i="12" a="1"/>
  <c r="W47" i="12" s="1"/>
  <c r="AB47" i="12" s="1"/>
  <c r="AI47" i="12"/>
  <c r="X47" i="12" a="1"/>
  <c r="X47" i="12" s="1"/>
  <c r="AC47" i="12" s="1"/>
  <c r="E47" i="12" l="1" a="1"/>
  <c r="E47" i="12" s="1"/>
  <c r="CT47" i="12"/>
  <c r="CU47" i="12" s="1" a="1"/>
  <c r="CU47" i="12" s="1"/>
  <c r="AH47" i="12" a="1"/>
  <c r="AH47" i="12" s="1"/>
  <c r="H47" i="12" a="1"/>
  <c r="H47" i="12" s="1"/>
  <c r="B50" i="32"/>
  <c r="AC50" i="32" s="1"/>
  <c r="CR46" i="12"/>
  <c r="CS46" i="12" s="1" a="1"/>
  <c r="CS46" i="12" s="1"/>
  <c r="J48" i="12"/>
  <c r="P48" i="12"/>
  <c r="AG47" i="12"/>
  <c r="F47" i="12" s="1"/>
  <c r="G47" i="12" s="1"/>
  <c r="AJ47" i="12" s="1" a="1"/>
  <c r="AJ47" i="12" s="1"/>
  <c r="U50" i="32" l="1" a="1"/>
  <c r="U50" i="32" s="1"/>
  <c r="Q48" i="12" a="1"/>
  <c r="Q48" i="12" s="1"/>
  <c r="K48" i="12" s="1"/>
  <c r="L48" i="12" a="1"/>
  <c r="L48" i="12" s="1"/>
  <c r="R48" i="12" a="1"/>
  <c r="R48" i="12" s="1"/>
  <c r="S48" i="12" s="1"/>
  <c r="M48" i="12" a="1"/>
  <c r="M48" i="12" s="1"/>
  <c r="C48" i="12" s="1" a="1"/>
  <c r="C48" i="12" s="1"/>
  <c r="B48" i="12" l="1" a="1"/>
  <c r="B48" i="12" s="1"/>
  <c r="A48" i="12" s="1" a="1"/>
  <c r="A48" i="12" s="1"/>
  <c r="T48" i="12" a="1"/>
  <c r="T48" i="12" s="1"/>
  <c r="D48" i="12" s="1"/>
  <c r="I49" i="12" a="1"/>
  <c r="I49" i="12" s="1"/>
  <c r="CQ48" i="12"/>
  <c r="BH48" i="12"/>
  <c r="AA48" i="12" a="1"/>
  <c r="AA48" i="12" s="1"/>
  <c r="AF48" i="12" s="1"/>
  <c r="AI48" i="12"/>
  <c r="W48" i="12" a="1"/>
  <c r="W48" i="12" s="1"/>
  <c r="AB48" i="12" s="1"/>
  <c r="X48" i="12" a="1"/>
  <c r="X48" i="12" s="1"/>
  <c r="AC48" i="12" s="1"/>
  <c r="Z48" i="12" a="1"/>
  <c r="Z48" i="12" s="1"/>
  <c r="AE48" i="12" s="1"/>
  <c r="Y48" i="12" a="1"/>
  <c r="Y48" i="12" s="1"/>
  <c r="AD48" i="12" s="1"/>
  <c r="E48" i="12" l="1" a="1"/>
  <c r="E48" i="12" s="1"/>
  <c r="B51" i="32"/>
  <c r="AC51" i="32" s="1"/>
  <c r="AH48" i="12" a="1"/>
  <c r="AH48" i="12" s="1"/>
  <c r="H48" i="12" a="1"/>
  <c r="H48" i="12" s="1"/>
  <c r="CT48" i="12"/>
  <c r="CU48" i="12" s="1" a="1"/>
  <c r="CU48" i="12" s="1"/>
  <c r="AG48" i="12"/>
  <c r="F48" i="12" s="1"/>
  <c r="G48" i="12" s="1"/>
  <c r="AJ48" i="12" s="1" a="1"/>
  <c r="AJ48" i="12" s="1"/>
  <c r="CR47" i="12"/>
  <c r="CS47" i="12" s="1" a="1"/>
  <c r="CS47" i="12" s="1"/>
  <c r="P49" i="12"/>
  <c r="J49" i="12"/>
  <c r="U51" i="32" l="1" a="1"/>
  <c r="U51" i="32" s="1"/>
  <c r="Q49" i="12" a="1"/>
  <c r="Q49" i="12" s="1"/>
  <c r="K49" i="12" s="1"/>
  <c r="M49" i="12" a="1"/>
  <c r="M49" i="12" s="1"/>
  <c r="C49" i="12" s="1" a="1"/>
  <c r="C49" i="12" s="1"/>
  <c r="R49" i="12" a="1"/>
  <c r="R49" i="12" s="1"/>
  <c r="S49" i="12" s="1"/>
  <c r="L49" i="12" a="1"/>
  <c r="L49" i="12" s="1"/>
  <c r="B49" i="12" l="1" a="1"/>
  <c r="B49" i="12" s="1"/>
  <c r="A49" i="12" s="1" a="1"/>
  <c r="A49" i="12" s="1"/>
  <c r="T49" i="12" a="1"/>
  <c r="T49" i="12" s="1"/>
  <c r="D49" i="12" s="1"/>
  <c r="CQ49" i="12"/>
  <c r="I50" i="12" a="1"/>
  <c r="I50" i="12" s="1"/>
  <c r="BH49" i="12"/>
  <c r="X49" i="12" a="1"/>
  <c r="X49" i="12" s="1"/>
  <c r="AC49" i="12" s="1"/>
  <c r="AA49" i="12" a="1"/>
  <c r="AA49" i="12" s="1"/>
  <c r="AF49" i="12" s="1"/>
  <c r="AI49" i="12"/>
  <c r="W49" i="12" a="1"/>
  <c r="W49" i="12" s="1"/>
  <c r="AB49" i="12" s="1"/>
  <c r="Y49" i="12" a="1"/>
  <c r="Y49" i="12" s="1"/>
  <c r="AD49" i="12" s="1"/>
  <c r="Z49" i="12" a="1"/>
  <c r="Z49" i="12" s="1"/>
  <c r="AE49" i="12" s="1"/>
  <c r="E49" i="12" l="1" a="1"/>
  <c r="E49" i="12" s="1"/>
  <c r="CT49" i="12"/>
  <c r="CU49" i="12" s="1" a="1"/>
  <c r="CU49" i="12" s="1"/>
  <c r="H49" i="12" a="1"/>
  <c r="H49" i="12" s="1"/>
  <c r="B52" i="32"/>
  <c r="U52" i="32" s="1" a="1"/>
  <c r="U52" i="32" s="1"/>
  <c r="AH49" i="12" a="1"/>
  <c r="AH49" i="12" s="1"/>
  <c r="CR48" i="12"/>
  <c r="CS48" i="12" s="1" a="1"/>
  <c r="CS48" i="12" s="1"/>
  <c r="AG49" i="12"/>
  <c r="F49" i="12" s="1"/>
  <c r="G49" i="12" s="1"/>
  <c r="AJ49" i="12" s="1" a="1"/>
  <c r="AJ49" i="12" s="1"/>
  <c r="P50" i="12"/>
  <c r="J50" i="12"/>
  <c r="AC52" i="32" l="1"/>
  <c r="M50" i="12" a="1"/>
  <c r="M50" i="12" s="1"/>
  <c r="C50" i="12" s="1" a="1"/>
  <c r="C50" i="12" s="1"/>
  <c r="R50" i="12" a="1"/>
  <c r="R50" i="12" s="1"/>
  <c r="S50" i="12" s="1"/>
  <c r="Q50" i="12" a="1"/>
  <c r="Q50" i="12" s="1"/>
  <c r="K50" i="12" s="1"/>
  <c r="L50" i="12" a="1"/>
  <c r="L50" i="12" s="1"/>
  <c r="B50" i="12" l="1" a="1"/>
  <c r="B50" i="12" s="1"/>
  <c r="A50" i="12" s="1" a="1"/>
  <c r="A50" i="12" s="1"/>
  <c r="BH50" i="12"/>
  <c r="AI50" i="12"/>
  <c r="Y50" i="12" a="1"/>
  <c r="Y50" i="12" s="1"/>
  <c r="AD50" i="12" s="1"/>
  <c r="AA50" i="12" a="1"/>
  <c r="AA50" i="12" s="1"/>
  <c r="AF50" i="12" s="1"/>
  <c r="X50" i="12" a="1"/>
  <c r="X50" i="12" s="1"/>
  <c r="AC50" i="12" s="1"/>
  <c r="W50" i="12" a="1"/>
  <c r="W50" i="12" s="1"/>
  <c r="AB50" i="12" s="1"/>
  <c r="Z50" i="12" a="1"/>
  <c r="Z50" i="12" s="1"/>
  <c r="AE50" i="12" s="1"/>
  <c r="I51" i="12" a="1"/>
  <c r="I51" i="12" s="1"/>
  <c r="CQ50" i="12"/>
  <c r="T50" i="12" a="1"/>
  <c r="T50" i="12" s="1"/>
  <c r="D50" i="12" s="1"/>
  <c r="E50" i="12" l="1" a="1"/>
  <c r="E50" i="12" s="1"/>
  <c r="B53" i="32"/>
  <c r="AC53" i="32" s="1"/>
  <c r="H50" i="12" a="1"/>
  <c r="H50" i="12" s="1"/>
  <c r="AH50" i="12" a="1"/>
  <c r="AH50" i="12" s="1"/>
  <c r="CT50" i="12"/>
  <c r="CU50" i="12" s="1" a="1"/>
  <c r="CU50" i="12" s="1"/>
  <c r="AG50" i="12"/>
  <c r="F50" i="12" s="1"/>
  <c r="G50" i="12" s="1"/>
  <c r="AJ50" i="12" s="1" a="1"/>
  <c r="AJ50" i="12" s="1"/>
  <c r="J51" i="12"/>
  <c r="P51" i="12"/>
  <c r="CR49" i="12"/>
  <c r="CS49" i="12" s="1" a="1"/>
  <c r="CS49" i="12" s="1"/>
  <c r="U53" i="32" l="1" a="1"/>
  <c r="U53" i="32" s="1"/>
  <c r="M51" i="12" a="1"/>
  <c r="M51" i="12" s="1"/>
  <c r="C51" i="12" s="1" a="1"/>
  <c r="C51" i="12" s="1"/>
  <c r="L51" i="12" a="1"/>
  <c r="L51" i="12" s="1"/>
  <c r="R51" i="12" a="1"/>
  <c r="R51" i="12" s="1"/>
  <c r="S51" i="12" s="1"/>
  <c r="Q51" i="12" a="1"/>
  <c r="Q51" i="12" s="1"/>
  <c r="K51" i="12" s="1"/>
  <c r="B51" i="12" l="1" a="1"/>
  <c r="B51" i="12" s="1"/>
  <c r="A51" i="12" s="1" a="1"/>
  <c r="A51" i="12" s="1"/>
  <c r="I52" i="12" a="1"/>
  <c r="I52" i="12" s="1"/>
  <c r="CQ51" i="12"/>
  <c r="BH51" i="12"/>
  <c r="X51" i="12" a="1"/>
  <c r="X51" i="12" s="1"/>
  <c r="AC51" i="12" s="1"/>
  <c r="W51" i="12" a="1"/>
  <c r="W51" i="12" s="1"/>
  <c r="AB51" i="12" s="1"/>
  <c r="Y51" i="12" a="1"/>
  <c r="Y51" i="12" s="1"/>
  <c r="AD51" i="12" s="1"/>
  <c r="AI51" i="12"/>
  <c r="AA51" i="12" a="1"/>
  <c r="AA51" i="12" s="1"/>
  <c r="AF51" i="12" s="1"/>
  <c r="Z51" i="12" a="1"/>
  <c r="Z51" i="12" s="1"/>
  <c r="AE51" i="12" s="1"/>
  <c r="T51" i="12" a="1"/>
  <c r="T51" i="12" s="1"/>
  <c r="D51" i="12" s="1"/>
  <c r="E51" i="12" l="1" a="1"/>
  <c r="E51" i="12" s="1"/>
  <c r="CT51" i="12"/>
  <c r="CU51" i="12" s="1" a="1"/>
  <c r="CU51" i="12" s="1"/>
  <c r="AH51" i="12" a="1"/>
  <c r="AH51" i="12" s="1"/>
  <c r="B54" i="32"/>
  <c r="U54" i="32" s="1" a="1"/>
  <c r="U54" i="32" s="1"/>
  <c r="H51" i="12" a="1"/>
  <c r="H51" i="12" s="1"/>
  <c r="AG51" i="12"/>
  <c r="F51" i="12" s="1"/>
  <c r="G51" i="12" s="1"/>
  <c r="AJ51" i="12" s="1" a="1"/>
  <c r="AJ51" i="12" s="1"/>
  <c r="CR50" i="12"/>
  <c r="CS50" i="12" s="1" a="1"/>
  <c r="CS50" i="12" s="1"/>
  <c r="J52" i="12"/>
  <c r="P52" i="12"/>
  <c r="AC54" i="32" l="1"/>
  <c r="M52" i="12" a="1"/>
  <c r="M52" i="12" s="1"/>
  <c r="C52" i="12" s="1" a="1"/>
  <c r="C52" i="12" s="1"/>
  <c r="L52" i="12" a="1"/>
  <c r="L52" i="12" s="1"/>
  <c r="R52" i="12" a="1"/>
  <c r="R52" i="12" s="1"/>
  <c r="S52" i="12" s="1"/>
  <c r="Q52" i="12" a="1"/>
  <c r="Q52" i="12" s="1"/>
  <c r="K52" i="12" s="1"/>
  <c r="B52" i="12" l="1" a="1"/>
  <c r="B52" i="12" s="1"/>
  <c r="A52" i="12" s="1" a="1"/>
  <c r="A52" i="12" s="1"/>
  <c r="CQ52" i="12"/>
  <c r="I53" i="12" a="1"/>
  <c r="I53" i="12" s="1"/>
  <c r="BH52" i="12"/>
  <c r="AI52" i="12"/>
  <c r="X52" i="12" a="1"/>
  <c r="X52" i="12" s="1"/>
  <c r="AC52" i="12" s="1"/>
  <c r="W52" i="12" a="1"/>
  <c r="W52" i="12" s="1"/>
  <c r="AB52" i="12" s="1"/>
  <c r="Y52" i="12" a="1"/>
  <c r="Y52" i="12" s="1"/>
  <c r="AD52" i="12" s="1"/>
  <c r="Z52" i="12" a="1"/>
  <c r="Z52" i="12" s="1"/>
  <c r="AE52" i="12" s="1"/>
  <c r="AA52" i="12" a="1"/>
  <c r="AA52" i="12" s="1"/>
  <c r="AF52" i="12" s="1"/>
  <c r="T52" i="12" a="1"/>
  <c r="T52" i="12" s="1"/>
  <c r="D52" i="12" s="1"/>
  <c r="E52" i="12" l="1" a="1"/>
  <c r="E52" i="12" s="1"/>
  <c r="AH52" i="12" a="1"/>
  <c r="AH52" i="12" s="1"/>
  <c r="B55" i="32"/>
  <c r="AC55" i="32" s="1"/>
  <c r="H52" i="12" a="1"/>
  <c r="H52" i="12" s="1"/>
  <c r="CT52" i="12"/>
  <c r="CU52" i="12" s="1" a="1"/>
  <c r="CU52" i="12" s="1"/>
  <c r="AG52" i="12"/>
  <c r="F52" i="12" s="1"/>
  <c r="G52" i="12" s="1"/>
  <c r="AJ52" i="12" s="1" a="1"/>
  <c r="AJ52" i="12" s="1"/>
  <c r="P53" i="12"/>
  <c r="J53" i="12"/>
  <c r="CR51" i="12"/>
  <c r="CS51" i="12" s="1" a="1"/>
  <c r="CS51" i="12" s="1"/>
  <c r="U55" i="32" l="1" a="1"/>
  <c r="U55" i="32" s="1"/>
  <c r="M53" i="12" a="1"/>
  <c r="M53" i="12" s="1"/>
  <c r="C53" i="12" s="1" a="1"/>
  <c r="C53" i="12" s="1"/>
  <c r="R53" i="12" a="1"/>
  <c r="R53" i="12" s="1"/>
  <c r="S53" i="12" s="1"/>
  <c r="Q53" i="12" a="1"/>
  <c r="Q53" i="12" s="1"/>
  <c r="K53" i="12" s="1"/>
  <c r="L53" i="12" a="1"/>
  <c r="L53" i="12" s="1"/>
  <c r="B53" i="12" l="1" a="1"/>
  <c r="B53" i="12" s="1"/>
  <c r="A53" i="12" s="1" a="1"/>
  <c r="A53" i="12" s="1"/>
  <c r="BH53" i="12"/>
  <c r="W53" i="12" a="1"/>
  <c r="W53" i="12" s="1"/>
  <c r="AB53" i="12" s="1"/>
  <c r="Y53" i="12" a="1"/>
  <c r="Y53" i="12" s="1"/>
  <c r="AD53" i="12" s="1"/>
  <c r="Z53" i="12" a="1"/>
  <c r="Z53" i="12" s="1"/>
  <c r="AE53" i="12" s="1"/>
  <c r="X53" i="12" a="1"/>
  <c r="X53" i="12" s="1"/>
  <c r="AC53" i="12" s="1"/>
  <c r="AA53" i="12" a="1"/>
  <c r="AA53" i="12" s="1"/>
  <c r="AF53" i="12" s="1"/>
  <c r="AI53" i="12"/>
  <c r="CQ53" i="12"/>
  <c r="I54" i="12" a="1"/>
  <c r="I54" i="12" s="1"/>
  <c r="T53" i="12" a="1"/>
  <c r="T53" i="12" s="1"/>
  <c r="D53" i="12" s="1"/>
  <c r="E53" i="12" l="1" a="1"/>
  <c r="E53" i="12" s="1"/>
  <c r="CT53" i="12"/>
  <c r="CU53" i="12" s="1" a="1"/>
  <c r="CU53" i="12" s="1"/>
  <c r="H53" i="12" a="1"/>
  <c r="H53" i="12" s="1"/>
  <c r="AH53" i="12" a="1"/>
  <c r="AH53" i="12" s="1"/>
  <c r="B56" i="32"/>
  <c r="AC56" i="32" s="1"/>
  <c r="J54" i="12"/>
  <c r="P54" i="12"/>
  <c r="CR52" i="12"/>
  <c r="CS52" i="12" s="1" a="1"/>
  <c r="CS52" i="12" s="1"/>
  <c r="AG53" i="12"/>
  <c r="F53" i="12" s="1"/>
  <c r="G53" i="12" s="1"/>
  <c r="AJ53" i="12" s="1" a="1"/>
  <c r="AJ53" i="12" s="1"/>
  <c r="U56" i="32" l="1" a="1"/>
  <c r="U56" i="32" s="1"/>
  <c r="M54" i="12" a="1"/>
  <c r="M54" i="12" s="1"/>
  <c r="C54" i="12" s="1" a="1"/>
  <c r="C54" i="12" s="1"/>
  <c r="L54" i="12" a="1"/>
  <c r="L54" i="12" s="1"/>
  <c r="R54" i="12" a="1"/>
  <c r="R54" i="12" s="1"/>
  <c r="S54" i="12" s="1"/>
  <c r="Q54" i="12" a="1"/>
  <c r="Q54" i="12" s="1"/>
  <c r="K54" i="12" s="1"/>
  <c r="B54" i="12" l="1" a="1"/>
  <c r="B54" i="12" s="1"/>
  <c r="A54" i="12" s="1" a="1"/>
  <c r="A54" i="12" s="1"/>
  <c r="BH54" i="12"/>
  <c r="W54" i="12" a="1"/>
  <c r="W54" i="12" s="1"/>
  <c r="AB54" i="12" s="1"/>
  <c r="Z54" i="12" a="1"/>
  <c r="Z54" i="12" s="1"/>
  <c r="AE54" i="12" s="1"/>
  <c r="AA54" i="12" a="1"/>
  <c r="AA54" i="12" s="1"/>
  <c r="AF54" i="12" s="1"/>
  <c r="X54" i="12" a="1"/>
  <c r="X54" i="12" s="1"/>
  <c r="AC54" i="12" s="1"/>
  <c r="AI54" i="12"/>
  <c r="Y54" i="12" a="1"/>
  <c r="Y54" i="12" s="1"/>
  <c r="AD54" i="12" s="1"/>
  <c r="CQ54" i="12"/>
  <c r="I55" i="12" a="1"/>
  <c r="I55" i="12" s="1"/>
  <c r="T54" i="12" a="1"/>
  <c r="T54" i="12" s="1"/>
  <c r="D54" i="12" s="1"/>
  <c r="E54" i="12" l="1" a="1"/>
  <c r="E54" i="12" s="1"/>
  <c r="CT54" i="12"/>
  <c r="CU54" i="12" s="1" a="1"/>
  <c r="CU54" i="12" s="1"/>
  <c r="B57" i="32"/>
  <c r="AC57" i="32" s="1"/>
  <c r="AH54" i="12" a="1"/>
  <c r="AH54" i="12" s="1"/>
  <c r="H54" i="12" a="1"/>
  <c r="H54" i="12" s="1"/>
  <c r="J55" i="12"/>
  <c r="P55" i="12"/>
  <c r="CR53" i="12"/>
  <c r="CS53" i="12" s="1" a="1"/>
  <c r="CS53" i="12" s="1"/>
  <c r="AG54" i="12"/>
  <c r="F54" i="12" s="1"/>
  <c r="G54" i="12" s="1"/>
  <c r="AJ54" i="12" s="1" a="1"/>
  <c r="AJ54" i="12" s="1"/>
  <c r="U57" i="32" l="1" a="1"/>
  <c r="U57" i="32" s="1"/>
  <c r="L55" i="12" a="1"/>
  <c r="L55" i="12" s="1"/>
  <c r="R55" i="12" a="1"/>
  <c r="R55" i="12" s="1"/>
  <c r="S55" i="12" s="1"/>
  <c r="M55" i="12" a="1"/>
  <c r="M55" i="12" s="1"/>
  <c r="C55" i="12" s="1" a="1"/>
  <c r="C55" i="12" s="1"/>
  <c r="Q55" i="12" a="1"/>
  <c r="Q55" i="12" s="1"/>
  <c r="K55" i="12" s="1"/>
  <c r="B55" i="12" l="1" a="1"/>
  <c r="B55" i="12" s="1"/>
  <c r="A55" i="12" s="1" a="1"/>
  <c r="A55" i="12" s="1"/>
  <c r="I56" i="12" a="1"/>
  <c r="I56" i="12" s="1"/>
  <c r="CQ55" i="12"/>
  <c r="BH55" i="12"/>
  <c r="X55" i="12" a="1"/>
  <c r="X55" i="12" s="1"/>
  <c r="AC55" i="12" s="1"/>
  <c r="Y55" i="12" a="1"/>
  <c r="Y55" i="12" s="1"/>
  <c r="AD55" i="12" s="1"/>
  <c r="AI55" i="12"/>
  <c r="Z55" i="12" a="1"/>
  <c r="Z55" i="12" s="1"/>
  <c r="AE55" i="12" s="1"/>
  <c r="AA55" i="12" a="1"/>
  <c r="AA55" i="12" s="1"/>
  <c r="AF55" i="12" s="1"/>
  <c r="W55" i="12" a="1"/>
  <c r="W55" i="12" s="1"/>
  <c r="AB55" i="12" s="1"/>
  <c r="T55" i="12" a="1"/>
  <c r="T55" i="12" s="1"/>
  <c r="D55" i="12" s="1"/>
  <c r="E55" i="12" l="1" a="1"/>
  <c r="E55" i="12" s="1"/>
  <c r="AH55" i="12" a="1"/>
  <c r="AH55" i="12" s="1"/>
  <c r="H55" i="12" a="1"/>
  <c r="H55" i="12" s="1"/>
  <c r="B58" i="32"/>
  <c r="AC58" i="32" s="1"/>
  <c r="CT55" i="12"/>
  <c r="CU55" i="12" s="1" a="1"/>
  <c r="CU55" i="12" s="1"/>
  <c r="CR54" i="12"/>
  <c r="CS54" i="12" s="1" a="1"/>
  <c r="CS54" i="12" s="1"/>
  <c r="AG55" i="12"/>
  <c r="F55" i="12" s="1"/>
  <c r="G55" i="12" s="1"/>
  <c r="AJ55" i="12" s="1" a="1"/>
  <c r="AJ55" i="12" s="1"/>
  <c r="J56" i="12"/>
  <c r="P56" i="12"/>
  <c r="U58" i="32" l="1" a="1"/>
  <c r="U58" i="32" s="1"/>
  <c r="R56" i="12" a="1"/>
  <c r="R56" i="12" s="1"/>
  <c r="S56" i="12" s="1"/>
  <c r="Q56" i="12" a="1"/>
  <c r="Q56" i="12" s="1"/>
  <c r="K56" i="12" s="1"/>
  <c r="M56" i="12" a="1"/>
  <c r="M56" i="12" s="1"/>
  <c r="C56" i="12" s="1" a="1"/>
  <c r="C56" i="12" s="1"/>
  <c r="L56" i="12" a="1"/>
  <c r="L56" i="12" s="1"/>
  <c r="B56" i="12" l="1" a="1"/>
  <c r="B56" i="12" s="1"/>
  <c r="A56" i="12" s="1" a="1"/>
  <c r="A56" i="12" s="1"/>
  <c r="T56" i="12" a="1"/>
  <c r="T56" i="12" s="1"/>
  <c r="D56" i="12" s="1"/>
  <c r="BH56" i="12"/>
  <c r="AA56" i="12" a="1"/>
  <c r="AA56" i="12" s="1"/>
  <c r="AF56" i="12" s="1"/>
  <c r="AI56" i="12"/>
  <c r="X56" i="12" a="1"/>
  <c r="X56" i="12" s="1"/>
  <c r="AC56" i="12" s="1"/>
  <c r="Y56" i="12" a="1"/>
  <c r="Y56" i="12" s="1"/>
  <c r="AD56" i="12" s="1"/>
  <c r="W56" i="12" a="1"/>
  <c r="W56" i="12" s="1"/>
  <c r="AB56" i="12" s="1"/>
  <c r="Z56" i="12" a="1"/>
  <c r="Z56" i="12" s="1"/>
  <c r="AE56" i="12" s="1"/>
  <c r="I57" i="12" a="1"/>
  <c r="I57" i="12" s="1"/>
  <c r="CQ56" i="12"/>
  <c r="E56" i="12" l="1" a="1"/>
  <c r="E56" i="12" s="1"/>
  <c r="B59" i="32"/>
  <c r="U59" i="32" s="1" a="1"/>
  <c r="U59" i="32" s="1"/>
  <c r="H56" i="12" a="1"/>
  <c r="H56" i="12" s="1"/>
  <c r="AH56" i="12" a="1"/>
  <c r="AH56" i="12" s="1"/>
  <c r="CT56" i="12"/>
  <c r="CU56" i="12" s="1" a="1"/>
  <c r="CU56" i="12" s="1"/>
  <c r="P57" i="12"/>
  <c r="J57" i="12"/>
  <c r="AG56" i="12"/>
  <c r="F56" i="12" s="1"/>
  <c r="G56" i="12" s="1"/>
  <c r="AJ56" i="12" s="1" a="1"/>
  <c r="AJ56" i="12" s="1"/>
  <c r="CR55" i="12"/>
  <c r="CS55" i="12" s="1" a="1"/>
  <c r="CS55" i="12" s="1"/>
  <c r="AC59" i="32" l="1"/>
  <c r="M57" i="12" a="1"/>
  <c r="M57" i="12" s="1"/>
  <c r="C57" i="12" s="1" a="1"/>
  <c r="C57" i="12" s="1"/>
  <c r="L57" i="12" a="1"/>
  <c r="L57" i="12" s="1"/>
  <c r="R57" i="12" a="1"/>
  <c r="R57" i="12" s="1"/>
  <c r="S57" i="12" s="1"/>
  <c r="Q57" i="12" a="1"/>
  <c r="Q57" i="12" s="1"/>
  <c r="K57" i="12" s="1"/>
  <c r="B57" i="12" l="1" a="1"/>
  <c r="B57" i="12" s="1"/>
  <c r="A57" i="12" s="1" a="1"/>
  <c r="A57" i="12" s="1"/>
  <c r="CQ57" i="12"/>
  <c r="I58" i="12" a="1"/>
  <c r="I58" i="12" s="1"/>
  <c r="BH57" i="12"/>
  <c r="AA57" i="12" a="1"/>
  <c r="AA57" i="12" s="1"/>
  <c r="AF57" i="12" s="1"/>
  <c r="X57" i="12" a="1"/>
  <c r="X57" i="12" s="1"/>
  <c r="AC57" i="12" s="1"/>
  <c r="AI57" i="12"/>
  <c r="Y57" i="12" a="1"/>
  <c r="Y57" i="12" s="1"/>
  <c r="AD57" i="12" s="1"/>
  <c r="Z57" i="12" a="1"/>
  <c r="Z57" i="12" s="1"/>
  <c r="AE57" i="12" s="1"/>
  <c r="W57" i="12" a="1"/>
  <c r="W57" i="12" s="1"/>
  <c r="AB57" i="12" s="1"/>
  <c r="T57" i="12" a="1"/>
  <c r="T57" i="12" s="1"/>
  <c r="D57" i="12" s="1"/>
  <c r="E57" i="12" l="1" a="1"/>
  <c r="E57" i="12" s="1"/>
  <c r="AH57" i="12" a="1"/>
  <c r="AH57" i="12" s="1"/>
  <c r="H57" i="12" a="1"/>
  <c r="H57" i="12" s="1"/>
  <c r="B60" i="32"/>
  <c r="AC60" i="32" s="1"/>
  <c r="CT57" i="12"/>
  <c r="CU57" i="12" s="1" a="1"/>
  <c r="CU57" i="12" s="1"/>
  <c r="J58" i="12"/>
  <c r="P58" i="12"/>
  <c r="AG57" i="12"/>
  <c r="F57" i="12" s="1"/>
  <c r="G57" i="12" s="1"/>
  <c r="AJ57" i="12" s="1" a="1"/>
  <c r="AJ57" i="12" s="1"/>
  <c r="CR56" i="12"/>
  <c r="CS56" i="12" s="1" a="1"/>
  <c r="CS56" i="12" s="1"/>
  <c r="U60" i="32" l="1" a="1"/>
  <c r="U60" i="32" s="1"/>
  <c r="L58" i="12" a="1"/>
  <c r="L58" i="12" s="1"/>
  <c r="R58" i="12" a="1"/>
  <c r="R58" i="12" s="1"/>
  <c r="S58" i="12" s="1"/>
  <c r="Q58" i="12" a="1"/>
  <c r="Q58" i="12" s="1"/>
  <c r="K58" i="12" s="1"/>
  <c r="M58" i="12" a="1"/>
  <c r="M58" i="12" s="1"/>
  <c r="C58" i="12" s="1" a="1"/>
  <c r="C58" i="12" s="1"/>
  <c r="B58" i="12" l="1" a="1"/>
  <c r="B58" i="12" s="1"/>
  <c r="A58" i="12" s="1" a="1"/>
  <c r="A58" i="12" s="1"/>
  <c r="CQ58" i="12"/>
  <c r="I59" i="12" a="1"/>
  <c r="I59" i="12" s="1"/>
  <c r="T58" i="12" a="1"/>
  <c r="T58" i="12" s="1"/>
  <c r="D58" i="12" s="1"/>
  <c r="BH58" i="12"/>
  <c r="AI58" i="12"/>
  <c r="X58" i="12" a="1"/>
  <c r="X58" i="12" s="1"/>
  <c r="AC58" i="12" s="1"/>
  <c r="W58" i="12" a="1"/>
  <c r="W58" i="12" s="1"/>
  <c r="AB58" i="12" s="1"/>
  <c r="Y58" i="12" a="1"/>
  <c r="Y58" i="12" s="1"/>
  <c r="AD58" i="12" s="1"/>
  <c r="Z58" i="12" a="1"/>
  <c r="Z58" i="12" s="1"/>
  <c r="AE58" i="12" s="1"/>
  <c r="AA58" i="12" a="1"/>
  <c r="AA58" i="12" s="1"/>
  <c r="AF58" i="12" s="1"/>
  <c r="E58" i="12" l="1" a="1"/>
  <c r="E58" i="12" s="1"/>
  <c r="AH58" i="12" a="1"/>
  <c r="AH58" i="12" s="1"/>
  <c r="H58" i="12" a="1"/>
  <c r="H58" i="12" s="1"/>
  <c r="B61" i="32"/>
  <c r="AC61" i="32" s="1"/>
  <c r="CT58" i="12"/>
  <c r="CU58" i="12" s="1" a="1"/>
  <c r="CU58" i="12" s="1"/>
  <c r="AG58" i="12"/>
  <c r="F58" i="12" s="1"/>
  <c r="G58" i="12" s="1"/>
  <c r="AJ58" i="12" s="1" a="1"/>
  <c r="AJ58" i="12" s="1"/>
  <c r="P59" i="12"/>
  <c r="J59" i="12"/>
  <c r="CR57" i="12"/>
  <c r="CS57" i="12" s="1" a="1"/>
  <c r="CS57" i="12" s="1"/>
  <c r="U61" i="32" l="1" a="1"/>
  <c r="U61" i="32" s="1"/>
  <c r="Q59" i="12" a="1"/>
  <c r="Q59" i="12" s="1"/>
  <c r="K59" i="12" s="1"/>
  <c r="L59" i="12" a="1"/>
  <c r="L59" i="12" s="1"/>
  <c r="M59" i="12" a="1"/>
  <c r="M59" i="12" s="1"/>
  <c r="C59" i="12" s="1" a="1"/>
  <c r="C59" i="12" s="1"/>
  <c r="R59" i="12" a="1"/>
  <c r="R59" i="12" s="1"/>
  <c r="S59" i="12" s="1"/>
  <c r="B59" i="12" l="1" a="1"/>
  <c r="B59" i="12" s="1"/>
  <c r="A59" i="12" s="1" a="1"/>
  <c r="A59" i="12" s="1"/>
  <c r="I60" i="12" a="1"/>
  <c r="I60" i="12" s="1"/>
  <c r="CQ59" i="12"/>
  <c r="T59" i="12" a="1"/>
  <c r="T59" i="12" s="1"/>
  <c r="D59" i="12" s="1"/>
  <c r="BH59" i="12"/>
  <c r="W59" i="12" a="1"/>
  <c r="W59" i="12" s="1"/>
  <c r="AB59" i="12" s="1"/>
  <c r="Y59" i="12" a="1"/>
  <c r="Y59" i="12" s="1"/>
  <c r="AD59" i="12" s="1"/>
  <c r="AI59" i="12"/>
  <c r="X59" i="12" a="1"/>
  <c r="X59" i="12" s="1"/>
  <c r="AC59" i="12" s="1"/>
  <c r="AA59" i="12" a="1"/>
  <c r="AA59" i="12" s="1"/>
  <c r="AF59" i="12" s="1"/>
  <c r="Z59" i="12" a="1"/>
  <c r="Z59" i="12" s="1"/>
  <c r="AE59" i="12" s="1"/>
  <c r="J12" i="14"/>
  <c r="E59" i="12" l="1" a="1"/>
  <c r="E59" i="12" s="1"/>
  <c r="B62" i="32"/>
  <c r="AC62" i="32" s="1"/>
  <c r="H59" i="12" a="1"/>
  <c r="H59" i="12" s="1"/>
  <c r="AH59" i="12" a="1"/>
  <c r="AH59" i="12" s="1"/>
  <c r="CT59" i="12"/>
  <c r="CU59" i="12" s="1" a="1"/>
  <c r="CU59" i="12" s="1"/>
  <c r="AG59" i="12"/>
  <c r="F59" i="12" s="1"/>
  <c r="G59" i="12" s="1"/>
  <c r="AJ59" i="12" s="1" a="1"/>
  <c r="AJ59" i="12" s="1"/>
  <c r="CR58" i="12"/>
  <c r="CS58" i="12" s="1" a="1"/>
  <c r="CS58" i="12" s="1"/>
  <c r="P60" i="12"/>
  <c r="J60" i="12"/>
  <c r="K12" i="14" a="1"/>
  <c r="K12" i="14" s="1"/>
  <c r="K13" i="14" s="1" a="1"/>
  <c r="K13" i="14" s="1"/>
  <c r="K14" i="14" s="1" a="1"/>
  <c r="K14" i="14" s="1"/>
  <c r="K15" i="14" s="1" a="1"/>
  <c r="K15" i="14" s="1"/>
  <c r="F20" i="14" s="1"/>
  <c r="G20" i="14" a="1"/>
  <c r="U62" i="32" l="1" a="1"/>
  <c r="U62" i="32" s="1"/>
  <c r="L60" i="12" a="1"/>
  <c r="L60" i="12" s="1"/>
  <c r="Q60" i="12" a="1"/>
  <c r="Q60" i="12" s="1"/>
  <c r="K60" i="12" s="1"/>
  <c r="M60" i="12" a="1"/>
  <c r="M60" i="12" s="1"/>
  <c r="C60" i="12" s="1" a="1"/>
  <c r="C60" i="12" s="1"/>
  <c r="R60" i="12" a="1"/>
  <c r="R60" i="12" s="1"/>
  <c r="S60" i="12" s="1"/>
  <c r="G20" i="14"/>
  <c r="E20" i="14" a="1"/>
  <c r="E20" i="14" s="1"/>
  <c r="C21" i="14" s="1" a="1"/>
  <c r="C21" i="14" s="1"/>
  <c r="I20" i="14" a="1"/>
  <c r="B60" i="12" l="1" a="1"/>
  <c r="B60" i="12" s="1"/>
  <c r="A60" i="12" s="1" a="1"/>
  <c r="A60" i="12" s="1"/>
  <c r="T60" i="12" a="1"/>
  <c r="T60" i="12" s="1"/>
  <c r="D60" i="12" s="1"/>
  <c r="BH60" i="12"/>
  <c r="W60" i="12" a="1"/>
  <c r="W60" i="12" s="1"/>
  <c r="AB60" i="12" s="1"/>
  <c r="X60" i="12" a="1"/>
  <c r="X60" i="12" s="1"/>
  <c r="AC60" i="12" s="1"/>
  <c r="AA60" i="12" a="1"/>
  <c r="AA60" i="12" s="1"/>
  <c r="AF60" i="12" s="1"/>
  <c r="AI60" i="12"/>
  <c r="Y60" i="12" a="1"/>
  <c r="Y60" i="12" s="1"/>
  <c r="AD60" i="12" s="1"/>
  <c r="Z60" i="12" a="1"/>
  <c r="Z60" i="12" s="1"/>
  <c r="AE60" i="12" s="1"/>
  <c r="CQ60" i="12"/>
  <c r="I61" i="12" a="1"/>
  <c r="I61" i="12" s="1"/>
  <c r="I20" i="14"/>
  <c r="B20" i="14" s="1" a="1"/>
  <c r="B20" i="14" s="1"/>
  <c r="D21" i="14"/>
  <c r="F21" i="14"/>
  <c r="G21" i="14" a="1"/>
  <c r="E60" i="12" l="1" a="1"/>
  <c r="E60" i="12" s="1"/>
  <c r="CT60" i="12"/>
  <c r="CU60" i="12" s="1" a="1"/>
  <c r="CU60" i="12" s="1"/>
  <c r="B63" i="32"/>
  <c r="U63" i="32" s="1" a="1"/>
  <c r="U63" i="32" s="1"/>
  <c r="AH60" i="12" a="1"/>
  <c r="AH60" i="12" s="1"/>
  <c r="H60" i="12" a="1"/>
  <c r="H60" i="12" s="1"/>
  <c r="P61" i="12"/>
  <c r="J61" i="12"/>
  <c r="CR59" i="12"/>
  <c r="CS59" i="12" s="1" a="1"/>
  <c r="CS59" i="12" s="1"/>
  <c r="AG60" i="12"/>
  <c r="F60" i="12" s="1"/>
  <c r="G60" i="12" s="1"/>
  <c r="AJ60" i="12" s="1" a="1"/>
  <c r="AJ60" i="12" s="1"/>
  <c r="G21" i="14"/>
  <c r="E21" i="14" a="1"/>
  <c r="E21" i="14" s="1"/>
  <c r="C22" i="14" s="1" a="1"/>
  <c r="C22" i="14" s="1"/>
  <c r="I21" i="14" a="1"/>
  <c r="AC63" i="32" l="1"/>
  <c r="Q61" i="12" a="1"/>
  <c r="Q61" i="12" s="1"/>
  <c r="K61" i="12" s="1"/>
  <c r="M61" i="12" a="1"/>
  <c r="M61" i="12" s="1"/>
  <c r="C61" i="12" s="1" a="1"/>
  <c r="C61" i="12" s="1"/>
  <c r="L61" i="12" a="1"/>
  <c r="L61" i="12" s="1"/>
  <c r="R61" i="12" a="1"/>
  <c r="R61" i="12" s="1"/>
  <c r="S61" i="12" s="1"/>
  <c r="I21" i="14"/>
  <c r="B21" i="14" s="1" a="1"/>
  <c r="B21" i="14" s="1"/>
  <c r="D22" i="14"/>
  <c r="F22" i="14"/>
  <c r="G22" i="14" a="1"/>
  <c r="B61" i="12" l="1" a="1"/>
  <c r="B61" i="12" s="1"/>
  <c r="A61" i="12" s="1" a="1"/>
  <c r="A61" i="12" s="1"/>
  <c r="CQ61" i="12"/>
  <c r="I62" i="12" a="1"/>
  <c r="I62" i="12" s="1"/>
  <c r="T61" i="12" a="1"/>
  <c r="T61" i="12" s="1"/>
  <c r="D61" i="12" s="1"/>
  <c r="BH61" i="12"/>
  <c r="Y61" i="12" a="1"/>
  <c r="Y61" i="12" s="1"/>
  <c r="AD61" i="12" s="1"/>
  <c r="X61" i="12" a="1"/>
  <c r="X61" i="12" s="1"/>
  <c r="AC61" i="12" s="1"/>
  <c r="AA61" i="12" a="1"/>
  <c r="AA61" i="12" s="1"/>
  <c r="AF61" i="12" s="1"/>
  <c r="AI61" i="12"/>
  <c r="W61" i="12" a="1"/>
  <c r="W61" i="12" s="1"/>
  <c r="AB61" i="12" s="1"/>
  <c r="Z61" i="12" a="1"/>
  <c r="Z61" i="12" s="1"/>
  <c r="AE61" i="12" s="1"/>
  <c r="G22" i="14"/>
  <c r="I22" i="14" s="1" a="1"/>
  <c r="E22" i="14" a="1"/>
  <c r="E22" i="14" s="1"/>
  <c r="C23" i="14" s="1" a="1"/>
  <c r="C23" i="14" s="1"/>
  <c r="E61" i="12" l="1" a="1"/>
  <c r="E61" i="12" s="1"/>
  <c r="B64" i="32"/>
  <c r="U64" i="32" s="1" a="1"/>
  <c r="U64" i="32" s="1"/>
  <c r="AH61" i="12" a="1"/>
  <c r="AH61" i="12" s="1"/>
  <c r="H61" i="12" a="1"/>
  <c r="H61" i="12" s="1"/>
  <c r="CT61" i="12"/>
  <c r="CU61" i="12" s="1" a="1"/>
  <c r="CU61" i="12" s="1"/>
  <c r="AG61" i="12"/>
  <c r="F61" i="12" s="1"/>
  <c r="G61" i="12" s="1"/>
  <c r="AJ61" i="12" s="1" a="1"/>
  <c r="AJ61" i="12" s="1"/>
  <c r="J62" i="12"/>
  <c r="P62" i="12"/>
  <c r="CR60" i="12"/>
  <c r="CS60" i="12" s="1" a="1"/>
  <c r="CS60" i="12" s="1"/>
  <c r="I22" i="14"/>
  <c r="B22" i="14" s="1" a="1"/>
  <c r="B22" i="14" s="1"/>
  <c r="D23" i="14"/>
  <c r="F23" i="14"/>
  <c r="G23" i="14" a="1"/>
  <c r="AC64" i="32" l="1"/>
  <c r="Q62" i="12" a="1"/>
  <c r="Q62" i="12" s="1"/>
  <c r="K62" i="12" s="1"/>
  <c r="M62" i="12" a="1"/>
  <c r="M62" i="12" s="1"/>
  <c r="C62" i="12" s="1" a="1"/>
  <c r="C62" i="12" s="1"/>
  <c r="L62" i="12" a="1"/>
  <c r="L62" i="12" s="1"/>
  <c r="R62" i="12" a="1"/>
  <c r="R62" i="12" s="1"/>
  <c r="S62" i="12" s="1"/>
  <c r="G23" i="14"/>
  <c r="I23" i="14" s="1" a="1"/>
  <c r="E23" i="14" a="1"/>
  <c r="E23" i="14" s="1"/>
  <c r="C24" i="14" s="1" a="1"/>
  <c r="C24" i="14" s="1"/>
  <c r="B62" i="12" l="1" a="1"/>
  <c r="B62" i="12" s="1"/>
  <c r="A62" i="12" s="1" a="1"/>
  <c r="A62" i="12" s="1"/>
  <c r="I63" i="12" a="1"/>
  <c r="I63" i="12" s="1"/>
  <c r="CQ62" i="12"/>
  <c r="T62" i="12" a="1"/>
  <c r="T62" i="12" s="1"/>
  <c r="D62" i="12" s="1"/>
  <c r="BH62" i="12"/>
  <c r="X62" i="12" a="1"/>
  <c r="X62" i="12" s="1"/>
  <c r="AC62" i="12" s="1"/>
  <c r="W62" i="12" a="1"/>
  <c r="W62" i="12" s="1"/>
  <c r="AB62" i="12" s="1"/>
  <c r="Z62" i="12" a="1"/>
  <c r="Z62" i="12" s="1"/>
  <c r="AE62" i="12" s="1"/>
  <c r="AA62" i="12" a="1"/>
  <c r="AA62" i="12" s="1"/>
  <c r="AF62" i="12" s="1"/>
  <c r="AI62" i="12"/>
  <c r="Y62" i="12" a="1"/>
  <c r="Y62" i="12" s="1"/>
  <c r="AD62" i="12" s="1"/>
  <c r="I23" i="14"/>
  <c r="B23" i="14" s="1" a="1"/>
  <c r="B23" i="14" s="1"/>
  <c r="F24" i="14"/>
  <c r="D24" i="14"/>
  <c r="G24" i="14" a="1"/>
  <c r="E62" i="12" l="1" a="1"/>
  <c r="E62" i="12" s="1"/>
  <c r="B65" i="32"/>
  <c r="U65" i="32" s="1" a="1"/>
  <c r="U65" i="32" s="1"/>
  <c r="AH62" i="12" a="1"/>
  <c r="AH62" i="12" s="1"/>
  <c r="H62" i="12" a="1"/>
  <c r="H62" i="12" s="1"/>
  <c r="CT62" i="12"/>
  <c r="CU62" i="12" s="1" a="1"/>
  <c r="CU62" i="12" s="1"/>
  <c r="AG62" i="12"/>
  <c r="F62" i="12" s="1"/>
  <c r="G62" i="12" s="1"/>
  <c r="AJ62" i="12" s="1" a="1"/>
  <c r="AJ62" i="12" s="1"/>
  <c r="CR61" i="12"/>
  <c r="CS61" i="12" s="1" a="1"/>
  <c r="CS61" i="12" s="1"/>
  <c r="J63" i="12"/>
  <c r="P63" i="12"/>
  <c r="G24" i="14"/>
  <c r="I24" i="14" s="1" a="1"/>
  <c r="E24" i="14" a="1"/>
  <c r="E24" i="14" s="1"/>
  <c r="C25" i="14" s="1" a="1"/>
  <c r="C25" i="14" s="1"/>
  <c r="AC65" i="32" l="1"/>
  <c r="Q63" i="12" a="1"/>
  <c r="Q63" i="12" s="1"/>
  <c r="K63" i="12" s="1"/>
  <c r="M63" i="12" a="1"/>
  <c r="M63" i="12" s="1"/>
  <c r="C63" i="12" s="1" a="1"/>
  <c r="C63" i="12" s="1"/>
  <c r="R63" i="12" a="1"/>
  <c r="R63" i="12" s="1"/>
  <c r="S63" i="12" s="1"/>
  <c r="L63" i="12" a="1"/>
  <c r="L63" i="12" s="1"/>
  <c r="I24" i="14"/>
  <c r="B24" i="14" s="1" a="1"/>
  <c r="B24" i="14" s="1"/>
  <c r="F25" i="14"/>
  <c r="D25" i="14"/>
  <c r="G25" i="14" a="1"/>
  <c r="B63" i="12" l="1" a="1"/>
  <c r="B63" i="12" s="1"/>
  <c r="A63" i="12" s="1" a="1"/>
  <c r="A63" i="12" s="1"/>
  <c r="T63" i="12" a="1"/>
  <c r="T63" i="12" s="1"/>
  <c r="D63" i="12" s="1"/>
  <c r="CQ63" i="12"/>
  <c r="I64" i="12" a="1"/>
  <c r="I64" i="12" s="1"/>
  <c r="BH63" i="12"/>
  <c r="AA63" i="12" a="1"/>
  <c r="AA63" i="12" s="1"/>
  <c r="AF63" i="12" s="1"/>
  <c r="Y63" i="12" a="1"/>
  <c r="Y63" i="12" s="1"/>
  <c r="AD63" i="12" s="1"/>
  <c r="X63" i="12" a="1"/>
  <c r="X63" i="12" s="1"/>
  <c r="AC63" i="12" s="1"/>
  <c r="Z63" i="12" a="1"/>
  <c r="Z63" i="12" s="1"/>
  <c r="AE63" i="12" s="1"/>
  <c r="W63" i="12" a="1"/>
  <c r="W63" i="12" s="1"/>
  <c r="AB63" i="12" s="1"/>
  <c r="AI63" i="12"/>
  <c r="G25" i="14"/>
  <c r="I25" i="14" s="1" a="1"/>
  <c r="E25" i="14" a="1"/>
  <c r="E25" i="14" s="1"/>
  <c r="C26" i="14" s="1" a="1"/>
  <c r="C26" i="14" s="1"/>
  <c r="E63" i="12" l="1" a="1"/>
  <c r="E63" i="12" s="1"/>
  <c r="B66" i="32"/>
  <c r="U66" i="32" s="1" a="1"/>
  <c r="U66" i="32" s="1"/>
  <c r="AH63" i="12" a="1"/>
  <c r="AH63" i="12" s="1"/>
  <c r="H63" i="12" a="1"/>
  <c r="H63" i="12" s="1"/>
  <c r="CT63" i="12"/>
  <c r="CU63" i="12" s="1" a="1"/>
  <c r="CU63" i="12" s="1"/>
  <c r="AG63" i="12"/>
  <c r="F63" i="12" s="1"/>
  <c r="G63" i="12" s="1"/>
  <c r="AJ63" i="12" s="1" a="1"/>
  <c r="AJ63" i="12" s="1"/>
  <c r="J64" i="12"/>
  <c r="P64" i="12"/>
  <c r="CR62" i="12"/>
  <c r="CS62" i="12" s="1" a="1"/>
  <c r="CS62" i="12" s="1"/>
  <c r="I25" i="14"/>
  <c r="B25" i="14" s="1" a="1"/>
  <c r="B25" i="14" s="1"/>
  <c r="F26" i="14"/>
  <c r="D26" i="14"/>
  <c r="G26" i="14" a="1"/>
  <c r="AC66" i="32" l="1"/>
  <c r="L64" i="12" a="1"/>
  <c r="L64" i="12" s="1"/>
  <c r="Q64" i="12" a="1"/>
  <c r="Q64" i="12" s="1"/>
  <c r="K64" i="12" s="1"/>
  <c r="M64" i="12" a="1"/>
  <c r="M64" i="12" s="1"/>
  <c r="C64" i="12" s="1" a="1"/>
  <c r="C64" i="12" s="1"/>
  <c r="R64" i="12" a="1"/>
  <c r="R64" i="12" s="1"/>
  <c r="S64" i="12" s="1"/>
  <c r="G26" i="14"/>
  <c r="I26" i="14" s="1" a="1"/>
  <c r="E26" i="14" a="1"/>
  <c r="E26" i="14" s="1"/>
  <c r="C27" i="14" s="1" a="1"/>
  <c r="C27" i="14" s="1"/>
  <c r="B64" i="12" l="1" a="1"/>
  <c r="B64" i="12" s="1"/>
  <c r="A64" i="12" s="1" a="1"/>
  <c r="A64" i="12" s="1"/>
  <c r="T64" i="12" a="1"/>
  <c r="T64" i="12" s="1"/>
  <c r="D64" i="12" s="1"/>
  <c r="CQ64" i="12"/>
  <c r="I65" i="12" a="1"/>
  <c r="I65" i="12" s="1"/>
  <c r="BH64" i="12"/>
  <c r="X64" i="12" a="1"/>
  <c r="X64" i="12" s="1"/>
  <c r="AC64" i="12" s="1"/>
  <c r="W64" i="12" a="1"/>
  <c r="W64" i="12" s="1"/>
  <c r="AB64" i="12" s="1"/>
  <c r="AI64" i="12"/>
  <c r="Y64" i="12" a="1"/>
  <c r="Y64" i="12" s="1"/>
  <c r="AD64" i="12" s="1"/>
  <c r="Z64" i="12" a="1"/>
  <c r="Z64" i="12" s="1"/>
  <c r="AE64" i="12" s="1"/>
  <c r="AA64" i="12" a="1"/>
  <c r="AA64" i="12" s="1"/>
  <c r="AF64" i="12" s="1"/>
  <c r="I26" i="14"/>
  <c r="B26" i="14" s="1" a="1"/>
  <c r="B26" i="14" s="1"/>
  <c r="D27" i="14"/>
  <c r="F27" i="14"/>
  <c r="G27" i="14" a="1"/>
  <c r="E64" i="12" l="1" a="1"/>
  <c r="E64" i="12" s="1"/>
  <c r="H64" i="12" a="1"/>
  <c r="H64" i="12" s="1"/>
  <c r="B67" i="32"/>
  <c r="U67" i="32" s="1" a="1"/>
  <c r="U67" i="32" s="1"/>
  <c r="AH64" i="12" a="1"/>
  <c r="AH64" i="12" s="1"/>
  <c r="CT64" i="12"/>
  <c r="CU64" i="12" s="1" a="1"/>
  <c r="CU64" i="12" s="1"/>
  <c r="AG64" i="12"/>
  <c r="F64" i="12" s="1"/>
  <c r="G64" i="12" s="1"/>
  <c r="AJ64" i="12" s="1" a="1"/>
  <c r="AJ64" i="12" s="1"/>
  <c r="P65" i="12"/>
  <c r="J65" i="12"/>
  <c r="CR63" i="12"/>
  <c r="CS63" i="12" s="1" a="1"/>
  <c r="CS63" i="12" s="1"/>
  <c r="G27" i="14"/>
  <c r="I27" i="14" s="1" a="1"/>
  <c r="E27" i="14" a="1"/>
  <c r="E27" i="14" s="1"/>
  <c r="C28" i="14" s="1" a="1"/>
  <c r="C28" i="14" s="1"/>
  <c r="AC67" i="32" l="1"/>
  <c r="Q65" i="12" a="1"/>
  <c r="Q65" i="12" s="1"/>
  <c r="K65" i="12" s="1"/>
  <c r="L65" i="12" a="1"/>
  <c r="L65" i="12" s="1"/>
  <c r="M65" i="12" a="1"/>
  <c r="M65" i="12" s="1"/>
  <c r="C65" i="12" s="1" a="1"/>
  <c r="C65" i="12" s="1"/>
  <c r="R65" i="12" a="1"/>
  <c r="R65" i="12" s="1"/>
  <c r="S65" i="12" s="1"/>
  <c r="I27" i="14"/>
  <c r="B27" i="14" s="1" a="1"/>
  <c r="B27" i="14" s="1"/>
  <c r="D28" i="14"/>
  <c r="F28" i="14"/>
  <c r="G28" i="14" a="1"/>
  <c r="B65" i="12" l="1" a="1"/>
  <c r="B65" i="12" s="1"/>
  <c r="A65" i="12" s="1" a="1"/>
  <c r="A65" i="12" s="1"/>
  <c r="I66" i="12" a="1"/>
  <c r="I66" i="12" s="1"/>
  <c r="CQ65" i="12"/>
  <c r="T65" i="12" a="1"/>
  <c r="T65" i="12" s="1"/>
  <c r="D65" i="12" s="1"/>
  <c r="BH65" i="12"/>
  <c r="AI65" i="12"/>
  <c r="X65" i="12" a="1"/>
  <c r="X65" i="12" s="1"/>
  <c r="AC65" i="12" s="1"/>
  <c r="AA65" i="12" a="1"/>
  <c r="AA65" i="12" s="1"/>
  <c r="AF65" i="12" s="1"/>
  <c r="Y65" i="12" a="1"/>
  <c r="Y65" i="12" s="1"/>
  <c r="AD65" i="12" s="1"/>
  <c r="W65" i="12" a="1"/>
  <c r="W65" i="12" s="1"/>
  <c r="AB65" i="12" s="1"/>
  <c r="Z65" i="12" a="1"/>
  <c r="Z65" i="12" s="1"/>
  <c r="AE65" i="12" s="1"/>
  <c r="G28" i="14"/>
  <c r="I28" i="14" s="1" a="1"/>
  <c r="E28" i="14" a="1"/>
  <c r="E28" i="14" s="1"/>
  <c r="C29" i="14" s="1" a="1"/>
  <c r="C29" i="14" s="1"/>
  <c r="E65" i="12" l="1" a="1"/>
  <c r="E65" i="12" s="1"/>
  <c r="B68" i="32"/>
  <c r="AC68" i="32" s="1"/>
  <c r="H65" i="12" a="1"/>
  <c r="H65" i="12" s="1"/>
  <c r="AH65" i="12" a="1"/>
  <c r="AH65" i="12" s="1"/>
  <c r="CT65" i="12"/>
  <c r="CU65" i="12" s="1" a="1"/>
  <c r="CU65" i="12" s="1"/>
  <c r="AG65" i="12"/>
  <c r="F65" i="12" s="1"/>
  <c r="G65" i="12" s="1"/>
  <c r="AJ65" i="12" s="1" a="1"/>
  <c r="AJ65" i="12" s="1"/>
  <c r="CR64" i="12"/>
  <c r="CS64" i="12" s="1" a="1"/>
  <c r="CS64" i="12" s="1"/>
  <c r="J66" i="12"/>
  <c r="P66" i="12"/>
  <c r="I28" i="14"/>
  <c r="B28" i="14" s="1" a="1"/>
  <c r="B28" i="14" s="1"/>
  <c r="D29" i="14"/>
  <c r="F29" i="14"/>
  <c r="G29" i="14" a="1"/>
  <c r="U68" i="32" l="1" a="1"/>
  <c r="U68" i="32" s="1"/>
  <c r="M66" i="12" a="1"/>
  <c r="M66" i="12" s="1"/>
  <c r="C66" i="12" s="1" a="1"/>
  <c r="C66" i="12" s="1"/>
  <c r="L66" i="12" a="1"/>
  <c r="L66" i="12" s="1"/>
  <c r="Q66" i="12" a="1"/>
  <c r="Q66" i="12" s="1"/>
  <c r="K66" i="12" s="1"/>
  <c r="R66" i="12" a="1"/>
  <c r="R66" i="12" s="1"/>
  <c r="S66" i="12" s="1"/>
  <c r="G29" i="14"/>
  <c r="I29" i="14" s="1" a="1"/>
  <c r="E29" i="14" a="1"/>
  <c r="E29" i="14" s="1"/>
  <c r="C30" i="14" s="1" a="1"/>
  <c r="C30" i="14" s="1"/>
  <c r="B66" i="12" l="1" a="1"/>
  <c r="B66" i="12" s="1"/>
  <c r="A66" i="12" s="1" a="1"/>
  <c r="A66" i="12" s="1"/>
  <c r="BH66" i="12"/>
  <c r="AA66" i="12" a="1"/>
  <c r="AA66" i="12" s="1"/>
  <c r="AF66" i="12" s="1"/>
  <c r="W66" i="12" a="1"/>
  <c r="W66" i="12" s="1"/>
  <c r="AB66" i="12" s="1"/>
  <c r="AI66" i="12"/>
  <c r="Y66" i="12" a="1"/>
  <c r="Y66" i="12" s="1"/>
  <c r="AD66" i="12" s="1"/>
  <c r="X66" i="12" a="1"/>
  <c r="X66" i="12" s="1"/>
  <c r="AC66" i="12" s="1"/>
  <c r="Z66" i="12" a="1"/>
  <c r="Z66" i="12" s="1"/>
  <c r="AE66" i="12" s="1"/>
  <c r="CQ66" i="12"/>
  <c r="I67" i="12" a="1"/>
  <c r="I67" i="12" s="1"/>
  <c r="T66" i="12" a="1"/>
  <c r="T66" i="12" s="1"/>
  <c r="D66" i="12" s="1"/>
  <c r="I29" i="14"/>
  <c r="B29" i="14" s="1" a="1"/>
  <c r="B29" i="14" s="1"/>
  <c r="D30" i="14"/>
  <c r="F30" i="14"/>
  <c r="G30" i="14" a="1"/>
  <c r="E66" i="12" l="1" a="1"/>
  <c r="E66" i="12" s="1"/>
  <c r="H66" i="12" a="1"/>
  <c r="H66" i="12" s="1"/>
  <c r="CT66" i="12"/>
  <c r="CU66" i="12" s="1" a="1"/>
  <c r="CU66" i="12" s="1"/>
  <c r="AH66" i="12" a="1"/>
  <c r="AH66" i="12" s="1"/>
  <c r="B69" i="32"/>
  <c r="AC69" i="32" s="1"/>
  <c r="J67" i="12"/>
  <c r="P67" i="12"/>
  <c r="CR65" i="12"/>
  <c r="CS65" i="12" s="1" a="1"/>
  <c r="CS65" i="12" s="1"/>
  <c r="AG66" i="12"/>
  <c r="F66" i="12" s="1"/>
  <c r="G66" i="12" s="1"/>
  <c r="AJ66" i="12" s="1" a="1"/>
  <c r="AJ66" i="12" s="1"/>
  <c r="G30" i="14"/>
  <c r="I30" i="14" s="1" a="1"/>
  <c r="E30" i="14" a="1"/>
  <c r="E30" i="14" s="1"/>
  <c r="C31" i="14" s="1" a="1"/>
  <c r="C31" i="14" s="1"/>
  <c r="U69" i="32" l="1" a="1"/>
  <c r="U69" i="32" s="1"/>
  <c r="L67" i="12" a="1"/>
  <c r="L67" i="12" s="1"/>
  <c r="Q67" i="12" a="1"/>
  <c r="Q67" i="12" s="1"/>
  <c r="K67" i="12" s="1"/>
  <c r="M67" i="12" a="1"/>
  <c r="M67" i="12" s="1"/>
  <c r="C67" i="12" s="1" a="1"/>
  <c r="C67" i="12" s="1"/>
  <c r="R67" i="12" a="1"/>
  <c r="R67" i="12" s="1"/>
  <c r="S67" i="12" s="1"/>
  <c r="I30" i="14"/>
  <c r="B30" i="14" s="1" a="1"/>
  <c r="B30" i="14" s="1"/>
  <c r="F31" i="14"/>
  <c r="D31" i="14"/>
  <c r="G31" i="14" a="1"/>
  <c r="B67" i="12" l="1" a="1"/>
  <c r="B67" i="12" s="1"/>
  <c r="A67" i="12" s="1" a="1"/>
  <c r="A67" i="12" s="1"/>
  <c r="CQ67" i="12"/>
  <c r="I68" i="12" a="1"/>
  <c r="I68" i="12" s="1"/>
  <c r="T67" i="12" a="1"/>
  <c r="T67" i="12" s="1"/>
  <c r="D67" i="12" s="1"/>
  <c r="BH67" i="12"/>
  <c r="Y67" i="12" a="1"/>
  <c r="Y67" i="12" s="1"/>
  <c r="AD67" i="12" s="1"/>
  <c r="W67" i="12" a="1"/>
  <c r="W67" i="12" s="1"/>
  <c r="AB67" i="12" s="1"/>
  <c r="AI67" i="12"/>
  <c r="AA67" i="12" a="1"/>
  <c r="AA67" i="12" s="1"/>
  <c r="AF67" i="12" s="1"/>
  <c r="Z67" i="12" a="1"/>
  <c r="Z67" i="12" s="1"/>
  <c r="AE67" i="12" s="1"/>
  <c r="X67" i="12" a="1"/>
  <c r="X67" i="12" s="1"/>
  <c r="AC67" i="12" s="1"/>
  <c r="G31" i="14"/>
  <c r="I31" i="14" s="1" a="1"/>
  <c r="E31" i="14" a="1"/>
  <c r="E31" i="14" s="1"/>
  <c r="C32" i="14" s="1" a="1"/>
  <c r="C32" i="14" s="1"/>
  <c r="E67" i="12" l="1" a="1"/>
  <c r="E67" i="12" s="1"/>
  <c r="H67" i="12" a="1"/>
  <c r="H67" i="12" s="1"/>
  <c r="B70" i="32"/>
  <c r="AC70" i="32" s="1"/>
  <c r="CT67" i="12"/>
  <c r="CU67" i="12" s="1" a="1"/>
  <c r="CU67" i="12" s="1"/>
  <c r="AH67" i="12" a="1"/>
  <c r="AH67" i="12" s="1"/>
  <c r="AG67" i="12"/>
  <c r="F67" i="12" s="1"/>
  <c r="G67" i="12" s="1"/>
  <c r="AJ67" i="12" s="1" a="1"/>
  <c r="AJ67" i="12" s="1"/>
  <c r="P68" i="12"/>
  <c r="J68" i="12"/>
  <c r="CR66" i="12"/>
  <c r="CS66" i="12" s="1" a="1"/>
  <c r="CS66" i="12" s="1"/>
  <c r="I31" i="14"/>
  <c r="B31" i="14" s="1" a="1"/>
  <c r="B31" i="14" s="1"/>
  <c r="F32" i="14"/>
  <c r="D32" i="14"/>
  <c r="G32" i="14" a="1"/>
  <c r="U70" i="32" l="1" a="1"/>
  <c r="U70" i="32" s="1"/>
  <c r="M68" i="12" a="1"/>
  <c r="M68" i="12" s="1"/>
  <c r="C68" i="12" s="1" a="1"/>
  <c r="C68" i="12" s="1"/>
  <c r="L68" i="12" a="1"/>
  <c r="L68" i="12" s="1"/>
  <c r="Q68" i="12" a="1"/>
  <c r="Q68" i="12" s="1"/>
  <c r="K68" i="12" s="1"/>
  <c r="R68" i="12" a="1"/>
  <c r="R68" i="12" s="1"/>
  <c r="S68" i="12" s="1"/>
  <c r="G32" i="14"/>
  <c r="I32" i="14" s="1" a="1"/>
  <c r="E32" i="14" a="1"/>
  <c r="E32" i="14" s="1"/>
  <c r="C33" i="14" s="1" a="1"/>
  <c r="C33" i="14" s="1"/>
  <c r="B68" i="12" l="1" a="1"/>
  <c r="B68" i="12" s="1"/>
  <c r="A68" i="12" s="1" a="1"/>
  <c r="A68" i="12" s="1"/>
  <c r="BH68" i="12"/>
  <c r="W68" i="12" a="1"/>
  <c r="W68" i="12" s="1"/>
  <c r="AB68" i="12" s="1"/>
  <c r="Y68" i="12" a="1"/>
  <c r="Y68" i="12" s="1"/>
  <c r="AD68" i="12" s="1"/>
  <c r="X68" i="12" a="1"/>
  <c r="X68" i="12" s="1"/>
  <c r="AC68" i="12" s="1"/>
  <c r="AI68" i="12"/>
  <c r="Z68" i="12" a="1"/>
  <c r="Z68" i="12" s="1"/>
  <c r="AE68" i="12" s="1"/>
  <c r="AA68" i="12" a="1"/>
  <c r="AA68" i="12" s="1"/>
  <c r="AF68" i="12" s="1"/>
  <c r="I69" i="12" a="1"/>
  <c r="I69" i="12" s="1"/>
  <c r="CQ68" i="12"/>
  <c r="T68" i="12" a="1"/>
  <c r="T68" i="12" s="1"/>
  <c r="D68" i="12" s="1"/>
  <c r="I32" i="14"/>
  <c r="B32" i="14" s="1" a="1"/>
  <c r="B32" i="14" s="1"/>
  <c r="F33" i="14"/>
  <c r="D33" i="14"/>
  <c r="G33" i="14" a="1"/>
  <c r="E68" i="12" l="1" a="1"/>
  <c r="E68" i="12" s="1"/>
  <c r="B71" i="32"/>
  <c r="AC71" i="32" s="1"/>
  <c r="AH68" i="12" a="1"/>
  <c r="AH68" i="12" s="1"/>
  <c r="H68" i="12" a="1"/>
  <c r="H68" i="12" s="1"/>
  <c r="CT68" i="12"/>
  <c r="CU68" i="12" s="1" a="1"/>
  <c r="CU68" i="12" s="1"/>
  <c r="CR67" i="12"/>
  <c r="CS67" i="12" s="1" a="1"/>
  <c r="CS67" i="12" s="1"/>
  <c r="J69" i="12"/>
  <c r="P69" i="12"/>
  <c r="AG68" i="12"/>
  <c r="F68" i="12" s="1"/>
  <c r="G68" i="12" s="1"/>
  <c r="AJ68" i="12" s="1" a="1"/>
  <c r="AJ68" i="12" s="1"/>
  <c r="G33" i="14"/>
  <c r="I33" i="14" s="1" a="1"/>
  <c r="E33" i="14" a="1"/>
  <c r="E33" i="14" s="1"/>
  <c r="C34" i="14" s="1" a="1"/>
  <c r="C34" i="14" s="1"/>
  <c r="U71" i="32" l="1" a="1"/>
  <c r="U71" i="32" s="1"/>
  <c r="Q69" i="12" a="1"/>
  <c r="Q69" i="12" s="1"/>
  <c r="K69" i="12" s="1"/>
  <c r="M69" i="12" a="1"/>
  <c r="M69" i="12" s="1"/>
  <c r="C69" i="12" s="1" a="1"/>
  <c r="C69" i="12" s="1"/>
  <c r="L69" i="12" a="1"/>
  <c r="L69" i="12" s="1"/>
  <c r="R69" i="12" a="1"/>
  <c r="R69" i="12" s="1"/>
  <c r="S69" i="12" s="1"/>
  <c r="I33" i="14"/>
  <c r="B33" i="14" s="1" a="1"/>
  <c r="B33" i="14" s="1"/>
  <c r="F34" i="14"/>
  <c r="D34" i="14"/>
  <c r="G34" i="14" a="1"/>
  <c r="B69" i="12" l="1" a="1"/>
  <c r="B69" i="12" s="1"/>
  <c r="A69" i="12" s="1" a="1"/>
  <c r="A69" i="12" s="1"/>
  <c r="I70" i="12" a="1"/>
  <c r="I70" i="12" s="1"/>
  <c r="CQ69" i="12"/>
  <c r="T69" i="12" a="1"/>
  <c r="T69" i="12" s="1"/>
  <c r="D69" i="12" s="1"/>
  <c r="BH69" i="12"/>
  <c r="X69" i="12" a="1"/>
  <c r="X69" i="12" s="1"/>
  <c r="AC69" i="12" s="1"/>
  <c r="W69" i="12" a="1"/>
  <c r="W69" i="12" s="1"/>
  <c r="AB69" i="12" s="1"/>
  <c r="AI69" i="12"/>
  <c r="AA69" i="12" a="1"/>
  <c r="AA69" i="12" s="1"/>
  <c r="AF69" i="12" s="1"/>
  <c r="Y69" i="12" a="1"/>
  <c r="Y69" i="12" s="1"/>
  <c r="AD69" i="12" s="1"/>
  <c r="Z69" i="12" a="1"/>
  <c r="Z69" i="12" s="1"/>
  <c r="AE69" i="12" s="1"/>
  <c r="G34" i="14"/>
  <c r="I34" i="14" s="1" a="1"/>
  <c r="E34" i="14" a="1"/>
  <c r="E34" i="14" s="1"/>
  <c r="C35" i="14" s="1" a="1"/>
  <c r="C35" i="14" s="1"/>
  <c r="B72" i="32" l="1"/>
  <c r="AC72" i="32" s="1"/>
  <c r="E69" i="12" a="1"/>
  <c r="E69" i="12" s="1"/>
  <c r="H69" i="12" a="1"/>
  <c r="H69" i="12" s="1"/>
  <c r="AH69" i="12" a="1"/>
  <c r="AH69" i="12" s="1"/>
  <c r="CT69" i="12"/>
  <c r="CU69" i="12" s="1" a="1"/>
  <c r="CU69" i="12" s="1"/>
  <c r="AG69" i="12"/>
  <c r="F69" i="12" s="1"/>
  <c r="G69" i="12" s="1"/>
  <c r="AJ69" i="12" s="1" a="1"/>
  <c r="AJ69" i="12" s="1"/>
  <c r="CR68" i="12"/>
  <c r="CS68" i="12" s="1" a="1"/>
  <c r="CS68" i="12" s="1"/>
  <c r="J70" i="12"/>
  <c r="P70" i="12"/>
  <c r="I34" i="14"/>
  <c r="B34" i="14" s="1" a="1"/>
  <c r="B34" i="14" s="1"/>
  <c r="D35" i="14"/>
  <c r="F35" i="14"/>
  <c r="G35" i="14" a="1"/>
  <c r="U72" i="32" l="1" a="1"/>
  <c r="U72" i="32" s="1"/>
  <c r="M70" i="12" a="1"/>
  <c r="M70" i="12" s="1"/>
  <c r="C70" i="12" s="1" a="1"/>
  <c r="C70" i="12" s="1"/>
  <c r="R70" i="12" a="1"/>
  <c r="R70" i="12" s="1"/>
  <c r="S70" i="12" s="1"/>
  <c r="L70" i="12" a="1"/>
  <c r="L70" i="12" s="1"/>
  <c r="Q70" i="12" a="1"/>
  <c r="Q70" i="12" s="1"/>
  <c r="K70" i="12" s="1"/>
  <c r="G35" i="14"/>
  <c r="I35" i="14" s="1" a="1"/>
  <c r="E35" i="14" a="1"/>
  <c r="E35" i="14" s="1"/>
  <c r="C36" i="14" s="1" a="1"/>
  <c r="C36" i="14" s="1"/>
  <c r="B70" i="12" l="1" a="1"/>
  <c r="B70" i="12" s="1"/>
  <c r="A70" i="12" s="1" a="1"/>
  <c r="A70" i="12" s="1"/>
  <c r="E70" i="12" s="1" a="1"/>
  <c r="E70" i="12" s="1"/>
  <c r="BH70" i="12"/>
  <c r="Z70" i="12" a="1"/>
  <c r="Z70" i="12" s="1"/>
  <c r="AE70" i="12" s="1"/>
  <c r="AI70" i="12"/>
  <c r="X70" i="12" a="1"/>
  <c r="X70" i="12" s="1"/>
  <c r="AC70" i="12" s="1"/>
  <c r="Y70" i="12" a="1"/>
  <c r="Y70" i="12" s="1"/>
  <c r="AD70" i="12" s="1"/>
  <c r="AA70" i="12" a="1"/>
  <c r="AA70" i="12" s="1"/>
  <c r="AF70" i="12" s="1"/>
  <c r="W70" i="12" a="1"/>
  <c r="W70" i="12" s="1"/>
  <c r="AB70" i="12" s="1"/>
  <c r="CQ70" i="12"/>
  <c r="I71" i="12" a="1"/>
  <c r="I71" i="12" s="1"/>
  <c r="T70" i="12" a="1"/>
  <c r="T70" i="12" s="1"/>
  <c r="D70" i="12" s="1"/>
  <c r="I35" i="14"/>
  <c r="B35" i="14" s="1" a="1"/>
  <c r="B35" i="14" s="1"/>
  <c r="F36" i="14"/>
  <c r="D36" i="14"/>
  <c r="G36" i="14" a="1"/>
  <c r="CT70" i="12" l="1"/>
  <c r="CU70" i="12" s="1" a="1"/>
  <c r="CU70" i="12" s="1"/>
  <c r="H70" i="12" a="1"/>
  <c r="H70" i="12" s="1"/>
  <c r="AH70" i="12" a="1"/>
  <c r="AH70" i="12" s="1"/>
  <c r="AG70" i="12"/>
  <c r="F70" i="12" s="1"/>
  <c r="G70" i="12" s="1"/>
  <c r="AJ70" i="12" s="1" a="1"/>
  <c r="AJ70" i="12" s="1"/>
  <c r="P71" i="12"/>
  <c r="J71" i="12"/>
  <c r="CR69" i="12"/>
  <c r="CS69" i="12" s="1" a="1"/>
  <c r="CS69" i="12" s="1"/>
  <c r="G36" i="14"/>
  <c r="I36" i="14" s="1" a="1"/>
  <c r="E36" i="14" a="1"/>
  <c r="E36" i="14" s="1"/>
  <c r="C37" i="14" s="1" a="1"/>
  <c r="C37" i="14" s="1"/>
  <c r="R71" i="12" l="1" a="1"/>
  <c r="R71" i="12" s="1"/>
  <c r="S71" i="12" s="1"/>
  <c r="M71" i="12" a="1"/>
  <c r="M71" i="12" s="1"/>
  <c r="C71" i="12" s="1" a="1"/>
  <c r="C71" i="12" s="1"/>
  <c r="Q71" i="12" a="1"/>
  <c r="Q71" i="12" s="1"/>
  <c r="K71" i="12" s="1"/>
  <c r="L71" i="12" a="1"/>
  <c r="L71" i="12" s="1"/>
  <c r="I36" i="14"/>
  <c r="B36" i="14" s="1" a="1"/>
  <c r="B36" i="14" s="1"/>
  <c r="F37" i="14"/>
  <c r="D37" i="14"/>
  <c r="G37" i="14" a="1"/>
  <c r="B71" i="12" l="1" a="1"/>
  <c r="B71" i="12" s="1"/>
  <c r="A71" i="12" s="1" a="1"/>
  <c r="A71" i="12" s="1"/>
  <c r="E71" i="12" s="1" a="1"/>
  <c r="E71" i="12" s="1"/>
  <c r="BH71" i="12"/>
  <c r="X71" i="12" a="1"/>
  <c r="X71" i="12" s="1"/>
  <c r="AC71" i="12" s="1"/>
  <c r="AA71" i="12" a="1"/>
  <c r="AA71" i="12" s="1"/>
  <c r="AF71" i="12" s="1"/>
  <c r="W71" i="12" a="1"/>
  <c r="W71" i="12" s="1"/>
  <c r="AB71" i="12" s="1"/>
  <c r="Y71" i="12" a="1"/>
  <c r="Y71" i="12" s="1"/>
  <c r="AD71" i="12" s="1"/>
  <c r="AI71" i="12"/>
  <c r="Z71" i="12" a="1"/>
  <c r="Z71" i="12" s="1"/>
  <c r="AE71" i="12" s="1"/>
  <c r="T71" i="12" a="1"/>
  <c r="T71" i="12" s="1"/>
  <c r="D71" i="12" s="1"/>
  <c r="I72" i="12" a="1"/>
  <c r="I72" i="12" s="1"/>
  <c r="CQ71" i="12"/>
  <c r="G37" i="14"/>
  <c r="I37" i="14" s="1" a="1"/>
  <c r="E37" i="14" a="1"/>
  <c r="E37" i="14" s="1"/>
  <c r="C38" i="14" s="1" a="1"/>
  <c r="C38" i="14" s="1"/>
  <c r="CT71" i="12" l="1"/>
  <c r="CU71" i="12" s="1" a="1"/>
  <c r="CU71" i="12" s="1"/>
  <c r="H71" i="12" a="1"/>
  <c r="H71" i="12" s="1"/>
  <c r="AH71" i="12" a="1"/>
  <c r="AH71" i="12" s="1"/>
  <c r="AG71" i="12"/>
  <c r="F71" i="12" s="1"/>
  <c r="G71" i="12" s="1"/>
  <c r="AJ71" i="12" s="1" a="1"/>
  <c r="AJ71" i="12" s="1"/>
  <c r="CR70" i="12"/>
  <c r="CS70" i="12" s="1" a="1"/>
  <c r="CS70" i="12" s="1"/>
  <c r="P72" i="12"/>
  <c r="J72" i="12"/>
  <c r="I37" i="14"/>
  <c r="B37" i="14" s="1" a="1"/>
  <c r="B37" i="14" s="1"/>
  <c r="F38" i="14"/>
  <c r="D38" i="14"/>
  <c r="G38" i="14" a="1"/>
  <c r="L72" i="12" l="1" a="1"/>
  <c r="L72" i="12" s="1"/>
  <c r="M72" i="12" a="1"/>
  <c r="M72" i="12" s="1"/>
  <c r="C72" i="12" s="1" a="1"/>
  <c r="C72" i="12" s="1"/>
  <c r="Q72" i="12" a="1"/>
  <c r="Q72" i="12" s="1"/>
  <c r="K72" i="12" s="1"/>
  <c r="R72" i="12" a="1"/>
  <c r="R72" i="12" s="1"/>
  <c r="S72" i="12" s="1"/>
  <c r="G38" i="14"/>
  <c r="I38" i="14" s="1" a="1"/>
  <c r="E38" i="14" a="1"/>
  <c r="E38" i="14" s="1"/>
  <c r="C39" i="14" s="1" a="1"/>
  <c r="C39" i="14" s="1"/>
  <c r="B72" i="12" l="1" a="1"/>
  <c r="B72" i="12" s="1"/>
  <c r="A72" i="12" s="1" a="1"/>
  <c r="A72" i="12" s="1"/>
  <c r="E72" i="12" s="1" a="1"/>
  <c r="E72" i="12" s="1"/>
  <c r="CQ72" i="12"/>
  <c r="I73" i="12" a="1"/>
  <c r="I73" i="12" s="1"/>
  <c r="BH72" i="12"/>
  <c r="W72" i="12" a="1"/>
  <c r="W72" i="12" s="1"/>
  <c r="AB72" i="12" s="1"/>
  <c r="AA72" i="12" a="1"/>
  <c r="AA72" i="12" s="1"/>
  <c r="AF72" i="12" s="1"/>
  <c r="Z72" i="12" a="1"/>
  <c r="Z72" i="12" s="1"/>
  <c r="AE72" i="12" s="1"/>
  <c r="X72" i="12" a="1"/>
  <c r="X72" i="12" s="1"/>
  <c r="AC72" i="12" s="1"/>
  <c r="AI72" i="12"/>
  <c r="Y72" i="12" a="1"/>
  <c r="Y72" i="12" s="1"/>
  <c r="AD72" i="12" s="1"/>
  <c r="T72" i="12" a="1"/>
  <c r="T72" i="12" s="1"/>
  <c r="D72" i="12" s="1"/>
  <c r="I38" i="14"/>
  <c r="B38" i="14" s="1" a="1"/>
  <c r="B38" i="14" s="1"/>
  <c r="D39" i="14"/>
  <c r="F39" i="14"/>
  <c r="CW2" i="12"/>
  <c r="H36" i="14" a="1"/>
  <c r="H33" i="14" a="1"/>
  <c r="H35" i="14" a="1"/>
  <c r="H34" i="14" a="1"/>
  <c r="H38" i="14" a="1"/>
  <c r="H37" i="14" a="1"/>
  <c r="H32" i="14" a="1"/>
  <c r="H31" i="14" a="1"/>
  <c r="H30" i="14" a="1"/>
  <c r="H29" i="14" a="1"/>
  <c r="H26" i="14" a="1"/>
  <c r="H27" i="14" a="1"/>
  <c r="H28" i="14" a="1"/>
  <c r="H25" i="14" a="1"/>
  <c r="H24" i="14" a="1"/>
  <c r="H23" i="14" a="1"/>
  <c r="H22" i="14" a="1"/>
  <c r="H21" i="14" a="1"/>
  <c r="H20" i="14" a="1"/>
  <c r="G39" i="14" a="1"/>
  <c r="CT72" i="12" l="1"/>
  <c r="CU72" i="12" s="1" a="1"/>
  <c r="CU72" i="12" s="1"/>
  <c r="AH72" i="12" a="1"/>
  <c r="AH72" i="12" s="1"/>
  <c r="H72" i="12" a="1"/>
  <c r="H72" i="12" s="1"/>
  <c r="AG72" i="12"/>
  <c r="F72" i="12" s="1"/>
  <c r="G72" i="12" s="1"/>
  <c r="AJ72" i="12" s="1" a="1"/>
  <c r="AJ72" i="12" s="1"/>
  <c r="J73" i="12"/>
  <c r="P73" i="12"/>
  <c r="CR71" i="12"/>
  <c r="CS71" i="12" s="1" a="1"/>
  <c r="CS71" i="12" s="1"/>
  <c r="G39" i="14"/>
  <c r="E39" i="14" a="1"/>
  <c r="E39" i="14" s="1"/>
  <c r="C40" i="14" s="1" a="1"/>
  <c r="C40" i="14" s="1"/>
  <c r="H35" i="14"/>
  <c r="A35" i="14" s="1" a="1"/>
  <c r="A35" i="14" s="1"/>
  <c r="H36" i="14"/>
  <c r="A36" i="14" s="1" a="1"/>
  <c r="A36" i="14" s="1"/>
  <c r="H37" i="14"/>
  <c r="A37" i="14" s="1" a="1"/>
  <c r="A37" i="14" s="1"/>
  <c r="H38" i="14"/>
  <c r="A38" i="14" s="1" a="1"/>
  <c r="A38" i="14" s="1"/>
  <c r="H20" i="14"/>
  <c r="A20" i="14" s="1" a="1"/>
  <c r="A20" i="14" s="1"/>
  <c r="H21" i="14"/>
  <c r="A21" i="14" s="1" a="1"/>
  <c r="A21" i="14" s="1"/>
  <c r="H22" i="14"/>
  <c r="A22" i="14" s="1" a="1"/>
  <c r="A22" i="14" s="1"/>
  <c r="H23" i="14"/>
  <c r="A23" i="14" s="1" a="1"/>
  <c r="A23" i="14" s="1"/>
  <c r="H24" i="14"/>
  <c r="A24" i="14" s="1" a="1"/>
  <c r="A24" i="14" s="1"/>
  <c r="H25" i="14"/>
  <c r="A25" i="14" s="1" a="1"/>
  <c r="A25" i="14" s="1"/>
  <c r="H26" i="14"/>
  <c r="A26" i="14" s="1" a="1"/>
  <c r="A26" i="14" s="1"/>
  <c r="H27" i="14"/>
  <c r="A27" i="14" s="1" a="1"/>
  <c r="A27" i="14" s="1"/>
  <c r="H28" i="14"/>
  <c r="A28" i="14" s="1" a="1"/>
  <c r="A28" i="14" s="1"/>
  <c r="H29" i="14"/>
  <c r="A29" i="14" s="1" a="1"/>
  <c r="A29" i="14" s="1"/>
  <c r="H30" i="14"/>
  <c r="A30" i="14" s="1" a="1"/>
  <c r="A30" i="14" s="1"/>
  <c r="H31" i="14"/>
  <c r="A31" i="14" s="1" a="1"/>
  <c r="A31" i="14" s="1"/>
  <c r="H32" i="14"/>
  <c r="A32" i="14" s="1" a="1"/>
  <c r="A32" i="14" s="1"/>
  <c r="H33" i="14"/>
  <c r="A33" i="14" s="1" a="1"/>
  <c r="A33" i="14" s="1"/>
  <c r="H34" i="14"/>
  <c r="A34" i="14" s="1" a="1"/>
  <c r="A34" i="14" s="1"/>
  <c r="L73" i="12" l="1" a="1"/>
  <c r="L73" i="12" s="1"/>
  <c r="M73" i="12" a="1"/>
  <c r="M73" i="12" s="1"/>
  <c r="C73" i="12" s="1" a="1"/>
  <c r="C73" i="12" s="1"/>
  <c r="Q73" i="12" a="1"/>
  <c r="Q73" i="12" s="1"/>
  <c r="K73" i="12" s="1"/>
  <c r="R73" i="12" a="1"/>
  <c r="R73" i="12" s="1"/>
  <c r="S73" i="12" s="1"/>
  <c r="F40" i="14"/>
  <c r="D40" i="14"/>
  <c r="H39" i="14" a="1"/>
  <c r="I39" i="14" a="1"/>
  <c r="G40" i="14" a="1"/>
  <c r="B73" i="12" l="1" a="1"/>
  <c r="B73" i="12" s="1"/>
  <c r="A73" i="12" s="1" a="1"/>
  <c r="A73" i="12" s="1"/>
  <c r="E73" i="12" s="1" a="1"/>
  <c r="E73" i="12" s="1"/>
  <c r="CQ73" i="12"/>
  <c r="I74" i="12" a="1"/>
  <c r="I74" i="12" s="1"/>
  <c r="BH73" i="12"/>
  <c r="Y73" i="12" a="1"/>
  <c r="Y73" i="12" s="1"/>
  <c r="AD73" i="12" s="1"/>
  <c r="Z73" i="12" a="1"/>
  <c r="Z73" i="12" s="1"/>
  <c r="AE73" i="12" s="1"/>
  <c r="X73" i="12" a="1"/>
  <c r="X73" i="12" s="1"/>
  <c r="AC73" i="12" s="1"/>
  <c r="W73" i="12" a="1"/>
  <c r="W73" i="12" s="1"/>
  <c r="AB73" i="12" s="1"/>
  <c r="AA73" i="12" a="1"/>
  <c r="AA73" i="12" s="1"/>
  <c r="AF73" i="12" s="1"/>
  <c r="AI73" i="12"/>
  <c r="T73" i="12" a="1"/>
  <c r="T73" i="12" s="1"/>
  <c r="D73" i="12" s="1"/>
  <c r="I39" i="14"/>
  <c r="B39" i="14" s="1" a="1"/>
  <c r="B39" i="14" s="1"/>
  <c r="H39" i="14"/>
  <c r="A39" i="14" s="1" a="1"/>
  <c r="A39" i="14" s="1"/>
  <c r="G40" i="14"/>
  <c r="E40" i="14" a="1"/>
  <c r="E40" i="14" s="1"/>
  <c r="C41" i="14" s="1" a="1"/>
  <c r="C41" i="14" s="1"/>
  <c r="H73" i="12" l="1" a="1"/>
  <c r="H73" i="12" s="1"/>
  <c r="AH73" i="12" a="1"/>
  <c r="AH73" i="12" s="1"/>
  <c r="CT73" i="12"/>
  <c r="CU73" i="12" s="1" a="1"/>
  <c r="CU73" i="12" s="1"/>
  <c r="AG73" i="12"/>
  <c r="F73" i="12" s="1"/>
  <c r="G73" i="12" s="1"/>
  <c r="AJ73" i="12" s="1" a="1"/>
  <c r="AJ73" i="12" s="1"/>
  <c r="P74" i="12"/>
  <c r="J74" i="12"/>
  <c r="CR72" i="12"/>
  <c r="CS72" i="12" s="1" a="1"/>
  <c r="CS72" i="12" s="1"/>
  <c r="D41" i="14"/>
  <c r="F41" i="14"/>
  <c r="H40" i="14" a="1"/>
  <c r="I40" i="14" a="1"/>
  <c r="G41" i="14" a="1"/>
  <c r="L74" i="12" l="1" a="1"/>
  <c r="L74" i="12" s="1"/>
  <c r="R74" i="12" a="1"/>
  <c r="R74" i="12" s="1"/>
  <c r="S74" i="12" s="1"/>
  <c r="Q74" i="12" a="1"/>
  <c r="Q74" i="12" s="1"/>
  <c r="K74" i="12" s="1"/>
  <c r="M74" i="12" a="1"/>
  <c r="M74" i="12" s="1"/>
  <c r="C74" i="12" s="1" a="1"/>
  <c r="C74" i="12" s="1"/>
  <c r="H40" i="14"/>
  <c r="A40" i="14" s="1" a="1"/>
  <c r="A40" i="14" s="1"/>
  <c r="I40" i="14"/>
  <c r="B40" i="14" s="1" a="1"/>
  <c r="B40" i="14" s="1"/>
  <c r="G41" i="14"/>
  <c r="E41" i="14" a="1"/>
  <c r="E41" i="14" s="1"/>
  <c r="C42" i="14" s="1" a="1"/>
  <c r="C42" i="14" s="1"/>
  <c r="B74" i="12" l="1" a="1"/>
  <c r="B74" i="12" s="1"/>
  <c r="A74" i="12" s="1" a="1"/>
  <c r="A74" i="12" s="1"/>
  <c r="E74" i="12" s="1" a="1"/>
  <c r="E74" i="12" s="1"/>
  <c r="T74" i="12" a="1"/>
  <c r="T74" i="12" s="1"/>
  <c r="D74" i="12" s="1"/>
  <c r="BH74" i="12"/>
  <c r="AA74" i="12" a="1"/>
  <c r="AA74" i="12" s="1"/>
  <c r="AF74" i="12" s="1"/>
  <c r="W74" i="12" a="1"/>
  <c r="W74" i="12" s="1"/>
  <c r="AB74" i="12" s="1"/>
  <c r="X74" i="12" a="1"/>
  <c r="X74" i="12" s="1"/>
  <c r="AC74" i="12" s="1"/>
  <c r="AI74" i="12"/>
  <c r="Z74" i="12" a="1"/>
  <c r="Z74" i="12" s="1"/>
  <c r="AE74" i="12" s="1"/>
  <c r="Y74" i="12" a="1"/>
  <c r="Y74" i="12" s="1"/>
  <c r="AD74" i="12" s="1"/>
  <c r="I75" i="12" a="1"/>
  <c r="I75" i="12" s="1"/>
  <c r="CQ74" i="12"/>
  <c r="D42" i="14"/>
  <c r="F42" i="14"/>
  <c r="H41" i="14" a="1"/>
  <c r="I41" i="14" a="1"/>
  <c r="G42" i="14" a="1"/>
  <c r="H74" i="12" l="1" a="1"/>
  <c r="H74" i="12" s="1"/>
  <c r="AH74" i="12" a="1"/>
  <c r="AH74" i="12" s="1"/>
  <c r="CT74" i="12"/>
  <c r="CU74" i="12" s="1" a="1"/>
  <c r="CU74" i="12" s="1"/>
  <c r="CR73" i="12"/>
  <c r="CS73" i="12" s="1" a="1"/>
  <c r="CS73" i="12" s="1"/>
  <c r="J75" i="12"/>
  <c r="P75" i="12"/>
  <c r="AG74" i="12"/>
  <c r="F74" i="12" s="1"/>
  <c r="G74" i="12" s="1"/>
  <c r="AJ74" i="12" s="1" a="1"/>
  <c r="AJ74" i="12" s="1"/>
  <c r="H41" i="14"/>
  <c r="A41" i="14" s="1" a="1"/>
  <c r="A41" i="14" s="1"/>
  <c r="I41" i="14"/>
  <c r="B41" i="14" s="1" a="1"/>
  <c r="B41" i="14" s="1"/>
  <c r="G42" i="14"/>
  <c r="E42" i="14" a="1"/>
  <c r="E42" i="14" s="1"/>
  <c r="C43" i="14" s="1" a="1"/>
  <c r="C43" i="14" s="1"/>
  <c r="Q75" i="12" l="1" a="1"/>
  <c r="Q75" i="12" s="1"/>
  <c r="K75" i="12" s="1"/>
  <c r="R75" i="12" a="1"/>
  <c r="R75" i="12" s="1"/>
  <c r="S75" i="12" s="1"/>
  <c r="L75" i="12" a="1"/>
  <c r="L75" i="12" s="1"/>
  <c r="M75" i="12" a="1"/>
  <c r="M75" i="12" s="1"/>
  <c r="C75" i="12" s="1" a="1"/>
  <c r="C75" i="12" s="1"/>
  <c r="D43" i="14"/>
  <c r="F43" i="14"/>
  <c r="I42" i="14" a="1"/>
  <c r="H42" i="14" a="1"/>
  <c r="G43" i="14" a="1"/>
  <c r="B75" i="12" l="1" a="1"/>
  <c r="B75" i="12" s="1"/>
  <c r="A75" i="12" s="1" a="1"/>
  <c r="A75" i="12" s="1"/>
  <c r="E75" i="12" s="1" a="1"/>
  <c r="E75" i="12" s="1"/>
  <c r="T75" i="12" a="1"/>
  <c r="T75" i="12" s="1"/>
  <c r="D75" i="12" s="1"/>
  <c r="I76" i="12" a="1"/>
  <c r="I76" i="12" s="1"/>
  <c r="CQ75" i="12"/>
  <c r="BH75" i="12"/>
  <c r="AI75" i="12"/>
  <c r="X75" i="12" a="1"/>
  <c r="X75" i="12" s="1"/>
  <c r="AC75" i="12" s="1"/>
  <c r="AA75" i="12" a="1"/>
  <c r="AA75" i="12" s="1"/>
  <c r="AF75" i="12" s="1"/>
  <c r="W75" i="12" a="1"/>
  <c r="W75" i="12" s="1"/>
  <c r="AB75" i="12" s="1"/>
  <c r="Z75" i="12" a="1"/>
  <c r="Z75" i="12" s="1"/>
  <c r="AE75" i="12" s="1"/>
  <c r="Y75" i="12" a="1"/>
  <c r="Y75" i="12" s="1"/>
  <c r="AD75" i="12" s="1"/>
  <c r="H42" i="14"/>
  <c r="A42" i="14" s="1" a="1"/>
  <c r="A42" i="14" s="1"/>
  <c r="I42" i="14"/>
  <c r="B42" i="14" s="1" a="1"/>
  <c r="B42" i="14" s="1"/>
  <c r="G43" i="14"/>
  <c r="E43" i="14" a="1"/>
  <c r="E43" i="14" s="1"/>
  <c r="C44" i="14" s="1" a="1"/>
  <c r="C44" i="14" s="1"/>
  <c r="CT75" i="12" l="1"/>
  <c r="CU75" i="12" s="1" a="1"/>
  <c r="CU75" i="12" s="1"/>
  <c r="H75" i="12" a="1"/>
  <c r="H75" i="12" s="1"/>
  <c r="AH75" i="12" a="1"/>
  <c r="AH75" i="12" s="1"/>
  <c r="AG75" i="12"/>
  <c r="F75" i="12" s="1"/>
  <c r="G75" i="12" s="1"/>
  <c r="AJ75" i="12" s="1" a="1"/>
  <c r="AJ75" i="12" s="1"/>
  <c r="CR74" i="12"/>
  <c r="CS74" i="12" s="1" a="1"/>
  <c r="CS74" i="12" s="1"/>
  <c r="P76" i="12"/>
  <c r="J76" i="12"/>
  <c r="D44" i="14"/>
  <c r="F44" i="14"/>
  <c r="H43" i="14" a="1"/>
  <c r="I43" i="14" a="1"/>
  <c r="G44" i="14" a="1"/>
  <c r="L76" i="12" l="1" a="1"/>
  <c r="L76" i="12" s="1"/>
  <c r="R76" i="12" a="1"/>
  <c r="R76" i="12" s="1"/>
  <c r="S76" i="12" s="1"/>
  <c r="Q76" i="12" a="1"/>
  <c r="Q76" i="12" s="1"/>
  <c r="K76" i="12" s="1"/>
  <c r="M76" i="12" a="1"/>
  <c r="M76" i="12" s="1"/>
  <c r="C76" i="12" s="1" a="1"/>
  <c r="C76" i="12" s="1"/>
  <c r="H43" i="14"/>
  <c r="A43" i="14" s="1" a="1"/>
  <c r="A43" i="14" s="1"/>
  <c r="I43" i="14"/>
  <c r="B43" i="14" s="1" a="1"/>
  <c r="B43" i="14" s="1"/>
  <c r="G44" i="14"/>
  <c r="E44" i="14" a="1"/>
  <c r="E44" i="14" s="1"/>
  <c r="C45" i="14" s="1" a="1"/>
  <c r="C45" i="14" s="1"/>
  <c r="B76" i="12" l="1" a="1"/>
  <c r="B76" i="12" s="1"/>
  <c r="A76" i="12" s="1" a="1"/>
  <c r="A76" i="12" s="1"/>
  <c r="E76" i="12" s="1" a="1"/>
  <c r="E76" i="12" s="1"/>
  <c r="T76" i="12" a="1"/>
  <c r="T76" i="12" s="1"/>
  <c r="D76" i="12" s="1"/>
  <c r="BH76" i="12"/>
  <c r="AA76" i="12" a="1"/>
  <c r="AA76" i="12" s="1"/>
  <c r="AF76" i="12" s="1"/>
  <c r="Z76" i="12" a="1"/>
  <c r="Z76" i="12" s="1"/>
  <c r="AE76" i="12" s="1"/>
  <c r="X76" i="12" a="1"/>
  <c r="X76" i="12" s="1"/>
  <c r="AC76" i="12" s="1"/>
  <c r="AI76" i="12"/>
  <c r="Y76" i="12" a="1"/>
  <c r="Y76" i="12" s="1"/>
  <c r="AD76" i="12" s="1"/>
  <c r="W76" i="12" a="1"/>
  <c r="W76" i="12" s="1"/>
  <c r="AB76" i="12" s="1"/>
  <c r="CQ76" i="12"/>
  <c r="I77" i="12" a="1"/>
  <c r="I77" i="12" s="1"/>
  <c r="D45" i="14"/>
  <c r="F45" i="14"/>
  <c r="I44" i="14" a="1"/>
  <c r="H44" i="14" a="1"/>
  <c r="G45" i="14" a="1"/>
  <c r="CT76" i="12" l="1"/>
  <c r="CU76" i="12" s="1" a="1"/>
  <c r="CU76" i="12" s="1"/>
  <c r="H76" i="12" a="1"/>
  <c r="H76" i="12" s="1"/>
  <c r="AH76" i="12" a="1"/>
  <c r="AH76" i="12" s="1"/>
  <c r="J77" i="12"/>
  <c r="P77" i="12"/>
  <c r="CR75" i="12"/>
  <c r="CS75" i="12" s="1" a="1"/>
  <c r="CS75" i="12" s="1"/>
  <c r="AG76" i="12"/>
  <c r="F76" i="12" s="1"/>
  <c r="G76" i="12" s="1"/>
  <c r="AJ76" i="12" s="1" a="1"/>
  <c r="AJ76" i="12" s="1"/>
  <c r="H44" i="14"/>
  <c r="A44" i="14" s="1" a="1"/>
  <c r="A44" i="14" s="1"/>
  <c r="I44" i="14"/>
  <c r="B44" i="14" s="1" a="1"/>
  <c r="B44" i="14" s="1"/>
  <c r="G45" i="14"/>
  <c r="E45" i="14" a="1"/>
  <c r="E45" i="14" s="1"/>
  <c r="C46" i="14" s="1" a="1"/>
  <c r="C46" i="14" s="1"/>
  <c r="Q77" i="12" l="1" a="1"/>
  <c r="Q77" i="12" s="1"/>
  <c r="K77" i="12" s="1"/>
  <c r="M77" i="12" a="1"/>
  <c r="M77" i="12" s="1"/>
  <c r="C77" i="12" s="1" a="1"/>
  <c r="C77" i="12" s="1"/>
  <c r="L77" i="12" a="1"/>
  <c r="L77" i="12" s="1"/>
  <c r="B77" i="12" s="1" a="1"/>
  <c r="B77" i="12" s="1"/>
  <c r="A77" i="12" s="1" a="1"/>
  <c r="A77" i="12" s="1"/>
  <c r="E77" i="12" s="1" a="1"/>
  <c r="E77" i="12" s="1"/>
  <c r="R77" i="12" a="1"/>
  <c r="R77" i="12" s="1"/>
  <c r="S77" i="12" s="1"/>
  <c r="CQ77" i="12" s="1"/>
  <c r="D46" i="14"/>
  <c r="F46" i="14"/>
  <c r="I45" i="14" a="1"/>
  <c r="H45" i="14" a="1"/>
  <c r="G46" i="14" a="1"/>
  <c r="CR77" i="12" l="1"/>
  <c r="CS77" i="12" s="1" a="1"/>
  <c r="CS77" i="12" s="1"/>
  <c r="CR76" i="12"/>
  <c r="CS76" i="12" s="1" a="1"/>
  <c r="CS76" i="12" s="1"/>
  <c r="CT77" i="12"/>
  <c r="CU77" i="12" s="1" a="1"/>
  <c r="CU77" i="12" s="1"/>
  <c r="AR5" i="17" a="1"/>
  <c r="AR5" i="17" s="1"/>
  <c r="AS5" i="17" s="1" a="1"/>
  <c r="AS5" i="17" s="1"/>
  <c r="W5" i="17"/>
  <c r="G5" i="17" a="1"/>
  <c r="G5" i="17" s="1"/>
  <c r="A5" i="17" a="1"/>
  <c r="A5" i="17" s="1"/>
  <c r="AH77" i="12" a="1"/>
  <c r="AH77" i="12" s="1"/>
  <c r="H77" i="12" a="1"/>
  <c r="H77" i="12" s="1"/>
  <c r="T77" i="12" a="1"/>
  <c r="T77" i="12" s="1"/>
  <c r="D77" i="12" s="1"/>
  <c r="BH77" i="12"/>
  <c r="AA77" i="12" a="1"/>
  <c r="AA77" i="12" s="1"/>
  <c r="AF77" i="12" s="1"/>
  <c r="AI77" i="12"/>
  <c r="Z77" i="12" a="1"/>
  <c r="Z77" i="12" s="1"/>
  <c r="AE77" i="12" s="1"/>
  <c r="X77" i="12" a="1"/>
  <c r="X77" i="12" s="1"/>
  <c r="AC77" i="12" s="1"/>
  <c r="W77" i="12" a="1"/>
  <c r="W77" i="12" s="1"/>
  <c r="Y77" i="12" a="1"/>
  <c r="Y77" i="12" s="1"/>
  <c r="AD77" i="12" s="1"/>
  <c r="H45" i="14"/>
  <c r="A45" i="14" s="1" a="1"/>
  <c r="A45" i="14" s="1"/>
  <c r="I45" i="14"/>
  <c r="B45" i="14" s="1" a="1"/>
  <c r="B45" i="14" s="1"/>
  <c r="G46" i="14"/>
  <c r="E46" i="14" a="1"/>
  <c r="E46" i="14" s="1"/>
  <c r="C47" i="14" s="1" a="1"/>
  <c r="C47" i="14" s="1"/>
  <c r="Q9" i="24" a="1"/>
  <c r="Q12" i="24" a="1"/>
  <c r="Q12" i="24" l="1"/>
  <c r="Q9" i="24"/>
  <c r="C33" i="32" a="1"/>
  <c r="C33" i="32" s="1"/>
  <c r="X58" i="32" a="1"/>
  <c r="X58" i="32" s="1"/>
  <c r="Y58" i="32" s="1" a="1"/>
  <c r="Y58" i="32" s="1"/>
  <c r="AA58" i="32" s="1" a="1"/>
  <c r="AA58" i="32" s="1"/>
  <c r="AB58" i="32" s="1" a="1"/>
  <c r="AB58" i="32" s="1"/>
  <c r="AE58" i="32" s="1" a="1"/>
  <c r="AE58" i="32" s="1"/>
  <c r="C19" i="32" a="1"/>
  <c r="C19" i="32" s="1"/>
  <c r="C28" i="32" a="1"/>
  <c r="C28" i="32" s="1"/>
  <c r="X28" i="32" a="1"/>
  <c r="X28" i="32" s="1"/>
  <c r="Y28" i="32" s="1" a="1"/>
  <c r="Y28" i="32" s="1"/>
  <c r="AA28" i="32" s="1" a="1"/>
  <c r="AA28" i="32" s="1"/>
  <c r="AB28" i="32" s="1" a="1"/>
  <c r="AB28" i="32" s="1"/>
  <c r="AE28" i="32" s="1" a="1"/>
  <c r="AE28" i="32" s="1"/>
  <c r="C45" i="32" a="1"/>
  <c r="C45" i="32" s="1"/>
  <c r="X57" i="32" a="1"/>
  <c r="X57" i="32" s="1"/>
  <c r="Y57" i="32" s="1" a="1"/>
  <c r="Y57" i="32" s="1"/>
  <c r="AA57" i="32" s="1" a="1"/>
  <c r="AA57" i="32" s="1"/>
  <c r="AB57" i="32" s="1" a="1"/>
  <c r="AB57" i="32" s="1"/>
  <c r="AE57" i="32" s="1" a="1"/>
  <c r="AE57" i="32" s="1"/>
  <c r="X36" i="32" a="1"/>
  <c r="X36" i="32" s="1"/>
  <c r="Y36" i="32" s="1" a="1"/>
  <c r="Y36" i="32" s="1"/>
  <c r="AA36" i="32" s="1" a="1"/>
  <c r="AA36" i="32" s="1"/>
  <c r="AB36" i="32" s="1" a="1"/>
  <c r="AB36" i="32" s="1"/>
  <c r="AE36" i="32" s="1" a="1"/>
  <c r="AE36" i="32" s="1"/>
  <c r="X39" i="32" a="1"/>
  <c r="X39" i="32" s="1"/>
  <c r="Y39" i="32" s="1" a="1"/>
  <c r="Y39" i="32" s="1"/>
  <c r="AA39" i="32" s="1" a="1"/>
  <c r="AA39" i="32" s="1"/>
  <c r="AB39" i="32" s="1" a="1"/>
  <c r="AB39" i="32" s="1"/>
  <c r="AE39" i="32" s="1" a="1"/>
  <c r="AE39" i="32" s="1"/>
  <c r="B2" i="19"/>
  <c r="D2" i="17" s="1" a="1"/>
  <c r="D2" i="17" s="1"/>
  <c r="B1" i="19"/>
  <c r="T43" i="21" s="1" a="1"/>
  <c r="T43" i="21" s="1"/>
  <c r="X56" i="32" a="1"/>
  <c r="X56" i="32" s="1"/>
  <c r="Y56" i="32" s="1" a="1"/>
  <c r="Y56" i="32" s="1"/>
  <c r="AA56" i="32" s="1" a="1"/>
  <c r="AA56" i="32" s="1"/>
  <c r="AB56" i="32" s="1" a="1"/>
  <c r="AB56" i="32" s="1"/>
  <c r="AE56" i="32" s="1" a="1"/>
  <c r="AE56" i="32" s="1"/>
  <c r="C66" i="32" a="1"/>
  <c r="C66" i="32" s="1"/>
  <c r="X66" i="32" a="1"/>
  <c r="X66" i="32" s="1"/>
  <c r="Y66" i="32" s="1" a="1"/>
  <c r="Y66" i="32" s="1"/>
  <c r="AA66" i="32" s="1" a="1"/>
  <c r="AA66" i="32" s="1"/>
  <c r="AB66" i="32" s="1" a="1"/>
  <c r="AB66" i="32" s="1"/>
  <c r="AE66" i="32" s="1" a="1"/>
  <c r="AE66" i="32" s="1"/>
  <c r="X47" i="32" a="1"/>
  <c r="X47" i="32" s="1"/>
  <c r="Y47" i="32" s="1" a="1"/>
  <c r="Y47" i="32" s="1"/>
  <c r="AA47" i="32" s="1" a="1"/>
  <c r="AA47" i="32" s="1"/>
  <c r="AB47" i="32" s="1" a="1"/>
  <c r="AB47" i="32" s="1"/>
  <c r="AE47" i="32" s="1" a="1"/>
  <c r="AE47" i="32" s="1"/>
  <c r="C46" i="32" a="1"/>
  <c r="C46" i="32" s="1"/>
  <c r="C54" i="32" a="1"/>
  <c r="C54" i="32" s="1"/>
  <c r="X54" i="32" a="1"/>
  <c r="X54" i="32" s="1"/>
  <c r="Y54" i="32" s="1" a="1"/>
  <c r="Y54" i="32" s="1"/>
  <c r="AA54" i="32" s="1" a="1"/>
  <c r="AA54" i="32" s="1"/>
  <c r="AB54" i="32" s="1" a="1"/>
  <c r="AB54" i="32" s="1"/>
  <c r="AE54" i="32" s="1" a="1"/>
  <c r="AE54" i="32" s="1"/>
  <c r="X44" i="32" a="1"/>
  <c r="X44" i="32" s="1"/>
  <c r="Y44" i="32" s="1" a="1"/>
  <c r="Y44" i="32" s="1"/>
  <c r="AA44" i="32" s="1" a="1"/>
  <c r="AA44" i="32" s="1"/>
  <c r="AB44" i="32" s="1" a="1"/>
  <c r="AB44" i="32" s="1"/>
  <c r="AE44" i="32" s="1" a="1"/>
  <c r="AE44" i="32" s="1"/>
  <c r="X34" i="32" a="1"/>
  <c r="X34" i="32" s="1"/>
  <c r="Y34" i="32" s="1" a="1"/>
  <c r="Y34" i="32" s="1"/>
  <c r="AA34" i="32" s="1" a="1"/>
  <c r="AA34" i="32" s="1"/>
  <c r="AB34" i="32" s="1" a="1"/>
  <c r="AB34" i="32" s="1"/>
  <c r="AE34" i="32" s="1" a="1"/>
  <c r="AE34" i="32" s="1"/>
  <c r="X53" i="32" a="1"/>
  <c r="X53" i="32" s="1"/>
  <c r="Y53" i="32" s="1" a="1"/>
  <c r="Y53" i="32" s="1"/>
  <c r="AA53" i="32" s="1" a="1"/>
  <c r="AA53" i="32" s="1"/>
  <c r="AB53" i="32" s="1" a="1"/>
  <c r="AB53" i="32" s="1"/>
  <c r="AE53" i="32" s="1" a="1"/>
  <c r="AE53" i="32" s="1"/>
  <c r="X21" i="32" a="1"/>
  <c r="X21" i="32" s="1"/>
  <c r="Y21" i="32" s="1" a="1"/>
  <c r="Y21" i="32" s="1"/>
  <c r="AA21" i="32" s="1" a="1"/>
  <c r="AA21" i="32" s="1"/>
  <c r="AB21" i="32" s="1" a="1"/>
  <c r="AB21" i="32" s="1"/>
  <c r="AE21" i="32" s="1" a="1"/>
  <c r="AE21" i="32" s="1"/>
  <c r="C23" i="32" a="1"/>
  <c r="C23" i="32" s="1"/>
  <c r="X23" i="32" a="1"/>
  <c r="X23" i="32" s="1"/>
  <c r="Y23" i="32" s="1" a="1"/>
  <c r="Y23" i="32" s="1"/>
  <c r="AA23" i="32" s="1" a="1"/>
  <c r="AA23" i="32" s="1"/>
  <c r="AB23" i="32" s="1" a="1"/>
  <c r="AB23" i="32" s="1"/>
  <c r="AE23" i="32" s="1" a="1"/>
  <c r="AE23" i="32" s="1"/>
  <c r="X30" i="32" a="1"/>
  <c r="X30" i="32" s="1"/>
  <c r="Y30" i="32" s="1" a="1"/>
  <c r="Y30" i="32" s="1"/>
  <c r="AA30" i="32" s="1" a="1"/>
  <c r="AA30" i="32" s="1"/>
  <c r="AB30" i="32" s="1" a="1"/>
  <c r="AB30" i="32" s="1"/>
  <c r="AE30" i="32" s="1" a="1"/>
  <c r="AE30" i="32" s="1"/>
  <c r="C55" i="32" a="1"/>
  <c r="C55" i="32" s="1"/>
  <c r="X55" i="32" a="1"/>
  <c r="X55" i="32" s="1"/>
  <c r="Y55" i="32" s="1" a="1"/>
  <c r="Y55" i="32" s="1"/>
  <c r="AA55" i="32" s="1" a="1"/>
  <c r="AA55" i="32" s="1"/>
  <c r="AB55" i="32" s="1" a="1"/>
  <c r="AB55" i="32" s="1"/>
  <c r="AE55" i="32" s="1" a="1"/>
  <c r="AE55" i="32" s="1"/>
  <c r="X20" i="32" a="1"/>
  <c r="X20" i="32" s="1"/>
  <c r="Y20" i="32" s="1" a="1"/>
  <c r="Y20" i="32" s="1"/>
  <c r="AA20" i="32" s="1" a="1"/>
  <c r="AA20" i="32" s="1"/>
  <c r="AB20" i="32" s="1" a="1"/>
  <c r="AB20" i="32" s="1"/>
  <c r="AE20" i="32" s="1" a="1"/>
  <c r="AE20" i="32" s="1"/>
  <c r="C64" i="32" a="1"/>
  <c r="C64" i="32" s="1"/>
  <c r="X64" i="32" a="1"/>
  <c r="X64" i="32" s="1"/>
  <c r="Y64" i="32" s="1" a="1"/>
  <c r="Y64" i="32" s="1"/>
  <c r="AA64" i="32" s="1" a="1"/>
  <c r="AA64" i="32" s="1"/>
  <c r="AB64" i="32" s="1" a="1"/>
  <c r="AB64" i="32" s="1"/>
  <c r="AE64" i="32" s="1" a="1"/>
  <c r="AE64" i="32" s="1"/>
  <c r="AB77" i="12"/>
  <c r="C29" i="32" a="1"/>
  <c r="C29" i="32" s="1"/>
  <c r="X29" i="32" a="1"/>
  <c r="X29" i="32" s="1"/>
  <c r="Y29" i="32" s="1" a="1"/>
  <c r="Y29" i="32" s="1"/>
  <c r="AA29" i="32" s="1" a="1"/>
  <c r="AA29" i="32" s="1"/>
  <c r="AB29" i="32" s="1" a="1"/>
  <c r="AB29" i="32" s="1"/>
  <c r="AE29" i="32" s="1" a="1"/>
  <c r="AE29" i="32" s="1"/>
  <c r="X65" i="32" a="1"/>
  <c r="X65" i="32" s="1"/>
  <c r="Y65" i="32" s="1" a="1"/>
  <c r="Y65" i="32" s="1"/>
  <c r="AA65" i="32" s="1" a="1"/>
  <c r="AA65" i="32" s="1"/>
  <c r="AB65" i="32" s="1" a="1"/>
  <c r="AB65" i="32" s="1"/>
  <c r="AE65" i="32" s="1" a="1"/>
  <c r="AE65" i="32" s="1"/>
  <c r="C7" i="32" a="1"/>
  <c r="C7" i="32" s="1"/>
  <c r="Y5" i="17" a="1"/>
  <c r="Y5" i="17" s="1"/>
  <c r="X62" i="32" s="1" a="1"/>
  <c r="X62" i="32" s="1"/>
  <c r="Y62" i="32" s="1" a="1"/>
  <c r="Y62" i="32" s="1"/>
  <c r="AA62" i="32" s="1" a="1"/>
  <c r="AA62" i="32" s="1"/>
  <c r="AB62" i="32" s="1" a="1"/>
  <c r="AB62" i="32" s="1"/>
  <c r="AE62" i="32" s="1" a="1"/>
  <c r="AE62" i="32" s="1"/>
  <c r="F5" i="17" a="1"/>
  <c r="F5" i="17" s="1"/>
  <c r="H5" i="17" a="1"/>
  <c r="H5" i="17" s="1"/>
  <c r="D5" i="17" a="1"/>
  <c r="D5" i="17" s="1"/>
  <c r="C62" i="32" s="1" a="1"/>
  <c r="C62" i="32" s="1"/>
  <c r="E5" i="17" a="1"/>
  <c r="E5" i="17" s="1"/>
  <c r="I5" i="17" a="1"/>
  <c r="I5" i="17" s="1"/>
  <c r="C37" i="32" a="1"/>
  <c r="C37" i="32" s="1"/>
  <c r="X37" i="32" a="1"/>
  <c r="X37" i="32" s="1"/>
  <c r="Y37" i="32" s="1" a="1"/>
  <c r="Y37" i="32" s="1"/>
  <c r="AA37" i="32" s="1" a="1"/>
  <c r="AA37" i="32" s="1"/>
  <c r="AB37" i="32" s="1" a="1"/>
  <c r="AB37" i="32" s="1"/>
  <c r="AE37" i="32" s="1" a="1"/>
  <c r="AE37" i="32" s="1"/>
  <c r="D47" i="14"/>
  <c r="F47" i="14"/>
  <c r="H46" i="14" a="1"/>
  <c r="I46" i="14" a="1"/>
  <c r="C9" i="24" a="1"/>
  <c r="I210" i="28" a="1"/>
  <c r="C12" i="24" a="1"/>
  <c r="G47" i="14" a="1"/>
  <c r="S43" i="21" l="1" a="1"/>
  <c r="S43" i="21" s="1"/>
  <c r="D43" i="21" s="1" a="1"/>
  <c r="D43" i="21" s="1"/>
  <c r="U43" i="21"/>
  <c r="E43" i="21" a="1"/>
  <c r="E43" i="21" s="1"/>
  <c r="X15" i="32" a="1"/>
  <c r="X15" i="32" s="1"/>
  <c r="Y15" i="32" s="1" a="1"/>
  <c r="Y15" i="32" s="1"/>
  <c r="AA15" i="32" s="1" a="1"/>
  <c r="AA15" i="32" s="1"/>
  <c r="AB15" i="32" s="1" a="1"/>
  <c r="AB15" i="32" s="1"/>
  <c r="AE15" i="32" s="1" a="1"/>
  <c r="AE15" i="32" s="1"/>
  <c r="X12" i="32" a="1"/>
  <c r="X12" i="32" s="1"/>
  <c r="Y12" i="32" s="1" a="1"/>
  <c r="Y12" i="32" s="1"/>
  <c r="AA12" i="32" s="1" a="1"/>
  <c r="AA12" i="32" s="1"/>
  <c r="AB12" i="32" s="1" a="1"/>
  <c r="AB12" i="32" s="1"/>
  <c r="AE12" i="32" s="1" a="1"/>
  <c r="AE12" i="32" s="1"/>
  <c r="X14" i="32" a="1"/>
  <c r="X14" i="32" s="1"/>
  <c r="Y14" i="32" s="1" a="1"/>
  <c r="Y14" i="32" s="1"/>
  <c r="AA14" i="32" s="1" a="1"/>
  <c r="AA14" i="32" s="1"/>
  <c r="AB14" i="32" s="1" a="1"/>
  <c r="AB14" i="32" s="1"/>
  <c r="AE14" i="32" s="1" a="1"/>
  <c r="AE14" i="32" s="1"/>
  <c r="X13" i="32" a="1"/>
  <c r="X13" i="32" s="1"/>
  <c r="Y13" i="32" s="1" a="1"/>
  <c r="Y13" i="32" s="1"/>
  <c r="AA13" i="32" s="1" a="1"/>
  <c r="AA13" i="32" s="1"/>
  <c r="AB13" i="32" s="1" a="1"/>
  <c r="AB13" i="32" s="1"/>
  <c r="AE13" i="32" s="1" a="1"/>
  <c r="AE13" i="32" s="1"/>
  <c r="C6" i="32" a="1"/>
  <c r="C6" i="32" s="1"/>
  <c r="C61" i="32" a="1"/>
  <c r="C61" i="32" s="1"/>
  <c r="C41" i="32" a="1"/>
  <c r="C41" i="32" s="1"/>
  <c r="X38" i="32" a="1"/>
  <c r="X38" i="32" s="1"/>
  <c r="Y38" i="32" s="1" a="1"/>
  <c r="Y38" i="32" s="1"/>
  <c r="AA38" i="32" s="1" a="1"/>
  <c r="AA38" i="32" s="1"/>
  <c r="AB38" i="32" s="1" a="1"/>
  <c r="AB38" i="32" s="1"/>
  <c r="AE38" i="32" s="1" a="1"/>
  <c r="AE38" i="32" s="1"/>
  <c r="X45" i="32" a="1"/>
  <c r="X45" i="32" s="1"/>
  <c r="Y45" i="32" s="1" a="1"/>
  <c r="Y45" i="32" s="1"/>
  <c r="AA45" i="32" s="1" a="1"/>
  <c r="AA45" i="32" s="1"/>
  <c r="AB45" i="32" s="1" a="1"/>
  <c r="AB45" i="32" s="1"/>
  <c r="AE45" i="32" s="1" a="1"/>
  <c r="AE45" i="32" s="1"/>
  <c r="C16" i="32" a="1"/>
  <c r="C16" i="32" s="1"/>
  <c r="C47" i="32" a="1"/>
  <c r="C47" i="32" s="1"/>
  <c r="C38" i="32" a="1"/>
  <c r="C38" i="32" s="1"/>
  <c r="C31" i="32" a="1"/>
  <c r="C31" i="32" s="1"/>
  <c r="C9" i="32" a="1"/>
  <c r="C9" i="32" s="1"/>
  <c r="X27" i="32" a="1"/>
  <c r="X27" i="32" s="1"/>
  <c r="Y27" i="32" s="1" a="1"/>
  <c r="Y27" i="32" s="1"/>
  <c r="AA27" i="32" s="1" a="1"/>
  <c r="AA27" i="32" s="1"/>
  <c r="AB27" i="32" s="1" a="1"/>
  <c r="AB27" i="32" s="1"/>
  <c r="AE27" i="32" s="1" a="1"/>
  <c r="AE27" i="32" s="1"/>
  <c r="C48" i="32" a="1"/>
  <c r="C48" i="32" s="1"/>
  <c r="C56" i="32" a="1"/>
  <c r="C56" i="32" s="1"/>
  <c r="X26" i="32" a="1"/>
  <c r="X26" i="32" s="1"/>
  <c r="Y26" i="32" s="1" a="1"/>
  <c r="Y26" i="32" s="1"/>
  <c r="AA26" i="32" s="1" a="1"/>
  <c r="AA26" i="32" s="1"/>
  <c r="AB26" i="32" s="1" a="1"/>
  <c r="AB26" i="32" s="1"/>
  <c r="AE26" i="32" s="1" a="1"/>
  <c r="AE26" i="32" s="1"/>
  <c r="C35" i="32" a="1"/>
  <c r="C35" i="32" s="1"/>
  <c r="X16" i="32" a="1"/>
  <c r="X16" i="32" s="1"/>
  <c r="Y16" i="32" s="1" a="1"/>
  <c r="Y16" i="32" s="1"/>
  <c r="AA16" i="32" s="1" a="1"/>
  <c r="AA16" i="32" s="1"/>
  <c r="AB16" i="32" s="1" a="1"/>
  <c r="AB16" i="32" s="1"/>
  <c r="AE16" i="32" s="1" a="1"/>
  <c r="AE16" i="32" s="1"/>
  <c r="C50" i="32" a="1"/>
  <c r="C50" i="32" s="1"/>
  <c r="C53" i="32" a="1"/>
  <c r="C53" i="32" s="1"/>
  <c r="C24" i="32" a="1"/>
  <c r="C24" i="32" s="1"/>
  <c r="C52" i="32" a="1"/>
  <c r="C52" i="32" s="1"/>
  <c r="C15" i="32" a="1"/>
  <c r="C15" i="32" s="1"/>
  <c r="C44" i="32" a="1"/>
  <c r="C44" i="32" s="1"/>
  <c r="C39" i="32" a="1"/>
  <c r="C39" i="32" s="1"/>
  <c r="X52" i="32" a="1"/>
  <c r="X52" i="32" s="1"/>
  <c r="Y52" i="32" s="1" a="1"/>
  <c r="Y52" i="32" s="1"/>
  <c r="AA52" i="32" s="1" a="1"/>
  <c r="AA52" i="32" s="1"/>
  <c r="AB52" i="32" s="1" a="1"/>
  <c r="AB52" i="32" s="1"/>
  <c r="AE52" i="32" s="1" a="1"/>
  <c r="AE52" i="32" s="1"/>
  <c r="C49" i="32" a="1"/>
  <c r="C49" i="32" s="1"/>
  <c r="C25" i="32" a="1"/>
  <c r="C25" i="32" s="1"/>
  <c r="X31" i="32" a="1"/>
  <c r="X31" i="32" s="1"/>
  <c r="Y31" i="32" s="1" a="1"/>
  <c r="Y31" i="32" s="1"/>
  <c r="AA31" i="32" s="1" a="1"/>
  <c r="AA31" i="32" s="1"/>
  <c r="AB31" i="32" s="1" a="1"/>
  <c r="AB31" i="32" s="1"/>
  <c r="AE31" i="32" s="1" a="1"/>
  <c r="AE31" i="32" s="1"/>
  <c r="X22" i="32" a="1"/>
  <c r="X22" i="32" s="1"/>
  <c r="Y22" i="32" s="1" a="1"/>
  <c r="Y22" i="32" s="1"/>
  <c r="AA22" i="32" s="1" a="1"/>
  <c r="AA22" i="32" s="1"/>
  <c r="AB22" i="32" s="1" a="1"/>
  <c r="AB22" i="32" s="1"/>
  <c r="AE22" i="32" s="1" a="1"/>
  <c r="AE22" i="32" s="1"/>
  <c r="X17" i="32" a="1"/>
  <c r="X17" i="32" s="1"/>
  <c r="Y17" i="32" s="1" a="1"/>
  <c r="Y17" i="32" s="1"/>
  <c r="AA17" i="32" s="1" a="1"/>
  <c r="AA17" i="32" s="1"/>
  <c r="AB17" i="32" s="1" a="1"/>
  <c r="AB17" i="32" s="1"/>
  <c r="AE17" i="32" s="1" a="1"/>
  <c r="AE17" i="32" s="1"/>
  <c r="X40" i="32" a="1"/>
  <c r="X40" i="32" s="1"/>
  <c r="Y40" i="32" s="1" a="1"/>
  <c r="Y40" i="32" s="1"/>
  <c r="AA40" i="32" s="1" a="1"/>
  <c r="AA40" i="32" s="1"/>
  <c r="AB40" i="32" s="1" a="1"/>
  <c r="AB40" i="32" s="1"/>
  <c r="AE40" i="32" s="1" a="1"/>
  <c r="AE40" i="32" s="1"/>
  <c r="X25" i="32" a="1"/>
  <c r="X25" i="32" s="1"/>
  <c r="Y25" i="32" s="1" a="1"/>
  <c r="Y25" i="32" s="1"/>
  <c r="AA25" i="32" s="1" a="1"/>
  <c r="AA25" i="32" s="1"/>
  <c r="AB25" i="32" s="1" a="1"/>
  <c r="AB25" i="32" s="1"/>
  <c r="AE25" i="32" s="1" a="1"/>
  <c r="AE25" i="32" s="1"/>
  <c r="X48" i="32" a="1"/>
  <c r="X48" i="32" s="1"/>
  <c r="Y48" i="32" s="1" a="1"/>
  <c r="Y48" i="32" s="1"/>
  <c r="AA48" i="32" s="1" a="1"/>
  <c r="AA48" i="32" s="1"/>
  <c r="AB48" i="32" s="1" a="1"/>
  <c r="AB48" i="32" s="1"/>
  <c r="AE48" i="32" s="1" a="1"/>
  <c r="AE48" i="32" s="1"/>
  <c r="X42" i="32" a="1"/>
  <c r="X42" i="32" s="1"/>
  <c r="Y42" i="32" s="1" a="1"/>
  <c r="Y42" i="32" s="1"/>
  <c r="AA42" i="32" s="1" a="1"/>
  <c r="AA42" i="32" s="1"/>
  <c r="AB42" i="32" s="1" a="1"/>
  <c r="AB42" i="32" s="1"/>
  <c r="AE42" i="32" s="1" a="1"/>
  <c r="AE42" i="32" s="1"/>
  <c r="X41" i="32" a="1"/>
  <c r="X41" i="32" s="1"/>
  <c r="Y41" i="32" s="1" a="1"/>
  <c r="Y41" i="32" s="1"/>
  <c r="AA41" i="32" s="1" a="1"/>
  <c r="AA41" i="32" s="1"/>
  <c r="AB41" i="32" s="1" a="1"/>
  <c r="AB41" i="32" s="1"/>
  <c r="AE41" i="32" s="1" a="1"/>
  <c r="AE41" i="32" s="1"/>
  <c r="X60" i="32" a="1"/>
  <c r="X60" i="32" s="1"/>
  <c r="Y60" i="32" s="1" a="1"/>
  <c r="Y60" i="32" s="1"/>
  <c r="AA60" i="32" s="1" a="1"/>
  <c r="AA60" i="32" s="1"/>
  <c r="AB60" i="32" s="1" a="1"/>
  <c r="AB60" i="32" s="1"/>
  <c r="AE60" i="32" s="1" a="1"/>
  <c r="AE60" i="32" s="1"/>
  <c r="X67" i="32" a="1"/>
  <c r="X67" i="32" s="1"/>
  <c r="Y67" i="32" s="1" a="1"/>
  <c r="Y67" i="32" s="1"/>
  <c r="AA67" i="32" s="1" a="1"/>
  <c r="AA67" i="32" s="1"/>
  <c r="AB67" i="32" s="1" a="1"/>
  <c r="AB67" i="32" s="1"/>
  <c r="AE67" i="32" s="1" a="1"/>
  <c r="AE67" i="32" s="1"/>
  <c r="X35" i="32" a="1"/>
  <c r="X35" i="32" s="1"/>
  <c r="Y35" i="32" s="1" a="1"/>
  <c r="Y35" i="32" s="1"/>
  <c r="AA35" i="32" s="1" a="1"/>
  <c r="AA35" i="32" s="1"/>
  <c r="AB35" i="32" s="1" a="1"/>
  <c r="AB35" i="32" s="1"/>
  <c r="AE35" i="32" s="1" a="1"/>
  <c r="AE35" i="32" s="1"/>
  <c r="C17" i="32" a="1"/>
  <c r="C17" i="32" s="1"/>
  <c r="X59" i="32" a="1"/>
  <c r="X59" i="32" s="1"/>
  <c r="Y59" i="32" s="1" a="1"/>
  <c r="Y59" i="32" s="1"/>
  <c r="AA59" i="32" s="1" a="1"/>
  <c r="AA59" i="32" s="1"/>
  <c r="AB59" i="32" s="1" a="1"/>
  <c r="AB59" i="32" s="1"/>
  <c r="AE59" i="32" s="1" a="1"/>
  <c r="AE59" i="32" s="1"/>
  <c r="X50" i="32" a="1"/>
  <c r="X50" i="32" s="1"/>
  <c r="Y50" i="32" s="1" a="1"/>
  <c r="Y50" i="32" s="1"/>
  <c r="AA50" i="32" s="1" a="1"/>
  <c r="AA50" i="32" s="1"/>
  <c r="AB50" i="32" s="1" a="1"/>
  <c r="AB50" i="32" s="1"/>
  <c r="AE50" i="32" s="1" a="1"/>
  <c r="AE50" i="32" s="1"/>
  <c r="X9" i="32" a="1"/>
  <c r="X9" i="32" s="1"/>
  <c r="Y9" i="32" s="1" a="1"/>
  <c r="Y9" i="32" s="1"/>
  <c r="AA9" i="32" s="1" a="1"/>
  <c r="AA9" i="32" s="1"/>
  <c r="AB9" i="32" s="1" a="1"/>
  <c r="AB9" i="32" s="1"/>
  <c r="AE9" i="32" s="1" a="1"/>
  <c r="AE9" i="32" s="1"/>
  <c r="C30" i="32" a="1"/>
  <c r="C30" i="32" s="1"/>
  <c r="X11" i="32" a="1"/>
  <c r="X11" i="32" s="1"/>
  <c r="Y11" i="32" s="1" a="1"/>
  <c r="Y11" i="32" s="1"/>
  <c r="AA11" i="32" s="1" a="1"/>
  <c r="AA11" i="32" s="1"/>
  <c r="AB11" i="32" s="1" a="1"/>
  <c r="AB11" i="32" s="1"/>
  <c r="AE11" i="32" s="1" a="1"/>
  <c r="AE11" i="32" s="1"/>
  <c r="C59" i="32" a="1"/>
  <c r="C59" i="32" s="1"/>
  <c r="C58" i="32" a="1"/>
  <c r="C58" i="32" s="1"/>
  <c r="C36" i="32" a="1"/>
  <c r="C36" i="32" s="1"/>
  <c r="C51" i="32" a="1"/>
  <c r="C51" i="32" s="1"/>
  <c r="C60" i="32" a="1"/>
  <c r="C60" i="32" s="1"/>
  <c r="X43" i="32" a="1"/>
  <c r="X43" i="32" s="1"/>
  <c r="Y43" i="32" s="1" a="1"/>
  <c r="Y43" i="32" s="1"/>
  <c r="AA43" i="32" s="1" a="1"/>
  <c r="AA43" i="32" s="1"/>
  <c r="AB43" i="32" s="1" a="1"/>
  <c r="AB43" i="32" s="1"/>
  <c r="AE43" i="32" s="1" a="1"/>
  <c r="AE43" i="32" s="1"/>
  <c r="C10" i="32" a="1"/>
  <c r="C10" i="32" s="1"/>
  <c r="X51" i="32" a="1"/>
  <c r="X51" i="32" s="1"/>
  <c r="Y51" i="32" s="1" a="1"/>
  <c r="Y51" i="32" s="1"/>
  <c r="AA51" i="32" s="1" a="1"/>
  <c r="AA51" i="32" s="1"/>
  <c r="AB51" i="32" s="1" a="1"/>
  <c r="AB51" i="32" s="1"/>
  <c r="AE51" i="32" s="1" a="1"/>
  <c r="AE51" i="32" s="1"/>
  <c r="C40" i="32" a="1"/>
  <c r="C40" i="32" s="1"/>
  <c r="C65" i="32" a="1"/>
  <c r="C65" i="32" s="1"/>
  <c r="C72" i="32" a="1"/>
  <c r="C72" i="32" s="1"/>
  <c r="C14" i="32" a="1"/>
  <c r="C14" i="32" s="1"/>
  <c r="X10" i="32" a="1"/>
  <c r="X10" i="32" s="1"/>
  <c r="Y10" i="32" s="1" a="1"/>
  <c r="Y10" i="32" s="1"/>
  <c r="AA10" i="32" s="1" a="1"/>
  <c r="AA10" i="32" s="1"/>
  <c r="AB10" i="32" s="1" a="1"/>
  <c r="AB10" i="32" s="1"/>
  <c r="AE10" i="32" s="1" a="1"/>
  <c r="AE10" i="32" s="1"/>
  <c r="X63" i="32" a="1"/>
  <c r="X63" i="32" s="1"/>
  <c r="Y63" i="32" s="1" a="1"/>
  <c r="Y63" i="32" s="1"/>
  <c r="AA63" i="32" s="1" a="1"/>
  <c r="AA63" i="32" s="1"/>
  <c r="AB63" i="32" s="1" a="1"/>
  <c r="AB63" i="32" s="1"/>
  <c r="AE63" i="32" s="1" a="1"/>
  <c r="AE63" i="32" s="1"/>
  <c r="X70" i="32" a="1"/>
  <c r="X70" i="32" s="1"/>
  <c r="Y70" i="32" s="1" a="1"/>
  <c r="Y70" i="32" s="1"/>
  <c r="AA70" i="32" s="1" a="1"/>
  <c r="AA70" i="32" s="1"/>
  <c r="AB70" i="32" s="1" a="1"/>
  <c r="AB70" i="32" s="1"/>
  <c r="AE70" i="32" s="1" a="1"/>
  <c r="AE70" i="32" s="1"/>
  <c r="C8" i="32" a="1"/>
  <c r="C8" i="32" s="1"/>
  <c r="C21" i="32" a="1"/>
  <c r="C21" i="32" s="1"/>
  <c r="C20" i="32" a="1"/>
  <c r="C20" i="32" s="1"/>
  <c r="C34" i="32" a="1"/>
  <c r="C34" i="32" s="1"/>
  <c r="X18" i="32" a="1"/>
  <c r="X18" i="32" s="1"/>
  <c r="Y18" i="32" s="1" a="1"/>
  <c r="Y18" i="32" s="1"/>
  <c r="AA18" i="32" s="1" a="1"/>
  <c r="AA18" i="32" s="1"/>
  <c r="AB18" i="32" s="1" a="1"/>
  <c r="AB18" i="32" s="1"/>
  <c r="AE18" i="32" s="1" a="1"/>
  <c r="AE18" i="32" s="1"/>
  <c r="C43" i="32" a="1"/>
  <c r="C43" i="32" s="1"/>
  <c r="C18" i="32" a="1"/>
  <c r="C18" i="32" s="1"/>
  <c r="X46" i="32" a="1"/>
  <c r="X46" i="32" s="1"/>
  <c r="Y46" i="32" s="1" a="1"/>
  <c r="Y46" i="32" s="1"/>
  <c r="AA46" i="32" s="1" a="1"/>
  <c r="AA46" i="32" s="1"/>
  <c r="AB46" i="32" s="1" a="1"/>
  <c r="AB46" i="32" s="1"/>
  <c r="AE46" i="32" s="1" a="1"/>
  <c r="AE46" i="32" s="1"/>
  <c r="X61" i="32" a="1"/>
  <c r="X61" i="32" s="1"/>
  <c r="Y61" i="32" s="1" a="1"/>
  <c r="Y61" i="32" s="1"/>
  <c r="AA61" i="32" s="1" a="1"/>
  <c r="AA61" i="32" s="1"/>
  <c r="AB61" i="32" s="1" a="1"/>
  <c r="AB61" i="32" s="1"/>
  <c r="AE61" i="32" s="1" a="1"/>
  <c r="AE61" i="32" s="1"/>
  <c r="C32" i="32" a="1"/>
  <c r="C32" i="32" s="1"/>
  <c r="X24" i="32" a="1"/>
  <c r="X24" i="32" s="1"/>
  <c r="Y24" i="32" s="1" a="1"/>
  <c r="Y24" i="32" s="1"/>
  <c r="AA24" i="32" s="1" a="1"/>
  <c r="AA24" i="32" s="1"/>
  <c r="AB24" i="32" s="1" a="1"/>
  <c r="AB24" i="32" s="1"/>
  <c r="AE24" i="32" s="1" a="1"/>
  <c r="AE24" i="32" s="1"/>
  <c r="X33" i="32" a="1"/>
  <c r="X33" i="32" s="1"/>
  <c r="Y33" i="32" s="1" a="1"/>
  <c r="Y33" i="32" s="1"/>
  <c r="AA33" i="32" s="1" a="1"/>
  <c r="AA33" i="32" s="1"/>
  <c r="AB33" i="32" s="1" a="1"/>
  <c r="AB33" i="32" s="1"/>
  <c r="AE33" i="32" s="1" a="1"/>
  <c r="AE33" i="32" s="1"/>
  <c r="X49" i="32" a="1"/>
  <c r="X49" i="32" s="1"/>
  <c r="Y49" i="32" s="1" a="1"/>
  <c r="Y49" i="32" s="1"/>
  <c r="AA49" i="32" s="1" a="1"/>
  <c r="AA49" i="32" s="1"/>
  <c r="AB49" i="32" s="1" a="1"/>
  <c r="AB49" i="32" s="1"/>
  <c r="AE49" i="32" s="1" a="1"/>
  <c r="AE49" i="32" s="1"/>
  <c r="C26" i="32" a="1"/>
  <c r="C26" i="32" s="1"/>
  <c r="X32" i="32" a="1"/>
  <c r="X32" i="32" s="1"/>
  <c r="Y32" i="32" s="1" a="1"/>
  <c r="Y32" i="32" s="1"/>
  <c r="AA32" i="32" s="1" a="1"/>
  <c r="AA32" i="32" s="1"/>
  <c r="AB32" i="32" s="1" a="1"/>
  <c r="AB32" i="32" s="1"/>
  <c r="AE32" i="32" s="1" a="1"/>
  <c r="AE32" i="32" s="1"/>
  <c r="C13" i="32" a="1"/>
  <c r="C13" i="32" s="1"/>
  <c r="C57" i="32" a="1"/>
  <c r="C57" i="32" s="1"/>
  <c r="C67" i="32" a="1"/>
  <c r="C67" i="32" s="1"/>
  <c r="C68" i="32" a="1"/>
  <c r="C68" i="32" s="1"/>
  <c r="C69" i="32" a="1"/>
  <c r="C69" i="32" s="1"/>
  <c r="C70" i="32" a="1"/>
  <c r="C70" i="32" s="1"/>
  <c r="C71" i="32" a="1"/>
  <c r="C71" i="32" s="1"/>
  <c r="C22" i="32" a="1"/>
  <c r="C22" i="32" s="1"/>
  <c r="C27" i="32" a="1"/>
  <c r="C27" i="32" s="1"/>
  <c r="C42" i="32" a="1"/>
  <c r="C42" i="32" s="1"/>
  <c r="C12" i="32" a="1"/>
  <c r="C12" i="32" s="1"/>
  <c r="C11" i="32" a="1"/>
  <c r="C11" i="32" s="1"/>
  <c r="I210" i="28"/>
  <c r="C9" i="24"/>
  <c r="C12" i="24"/>
  <c r="X68" i="32" a="1"/>
  <c r="X68" i="32" s="1"/>
  <c r="Y68" i="32" s="1" a="1"/>
  <c r="Y68" i="32" s="1"/>
  <c r="AA68" i="32" s="1" a="1"/>
  <c r="AA68" i="32" s="1"/>
  <c r="AB68" i="32" s="1" a="1"/>
  <c r="AB68" i="32" s="1"/>
  <c r="AE68" i="32" s="1" a="1"/>
  <c r="AE68" i="32" s="1"/>
  <c r="X72" i="32" a="1"/>
  <c r="X72" i="32" s="1"/>
  <c r="Y72" i="32" s="1" a="1"/>
  <c r="Y72" i="32" s="1"/>
  <c r="AA72" i="32" s="1" a="1"/>
  <c r="AA72" i="32" s="1"/>
  <c r="AB72" i="32" s="1" a="1"/>
  <c r="AB72" i="32" s="1"/>
  <c r="AE72" i="32" s="1" a="1"/>
  <c r="AE72" i="32" s="1"/>
  <c r="T5" i="21" a="1"/>
  <c r="T5" i="21" s="1"/>
  <c r="T37" i="21" a="1"/>
  <c r="T37" i="21" s="1"/>
  <c r="T38" i="21" a="1"/>
  <c r="T38" i="21" s="1"/>
  <c r="T19" i="21" a="1"/>
  <c r="T19" i="21" s="1"/>
  <c r="T34" i="21" a="1"/>
  <c r="T34" i="21" s="1"/>
  <c r="T32" i="21" a="1"/>
  <c r="T32" i="21" s="1"/>
  <c r="T39" i="21" a="1"/>
  <c r="T39" i="21" s="1"/>
  <c r="T18" i="21" a="1"/>
  <c r="T18" i="21" s="1"/>
  <c r="T28" i="21" a="1"/>
  <c r="T28" i="21" s="1"/>
  <c r="T31" i="21" a="1"/>
  <c r="T31" i="21" s="1"/>
  <c r="T12" i="21" a="1"/>
  <c r="T12" i="21" s="1"/>
  <c r="T35" i="21" a="1"/>
  <c r="T35" i="21" s="1"/>
  <c r="T4" i="21" a="1"/>
  <c r="T4" i="21" s="1"/>
  <c r="T20" i="21" a="1"/>
  <c r="T20" i="21" s="1"/>
  <c r="T17" i="21" a="1"/>
  <c r="T17" i="21" s="1"/>
  <c r="T27" i="21" a="1"/>
  <c r="T27" i="21" s="1"/>
  <c r="T23" i="21" a="1"/>
  <c r="T23" i="21" s="1"/>
  <c r="T6" i="21" a="1"/>
  <c r="T6" i="21" s="1"/>
  <c r="T25" i="21" a="1"/>
  <c r="T25" i="21" s="1"/>
  <c r="T42" i="21" a="1"/>
  <c r="T42" i="21" s="1"/>
  <c r="T14" i="21" a="1"/>
  <c r="T14" i="21" s="1"/>
  <c r="T21" i="21" a="1"/>
  <c r="T21" i="21" s="1"/>
  <c r="T29" i="21" a="1"/>
  <c r="T29" i="21" s="1"/>
  <c r="T26" i="21" a="1"/>
  <c r="T26" i="21" s="1"/>
  <c r="T11" i="21" a="1"/>
  <c r="T11" i="21" s="1"/>
  <c r="T10" i="21" a="1"/>
  <c r="T10" i="21" s="1"/>
  <c r="T33" i="21" a="1"/>
  <c r="T33" i="21" s="1"/>
  <c r="T22" i="21" a="1"/>
  <c r="T22" i="21" s="1"/>
  <c r="T15" i="21" a="1"/>
  <c r="T15" i="21" s="1"/>
  <c r="T9" i="21" a="1"/>
  <c r="T9" i="21" s="1"/>
  <c r="T3" i="21" a="1"/>
  <c r="T3" i="21" s="1"/>
  <c r="T36" i="21" a="1"/>
  <c r="T36" i="21" s="1"/>
  <c r="T40" i="21" a="1"/>
  <c r="T40" i="21" s="1"/>
  <c r="T7" i="21" a="1"/>
  <c r="T7" i="21" s="1"/>
  <c r="T24" i="21" a="1"/>
  <c r="T24" i="21" s="1"/>
  <c r="T8" i="21" a="1"/>
  <c r="T8" i="21" s="1"/>
  <c r="T30" i="21" a="1"/>
  <c r="T30" i="21" s="1"/>
  <c r="T13" i="21" a="1"/>
  <c r="T13" i="21" s="1"/>
  <c r="T41" i="21" a="1"/>
  <c r="T41" i="21" s="1"/>
  <c r="T16" i="21" a="1"/>
  <c r="T16" i="21" s="1"/>
  <c r="X71" i="32" a="1"/>
  <c r="X71" i="32" s="1"/>
  <c r="Y71" i="32" s="1" a="1"/>
  <c r="Y71" i="32" s="1"/>
  <c r="AA71" i="32" s="1" a="1"/>
  <c r="AA71" i="32" s="1"/>
  <c r="AB71" i="32" s="1" a="1"/>
  <c r="AB71" i="32" s="1"/>
  <c r="AE71" i="32" s="1" a="1"/>
  <c r="AE71" i="32" s="1"/>
  <c r="C63" i="32" a="1"/>
  <c r="C63" i="32" s="1"/>
  <c r="X69" i="32" a="1"/>
  <c r="X69" i="32" s="1"/>
  <c r="Y69" i="32" s="1" a="1"/>
  <c r="Y69" i="32" s="1"/>
  <c r="AA69" i="32" s="1" a="1"/>
  <c r="AA69" i="32" s="1"/>
  <c r="AB69" i="32" s="1" a="1"/>
  <c r="AB69" i="32" s="1"/>
  <c r="AE69" i="32" s="1" a="1"/>
  <c r="AE69" i="32" s="1"/>
  <c r="X8" i="32" a="1"/>
  <c r="X8" i="32" s="1"/>
  <c r="Y8" i="32" s="1" a="1"/>
  <c r="Y8" i="32" s="1"/>
  <c r="AA8" i="32" s="1" a="1"/>
  <c r="AA8" i="32" s="1"/>
  <c r="AB8" i="32" s="1" a="1"/>
  <c r="AB8" i="32" s="1"/>
  <c r="AE8" i="32" s="1" a="1"/>
  <c r="AE8" i="32" s="1"/>
  <c r="AG77" i="12"/>
  <c r="F77" i="12" s="1"/>
  <c r="G77" i="12" s="1"/>
  <c r="AJ77" i="12" s="1" a="1"/>
  <c r="AJ77" i="12" s="1"/>
  <c r="X7" i="32" a="1"/>
  <c r="X7" i="32" s="1"/>
  <c r="Y7" i="32" s="1" a="1"/>
  <c r="Y7" i="32" s="1"/>
  <c r="AA7" i="32" s="1" a="1"/>
  <c r="AA7" i="32" s="1"/>
  <c r="AB7" i="32" s="1" a="1"/>
  <c r="AB7" i="32" s="1"/>
  <c r="AE7" i="32" s="1" a="1"/>
  <c r="AE7" i="32" s="1"/>
  <c r="Z5" i="17" a="1"/>
  <c r="Z5" i="17" s="1"/>
  <c r="AQ5" i="17" a="1"/>
  <c r="AQ5" i="17" s="1"/>
  <c r="X19" i="32" a="1"/>
  <c r="X19" i="32" s="1"/>
  <c r="Y19" i="32" s="1" a="1"/>
  <c r="Y19" i="32" s="1"/>
  <c r="AA19" i="32" s="1" a="1"/>
  <c r="AA19" i="32" s="1"/>
  <c r="AB19" i="32" s="1" a="1"/>
  <c r="AB19" i="32" s="1"/>
  <c r="AE19" i="32" s="1" a="1"/>
  <c r="AE19" i="32" s="1"/>
  <c r="X6" i="32" a="1"/>
  <c r="X6" i="32" s="1"/>
  <c r="Y6" i="32" s="1" a="1"/>
  <c r="Y6" i="32" s="1"/>
  <c r="AA6" i="32" s="1" a="1"/>
  <c r="AA6" i="32" s="1"/>
  <c r="AB6" i="32" s="1" a="1"/>
  <c r="AB6" i="32" s="1"/>
  <c r="E9" i="24" a="1"/>
  <c r="E9" i="24" s="1"/>
  <c r="E12" i="24" a="1"/>
  <c r="E12" i="24" s="1"/>
  <c r="A12" i="24" s="1"/>
  <c r="I46" i="14"/>
  <c r="B46" i="14" s="1" a="1"/>
  <c r="B46" i="14" s="1"/>
  <c r="H46" i="14"/>
  <c r="A46" i="14" s="1" a="1"/>
  <c r="A46" i="14" s="1"/>
  <c r="G47" i="14"/>
  <c r="E47" i="14" a="1"/>
  <c r="E47" i="14" s="1"/>
  <c r="C48" i="14" s="1" a="1"/>
  <c r="C48" i="14" s="1"/>
  <c r="U33" i="21" l="1"/>
  <c r="E33" i="21" a="1"/>
  <c r="E33" i="21" s="1"/>
  <c r="S33" i="21" a="1"/>
  <c r="S33" i="21" s="1"/>
  <c r="D33" i="21" s="1" a="1"/>
  <c r="D33" i="21" s="1"/>
  <c r="E4" i="21" a="1"/>
  <c r="E4" i="21" s="1"/>
  <c r="S4" i="21" a="1"/>
  <c r="S4" i="21" s="1"/>
  <c r="D4" i="21" s="1" a="1"/>
  <c r="D4" i="21" s="1"/>
  <c r="U4" i="21"/>
  <c r="U16" i="21"/>
  <c r="S16" i="21" a="1"/>
  <c r="S16" i="21" s="1"/>
  <c r="D16" i="21" s="1" a="1"/>
  <c r="D16" i="21" s="1"/>
  <c r="E16" i="21" a="1"/>
  <c r="E16" i="21" s="1"/>
  <c r="E10" i="21" a="1"/>
  <c r="E10" i="21" s="1"/>
  <c r="S10" i="21" a="1"/>
  <c r="S10" i="21" s="1"/>
  <c r="D10" i="21" s="1" a="1"/>
  <c r="D10" i="21" s="1"/>
  <c r="U10" i="21"/>
  <c r="U35" i="21"/>
  <c r="S35" i="21" a="1"/>
  <c r="S35" i="21" s="1"/>
  <c r="D35" i="21" s="1" a="1"/>
  <c r="D35" i="21" s="1"/>
  <c r="E35" i="21" a="1"/>
  <c r="E35" i="21" s="1"/>
  <c r="E41" i="21" a="1"/>
  <c r="E41" i="21" s="1"/>
  <c r="U41" i="21"/>
  <c r="S41" i="21" a="1"/>
  <c r="S41" i="21" s="1"/>
  <c r="D41" i="21" s="1" a="1"/>
  <c r="D41" i="21" s="1"/>
  <c r="S11" i="21" a="1"/>
  <c r="S11" i="21" s="1"/>
  <c r="D11" i="21" s="1" a="1"/>
  <c r="D11" i="21" s="1"/>
  <c r="E11" i="21" a="1"/>
  <c r="E11" i="21" s="1"/>
  <c r="U11" i="21"/>
  <c r="V11" i="21" a="1"/>
  <c r="V11" i="21" s="1"/>
  <c r="U12" i="21"/>
  <c r="E12" i="21" a="1"/>
  <c r="E12" i="21" s="1"/>
  <c r="S12" i="21" a="1"/>
  <c r="S12" i="21" s="1"/>
  <c r="D12" i="21" s="1" a="1"/>
  <c r="D12" i="21" s="1"/>
  <c r="S13" i="21" a="1"/>
  <c r="S13" i="21" s="1"/>
  <c r="D13" i="21" s="1" a="1"/>
  <c r="D13" i="21" s="1"/>
  <c r="E13" i="21" a="1"/>
  <c r="E13" i="21" s="1"/>
  <c r="U13" i="21"/>
  <c r="S26" i="21" a="1"/>
  <c r="S26" i="21" s="1"/>
  <c r="D26" i="21" s="1" a="1"/>
  <c r="D26" i="21" s="1"/>
  <c r="U26" i="21"/>
  <c r="E26" i="21" a="1"/>
  <c r="E26" i="21" s="1"/>
  <c r="S31" i="21" a="1"/>
  <c r="S31" i="21" s="1"/>
  <c r="D31" i="21" s="1" a="1"/>
  <c r="D31" i="21" s="1"/>
  <c r="U31" i="21"/>
  <c r="E31" i="21" a="1"/>
  <c r="E31" i="21" s="1"/>
  <c r="D9" i="24"/>
  <c r="A9" i="24"/>
  <c r="U30" i="21"/>
  <c r="S30" i="21" a="1"/>
  <c r="S30" i="21" s="1"/>
  <c r="D30" i="21" s="1" a="1"/>
  <c r="D30" i="21" s="1"/>
  <c r="E30" i="21" a="1"/>
  <c r="E30" i="21" s="1"/>
  <c r="U29" i="21"/>
  <c r="S29" i="21" a="1"/>
  <c r="S29" i="21" s="1"/>
  <c r="D29" i="21" s="1" a="1"/>
  <c r="D29" i="21" s="1"/>
  <c r="E29" i="21" a="1"/>
  <c r="E29" i="21" s="1"/>
  <c r="E28" i="21" a="1"/>
  <c r="E28" i="21" s="1"/>
  <c r="S28" i="21" a="1"/>
  <c r="S28" i="21" s="1"/>
  <c r="D28" i="21" s="1" a="1"/>
  <c r="D28" i="21" s="1"/>
  <c r="U28" i="21"/>
  <c r="AE6" i="32" a="1"/>
  <c r="AE6" i="32" s="1"/>
  <c r="CM3" i="12"/>
  <c r="CM67" i="12"/>
  <c r="CM8" i="12"/>
  <c r="CM63" i="12"/>
  <c r="CM35" i="12"/>
  <c r="CM30" i="12"/>
  <c r="CM68" i="12"/>
  <c r="CM25" i="12"/>
  <c r="CM4" i="12"/>
  <c r="CM38" i="12"/>
  <c r="CM49" i="12"/>
  <c r="CM66" i="12"/>
  <c r="CM11" i="12"/>
  <c r="CM17" i="12"/>
  <c r="CM70" i="12"/>
  <c r="CM14" i="12"/>
  <c r="CM37" i="12"/>
  <c r="CM54" i="12"/>
  <c r="CM33" i="12"/>
  <c r="CM59" i="12"/>
  <c r="CM28" i="12"/>
  <c r="CM69" i="12"/>
  <c r="CM39" i="12"/>
  <c r="CM23" i="12"/>
  <c r="CM21" i="12"/>
  <c r="CM71" i="12"/>
  <c r="CM26" i="12"/>
  <c r="CM7" i="12"/>
  <c r="CM51" i="12"/>
  <c r="CM50" i="12"/>
  <c r="CM72" i="12"/>
  <c r="CM62" i="12"/>
  <c r="CM20" i="12"/>
  <c r="CM55" i="12"/>
  <c r="CM73" i="12"/>
  <c r="CM6" i="12"/>
  <c r="CM32" i="12"/>
  <c r="CM36" i="12"/>
  <c r="CM44" i="12"/>
  <c r="CM15" i="12"/>
  <c r="CM29" i="12"/>
  <c r="CM48" i="12"/>
  <c r="CM41" i="12"/>
  <c r="CM42" i="12"/>
  <c r="CM22" i="12"/>
  <c r="CM10" i="12"/>
  <c r="CM64" i="12"/>
  <c r="CM52" i="12"/>
  <c r="CM53" i="12"/>
  <c r="CM27" i="12"/>
  <c r="CM65" i="12"/>
  <c r="CM18" i="12"/>
  <c r="CM56" i="12"/>
  <c r="CM31" i="12"/>
  <c r="CM24" i="12"/>
  <c r="CM5" i="12"/>
  <c r="CM61" i="12"/>
  <c r="CM9" i="12"/>
  <c r="CM45" i="12"/>
  <c r="CM46" i="12"/>
  <c r="CM58" i="12"/>
  <c r="CM34" i="12"/>
  <c r="CM60" i="12"/>
  <c r="CM57" i="12"/>
  <c r="CM19" i="12"/>
  <c r="CM40" i="12"/>
  <c r="CM12" i="12"/>
  <c r="CM13" i="12"/>
  <c r="CM16" i="12"/>
  <c r="CM47" i="12"/>
  <c r="CM43" i="12"/>
  <c r="CM74" i="12"/>
  <c r="CM75" i="12"/>
  <c r="CM76" i="12"/>
  <c r="CM77" i="12"/>
  <c r="S8" i="21" a="1"/>
  <c r="S8" i="21" s="1"/>
  <c r="D8" i="21" s="1" a="1"/>
  <c r="D8" i="21" s="1"/>
  <c r="E8" i="21" a="1"/>
  <c r="E8" i="21" s="1"/>
  <c r="U8" i="21"/>
  <c r="S21" i="21" a="1"/>
  <c r="S21" i="21" s="1"/>
  <c r="D21" i="21" s="1" a="1"/>
  <c r="D21" i="21" s="1"/>
  <c r="E21" i="21" a="1"/>
  <c r="E21" i="21" s="1"/>
  <c r="U21" i="21"/>
  <c r="S18" i="21" a="1"/>
  <c r="S18" i="21" s="1"/>
  <c r="D18" i="21" s="1" a="1"/>
  <c r="D18" i="21" s="1"/>
  <c r="E18" i="21" a="1"/>
  <c r="E18" i="21" s="1"/>
  <c r="U18" i="21"/>
  <c r="S24" i="21" a="1"/>
  <c r="S24" i="21" s="1"/>
  <c r="D24" i="21" s="1" a="1"/>
  <c r="D24" i="21" s="1"/>
  <c r="U24" i="21"/>
  <c r="E24" i="21" a="1"/>
  <c r="E24" i="21" s="1"/>
  <c r="V14" i="21" a="1"/>
  <c r="V14" i="21" s="1"/>
  <c r="S14" i="21" a="1"/>
  <c r="S14" i="21" s="1"/>
  <c r="D14" i="21" s="1" a="1"/>
  <c r="D14" i="21" s="1"/>
  <c r="U14" i="21"/>
  <c r="E14" i="21" a="1"/>
  <c r="E14" i="21" s="1"/>
  <c r="U39" i="21"/>
  <c r="E39" i="21" a="1"/>
  <c r="E39" i="21" s="1"/>
  <c r="S39" i="21" a="1"/>
  <c r="S39" i="21" s="1"/>
  <c r="D39" i="21" s="1" a="1"/>
  <c r="D39" i="21" s="1"/>
  <c r="S7" i="21" a="1"/>
  <c r="S7" i="21" s="1"/>
  <c r="D7" i="21" s="1" a="1"/>
  <c r="D7" i="21" s="1"/>
  <c r="E7" i="21" a="1"/>
  <c r="E7" i="21" s="1"/>
  <c r="U7" i="21"/>
  <c r="E42" i="21" a="1"/>
  <c r="E42" i="21" s="1"/>
  <c r="S42" i="21" a="1"/>
  <c r="S42" i="21" s="1"/>
  <c r="D42" i="21" s="1" a="1"/>
  <c r="D42" i="21" s="1"/>
  <c r="U42" i="21"/>
  <c r="U32" i="21"/>
  <c r="S32" i="21" a="1"/>
  <c r="S32" i="21" s="1"/>
  <c r="D32" i="21" s="1" a="1"/>
  <c r="D32" i="21" s="1"/>
  <c r="E32" i="21" a="1"/>
  <c r="E32" i="21" s="1"/>
  <c r="U40" i="21"/>
  <c r="E40" i="21" a="1"/>
  <c r="E40" i="21" s="1"/>
  <c r="S40" i="21" a="1"/>
  <c r="S40" i="21" s="1"/>
  <c r="D40" i="21" s="1" a="1"/>
  <c r="D40" i="21" s="1"/>
  <c r="U25" i="21"/>
  <c r="S25" i="21" a="1"/>
  <c r="S25" i="21" s="1"/>
  <c r="D25" i="21" s="1" a="1"/>
  <c r="D25" i="21" s="1"/>
  <c r="E25" i="21" a="1"/>
  <c r="E25" i="21" s="1"/>
  <c r="E34" i="21" a="1"/>
  <c r="E34" i="21" s="1"/>
  <c r="V34" i="21" a="1"/>
  <c r="V34" i="21" s="1"/>
  <c r="U34" i="21"/>
  <c r="S34" i="21" a="1"/>
  <c r="S34" i="21" s="1"/>
  <c r="D34" i="21" s="1" a="1"/>
  <c r="D34" i="21" s="1"/>
  <c r="U36" i="21"/>
  <c r="S36" i="21" a="1"/>
  <c r="S36" i="21" s="1"/>
  <c r="D36" i="21" s="1" a="1"/>
  <c r="D36" i="21" s="1"/>
  <c r="E36" i="21" a="1"/>
  <c r="E36" i="21" s="1"/>
  <c r="V36" i="21" a="1"/>
  <c r="V36" i="21" s="1"/>
  <c r="S6" i="21" a="1"/>
  <c r="S6" i="21" s="1"/>
  <c r="D6" i="21" s="1" a="1"/>
  <c r="D6" i="21" s="1"/>
  <c r="E6" i="21" a="1"/>
  <c r="E6" i="21" s="1"/>
  <c r="U6" i="21"/>
  <c r="E19" i="21" a="1"/>
  <c r="E19" i="21" s="1"/>
  <c r="U19" i="21"/>
  <c r="S19" i="21" a="1"/>
  <c r="S19" i="21" s="1"/>
  <c r="D19" i="21" s="1" a="1"/>
  <c r="D19" i="21" s="1"/>
  <c r="S3" i="21" a="1"/>
  <c r="S3" i="21" s="1"/>
  <c r="D3" i="21" s="1" a="1"/>
  <c r="D3" i="21" s="1"/>
  <c r="U3" i="21"/>
  <c r="E3" i="21" a="1"/>
  <c r="E3" i="21" s="1"/>
  <c r="S23" i="21" a="1"/>
  <c r="S23" i="21" s="1"/>
  <c r="D23" i="21" s="1" a="1"/>
  <c r="D23" i="21" s="1"/>
  <c r="E23" i="21" a="1"/>
  <c r="E23" i="21" s="1"/>
  <c r="U23" i="21"/>
  <c r="E38" i="21" a="1"/>
  <c r="E38" i="21" s="1"/>
  <c r="U38" i="21"/>
  <c r="V38" i="21" a="1"/>
  <c r="V38" i="21" s="1"/>
  <c r="S38" i="21" a="1"/>
  <c r="S38" i="21" s="1"/>
  <c r="D38" i="21" s="1" a="1"/>
  <c r="D38" i="21" s="1"/>
  <c r="S9" i="21" a="1"/>
  <c r="S9" i="21" s="1"/>
  <c r="D9" i="21" s="1" a="1"/>
  <c r="D9" i="21" s="1"/>
  <c r="E9" i="21" a="1"/>
  <c r="E9" i="21" s="1"/>
  <c r="U9" i="21"/>
  <c r="U27" i="21"/>
  <c r="E27" i="21" a="1"/>
  <c r="E27" i="21" s="1"/>
  <c r="S27" i="21" a="1"/>
  <c r="S27" i="21" s="1"/>
  <c r="D27" i="21" s="1" a="1"/>
  <c r="D27" i="21" s="1"/>
  <c r="U37" i="21"/>
  <c r="S37" i="21" a="1"/>
  <c r="S37" i="21" s="1"/>
  <c r="D37" i="21" s="1" a="1"/>
  <c r="D37" i="21" s="1"/>
  <c r="E37" i="21" a="1"/>
  <c r="E37" i="21" s="1"/>
  <c r="V37" i="21" a="1"/>
  <c r="V37" i="21" s="1"/>
  <c r="D12" i="24"/>
  <c r="U15" i="21"/>
  <c r="E15" i="21" a="1"/>
  <c r="E15" i="21" s="1"/>
  <c r="S15" i="21" a="1"/>
  <c r="S15" i="21" s="1"/>
  <c r="D15" i="21" s="1" a="1"/>
  <c r="D15" i="21" s="1"/>
  <c r="V15" i="21" a="1"/>
  <c r="V15" i="21" s="1"/>
  <c r="E17" i="21" a="1"/>
  <c r="E17" i="21" s="1"/>
  <c r="U17" i="21"/>
  <c r="S17" i="21" a="1"/>
  <c r="S17" i="21" s="1"/>
  <c r="D17" i="21" s="1" a="1"/>
  <c r="D17" i="21" s="1"/>
  <c r="U5" i="21"/>
  <c r="S5" i="21" a="1"/>
  <c r="S5" i="21" s="1"/>
  <c r="D5" i="21" s="1" a="1"/>
  <c r="D5" i="21" s="1"/>
  <c r="E5" i="21" a="1"/>
  <c r="E5" i="21" s="1"/>
  <c r="S22" i="21" a="1"/>
  <c r="S22" i="21" s="1"/>
  <c r="D22" i="21" s="1" a="1"/>
  <c r="D22" i="21" s="1"/>
  <c r="V22" i="21" a="1"/>
  <c r="V22" i="21" s="1"/>
  <c r="E22" i="21" a="1"/>
  <c r="E22" i="21" s="1"/>
  <c r="U22" i="21"/>
  <c r="U20" i="21"/>
  <c r="E20" i="21" a="1"/>
  <c r="E20" i="21" s="1"/>
  <c r="S20" i="21" a="1"/>
  <c r="S20" i="21" s="1"/>
  <c r="D20" i="21" s="1" a="1"/>
  <c r="D20" i="21" s="1"/>
  <c r="I47" i="14" a="1"/>
  <c r="I47" i="14" s="1"/>
  <c r="B47" i="14" s="1" a="1"/>
  <c r="B47" i="14" s="1"/>
  <c r="H47" i="14" a="1"/>
  <c r="H47" i="14" s="1"/>
  <c r="A47" i="14" s="1" a="1"/>
  <c r="A47" i="14" s="1"/>
  <c r="F48" i="14"/>
  <c r="D48" i="14"/>
  <c r="G48" i="14" a="1"/>
  <c r="M11" i="21" l="1" a="1"/>
  <c r="M11" i="21" s="1"/>
  <c r="W11" i="21"/>
  <c r="N11" i="21" s="1"/>
  <c r="M38" i="21" a="1"/>
  <c r="M38" i="21" s="1"/>
  <c r="W38" i="21"/>
  <c r="N38" i="21" s="1"/>
  <c r="M22" i="21" a="1"/>
  <c r="M22" i="21" s="1"/>
  <c r="W22" i="21"/>
  <c r="N22" i="21" s="1"/>
  <c r="M36" i="21" a="1"/>
  <c r="M36" i="21" s="1"/>
  <c r="W36" i="21"/>
  <c r="N36" i="21" s="1"/>
  <c r="M15" i="21" a="1"/>
  <c r="M15" i="21" s="1"/>
  <c r="W15" i="21"/>
  <c r="N15" i="21" s="1"/>
  <c r="M34" i="21" a="1"/>
  <c r="M34" i="21" s="1"/>
  <c r="W34" i="21"/>
  <c r="N34" i="21" s="1"/>
  <c r="AK15" i="12" a="1"/>
  <c r="AK15" i="12" s="1"/>
  <c r="AK29" i="12" a="1"/>
  <c r="AK29" i="12" s="1"/>
  <c r="AK43" i="12" a="1"/>
  <c r="AK43" i="12" s="1"/>
  <c r="AK57" i="12" a="1"/>
  <c r="AK57" i="12" s="1"/>
  <c r="AK71" i="12" a="1"/>
  <c r="AK71" i="12" s="1"/>
  <c r="AK16" i="12" a="1"/>
  <c r="AK16" i="12" s="1"/>
  <c r="AK30" i="12" a="1"/>
  <c r="AK30" i="12" s="1"/>
  <c r="AK44" i="12" a="1"/>
  <c r="AK44" i="12" s="1"/>
  <c r="AK58" i="12" a="1"/>
  <c r="AK58" i="12" s="1"/>
  <c r="AK72" i="12" a="1"/>
  <c r="AK72" i="12" s="1"/>
  <c r="AK24" i="12" a="1"/>
  <c r="AK24" i="12" s="1"/>
  <c r="AK66" i="12" a="1"/>
  <c r="AK66" i="12" s="1"/>
  <c r="AK69" i="12" a="1"/>
  <c r="AK69" i="12" s="1"/>
  <c r="AK42" i="12" a="1"/>
  <c r="AK42" i="12" s="1"/>
  <c r="AK17" i="12" a="1"/>
  <c r="AK17" i="12" s="1"/>
  <c r="AK31" i="12" a="1"/>
  <c r="AK31" i="12" s="1"/>
  <c r="AK45" i="12" a="1"/>
  <c r="AK45" i="12" s="1"/>
  <c r="AK59" i="12" a="1"/>
  <c r="AK59" i="12" s="1"/>
  <c r="AW5" i="17" s="1" a="1"/>
  <c r="AW5" i="17" s="1"/>
  <c r="W69" i="32" s="1" a="1"/>
  <c r="W69" i="32" s="1"/>
  <c r="Z69" i="32" s="1" a="1"/>
  <c r="Z69" i="32" s="1"/>
  <c r="AK73" i="12" a="1"/>
  <c r="AK73" i="12" s="1"/>
  <c r="AK60" i="12" a="1"/>
  <c r="AK60" i="12" s="1"/>
  <c r="AK33" i="12" a="1"/>
  <c r="AK33" i="12" s="1"/>
  <c r="AK61" i="12" a="1"/>
  <c r="AK61" i="12" s="1"/>
  <c r="AK62" i="12" a="1"/>
  <c r="AK62" i="12" s="1"/>
  <c r="AK35" i="12" a="1"/>
  <c r="AK35" i="12" s="1"/>
  <c r="AK63" i="12" a="1"/>
  <c r="AK63" i="12" s="1"/>
  <c r="AK37" i="12" a="1"/>
  <c r="AK37" i="12" s="1"/>
  <c r="AK41" i="12" a="1"/>
  <c r="AK41" i="12" s="1"/>
  <c r="AK56" i="12" a="1"/>
  <c r="AK56" i="12" s="1"/>
  <c r="AK18" i="12" a="1"/>
  <c r="AK18" i="12" s="1"/>
  <c r="AK32" i="12" a="1"/>
  <c r="AK32" i="12" s="1"/>
  <c r="AK46" i="12" a="1"/>
  <c r="AK46" i="12" s="1"/>
  <c r="AK5" i="12" a="1"/>
  <c r="AK5" i="12" s="1"/>
  <c r="AK47" i="12" a="1"/>
  <c r="AK47" i="12" s="1"/>
  <c r="AK21" i="12" a="1"/>
  <c r="AK21" i="12" s="1"/>
  <c r="AK19" i="12" a="1"/>
  <c r="AK19" i="12" s="1"/>
  <c r="AK48" i="12" a="1"/>
  <c r="AK48" i="12" s="1"/>
  <c r="AK23" i="12" a="1"/>
  <c r="AK23" i="12" s="1"/>
  <c r="AK10" i="12" a="1"/>
  <c r="AK10" i="12" s="1"/>
  <c r="AK52" i="12" a="1"/>
  <c r="AK52" i="12" s="1"/>
  <c r="AK70" i="12" a="1"/>
  <c r="AK70" i="12" s="1"/>
  <c r="AK6" i="12" a="1"/>
  <c r="AK6" i="12" s="1"/>
  <c r="AK20" i="12" a="1"/>
  <c r="AK20" i="12" s="1"/>
  <c r="AK34" i="12" a="1"/>
  <c r="AK34" i="12" s="1"/>
  <c r="AK7" i="12" a="1"/>
  <c r="AK7" i="12" s="1"/>
  <c r="AK9" i="12" a="1"/>
  <c r="AK9" i="12" s="1"/>
  <c r="AK55" i="12" a="1"/>
  <c r="AK55" i="12" s="1"/>
  <c r="AK49" i="12" a="1"/>
  <c r="AK49" i="12" s="1"/>
  <c r="AK51" i="12" a="1"/>
  <c r="AK51" i="12" s="1"/>
  <c r="AK8" i="12" a="1"/>
  <c r="AK8" i="12" s="1"/>
  <c r="AK22" i="12" a="1"/>
  <c r="AK22" i="12" s="1"/>
  <c r="AK36" i="12" a="1"/>
  <c r="AK36" i="12" s="1"/>
  <c r="AK50" i="12" a="1"/>
  <c r="AK50" i="12" s="1"/>
  <c r="AK64" i="12" a="1"/>
  <c r="AK64" i="12" s="1"/>
  <c r="AK38" i="12" a="1"/>
  <c r="AK38" i="12" s="1"/>
  <c r="AK13" i="12" a="1"/>
  <c r="AK13" i="12" s="1"/>
  <c r="AK65" i="12" a="1"/>
  <c r="AK65" i="12" s="1"/>
  <c r="AK4" i="12" a="1"/>
  <c r="AK4" i="12" s="1"/>
  <c r="AK27" i="12" a="1"/>
  <c r="AK27" i="12" s="1"/>
  <c r="AK14" i="12" a="1"/>
  <c r="AK14" i="12" s="1"/>
  <c r="AK11" i="12" a="1"/>
  <c r="AK11" i="12" s="1"/>
  <c r="AK25" i="12" a="1"/>
  <c r="AK25" i="12" s="1"/>
  <c r="AK39" i="12" a="1"/>
  <c r="AK39" i="12" s="1"/>
  <c r="AK53" i="12" a="1"/>
  <c r="AK53" i="12" s="1"/>
  <c r="AK67" i="12" a="1"/>
  <c r="AK67" i="12" s="1"/>
  <c r="AK3" i="12" a="1"/>
  <c r="AK3" i="12" s="1"/>
  <c r="AK54" i="12" a="1"/>
  <c r="AK54" i="12" s="1"/>
  <c r="AK68" i="12" a="1"/>
  <c r="AK68" i="12" s="1"/>
  <c r="AK28" i="12" a="1"/>
  <c r="AK28" i="12" s="1"/>
  <c r="AK12" i="12" a="1"/>
  <c r="AK12" i="12" s="1"/>
  <c r="AK26" i="12" a="1"/>
  <c r="AK26" i="12" s="1"/>
  <c r="AK40" i="12" a="1"/>
  <c r="AK40" i="12" s="1"/>
  <c r="AK74" i="12" a="1"/>
  <c r="AK74" i="12" s="1"/>
  <c r="AK75" i="12" a="1"/>
  <c r="AK75" i="12" s="1"/>
  <c r="AK76" i="12" a="1"/>
  <c r="AK76" i="12" s="1"/>
  <c r="AK77" i="12" a="1"/>
  <c r="AK77" i="12" s="1"/>
  <c r="M37" i="21" a="1"/>
  <c r="M37" i="21" s="1"/>
  <c r="W37" i="21"/>
  <c r="N37" i="21" s="1"/>
  <c r="M14" i="21" a="1"/>
  <c r="M14" i="21" s="1"/>
  <c r="W14" i="21"/>
  <c r="N14" i="21" s="1"/>
  <c r="G48" i="14"/>
  <c r="E48" i="14" a="1"/>
  <c r="E48" i="14" s="1"/>
  <c r="C49" i="14" s="1" a="1"/>
  <c r="C49" i="14" s="1"/>
  <c r="W72" i="32" l="1" a="1"/>
  <c r="W72" i="32" s="1"/>
  <c r="Z72" i="32" s="1" a="1"/>
  <c r="Z72" i="32" s="1"/>
  <c r="J72" i="32" s="1" a="1"/>
  <c r="J72" i="32" s="1"/>
  <c r="W34" i="32" a="1"/>
  <c r="W34" i="32" s="1"/>
  <c r="Z34" i="32" s="1" a="1"/>
  <c r="Z34" i="32" s="1"/>
  <c r="W41" i="32" a="1"/>
  <c r="W41" i="32" s="1"/>
  <c r="Z41" i="32" s="1" a="1"/>
  <c r="Z41" i="32" s="1"/>
  <c r="W51" i="32" a="1"/>
  <c r="W51" i="32" s="1"/>
  <c r="Z51" i="32" s="1" a="1"/>
  <c r="Z51" i="32" s="1"/>
  <c r="W71" i="32" a="1"/>
  <c r="W71" i="32" s="1"/>
  <c r="Z71" i="32" s="1" a="1"/>
  <c r="Z71" i="32" s="1"/>
  <c r="J71" i="32" s="1" a="1"/>
  <c r="J71" i="32" s="1"/>
  <c r="H33" i="32" a="1"/>
  <c r="H33" i="32" s="1"/>
  <c r="W54" i="32" a="1"/>
  <c r="W54" i="32" s="1"/>
  <c r="Z54" i="32" s="1" a="1"/>
  <c r="Z54" i="32" s="1"/>
  <c r="W70" i="32" a="1"/>
  <c r="W70" i="32" s="1"/>
  <c r="Z70" i="32" s="1" a="1"/>
  <c r="Z70" i="32" s="1"/>
  <c r="W19" i="32" a="1"/>
  <c r="W19" i="32" s="1"/>
  <c r="Z19" i="32" s="1" a="1"/>
  <c r="Z19" i="32" s="1"/>
  <c r="J69" i="32" a="1"/>
  <c r="J69" i="32" s="1"/>
  <c r="W67" i="32" a="1"/>
  <c r="W67" i="32" s="1"/>
  <c r="Z67" i="32" s="1" a="1"/>
  <c r="Z67" i="32" s="1"/>
  <c r="W48" i="32" a="1"/>
  <c r="W48" i="32" s="1"/>
  <c r="Z48" i="32" s="1" a="1"/>
  <c r="Z48" i="32" s="1"/>
  <c r="W46" i="32" a="1"/>
  <c r="W46" i="32" s="1"/>
  <c r="Z46" i="32" s="1" a="1"/>
  <c r="Z46" i="32" s="1"/>
  <c r="W30" i="32" a="1"/>
  <c r="W30" i="32" s="1"/>
  <c r="Z30" i="32" s="1" a="1"/>
  <c r="Z30" i="32" s="1"/>
  <c r="W32" i="32" a="1"/>
  <c r="W32" i="32" s="1"/>
  <c r="Z32" i="32" s="1" a="1"/>
  <c r="Z32" i="32" s="1"/>
  <c r="W37" i="32" a="1"/>
  <c r="W37" i="32" s="1"/>
  <c r="Z37" i="32" s="1" a="1"/>
  <c r="Z37" i="32" s="1"/>
  <c r="W21" i="32" a="1"/>
  <c r="W21" i="32" s="1"/>
  <c r="Z21" i="32" s="1" a="1"/>
  <c r="Z21" i="32" s="1"/>
  <c r="W17" i="32" a="1"/>
  <c r="W17" i="32" s="1"/>
  <c r="Z17" i="32" s="1" a="1"/>
  <c r="Z17" i="32" s="1"/>
  <c r="H44" i="32" a="1"/>
  <c r="H44" i="32" s="1"/>
  <c r="W55" i="32" a="1"/>
  <c r="W55" i="32" s="1"/>
  <c r="Z55" i="32" s="1" a="1"/>
  <c r="Z55" i="32" s="1"/>
  <c r="H27" i="32" a="1"/>
  <c r="H27" i="32" s="1"/>
  <c r="W28" i="32" a="1"/>
  <c r="W28" i="32" s="1"/>
  <c r="Z28" i="32" s="1" a="1"/>
  <c r="Z28" i="32" s="1"/>
  <c r="W68" i="32" a="1"/>
  <c r="W68" i="32" s="1"/>
  <c r="Z68" i="32" s="1" a="1"/>
  <c r="Z68" i="32" s="1"/>
  <c r="W57" i="32" a="1"/>
  <c r="W57" i="32" s="1"/>
  <c r="Z57" i="32" s="1" a="1"/>
  <c r="Z57" i="32" s="1"/>
  <c r="W25" i="32" a="1"/>
  <c r="W25" i="32" s="1"/>
  <c r="Z25" i="32" s="1" a="1"/>
  <c r="Z25" i="32" s="1"/>
  <c r="H25" i="32" a="1"/>
  <c r="H25" i="32" s="1"/>
  <c r="W62" i="32" a="1"/>
  <c r="W62" i="32" s="1"/>
  <c r="Z62" i="32" s="1" a="1"/>
  <c r="Z62" i="32" s="1"/>
  <c r="J5" i="17" a="1"/>
  <c r="J5" i="17" s="1"/>
  <c r="W40" i="32" a="1"/>
  <c r="W40" i="32" s="1"/>
  <c r="Z40" i="32" s="1" a="1"/>
  <c r="Z40" i="32" s="1"/>
  <c r="W53" i="32" a="1"/>
  <c r="W53" i="32" s="1"/>
  <c r="Z53" i="32" s="1" a="1"/>
  <c r="Z53" i="32" s="1"/>
  <c r="W22" i="32" a="1"/>
  <c r="W22" i="32" s="1"/>
  <c r="Z22" i="32" s="1" a="1"/>
  <c r="Z22" i="32" s="1"/>
  <c r="H22" i="32" a="1"/>
  <c r="H22" i="32" s="1"/>
  <c r="W36" i="32" a="1"/>
  <c r="W36" i="32" s="1"/>
  <c r="Z36" i="32" s="1" a="1"/>
  <c r="Z36" i="32" s="1"/>
  <c r="H36" i="32" a="1"/>
  <c r="H36" i="32" s="1"/>
  <c r="AL8" i="12" a="1"/>
  <c r="AL8" i="12" s="1"/>
  <c r="AQ8" i="12" s="1"/>
  <c r="AO8" i="12" a="1"/>
  <c r="AO8" i="12" s="1"/>
  <c r="AT8" i="12" s="1"/>
  <c r="AP8" i="12" a="1"/>
  <c r="AP8" i="12" s="1"/>
  <c r="AU8" i="12" s="1"/>
  <c r="N8" i="12" a="1"/>
  <c r="N8" i="12" s="1"/>
  <c r="O8" i="12" s="1" a="1"/>
  <c r="O8" i="12" s="1"/>
  <c r="AM8" i="12" a="1"/>
  <c r="AM8" i="12" s="1"/>
  <c r="AR8" i="12" s="1"/>
  <c r="AN8" i="12" a="1"/>
  <c r="AN8" i="12" s="1"/>
  <c r="AS8" i="12" s="1"/>
  <c r="N33" i="12" a="1"/>
  <c r="N33" i="12" s="1"/>
  <c r="O33" i="12" s="1" a="1"/>
  <c r="O33" i="12" s="1"/>
  <c r="AL33" i="12" a="1"/>
  <c r="AL33" i="12" s="1"/>
  <c r="AQ33" i="12" s="1"/>
  <c r="AM33" i="12" a="1"/>
  <c r="AM33" i="12" s="1"/>
  <c r="AR33" i="12" s="1"/>
  <c r="AP33" i="12" a="1"/>
  <c r="AP33" i="12" s="1"/>
  <c r="AU33" i="12" s="1"/>
  <c r="AN33" i="12" a="1"/>
  <c r="AN33" i="12" s="1"/>
  <c r="AS33" i="12" s="1"/>
  <c r="AO33" i="12" a="1"/>
  <c r="AO33" i="12" s="1"/>
  <c r="AT33" i="12" s="1"/>
  <c r="N25" i="12" a="1"/>
  <c r="N25" i="12" s="1"/>
  <c r="O25" i="12" s="1" a="1"/>
  <c r="O25" i="12" s="1"/>
  <c r="AM25" i="12" a="1"/>
  <c r="AM25" i="12" s="1"/>
  <c r="AR25" i="12" s="1"/>
  <c r="AO25" i="12" a="1"/>
  <c r="AO25" i="12" s="1"/>
  <c r="AT25" i="12" s="1"/>
  <c r="AL25" i="12" a="1"/>
  <c r="AL25" i="12" s="1"/>
  <c r="AQ25" i="12" s="1"/>
  <c r="AN25" i="12" a="1"/>
  <c r="AN25" i="12" s="1"/>
  <c r="AS25" i="12" s="1"/>
  <c r="AP25" i="12" a="1"/>
  <c r="AP25" i="12" s="1"/>
  <c r="AU25" i="12" s="1"/>
  <c r="N57" i="12" a="1"/>
  <c r="N57" i="12" s="1"/>
  <c r="O57" i="12" s="1" a="1"/>
  <c r="O57" i="12" s="1"/>
  <c r="AN57" i="12" a="1"/>
  <c r="AN57" i="12" s="1"/>
  <c r="AS57" i="12" s="1"/>
  <c r="AO57" i="12" a="1"/>
  <c r="AO57" i="12" s="1"/>
  <c r="AT57" i="12" s="1"/>
  <c r="AM57" i="12" a="1"/>
  <c r="AM57" i="12" s="1"/>
  <c r="AR57" i="12" s="1"/>
  <c r="AL57" i="12" a="1"/>
  <c r="AL57" i="12" s="1"/>
  <c r="AQ57" i="12" s="1"/>
  <c r="AP57" i="12" a="1"/>
  <c r="AP57" i="12" s="1"/>
  <c r="AU57" i="12" s="1"/>
  <c r="N75" i="12" a="1"/>
  <c r="N75" i="12" s="1"/>
  <c r="O75" i="12" s="1" a="1"/>
  <c r="O75" i="12" s="1"/>
  <c r="U75" i="12" s="1" a="1"/>
  <c r="U75" i="12" s="1"/>
  <c r="V75" i="12" s="1"/>
  <c r="AN75" i="12" a="1"/>
  <c r="AN75" i="12" s="1"/>
  <c r="AS75" i="12" s="1"/>
  <c r="AO75" i="12" a="1"/>
  <c r="AO75" i="12" s="1"/>
  <c r="AT75" i="12" s="1"/>
  <c r="AL75" i="12" a="1"/>
  <c r="AL75" i="12" s="1"/>
  <c r="AQ75" i="12" s="1"/>
  <c r="AM75" i="12" a="1"/>
  <c r="AM75" i="12" s="1"/>
  <c r="AR75" i="12" s="1"/>
  <c r="AP75" i="12" a="1"/>
  <c r="AP75" i="12" s="1"/>
  <c r="AU75" i="12" s="1"/>
  <c r="N14" i="12" a="1"/>
  <c r="N14" i="12" s="1"/>
  <c r="O14" i="12" s="1" a="1"/>
  <c r="O14" i="12" s="1"/>
  <c r="AM14" i="12" a="1"/>
  <c r="AM14" i="12" s="1"/>
  <c r="AR14" i="12" s="1"/>
  <c r="AN14" i="12" a="1"/>
  <c r="AN14" i="12" s="1"/>
  <c r="AS14" i="12" s="1"/>
  <c r="AP14" i="12" a="1"/>
  <c r="AP14" i="12" s="1"/>
  <c r="AU14" i="12" s="1"/>
  <c r="AO14" i="12" a="1"/>
  <c r="AO14" i="12" s="1"/>
  <c r="AT14" i="12" s="1"/>
  <c r="AL14" i="12" a="1"/>
  <c r="AL14" i="12" s="1"/>
  <c r="AQ14" i="12" s="1"/>
  <c r="AO9" i="12" a="1"/>
  <c r="AO9" i="12" s="1"/>
  <c r="AT9" i="12" s="1"/>
  <c r="N9" i="12" a="1"/>
  <c r="N9" i="12" s="1"/>
  <c r="O9" i="12" s="1" a="1"/>
  <c r="O9" i="12" s="1"/>
  <c r="AM9" i="12" a="1"/>
  <c r="AM9" i="12" s="1"/>
  <c r="AR9" i="12" s="1"/>
  <c r="AN9" i="12" a="1"/>
  <c r="AN9" i="12" s="1"/>
  <c r="AS9" i="12" s="1"/>
  <c r="AP9" i="12" a="1"/>
  <c r="AP9" i="12" s="1"/>
  <c r="AU9" i="12" s="1"/>
  <c r="AL9" i="12" a="1"/>
  <c r="AL9" i="12" s="1"/>
  <c r="AQ9" i="12" s="1"/>
  <c r="AM46" i="12" a="1"/>
  <c r="AM46" i="12" s="1"/>
  <c r="AR46" i="12" s="1"/>
  <c r="AN46" i="12" a="1"/>
  <c r="AN46" i="12" s="1"/>
  <c r="AS46" i="12" s="1"/>
  <c r="AL46" i="12" a="1"/>
  <c r="AL46" i="12" s="1"/>
  <c r="AQ46" i="12" s="1"/>
  <c r="AP46" i="12" a="1"/>
  <c r="AP46" i="12" s="1"/>
  <c r="AU46" i="12" s="1"/>
  <c r="AO46" i="12" a="1"/>
  <c r="AO46" i="12" s="1"/>
  <c r="AT46" i="12" s="1"/>
  <c r="N46" i="12" a="1"/>
  <c r="N46" i="12" s="1"/>
  <c r="O46" i="12" s="1" a="1"/>
  <c r="O46" i="12" s="1"/>
  <c r="AL45" i="12" a="1"/>
  <c r="AL45" i="12" s="1"/>
  <c r="AQ45" i="12" s="1"/>
  <c r="AM45" i="12" a="1"/>
  <c r="AM45" i="12" s="1"/>
  <c r="AR45" i="12" s="1"/>
  <c r="AP45" i="12" a="1"/>
  <c r="AP45" i="12" s="1"/>
  <c r="AU45" i="12" s="1"/>
  <c r="AO45" i="12" a="1"/>
  <c r="AO45" i="12" s="1"/>
  <c r="AT45" i="12" s="1"/>
  <c r="AN45" i="12" a="1"/>
  <c r="AN45" i="12" s="1"/>
  <c r="AS45" i="12" s="1"/>
  <c r="N45" i="12" a="1"/>
  <c r="N45" i="12" s="1"/>
  <c r="O45" i="12" s="1" a="1"/>
  <c r="O45" i="12" s="1"/>
  <c r="N43" i="12" a="1"/>
  <c r="N43" i="12" s="1"/>
  <c r="O43" i="12" s="1" a="1"/>
  <c r="O43" i="12" s="1"/>
  <c r="AN43" i="12" a="1"/>
  <c r="AN43" i="12" s="1"/>
  <c r="AS43" i="12" s="1"/>
  <c r="AM43" i="12" a="1"/>
  <c r="AM43" i="12" s="1"/>
  <c r="AR43" i="12" s="1"/>
  <c r="AL43" i="12" a="1"/>
  <c r="AL43" i="12" s="1"/>
  <c r="AQ43" i="12" s="1"/>
  <c r="AP43" i="12" a="1"/>
  <c r="AP43" i="12" s="1"/>
  <c r="AU43" i="12" s="1"/>
  <c r="AO43" i="12" a="1"/>
  <c r="AO43" i="12" s="1"/>
  <c r="AT43" i="12" s="1"/>
  <c r="AP19" i="12" a="1"/>
  <c r="AP19" i="12" s="1"/>
  <c r="AU19" i="12" s="1"/>
  <c r="AL19" i="12" a="1"/>
  <c r="AL19" i="12" s="1"/>
  <c r="AQ19" i="12" s="1"/>
  <c r="N19" i="12" a="1"/>
  <c r="N19" i="12" s="1"/>
  <c r="O19" i="12" s="1" a="1"/>
  <c r="O19" i="12" s="1"/>
  <c r="AM19" i="12" a="1"/>
  <c r="AM19" i="12" s="1"/>
  <c r="AR19" i="12" s="1"/>
  <c r="AN19" i="12" a="1"/>
  <c r="AN19" i="12" s="1"/>
  <c r="AS19" i="12" s="1"/>
  <c r="AO19" i="12" a="1"/>
  <c r="AO19" i="12" s="1"/>
  <c r="AT19" i="12" s="1"/>
  <c r="AP5" i="12" a="1"/>
  <c r="AP5" i="12" s="1"/>
  <c r="AU5" i="12" s="1"/>
  <c r="AL5" i="12" a="1"/>
  <c r="AL5" i="12" s="1"/>
  <c r="AQ5" i="12" s="1"/>
  <c r="AO5" i="12" a="1"/>
  <c r="AO5" i="12" s="1"/>
  <c r="AT5" i="12" s="1"/>
  <c r="N5" i="12" a="1"/>
  <c r="N5" i="12" s="1"/>
  <c r="O5" i="12" s="1" a="1"/>
  <c r="O5" i="12" s="1"/>
  <c r="AN5" i="12" a="1"/>
  <c r="AN5" i="12" s="1"/>
  <c r="AS5" i="12" s="1"/>
  <c r="AM5" i="12" a="1"/>
  <c r="AM5" i="12" s="1"/>
  <c r="AR5" i="12" s="1"/>
  <c r="AO74" i="12" a="1"/>
  <c r="AO74" i="12" s="1"/>
  <c r="AT74" i="12" s="1"/>
  <c r="AP74" i="12" a="1"/>
  <c r="AP74" i="12" s="1"/>
  <c r="AU74" i="12" s="1"/>
  <c r="N74" i="12" a="1"/>
  <c r="N74" i="12" s="1"/>
  <c r="O74" i="12" s="1" a="1"/>
  <c r="O74" i="12" s="1"/>
  <c r="U74" i="12" s="1" a="1"/>
  <c r="U74" i="12" s="1"/>
  <c r="V74" i="12" s="1"/>
  <c r="AM74" i="12" a="1"/>
  <c r="AM74" i="12" s="1"/>
  <c r="AR74" i="12" s="1"/>
  <c r="AN74" i="12" a="1"/>
  <c r="AN74" i="12" s="1"/>
  <c r="AS74" i="12" s="1"/>
  <c r="AL74" i="12" a="1"/>
  <c r="AL74" i="12" s="1"/>
  <c r="AQ74" i="12" s="1"/>
  <c r="AO27" i="12" a="1"/>
  <c r="AO27" i="12" s="1"/>
  <c r="AT27" i="12" s="1"/>
  <c r="AP27" i="12" a="1"/>
  <c r="AP27" i="12" s="1"/>
  <c r="AU27" i="12" s="1"/>
  <c r="AL27" i="12" a="1"/>
  <c r="AL27" i="12" s="1"/>
  <c r="AQ27" i="12" s="1"/>
  <c r="N27" i="12" a="1"/>
  <c r="N27" i="12" s="1"/>
  <c r="O27" i="12" s="1" a="1"/>
  <c r="O27" i="12" s="1"/>
  <c r="AM27" i="12" a="1"/>
  <c r="AM27" i="12" s="1"/>
  <c r="AR27" i="12" s="1"/>
  <c r="AN27" i="12" a="1"/>
  <c r="AN27" i="12" s="1"/>
  <c r="AS27" i="12" s="1"/>
  <c r="AN7" i="12" a="1"/>
  <c r="AN7" i="12" s="1"/>
  <c r="AS7" i="12" s="1"/>
  <c r="AO7" i="12" a="1"/>
  <c r="AO7" i="12" s="1"/>
  <c r="AT7" i="12" s="1"/>
  <c r="N7" i="12" a="1"/>
  <c r="N7" i="12" s="1"/>
  <c r="O7" i="12" s="1" a="1"/>
  <c r="O7" i="12" s="1"/>
  <c r="AM7" i="12" a="1"/>
  <c r="AM7" i="12" s="1"/>
  <c r="AR7" i="12" s="1"/>
  <c r="AL7" i="12" a="1"/>
  <c r="AL7" i="12" s="1"/>
  <c r="AQ7" i="12" s="1"/>
  <c r="AP7" i="12" a="1"/>
  <c r="AP7" i="12" s="1"/>
  <c r="AU7" i="12" s="1"/>
  <c r="AO32" i="12" a="1"/>
  <c r="AO32" i="12" s="1"/>
  <c r="AT32" i="12" s="1"/>
  <c r="AP32" i="12" a="1"/>
  <c r="AP32" i="12" s="1"/>
  <c r="AU32" i="12" s="1"/>
  <c r="N32" i="12" a="1"/>
  <c r="N32" i="12" s="1"/>
  <c r="O32" i="12" s="1" a="1"/>
  <c r="O32" i="12" s="1"/>
  <c r="AM32" i="12" a="1"/>
  <c r="AM32" i="12" s="1"/>
  <c r="AR32" i="12" s="1"/>
  <c r="AL32" i="12" a="1"/>
  <c r="AL32" i="12" s="1"/>
  <c r="AQ32" i="12" s="1"/>
  <c r="AN32" i="12" a="1"/>
  <c r="AN32" i="12" s="1"/>
  <c r="AS32" i="12" s="1"/>
  <c r="AL31" i="12" a="1"/>
  <c r="AL31" i="12" s="1"/>
  <c r="AQ31" i="12" s="1"/>
  <c r="AM31" i="12" a="1"/>
  <c r="AM31" i="12" s="1"/>
  <c r="AR31" i="12" s="1"/>
  <c r="AP31" i="12" a="1"/>
  <c r="AP31" i="12" s="1"/>
  <c r="AU31" i="12" s="1"/>
  <c r="N31" i="12" a="1"/>
  <c r="N31" i="12" s="1"/>
  <c r="O31" i="12" s="1" a="1"/>
  <c r="O31" i="12" s="1"/>
  <c r="AN31" i="12" a="1"/>
  <c r="AN31" i="12" s="1"/>
  <c r="AS31" i="12" s="1"/>
  <c r="AO31" i="12" a="1"/>
  <c r="AO31" i="12" s="1"/>
  <c r="AT31" i="12" s="1"/>
  <c r="AL29" i="12" a="1"/>
  <c r="AL29" i="12" s="1"/>
  <c r="AQ29" i="12" s="1"/>
  <c r="AN29" i="12" a="1"/>
  <c r="AN29" i="12" s="1"/>
  <c r="AS29" i="12" s="1"/>
  <c r="AP29" i="12" a="1"/>
  <c r="AP29" i="12" s="1"/>
  <c r="AU29" i="12" s="1"/>
  <c r="N29" i="12" a="1"/>
  <c r="N29" i="12" s="1"/>
  <c r="O29" i="12" s="1" a="1"/>
  <c r="O29" i="12" s="1"/>
  <c r="AO29" i="12" a="1"/>
  <c r="AO29" i="12" s="1"/>
  <c r="AT29" i="12" s="1"/>
  <c r="AM29" i="12" a="1"/>
  <c r="AM29" i="12" s="1"/>
  <c r="AR29" i="12" s="1"/>
  <c r="AN49" i="12" a="1"/>
  <c r="AN49" i="12" s="1"/>
  <c r="AS49" i="12" s="1"/>
  <c r="AO49" i="12" a="1"/>
  <c r="AO49" i="12" s="1"/>
  <c r="AT49" i="12" s="1"/>
  <c r="AL49" i="12" a="1"/>
  <c r="AL49" i="12" s="1"/>
  <c r="AQ49" i="12" s="1"/>
  <c r="AM49" i="12" a="1"/>
  <c r="AM49" i="12" s="1"/>
  <c r="AR49" i="12" s="1"/>
  <c r="AP49" i="12" a="1"/>
  <c r="AP49" i="12" s="1"/>
  <c r="AU49" i="12" s="1"/>
  <c r="N49" i="12" a="1"/>
  <c r="N49" i="12" s="1"/>
  <c r="O49" i="12" s="1" a="1"/>
  <c r="O49" i="12" s="1"/>
  <c r="N40" i="12" a="1"/>
  <c r="N40" i="12" s="1"/>
  <c r="O40" i="12" s="1" a="1"/>
  <c r="O40" i="12" s="1"/>
  <c r="AM40" i="12" a="1"/>
  <c r="AM40" i="12" s="1"/>
  <c r="AR40" i="12" s="1"/>
  <c r="AN40" i="12" a="1"/>
  <c r="AN40" i="12" s="1"/>
  <c r="AS40" i="12" s="1"/>
  <c r="AL40" i="12" a="1"/>
  <c r="AL40" i="12" s="1"/>
  <c r="AQ40" i="12" s="1"/>
  <c r="AO40" i="12" a="1"/>
  <c r="AO40" i="12" s="1"/>
  <c r="AT40" i="12" s="1"/>
  <c r="AP40" i="12" a="1"/>
  <c r="AP40" i="12" s="1"/>
  <c r="AU40" i="12" s="1"/>
  <c r="AN4" i="12" a="1"/>
  <c r="AN4" i="12" s="1"/>
  <c r="AS4" i="12" s="1"/>
  <c r="AM4" i="12" a="1"/>
  <c r="AM4" i="12" s="1"/>
  <c r="AR4" i="12" s="1"/>
  <c r="AO4" i="12" a="1"/>
  <c r="AO4" i="12" s="1"/>
  <c r="AT4" i="12" s="1"/>
  <c r="N4" i="12" a="1"/>
  <c r="N4" i="12" s="1"/>
  <c r="O4" i="12" s="1" a="1"/>
  <c r="O4" i="12" s="1"/>
  <c r="AP4" i="12" a="1"/>
  <c r="AP4" i="12" s="1"/>
  <c r="AU4" i="12" s="1"/>
  <c r="AL4" i="12" a="1"/>
  <c r="AL4" i="12" s="1"/>
  <c r="AQ4" i="12" s="1"/>
  <c r="N34" i="12" a="1"/>
  <c r="N34" i="12" s="1"/>
  <c r="O34" i="12" s="1" a="1"/>
  <c r="O34" i="12" s="1"/>
  <c r="AM34" i="12" a="1"/>
  <c r="AM34" i="12" s="1"/>
  <c r="AR34" i="12" s="1"/>
  <c r="AP34" i="12" a="1"/>
  <c r="AP34" i="12" s="1"/>
  <c r="AU34" i="12" s="1"/>
  <c r="AN34" i="12" a="1"/>
  <c r="AN34" i="12" s="1"/>
  <c r="AS34" i="12" s="1"/>
  <c r="AL34" i="12" a="1"/>
  <c r="AL34" i="12" s="1"/>
  <c r="AQ34" i="12" s="1"/>
  <c r="AO34" i="12" a="1"/>
  <c r="AO34" i="12" s="1"/>
  <c r="AT34" i="12" s="1"/>
  <c r="AM18" i="12" a="1"/>
  <c r="AM18" i="12" s="1"/>
  <c r="AR18" i="12" s="1"/>
  <c r="AN18" i="12" a="1"/>
  <c r="AN18" i="12" s="1"/>
  <c r="AS18" i="12" s="1"/>
  <c r="AL18" i="12" a="1"/>
  <c r="AL18" i="12" s="1"/>
  <c r="AQ18" i="12" s="1"/>
  <c r="AO18" i="12" a="1"/>
  <c r="AO18" i="12" s="1"/>
  <c r="AT18" i="12" s="1"/>
  <c r="AP18" i="12" a="1"/>
  <c r="AP18" i="12" s="1"/>
  <c r="AU18" i="12" s="1"/>
  <c r="N18" i="12" a="1"/>
  <c r="N18" i="12" s="1"/>
  <c r="O18" i="12" s="1" a="1"/>
  <c r="O18" i="12" s="1"/>
  <c r="N17" i="12" a="1"/>
  <c r="N17" i="12" s="1"/>
  <c r="O17" i="12" s="1" a="1"/>
  <c r="O17" i="12" s="1"/>
  <c r="AM17" i="12" a="1"/>
  <c r="AM17" i="12" s="1"/>
  <c r="AR17" i="12" s="1"/>
  <c r="AO17" i="12" a="1"/>
  <c r="AO17" i="12" s="1"/>
  <c r="AT17" i="12" s="1"/>
  <c r="AP17" i="12" a="1"/>
  <c r="AP17" i="12" s="1"/>
  <c r="AU17" i="12" s="1"/>
  <c r="AN17" i="12" a="1"/>
  <c r="AN17" i="12" s="1"/>
  <c r="AS17" i="12" s="1"/>
  <c r="AL17" i="12" a="1"/>
  <c r="AL17" i="12" s="1"/>
  <c r="AQ17" i="12" s="1"/>
  <c r="AL15" i="12" a="1"/>
  <c r="AL15" i="12" s="1"/>
  <c r="AQ15" i="12" s="1"/>
  <c r="AN15" i="12" a="1"/>
  <c r="AN15" i="12" s="1"/>
  <c r="AS15" i="12" s="1"/>
  <c r="AO15" i="12" a="1"/>
  <c r="AO15" i="12" s="1"/>
  <c r="AT15" i="12" s="1"/>
  <c r="AM15" i="12" a="1"/>
  <c r="AM15" i="12" s="1"/>
  <c r="AR15" i="12" s="1"/>
  <c r="N15" i="12" a="1"/>
  <c r="N15" i="12" s="1"/>
  <c r="O15" i="12" s="1" a="1"/>
  <c r="O15" i="12" s="1"/>
  <c r="AP15" i="12" a="1"/>
  <c r="AP15" i="12" s="1"/>
  <c r="AU15" i="12" s="1"/>
  <c r="AL47" i="12" a="1"/>
  <c r="AL47" i="12" s="1"/>
  <c r="AQ47" i="12" s="1"/>
  <c r="N47" i="12" a="1"/>
  <c r="N47" i="12" s="1"/>
  <c r="O47" i="12" s="1" a="1"/>
  <c r="O47" i="12" s="1"/>
  <c r="AM47" i="12" a="1"/>
  <c r="AM47" i="12" s="1"/>
  <c r="AR47" i="12" s="1"/>
  <c r="AP47" i="12" a="1"/>
  <c r="AP47" i="12" s="1"/>
  <c r="AU47" i="12" s="1"/>
  <c r="AO47" i="12" a="1"/>
  <c r="AO47" i="12" s="1"/>
  <c r="AT47" i="12" s="1"/>
  <c r="AN47" i="12" a="1"/>
  <c r="AN47" i="12" s="1"/>
  <c r="AS47" i="12" s="1"/>
  <c r="AL71" i="12" a="1"/>
  <c r="AL71" i="12" s="1"/>
  <c r="AQ71" i="12" s="1"/>
  <c r="AP71" i="12" a="1"/>
  <c r="AP71" i="12" s="1"/>
  <c r="AU71" i="12" s="1"/>
  <c r="AM71" i="12" a="1"/>
  <c r="AM71" i="12" s="1"/>
  <c r="AR71" i="12" s="1"/>
  <c r="AO71" i="12" a="1"/>
  <c r="AO71" i="12" s="1"/>
  <c r="AT71" i="12" s="1"/>
  <c r="N71" i="12" a="1"/>
  <c r="N71" i="12" s="1"/>
  <c r="O71" i="12" s="1" a="1"/>
  <c r="O71" i="12" s="1"/>
  <c r="U71" i="12" s="1" a="1"/>
  <c r="U71" i="12" s="1"/>
  <c r="V71" i="12" s="1"/>
  <c r="AN71" i="12" a="1"/>
  <c r="AN71" i="12" s="1"/>
  <c r="AS71" i="12" s="1"/>
  <c r="N76" i="12" a="1"/>
  <c r="N76" i="12" s="1"/>
  <c r="O76" i="12" s="1" a="1"/>
  <c r="O76" i="12" s="1"/>
  <c r="U76" i="12" s="1" a="1"/>
  <c r="U76" i="12" s="1"/>
  <c r="V76" i="12" s="1"/>
  <c r="AM76" i="12" a="1"/>
  <c r="AM76" i="12" s="1"/>
  <c r="AR76" i="12" s="1"/>
  <c r="AN76" i="12" a="1"/>
  <c r="AN76" i="12" s="1"/>
  <c r="AS76" i="12" s="1"/>
  <c r="AO76" i="12" a="1"/>
  <c r="AO76" i="12" s="1"/>
  <c r="AT76" i="12" s="1"/>
  <c r="AP76" i="12" a="1"/>
  <c r="AP76" i="12" s="1"/>
  <c r="AU76" i="12" s="1"/>
  <c r="AL76" i="12" a="1"/>
  <c r="AL76" i="12" s="1"/>
  <c r="AQ76" i="12" s="1"/>
  <c r="AL26" i="12" a="1"/>
  <c r="AL26" i="12" s="1"/>
  <c r="AQ26" i="12" s="1"/>
  <c r="AO26" i="12" a="1"/>
  <c r="AO26" i="12" s="1"/>
  <c r="AT26" i="12" s="1"/>
  <c r="AP26" i="12" a="1"/>
  <c r="AP26" i="12" s="1"/>
  <c r="AU26" i="12" s="1"/>
  <c r="N26" i="12" a="1"/>
  <c r="N26" i="12" s="1"/>
  <c r="O26" i="12" s="1" a="1"/>
  <c r="O26" i="12" s="1"/>
  <c r="AM26" i="12" a="1"/>
  <c r="AM26" i="12" s="1"/>
  <c r="AR26" i="12" s="1"/>
  <c r="AN26" i="12" a="1"/>
  <c r="AN26" i="12" s="1"/>
  <c r="AS26" i="12" s="1"/>
  <c r="AM65" i="12" a="1"/>
  <c r="AM65" i="12" s="1"/>
  <c r="AR65" i="12" s="1"/>
  <c r="AL65" i="12" a="1"/>
  <c r="AL65" i="12" s="1"/>
  <c r="AQ65" i="12" s="1"/>
  <c r="AP65" i="12" a="1"/>
  <c r="AP65" i="12" s="1"/>
  <c r="AU65" i="12" s="1"/>
  <c r="N65" i="12" a="1"/>
  <c r="N65" i="12" s="1"/>
  <c r="O65" i="12" s="1" a="1"/>
  <c r="O65" i="12" s="1"/>
  <c r="U65" i="12" s="1" a="1"/>
  <c r="U65" i="12" s="1"/>
  <c r="V65" i="12" s="1"/>
  <c r="AN65" i="12" a="1"/>
  <c r="AN65" i="12" s="1"/>
  <c r="AS65" i="12" s="1"/>
  <c r="AO65" i="12" a="1"/>
  <c r="AO65" i="12" s="1"/>
  <c r="AT65" i="12" s="1"/>
  <c r="AL20" i="12" a="1"/>
  <c r="AL20" i="12" s="1"/>
  <c r="AQ20" i="12" s="1"/>
  <c r="AO20" i="12" a="1"/>
  <c r="AO20" i="12" s="1"/>
  <c r="AT20" i="12" s="1"/>
  <c r="AP20" i="12" a="1"/>
  <c r="AP20" i="12" s="1"/>
  <c r="AU20" i="12" s="1"/>
  <c r="N20" i="12" a="1"/>
  <c r="N20" i="12" s="1"/>
  <c r="O20" i="12" s="1" a="1"/>
  <c r="O20" i="12" s="1"/>
  <c r="AM20" i="12" a="1"/>
  <c r="AM20" i="12" s="1"/>
  <c r="AR20" i="12" s="1"/>
  <c r="AN20" i="12" a="1"/>
  <c r="AN20" i="12" s="1"/>
  <c r="AS20" i="12" s="1"/>
  <c r="AM56" i="12" a="1"/>
  <c r="AM56" i="12" s="1"/>
  <c r="AR56" i="12" s="1"/>
  <c r="AN56" i="12" a="1"/>
  <c r="AN56" i="12" s="1"/>
  <c r="AS56" i="12" s="1"/>
  <c r="N56" i="12" a="1"/>
  <c r="N56" i="12" s="1"/>
  <c r="O56" i="12" s="1" a="1"/>
  <c r="O56" i="12" s="1"/>
  <c r="AP56" i="12" a="1"/>
  <c r="AP56" i="12" s="1"/>
  <c r="AU56" i="12" s="1"/>
  <c r="AL56" i="12" a="1"/>
  <c r="AL56" i="12" s="1"/>
  <c r="AQ56" i="12" s="1"/>
  <c r="AO56" i="12" a="1"/>
  <c r="AO56" i="12" s="1"/>
  <c r="AT56" i="12" s="1"/>
  <c r="AL42" i="12" a="1"/>
  <c r="AL42" i="12" s="1"/>
  <c r="AQ42" i="12" s="1"/>
  <c r="AO42" i="12" a="1"/>
  <c r="AO42" i="12" s="1"/>
  <c r="AT42" i="12" s="1"/>
  <c r="AP42" i="12" a="1"/>
  <c r="AP42" i="12" s="1"/>
  <c r="AU42" i="12" s="1"/>
  <c r="AM42" i="12" a="1"/>
  <c r="AM42" i="12" s="1"/>
  <c r="AR42" i="12" s="1"/>
  <c r="AN42" i="12" a="1"/>
  <c r="AN42" i="12" s="1"/>
  <c r="AS42" i="12" s="1"/>
  <c r="N42" i="12" a="1"/>
  <c r="N42" i="12" s="1"/>
  <c r="O42" i="12" s="1" a="1"/>
  <c r="O42" i="12" s="1"/>
  <c r="AL11" i="12" a="1"/>
  <c r="AL11" i="12" s="1"/>
  <c r="AQ11" i="12" s="1"/>
  <c r="AN11" i="12" a="1"/>
  <c r="AN11" i="12" s="1"/>
  <c r="AS11" i="12" s="1"/>
  <c r="AO11" i="12" a="1"/>
  <c r="AO11" i="12" s="1"/>
  <c r="AT11" i="12" s="1"/>
  <c r="N11" i="12" a="1"/>
  <c r="N11" i="12" s="1"/>
  <c r="O11" i="12" s="1" a="1"/>
  <c r="O11" i="12" s="1"/>
  <c r="AP11" i="12" a="1"/>
  <c r="AP11" i="12" s="1"/>
  <c r="AU11" i="12" s="1"/>
  <c r="AM11" i="12" a="1"/>
  <c r="AM11" i="12" s="1"/>
  <c r="AR11" i="12" s="1"/>
  <c r="AL12" i="12" a="1"/>
  <c r="AL12" i="12" s="1"/>
  <c r="AQ12" i="12" s="1"/>
  <c r="AP12" i="12" a="1"/>
  <c r="AP12" i="12" s="1"/>
  <c r="AU12" i="12" s="1"/>
  <c r="N12" i="12" a="1"/>
  <c r="N12" i="12" s="1"/>
  <c r="O12" i="12" s="1" a="1"/>
  <c r="O12" i="12" s="1"/>
  <c r="AM12" i="12" a="1"/>
  <c r="AM12" i="12" s="1"/>
  <c r="AR12" i="12" s="1"/>
  <c r="AN12" i="12" a="1"/>
  <c r="AN12" i="12" s="1"/>
  <c r="AS12" i="12" s="1"/>
  <c r="AO12" i="12" a="1"/>
  <c r="AO12" i="12" s="1"/>
  <c r="AT12" i="12" s="1"/>
  <c r="AO13" i="12" a="1"/>
  <c r="AO13" i="12" s="1"/>
  <c r="AT13" i="12" s="1"/>
  <c r="AP13" i="12" a="1"/>
  <c r="AP13" i="12" s="1"/>
  <c r="AU13" i="12" s="1"/>
  <c r="AN13" i="12" a="1"/>
  <c r="AN13" i="12" s="1"/>
  <c r="AS13" i="12" s="1"/>
  <c r="N13" i="12" a="1"/>
  <c r="N13" i="12" s="1"/>
  <c r="O13" i="12" s="1" a="1"/>
  <c r="O13" i="12" s="1"/>
  <c r="AM13" i="12" a="1"/>
  <c r="AM13" i="12" s="1"/>
  <c r="AR13" i="12" s="1"/>
  <c r="AL13" i="12" a="1"/>
  <c r="AL13" i="12" s="1"/>
  <c r="AQ13" i="12" s="1"/>
  <c r="AL6" i="12" a="1"/>
  <c r="AL6" i="12" s="1"/>
  <c r="AQ6" i="12" s="1"/>
  <c r="AN6" i="12" a="1"/>
  <c r="AN6" i="12" s="1"/>
  <c r="AS6" i="12" s="1"/>
  <c r="AO6" i="12" a="1"/>
  <c r="AO6" i="12" s="1"/>
  <c r="AT6" i="12" s="1"/>
  <c r="AP6" i="12" a="1"/>
  <c r="AP6" i="12" s="1"/>
  <c r="AU6" i="12" s="1"/>
  <c r="N6" i="12" a="1"/>
  <c r="N6" i="12" s="1"/>
  <c r="O6" i="12" s="1" a="1"/>
  <c r="O6" i="12" s="1"/>
  <c r="AM6" i="12" a="1"/>
  <c r="AM6" i="12" s="1"/>
  <c r="AR6" i="12" s="1"/>
  <c r="AO41" i="12" a="1"/>
  <c r="AO41" i="12" s="1"/>
  <c r="AT41" i="12" s="1"/>
  <c r="AN41" i="12" a="1"/>
  <c r="AN41" i="12" s="1"/>
  <c r="AS41" i="12" s="1"/>
  <c r="AP41" i="12" a="1"/>
  <c r="AP41" i="12" s="1"/>
  <c r="AU41" i="12" s="1"/>
  <c r="N41" i="12" a="1"/>
  <c r="N41" i="12" s="1"/>
  <c r="O41" i="12" s="1" a="1"/>
  <c r="O41" i="12" s="1"/>
  <c r="AL41" i="12" a="1"/>
  <c r="AL41" i="12" s="1"/>
  <c r="AQ41" i="12" s="1"/>
  <c r="AM41" i="12" a="1"/>
  <c r="AM41" i="12" s="1"/>
  <c r="AR41" i="12" s="1"/>
  <c r="AP69" i="12" a="1"/>
  <c r="AP69" i="12" s="1"/>
  <c r="AU69" i="12" s="1"/>
  <c r="N69" i="12" a="1"/>
  <c r="N69" i="12" s="1"/>
  <c r="O69" i="12" s="1" a="1"/>
  <c r="O69" i="12" s="1"/>
  <c r="U69" i="12" s="1" a="1"/>
  <c r="U69" i="12" s="1"/>
  <c r="V69" i="12" s="1"/>
  <c r="AN69" i="12" a="1"/>
  <c r="AN69" i="12" s="1"/>
  <c r="AS69" i="12" s="1"/>
  <c r="AL69" i="12" a="1"/>
  <c r="AL69" i="12" s="1"/>
  <c r="AQ69" i="12" s="1"/>
  <c r="AM69" i="12" a="1"/>
  <c r="AM69" i="12" s="1"/>
  <c r="AR69" i="12" s="1"/>
  <c r="AO69" i="12" a="1"/>
  <c r="AO69" i="12" s="1"/>
  <c r="AT69" i="12" s="1"/>
  <c r="AL30" i="12" a="1"/>
  <c r="AL30" i="12" s="1"/>
  <c r="AQ30" i="12" s="1"/>
  <c r="AO30" i="12" a="1"/>
  <c r="AO30" i="12" s="1"/>
  <c r="AT30" i="12" s="1"/>
  <c r="AP30" i="12" a="1"/>
  <c r="AP30" i="12" s="1"/>
  <c r="AU30" i="12" s="1"/>
  <c r="N30" i="12" a="1"/>
  <c r="N30" i="12" s="1"/>
  <c r="O30" i="12" s="1" a="1"/>
  <c r="O30" i="12" s="1"/>
  <c r="AM30" i="12" a="1"/>
  <c r="AM30" i="12" s="1"/>
  <c r="AR30" i="12" s="1"/>
  <c r="AN30" i="12" a="1"/>
  <c r="AN30" i="12" s="1"/>
  <c r="AS30" i="12" s="1"/>
  <c r="AP77" i="12" a="1"/>
  <c r="AP77" i="12" s="1"/>
  <c r="AU77" i="12" s="1"/>
  <c r="AO77" i="12" a="1"/>
  <c r="AO77" i="12" s="1"/>
  <c r="AT77" i="12" s="1"/>
  <c r="AN77" i="12" a="1"/>
  <c r="AN77" i="12" s="1"/>
  <c r="AS77" i="12" s="1"/>
  <c r="AM77" i="12" a="1"/>
  <c r="AM77" i="12" s="1"/>
  <c r="AR77" i="12" s="1"/>
  <c r="AL77" i="12" a="1"/>
  <c r="AL77" i="12" s="1"/>
  <c r="AQ77" i="12" s="1"/>
  <c r="N77" i="12" a="1"/>
  <c r="N77" i="12" s="1"/>
  <c r="O77" i="12" s="1" a="1"/>
  <c r="O77" i="12" s="1"/>
  <c r="U77" i="12" s="1" a="1"/>
  <c r="U77" i="12" s="1"/>
  <c r="V77" i="12" s="1"/>
  <c r="N59" i="12" a="1"/>
  <c r="N59" i="12" s="1"/>
  <c r="O59" i="12" s="1" a="1"/>
  <c r="O59" i="12" s="1"/>
  <c r="AN59" i="12" a="1"/>
  <c r="AN59" i="12" s="1"/>
  <c r="AS59" i="12" s="1"/>
  <c r="AO59" i="12" a="1"/>
  <c r="AO59" i="12" s="1"/>
  <c r="AT59" i="12" s="1"/>
  <c r="AP59" i="12" a="1"/>
  <c r="AP59" i="12" s="1"/>
  <c r="AU59" i="12" s="1"/>
  <c r="AM59" i="12" a="1"/>
  <c r="AM59" i="12" s="1"/>
  <c r="AR59" i="12" s="1"/>
  <c r="AL59" i="12" a="1"/>
  <c r="AL59" i="12" s="1"/>
  <c r="AQ59" i="12" s="1"/>
  <c r="AP37" i="12" a="1"/>
  <c r="AP37" i="12" s="1"/>
  <c r="AU37" i="12" s="1"/>
  <c r="AN37" i="12" a="1"/>
  <c r="AN37" i="12" s="1"/>
  <c r="AS37" i="12" s="1"/>
  <c r="N37" i="12" a="1"/>
  <c r="N37" i="12" s="1"/>
  <c r="O37" i="12" s="1" a="1"/>
  <c r="O37" i="12" s="1"/>
  <c r="AO37" i="12" a="1"/>
  <c r="AO37" i="12" s="1"/>
  <c r="AT37" i="12" s="1"/>
  <c r="AL37" i="12" a="1"/>
  <c r="AL37" i="12" s="1"/>
  <c r="AQ37" i="12" s="1"/>
  <c r="AM37" i="12" a="1"/>
  <c r="AM37" i="12" s="1"/>
  <c r="AR37" i="12" s="1"/>
  <c r="AL55" i="12" a="1"/>
  <c r="AL55" i="12" s="1"/>
  <c r="AQ55" i="12" s="1"/>
  <c r="AM55" i="12" a="1"/>
  <c r="AM55" i="12" s="1"/>
  <c r="AR55" i="12" s="1"/>
  <c r="N55" i="12" a="1"/>
  <c r="N55" i="12" s="1"/>
  <c r="O55" i="12" s="1" a="1"/>
  <c r="O55" i="12" s="1"/>
  <c r="AN55" i="12" a="1"/>
  <c r="AN55" i="12" s="1"/>
  <c r="AS55" i="12" s="1"/>
  <c r="AP55" i="12" a="1"/>
  <c r="AP55" i="12" s="1"/>
  <c r="AU55" i="12" s="1"/>
  <c r="AO55" i="12" a="1"/>
  <c r="AO55" i="12" s="1"/>
  <c r="AT55" i="12" s="1"/>
  <c r="AL28" i="12" a="1"/>
  <c r="AL28" i="12" s="1"/>
  <c r="AQ28" i="12" s="1"/>
  <c r="AO28" i="12" a="1"/>
  <c r="AO28" i="12" s="1"/>
  <c r="AT28" i="12" s="1"/>
  <c r="AP28" i="12" a="1"/>
  <c r="AP28" i="12" s="1"/>
  <c r="AU28" i="12" s="1"/>
  <c r="AN28" i="12" a="1"/>
  <c r="AN28" i="12" s="1"/>
  <c r="AS28" i="12" s="1"/>
  <c r="N28" i="12" a="1"/>
  <c r="N28" i="12" s="1"/>
  <c r="O28" i="12" s="1" a="1"/>
  <c r="O28" i="12" s="1"/>
  <c r="AM28" i="12" a="1"/>
  <c r="AM28" i="12" s="1"/>
  <c r="AR28" i="12" s="1"/>
  <c r="AL70" i="12" a="1"/>
  <c r="AL70" i="12" s="1"/>
  <c r="AQ70" i="12" s="1"/>
  <c r="AO70" i="12" a="1"/>
  <c r="AO70" i="12" s="1"/>
  <c r="AT70" i="12" s="1"/>
  <c r="AP70" i="12" a="1"/>
  <c r="AP70" i="12" s="1"/>
  <c r="AU70" i="12" s="1"/>
  <c r="AN70" i="12" a="1"/>
  <c r="AN70" i="12" s="1"/>
  <c r="AS70" i="12" s="1"/>
  <c r="AM70" i="12" a="1"/>
  <c r="AM70" i="12" s="1"/>
  <c r="AR70" i="12" s="1"/>
  <c r="N70" i="12" a="1"/>
  <c r="N70" i="12" s="1"/>
  <c r="O70" i="12" s="1" a="1"/>
  <c r="O70" i="12" s="1"/>
  <c r="U70" i="12" s="1" a="1"/>
  <c r="U70" i="12" s="1"/>
  <c r="V70" i="12" s="1"/>
  <c r="AP66" i="12" a="1"/>
  <c r="AP66" i="12" s="1"/>
  <c r="AU66" i="12" s="1"/>
  <c r="N66" i="12" a="1"/>
  <c r="N66" i="12" s="1"/>
  <c r="O66" i="12" s="1" a="1"/>
  <c r="O66" i="12" s="1"/>
  <c r="U66" i="12" s="1" a="1"/>
  <c r="U66" i="12" s="1"/>
  <c r="V66" i="12" s="1"/>
  <c r="AL66" i="12" a="1"/>
  <c r="AL66" i="12" s="1"/>
  <c r="AQ66" i="12" s="1"/>
  <c r="AO66" i="12" a="1"/>
  <c r="AO66" i="12" s="1"/>
  <c r="AT66" i="12" s="1"/>
  <c r="AM66" i="12" a="1"/>
  <c r="AM66" i="12" s="1"/>
  <c r="AR66" i="12" s="1"/>
  <c r="AN66" i="12" a="1"/>
  <c r="AN66" i="12" s="1"/>
  <c r="AS66" i="12" s="1"/>
  <c r="AL68" i="12" a="1"/>
  <c r="AL68" i="12" s="1"/>
  <c r="AQ68" i="12" s="1"/>
  <c r="AO68" i="12" a="1"/>
  <c r="AO68" i="12" s="1"/>
  <c r="AT68" i="12" s="1"/>
  <c r="AP68" i="12" a="1"/>
  <c r="AP68" i="12" s="1"/>
  <c r="AU68" i="12" s="1"/>
  <c r="N68" i="12" a="1"/>
  <c r="N68" i="12" s="1"/>
  <c r="O68" i="12" s="1" a="1"/>
  <c r="O68" i="12" s="1"/>
  <c r="U68" i="12" s="1" a="1"/>
  <c r="U68" i="12" s="1"/>
  <c r="V68" i="12" s="1"/>
  <c r="AM68" i="12" a="1"/>
  <c r="AM68" i="12" s="1"/>
  <c r="AR68" i="12" s="1"/>
  <c r="AN68" i="12" a="1"/>
  <c r="AN68" i="12" s="1"/>
  <c r="AS68" i="12" s="1"/>
  <c r="N64" i="12" a="1"/>
  <c r="N64" i="12" s="1"/>
  <c r="O64" i="12" s="1" a="1"/>
  <c r="O64" i="12" s="1"/>
  <c r="U64" i="12" s="1" a="1"/>
  <c r="U64" i="12" s="1"/>
  <c r="V64" i="12" s="1"/>
  <c r="AM64" i="12" a="1"/>
  <c r="AM64" i="12" s="1"/>
  <c r="AR64" i="12" s="1"/>
  <c r="AN64" i="12" a="1"/>
  <c r="AN64" i="12" s="1"/>
  <c r="AS64" i="12" s="1"/>
  <c r="AL64" i="12" a="1"/>
  <c r="AL64" i="12" s="1"/>
  <c r="AQ64" i="12" s="1"/>
  <c r="AO64" i="12" a="1"/>
  <c r="AO64" i="12" s="1"/>
  <c r="AT64" i="12" s="1"/>
  <c r="AP64" i="12" a="1"/>
  <c r="AP64" i="12" s="1"/>
  <c r="AU64" i="12" s="1"/>
  <c r="AP52" i="12" a="1"/>
  <c r="AP52" i="12" s="1"/>
  <c r="AU52" i="12" s="1"/>
  <c r="AL52" i="12" a="1"/>
  <c r="AL52" i="12" s="1"/>
  <c r="AQ52" i="12" s="1"/>
  <c r="AO52" i="12" a="1"/>
  <c r="AO52" i="12" s="1"/>
  <c r="AT52" i="12" s="1"/>
  <c r="N52" i="12" a="1"/>
  <c r="N52" i="12" s="1"/>
  <c r="O52" i="12" s="1" a="1"/>
  <c r="O52" i="12" s="1"/>
  <c r="AM52" i="12" a="1"/>
  <c r="AM52" i="12" s="1"/>
  <c r="AR52" i="12" s="1"/>
  <c r="AN52" i="12" a="1"/>
  <c r="AN52" i="12" s="1"/>
  <c r="AS52" i="12" s="1"/>
  <c r="AN63" i="12" a="1"/>
  <c r="AN63" i="12" s="1"/>
  <c r="AS63" i="12" s="1"/>
  <c r="AM63" i="12" a="1"/>
  <c r="AM63" i="12" s="1"/>
  <c r="AR63" i="12" s="1"/>
  <c r="AL63" i="12" a="1"/>
  <c r="AL63" i="12" s="1"/>
  <c r="AQ63" i="12" s="1"/>
  <c r="AP63" i="12" a="1"/>
  <c r="AP63" i="12" s="1"/>
  <c r="AU63" i="12" s="1"/>
  <c r="N63" i="12" a="1"/>
  <c r="N63" i="12" s="1"/>
  <c r="O63" i="12" s="1" a="1"/>
  <c r="O63" i="12" s="1"/>
  <c r="AO63" i="12" a="1"/>
  <c r="AO63" i="12" s="1"/>
  <c r="AT63" i="12" s="1"/>
  <c r="AN24" i="12" a="1"/>
  <c r="AN24" i="12" s="1"/>
  <c r="AS24" i="12" s="1"/>
  <c r="N24" i="12" a="1"/>
  <c r="N24" i="12" s="1"/>
  <c r="O24" i="12" s="1" a="1"/>
  <c r="O24" i="12" s="1"/>
  <c r="AL24" i="12" a="1"/>
  <c r="AL24" i="12" s="1"/>
  <c r="AQ24" i="12" s="1"/>
  <c r="AM24" i="12" a="1"/>
  <c r="AM24" i="12" s="1"/>
  <c r="AR24" i="12" s="1"/>
  <c r="AO24" i="12" a="1"/>
  <c r="AO24" i="12" s="1"/>
  <c r="AT24" i="12" s="1"/>
  <c r="AP24" i="12" a="1"/>
  <c r="AP24" i="12" s="1"/>
  <c r="AU24" i="12" s="1"/>
  <c r="AL53" i="12" a="1"/>
  <c r="AL53" i="12" s="1"/>
  <c r="AQ53" i="12" s="1"/>
  <c r="AM53" i="12" a="1"/>
  <c r="AM53" i="12" s="1"/>
  <c r="AR53" i="12" s="1"/>
  <c r="AP53" i="12" a="1"/>
  <c r="AP53" i="12" s="1"/>
  <c r="AU53" i="12" s="1"/>
  <c r="N53" i="12" a="1"/>
  <c r="N53" i="12" s="1"/>
  <c r="O53" i="12" s="1" a="1"/>
  <c r="O53" i="12" s="1"/>
  <c r="AN53" i="12" a="1"/>
  <c r="AN53" i="12" s="1"/>
  <c r="AS53" i="12" s="1"/>
  <c r="AO53" i="12" a="1"/>
  <c r="AO53" i="12" s="1"/>
  <c r="AT53" i="12" s="1"/>
  <c r="AL73" i="12" a="1"/>
  <c r="AL73" i="12" s="1"/>
  <c r="AQ73" i="12" s="1"/>
  <c r="AM73" i="12" a="1"/>
  <c r="AM73" i="12" s="1"/>
  <c r="AR73" i="12" s="1"/>
  <c r="AP73" i="12" a="1"/>
  <c r="AP73" i="12" s="1"/>
  <c r="AU73" i="12" s="1"/>
  <c r="AN73" i="12" a="1"/>
  <c r="AN73" i="12" s="1"/>
  <c r="AS73" i="12" s="1"/>
  <c r="AO73" i="12" a="1"/>
  <c r="AO73" i="12" s="1"/>
  <c r="AT73" i="12" s="1"/>
  <c r="N73" i="12" a="1"/>
  <c r="N73" i="12" s="1"/>
  <c r="O73" i="12" s="1" a="1"/>
  <c r="O73" i="12" s="1"/>
  <c r="U73" i="12" s="1" a="1"/>
  <c r="U73" i="12" s="1"/>
  <c r="V73" i="12" s="1"/>
  <c r="AN38" i="12" a="1"/>
  <c r="AN38" i="12" s="1"/>
  <c r="AS38" i="12" s="1"/>
  <c r="AM38" i="12" a="1"/>
  <c r="AM38" i="12" s="1"/>
  <c r="AR38" i="12" s="1"/>
  <c r="AL38" i="12" a="1"/>
  <c r="AL38" i="12" s="1"/>
  <c r="AQ38" i="12" s="1"/>
  <c r="N38" i="12" a="1"/>
  <c r="N38" i="12" s="1"/>
  <c r="O38" i="12" s="1" a="1"/>
  <c r="O38" i="12" s="1"/>
  <c r="AO38" i="12" a="1"/>
  <c r="AO38" i="12" s="1"/>
  <c r="AT38" i="12" s="1"/>
  <c r="AP38" i="12" a="1"/>
  <c r="AP38" i="12" s="1"/>
  <c r="AU38" i="12" s="1"/>
  <c r="AL54" i="12" a="1"/>
  <c r="AL54" i="12" s="1"/>
  <c r="AQ54" i="12" s="1"/>
  <c r="AO54" i="12" a="1"/>
  <c r="AO54" i="12" s="1"/>
  <c r="AT54" i="12" s="1"/>
  <c r="AP54" i="12" a="1"/>
  <c r="AP54" i="12" s="1"/>
  <c r="AU54" i="12" s="1"/>
  <c r="N54" i="12" a="1"/>
  <c r="N54" i="12" s="1"/>
  <c r="O54" i="12" s="1" a="1"/>
  <c r="O54" i="12" s="1"/>
  <c r="AM54" i="12" a="1"/>
  <c r="AM54" i="12" s="1"/>
  <c r="AR54" i="12" s="1"/>
  <c r="AN54" i="12" a="1"/>
  <c r="AN54" i="12" s="1"/>
  <c r="AS54" i="12" s="1"/>
  <c r="AL50" i="12" a="1"/>
  <c r="AL50" i="12" s="1"/>
  <c r="AQ50" i="12" s="1"/>
  <c r="AO50" i="12" a="1"/>
  <c r="AO50" i="12" s="1"/>
  <c r="AT50" i="12" s="1"/>
  <c r="AP50" i="12" a="1"/>
  <c r="AP50" i="12" s="1"/>
  <c r="AU50" i="12" s="1"/>
  <c r="N50" i="12" a="1"/>
  <c r="N50" i="12" s="1"/>
  <c r="O50" i="12" s="1" a="1"/>
  <c r="O50" i="12" s="1"/>
  <c r="AM50" i="12" a="1"/>
  <c r="AM50" i="12" s="1"/>
  <c r="AR50" i="12" s="1"/>
  <c r="AN50" i="12" a="1"/>
  <c r="AN50" i="12" s="1"/>
  <c r="AS50" i="12" s="1"/>
  <c r="AP10" i="12" a="1"/>
  <c r="AP10" i="12" s="1"/>
  <c r="AU10" i="12" s="1"/>
  <c r="AO10" i="12" a="1"/>
  <c r="AO10" i="12" s="1"/>
  <c r="AT10" i="12" s="1"/>
  <c r="N10" i="12" a="1"/>
  <c r="N10" i="12" s="1"/>
  <c r="O10" i="12" s="1" a="1"/>
  <c r="O10" i="12" s="1"/>
  <c r="AL10" i="12" a="1"/>
  <c r="AL10" i="12" s="1"/>
  <c r="AQ10" i="12" s="1"/>
  <c r="AM10" i="12" a="1"/>
  <c r="AM10" i="12" s="1"/>
  <c r="AR10" i="12" s="1"/>
  <c r="AN10" i="12" a="1"/>
  <c r="AN10" i="12" s="1"/>
  <c r="AS10" i="12" s="1"/>
  <c r="AP35" i="12" a="1"/>
  <c r="AP35" i="12" s="1"/>
  <c r="AU35" i="12" s="1"/>
  <c r="AO35" i="12" a="1"/>
  <c r="AO35" i="12" s="1"/>
  <c r="AT35" i="12" s="1"/>
  <c r="N35" i="12" a="1"/>
  <c r="N35" i="12" s="1"/>
  <c r="O35" i="12" s="1" a="1"/>
  <c r="O35" i="12" s="1"/>
  <c r="AN35" i="12" a="1"/>
  <c r="AN35" i="12" s="1"/>
  <c r="AS35" i="12" s="1"/>
  <c r="AL35" i="12" a="1"/>
  <c r="AL35" i="12" s="1"/>
  <c r="AQ35" i="12" s="1"/>
  <c r="AM35" i="12" a="1"/>
  <c r="AM35" i="12" s="1"/>
  <c r="AR35" i="12" s="1"/>
  <c r="N72" i="12" a="1"/>
  <c r="N72" i="12" s="1"/>
  <c r="O72" i="12" s="1" a="1"/>
  <c r="O72" i="12" s="1"/>
  <c r="U72" i="12" s="1" a="1"/>
  <c r="U72" i="12" s="1"/>
  <c r="V72" i="12" s="1"/>
  <c r="AM72" i="12" a="1"/>
  <c r="AM72" i="12" s="1"/>
  <c r="AR72" i="12" s="1"/>
  <c r="AN72" i="12" a="1"/>
  <c r="AN72" i="12" s="1"/>
  <c r="AS72" i="12" s="1"/>
  <c r="AL72" i="12" a="1"/>
  <c r="AL72" i="12" s="1"/>
  <c r="AQ72" i="12" s="1"/>
  <c r="AO72" i="12" a="1"/>
  <c r="AO72" i="12" s="1"/>
  <c r="AT72" i="12" s="1"/>
  <c r="AP72" i="12" a="1"/>
  <c r="AP72" i="12" s="1"/>
  <c r="AU72" i="12" s="1"/>
  <c r="AP3" i="12" a="1"/>
  <c r="AP3" i="12" s="1"/>
  <c r="AU3" i="12" s="1"/>
  <c r="AL3" i="12" a="1"/>
  <c r="AL3" i="12" s="1"/>
  <c r="AQ3" i="12" s="1"/>
  <c r="AN3" i="12" a="1"/>
  <c r="AN3" i="12" s="1"/>
  <c r="AS3" i="12" s="1"/>
  <c r="AM3" i="12" a="1"/>
  <c r="AM3" i="12" s="1"/>
  <c r="AR3" i="12" s="1"/>
  <c r="AO3" i="12" a="1"/>
  <c r="AO3" i="12" s="1"/>
  <c r="AT3" i="12" s="1"/>
  <c r="N3" i="12" a="1"/>
  <c r="N3" i="12" s="1"/>
  <c r="O3" i="12" s="1" a="1"/>
  <c r="O3" i="12" s="1"/>
  <c r="AL62" i="12" a="1"/>
  <c r="AL62" i="12" s="1"/>
  <c r="AQ62" i="12" s="1"/>
  <c r="AN62" i="12" a="1"/>
  <c r="AN62" i="12" s="1"/>
  <c r="AS62" i="12" s="1"/>
  <c r="AO62" i="12" a="1"/>
  <c r="AO62" i="12" s="1"/>
  <c r="AT62" i="12" s="1"/>
  <c r="AP62" i="12" a="1"/>
  <c r="AP62" i="12" s="1"/>
  <c r="AU62" i="12" s="1"/>
  <c r="N62" i="12" a="1"/>
  <c r="N62" i="12" s="1"/>
  <c r="O62" i="12" s="1" a="1"/>
  <c r="O62" i="12" s="1"/>
  <c r="AM62" i="12" a="1"/>
  <c r="AM62" i="12" s="1"/>
  <c r="AR62" i="12" s="1"/>
  <c r="N36" i="12" a="1"/>
  <c r="N36" i="12" s="1"/>
  <c r="O36" i="12" s="1" a="1"/>
  <c r="O36" i="12" s="1"/>
  <c r="AM36" i="12" a="1"/>
  <c r="AM36" i="12" s="1"/>
  <c r="AR36" i="12" s="1"/>
  <c r="AN36" i="12" a="1"/>
  <c r="AN36" i="12" s="1"/>
  <c r="AS36" i="12" s="1"/>
  <c r="AL36" i="12" a="1"/>
  <c r="AL36" i="12" s="1"/>
  <c r="AQ36" i="12" s="1"/>
  <c r="AO36" i="12" a="1"/>
  <c r="AO36" i="12" s="1"/>
  <c r="AT36" i="12" s="1"/>
  <c r="AP36" i="12" a="1"/>
  <c r="AP36" i="12" s="1"/>
  <c r="AU36" i="12" s="1"/>
  <c r="AN23" i="12" a="1"/>
  <c r="AN23" i="12" s="1"/>
  <c r="AS23" i="12" s="1"/>
  <c r="AM23" i="12" a="1"/>
  <c r="AM23" i="12" s="1"/>
  <c r="AR23" i="12" s="1"/>
  <c r="AL23" i="12" a="1"/>
  <c r="AL23" i="12" s="1"/>
  <c r="AQ23" i="12" s="1"/>
  <c r="AO23" i="12" a="1"/>
  <c r="AO23" i="12" s="1"/>
  <c r="AT23" i="12" s="1"/>
  <c r="AP23" i="12" a="1"/>
  <c r="AP23" i="12" s="1"/>
  <c r="AU23" i="12" s="1"/>
  <c r="N23" i="12" a="1"/>
  <c r="N23" i="12" s="1"/>
  <c r="O23" i="12" s="1" a="1"/>
  <c r="O23" i="12" s="1"/>
  <c r="N58" i="12" a="1"/>
  <c r="N58" i="12" s="1"/>
  <c r="O58" i="12" s="1" a="1"/>
  <c r="O58" i="12" s="1"/>
  <c r="AM58" i="12" a="1"/>
  <c r="AM58" i="12" s="1"/>
  <c r="AR58" i="12" s="1"/>
  <c r="AN58" i="12" a="1"/>
  <c r="AN58" i="12" s="1"/>
  <c r="AS58" i="12" s="1"/>
  <c r="AL58" i="12" a="1"/>
  <c r="AL58" i="12" s="1"/>
  <c r="AQ58" i="12" s="1"/>
  <c r="AO58" i="12" a="1"/>
  <c r="AO58" i="12" s="1"/>
  <c r="AT58" i="12" s="1"/>
  <c r="AP58" i="12" a="1"/>
  <c r="AP58" i="12" s="1"/>
  <c r="AU58" i="12" s="1"/>
  <c r="N67" i="12" a="1"/>
  <c r="N67" i="12" s="1"/>
  <c r="O67" i="12" s="1" a="1"/>
  <c r="O67" i="12" s="1"/>
  <c r="U67" i="12" s="1" a="1"/>
  <c r="U67" i="12" s="1"/>
  <c r="V67" i="12" s="1"/>
  <c r="AN67" i="12" a="1"/>
  <c r="AN67" i="12" s="1"/>
  <c r="AS67" i="12" s="1"/>
  <c r="AM67" i="12" a="1"/>
  <c r="AM67" i="12" s="1"/>
  <c r="AR67" i="12" s="1"/>
  <c r="AL67" i="12" a="1"/>
  <c r="AL67" i="12" s="1"/>
  <c r="AQ67" i="12" s="1"/>
  <c r="AP67" i="12" a="1"/>
  <c r="AP67" i="12" s="1"/>
  <c r="AU67" i="12" s="1"/>
  <c r="AO67" i="12" a="1"/>
  <c r="AO67" i="12" s="1"/>
  <c r="AT67" i="12" s="1"/>
  <c r="N22" i="12" a="1"/>
  <c r="N22" i="12" s="1"/>
  <c r="O22" i="12" s="1" a="1"/>
  <c r="O22" i="12" s="1"/>
  <c r="AM22" i="12" a="1"/>
  <c r="AM22" i="12" s="1"/>
  <c r="AR22" i="12" s="1"/>
  <c r="AN22" i="12" a="1"/>
  <c r="AN22" i="12" s="1"/>
  <c r="AS22" i="12" s="1"/>
  <c r="AL22" i="12" a="1"/>
  <c r="AL22" i="12" s="1"/>
  <c r="AQ22" i="12" s="1"/>
  <c r="AO22" i="12" a="1"/>
  <c r="AO22" i="12" s="1"/>
  <c r="AT22" i="12" s="1"/>
  <c r="AP22" i="12" a="1"/>
  <c r="AP22" i="12" s="1"/>
  <c r="AU22" i="12" s="1"/>
  <c r="AP48" i="12" a="1"/>
  <c r="AP48" i="12" s="1"/>
  <c r="AU48" i="12" s="1"/>
  <c r="N48" i="12" a="1"/>
  <c r="N48" i="12" s="1"/>
  <c r="O48" i="12" s="1" a="1"/>
  <c r="O48" i="12" s="1"/>
  <c r="AM48" i="12" a="1"/>
  <c r="AM48" i="12" s="1"/>
  <c r="AR48" i="12" s="1"/>
  <c r="AN48" i="12" a="1"/>
  <c r="AN48" i="12" s="1"/>
  <c r="AS48" i="12" s="1"/>
  <c r="AL48" i="12" a="1"/>
  <c r="AL48" i="12" s="1"/>
  <c r="AQ48" i="12" s="1"/>
  <c r="AO48" i="12" a="1"/>
  <c r="AO48" i="12" s="1"/>
  <c r="AT48" i="12" s="1"/>
  <c r="N61" i="12" a="1"/>
  <c r="N61" i="12" s="1"/>
  <c r="O61" i="12" s="1" a="1"/>
  <c r="O61" i="12" s="1"/>
  <c r="AN61" i="12" a="1"/>
  <c r="AN61" i="12" s="1"/>
  <c r="AS61" i="12" s="1"/>
  <c r="AO61" i="12" a="1"/>
  <c r="AO61" i="12" s="1"/>
  <c r="AT61" i="12" s="1"/>
  <c r="AL61" i="12" a="1"/>
  <c r="AL61" i="12" s="1"/>
  <c r="AQ61" i="12" s="1"/>
  <c r="AM61" i="12" a="1"/>
  <c r="AM61" i="12" s="1"/>
  <c r="AR61" i="12" s="1"/>
  <c r="AP61" i="12" a="1"/>
  <c r="AP61" i="12" s="1"/>
  <c r="AU61" i="12" s="1"/>
  <c r="AL44" i="12" a="1"/>
  <c r="AL44" i="12" s="1"/>
  <c r="AQ44" i="12" s="1"/>
  <c r="AO44" i="12" a="1"/>
  <c r="AO44" i="12" s="1"/>
  <c r="AT44" i="12" s="1"/>
  <c r="AP44" i="12" a="1"/>
  <c r="AP44" i="12" s="1"/>
  <c r="AU44" i="12" s="1"/>
  <c r="N44" i="12" a="1"/>
  <c r="N44" i="12" s="1"/>
  <c r="O44" i="12" s="1" a="1"/>
  <c r="O44" i="12" s="1"/>
  <c r="AM44" i="12" a="1"/>
  <c r="AM44" i="12" s="1"/>
  <c r="AR44" i="12" s="1"/>
  <c r="AN44" i="12" a="1"/>
  <c r="AN44" i="12" s="1"/>
  <c r="AS44" i="12" s="1"/>
  <c r="AL39" i="12" a="1"/>
  <c r="AL39" i="12" s="1"/>
  <c r="AQ39" i="12" s="1"/>
  <c r="AM39" i="12" a="1"/>
  <c r="AM39" i="12" s="1"/>
  <c r="AR39" i="12" s="1"/>
  <c r="AP39" i="12" a="1"/>
  <c r="AP39" i="12" s="1"/>
  <c r="AU39" i="12" s="1"/>
  <c r="N39" i="12" a="1"/>
  <c r="N39" i="12" s="1"/>
  <c r="O39" i="12" s="1" a="1"/>
  <c r="O39" i="12" s="1"/>
  <c r="AN39" i="12" a="1"/>
  <c r="AN39" i="12" s="1"/>
  <c r="AS39" i="12" s="1"/>
  <c r="AO39" i="12" a="1"/>
  <c r="AO39" i="12" s="1"/>
  <c r="AT39" i="12" s="1"/>
  <c r="AN51" i="12" a="1"/>
  <c r="AN51" i="12" s="1"/>
  <c r="AS51" i="12" s="1"/>
  <c r="N51" i="12" a="1"/>
  <c r="N51" i="12" s="1"/>
  <c r="O51" i="12" s="1" a="1"/>
  <c r="O51" i="12" s="1"/>
  <c r="AM51" i="12" a="1"/>
  <c r="AM51" i="12" s="1"/>
  <c r="AR51" i="12" s="1"/>
  <c r="AL51" i="12" a="1"/>
  <c r="AL51" i="12" s="1"/>
  <c r="AQ51" i="12" s="1"/>
  <c r="AP51" i="12" a="1"/>
  <c r="AP51" i="12" s="1"/>
  <c r="AU51" i="12" s="1"/>
  <c r="AO51" i="12" a="1"/>
  <c r="AO51" i="12" s="1"/>
  <c r="AT51" i="12" s="1"/>
  <c r="AM21" i="12" a="1"/>
  <c r="AM21" i="12" s="1"/>
  <c r="AR21" i="12" s="1"/>
  <c r="AP21" i="12" a="1"/>
  <c r="AP21" i="12" s="1"/>
  <c r="AU21" i="12" s="1"/>
  <c r="AO21" i="12" a="1"/>
  <c r="AO21" i="12" s="1"/>
  <c r="AT21" i="12" s="1"/>
  <c r="AL21" i="12" a="1"/>
  <c r="AL21" i="12" s="1"/>
  <c r="AQ21" i="12" s="1"/>
  <c r="AN21" i="12" a="1"/>
  <c r="AN21" i="12" s="1"/>
  <c r="AS21" i="12" s="1"/>
  <c r="N21" i="12" a="1"/>
  <c r="N21" i="12" s="1"/>
  <c r="O21" i="12" s="1" a="1"/>
  <c r="O21" i="12" s="1"/>
  <c r="AM60" i="12" a="1"/>
  <c r="AM60" i="12" s="1"/>
  <c r="AR60" i="12" s="1"/>
  <c r="AN60" i="12" a="1"/>
  <c r="AN60" i="12" s="1"/>
  <c r="AS60" i="12" s="1"/>
  <c r="AL60" i="12" a="1"/>
  <c r="AL60" i="12" s="1"/>
  <c r="AQ60" i="12" s="1"/>
  <c r="AO60" i="12" a="1"/>
  <c r="AO60" i="12" s="1"/>
  <c r="AT60" i="12" s="1"/>
  <c r="AP60" i="12" a="1"/>
  <c r="AP60" i="12" s="1"/>
  <c r="AU60" i="12" s="1"/>
  <c r="N60" i="12" a="1"/>
  <c r="N60" i="12" s="1"/>
  <c r="O60" i="12" s="1" a="1"/>
  <c r="O60" i="12" s="1"/>
  <c r="N16" i="12" a="1"/>
  <c r="N16" i="12" s="1"/>
  <c r="O16" i="12" s="1" a="1"/>
  <c r="O16" i="12" s="1"/>
  <c r="AM16" i="12" a="1"/>
  <c r="AM16" i="12" s="1"/>
  <c r="AR16" i="12" s="1"/>
  <c r="AN16" i="12" a="1"/>
  <c r="AN16" i="12" s="1"/>
  <c r="AS16" i="12" s="1"/>
  <c r="AL16" i="12" a="1"/>
  <c r="AL16" i="12" s="1"/>
  <c r="AQ16" i="12" s="1"/>
  <c r="AO16" i="12" a="1"/>
  <c r="AO16" i="12" s="1"/>
  <c r="AT16" i="12" s="1"/>
  <c r="AP16" i="12" a="1"/>
  <c r="AP16" i="12" s="1"/>
  <c r="AU16" i="12" s="1"/>
  <c r="F49" i="14"/>
  <c r="D49" i="14"/>
  <c r="I48" i="14" a="1"/>
  <c r="I48" i="14" s="1"/>
  <c r="B48" i="14" s="1" a="1"/>
  <c r="B48" i="14" s="1"/>
  <c r="H48" i="14" a="1"/>
  <c r="H48" i="14" s="1"/>
  <c r="A48" i="14" s="1" a="1"/>
  <c r="A48" i="14" s="1"/>
  <c r="G49" i="14" a="1"/>
  <c r="H62" i="32" l="1" a="1"/>
  <c r="H62" i="32" s="1"/>
  <c r="H65" i="32" a="1"/>
  <c r="H65" i="32" s="1"/>
  <c r="W65" i="32" a="1"/>
  <c r="W65" i="32" s="1"/>
  <c r="Z65" i="32" s="1" a="1"/>
  <c r="Z65" i="32" s="1"/>
  <c r="W42" i="32" a="1"/>
  <c r="W42" i="32" s="1"/>
  <c r="Z42" i="32" s="1" a="1"/>
  <c r="Z42" i="32" s="1"/>
  <c r="J42" i="32" s="1" a="1"/>
  <c r="J42" i="32" s="1"/>
  <c r="W59" i="32" a="1"/>
  <c r="W59" i="32" s="1"/>
  <c r="Z59" i="32" s="1" a="1"/>
  <c r="Z59" i="32" s="1"/>
  <c r="J59" i="32" s="1" a="1"/>
  <c r="J59" i="32" s="1"/>
  <c r="W50" i="32" a="1"/>
  <c r="W50" i="32" s="1"/>
  <c r="Z50" i="32" s="1" a="1"/>
  <c r="Z50" i="32" s="1"/>
  <c r="J50" i="32" s="1" a="1"/>
  <c r="J50" i="32" s="1"/>
  <c r="W56" i="32" a="1"/>
  <c r="W56" i="32" s="1"/>
  <c r="Z56" i="32" s="1" a="1"/>
  <c r="Z56" i="32" s="1"/>
  <c r="J56" i="32" s="1" a="1"/>
  <c r="J56" i="32" s="1"/>
  <c r="W33" i="32" a="1"/>
  <c r="W33" i="32" s="1"/>
  <c r="Z33" i="32" s="1" a="1"/>
  <c r="Z33" i="32" s="1"/>
  <c r="J33" i="32" s="1" a="1"/>
  <c r="J33" i="32" s="1"/>
  <c r="W66" i="32" a="1"/>
  <c r="W66" i="32" s="1"/>
  <c r="Z66" i="32" s="1" a="1"/>
  <c r="Z66" i="32" s="1"/>
  <c r="J66" i="32" s="1" a="1"/>
  <c r="J66" i="32" s="1"/>
  <c r="W52" i="32" a="1"/>
  <c r="W52" i="32" s="1"/>
  <c r="Z52" i="32" s="1" a="1"/>
  <c r="Z52" i="32" s="1"/>
  <c r="W16" i="32" a="1"/>
  <c r="W16" i="32" s="1"/>
  <c r="Z16" i="32" s="1" a="1"/>
  <c r="Z16" i="32" s="1"/>
  <c r="J16" i="32" s="1" a="1"/>
  <c r="J16" i="32" s="1"/>
  <c r="H54" i="32" a="1"/>
  <c r="H54" i="32" s="1"/>
  <c r="W13" i="32" a="1"/>
  <c r="W13" i="32" s="1"/>
  <c r="Z13" i="32" s="1" a="1"/>
  <c r="Z13" i="32" s="1"/>
  <c r="W12" i="32" a="1"/>
  <c r="W12" i="32" s="1"/>
  <c r="Z12" i="32" s="1" a="1"/>
  <c r="Z12" i="32" s="1"/>
  <c r="W14" i="32" a="1"/>
  <c r="W14" i="32" s="1"/>
  <c r="Z14" i="32" s="1" a="1"/>
  <c r="Z14" i="32" s="1"/>
  <c r="J14" i="32" s="1" a="1"/>
  <c r="J14" i="32" s="1"/>
  <c r="W6" i="32" a="1"/>
  <c r="W6" i="32" s="1"/>
  <c r="Z6" i="32" s="1" a="1"/>
  <c r="Z6" i="32" s="1"/>
  <c r="BL3" i="12" s="1" a="1"/>
  <c r="BL3" i="12" s="1"/>
  <c r="W9" i="32" a="1"/>
  <c r="W9" i="32" s="1"/>
  <c r="Z9" i="32" s="1" a="1"/>
  <c r="Z9" i="32" s="1"/>
  <c r="J9" i="32" s="1" a="1"/>
  <c r="J9" i="32" s="1"/>
  <c r="W8" i="32" a="1"/>
  <c r="W8" i="32" s="1"/>
  <c r="Z8" i="32" s="1" a="1"/>
  <c r="Z8" i="32" s="1"/>
  <c r="J8" i="32" s="1" a="1"/>
  <c r="J8" i="32" s="1"/>
  <c r="H32" i="32" a="1"/>
  <c r="H32" i="32" s="1"/>
  <c r="H9" i="32" a="1"/>
  <c r="H9" i="32" s="1"/>
  <c r="H19" i="32" a="1"/>
  <c r="H19" i="32" s="1"/>
  <c r="W20" i="32" a="1"/>
  <c r="W20" i="32" s="1"/>
  <c r="Z20" i="32" s="1" a="1"/>
  <c r="Z20" i="32" s="1"/>
  <c r="J20" i="32" s="1" a="1"/>
  <c r="J20" i="32" s="1"/>
  <c r="W44" i="32" a="1"/>
  <c r="W44" i="32" s="1"/>
  <c r="Z44" i="32" s="1" a="1"/>
  <c r="Z44" i="32" s="1"/>
  <c r="J44" i="32" s="1" a="1"/>
  <c r="J44" i="32" s="1"/>
  <c r="H46" i="32" a="1"/>
  <c r="H46" i="32" s="1"/>
  <c r="W24" i="32" a="1"/>
  <c r="W24" i="32" s="1"/>
  <c r="Z24" i="32" s="1" a="1"/>
  <c r="Z24" i="32" s="1"/>
  <c r="J24" i="32" s="1" a="1"/>
  <c r="J24" i="32" s="1"/>
  <c r="H15" i="32" a="1"/>
  <c r="H15" i="32" s="1"/>
  <c r="H38" i="32" a="1"/>
  <c r="H38" i="32" s="1"/>
  <c r="W18" i="32" a="1"/>
  <c r="W18" i="32" s="1"/>
  <c r="Z18" i="32" s="1" a="1"/>
  <c r="Z18" i="32" s="1"/>
  <c r="J18" i="32" s="1" a="1"/>
  <c r="J18" i="32" s="1"/>
  <c r="W63" i="32" a="1"/>
  <c r="W63" i="32" s="1"/>
  <c r="Z63" i="32" s="1" a="1"/>
  <c r="Z63" i="32" s="1"/>
  <c r="W43" i="32" a="1"/>
  <c r="W43" i="32" s="1"/>
  <c r="Z43" i="32" s="1" a="1"/>
  <c r="Z43" i="32" s="1"/>
  <c r="J43" i="32" s="1" a="1"/>
  <c r="J43" i="32" s="1"/>
  <c r="W38" i="32" a="1"/>
  <c r="W38" i="32" s="1"/>
  <c r="Z38" i="32" s="1" a="1"/>
  <c r="Z38" i="32" s="1"/>
  <c r="J38" i="32" s="1" a="1"/>
  <c r="J38" i="32" s="1"/>
  <c r="H48" i="32" a="1"/>
  <c r="H48" i="32" s="1"/>
  <c r="W64" i="32" a="1"/>
  <c r="W64" i="32" s="1"/>
  <c r="Z64" i="32" s="1" a="1"/>
  <c r="Z64" i="32" s="1"/>
  <c r="J64" i="32" s="1" a="1"/>
  <c r="J64" i="32" s="1"/>
  <c r="W29" i="32" a="1"/>
  <c r="W29" i="32" s="1"/>
  <c r="Z29" i="32" s="1" a="1"/>
  <c r="Z29" i="32" s="1"/>
  <c r="J29" i="32" s="1" a="1"/>
  <c r="J29" i="32" s="1"/>
  <c r="H21" i="32" a="1"/>
  <c r="H21" i="32" s="1"/>
  <c r="H37" i="32" a="1"/>
  <c r="H37" i="32" s="1"/>
  <c r="H64" i="32" a="1"/>
  <c r="H64" i="32" s="1"/>
  <c r="W49" i="32" a="1"/>
  <c r="W49" i="32" s="1"/>
  <c r="Z49" i="32" s="1" a="1"/>
  <c r="Z49" i="32" s="1"/>
  <c r="J49" i="32" s="1" a="1"/>
  <c r="J49" i="32" s="1"/>
  <c r="H63" i="32" a="1"/>
  <c r="H63" i="32" s="1"/>
  <c r="H26" i="32" a="1"/>
  <c r="H26" i="32" s="1"/>
  <c r="W26" i="32" a="1"/>
  <c r="W26" i="32" s="1"/>
  <c r="Z26" i="32" s="1" a="1"/>
  <c r="Z26" i="32" s="1"/>
  <c r="J26" i="32" s="1" a="1"/>
  <c r="J26" i="32" s="1"/>
  <c r="W58" i="32" a="1"/>
  <c r="W58" i="32" s="1"/>
  <c r="Z58" i="32" s="1" a="1"/>
  <c r="Z58" i="32" s="1"/>
  <c r="J58" i="32" s="1" a="1"/>
  <c r="J58" i="32" s="1"/>
  <c r="W15" i="32" a="1"/>
  <c r="W15" i="32" s="1"/>
  <c r="Z15" i="32" s="1" a="1"/>
  <c r="Z15" i="32" s="1"/>
  <c r="W45" i="32" a="1"/>
  <c r="W45" i="32" s="1"/>
  <c r="Z45" i="32" s="1" a="1"/>
  <c r="Z45" i="32" s="1"/>
  <c r="J45" i="32" s="1" a="1"/>
  <c r="J45" i="32" s="1"/>
  <c r="H30" i="32" a="1"/>
  <c r="H30" i="32" s="1"/>
  <c r="W27" i="32" a="1"/>
  <c r="W27" i="32" s="1"/>
  <c r="Z27" i="32" s="1" a="1"/>
  <c r="Z27" i="32" s="1"/>
  <c r="J27" i="32" s="1" a="1"/>
  <c r="J27" i="32" s="1"/>
  <c r="H31" i="32" a="1"/>
  <c r="H31" i="32" s="1"/>
  <c r="W31" i="32" a="1"/>
  <c r="W31" i="32" s="1"/>
  <c r="Z31" i="32" s="1" a="1"/>
  <c r="Z31" i="32" s="1"/>
  <c r="J31" i="32" s="1" a="1"/>
  <c r="J31" i="32" s="1"/>
  <c r="H67" i="32" a="1"/>
  <c r="H67" i="32" s="1"/>
  <c r="H51" i="32" a="1"/>
  <c r="H51" i="32" s="1"/>
  <c r="W60" i="32" a="1"/>
  <c r="W60" i="32" s="1"/>
  <c r="Z60" i="32" s="1" a="1"/>
  <c r="Z60" i="32" s="1"/>
  <c r="J60" i="32" s="1" a="1"/>
  <c r="J60" i="32" s="1"/>
  <c r="W10" i="32" a="1"/>
  <c r="W10" i="32" s="1"/>
  <c r="Z10" i="32" s="1" a="1"/>
  <c r="Z10" i="32" s="1"/>
  <c r="J10" i="32" s="1" a="1"/>
  <c r="J10" i="32" s="1"/>
  <c r="H61" i="32" a="1"/>
  <c r="H61" i="32" s="1"/>
  <c r="H41" i="32" a="1"/>
  <c r="H41" i="32" s="1"/>
  <c r="W23" i="32" a="1"/>
  <c r="W23" i="32" s="1"/>
  <c r="Z23" i="32" s="1" a="1"/>
  <c r="Z23" i="32" s="1"/>
  <c r="J23" i="32" s="1" a="1"/>
  <c r="J23" i="32" s="1"/>
  <c r="W35" i="32" a="1"/>
  <c r="W35" i="32" s="1"/>
  <c r="Z35" i="32" s="1" a="1"/>
  <c r="Z35" i="32" s="1"/>
  <c r="W47" i="32" a="1"/>
  <c r="W47" i="32" s="1"/>
  <c r="Z47" i="32" s="1" a="1"/>
  <c r="Z47" i="32" s="1"/>
  <c r="J47" i="32" s="1" a="1"/>
  <c r="J47" i="32" s="1"/>
  <c r="W61" i="32" a="1"/>
  <c r="W61" i="32" s="1"/>
  <c r="Z61" i="32" s="1" a="1"/>
  <c r="Z61" i="32" s="1"/>
  <c r="J61" i="32" s="1" a="1"/>
  <c r="J61" i="32" s="1"/>
  <c r="H45" i="32" a="1"/>
  <c r="H45" i="32" s="1"/>
  <c r="H39" i="32" a="1"/>
  <c r="H39" i="32" s="1"/>
  <c r="H66" i="32" a="1"/>
  <c r="H66" i="32" s="1"/>
  <c r="H35" i="32" a="1"/>
  <c r="H35" i="32" s="1"/>
  <c r="H20" i="32" a="1"/>
  <c r="H20" i="32" s="1"/>
  <c r="H42" i="32" a="1"/>
  <c r="H42" i="32" s="1"/>
  <c r="H57" i="32" a="1"/>
  <c r="H57" i="32" s="1"/>
  <c r="H58" i="32" a="1"/>
  <c r="H58" i="32" s="1"/>
  <c r="H50" i="32" a="1"/>
  <c r="H50" i="32" s="1"/>
  <c r="H47" i="32" a="1"/>
  <c r="H47" i="32" s="1"/>
  <c r="H53" i="32" a="1"/>
  <c r="H53" i="32" s="1"/>
  <c r="H56" i="32" a="1"/>
  <c r="H56" i="32" s="1"/>
  <c r="H40" i="32" a="1"/>
  <c r="H40" i="32" s="1"/>
  <c r="H23" i="32" a="1"/>
  <c r="H23" i="32" s="1"/>
  <c r="H52" i="32" a="1"/>
  <c r="H52" i="32" s="1"/>
  <c r="H34" i="32" a="1"/>
  <c r="H34" i="32" s="1"/>
  <c r="W39" i="32" a="1"/>
  <c r="W39" i="32" s="1"/>
  <c r="Z39" i="32" s="1" a="1"/>
  <c r="Z39" i="32" s="1"/>
  <c r="J39" i="32" s="1" a="1"/>
  <c r="J39" i="32" s="1"/>
  <c r="H29" i="32" a="1"/>
  <c r="H29" i="32" s="1"/>
  <c r="H28" i="32" a="1"/>
  <c r="H28" i="32" s="1"/>
  <c r="J67" i="32" a="1"/>
  <c r="J67" i="32" s="1"/>
  <c r="H55" i="32" a="1"/>
  <c r="H55" i="32" s="1"/>
  <c r="J68" i="32" a="1"/>
  <c r="J68" i="32" s="1"/>
  <c r="W11" i="32" a="1"/>
  <c r="W11" i="32" s="1"/>
  <c r="Z11" i="32" s="1" a="1"/>
  <c r="Z11" i="32" s="1"/>
  <c r="J11" i="32" s="1" a="1"/>
  <c r="J11" i="32" s="1"/>
  <c r="H16" i="32" a="1"/>
  <c r="H16" i="32" s="1"/>
  <c r="H49" i="32" a="1"/>
  <c r="H49" i="32" s="1"/>
  <c r="H43" i="32" a="1"/>
  <c r="H43" i="32" s="1"/>
  <c r="H70" i="32" a="1"/>
  <c r="H70" i="32" s="1"/>
  <c r="H68" i="32" a="1"/>
  <c r="H68" i="32" s="1"/>
  <c r="H17" i="32" a="1"/>
  <c r="H17" i="32" s="1"/>
  <c r="J70" i="32" a="1"/>
  <c r="J70" i="32" s="1"/>
  <c r="H24" i="32" a="1"/>
  <c r="H24" i="32" s="1"/>
  <c r="U18" i="12" a="1"/>
  <c r="U18" i="12" s="1"/>
  <c r="V18" i="12" s="1"/>
  <c r="U7" i="12" a="1"/>
  <c r="U7" i="12" s="1"/>
  <c r="V7" i="12" s="1"/>
  <c r="U48" i="12" a="1"/>
  <c r="U48" i="12" s="1"/>
  <c r="V48" i="12" s="1"/>
  <c r="U45" i="12" a="1"/>
  <c r="U45" i="12" s="1"/>
  <c r="V45" i="12" s="1"/>
  <c r="J48" i="32" a="1"/>
  <c r="J48" i="32" s="1"/>
  <c r="J19" i="32" a="1"/>
  <c r="J19" i="32" s="1"/>
  <c r="U9" i="12" a="1"/>
  <c r="U9" i="12" s="1"/>
  <c r="V9" i="12" s="1"/>
  <c r="J53" i="32" a="1"/>
  <c r="J53" i="32" s="1"/>
  <c r="U16" i="12" a="1"/>
  <c r="U16" i="12" s="1"/>
  <c r="V16" i="12" s="1"/>
  <c r="U50" i="12" a="1"/>
  <c r="U50" i="12" s="1"/>
  <c r="V50" i="12" s="1"/>
  <c r="D53" i="32" a="1"/>
  <c r="D53" i="32" s="1"/>
  <c r="U27" i="12" a="1"/>
  <c r="U27" i="12" s="1"/>
  <c r="V27" i="12" s="1"/>
  <c r="D30" i="32" a="1"/>
  <c r="D30" i="32" s="1"/>
  <c r="U5" i="12" a="1"/>
  <c r="U5" i="12" s="1"/>
  <c r="V5" i="12" s="1"/>
  <c r="J17" i="32" a="1"/>
  <c r="J17" i="32" s="1"/>
  <c r="J32" i="32" a="1"/>
  <c r="J32" i="32" s="1"/>
  <c r="J21" i="32" a="1"/>
  <c r="J21" i="32" s="1"/>
  <c r="H72" i="32" a="1"/>
  <c r="H72" i="32" s="1"/>
  <c r="U35" i="12" a="1"/>
  <c r="U35" i="12" s="1"/>
  <c r="V35" i="12" s="1"/>
  <c r="U46" i="12" a="1"/>
  <c r="U46" i="12" s="1"/>
  <c r="V46" i="12" s="1"/>
  <c r="J57" i="32" a="1"/>
  <c r="J57" i="32" s="1"/>
  <c r="U32" i="12" a="1"/>
  <c r="U32" i="12" s="1"/>
  <c r="V32" i="12" s="1"/>
  <c r="U33" i="12" a="1"/>
  <c r="U33" i="12" s="1"/>
  <c r="V33" i="12" s="1"/>
  <c r="D36" i="32" a="1"/>
  <c r="D36" i="32" s="1"/>
  <c r="H71" i="32" a="1"/>
  <c r="H71" i="32" s="1"/>
  <c r="H59" i="32" a="1"/>
  <c r="H59" i="32" s="1"/>
  <c r="J37" i="32" a="1"/>
  <c r="J37" i="32" s="1"/>
  <c r="H69" i="32" a="1"/>
  <c r="H69" i="32" s="1"/>
  <c r="U24" i="12" a="1"/>
  <c r="U24" i="12" s="1"/>
  <c r="V24" i="12" s="1"/>
  <c r="D27" i="32" a="1"/>
  <c r="D27" i="32" s="1"/>
  <c r="U36" i="12" a="1"/>
  <c r="U36" i="12" s="1"/>
  <c r="V36" i="12" s="1"/>
  <c r="E39" i="32" s="1" a="1"/>
  <c r="E39" i="32" s="1"/>
  <c r="D39" i="32" a="1"/>
  <c r="D39" i="32" s="1"/>
  <c r="U53" i="12" a="1"/>
  <c r="U53" i="12" s="1"/>
  <c r="V53" i="12" s="1"/>
  <c r="D56" i="32" a="1"/>
  <c r="D56" i="32" s="1"/>
  <c r="U42" i="12" a="1"/>
  <c r="U42" i="12" s="1"/>
  <c r="V42" i="12" s="1"/>
  <c r="U20" i="12" a="1"/>
  <c r="U20" i="12" s="1"/>
  <c r="V20" i="12" s="1"/>
  <c r="D23" i="32" a="1"/>
  <c r="D23" i="32" s="1"/>
  <c r="U51" i="12" a="1"/>
  <c r="U51" i="12" s="1"/>
  <c r="V51" i="12" s="1"/>
  <c r="U22" i="12" a="1"/>
  <c r="U22" i="12" s="1"/>
  <c r="V22" i="12" s="1"/>
  <c r="U58" i="12" a="1"/>
  <c r="U58" i="12" s="1"/>
  <c r="V58" i="12" s="1"/>
  <c r="U63" i="12" a="1"/>
  <c r="U63" i="12" s="1"/>
  <c r="V63" i="12" s="1"/>
  <c r="U37" i="12" a="1"/>
  <c r="U37" i="12" s="1"/>
  <c r="V37" i="12" s="1"/>
  <c r="D40" i="32" a="1"/>
  <c r="D40" i="32" s="1"/>
  <c r="U23" i="12" a="1"/>
  <c r="U23" i="12" s="1"/>
  <c r="V23" i="12" s="1"/>
  <c r="U40" i="12" a="1"/>
  <c r="U40" i="12" s="1"/>
  <c r="V40" i="12" s="1"/>
  <c r="U29" i="12" a="1"/>
  <c r="U29" i="12" s="1"/>
  <c r="V29" i="12" s="1"/>
  <c r="U57" i="12" a="1"/>
  <c r="U57" i="12" s="1"/>
  <c r="V57" i="12" s="1"/>
  <c r="E67" i="32" s="1" a="1"/>
  <c r="E67" i="32" s="1"/>
  <c r="D67" i="32" a="1"/>
  <c r="D67" i="32" s="1"/>
  <c r="J55" i="32" a="1"/>
  <c r="J55" i="32" s="1"/>
  <c r="W7" i="32" a="1"/>
  <c r="W7" i="32" s="1"/>
  <c r="Z7" i="32" s="1" a="1"/>
  <c r="Z7" i="32" s="1"/>
  <c r="J62" i="32" a="1"/>
  <c r="J62" i="32" s="1"/>
  <c r="J30" i="32" a="1"/>
  <c r="J30" i="32" s="1"/>
  <c r="U13" i="12" a="1"/>
  <c r="U13" i="12" s="1"/>
  <c r="V13" i="12" s="1"/>
  <c r="U14" i="12" a="1"/>
  <c r="U14" i="12" s="1"/>
  <c r="V14" i="12" s="1"/>
  <c r="U49" i="12" a="1"/>
  <c r="U49" i="12" s="1"/>
  <c r="V49" i="12" s="1"/>
  <c r="D52" i="32" a="1"/>
  <c r="D52" i="32" s="1"/>
  <c r="J36" i="32" a="1"/>
  <c r="J36" i="32" s="1"/>
  <c r="J40" i="32" a="1"/>
  <c r="J40" i="32" s="1"/>
  <c r="J41" i="32" a="1"/>
  <c r="J41" i="32" s="1"/>
  <c r="J34" i="32" a="1"/>
  <c r="J34" i="32" s="1"/>
  <c r="U10" i="12" a="1"/>
  <c r="U10" i="12" s="1"/>
  <c r="V10" i="12" s="1"/>
  <c r="U4" i="12" a="1"/>
  <c r="U4" i="12" s="1"/>
  <c r="V4" i="12" s="1"/>
  <c r="U43" i="12" a="1"/>
  <c r="U43" i="12" s="1"/>
  <c r="V43" i="12" s="1"/>
  <c r="D46" i="32" a="1"/>
  <c r="D46" i="32" s="1"/>
  <c r="J25" i="32" a="1"/>
  <c r="J25" i="32" s="1"/>
  <c r="U44" i="12" a="1"/>
  <c r="U44" i="12" s="1"/>
  <c r="V44" i="12" s="1"/>
  <c r="U52" i="12" a="1"/>
  <c r="U52" i="12" s="1"/>
  <c r="V52" i="12" s="1"/>
  <c r="U56" i="12" a="1"/>
  <c r="U56" i="12" s="1"/>
  <c r="V56" i="12" s="1"/>
  <c r="U31" i="12" a="1"/>
  <c r="U31" i="12" s="1"/>
  <c r="V31" i="12" s="1"/>
  <c r="U25" i="12" a="1"/>
  <c r="U25" i="12" s="1"/>
  <c r="V25" i="12" s="1"/>
  <c r="D28" i="32" a="1"/>
  <c r="D28" i="32" s="1"/>
  <c r="J54" i="32" a="1"/>
  <c r="J54" i="32" s="1"/>
  <c r="U3" i="12" a="1"/>
  <c r="U3" i="12" s="1"/>
  <c r="V3" i="12" s="1"/>
  <c r="U38" i="12" a="1"/>
  <c r="U38" i="12" s="1"/>
  <c r="V38" i="12" s="1"/>
  <c r="U28" i="12" a="1"/>
  <c r="U28" i="12" s="1"/>
  <c r="V28" i="12" s="1"/>
  <c r="U59" i="12" a="1"/>
  <c r="U59" i="12" s="1"/>
  <c r="V59" i="12" s="1"/>
  <c r="L5" i="17" s="1" a="1"/>
  <c r="L5" i="17" s="1"/>
  <c r="K5" i="17" a="1"/>
  <c r="K5" i="17" s="1"/>
  <c r="U6" i="12" a="1"/>
  <c r="U6" i="12" s="1"/>
  <c r="V6" i="12" s="1"/>
  <c r="U12" i="12" a="1"/>
  <c r="U12" i="12" s="1"/>
  <c r="V12" i="12" s="1"/>
  <c r="U15" i="12" a="1"/>
  <c r="U15" i="12" s="1"/>
  <c r="V15" i="12" s="1"/>
  <c r="U26" i="12" a="1"/>
  <c r="U26" i="12" s="1"/>
  <c r="V26" i="12" s="1"/>
  <c r="D29" i="32" a="1"/>
  <c r="D29" i="32" s="1"/>
  <c r="U60" i="12" a="1"/>
  <c r="U60" i="12" s="1"/>
  <c r="V60" i="12" s="1"/>
  <c r="U61" i="12" a="1"/>
  <c r="U61" i="12" s="1"/>
  <c r="V61" i="12" s="1"/>
  <c r="U54" i="12" a="1"/>
  <c r="U54" i="12" s="1"/>
  <c r="V54" i="12" s="1"/>
  <c r="U21" i="12" a="1"/>
  <c r="U21" i="12" s="1"/>
  <c r="V21" i="12" s="1"/>
  <c r="U39" i="12" a="1"/>
  <c r="U39" i="12" s="1"/>
  <c r="V39" i="12" s="1"/>
  <c r="D42" i="32" a="1"/>
  <c r="D42" i="32" s="1"/>
  <c r="U55" i="12" a="1"/>
  <c r="U55" i="12" s="1"/>
  <c r="V55" i="12" s="1"/>
  <c r="U34" i="12" a="1"/>
  <c r="U34" i="12" s="1"/>
  <c r="V34" i="12" s="1"/>
  <c r="U62" i="12" a="1"/>
  <c r="U62" i="12" s="1"/>
  <c r="V62" i="12" s="1"/>
  <c r="D65" i="32" a="1"/>
  <c r="D65" i="32" s="1"/>
  <c r="U30" i="12" a="1"/>
  <c r="U30" i="12" s="1"/>
  <c r="V30" i="12" s="1"/>
  <c r="U41" i="12" a="1"/>
  <c r="U41" i="12" s="1"/>
  <c r="V41" i="12" s="1"/>
  <c r="D44" i="32" a="1"/>
  <c r="D44" i="32" s="1"/>
  <c r="U47" i="12" a="1"/>
  <c r="U47" i="12" s="1"/>
  <c r="V47" i="12" s="1"/>
  <c r="D50" i="32" a="1"/>
  <c r="D50" i="32" s="1"/>
  <c r="U19" i="12" a="1"/>
  <c r="U19" i="12" s="1"/>
  <c r="V19" i="12" s="1"/>
  <c r="D22" i="32" a="1"/>
  <c r="D22" i="32" s="1"/>
  <c r="J51" i="32" a="1"/>
  <c r="J51" i="32" s="1"/>
  <c r="U11" i="12" a="1"/>
  <c r="U11" i="12" s="1"/>
  <c r="V11" i="12" s="1"/>
  <c r="U17" i="12" a="1"/>
  <c r="U17" i="12" s="1"/>
  <c r="V17" i="12" s="1"/>
  <c r="U8" i="12" a="1"/>
  <c r="U8" i="12" s="1"/>
  <c r="V8" i="12" s="1"/>
  <c r="J22" i="32" a="1"/>
  <c r="J22" i="32" s="1"/>
  <c r="J46" i="32" a="1"/>
  <c r="J46" i="32" s="1"/>
  <c r="J28" i="32" a="1"/>
  <c r="J28" i="32" s="1"/>
  <c r="BA39" i="12"/>
  <c r="AV39" i="12"/>
  <c r="AV24" i="12"/>
  <c r="BA24" i="12"/>
  <c r="BD41" i="12"/>
  <c r="AY41" i="12"/>
  <c r="AZ23" i="12"/>
  <c r="BE23" i="12"/>
  <c r="BB21" i="12"/>
  <c r="AW21" i="12"/>
  <c r="AY23" i="12"/>
  <c r="BD23" i="12"/>
  <c r="AZ51" i="12"/>
  <c r="BE51" i="12"/>
  <c r="AX44" i="12"/>
  <c r="BC44" i="12"/>
  <c r="AX67" i="12"/>
  <c r="BC67" i="12"/>
  <c r="AW23" i="12"/>
  <c r="BB23" i="12"/>
  <c r="AX64" i="12"/>
  <c r="BC64" i="12"/>
  <c r="BA66" i="12"/>
  <c r="AV66" i="12"/>
  <c r="BA28" i="12"/>
  <c r="AV28" i="12"/>
  <c r="AW37" i="12"/>
  <c r="BB37" i="12"/>
  <c r="AV77" i="12"/>
  <c r="BA77" i="12"/>
  <c r="BB69" i="12"/>
  <c r="AW69" i="12"/>
  <c r="BD6" i="12"/>
  <c r="AY6" i="12"/>
  <c r="AV12" i="12"/>
  <c r="BA12" i="12"/>
  <c r="BC20" i="12"/>
  <c r="AX20" i="12"/>
  <c r="BC71" i="12"/>
  <c r="AX71" i="12"/>
  <c r="BE15" i="12"/>
  <c r="AZ15" i="12"/>
  <c r="BD18" i="12"/>
  <c r="AY18" i="12"/>
  <c r="BB4" i="12"/>
  <c r="AW4" i="12"/>
  <c r="AV49" i="12"/>
  <c r="BA49" i="12"/>
  <c r="AV29" i="12"/>
  <c r="BA29" i="12"/>
  <c r="BA7" i="12"/>
  <c r="AV7" i="12"/>
  <c r="BC19" i="12"/>
  <c r="AX19" i="12"/>
  <c r="AY43" i="12"/>
  <c r="BD43" i="12"/>
  <c r="BE46" i="12"/>
  <c r="AZ46" i="12"/>
  <c r="BB14" i="12"/>
  <c r="AW14" i="12"/>
  <c r="AY57" i="12"/>
  <c r="BD57" i="12"/>
  <c r="BA33" i="12"/>
  <c r="AV33" i="12"/>
  <c r="BB60" i="12"/>
  <c r="AW60" i="12"/>
  <c r="BA30" i="12"/>
  <c r="AV30" i="12"/>
  <c r="BE56" i="12"/>
  <c r="AZ56" i="12"/>
  <c r="BE67" i="12"/>
  <c r="AZ67" i="12"/>
  <c r="BC48" i="12"/>
  <c r="AX48" i="12"/>
  <c r="AW53" i="12"/>
  <c r="BB53" i="12"/>
  <c r="BA51" i="12"/>
  <c r="AV51" i="12"/>
  <c r="AZ72" i="12"/>
  <c r="BE72" i="12"/>
  <c r="AV10" i="12"/>
  <c r="BA10" i="12"/>
  <c r="AY54" i="12"/>
  <c r="BD54" i="12"/>
  <c r="AV53" i="12"/>
  <c r="BA53" i="12"/>
  <c r="BE63" i="12"/>
  <c r="AZ63" i="12"/>
  <c r="AW64" i="12"/>
  <c r="BB64" i="12"/>
  <c r="AY55" i="12"/>
  <c r="BD55" i="12"/>
  <c r="AV37" i="12"/>
  <c r="BA37" i="12"/>
  <c r="BB77" i="12"/>
  <c r="AW77" i="12"/>
  <c r="AV69" i="12"/>
  <c r="BA69" i="12"/>
  <c r="AX6" i="12"/>
  <c r="BC6" i="12"/>
  <c r="BB20" i="12"/>
  <c r="AW20" i="12"/>
  <c r="AZ26" i="12"/>
  <c r="BE26" i="12"/>
  <c r="BA18" i="12"/>
  <c r="AV18" i="12"/>
  <c r="BC4" i="12"/>
  <c r="AX4" i="12"/>
  <c r="BD49" i="12"/>
  <c r="AY49" i="12"/>
  <c r="AY31" i="12"/>
  <c r="BD31" i="12"/>
  <c r="BB7" i="12"/>
  <c r="AW7" i="12"/>
  <c r="BE74" i="12"/>
  <c r="AZ74" i="12"/>
  <c r="AW19" i="12"/>
  <c r="BB19" i="12"/>
  <c r="BE43" i="12"/>
  <c r="AZ43" i="12"/>
  <c r="AV46" i="12"/>
  <c r="BA46" i="12"/>
  <c r="AX57" i="12"/>
  <c r="BC57" i="12"/>
  <c r="AZ36" i="12"/>
  <c r="BE36" i="12"/>
  <c r="AY62" i="12"/>
  <c r="BD62" i="12"/>
  <c r="BD72" i="12"/>
  <c r="AY72" i="12"/>
  <c r="AV54" i="12"/>
  <c r="BA54" i="12"/>
  <c r="AV63" i="12"/>
  <c r="BA63" i="12"/>
  <c r="AZ66" i="12"/>
  <c r="BE66" i="12"/>
  <c r="BE55" i="12"/>
  <c r="AZ55" i="12"/>
  <c r="BD37" i="12"/>
  <c r="AY37" i="12"/>
  <c r="BC77" i="12"/>
  <c r="AX77" i="12"/>
  <c r="BC69" i="12"/>
  <c r="AX69" i="12"/>
  <c r="AV6" i="12"/>
  <c r="BA6" i="12"/>
  <c r="AY26" i="12"/>
  <c r="BD26" i="12"/>
  <c r="AY71" i="12"/>
  <c r="BD71" i="12"/>
  <c r="BB15" i="12"/>
  <c r="AW15" i="12"/>
  <c r="BC18" i="12"/>
  <c r="AX18" i="12"/>
  <c r="AZ40" i="12"/>
  <c r="BE40" i="12"/>
  <c r="BC49" i="12"/>
  <c r="AX49" i="12"/>
  <c r="BC31" i="12"/>
  <c r="AX31" i="12"/>
  <c r="BD74" i="12"/>
  <c r="AY74" i="12"/>
  <c r="BA43" i="12"/>
  <c r="AV43" i="12"/>
  <c r="AX46" i="12"/>
  <c r="BC46" i="12"/>
  <c r="AZ75" i="12"/>
  <c r="BE75" i="12"/>
  <c r="AX39" i="12"/>
  <c r="BC39" i="12"/>
  <c r="BC61" i="12"/>
  <c r="AX61" i="12"/>
  <c r="BE62" i="12"/>
  <c r="AZ62" i="12"/>
  <c r="BE60" i="12"/>
  <c r="AZ60" i="12"/>
  <c r="AW51" i="12"/>
  <c r="BB51" i="12"/>
  <c r="BD60" i="12"/>
  <c r="AY60" i="12"/>
  <c r="BE44" i="12"/>
  <c r="AZ44" i="12"/>
  <c r="AZ48" i="12"/>
  <c r="BE48" i="12"/>
  <c r="AY36" i="12"/>
  <c r="BD36" i="12"/>
  <c r="BC62" i="12"/>
  <c r="AX62" i="12"/>
  <c r="BA72" i="12"/>
  <c r="AV72" i="12"/>
  <c r="BD10" i="12"/>
  <c r="AY10" i="12"/>
  <c r="AY73" i="12"/>
  <c r="BD73" i="12"/>
  <c r="AW63" i="12"/>
  <c r="BB63" i="12"/>
  <c r="BC68" i="12"/>
  <c r="AX68" i="12"/>
  <c r="BC55" i="12"/>
  <c r="AX55" i="12"/>
  <c r="AY77" i="12"/>
  <c r="BD77" i="12"/>
  <c r="AV13" i="12"/>
  <c r="BA13" i="12"/>
  <c r="AX42" i="12"/>
  <c r="BC42" i="12"/>
  <c r="AZ20" i="12"/>
  <c r="BE20" i="12"/>
  <c r="BA26" i="12"/>
  <c r="AV26" i="12"/>
  <c r="AW71" i="12"/>
  <c r="BB71" i="12"/>
  <c r="AY15" i="12"/>
  <c r="BD15" i="12"/>
  <c r="AW18" i="12"/>
  <c r="BB18" i="12"/>
  <c r="AY40" i="12"/>
  <c r="BD40" i="12"/>
  <c r="AY7" i="12"/>
  <c r="BD7" i="12"/>
  <c r="AV19" i="12"/>
  <c r="BA19" i="12"/>
  <c r="BB43" i="12"/>
  <c r="AW43" i="12"/>
  <c r="BB46" i="12"/>
  <c r="AW46" i="12"/>
  <c r="AW75" i="12"/>
  <c r="BB75" i="12"/>
  <c r="BE25" i="12"/>
  <c r="AZ25" i="12"/>
  <c r="AZ52" i="12"/>
  <c r="BE52" i="12"/>
  <c r="BC12" i="12"/>
  <c r="AX12" i="12"/>
  <c r="BA16" i="12"/>
  <c r="AV16" i="12"/>
  <c r="AV67" i="12"/>
  <c r="BA67" i="12"/>
  <c r="BB10" i="12"/>
  <c r="AW10" i="12"/>
  <c r="BB44" i="12"/>
  <c r="AW44" i="12"/>
  <c r="BC23" i="12"/>
  <c r="AX23" i="12"/>
  <c r="AV60" i="12"/>
  <c r="BA60" i="12"/>
  <c r="AY44" i="12"/>
  <c r="BD44" i="12"/>
  <c r="AZ22" i="12"/>
  <c r="BE22" i="12"/>
  <c r="BA36" i="12"/>
  <c r="AV36" i="12"/>
  <c r="BC63" i="12"/>
  <c r="AX63" i="12"/>
  <c r="AW68" i="12"/>
  <c r="BB68" i="12"/>
  <c r="AW70" i="12"/>
  <c r="BB70" i="12"/>
  <c r="AX37" i="12"/>
  <c r="BC37" i="12"/>
  <c r="AZ77" i="12"/>
  <c r="BE77" i="12"/>
  <c r="BE69" i="12"/>
  <c r="AZ69" i="12"/>
  <c r="BB13" i="12"/>
  <c r="AW13" i="12"/>
  <c r="BB42" i="12"/>
  <c r="AW42" i="12"/>
  <c r="AY20" i="12"/>
  <c r="BD20" i="12"/>
  <c r="AZ71" i="12"/>
  <c r="BE71" i="12"/>
  <c r="BC15" i="12"/>
  <c r="AX15" i="12"/>
  <c r="AY34" i="12"/>
  <c r="BD34" i="12"/>
  <c r="AV40" i="12"/>
  <c r="BA40" i="12"/>
  <c r="AZ31" i="12"/>
  <c r="BE31" i="12"/>
  <c r="AX7" i="12"/>
  <c r="BC7" i="12"/>
  <c r="AZ19" i="12"/>
  <c r="BE19" i="12"/>
  <c r="AX43" i="12"/>
  <c r="BC43" i="12"/>
  <c r="BA9" i="12"/>
  <c r="AV9" i="12"/>
  <c r="AV75" i="12"/>
  <c r="BA75" i="12"/>
  <c r="BC25" i="12"/>
  <c r="AX25" i="12"/>
  <c r="AY53" i="12"/>
  <c r="BD53" i="12"/>
  <c r="AV65" i="12"/>
  <c r="BA65" i="12"/>
  <c r="BD48" i="12"/>
  <c r="AY48" i="12"/>
  <c r="BE54" i="12"/>
  <c r="AZ54" i="12"/>
  <c r="AW48" i="12"/>
  <c r="BB48" i="12"/>
  <c r="AX51" i="12"/>
  <c r="BC51" i="12"/>
  <c r="AZ58" i="12"/>
  <c r="BE58" i="12"/>
  <c r="AV62" i="12"/>
  <c r="BA62" i="12"/>
  <c r="AX72" i="12"/>
  <c r="BC72" i="12"/>
  <c r="AZ10" i="12"/>
  <c r="BE10" i="12"/>
  <c r="AX73" i="12"/>
  <c r="BC73" i="12"/>
  <c r="AX60" i="12"/>
  <c r="BC60" i="12"/>
  <c r="AY39" i="12"/>
  <c r="BD39" i="12"/>
  <c r="BA44" i="12"/>
  <c r="AV44" i="12"/>
  <c r="BD22" i="12"/>
  <c r="AY22" i="12"/>
  <c r="BD58" i="12"/>
  <c r="AY58" i="12"/>
  <c r="BC36" i="12"/>
  <c r="AX36" i="12"/>
  <c r="BB72" i="12"/>
  <c r="AW72" i="12"/>
  <c r="AX50" i="12"/>
  <c r="BC50" i="12"/>
  <c r="AZ38" i="12"/>
  <c r="BE38" i="12"/>
  <c r="AZ73" i="12"/>
  <c r="BE73" i="12"/>
  <c r="AX52" i="12"/>
  <c r="BC52" i="12"/>
  <c r="AX70" i="12"/>
  <c r="BC70" i="12"/>
  <c r="BB55" i="12"/>
  <c r="AW55" i="12"/>
  <c r="BE37" i="12"/>
  <c r="AZ37" i="12"/>
  <c r="AX30" i="12"/>
  <c r="BC30" i="12"/>
  <c r="AW41" i="12"/>
  <c r="BB41" i="12"/>
  <c r="AZ42" i="12"/>
  <c r="BE42" i="12"/>
  <c r="BA20" i="12"/>
  <c r="AV20" i="12"/>
  <c r="AV71" i="12"/>
  <c r="BA71" i="12"/>
  <c r="AV15" i="12"/>
  <c r="BA15" i="12"/>
  <c r="BA34" i="12"/>
  <c r="AV34" i="12"/>
  <c r="AX40" i="12"/>
  <c r="BC40" i="12"/>
  <c r="AW31" i="12"/>
  <c r="BB31" i="12"/>
  <c r="BC27" i="12"/>
  <c r="AX27" i="12"/>
  <c r="BE9" i="12"/>
  <c r="AZ9" i="12"/>
  <c r="AY75" i="12"/>
  <c r="BD75" i="12"/>
  <c r="AV25" i="12"/>
  <c r="BA25" i="12"/>
  <c r="BB52" i="12"/>
  <c r="AW52" i="12"/>
  <c r="BE68" i="12"/>
  <c r="AZ68" i="12"/>
  <c r="AZ70" i="12"/>
  <c r="BE70" i="12"/>
  <c r="BA55" i="12"/>
  <c r="AV55" i="12"/>
  <c r="AW30" i="12"/>
  <c r="BB30" i="12"/>
  <c r="AV41" i="12"/>
  <c r="BA41" i="12"/>
  <c r="AX13" i="12"/>
  <c r="BC13" i="12"/>
  <c r="AW11" i="12"/>
  <c r="BB11" i="12"/>
  <c r="AY42" i="12"/>
  <c r="BD42" i="12"/>
  <c r="AY65" i="12"/>
  <c r="BD65" i="12"/>
  <c r="BA76" i="12"/>
  <c r="AV76" i="12"/>
  <c r="BC47" i="12"/>
  <c r="AX47" i="12"/>
  <c r="BA17" i="12"/>
  <c r="AV17" i="12"/>
  <c r="BC34" i="12"/>
  <c r="AX34" i="12"/>
  <c r="BB40" i="12"/>
  <c r="AW40" i="12"/>
  <c r="AV31" i="12"/>
  <c r="BA31" i="12"/>
  <c r="AW27" i="12"/>
  <c r="BB27" i="12"/>
  <c r="BC9" i="12"/>
  <c r="AX9" i="12"/>
  <c r="AX75" i="12"/>
  <c r="BC75" i="12"/>
  <c r="AY25" i="12"/>
  <c r="BD25" i="12"/>
  <c r="BC8" i="12"/>
  <c r="AX8" i="12"/>
  <c r="AZ61" i="12"/>
  <c r="BE61" i="12"/>
  <c r="BA22" i="12"/>
  <c r="AV22" i="12"/>
  <c r="BA58" i="12"/>
  <c r="AV58" i="12"/>
  <c r="AW36" i="12"/>
  <c r="BB36" i="12"/>
  <c r="AY38" i="12"/>
  <c r="BD38" i="12"/>
  <c r="BB61" i="12"/>
  <c r="AW61" i="12"/>
  <c r="AX22" i="12"/>
  <c r="BC22" i="12"/>
  <c r="AX58" i="12"/>
  <c r="BC58" i="12"/>
  <c r="AW35" i="12"/>
  <c r="BB35" i="12"/>
  <c r="BA73" i="12"/>
  <c r="AV73" i="12"/>
  <c r="AZ24" i="12"/>
  <c r="BE24" i="12"/>
  <c r="BD68" i="12"/>
  <c r="AY68" i="12"/>
  <c r="BD70" i="12"/>
  <c r="AY70" i="12"/>
  <c r="AV59" i="12"/>
  <c r="BA59" i="12"/>
  <c r="AZ13" i="12"/>
  <c r="BE13" i="12"/>
  <c r="BE11" i="12"/>
  <c r="AZ11" i="12"/>
  <c r="BA42" i="12"/>
  <c r="AV42" i="12"/>
  <c r="BC65" i="12"/>
  <c r="AX65" i="12"/>
  <c r="AZ76" i="12"/>
  <c r="BE76" i="12"/>
  <c r="AY47" i="12"/>
  <c r="BD47" i="12"/>
  <c r="AX17" i="12"/>
  <c r="BC17" i="12"/>
  <c r="AZ34" i="12"/>
  <c r="BE34" i="12"/>
  <c r="AX32" i="12"/>
  <c r="BC32" i="12"/>
  <c r="BB5" i="12"/>
  <c r="AW5" i="12"/>
  <c r="BC45" i="12"/>
  <c r="AX45" i="12"/>
  <c r="AW9" i="12"/>
  <c r="BB9" i="12"/>
  <c r="BB25" i="12"/>
  <c r="AW25" i="12"/>
  <c r="AW8" i="12"/>
  <c r="BB8" i="12"/>
  <c r="AY3" i="12"/>
  <c r="BD3" i="12"/>
  <c r="AW50" i="12"/>
  <c r="BB50" i="12"/>
  <c r="BB73" i="12"/>
  <c r="AW73" i="12"/>
  <c r="BE39" i="12"/>
  <c r="AZ39" i="12"/>
  <c r="BB22" i="12"/>
  <c r="AW22" i="12"/>
  <c r="BC3" i="12"/>
  <c r="AX3" i="12"/>
  <c r="AV35" i="12"/>
  <c r="BA35" i="12"/>
  <c r="BE50" i="12"/>
  <c r="AZ50" i="12"/>
  <c r="AV38" i="12"/>
  <c r="BA38" i="12"/>
  <c r="AY24" i="12"/>
  <c r="BD24" i="12"/>
  <c r="BD52" i="12"/>
  <c r="AY52" i="12"/>
  <c r="AV68" i="12"/>
  <c r="BA68" i="12"/>
  <c r="BA70" i="12"/>
  <c r="AV70" i="12"/>
  <c r="BB59" i="12"/>
  <c r="AW59" i="12"/>
  <c r="BE30" i="12"/>
  <c r="AZ30" i="12"/>
  <c r="AZ41" i="12"/>
  <c r="BE41" i="12"/>
  <c r="AY13" i="12"/>
  <c r="BD13" i="12"/>
  <c r="AY56" i="12"/>
  <c r="BD56" i="12"/>
  <c r="BD76" i="12"/>
  <c r="AY76" i="12"/>
  <c r="AZ47" i="12"/>
  <c r="BE47" i="12"/>
  <c r="BE17" i="12"/>
  <c r="AZ17" i="12"/>
  <c r="BB34" i="12"/>
  <c r="AW34" i="12"/>
  <c r="BA32" i="12"/>
  <c r="AV32" i="12"/>
  <c r="BA27" i="12"/>
  <c r="AV27" i="12"/>
  <c r="AX5" i="12"/>
  <c r="BC5" i="12"/>
  <c r="AY45" i="12"/>
  <c r="BD45" i="12"/>
  <c r="BB3" i="12"/>
  <c r="AW3" i="12"/>
  <c r="BC21" i="12"/>
  <c r="AX21" i="12"/>
  <c r="AV61" i="12"/>
  <c r="BA61" i="12"/>
  <c r="BB58" i="12"/>
  <c r="AW58" i="12"/>
  <c r="BE16" i="12"/>
  <c r="AZ16" i="12"/>
  <c r="BA21" i="12"/>
  <c r="AV21" i="12"/>
  <c r="BB39" i="12"/>
  <c r="AW39" i="12"/>
  <c r="BD61" i="12"/>
  <c r="AY61" i="12"/>
  <c r="AV3" i="12"/>
  <c r="BA3" i="12"/>
  <c r="BC35" i="12"/>
  <c r="AX35" i="12"/>
  <c r="AY50" i="12"/>
  <c r="BD50" i="12"/>
  <c r="AW38" i="12"/>
  <c r="BB38" i="12"/>
  <c r="AW24" i="12"/>
  <c r="BB24" i="12"/>
  <c r="BA52" i="12"/>
  <c r="AV52" i="12"/>
  <c r="AW28" i="12"/>
  <c r="BB28" i="12"/>
  <c r="AZ59" i="12"/>
  <c r="BE59" i="12"/>
  <c r="AY30" i="12"/>
  <c r="BD30" i="12"/>
  <c r="AX41" i="12"/>
  <c r="BC41" i="12"/>
  <c r="AY12" i="12"/>
  <c r="BD12" i="12"/>
  <c r="BD11" i="12"/>
  <c r="AY11" i="12"/>
  <c r="AV56" i="12"/>
  <c r="BA56" i="12"/>
  <c r="BE65" i="12"/>
  <c r="AZ65" i="12"/>
  <c r="BC76" i="12"/>
  <c r="AX76" i="12"/>
  <c r="BB47" i="12"/>
  <c r="AW47" i="12"/>
  <c r="AY17" i="12"/>
  <c r="BD17" i="12"/>
  <c r="BB29" i="12"/>
  <c r="AW29" i="12"/>
  <c r="BB32" i="12"/>
  <c r="AW32" i="12"/>
  <c r="BE27" i="12"/>
  <c r="AZ27" i="12"/>
  <c r="BE45" i="12"/>
  <c r="AZ45" i="12"/>
  <c r="BD9" i="12"/>
  <c r="AY9" i="12"/>
  <c r="AZ8" i="12"/>
  <c r="BE8" i="12"/>
  <c r="AY16" i="12"/>
  <c r="BD16" i="12"/>
  <c r="BD67" i="12"/>
  <c r="AY67" i="12"/>
  <c r="AV50" i="12"/>
  <c r="BA50" i="12"/>
  <c r="BB76" i="12"/>
  <c r="AW76" i="12"/>
  <c r="BB17" i="12"/>
  <c r="AW17" i="12"/>
  <c r="BA4" i="12"/>
  <c r="AV4" i="12"/>
  <c r="BD29" i="12"/>
  <c r="AY29" i="12"/>
  <c r="BD27" i="12"/>
  <c r="AY27" i="12"/>
  <c r="AY5" i="12"/>
  <c r="BD5" i="12"/>
  <c r="BB45" i="12"/>
  <c r="AW45" i="12"/>
  <c r="BA14" i="12"/>
  <c r="AV14" i="12"/>
  <c r="BD33" i="12"/>
  <c r="AY33" i="12"/>
  <c r="AY8" i="12"/>
  <c r="BD8" i="12"/>
  <c r="AY35" i="12"/>
  <c r="BD35" i="12"/>
  <c r="AX54" i="12"/>
  <c r="BC54" i="12"/>
  <c r="AX53" i="12"/>
  <c r="BC53" i="12"/>
  <c r="AZ64" i="12"/>
  <c r="BE64" i="12"/>
  <c r="BC66" i="12"/>
  <c r="AX66" i="12"/>
  <c r="AX28" i="12"/>
  <c r="BC28" i="12"/>
  <c r="AX59" i="12"/>
  <c r="BC59" i="12"/>
  <c r="AW6" i="12"/>
  <c r="BB6" i="12"/>
  <c r="BB12" i="12"/>
  <c r="AW12" i="12"/>
  <c r="BA11" i="12"/>
  <c r="AV11" i="12"/>
  <c r="AW65" i="12"/>
  <c r="BB65" i="12"/>
  <c r="BA47" i="12"/>
  <c r="AV47" i="12"/>
  <c r="AZ4" i="12"/>
  <c r="BE4" i="12"/>
  <c r="AZ32" i="12"/>
  <c r="BE32" i="12"/>
  <c r="BA74" i="12"/>
  <c r="AV74" i="12"/>
  <c r="BA5" i="12"/>
  <c r="AV5" i="12"/>
  <c r="BA45" i="12"/>
  <c r="AV45" i="12"/>
  <c r="BD14" i="12"/>
  <c r="AY14" i="12"/>
  <c r="AZ57" i="12"/>
  <c r="BE57" i="12"/>
  <c r="BC33" i="12"/>
  <c r="AX33" i="12"/>
  <c r="BA8" i="12"/>
  <c r="AV8" i="12"/>
  <c r="AY21" i="12"/>
  <c r="BD21" i="12"/>
  <c r="BE3" i="12"/>
  <c r="AZ3" i="12"/>
  <c r="AX38" i="12"/>
  <c r="BC38" i="12"/>
  <c r="BC16" i="12"/>
  <c r="AX16" i="12"/>
  <c r="AX24" i="12"/>
  <c r="BC24" i="12"/>
  <c r="BD64" i="12"/>
  <c r="AY64" i="12"/>
  <c r="BC56" i="12"/>
  <c r="AX56" i="12"/>
  <c r="BC26" i="12"/>
  <c r="AX26" i="12"/>
  <c r="AZ49" i="12"/>
  <c r="BE49" i="12"/>
  <c r="AZ29" i="12"/>
  <c r="BE29" i="12"/>
  <c r="AY32" i="12"/>
  <c r="BD32" i="12"/>
  <c r="BC74" i="12"/>
  <c r="AX74" i="12"/>
  <c r="AZ5" i="12"/>
  <c r="BE5" i="12"/>
  <c r="BE14" i="12"/>
  <c r="AZ14" i="12"/>
  <c r="AV57" i="12"/>
  <c r="BA57" i="12"/>
  <c r="AZ33" i="12"/>
  <c r="BE33" i="12"/>
  <c r="AY59" i="12"/>
  <c r="BD59" i="12"/>
  <c r="AX11" i="12"/>
  <c r="BC11" i="12"/>
  <c r="BE21" i="12"/>
  <c r="AZ21" i="12"/>
  <c r="AZ35" i="12"/>
  <c r="BE35" i="12"/>
  <c r="BB54" i="12"/>
  <c r="AW54" i="12"/>
  <c r="BB66" i="12"/>
  <c r="AW66" i="12"/>
  <c r="BE28" i="12"/>
  <c r="AZ28" i="12"/>
  <c r="BB16" i="12"/>
  <c r="AW16" i="12"/>
  <c r="AY51" i="12"/>
  <c r="BD51" i="12"/>
  <c r="AV48" i="12"/>
  <c r="BA48" i="12"/>
  <c r="AW67" i="12"/>
  <c r="BB67" i="12"/>
  <c r="AV23" i="12"/>
  <c r="BA23" i="12"/>
  <c r="AW62" i="12"/>
  <c r="BB62" i="12"/>
  <c r="AX10" i="12"/>
  <c r="BC10" i="12"/>
  <c r="BE53" i="12"/>
  <c r="AZ53" i="12"/>
  <c r="BD63" i="12"/>
  <c r="AY63" i="12"/>
  <c r="AV64" i="12"/>
  <c r="BA64" i="12"/>
  <c r="AY66" i="12"/>
  <c r="BD66" i="12"/>
  <c r="AY28" i="12"/>
  <c r="BD28" i="12"/>
  <c r="BD69" i="12"/>
  <c r="AY69" i="12"/>
  <c r="AZ6" i="12"/>
  <c r="BE6" i="12"/>
  <c r="AZ12" i="12"/>
  <c r="BE12" i="12"/>
  <c r="AW56" i="12"/>
  <c r="BB56" i="12"/>
  <c r="BB26" i="12"/>
  <c r="AW26" i="12"/>
  <c r="AZ18" i="12"/>
  <c r="BE18" i="12"/>
  <c r="BD4" i="12"/>
  <c r="AY4" i="12"/>
  <c r="BB49" i="12"/>
  <c r="AW49" i="12"/>
  <c r="BC29" i="12"/>
  <c r="AX29" i="12"/>
  <c r="AZ7" i="12"/>
  <c r="BE7" i="12"/>
  <c r="AW74" i="12"/>
  <c r="BB74" i="12"/>
  <c r="AY19" i="12"/>
  <c r="BD19" i="12"/>
  <c r="BD46" i="12"/>
  <c r="AY46" i="12"/>
  <c r="BC14" i="12"/>
  <c r="AX14" i="12"/>
  <c r="AW57" i="12"/>
  <c r="BB57" i="12"/>
  <c r="AW33" i="12"/>
  <c r="BB33" i="12"/>
  <c r="G49" i="14"/>
  <c r="E49" i="14" a="1"/>
  <c r="E49" i="14" s="1"/>
  <c r="C50" i="14" s="1" a="1"/>
  <c r="C50" i="14" s="1"/>
  <c r="BL59" i="12" l="1" a="1"/>
  <c r="BL59" i="12" s="1"/>
  <c r="BU59" i="12" s="1" a="1"/>
  <c r="BU59" i="12" s="1"/>
  <c r="BZ59" i="12" s="1"/>
  <c r="BL31" i="12" a="1"/>
  <c r="BL31" i="12" s="1"/>
  <c r="BS31" i="12" s="1" a="1"/>
  <c r="BS31" i="12" s="1"/>
  <c r="BX31" i="12" s="1"/>
  <c r="BL19" i="12" a="1"/>
  <c r="BL19" i="12" s="1"/>
  <c r="BL48" i="12" a="1"/>
  <c r="BL48" i="12" s="1"/>
  <c r="BM48" i="12" s="1" a="1"/>
  <c r="BM48" i="12" s="1"/>
  <c r="BN48" i="12" s="1" a="1"/>
  <c r="BN48" i="12" s="1"/>
  <c r="BL51" i="12" a="1"/>
  <c r="BL51" i="12" s="1"/>
  <c r="BU51" i="12" s="1" a="1"/>
  <c r="BU51" i="12" s="1"/>
  <c r="BZ51" i="12" s="1"/>
  <c r="BL37" i="12" a="1"/>
  <c r="BL37" i="12" s="1"/>
  <c r="BU37" i="12" s="1" a="1"/>
  <c r="BU37" i="12" s="1"/>
  <c r="BZ37" i="12" s="1"/>
  <c r="BL25" i="12" a="1"/>
  <c r="BL25" i="12" s="1"/>
  <c r="BS25" i="12" s="1" a="1"/>
  <c r="BS25" i="12" s="1"/>
  <c r="BX25" i="12" s="1"/>
  <c r="BL43" i="12" a="1"/>
  <c r="BL43" i="12" s="1"/>
  <c r="BU43" i="12" s="1" a="1"/>
  <c r="BU43" i="12" s="1"/>
  <c r="BZ43" i="12" s="1"/>
  <c r="BL27" i="12" a="1"/>
  <c r="BL27" i="12" s="1"/>
  <c r="BQ27" i="12" s="1" a="1"/>
  <c r="BQ27" i="12" s="1"/>
  <c r="BV27" i="12" s="1"/>
  <c r="BL18" i="12" a="1"/>
  <c r="BL18" i="12" s="1"/>
  <c r="BM18" i="12" s="1" a="1"/>
  <c r="BM18" i="12" s="1"/>
  <c r="BN18" i="12" s="1" a="1"/>
  <c r="BN18" i="12" s="1"/>
  <c r="BL64" i="12" a="1"/>
  <c r="BL64" i="12" s="1"/>
  <c r="BU64" i="12" s="1" a="1"/>
  <c r="BU64" i="12" s="1"/>
  <c r="BZ64" i="12" s="1"/>
  <c r="H6" i="32" a="1"/>
  <c r="H6" i="32" s="1"/>
  <c r="BL49" i="12" a="1"/>
  <c r="BL49" i="12" s="1"/>
  <c r="BR49" i="12" s="1" a="1"/>
  <c r="BR49" i="12" s="1"/>
  <c r="BW49" i="12" s="1"/>
  <c r="BL22" i="12" a="1"/>
  <c r="BL22" i="12" s="1"/>
  <c r="BM22" i="12" s="1" a="1"/>
  <c r="BM22" i="12" s="1"/>
  <c r="BN22" i="12" s="1" a="1"/>
  <c r="BN22" i="12" s="1"/>
  <c r="BL33" i="12" a="1"/>
  <c r="BL33" i="12" s="1"/>
  <c r="BM33" i="12" s="1" a="1"/>
  <c r="BM33" i="12" s="1"/>
  <c r="BN33" i="12" s="1" a="1"/>
  <c r="BN33" i="12" s="1"/>
  <c r="BL52" i="12" a="1"/>
  <c r="BL52" i="12" s="1"/>
  <c r="BT52" i="12" s="1" a="1"/>
  <c r="BT52" i="12" s="1"/>
  <c r="BY52" i="12" s="1"/>
  <c r="BL67" i="12" a="1"/>
  <c r="BL67" i="12" s="1"/>
  <c r="BT67" i="12" s="1" a="1"/>
  <c r="BT67" i="12" s="1"/>
  <c r="BY67" i="12" s="1"/>
  <c r="BL16" i="12" a="1"/>
  <c r="BL16" i="12" s="1"/>
  <c r="BU16" i="12" s="1" a="1"/>
  <c r="BU16" i="12" s="1"/>
  <c r="BZ16" i="12" s="1"/>
  <c r="BL62" i="12" a="1"/>
  <c r="BL62" i="12" s="1"/>
  <c r="BM62" i="12" s="1" a="1"/>
  <c r="BM62" i="12" s="1"/>
  <c r="BN62" i="12" s="1" a="1"/>
  <c r="BN62" i="12" s="1"/>
  <c r="BL9" i="12" a="1"/>
  <c r="BL9" i="12" s="1"/>
  <c r="BM9" i="12" s="1" a="1"/>
  <c r="BM9" i="12" s="1"/>
  <c r="BN9" i="12" s="1" a="1"/>
  <c r="BN9" i="12" s="1"/>
  <c r="BL10" i="12" a="1"/>
  <c r="BL10" i="12" s="1"/>
  <c r="BM10" i="12" s="1" a="1"/>
  <c r="BM10" i="12" s="1"/>
  <c r="BN10" i="12" s="1" a="1"/>
  <c r="BN10" i="12" s="1"/>
  <c r="H8" i="32" a="1"/>
  <c r="H8" i="32" s="1"/>
  <c r="J65" i="32" a="1"/>
  <c r="J65" i="32" s="1"/>
  <c r="J13" i="32" a="1"/>
  <c r="J13" i="32" s="1"/>
  <c r="BL56" i="12" a="1"/>
  <c r="BL56" i="12" s="1"/>
  <c r="BS56" i="12" s="1" a="1"/>
  <c r="BS56" i="12" s="1"/>
  <c r="BX56" i="12" s="1"/>
  <c r="J52" i="32" a="1"/>
  <c r="J52" i="32" s="1"/>
  <c r="BL30" i="12" a="1"/>
  <c r="BL30" i="12" s="1"/>
  <c r="BT30" i="12" s="1" a="1"/>
  <c r="BT30" i="12" s="1"/>
  <c r="BY30" i="12" s="1"/>
  <c r="BL41" i="12" a="1"/>
  <c r="BL41" i="12" s="1"/>
  <c r="BS41" i="12" s="1" a="1"/>
  <c r="BS41" i="12" s="1"/>
  <c r="BX41" i="12" s="1"/>
  <c r="BL53" i="12" a="1"/>
  <c r="BL53" i="12" s="1"/>
  <c r="BR53" i="12" s="1" a="1"/>
  <c r="BR53" i="12" s="1"/>
  <c r="BW53" i="12" s="1"/>
  <c r="J12" i="32" a="1"/>
  <c r="J12" i="32" s="1"/>
  <c r="BL11" i="12" a="1"/>
  <c r="BL11" i="12" s="1"/>
  <c r="BT11" i="12" s="1" a="1"/>
  <c r="BT11" i="12" s="1"/>
  <c r="BY11" i="12" s="1"/>
  <c r="BL6" i="12" a="1"/>
  <c r="BL6" i="12" s="1"/>
  <c r="BS6" i="12" s="1" a="1"/>
  <c r="BS6" i="12" s="1"/>
  <c r="BX6" i="12" s="1"/>
  <c r="BL35" i="12" a="1"/>
  <c r="BL35" i="12" s="1"/>
  <c r="BR35" i="12" s="1" a="1"/>
  <c r="BR35" i="12" s="1"/>
  <c r="BW35" i="12" s="1"/>
  <c r="BL5" i="12" a="1"/>
  <c r="BL5" i="12" s="1"/>
  <c r="BT5" i="12" s="1" a="1"/>
  <c r="BT5" i="12" s="1"/>
  <c r="BY5" i="12" s="1"/>
  <c r="BL17" i="12" a="1"/>
  <c r="BL17" i="12" s="1"/>
  <c r="BU17" i="12" s="1" a="1"/>
  <c r="BU17" i="12" s="1"/>
  <c r="BZ17" i="12" s="1"/>
  <c r="D15" i="32" a="1"/>
  <c r="D15" i="32" s="1"/>
  <c r="D7" i="32" a="1"/>
  <c r="D7" i="32" s="1"/>
  <c r="H13" i="32" a="1"/>
  <c r="H13" i="32" s="1"/>
  <c r="H14" i="32" a="1"/>
  <c r="H14" i="32" s="1"/>
  <c r="E64" i="32" a="1"/>
  <c r="E64" i="32" s="1"/>
  <c r="BL54" i="12" a="1"/>
  <c r="BL54" i="12" s="1"/>
  <c r="BT54" i="12" s="1" a="1"/>
  <c r="BT54" i="12" s="1"/>
  <c r="BY54" i="12" s="1"/>
  <c r="BL45" i="12" a="1"/>
  <c r="BL45" i="12" s="1"/>
  <c r="BM45" i="12" s="1" a="1"/>
  <c r="BM45" i="12" s="1"/>
  <c r="BN45" i="12" s="1" a="1"/>
  <c r="BN45" i="12" s="1"/>
  <c r="BL68" i="12" a="1"/>
  <c r="BL68" i="12" s="1"/>
  <c r="BS68" i="12" s="1" a="1"/>
  <c r="BS68" i="12" s="1"/>
  <c r="BX68" i="12" s="1"/>
  <c r="CH68" i="12" s="1"/>
  <c r="BL29" i="12" a="1"/>
  <c r="BL29" i="12" s="1"/>
  <c r="BQ29" i="12" s="1" a="1"/>
  <c r="BQ29" i="12" s="1"/>
  <c r="BV29" i="12" s="1"/>
  <c r="BL63" i="12" a="1"/>
  <c r="BL63" i="12" s="1"/>
  <c r="BM63" i="12" s="1" a="1"/>
  <c r="BM63" i="12" s="1"/>
  <c r="BN63" i="12" s="1" a="1"/>
  <c r="BN63" i="12" s="1"/>
  <c r="BL14" i="12" a="1"/>
  <c r="BL14" i="12" s="1"/>
  <c r="BU14" i="12" s="1" a="1"/>
  <c r="BU14" i="12" s="1"/>
  <c r="BZ14" i="12" s="1"/>
  <c r="BL39" i="12" a="1"/>
  <c r="BL39" i="12" s="1"/>
  <c r="BQ39" i="12" s="1" a="1"/>
  <c r="BQ39" i="12" s="1"/>
  <c r="BV39" i="12" s="1"/>
  <c r="BL38" i="12" a="1"/>
  <c r="BL38" i="12" s="1"/>
  <c r="BS38" i="12" s="1" a="1"/>
  <c r="BS38" i="12" s="1"/>
  <c r="BX38" i="12" s="1"/>
  <c r="BL13" i="12" a="1"/>
  <c r="BL13" i="12" s="1"/>
  <c r="BT13" i="12" s="1" a="1"/>
  <c r="BT13" i="12" s="1"/>
  <c r="BY13" i="12" s="1"/>
  <c r="BL34" i="12" a="1"/>
  <c r="BL34" i="12" s="1"/>
  <c r="BQ34" i="12" s="1" a="1"/>
  <c r="BQ34" i="12" s="1"/>
  <c r="BV34" i="12" s="1"/>
  <c r="BL47" i="12" a="1"/>
  <c r="BL47" i="12" s="1"/>
  <c r="BQ47" i="12" s="1" a="1"/>
  <c r="BQ47" i="12" s="1"/>
  <c r="BV47" i="12" s="1"/>
  <c r="BL65" i="12" a="1"/>
  <c r="BL65" i="12" s="1"/>
  <c r="BM65" i="12" s="1" a="1"/>
  <c r="BM65" i="12" s="1"/>
  <c r="BN65" i="12" s="1" a="1"/>
  <c r="BN65" i="12" s="1"/>
  <c r="BL32" i="12" a="1"/>
  <c r="BL32" i="12" s="1"/>
  <c r="BT32" i="12" s="1" a="1"/>
  <c r="BT32" i="12" s="1"/>
  <c r="BY32" i="12" s="1"/>
  <c r="J6" i="32" a="1"/>
  <c r="J6" i="32" s="1"/>
  <c r="D14" i="32" a="1"/>
  <c r="D14" i="32" s="1"/>
  <c r="E47" i="32" a="1"/>
  <c r="E47" i="32" s="1"/>
  <c r="E49" i="32" a="1"/>
  <c r="E49" i="32" s="1"/>
  <c r="BL50" i="12" a="1"/>
  <c r="BL50" i="12" s="1"/>
  <c r="BT50" i="12" s="1" a="1"/>
  <c r="BT50" i="12" s="1"/>
  <c r="BY50" i="12" s="1"/>
  <c r="H7" i="32" a="1"/>
  <c r="H7" i="32" s="1"/>
  <c r="BL60" i="12" a="1"/>
  <c r="BL60" i="12" s="1"/>
  <c r="BU60" i="12" s="1" a="1"/>
  <c r="BU60" i="12" s="1"/>
  <c r="BZ60" i="12" s="1"/>
  <c r="D8" i="32" a="1"/>
  <c r="D8" i="32" s="1"/>
  <c r="D9" i="32" a="1"/>
  <c r="D9" i="32" s="1"/>
  <c r="H11" i="32" a="1"/>
  <c r="H11" i="32" s="1"/>
  <c r="D11" i="32" a="1"/>
  <c r="D11" i="32" s="1"/>
  <c r="D13" i="32" a="1"/>
  <c r="D13" i="32" s="1"/>
  <c r="H12" i="32" a="1"/>
  <c r="H12" i="32" s="1"/>
  <c r="H10" i="32" a="1"/>
  <c r="H10" i="32" s="1"/>
  <c r="E66" i="32" a="1"/>
  <c r="E66" i="32" s="1"/>
  <c r="E65" i="32" a="1"/>
  <c r="E65" i="32" s="1"/>
  <c r="D6" i="32" a="1"/>
  <c r="D6" i="32" s="1"/>
  <c r="E61" i="32" a="1"/>
  <c r="E61" i="32" s="1"/>
  <c r="J15" i="32" a="1"/>
  <c r="J15" i="32" s="1"/>
  <c r="BL75" i="12" a="1"/>
  <c r="BL75" i="12" s="1"/>
  <c r="BL76" i="12" a="1"/>
  <c r="BL76" i="12" s="1"/>
  <c r="BL77" i="12" a="1"/>
  <c r="BL77" i="12" s="1"/>
  <c r="BL74" i="12" a="1"/>
  <c r="BL74" i="12" s="1"/>
  <c r="BL72" i="12" a="1"/>
  <c r="BL72" i="12" s="1"/>
  <c r="BL73" i="12" a="1"/>
  <c r="BL73" i="12" s="1"/>
  <c r="BL70" i="12" a="1"/>
  <c r="BL70" i="12" s="1"/>
  <c r="BL71" i="12" a="1"/>
  <c r="BL71" i="12" s="1"/>
  <c r="BL69" i="12" a="1"/>
  <c r="BL69" i="12" s="1"/>
  <c r="BL66" i="12" a="1"/>
  <c r="BL66" i="12" s="1"/>
  <c r="E6" i="32" a="1"/>
  <c r="E6" i="32" s="1"/>
  <c r="BL57" i="12" a="1"/>
  <c r="BL57" i="12" s="1"/>
  <c r="BS57" i="12" s="1" a="1"/>
  <c r="BS57" i="12" s="1"/>
  <c r="BX57" i="12" s="1"/>
  <c r="BL21" i="12" a="1"/>
  <c r="BL21" i="12" s="1"/>
  <c r="BU21" i="12" s="1" a="1"/>
  <c r="BU21" i="12" s="1"/>
  <c r="BZ21" i="12" s="1"/>
  <c r="BL61" i="12" a="1"/>
  <c r="BL61" i="12" s="1"/>
  <c r="BS61" i="12" s="1" a="1"/>
  <c r="BS61" i="12" s="1"/>
  <c r="BX61" i="12" s="1"/>
  <c r="BL42" i="12" a="1"/>
  <c r="BL42" i="12" s="1"/>
  <c r="BM42" i="12" s="1" a="1"/>
  <c r="BM42" i="12" s="1"/>
  <c r="BN42" i="12" s="1" a="1"/>
  <c r="BN42" i="12" s="1"/>
  <c r="J63" i="32" a="1"/>
  <c r="J63" i="32" s="1"/>
  <c r="BL46" i="12" a="1"/>
  <c r="BL46" i="12" s="1"/>
  <c r="BR46" i="12" s="1" a="1"/>
  <c r="BR46" i="12" s="1"/>
  <c r="BW46" i="12" s="1"/>
  <c r="BL7" i="12" a="1"/>
  <c r="BL7" i="12" s="1"/>
  <c r="BT7" i="12" s="1" a="1"/>
  <c r="BT7" i="12" s="1"/>
  <c r="BY7" i="12" s="1"/>
  <c r="J35" i="32" a="1"/>
  <c r="J35" i="32" s="1"/>
  <c r="BL55" i="12" a="1"/>
  <c r="BL55" i="12" s="1"/>
  <c r="BM55" i="12" s="1" a="1"/>
  <c r="BM55" i="12" s="1"/>
  <c r="BN55" i="12" s="1" a="1"/>
  <c r="BN55" i="12" s="1"/>
  <c r="BL23" i="12" a="1"/>
  <c r="BL23" i="12" s="1"/>
  <c r="BT23" i="12" s="1" a="1"/>
  <c r="BT23" i="12" s="1"/>
  <c r="BY23" i="12" s="1"/>
  <c r="BL15" i="12" a="1"/>
  <c r="BL15" i="12" s="1"/>
  <c r="BQ15" i="12" s="1" a="1"/>
  <c r="BQ15" i="12" s="1"/>
  <c r="BV15" i="12" s="1"/>
  <c r="BL12" i="12" a="1"/>
  <c r="BL12" i="12" s="1"/>
  <c r="BU12" i="12" s="1" a="1"/>
  <c r="BU12" i="12" s="1"/>
  <c r="BZ12" i="12" s="1"/>
  <c r="BL40" i="12" a="1"/>
  <c r="BL40" i="12" s="1"/>
  <c r="BU40" i="12" s="1" a="1"/>
  <c r="BU40" i="12" s="1"/>
  <c r="BZ40" i="12" s="1"/>
  <c r="BL24" i="12" a="1"/>
  <c r="BL24" i="12" s="1"/>
  <c r="BM24" i="12" s="1" a="1"/>
  <c r="BM24" i="12" s="1"/>
  <c r="BN24" i="12" s="1" a="1"/>
  <c r="BN24" i="12" s="1"/>
  <c r="BL28" i="12" a="1"/>
  <c r="BL28" i="12" s="1"/>
  <c r="BM28" i="12" s="1" a="1"/>
  <c r="BM28" i="12" s="1"/>
  <c r="BN28" i="12" s="1" a="1"/>
  <c r="BN28" i="12" s="1"/>
  <c r="BL26" i="12" a="1"/>
  <c r="BL26" i="12" s="1"/>
  <c r="BM26" i="12" s="1" a="1"/>
  <c r="BM26" i="12" s="1"/>
  <c r="BN26" i="12" s="1" a="1"/>
  <c r="BN26" i="12" s="1"/>
  <c r="H60" i="32" a="1"/>
  <c r="H60" i="32" s="1"/>
  <c r="BL58" i="12" a="1"/>
  <c r="BL58" i="12" s="1"/>
  <c r="BU58" i="12" s="1" a="1"/>
  <c r="BU58" i="12" s="1"/>
  <c r="BZ58" i="12" s="1"/>
  <c r="H18" i="32" a="1"/>
  <c r="H18" i="32" s="1"/>
  <c r="BL8" i="12" a="1"/>
  <c r="BL8" i="12" s="1"/>
  <c r="BU8" i="12" s="1" a="1"/>
  <c r="BU8" i="12" s="1"/>
  <c r="BZ8" i="12" s="1"/>
  <c r="BL44" i="12" a="1"/>
  <c r="BL44" i="12" s="1"/>
  <c r="BM44" i="12" s="1" a="1"/>
  <c r="BM44" i="12" s="1"/>
  <c r="BN44" i="12" s="1" a="1"/>
  <c r="BN44" i="12" s="1"/>
  <c r="BL20" i="12" a="1"/>
  <c r="BL20" i="12" s="1"/>
  <c r="BU20" i="12" s="1" a="1"/>
  <c r="BU20" i="12" s="1"/>
  <c r="BZ20" i="12" s="1"/>
  <c r="E48" i="32" a="1"/>
  <c r="E48" i="32" s="1"/>
  <c r="D54" i="32" a="1"/>
  <c r="D54" i="32" s="1"/>
  <c r="D31" i="32" a="1"/>
  <c r="D31" i="32" s="1"/>
  <c r="E13" i="32" a="1"/>
  <c r="E13" i="32" s="1"/>
  <c r="D43" i="32" a="1"/>
  <c r="D43" i="32" s="1"/>
  <c r="E45" i="32" a="1"/>
  <c r="E45" i="32" s="1"/>
  <c r="D17" i="32" a="1"/>
  <c r="D17" i="32" s="1"/>
  <c r="D21" i="32" a="1"/>
  <c r="D21" i="32" s="1"/>
  <c r="D18" i="32" a="1"/>
  <c r="D18" i="32" s="1"/>
  <c r="D24" i="32" a="1"/>
  <c r="D24" i="32" s="1"/>
  <c r="E36" i="32" a="1"/>
  <c r="E36" i="32" s="1"/>
  <c r="E30" i="32" a="1"/>
  <c r="E30" i="32" s="1"/>
  <c r="E21" i="32" a="1"/>
  <c r="E21" i="32" s="1"/>
  <c r="E50" i="32" a="1"/>
  <c r="E50" i="32" s="1"/>
  <c r="E24" i="32" a="1"/>
  <c r="E24" i="32" s="1"/>
  <c r="D16" i="32" a="1"/>
  <c r="D16" i="32" s="1"/>
  <c r="D66" i="32" a="1"/>
  <c r="D66" i="32" s="1"/>
  <c r="D35" i="32" a="1"/>
  <c r="D35" i="32" s="1"/>
  <c r="D49" i="32" a="1"/>
  <c r="D49" i="32" s="1"/>
  <c r="E41" i="32" a="1"/>
  <c r="E41" i="32" s="1"/>
  <c r="E44" i="32" a="1"/>
  <c r="E44" i="32" s="1"/>
  <c r="E46" i="32" a="1"/>
  <c r="E46" i="32" s="1"/>
  <c r="D61" i="32" a="1"/>
  <c r="D61" i="32" s="1"/>
  <c r="D38" i="32" a="1"/>
  <c r="D38" i="32" s="1"/>
  <c r="D33" i="32" a="1"/>
  <c r="D33" i="32" s="1"/>
  <c r="D64" i="32" a="1"/>
  <c r="D64" i="32" s="1"/>
  <c r="D62" i="32" a="1"/>
  <c r="D62" i="32" s="1"/>
  <c r="E27" i="32" a="1"/>
  <c r="E27" i="32" s="1"/>
  <c r="E38" i="32" a="1"/>
  <c r="E38" i="32" s="1"/>
  <c r="E53" i="32" a="1"/>
  <c r="E53" i="32" s="1"/>
  <c r="E62" i="32" a="1"/>
  <c r="E62" i="32" s="1"/>
  <c r="E28" i="32" a="1"/>
  <c r="E28" i="32" s="1"/>
  <c r="BL36" i="12" a="1"/>
  <c r="BL36" i="12" s="1"/>
  <c r="BM36" i="12" s="1" a="1"/>
  <c r="BM36" i="12" s="1"/>
  <c r="BN36" i="12" s="1" a="1"/>
  <c r="BN36" i="12" s="1"/>
  <c r="D25" i="32" a="1"/>
  <c r="D25" i="32" s="1"/>
  <c r="D19" i="32" a="1"/>
  <c r="D19" i="32" s="1"/>
  <c r="D12" i="32" a="1"/>
  <c r="D12" i="32" s="1"/>
  <c r="D48" i="32" a="1"/>
  <c r="D48" i="32" s="1"/>
  <c r="D20" i="32" a="1"/>
  <c r="D20" i="32" s="1"/>
  <c r="D63" i="32" a="1"/>
  <c r="D63" i="32" s="1"/>
  <c r="D70" i="32" a="1"/>
  <c r="D70" i="32" s="1"/>
  <c r="D34" i="32" a="1"/>
  <c r="D34" i="32" s="1"/>
  <c r="E19" i="32" a="1"/>
  <c r="E19" i="32" s="1"/>
  <c r="E12" i="32" a="1"/>
  <c r="E12" i="32" s="1"/>
  <c r="E70" i="32" a="1"/>
  <c r="E70" i="32" s="1"/>
  <c r="E34" i="32" a="1"/>
  <c r="E34" i="32" s="1"/>
  <c r="D32" i="32" a="1"/>
  <c r="D32" i="32" s="1"/>
  <c r="D51" i="32" a="1"/>
  <c r="D51" i="32" s="1"/>
  <c r="D47" i="32" a="1"/>
  <c r="D47" i="32" s="1"/>
  <c r="E20" i="32" a="1"/>
  <c r="E20" i="32" s="1"/>
  <c r="D37" i="32" a="1"/>
  <c r="D37" i="32" s="1"/>
  <c r="D41" i="32" a="1"/>
  <c r="D41" i="32" s="1"/>
  <c r="E32" i="32" a="1"/>
  <c r="E32" i="32" s="1"/>
  <c r="E54" i="32" a="1"/>
  <c r="E54" i="32" s="1"/>
  <c r="E51" i="32" a="1"/>
  <c r="E51" i="32" s="1"/>
  <c r="D55" i="32" a="1"/>
  <c r="D55" i="32" s="1"/>
  <c r="E52" i="32" a="1"/>
  <c r="E52" i="32" s="1"/>
  <c r="E43" i="32" a="1"/>
  <c r="E43" i="32" s="1"/>
  <c r="D26" i="32" a="1"/>
  <c r="D26" i="32" s="1"/>
  <c r="D45" i="32" a="1"/>
  <c r="D45" i="32" s="1"/>
  <c r="D10" i="32" a="1"/>
  <c r="D10" i="32" s="1"/>
  <c r="BM19" i="12" a="1"/>
  <c r="BM19" i="12" s="1"/>
  <c r="BN19" i="12" s="1" a="1"/>
  <c r="BN19" i="12" s="1"/>
  <c r="BQ19" i="12" a="1"/>
  <c r="BQ19" i="12" s="1"/>
  <c r="BV19" i="12" s="1"/>
  <c r="BS19" i="12" a="1"/>
  <c r="BS19" i="12" s="1"/>
  <c r="BX19" i="12" s="1"/>
  <c r="BT19" i="12" a="1"/>
  <c r="BT19" i="12" s="1"/>
  <c r="BY19" i="12" s="1"/>
  <c r="BU19" i="12" a="1"/>
  <c r="BU19" i="12" s="1"/>
  <c r="BZ19" i="12" s="1"/>
  <c r="BR19" i="12" a="1"/>
  <c r="BR19" i="12" s="1"/>
  <c r="BW19" i="12" s="1"/>
  <c r="D68" i="32" a="1"/>
  <c r="D68" i="32" s="1"/>
  <c r="D57" i="32" a="1"/>
  <c r="D57" i="32" s="1"/>
  <c r="E68" i="32" a="1"/>
  <c r="E68" i="32" s="1"/>
  <c r="AP5" i="17" a="1"/>
  <c r="AP5" i="17" s="1"/>
  <c r="D72" i="32" a="1"/>
  <c r="D72" i="32" s="1"/>
  <c r="D60" i="32" a="1"/>
  <c r="D60" i="32" s="1"/>
  <c r="E7" i="32" a="1"/>
  <c r="E7" i="32" s="1"/>
  <c r="E72" i="32" a="1"/>
  <c r="E72" i="32" s="1"/>
  <c r="E60" i="32" a="1"/>
  <c r="E60" i="32" s="1"/>
  <c r="BM3" i="12" a="1"/>
  <c r="BM3" i="12" s="1"/>
  <c r="BN3" i="12" s="1" a="1"/>
  <c r="BN3" i="12" s="1"/>
  <c r="BT3" i="12" a="1"/>
  <c r="BT3" i="12" s="1"/>
  <c r="BY3" i="12" s="1"/>
  <c r="BU3" i="12" a="1"/>
  <c r="BU3" i="12" s="1"/>
  <c r="BZ3" i="12" s="1"/>
  <c r="BQ3" i="12" a="1"/>
  <c r="BQ3" i="12" s="1"/>
  <c r="BV3" i="12" s="1"/>
  <c r="BR3" i="12" a="1"/>
  <c r="BR3" i="12" s="1"/>
  <c r="BW3" i="12" s="1"/>
  <c r="BS3" i="12" a="1"/>
  <c r="BS3" i="12" s="1"/>
  <c r="BX3" i="12" s="1"/>
  <c r="E71" i="32" a="1"/>
  <c r="E71" i="32" s="1"/>
  <c r="BM31" i="12" a="1"/>
  <c r="BM31" i="12" s="1"/>
  <c r="BN31" i="12" s="1" a="1"/>
  <c r="BN31" i="12" s="1"/>
  <c r="BU31" i="12" a="1"/>
  <c r="BU31" i="12" s="1"/>
  <c r="BZ31" i="12" s="1"/>
  <c r="BT31" i="12" a="1"/>
  <c r="BT31" i="12" s="1"/>
  <c r="BY31" i="12" s="1"/>
  <c r="BR31" i="12" a="1"/>
  <c r="BR31" i="12" s="1"/>
  <c r="BW31" i="12" s="1"/>
  <c r="BQ31" i="12" a="1"/>
  <c r="BQ31" i="12" s="1"/>
  <c r="BV31" i="12" s="1"/>
  <c r="D69" i="32" a="1"/>
  <c r="D69" i="32" s="1"/>
  <c r="D58" i="32" a="1"/>
  <c r="D58" i="32" s="1"/>
  <c r="BL4" i="12" a="1"/>
  <c r="BL4" i="12" s="1"/>
  <c r="J7" i="32" a="1"/>
  <c r="J7" i="32" s="1"/>
  <c r="D71" i="32" a="1"/>
  <c r="D71" i="32" s="1"/>
  <c r="D59" i="32" a="1"/>
  <c r="D59" i="32" s="1"/>
  <c r="E69" i="32" a="1"/>
  <c r="E69" i="32" s="1"/>
  <c r="E58" i="32" a="1"/>
  <c r="E58" i="32" s="1"/>
  <c r="BF50" i="12"/>
  <c r="BG50" i="12" s="1"/>
  <c r="BF42" i="12"/>
  <c r="BG42" i="12" s="1"/>
  <c r="BF30" i="12"/>
  <c r="BG30" i="12" s="1"/>
  <c r="BF35" i="12"/>
  <c r="BG35" i="12" s="1"/>
  <c r="BF3" i="12"/>
  <c r="BG3" i="12" s="1"/>
  <c r="BF61" i="12"/>
  <c r="BG61" i="12" s="1"/>
  <c r="BF23" i="12"/>
  <c r="BG23" i="12" s="1"/>
  <c r="BF47" i="12"/>
  <c r="BG47" i="12" s="1"/>
  <c r="BF15" i="12"/>
  <c r="BG15" i="12" s="1"/>
  <c r="BF70" i="12"/>
  <c r="BG70" i="12" s="1"/>
  <c r="BI70" i="12" s="1" a="1"/>
  <c r="BI70" i="12" s="1"/>
  <c r="BJ70" i="12" s="1"/>
  <c r="BK70" i="12" s="1" a="1"/>
  <c r="BK70" i="12" s="1"/>
  <c r="BF68" i="12"/>
  <c r="BG68" i="12" s="1"/>
  <c r="BI68" i="12" s="1" a="1"/>
  <c r="BI68" i="12" s="1"/>
  <c r="BJ68" i="12" s="1"/>
  <c r="BK68" i="12" s="1" a="1"/>
  <c r="BK68" i="12" s="1"/>
  <c r="BF31" i="12"/>
  <c r="BG31" i="12" s="1"/>
  <c r="BF40" i="12"/>
  <c r="BG40" i="12" s="1"/>
  <c r="BF54" i="12"/>
  <c r="BG54" i="12" s="1"/>
  <c r="BF51" i="12"/>
  <c r="BG51" i="12" s="1"/>
  <c r="BF28" i="12"/>
  <c r="BG28" i="12" s="1"/>
  <c r="BF57" i="12"/>
  <c r="BG57" i="12" s="1"/>
  <c r="BF73" i="12"/>
  <c r="BG73" i="12" s="1"/>
  <c r="BI73" i="12" s="1" a="1"/>
  <c r="BI73" i="12" s="1"/>
  <c r="BJ73" i="12" s="1"/>
  <c r="BK73" i="12" s="1" a="1"/>
  <c r="BK73" i="12" s="1"/>
  <c r="BF7" i="12"/>
  <c r="BG7" i="12" s="1"/>
  <c r="BF75" i="12"/>
  <c r="BG75" i="12" s="1"/>
  <c r="BI75" i="12" s="1" a="1"/>
  <c r="BI75" i="12" s="1"/>
  <c r="BJ75" i="12" s="1"/>
  <c r="BK75" i="12" s="1" a="1"/>
  <c r="BK75" i="12" s="1"/>
  <c r="BF43" i="12"/>
  <c r="BG43" i="12" s="1"/>
  <c r="BF29" i="12"/>
  <c r="BG29" i="12" s="1"/>
  <c r="BF66" i="12"/>
  <c r="BG66" i="12" s="1"/>
  <c r="BI66" i="12" s="1" a="1"/>
  <c r="BI66" i="12" s="1"/>
  <c r="BJ66" i="12" s="1"/>
  <c r="BK66" i="12" s="1" a="1"/>
  <c r="BK66" i="12" s="1"/>
  <c r="BF21" i="12"/>
  <c r="BG21" i="12" s="1"/>
  <c r="BF27" i="12"/>
  <c r="BG27" i="12" s="1"/>
  <c r="BF36" i="12"/>
  <c r="BG36" i="12" s="1"/>
  <c r="BF67" i="12"/>
  <c r="BG67" i="12" s="1"/>
  <c r="BI67" i="12" s="1" a="1"/>
  <c r="BI67" i="12" s="1"/>
  <c r="BJ67" i="12" s="1"/>
  <c r="BK67" i="12" s="1" a="1"/>
  <c r="BK67" i="12" s="1"/>
  <c r="BF13" i="12"/>
  <c r="BG13" i="12" s="1"/>
  <c r="BF33" i="12"/>
  <c r="BG33" i="12" s="1"/>
  <c r="BF12" i="12"/>
  <c r="BG12" i="12" s="1"/>
  <c r="BF25" i="12"/>
  <c r="BG25" i="12" s="1"/>
  <c r="BF34" i="12"/>
  <c r="BG34" i="12" s="1"/>
  <c r="BF44" i="12"/>
  <c r="BG44" i="12" s="1"/>
  <c r="BF46" i="12"/>
  <c r="BG46" i="12" s="1"/>
  <c r="BF53" i="12"/>
  <c r="BG53" i="12" s="1"/>
  <c r="BF49" i="12"/>
  <c r="BG49" i="12" s="1"/>
  <c r="BF45" i="12"/>
  <c r="BG45" i="12" s="1"/>
  <c r="BF56" i="12"/>
  <c r="BG56" i="12" s="1"/>
  <c r="BF32" i="12"/>
  <c r="BG32" i="12" s="1"/>
  <c r="BF59" i="12"/>
  <c r="BG59" i="12" s="1"/>
  <c r="BF62" i="12"/>
  <c r="BG62" i="12" s="1"/>
  <c r="BF9" i="12"/>
  <c r="BG9" i="12" s="1"/>
  <c r="BF69" i="12"/>
  <c r="BG69" i="12" s="1"/>
  <c r="BI69" i="12" s="1" a="1"/>
  <c r="BI69" i="12" s="1"/>
  <c r="BJ69" i="12" s="1"/>
  <c r="BK69" i="12" s="1" a="1"/>
  <c r="BK69" i="12" s="1"/>
  <c r="BF17" i="12"/>
  <c r="BG17" i="12" s="1"/>
  <c r="BF71" i="12"/>
  <c r="BG71" i="12" s="1"/>
  <c r="BI71" i="12" s="1" a="1"/>
  <c r="BI71" i="12" s="1"/>
  <c r="BJ71" i="12" s="1"/>
  <c r="BK71" i="12" s="1" a="1"/>
  <c r="BK71" i="12" s="1"/>
  <c r="BF72" i="12"/>
  <c r="BG72" i="12" s="1"/>
  <c r="BI72" i="12" s="1" a="1"/>
  <c r="BI72" i="12" s="1"/>
  <c r="BJ72" i="12" s="1"/>
  <c r="BK72" i="12" s="1" a="1"/>
  <c r="BK72" i="12" s="1"/>
  <c r="BF18" i="12"/>
  <c r="BG18" i="12" s="1"/>
  <c r="BF4" i="12"/>
  <c r="BG4" i="12" s="1"/>
  <c r="BF5" i="12"/>
  <c r="BG5" i="12" s="1"/>
  <c r="BF38" i="12"/>
  <c r="BG38" i="12" s="1"/>
  <c r="BF58" i="12"/>
  <c r="BG58" i="12" s="1"/>
  <c r="BF65" i="12"/>
  <c r="BG65" i="12" s="1"/>
  <c r="BI65" i="12" s="1" a="1"/>
  <c r="BI65" i="12" s="1"/>
  <c r="BJ65" i="12" s="1"/>
  <c r="BK65" i="12" s="1" a="1"/>
  <c r="BK65" i="12" s="1"/>
  <c r="BF60" i="12"/>
  <c r="BG60" i="12" s="1"/>
  <c r="BF16" i="12"/>
  <c r="BG16" i="12" s="1"/>
  <c r="BF19" i="12"/>
  <c r="BG19" i="12" s="1"/>
  <c r="BF10" i="12"/>
  <c r="BG10" i="12" s="1"/>
  <c r="BF24" i="12"/>
  <c r="BG24" i="12" s="1"/>
  <c r="BF52" i="12"/>
  <c r="BG52" i="12" s="1"/>
  <c r="BF37" i="12"/>
  <c r="BG37" i="12" s="1"/>
  <c r="BF77" i="12"/>
  <c r="BG77" i="12" s="1"/>
  <c r="BI77" i="12" s="1" a="1"/>
  <c r="BI77" i="12" s="1"/>
  <c r="BJ77" i="12" s="1"/>
  <c r="BK77" i="12" s="1" a="1"/>
  <c r="BK77" i="12" s="1"/>
  <c r="BF64" i="12"/>
  <c r="BG64" i="12" s="1"/>
  <c r="BI64" i="12" s="1" a="1"/>
  <c r="BI64" i="12" s="1"/>
  <c r="BJ64" i="12" s="1"/>
  <c r="BK64" i="12" s="1" a="1"/>
  <c r="BK64" i="12" s="1"/>
  <c r="BF11" i="12"/>
  <c r="BG11" i="12" s="1"/>
  <c r="BF22" i="12"/>
  <c r="BG22" i="12" s="1"/>
  <c r="BF20" i="12"/>
  <c r="BG20" i="12" s="1"/>
  <c r="BF26" i="12"/>
  <c r="BG26" i="12" s="1"/>
  <c r="BF63" i="12"/>
  <c r="BG63" i="12" s="1"/>
  <c r="BF41" i="12"/>
  <c r="BG41" i="12" s="1"/>
  <c r="BF74" i="12"/>
  <c r="BG74" i="12" s="1"/>
  <c r="BI74" i="12" s="1" a="1"/>
  <c r="BI74" i="12" s="1"/>
  <c r="BJ74" i="12" s="1"/>
  <c r="BK74" i="12" s="1" a="1"/>
  <c r="BK74" i="12" s="1"/>
  <c r="BF48" i="12"/>
  <c r="BG48" i="12" s="1"/>
  <c r="BF8" i="12"/>
  <c r="BG8" i="12" s="1"/>
  <c r="BF14" i="12"/>
  <c r="BG14" i="12" s="1"/>
  <c r="BF76" i="12"/>
  <c r="BG76" i="12" s="1"/>
  <c r="BI76" i="12" s="1" a="1"/>
  <c r="BI76" i="12" s="1"/>
  <c r="BJ76" i="12" s="1"/>
  <c r="BK76" i="12" s="1" a="1"/>
  <c r="BK76" i="12" s="1"/>
  <c r="BF55" i="12"/>
  <c r="BG55" i="12" s="1"/>
  <c r="BF6" i="12"/>
  <c r="BG6" i="12" s="1"/>
  <c r="BF39" i="12"/>
  <c r="BG39" i="12" s="1"/>
  <c r="F50" i="14"/>
  <c r="D50" i="14"/>
  <c r="I49" i="14" a="1"/>
  <c r="I49" i="14" s="1"/>
  <c r="B49" i="14" s="1" a="1"/>
  <c r="B49" i="14" s="1"/>
  <c r="H49" i="14" a="1"/>
  <c r="H49" i="14" s="1"/>
  <c r="A49" i="14" s="1" a="1"/>
  <c r="A49" i="14" s="1"/>
  <c r="G50" i="14" a="1"/>
  <c r="M5" i="17" a="1"/>
  <c r="BT16" i="12" l="1" a="1"/>
  <c r="BT16" i="12" s="1"/>
  <c r="BY16" i="12" s="1"/>
  <c r="BT48" i="12" a="1"/>
  <c r="BT48" i="12" s="1"/>
  <c r="BY48" i="12" s="1"/>
  <c r="BQ48" i="12" a="1"/>
  <c r="BQ48" i="12" s="1"/>
  <c r="BV48" i="12" s="1"/>
  <c r="CF48" i="12" s="1"/>
  <c r="BQ37" i="12" a="1"/>
  <c r="BQ37" i="12" s="1"/>
  <c r="BV37" i="12" s="1"/>
  <c r="BT37" i="12" a="1"/>
  <c r="BT37" i="12" s="1"/>
  <c r="BY37" i="12" s="1"/>
  <c r="BR37" i="12" a="1"/>
  <c r="BR37" i="12" s="1"/>
  <c r="BW37" i="12" s="1"/>
  <c r="CB37" i="12" s="1"/>
  <c r="BS37" i="12" a="1"/>
  <c r="BS37" i="12" s="1"/>
  <c r="BX37" i="12" s="1"/>
  <c r="BM37" i="12" a="1"/>
  <c r="BM37" i="12" s="1"/>
  <c r="BN37" i="12" s="1" a="1"/>
  <c r="BN37" i="12" s="1"/>
  <c r="BO37" i="12" s="1" a="1"/>
  <c r="BO37" i="12" s="1"/>
  <c r="BP37" i="12" s="1"/>
  <c r="BR59" i="12" a="1"/>
  <c r="BR59" i="12" s="1"/>
  <c r="BW59" i="12" s="1"/>
  <c r="CG59" i="12" s="1"/>
  <c r="BT59" i="12" a="1"/>
  <c r="BT59" i="12" s="1"/>
  <c r="BY59" i="12" s="1"/>
  <c r="CI59" i="12" s="1"/>
  <c r="BM59" i="12" a="1"/>
  <c r="BM59" i="12" s="1"/>
  <c r="BN59" i="12" s="1" a="1"/>
  <c r="BN59" i="12" s="1"/>
  <c r="BO59" i="12" s="1" a="1"/>
  <c r="BO59" i="12" s="1"/>
  <c r="BP59" i="12" s="1"/>
  <c r="BQ59" i="12" a="1"/>
  <c r="BQ59" i="12" s="1"/>
  <c r="BV59" i="12" s="1"/>
  <c r="CA59" i="12" s="1"/>
  <c r="BS59" i="12" a="1"/>
  <c r="BS59" i="12" s="1"/>
  <c r="BX59" i="12" s="1"/>
  <c r="CH59" i="12" s="1"/>
  <c r="BU48" i="12" a="1"/>
  <c r="BU48" i="12" s="1"/>
  <c r="BZ48" i="12" s="1"/>
  <c r="CE48" i="12" s="1"/>
  <c r="BR48" i="12" a="1"/>
  <c r="BR48" i="12" s="1"/>
  <c r="BW48" i="12" s="1"/>
  <c r="CB48" i="12" s="1"/>
  <c r="BS48" i="12" a="1"/>
  <c r="BS48" i="12" s="1"/>
  <c r="BX48" i="12" s="1"/>
  <c r="CH48" i="12" s="1"/>
  <c r="BT18" i="12" a="1"/>
  <c r="BT18" i="12" s="1"/>
  <c r="BY18" i="12" s="1"/>
  <c r="CD18" i="12" s="1"/>
  <c r="BM25" i="12" a="1"/>
  <c r="BM25" i="12" s="1"/>
  <c r="BN25" i="12" s="1" a="1"/>
  <c r="BN25" i="12" s="1"/>
  <c r="BS51" i="12" a="1"/>
  <c r="BS51" i="12" s="1"/>
  <c r="BX51" i="12" s="1"/>
  <c r="BQ51" i="12" a="1"/>
  <c r="BQ51" i="12" s="1"/>
  <c r="BV51" i="12" s="1"/>
  <c r="CF51" i="12" s="1"/>
  <c r="BM51" i="12" a="1"/>
  <c r="BM51" i="12" s="1"/>
  <c r="BN51" i="12" s="1" a="1"/>
  <c r="BN51" i="12" s="1"/>
  <c r="BO51" i="12" s="1" a="1"/>
  <c r="BO51" i="12" s="1"/>
  <c r="BP51" i="12" s="1"/>
  <c r="BR51" i="12" a="1"/>
  <c r="BR51" i="12" s="1"/>
  <c r="BW51" i="12" s="1"/>
  <c r="CG51" i="12" s="1"/>
  <c r="BT43" i="12" a="1"/>
  <c r="BT43" i="12" s="1"/>
  <c r="BY43" i="12" s="1"/>
  <c r="CI43" i="12" s="1"/>
  <c r="BR25" i="12" a="1"/>
  <c r="BR25" i="12" s="1"/>
  <c r="BW25" i="12" s="1"/>
  <c r="CB25" i="12" s="1"/>
  <c r="BQ25" i="12" a="1"/>
  <c r="BQ25" i="12" s="1"/>
  <c r="BV25" i="12" s="1"/>
  <c r="CF25" i="12" s="1"/>
  <c r="BU25" i="12" a="1"/>
  <c r="BU25" i="12" s="1"/>
  <c r="BZ25" i="12" s="1"/>
  <c r="CJ25" i="12" s="1"/>
  <c r="BT51" i="12" a="1"/>
  <c r="BT51" i="12" s="1"/>
  <c r="BY51" i="12" s="1"/>
  <c r="CD51" i="12" s="1"/>
  <c r="BT25" i="12" a="1"/>
  <c r="BT25" i="12" s="1"/>
  <c r="BY25" i="12" s="1"/>
  <c r="CD25" i="12" s="1"/>
  <c r="BQ64" i="12" a="1"/>
  <c r="BQ64" i="12" s="1"/>
  <c r="BV64" i="12" s="1"/>
  <c r="CA64" i="12" s="1"/>
  <c r="BS27" i="12" a="1"/>
  <c r="BS27" i="12" s="1"/>
  <c r="BX27" i="12" s="1"/>
  <c r="CH27" i="12" s="1"/>
  <c r="BU9" i="12" a="1"/>
  <c r="BU9" i="12" s="1"/>
  <c r="BZ9" i="12" s="1"/>
  <c r="CJ9" i="12" s="1"/>
  <c r="BS43" i="12" a="1"/>
  <c r="BS43" i="12" s="1"/>
  <c r="BX43" i="12" s="1"/>
  <c r="CC43" i="12" s="1"/>
  <c r="BM43" i="12" a="1"/>
  <c r="BM43" i="12" s="1"/>
  <c r="BN43" i="12" s="1" a="1"/>
  <c r="BN43" i="12" s="1"/>
  <c r="BO43" i="12" s="1" a="1"/>
  <c r="BO43" i="12" s="1"/>
  <c r="BP43" i="12" s="1"/>
  <c r="BQ43" i="12" a="1"/>
  <c r="BQ43" i="12" s="1"/>
  <c r="BV43" i="12" s="1"/>
  <c r="CF43" i="12" s="1"/>
  <c r="BR43" i="12" a="1"/>
  <c r="BR43" i="12" s="1"/>
  <c r="BW43" i="12" s="1"/>
  <c r="CB43" i="12" s="1"/>
  <c r="BT64" i="12" a="1"/>
  <c r="BT64" i="12" s="1"/>
  <c r="BY64" i="12" s="1"/>
  <c r="CD64" i="12" s="1"/>
  <c r="BR64" i="12" a="1"/>
  <c r="BR64" i="12" s="1"/>
  <c r="BW64" i="12" s="1"/>
  <c r="CB64" i="12" s="1"/>
  <c r="BS49" i="12" a="1"/>
  <c r="BS49" i="12" s="1"/>
  <c r="BX49" i="12" s="1"/>
  <c r="CH49" i="12" s="1"/>
  <c r="BM64" i="12" a="1"/>
  <c r="BM64" i="12" s="1"/>
  <c r="BN64" i="12" s="1" a="1"/>
  <c r="BN64" i="12" s="1"/>
  <c r="BO64" i="12" s="1" a="1"/>
  <c r="BO64" i="12" s="1"/>
  <c r="BP64" i="12" s="1"/>
  <c r="BT49" i="12" a="1"/>
  <c r="BT49" i="12" s="1"/>
  <c r="BY49" i="12" s="1"/>
  <c r="CI49" i="12" s="1"/>
  <c r="BQ10" i="12" a="1"/>
  <c r="BQ10" i="12" s="1"/>
  <c r="BV10" i="12" s="1"/>
  <c r="CA10" i="12" s="1"/>
  <c r="BU10" i="12" a="1"/>
  <c r="BU10" i="12" s="1"/>
  <c r="BZ10" i="12" s="1"/>
  <c r="CE10" i="12" s="1"/>
  <c r="BU18" i="12" a="1"/>
  <c r="BU18" i="12" s="1"/>
  <c r="BZ18" i="12" s="1"/>
  <c r="CJ18" i="12" s="1"/>
  <c r="BS10" i="12" a="1"/>
  <c r="BS10" i="12" s="1"/>
  <c r="BX10" i="12" s="1"/>
  <c r="CC10" i="12" s="1"/>
  <c r="BT10" i="12" a="1"/>
  <c r="BT10" i="12" s="1"/>
  <c r="BY10" i="12" s="1"/>
  <c r="CD10" i="12" s="1"/>
  <c r="BR10" i="12" a="1"/>
  <c r="BR10" i="12" s="1"/>
  <c r="BW10" i="12" s="1"/>
  <c r="CB10" i="12" s="1"/>
  <c r="BU22" i="12" a="1"/>
  <c r="BU22" i="12" s="1"/>
  <c r="BZ22" i="12" s="1"/>
  <c r="CE22" i="12" s="1"/>
  <c r="BT22" i="12" a="1"/>
  <c r="BT22" i="12" s="1"/>
  <c r="BY22" i="12" s="1"/>
  <c r="CD22" i="12" s="1"/>
  <c r="BQ18" i="12" a="1"/>
  <c r="BQ18" i="12" s="1"/>
  <c r="BV18" i="12" s="1"/>
  <c r="CF18" i="12" s="1"/>
  <c r="BR22" i="12" a="1"/>
  <c r="BR22" i="12" s="1"/>
  <c r="BW22" i="12" s="1"/>
  <c r="CB22" i="12" s="1"/>
  <c r="BQ22" i="12" a="1"/>
  <c r="BQ22" i="12" s="1"/>
  <c r="BV22" i="12" s="1"/>
  <c r="CF22" i="12" s="1"/>
  <c r="BM49" i="12" a="1"/>
  <c r="BM49" i="12" s="1"/>
  <c r="BN49" i="12" s="1" a="1"/>
  <c r="BN49" i="12" s="1"/>
  <c r="BO49" i="12" s="1" a="1"/>
  <c r="BO49" i="12" s="1"/>
  <c r="BP49" i="12" s="1"/>
  <c r="BR18" i="12" a="1"/>
  <c r="BR18" i="12" s="1"/>
  <c r="BW18" i="12" s="1"/>
  <c r="CG18" i="12" s="1"/>
  <c r="BS22" i="12" a="1"/>
  <c r="BS22" i="12" s="1"/>
  <c r="BX22" i="12" s="1"/>
  <c r="CH22" i="12" s="1"/>
  <c r="BS18" i="12" a="1"/>
  <c r="BS18" i="12" s="1"/>
  <c r="BX18" i="12" s="1"/>
  <c r="CC18" i="12" s="1"/>
  <c r="BU49" i="12" a="1"/>
  <c r="BU49" i="12" s="1"/>
  <c r="BZ49" i="12" s="1"/>
  <c r="CJ49" i="12" s="1"/>
  <c r="BS64" i="12" a="1"/>
  <c r="BS64" i="12" s="1"/>
  <c r="BX64" i="12" s="1"/>
  <c r="CH64" i="12" s="1"/>
  <c r="BQ49" i="12" a="1"/>
  <c r="BQ49" i="12" s="1"/>
  <c r="BV49" i="12" s="1"/>
  <c r="CF49" i="12" s="1"/>
  <c r="BT33" i="12" a="1"/>
  <c r="BT33" i="12" s="1"/>
  <c r="BY33" i="12" s="1"/>
  <c r="CI33" i="12" s="1"/>
  <c r="BS33" i="12" a="1"/>
  <c r="BS33" i="12" s="1"/>
  <c r="BX33" i="12" s="1"/>
  <c r="CC33" i="12" s="1"/>
  <c r="BQ33" i="12" a="1"/>
  <c r="BQ33" i="12" s="1"/>
  <c r="BV33" i="12" s="1"/>
  <c r="CA33" i="12" s="1"/>
  <c r="BU33" i="12" a="1"/>
  <c r="BU33" i="12" s="1"/>
  <c r="BZ33" i="12" s="1"/>
  <c r="CE33" i="12" s="1"/>
  <c r="BU27" i="12" a="1"/>
  <c r="BU27" i="12" s="1"/>
  <c r="BZ27" i="12" s="1"/>
  <c r="CE27" i="12" s="1"/>
  <c r="BR33" i="12" a="1"/>
  <c r="BR33" i="12" s="1"/>
  <c r="BW33" i="12" s="1"/>
  <c r="CG33" i="12" s="1"/>
  <c r="BM27" i="12" a="1"/>
  <c r="BM27" i="12" s="1"/>
  <c r="BN27" i="12" s="1" a="1"/>
  <c r="BN27" i="12" s="1"/>
  <c r="BO27" i="12" s="1" a="1"/>
  <c r="BO27" i="12" s="1"/>
  <c r="BP27" i="12" s="1"/>
  <c r="BR27" i="12" a="1"/>
  <c r="BR27" i="12" s="1"/>
  <c r="BW27" i="12" s="1"/>
  <c r="CG27" i="12" s="1"/>
  <c r="BT27" i="12" a="1"/>
  <c r="BT27" i="12" s="1"/>
  <c r="BY27" i="12" s="1"/>
  <c r="CI27" i="12" s="1"/>
  <c r="BM67" i="12" a="1"/>
  <c r="BM67" i="12" s="1"/>
  <c r="BN67" i="12" s="1" a="1"/>
  <c r="BN67" i="12" s="1"/>
  <c r="BO67" i="12" s="1" a="1"/>
  <c r="BO67" i="12" s="1"/>
  <c r="BP67" i="12" s="1"/>
  <c r="BS67" i="12" a="1"/>
  <c r="BS67" i="12" s="1"/>
  <c r="BX67" i="12" s="1"/>
  <c r="CC67" i="12" s="1"/>
  <c r="BS52" i="12" a="1"/>
  <c r="BS52" i="12" s="1"/>
  <c r="BX52" i="12" s="1"/>
  <c r="CH52" i="12" s="1"/>
  <c r="BR52" i="12" a="1"/>
  <c r="BR52" i="12" s="1"/>
  <c r="BW52" i="12" s="1"/>
  <c r="CB52" i="12" s="1"/>
  <c r="BQ52" i="12" a="1"/>
  <c r="BQ52" i="12" s="1"/>
  <c r="BV52" i="12" s="1"/>
  <c r="CA52" i="12" s="1"/>
  <c r="BU52" i="12" a="1"/>
  <c r="BU52" i="12" s="1"/>
  <c r="BZ52" i="12" s="1"/>
  <c r="CE52" i="12" s="1"/>
  <c r="BM52" i="12" a="1"/>
  <c r="BM52" i="12" s="1"/>
  <c r="BN52" i="12" s="1" a="1"/>
  <c r="BN52" i="12" s="1"/>
  <c r="BO52" i="12" s="1" a="1"/>
  <c r="BO52" i="12" s="1"/>
  <c r="BP52" i="12" s="1"/>
  <c r="BU67" i="12" a="1"/>
  <c r="BU67" i="12" s="1"/>
  <c r="BZ67" i="12" s="1"/>
  <c r="CE67" i="12" s="1"/>
  <c r="BQ16" i="12" a="1"/>
  <c r="BQ16" i="12" s="1"/>
  <c r="BV16" i="12" s="1"/>
  <c r="CA16" i="12" s="1"/>
  <c r="BR16" i="12" a="1"/>
  <c r="BR16" i="12" s="1"/>
  <c r="BW16" i="12" s="1"/>
  <c r="CB16" i="12" s="1"/>
  <c r="BS16" i="12" a="1"/>
  <c r="BS16" i="12" s="1"/>
  <c r="BX16" i="12" s="1"/>
  <c r="CH16" i="12" s="1"/>
  <c r="BM16" i="12" a="1"/>
  <c r="BM16" i="12" s="1"/>
  <c r="BN16" i="12" s="1" a="1"/>
  <c r="BN16" i="12" s="1"/>
  <c r="BO16" i="12" s="1" a="1"/>
  <c r="BO16" i="12" s="1"/>
  <c r="BP16" i="12" s="1"/>
  <c r="BR67" i="12" a="1"/>
  <c r="BR67" i="12" s="1"/>
  <c r="BW67" i="12" s="1"/>
  <c r="CG67" i="12" s="1"/>
  <c r="BQ67" i="12" a="1"/>
  <c r="BQ67" i="12" s="1"/>
  <c r="BV67" i="12" s="1"/>
  <c r="CF67" i="12" s="1"/>
  <c r="BS9" i="12" a="1"/>
  <c r="BS9" i="12" s="1"/>
  <c r="BX9" i="12" s="1"/>
  <c r="CH9" i="12" s="1"/>
  <c r="BQ9" i="12" a="1"/>
  <c r="BQ9" i="12" s="1"/>
  <c r="BV9" i="12" s="1"/>
  <c r="CA9" i="12" s="1"/>
  <c r="BT62" i="12" a="1"/>
  <c r="BT62" i="12" s="1"/>
  <c r="BY62" i="12" s="1"/>
  <c r="CI62" i="12" s="1"/>
  <c r="BQ62" i="12" a="1"/>
  <c r="BQ62" i="12" s="1"/>
  <c r="BV62" i="12" s="1"/>
  <c r="CF62" i="12" s="1"/>
  <c r="BR62" i="12" a="1"/>
  <c r="BR62" i="12" s="1"/>
  <c r="BW62" i="12" s="1"/>
  <c r="CB62" i="12" s="1"/>
  <c r="BU62" i="12" a="1"/>
  <c r="BU62" i="12" s="1"/>
  <c r="BZ62" i="12" s="1"/>
  <c r="CE62" i="12" s="1"/>
  <c r="BR9" i="12" a="1"/>
  <c r="BR9" i="12" s="1"/>
  <c r="BW9" i="12" s="1"/>
  <c r="CG9" i="12" s="1"/>
  <c r="BS62" i="12" a="1"/>
  <c r="BS62" i="12" s="1"/>
  <c r="BX62" i="12" s="1"/>
  <c r="CC62" i="12" s="1"/>
  <c r="BT9" i="12" a="1"/>
  <c r="BT9" i="12" s="1"/>
  <c r="BY9" i="12" s="1"/>
  <c r="CI9" i="12" s="1"/>
  <c r="E8" i="32" a="1"/>
  <c r="E8" i="32" s="1"/>
  <c r="BQ30" i="12" a="1"/>
  <c r="BQ30" i="12" s="1"/>
  <c r="BV30" i="12" s="1"/>
  <c r="CF30" i="12" s="1"/>
  <c r="BR30" i="12" a="1"/>
  <c r="BR30" i="12" s="1"/>
  <c r="BW30" i="12" s="1"/>
  <c r="CG30" i="12" s="1"/>
  <c r="BU30" i="12" a="1"/>
  <c r="BU30" i="12" s="1"/>
  <c r="BZ30" i="12" s="1"/>
  <c r="CJ30" i="12" s="1"/>
  <c r="BM30" i="12" a="1"/>
  <c r="BM30" i="12" s="1"/>
  <c r="BN30" i="12" s="1" a="1"/>
  <c r="BN30" i="12" s="1"/>
  <c r="BS30" i="12" a="1"/>
  <c r="BS30" i="12" s="1"/>
  <c r="BX30" i="12" s="1"/>
  <c r="CH30" i="12" s="1"/>
  <c r="BR41" i="12" a="1"/>
  <c r="BR41" i="12" s="1"/>
  <c r="BW41" i="12" s="1"/>
  <c r="CB41" i="12" s="1"/>
  <c r="BT41" i="12" a="1"/>
  <c r="BT41" i="12" s="1"/>
  <c r="BY41" i="12" s="1"/>
  <c r="CI41" i="12" s="1"/>
  <c r="BQ41" i="12" a="1"/>
  <c r="BQ41" i="12" s="1"/>
  <c r="BV41" i="12" s="1"/>
  <c r="CF41" i="12" s="1"/>
  <c r="BM41" i="12" a="1"/>
  <c r="BM41" i="12" s="1"/>
  <c r="BN41" i="12" s="1" a="1"/>
  <c r="BN41" i="12" s="1"/>
  <c r="BO41" i="12" s="1" a="1"/>
  <c r="BO41" i="12" s="1"/>
  <c r="BP41" i="12" s="1"/>
  <c r="BU41" i="12" a="1"/>
  <c r="BU41" i="12" s="1"/>
  <c r="BZ41" i="12" s="1"/>
  <c r="CE41" i="12" s="1"/>
  <c r="V33" i="21" a="1"/>
  <c r="V33" i="21" s="1"/>
  <c r="M33" i="21" s="1" a="1"/>
  <c r="M33" i="21" s="1"/>
  <c r="V43" i="21" a="1"/>
  <c r="V43" i="21" s="1"/>
  <c r="BS53" i="12" a="1"/>
  <c r="BS53" i="12" s="1"/>
  <c r="BX53" i="12" s="1"/>
  <c r="CC53" i="12" s="1"/>
  <c r="BT53" i="12" a="1"/>
  <c r="BT53" i="12" s="1"/>
  <c r="BY53" i="12" s="1"/>
  <c r="CD53" i="12" s="1"/>
  <c r="BM53" i="12" a="1"/>
  <c r="BM53" i="12" s="1"/>
  <c r="BN53" i="12" s="1" a="1"/>
  <c r="BN53" i="12" s="1"/>
  <c r="BO53" i="12" s="1" a="1"/>
  <c r="BO53" i="12" s="1"/>
  <c r="BP53" i="12" s="1"/>
  <c r="BQ53" i="12" a="1"/>
  <c r="BQ53" i="12" s="1"/>
  <c r="BV53" i="12" s="1"/>
  <c r="CA53" i="12" s="1"/>
  <c r="BQ11" i="12" a="1"/>
  <c r="BQ11" i="12" s="1"/>
  <c r="BV11" i="12" s="1"/>
  <c r="CA11" i="12" s="1"/>
  <c r="BS5" i="12" a="1"/>
  <c r="BS5" i="12" s="1"/>
  <c r="BX5" i="12" s="1"/>
  <c r="CC5" i="12" s="1"/>
  <c r="BR5" i="12" a="1"/>
  <c r="BR5" i="12" s="1"/>
  <c r="BW5" i="12" s="1"/>
  <c r="CB5" i="12" s="1"/>
  <c r="BM56" i="12" a="1"/>
  <c r="BM56" i="12" s="1"/>
  <c r="BN56" i="12" s="1" a="1"/>
  <c r="BN56" i="12" s="1"/>
  <c r="BO56" i="12" s="1" a="1"/>
  <c r="BO56" i="12" s="1"/>
  <c r="BP56" i="12" s="1"/>
  <c r="BS17" i="12" a="1"/>
  <c r="BS17" i="12" s="1"/>
  <c r="BX17" i="12" s="1"/>
  <c r="CH17" i="12" s="1"/>
  <c r="BM13" i="12" a="1"/>
  <c r="BM13" i="12" s="1"/>
  <c r="BN13" i="12" s="1" a="1"/>
  <c r="BN13" i="12" s="1"/>
  <c r="BO13" i="12" s="1" a="1"/>
  <c r="BO13" i="12" s="1"/>
  <c r="BP13" i="12" s="1"/>
  <c r="BT17" i="12" a="1"/>
  <c r="BT17" i="12" s="1"/>
  <c r="BY17" i="12" s="1"/>
  <c r="CI17" i="12" s="1"/>
  <c r="BU5" i="12" a="1"/>
  <c r="BU5" i="12" s="1"/>
  <c r="BZ5" i="12" s="1"/>
  <c r="CE5" i="12" s="1"/>
  <c r="BM5" i="12" a="1"/>
  <c r="BM5" i="12" s="1"/>
  <c r="BN5" i="12" s="1" a="1"/>
  <c r="BN5" i="12" s="1"/>
  <c r="K8" i="32" s="1" a="1"/>
  <c r="K8" i="32" s="1"/>
  <c r="BQ5" i="12" a="1"/>
  <c r="BQ5" i="12" s="1"/>
  <c r="BV5" i="12" s="1"/>
  <c r="CF5" i="12" s="1"/>
  <c r="BS11" i="12" a="1"/>
  <c r="BS11" i="12" s="1"/>
  <c r="BX11" i="12" s="1"/>
  <c r="CC11" i="12" s="1"/>
  <c r="BU56" i="12" a="1"/>
  <c r="BU56" i="12" s="1"/>
  <c r="BZ56" i="12" s="1"/>
  <c r="CE56" i="12" s="1"/>
  <c r="BR56" i="12" a="1"/>
  <c r="BR56" i="12" s="1"/>
  <c r="BW56" i="12" s="1"/>
  <c r="CG56" i="12" s="1"/>
  <c r="BQ56" i="12" a="1"/>
  <c r="BQ56" i="12" s="1"/>
  <c r="BV56" i="12" s="1"/>
  <c r="CF56" i="12" s="1"/>
  <c r="BT56" i="12" a="1"/>
  <c r="BT56" i="12" s="1"/>
  <c r="BY56" i="12" s="1"/>
  <c r="CD56" i="12" s="1"/>
  <c r="BU53" i="12" a="1"/>
  <c r="BU53" i="12" s="1"/>
  <c r="BZ53" i="12" s="1"/>
  <c r="CJ53" i="12" s="1"/>
  <c r="BU34" i="12" a="1"/>
  <c r="BU34" i="12" s="1"/>
  <c r="BZ34" i="12" s="1"/>
  <c r="CE34" i="12" s="1"/>
  <c r="BS34" i="12" a="1"/>
  <c r="BS34" i="12" s="1"/>
  <c r="BX34" i="12" s="1"/>
  <c r="CC34" i="12" s="1"/>
  <c r="BM34" i="12" a="1"/>
  <c r="BM34" i="12" s="1"/>
  <c r="BN34" i="12" s="1" a="1"/>
  <c r="BN34" i="12" s="1"/>
  <c r="BO34" i="12" s="1" a="1"/>
  <c r="BO34" i="12" s="1"/>
  <c r="BP34" i="12" s="1"/>
  <c r="BR34" i="12" a="1"/>
  <c r="BR34" i="12" s="1"/>
  <c r="BW34" i="12" s="1"/>
  <c r="CB34" i="12" s="1"/>
  <c r="BT34" i="12" a="1"/>
  <c r="BT34" i="12" s="1"/>
  <c r="BY34" i="12" s="1"/>
  <c r="CI34" i="12" s="1"/>
  <c r="BM47" i="12" a="1"/>
  <c r="BM47" i="12" s="1"/>
  <c r="BN47" i="12" s="1" a="1"/>
  <c r="BN47" i="12" s="1"/>
  <c r="BO47" i="12" s="1" a="1"/>
  <c r="BO47" i="12" s="1"/>
  <c r="BP47" i="12" s="1"/>
  <c r="BU47" i="12" a="1"/>
  <c r="BU47" i="12" s="1"/>
  <c r="BZ47" i="12" s="1"/>
  <c r="CE47" i="12" s="1"/>
  <c r="BR47" i="12" a="1"/>
  <c r="BR47" i="12" s="1"/>
  <c r="BW47" i="12" s="1"/>
  <c r="CG47" i="12" s="1"/>
  <c r="BS47" i="12" a="1"/>
  <c r="BS47" i="12" s="1"/>
  <c r="BX47" i="12" s="1"/>
  <c r="CC47" i="12" s="1"/>
  <c r="BT47" i="12" a="1"/>
  <c r="BT47" i="12" s="1"/>
  <c r="BY47" i="12" s="1"/>
  <c r="CD47" i="12" s="1"/>
  <c r="BM8" i="12" a="1"/>
  <c r="BM8" i="12" s="1"/>
  <c r="BN8" i="12" s="1" a="1"/>
  <c r="BN8" i="12" s="1"/>
  <c r="BO8" i="12" s="1" a="1"/>
  <c r="BO8" i="12" s="1"/>
  <c r="BP8" i="12" s="1"/>
  <c r="BR8" i="12" a="1"/>
  <c r="BR8" i="12" s="1"/>
  <c r="BW8" i="12" s="1"/>
  <c r="CG8" i="12" s="1"/>
  <c r="BQ46" i="12" a="1"/>
  <c r="BQ46" i="12" s="1"/>
  <c r="BV46" i="12" s="1"/>
  <c r="CA46" i="12" s="1"/>
  <c r="BQ17" i="12" a="1"/>
  <c r="BQ17" i="12" s="1"/>
  <c r="BV17" i="12" s="1"/>
  <c r="CF17" i="12" s="1"/>
  <c r="BM17" i="12" a="1"/>
  <c r="BM17" i="12" s="1"/>
  <c r="BN17" i="12" s="1" a="1"/>
  <c r="BN17" i="12" s="1"/>
  <c r="BU55" i="12" a="1"/>
  <c r="BU55" i="12" s="1"/>
  <c r="BZ55" i="12" s="1"/>
  <c r="CJ55" i="12" s="1"/>
  <c r="BR17" i="12" a="1"/>
  <c r="BR17" i="12" s="1"/>
  <c r="BW17" i="12" s="1"/>
  <c r="CG17" i="12" s="1"/>
  <c r="BU35" i="12" a="1"/>
  <c r="BU35" i="12" s="1"/>
  <c r="BZ35" i="12" s="1"/>
  <c r="CE35" i="12" s="1"/>
  <c r="BM40" i="12" a="1"/>
  <c r="BM40" i="12" s="1"/>
  <c r="BN40" i="12" s="1" a="1"/>
  <c r="BN40" i="12" s="1"/>
  <c r="BU54" i="12" a="1"/>
  <c r="BU54" i="12" s="1"/>
  <c r="BZ54" i="12" s="1"/>
  <c r="CJ54" i="12" s="1"/>
  <c r="BS32" i="12" a="1"/>
  <c r="BS32" i="12" s="1"/>
  <c r="BX32" i="12" s="1"/>
  <c r="CH32" i="12" s="1"/>
  <c r="BU15" i="12" a="1"/>
  <c r="BU15" i="12" s="1"/>
  <c r="BZ15" i="12" s="1"/>
  <c r="CE15" i="12" s="1"/>
  <c r="BM35" i="12" a="1"/>
  <c r="BM35" i="12" s="1"/>
  <c r="BN35" i="12" s="1" a="1"/>
  <c r="BN35" i="12" s="1"/>
  <c r="BO35" i="12" s="1" a="1"/>
  <c r="BO35" i="12" s="1"/>
  <c r="BP35" i="12" s="1"/>
  <c r="BS15" i="12" a="1"/>
  <c r="BS15" i="12" s="1"/>
  <c r="BX15" i="12" s="1"/>
  <c r="CC15" i="12" s="1"/>
  <c r="BQ54" i="12" a="1"/>
  <c r="BQ54" i="12" s="1"/>
  <c r="BV54" i="12" s="1"/>
  <c r="CF54" i="12" s="1"/>
  <c r="BS35" i="12" a="1"/>
  <c r="BS35" i="12" s="1"/>
  <c r="BX35" i="12" s="1"/>
  <c r="CH35" i="12" s="1"/>
  <c r="BQ35" i="12" a="1"/>
  <c r="BQ35" i="12" s="1"/>
  <c r="BV35" i="12" s="1"/>
  <c r="CA35" i="12" s="1"/>
  <c r="BM15" i="12" a="1"/>
  <c r="BM15" i="12" s="1"/>
  <c r="BN15" i="12" s="1" a="1"/>
  <c r="BN15" i="12" s="1"/>
  <c r="BO15" i="12" s="1" a="1"/>
  <c r="BO15" i="12" s="1"/>
  <c r="BP15" i="12" s="1"/>
  <c r="BT35" i="12" a="1"/>
  <c r="BT35" i="12" s="1"/>
  <c r="BY35" i="12" s="1"/>
  <c r="CI35" i="12" s="1"/>
  <c r="BS58" i="12" a="1"/>
  <c r="BS58" i="12" s="1"/>
  <c r="BX58" i="12" s="1"/>
  <c r="CH58" i="12" s="1"/>
  <c r="BR54" i="12" a="1"/>
  <c r="BR54" i="12" s="1"/>
  <c r="BW54" i="12" s="1"/>
  <c r="CB54" i="12" s="1"/>
  <c r="BM54" i="12" a="1"/>
  <c r="BM54" i="12" s="1"/>
  <c r="BN54" i="12" s="1" a="1"/>
  <c r="BN54" i="12" s="1"/>
  <c r="BO54" i="12" s="1" a="1"/>
  <c r="BO54" i="12" s="1"/>
  <c r="BP54" i="12" s="1"/>
  <c r="BS54" i="12" a="1"/>
  <c r="BS54" i="12" s="1"/>
  <c r="BX54" i="12" s="1"/>
  <c r="CH54" i="12" s="1"/>
  <c r="BR15" i="12" a="1"/>
  <c r="BR15" i="12" s="1"/>
  <c r="BW15" i="12" s="1"/>
  <c r="CB15" i="12" s="1"/>
  <c r="BR32" i="12" a="1"/>
  <c r="BR32" i="12" s="1"/>
  <c r="BW32" i="12" s="1"/>
  <c r="CB32" i="12" s="1"/>
  <c r="BT15" i="12" a="1"/>
  <c r="BT15" i="12" s="1"/>
  <c r="BY15" i="12" s="1"/>
  <c r="CD15" i="12" s="1"/>
  <c r="BR11" i="12" a="1"/>
  <c r="BR11" i="12" s="1"/>
  <c r="BW11" i="12" s="1"/>
  <c r="CG11" i="12" s="1"/>
  <c r="BU11" i="12" a="1"/>
  <c r="BU11" i="12" s="1"/>
  <c r="BZ11" i="12" s="1"/>
  <c r="CE11" i="12" s="1"/>
  <c r="BU45" i="12" a="1"/>
  <c r="BU45" i="12" s="1"/>
  <c r="BZ45" i="12" s="1"/>
  <c r="CE45" i="12" s="1"/>
  <c r="BM11" i="12" a="1"/>
  <c r="BM11" i="12" s="1"/>
  <c r="BN11" i="12" s="1" a="1"/>
  <c r="BN11" i="12" s="1"/>
  <c r="K14" i="32" s="1" a="1"/>
  <c r="K14" i="32" s="1"/>
  <c r="BR65" i="12" a="1"/>
  <c r="BR65" i="12" s="1"/>
  <c r="BW65" i="12" s="1"/>
  <c r="CG65" i="12" s="1"/>
  <c r="BQ65" i="12" a="1"/>
  <c r="BQ65" i="12" s="1"/>
  <c r="BV65" i="12" s="1"/>
  <c r="CA65" i="12" s="1"/>
  <c r="BQ61" i="12" a="1"/>
  <c r="BQ61" i="12" s="1"/>
  <c r="BV61" i="12" s="1"/>
  <c r="CF61" i="12" s="1"/>
  <c r="BU65" i="12" a="1"/>
  <c r="BU65" i="12" s="1"/>
  <c r="BZ65" i="12" s="1"/>
  <c r="CJ65" i="12" s="1"/>
  <c r="BS65" i="12" a="1"/>
  <c r="BS65" i="12" s="1"/>
  <c r="BX65" i="12" s="1"/>
  <c r="CC65" i="12" s="1"/>
  <c r="BS50" i="12" a="1"/>
  <c r="BS50" i="12" s="1"/>
  <c r="BX50" i="12" s="1"/>
  <c r="CH50" i="12" s="1"/>
  <c r="BR6" i="12" a="1"/>
  <c r="BR6" i="12" s="1"/>
  <c r="BW6" i="12" s="1"/>
  <c r="CG6" i="12" s="1"/>
  <c r="BT6" i="12" a="1"/>
  <c r="BT6" i="12" s="1"/>
  <c r="BY6" i="12" s="1"/>
  <c r="CD6" i="12" s="1"/>
  <c r="BM6" i="12" a="1"/>
  <c r="BM6" i="12" s="1"/>
  <c r="BN6" i="12" s="1" a="1"/>
  <c r="BN6" i="12" s="1"/>
  <c r="BO6" i="12" s="1" a="1"/>
  <c r="BO6" i="12" s="1"/>
  <c r="BP6" i="12" s="1"/>
  <c r="BU6" i="12" a="1"/>
  <c r="BU6" i="12" s="1"/>
  <c r="BZ6" i="12" s="1"/>
  <c r="CE6" i="12" s="1"/>
  <c r="BU63" i="12" a="1"/>
  <c r="BU63" i="12" s="1"/>
  <c r="BZ63" i="12" s="1"/>
  <c r="CE63" i="12" s="1"/>
  <c r="BQ6" i="12" a="1"/>
  <c r="BQ6" i="12" s="1"/>
  <c r="BV6" i="12" s="1"/>
  <c r="CF6" i="12" s="1"/>
  <c r="BS29" i="12" a="1"/>
  <c r="BS29" i="12" s="1"/>
  <c r="BX29" i="12" s="1"/>
  <c r="CC29" i="12" s="1"/>
  <c r="BR29" i="12" a="1"/>
  <c r="BR29" i="12" s="1"/>
  <c r="BW29" i="12" s="1"/>
  <c r="CG29" i="12" s="1"/>
  <c r="BU29" i="12" a="1"/>
  <c r="BU29" i="12" s="1"/>
  <c r="BZ29" i="12" s="1"/>
  <c r="CJ29" i="12" s="1"/>
  <c r="BT29" i="12" a="1"/>
  <c r="BT29" i="12" s="1"/>
  <c r="BY29" i="12" s="1"/>
  <c r="CI29" i="12" s="1"/>
  <c r="BR21" i="12" a="1"/>
  <c r="BR21" i="12" s="1"/>
  <c r="BW21" i="12" s="1"/>
  <c r="CG21" i="12" s="1"/>
  <c r="BQ40" i="12" a="1"/>
  <c r="BQ40" i="12" s="1"/>
  <c r="BV40" i="12" s="1"/>
  <c r="CF40" i="12" s="1"/>
  <c r="BR45" i="12" a="1"/>
  <c r="BR45" i="12" s="1"/>
  <c r="BW45" i="12" s="1"/>
  <c r="CG45" i="12" s="1"/>
  <c r="CC68" i="12"/>
  <c r="BM29" i="12" a="1"/>
  <c r="BM29" i="12" s="1"/>
  <c r="BN29" i="12" s="1" a="1"/>
  <c r="BN29" i="12" s="1"/>
  <c r="BO29" i="12" s="1" a="1"/>
  <c r="BO29" i="12" s="1"/>
  <c r="BP29" i="12" s="1"/>
  <c r="BS21" i="12" a="1"/>
  <c r="BS21" i="12" s="1"/>
  <c r="BX21" i="12" s="1"/>
  <c r="CH21" i="12" s="1"/>
  <c r="BS45" i="12" a="1"/>
  <c r="BS45" i="12" s="1"/>
  <c r="BX45" i="12" s="1"/>
  <c r="CC45" i="12" s="1"/>
  <c r="BM68" i="12" a="1"/>
  <c r="BM68" i="12" s="1"/>
  <c r="BN68" i="12" s="1" a="1"/>
  <c r="BN68" i="12" s="1"/>
  <c r="BO68" i="12" s="1" a="1"/>
  <c r="BO68" i="12" s="1"/>
  <c r="BP68" i="12" s="1"/>
  <c r="BT45" i="12" a="1"/>
  <c r="BT45" i="12" s="1"/>
  <c r="BY45" i="12" s="1"/>
  <c r="CI45" i="12" s="1"/>
  <c r="BQ21" i="12" a="1"/>
  <c r="BQ21" i="12" s="1"/>
  <c r="BV21" i="12" s="1"/>
  <c r="CA21" i="12" s="1"/>
  <c r="BT28" i="12" a="1"/>
  <c r="BT28" i="12" s="1"/>
  <c r="BY28" i="12" s="1"/>
  <c r="CD28" i="12" s="1"/>
  <c r="BQ45" i="12" a="1"/>
  <c r="BQ45" i="12" s="1"/>
  <c r="BV45" i="12" s="1"/>
  <c r="CF45" i="12" s="1"/>
  <c r="BU50" i="12" a="1"/>
  <c r="BU50" i="12" s="1"/>
  <c r="BZ50" i="12" s="1"/>
  <c r="CJ50" i="12" s="1"/>
  <c r="BQ50" i="12" a="1"/>
  <c r="BQ50" i="12" s="1"/>
  <c r="BV50" i="12" s="1"/>
  <c r="CA50" i="12" s="1"/>
  <c r="BM50" i="12" a="1"/>
  <c r="BM50" i="12" s="1"/>
  <c r="BN50" i="12" s="1" a="1"/>
  <c r="BN50" i="12" s="1"/>
  <c r="BO50" i="12" s="1" a="1"/>
  <c r="BO50" i="12" s="1"/>
  <c r="BP50" i="12" s="1"/>
  <c r="BQ68" i="12" a="1"/>
  <c r="BQ68" i="12" s="1"/>
  <c r="BV68" i="12" s="1"/>
  <c r="CA68" i="12" s="1"/>
  <c r="BR50" i="12" a="1"/>
  <c r="BR50" i="12" s="1"/>
  <c r="BW50" i="12" s="1"/>
  <c r="CG50" i="12" s="1"/>
  <c r="E63" i="32" a="1"/>
  <c r="E63" i="32" s="1"/>
  <c r="BT68" i="12" a="1"/>
  <c r="BT68" i="12" s="1"/>
  <c r="BY68" i="12" s="1"/>
  <c r="CI68" i="12" s="1"/>
  <c r="BS14" i="12" a="1"/>
  <c r="BS14" i="12" s="1"/>
  <c r="BX14" i="12" s="1"/>
  <c r="CC14" i="12" s="1"/>
  <c r="BQ14" i="12" a="1"/>
  <c r="BQ14" i="12" s="1"/>
  <c r="BV14" i="12" s="1"/>
  <c r="CA14" i="12" s="1"/>
  <c r="BR14" i="12" a="1"/>
  <c r="BR14" i="12" s="1"/>
  <c r="BW14" i="12" s="1"/>
  <c r="CG14" i="12" s="1"/>
  <c r="BQ38" i="12" a="1"/>
  <c r="BQ38" i="12" s="1"/>
  <c r="BV38" i="12" s="1"/>
  <c r="CF38" i="12" s="1"/>
  <c r="BM38" i="12" a="1"/>
  <c r="BM38" i="12" s="1"/>
  <c r="BN38" i="12" s="1" a="1"/>
  <c r="BN38" i="12" s="1"/>
  <c r="BO38" i="12" s="1" a="1"/>
  <c r="BO38" i="12" s="1"/>
  <c r="BP38" i="12" s="1"/>
  <c r="BS46" i="12" a="1"/>
  <c r="BS46" i="12" s="1"/>
  <c r="BX46" i="12" s="1"/>
  <c r="CC46" i="12" s="1"/>
  <c r="BR55" i="12" a="1"/>
  <c r="BR55" i="12" s="1"/>
  <c r="BW55" i="12" s="1"/>
  <c r="CG55" i="12" s="1"/>
  <c r="BT55" i="12" a="1"/>
  <c r="BT55" i="12" s="1"/>
  <c r="BY55" i="12" s="1"/>
  <c r="CI55" i="12" s="1"/>
  <c r="BS8" i="12" a="1"/>
  <c r="BS8" i="12" s="1"/>
  <c r="BX8" i="12" s="1"/>
  <c r="CC8" i="12" s="1"/>
  <c r="BS55" i="12" a="1"/>
  <c r="BS55" i="12" s="1"/>
  <c r="BX55" i="12" s="1"/>
  <c r="CC55" i="12" s="1"/>
  <c r="BT8" i="12" a="1"/>
  <c r="BT8" i="12" s="1"/>
  <c r="BY8" i="12" s="1"/>
  <c r="CD8" i="12" s="1"/>
  <c r="BQ55" i="12" a="1"/>
  <c r="BQ55" i="12" s="1"/>
  <c r="BV55" i="12" s="1"/>
  <c r="CF55" i="12" s="1"/>
  <c r="BT65" i="12" a="1"/>
  <c r="BT65" i="12" s="1"/>
  <c r="BY65" i="12" s="1"/>
  <c r="CI65" i="12" s="1"/>
  <c r="E16" i="32" a="1"/>
  <c r="E16" i="32" s="1"/>
  <c r="BQ13" i="12" a="1"/>
  <c r="BQ13" i="12" s="1"/>
  <c r="BV13" i="12" s="1"/>
  <c r="CF13" i="12" s="1"/>
  <c r="BT46" i="12" a="1"/>
  <c r="BT46" i="12" s="1"/>
  <c r="BY46" i="12" s="1"/>
  <c r="CD46" i="12" s="1"/>
  <c r="BT39" i="12" a="1"/>
  <c r="BT39" i="12" s="1"/>
  <c r="BY39" i="12" s="1"/>
  <c r="CD39" i="12" s="1"/>
  <c r="BQ60" i="12" a="1"/>
  <c r="BQ60" i="12" s="1"/>
  <c r="BV60" i="12" s="1"/>
  <c r="CF60" i="12" s="1"/>
  <c r="BU39" i="12" a="1"/>
  <c r="BU39" i="12" s="1"/>
  <c r="BZ39" i="12" s="1"/>
  <c r="CJ39" i="12" s="1"/>
  <c r="BS7" i="12" a="1"/>
  <c r="BS7" i="12" s="1"/>
  <c r="BX7" i="12" s="1"/>
  <c r="CH7" i="12" s="1"/>
  <c r="BQ23" i="12" a="1"/>
  <c r="BQ23" i="12" s="1"/>
  <c r="BV23" i="12" s="1"/>
  <c r="CF23" i="12" s="1"/>
  <c r="E11" i="32" a="1"/>
  <c r="E11" i="32" s="1"/>
  <c r="BR13" i="12" a="1"/>
  <c r="BR13" i="12" s="1"/>
  <c r="BW13" i="12" s="1"/>
  <c r="CB13" i="12" s="1"/>
  <c r="BT14" i="12" a="1"/>
  <c r="BT14" i="12" s="1"/>
  <c r="BY14" i="12" s="1"/>
  <c r="CI14" i="12" s="1"/>
  <c r="BM7" i="12" a="1"/>
  <c r="BM7" i="12" s="1"/>
  <c r="BN7" i="12" s="1" a="1"/>
  <c r="BN7" i="12" s="1"/>
  <c r="K10" i="32" s="1" a="1"/>
  <c r="K10" i="32" s="1"/>
  <c r="BS13" i="12" a="1"/>
  <c r="BS13" i="12" s="1"/>
  <c r="BX13" i="12" s="1"/>
  <c r="CC13" i="12" s="1"/>
  <c r="BR38" i="12" a="1"/>
  <c r="BR38" i="12" s="1"/>
  <c r="BW38" i="12" s="1"/>
  <c r="CB38" i="12" s="1"/>
  <c r="BR39" i="12" a="1"/>
  <c r="BR39" i="12" s="1"/>
  <c r="BW39" i="12" s="1"/>
  <c r="CG39" i="12" s="1"/>
  <c r="BM14" i="12" a="1"/>
  <c r="BM14" i="12" s="1"/>
  <c r="BN14" i="12" s="1" a="1"/>
  <c r="BN14" i="12" s="1"/>
  <c r="K68" i="32" s="1" a="1"/>
  <c r="K68" i="32" s="1"/>
  <c r="BR58" i="12" a="1"/>
  <c r="BR58" i="12" s="1"/>
  <c r="BW58" i="12" s="1"/>
  <c r="CG58" i="12" s="1"/>
  <c r="BT38" i="12" a="1"/>
  <c r="BT38" i="12" s="1"/>
  <c r="BY38" i="12" s="1"/>
  <c r="CD38" i="12" s="1"/>
  <c r="BS39" i="12" a="1"/>
  <c r="BS39" i="12" s="1"/>
  <c r="BX39" i="12" s="1"/>
  <c r="CC39" i="12" s="1"/>
  <c r="BM39" i="12" a="1"/>
  <c r="BM39" i="12" s="1"/>
  <c r="BN39" i="12" s="1" a="1"/>
  <c r="BN39" i="12" s="1"/>
  <c r="BO39" i="12" s="1" a="1"/>
  <c r="BO39" i="12" s="1"/>
  <c r="BP39" i="12" s="1"/>
  <c r="BR60" i="12" a="1"/>
  <c r="BR60" i="12" s="1"/>
  <c r="BW60" i="12" s="1"/>
  <c r="CG60" i="12" s="1"/>
  <c r="BQ63" i="12" a="1"/>
  <c r="BQ63" i="12" s="1"/>
  <c r="BV63" i="12" s="1"/>
  <c r="CF63" i="12" s="1"/>
  <c r="BS60" i="12" a="1"/>
  <c r="BS60" i="12" s="1"/>
  <c r="BX60" i="12" s="1"/>
  <c r="CC60" i="12" s="1"/>
  <c r="BS63" i="12" a="1"/>
  <c r="BS63" i="12" s="1"/>
  <c r="BX63" i="12" s="1"/>
  <c r="CC63" i="12" s="1"/>
  <c r="BR7" i="12" a="1"/>
  <c r="BR7" i="12" s="1"/>
  <c r="BW7" i="12" s="1"/>
  <c r="CG7" i="12" s="1"/>
  <c r="BT60" i="12" a="1"/>
  <c r="BT60" i="12" s="1"/>
  <c r="BY60" i="12" s="1"/>
  <c r="CD60" i="12" s="1"/>
  <c r="BT63" i="12" a="1"/>
  <c r="BT63" i="12" s="1"/>
  <c r="BY63" i="12" s="1"/>
  <c r="CI63" i="12" s="1"/>
  <c r="BQ58" i="12" a="1"/>
  <c r="BQ58" i="12" s="1"/>
  <c r="BV58" i="12" s="1"/>
  <c r="CA58" i="12" s="1"/>
  <c r="BU7" i="12" a="1"/>
  <c r="BU7" i="12" s="1"/>
  <c r="BZ7" i="12" s="1"/>
  <c r="CJ7" i="12" s="1"/>
  <c r="BU46" i="12" a="1"/>
  <c r="BU46" i="12" s="1"/>
  <c r="BZ46" i="12" s="1"/>
  <c r="CE46" i="12" s="1"/>
  <c r="BM46" i="12" a="1"/>
  <c r="BM46" i="12" s="1"/>
  <c r="BN46" i="12" s="1" a="1"/>
  <c r="BN46" i="12" s="1"/>
  <c r="K49" i="32" s="1" a="1"/>
  <c r="K49" i="32" s="1"/>
  <c r="BM60" i="12" a="1"/>
  <c r="BM60" i="12" s="1"/>
  <c r="BN60" i="12" s="1" a="1"/>
  <c r="BN60" i="12" s="1"/>
  <c r="BO60" i="12" s="1" a="1"/>
  <c r="BO60" i="12" s="1"/>
  <c r="BP60" i="12" s="1"/>
  <c r="BR63" i="12" a="1"/>
  <c r="BR63" i="12" s="1"/>
  <c r="BW63" i="12" s="1"/>
  <c r="CG63" i="12" s="1"/>
  <c r="BM58" i="12" a="1"/>
  <c r="BM58" i="12" s="1"/>
  <c r="BN58" i="12" s="1" a="1"/>
  <c r="BN58" i="12" s="1"/>
  <c r="BO58" i="12" s="1" a="1"/>
  <c r="BO58" i="12" s="1"/>
  <c r="BP58" i="12" s="1"/>
  <c r="BQ7" i="12" a="1"/>
  <c r="BQ7" i="12" s="1"/>
  <c r="BV7" i="12" s="1"/>
  <c r="CF7" i="12" s="1"/>
  <c r="BU13" i="12" a="1"/>
  <c r="BU13" i="12" s="1"/>
  <c r="BZ13" i="12" s="1"/>
  <c r="CE13" i="12" s="1"/>
  <c r="BU38" i="12" a="1"/>
  <c r="BU38" i="12" s="1"/>
  <c r="BZ38" i="12" s="1"/>
  <c r="CE38" i="12" s="1"/>
  <c r="BT58" i="12" a="1"/>
  <c r="BT58" i="12" s="1"/>
  <c r="BY58" i="12" s="1"/>
  <c r="CI58" i="12" s="1"/>
  <c r="E15" i="32" a="1"/>
  <c r="E15" i="32" s="1"/>
  <c r="BU32" i="12" a="1"/>
  <c r="BU32" i="12" s="1"/>
  <c r="BZ32" i="12" s="1"/>
  <c r="CE32" i="12" s="1"/>
  <c r="BQ32" i="12" a="1"/>
  <c r="BQ32" i="12" s="1"/>
  <c r="BV32" i="12" s="1"/>
  <c r="CF32" i="12" s="1"/>
  <c r="BU23" i="12" a="1"/>
  <c r="BU23" i="12" s="1"/>
  <c r="BZ23" i="12" s="1"/>
  <c r="CE23" i="12" s="1"/>
  <c r="BU68" i="12" a="1"/>
  <c r="BU68" i="12" s="1"/>
  <c r="BZ68" i="12" s="1"/>
  <c r="CJ68" i="12" s="1"/>
  <c r="BM32" i="12" a="1"/>
  <c r="BM32" i="12" s="1"/>
  <c r="BN32" i="12" s="1" a="1"/>
  <c r="BN32" i="12" s="1"/>
  <c r="K35" i="32" s="1" a="1"/>
  <c r="K35" i="32" s="1"/>
  <c r="BM23" i="12" a="1"/>
  <c r="BM23" i="12" s="1"/>
  <c r="BN23" i="12" s="1" a="1"/>
  <c r="BN23" i="12" s="1"/>
  <c r="BO23" i="12" s="1" a="1"/>
  <c r="BO23" i="12" s="1"/>
  <c r="BP23" i="12" s="1"/>
  <c r="BR68" i="12" a="1"/>
  <c r="BR68" i="12" s="1"/>
  <c r="BW68" i="12" s="1"/>
  <c r="BR23" i="12" a="1"/>
  <c r="BR23" i="12" s="1"/>
  <c r="BW23" i="12" s="1"/>
  <c r="CB23" i="12" s="1"/>
  <c r="BS23" i="12" a="1"/>
  <c r="BS23" i="12" s="1"/>
  <c r="BX23" i="12" s="1"/>
  <c r="CH23" i="12" s="1"/>
  <c r="E14" i="32" a="1"/>
  <c r="E14" i="32" s="1"/>
  <c r="BT66" i="12" a="1"/>
  <c r="BT66" i="12" s="1"/>
  <c r="BY66" i="12" s="1"/>
  <c r="BM66" i="12" a="1"/>
  <c r="BM66" i="12" s="1"/>
  <c r="BN66" i="12" s="1" a="1"/>
  <c r="BN66" i="12" s="1"/>
  <c r="BO66" i="12" s="1" a="1"/>
  <c r="BO66" i="12" s="1"/>
  <c r="BP66" i="12" s="1"/>
  <c r="BS66" i="12" a="1"/>
  <c r="BS66" i="12" s="1"/>
  <c r="BX66" i="12" s="1"/>
  <c r="BR66" i="12" a="1"/>
  <c r="BR66" i="12" s="1"/>
  <c r="BW66" i="12" s="1"/>
  <c r="BU66" i="12" a="1"/>
  <c r="BU66" i="12" s="1"/>
  <c r="BZ66" i="12" s="1"/>
  <c r="BQ66" i="12" a="1"/>
  <c r="BQ66" i="12" s="1"/>
  <c r="BV66" i="12" s="1"/>
  <c r="BQ69" i="12" a="1"/>
  <c r="BQ69" i="12" s="1"/>
  <c r="BV69" i="12" s="1"/>
  <c r="BS69" i="12" a="1"/>
  <c r="BS69" i="12" s="1"/>
  <c r="BX69" i="12" s="1"/>
  <c r="BR69" i="12" a="1"/>
  <c r="BR69" i="12" s="1"/>
  <c r="BW69" i="12" s="1"/>
  <c r="BT69" i="12" a="1"/>
  <c r="BT69" i="12" s="1"/>
  <c r="BY69" i="12" s="1"/>
  <c r="BU69" i="12" a="1"/>
  <c r="BU69" i="12" s="1"/>
  <c r="BZ69" i="12" s="1"/>
  <c r="BM69" i="12" a="1"/>
  <c r="BM69" i="12" s="1"/>
  <c r="BN69" i="12" s="1" a="1"/>
  <c r="BN69" i="12" s="1"/>
  <c r="BO69" i="12" s="1" a="1"/>
  <c r="BO69" i="12" s="1"/>
  <c r="BP69" i="12" s="1"/>
  <c r="BU28" i="12" a="1"/>
  <c r="BU28" i="12" s="1"/>
  <c r="BZ28" i="12" s="1"/>
  <c r="CE28" i="12" s="1"/>
  <c r="BU61" i="12" a="1"/>
  <c r="BU61" i="12" s="1"/>
  <c r="BZ61" i="12" s="1"/>
  <c r="CJ61" i="12" s="1"/>
  <c r="BR28" i="12" a="1"/>
  <c r="BR28" i="12" s="1"/>
  <c r="BW28" i="12" s="1"/>
  <c r="CG28" i="12" s="1"/>
  <c r="BQ42" i="12" a="1"/>
  <c r="BQ42" i="12" s="1"/>
  <c r="BV42" i="12" s="1"/>
  <c r="CA42" i="12" s="1"/>
  <c r="BR57" i="12" a="1"/>
  <c r="BR57" i="12" s="1"/>
  <c r="BW57" i="12" s="1"/>
  <c r="CG57" i="12" s="1"/>
  <c r="BT61" i="12" a="1"/>
  <c r="BT61" i="12" s="1"/>
  <c r="BY61" i="12" s="1"/>
  <c r="CI61" i="12" s="1"/>
  <c r="BS42" i="12" a="1"/>
  <c r="BS42" i="12" s="1"/>
  <c r="BX42" i="12" s="1"/>
  <c r="CH42" i="12" s="1"/>
  <c r="BU57" i="12" a="1"/>
  <c r="BU57" i="12" s="1"/>
  <c r="BZ57" i="12" s="1"/>
  <c r="CE57" i="12" s="1"/>
  <c r="BQ28" i="12" a="1"/>
  <c r="BQ28" i="12" s="1"/>
  <c r="BV28" i="12" s="1"/>
  <c r="CF28" i="12" s="1"/>
  <c r="BM61" i="12" a="1"/>
  <c r="BM61" i="12" s="1"/>
  <c r="BN61" i="12" s="1" a="1"/>
  <c r="BN61" i="12" s="1"/>
  <c r="BO61" i="12" s="1" a="1"/>
  <c r="BO61" i="12" s="1"/>
  <c r="BP61" i="12" s="1"/>
  <c r="BT42" i="12" a="1"/>
  <c r="BT42" i="12" s="1"/>
  <c r="BY42" i="12" s="1"/>
  <c r="CD42" i="12" s="1"/>
  <c r="BQ57" i="12" a="1"/>
  <c r="BQ57" i="12" s="1"/>
  <c r="BV57" i="12" s="1"/>
  <c r="CF57" i="12" s="1"/>
  <c r="BM71" i="12" a="1"/>
  <c r="BM71" i="12" s="1"/>
  <c r="BN71" i="12" s="1" a="1"/>
  <c r="BN71" i="12" s="1"/>
  <c r="BO71" i="12" s="1" a="1"/>
  <c r="BO71" i="12" s="1"/>
  <c r="BP71" i="12" s="1"/>
  <c r="BS71" i="12" a="1"/>
  <c r="BS71" i="12" s="1"/>
  <c r="BX71" i="12" s="1"/>
  <c r="BQ71" i="12" a="1"/>
  <c r="BQ71" i="12" s="1"/>
  <c r="BV71" i="12" s="1"/>
  <c r="BT71" i="12" a="1"/>
  <c r="BT71" i="12" s="1"/>
  <c r="BY71" i="12" s="1"/>
  <c r="BU71" i="12" a="1"/>
  <c r="BU71" i="12" s="1"/>
  <c r="BZ71" i="12" s="1"/>
  <c r="BR71" i="12" a="1"/>
  <c r="BR71" i="12" s="1"/>
  <c r="BW71" i="12" s="1"/>
  <c r="BQ70" i="12" a="1"/>
  <c r="BQ70" i="12" s="1"/>
  <c r="BV70" i="12" s="1"/>
  <c r="BU70" i="12" a="1"/>
  <c r="BU70" i="12" s="1"/>
  <c r="BZ70" i="12" s="1"/>
  <c r="BM70" i="12" a="1"/>
  <c r="BM70" i="12" s="1"/>
  <c r="BN70" i="12" s="1" a="1"/>
  <c r="BN70" i="12" s="1"/>
  <c r="BO70" i="12" s="1" a="1"/>
  <c r="BO70" i="12" s="1"/>
  <c r="BP70" i="12" s="1"/>
  <c r="BS70" i="12" a="1"/>
  <c r="BS70" i="12" s="1"/>
  <c r="BX70" i="12" s="1"/>
  <c r="BR70" i="12" a="1"/>
  <c r="BR70" i="12" s="1"/>
  <c r="BW70" i="12" s="1"/>
  <c r="BT70" i="12" a="1"/>
  <c r="BT70" i="12" s="1"/>
  <c r="BY70" i="12" s="1"/>
  <c r="BU75" i="12" a="1"/>
  <c r="BU75" i="12" s="1"/>
  <c r="BZ75" i="12" s="1"/>
  <c r="BT75" i="12" a="1"/>
  <c r="BT75" i="12" s="1"/>
  <c r="BY75" i="12" s="1"/>
  <c r="BR75" i="12" a="1"/>
  <c r="BR75" i="12" s="1"/>
  <c r="BW75" i="12" s="1"/>
  <c r="BQ75" i="12" a="1"/>
  <c r="BQ75" i="12" s="1"/>
  <c r="BV75" i="12" s="1"/>
  <c r="BS75" i="12" a="1"/>
  <c r="BS75" i="12" s="1"/>
  <c r="BX75" i="12" s="1"/>
  <c r="BM75" i="12" a="1"/>
  <c r="BM75" i="12" s="1"/>
  <c r="BN75" i="12" s="1" a="1"/>
  <c r="BN75" i="12" s="1"/>
  <c r="BO75" i="12" s="1" a="1"/>
  <c r="BO75" i="12" s="1"/>
  <c r="BP75" i="12" s="1"/>
  <c r="BS28" i="12" a="1"/>
  <c r="BS28" i="12" s="1"/>
  <c r="BX28" i="12" s="1"/>
  <c r="CH28" i="12" s="1"/>
  <c r="BM21" i="12" a="1"/>
  <c r="BM21" i="12" s="1"/>
  <c r="BN21" i="12" s="1" a="1"/>
  <c r="BN21" i="12" s="1"/>
  <c r="BO21" i="12" s="1" a="1"/>
  <c r="BO21" i="12" s="1"/>
  <c r="BP21" i="12" s="1"/>
  <c r="BR42" i="12" a="1"/>
  <c r="BR42" i="12" s="1"/>
  <c r="BW42" i="12" s="1"/>
  <c r="CG42" i="12" s="1"/>
  <c r="BT57" i="12" a="1"/>
  <c r="BT57" i="12" s="1"/>
  <c r="BY57" i="12" s="1"/>
  <c r="CD57" i="12" s="1"/>
  <c r="BT73" i="12" a="1"/>
  <c r="BT73" i="12" s="1"/>
  <c r="BY73" i="12" s="1"/>
  <c r="BR73" i="12" a="1"/>
  <c r="BR73" i="12" s="1"/>
  <c r="BW73" i="12" s="1"/>
  <c r="BM73" i="12" a="1"/>
  <c r="BM73" i="12" s="1"/>
  <c r="BN73" i="12" s="1" a="1"/>
  <c r="BN73" i="12" s="1"/>
  <c r="BO73" i="12" s="1" a="1"/>
  <c r="BO73" i="12" s="1"/>
  <c r="BP73" i="12" s="1"/>
  <c r="BQ73" i="12" a="1"/>
  <c r="BQ73" i="12" s="1"/>
  <c r="BV73" i="12" s="1"/>
  <c r="BS73" i="12" a="1"/>
  <c r="BS73" i="12" s="1"/>
  <c r="BX73" i="12" s="1"/>
  <c r="BU73" i="12" a="1"/>
  <c r="BU73" i="12" s="1"/>
  <c r="BZ73" i="12" s="1"/>
  <c r="BU42" i="12" a="1"/>
  <c r="BU42" i="12" s="1"/>
  <c r="BZ42" i="12" s="1"/>
  <c r="CE42" i="12" s="1"/>
  <c r="BM57" i="12" a="1"/>
  <c r="BM57" i="12" s="1"/>
  <c r="BN57" i="12" s="1" a="1"/>
  <c r="BN57" i="12" s="1"/>
  <c r="BO57" i="12" s="1" a="1"/>
  <c r="BO57" i="12" s="1"/>
  <c r="BP57" i="12" s="1"/>
  <c r="BR72" i="12" a="1"/>
  <c r="BR72" i="12" s="1"/>
  <c r="BW72" i="12" s="1"/>
  <c r="BU72" i="12" a="1"/>
  <c r="BU72" i="12" s="1"/>
  <c r="BZ72" i="12" s="1"/>
  <c r="BM72" i="12" a="1"/>
  <c r="BM72" i="12" s="1"/>
  <c r="BN72" i="12" s="1" a="1"/>
  <c r="BN72" i="12" s="1"/>
  <c r="BO72" i="12" s="1" a="1"/>
  <c r="BO72" i="12" s="1"/>
  <c r="BP72" i="12" s="1"/>
  <c r="BQ72" i="12" a="1"/>
  <c r="BQ72" i="12" s="1"/>
  <c r="BV72" i="12" s="1"/>
  <c r="BT72" i="12" a="1"/>
  <c r="BT72" i="12" s="1"/>
  <c r="BY72" i="12" s="1"/>
  <c r="BS72" i="12" a="1"/>
  <c r="BS72" i="12" s="1"/>
  <c r="BX72" i="12" s="1"/>
  <c r="E10" i="32" a="1"/>
  <c r="E10" i="32" s="1"/>
  <c r="BT74" i="12" a="1"/>
  <c r="BT74" i="12" s="1"/>
  <c r="BY74" i="12" s="1"/>
  <c r="BS74" i="12" a="1"/>
  <c r="BS74" i="12" s="1"/>
  <c r="BX74" i="12" s="1"/>
  <c r="BQ74" i="12" a="1"/>
  <c r="BQ74" i="12" s="1"/>
  <c r="BV74" i="12" s="1"/>
  <c r="BU74" i="12" a="1"/>
  <c r="BU74" i="12" s="1"/>
  <c r="BZ74" i="12" s="1"/>
  <c r="BM74" i="12" a="1"/>
  <c r="BM74" i="12" s="1"/>
  <c r="BN74" i="12" s="1" a="1"/>
  <c r="BN74" i="12" s="1"/>
  <c r="BO74" i="12" s="1" a="1"/>
  <c r="BO74" i="12" s="1"/>
  <c r="BP74" i="12" s="1"/>
  <c r="BR74" i="12" a="1"/>
  <c r="BR74" i="12" s="1"/>
  <c r="BW74" i="12" s="1"/>
  <c r="BM77" i="12" a="1"/>
  <c r="BM77" i="12" s="1"/>
  <c r="BN77" i="12" s="1" a="1"/>
  <c r="BN77" i="12" s="1"/>
  <c r="BO77" i="12" s="1" a="1"/>
  <c r="BO77" i="12" s="1"/>
  <c r="BP77" i="12" s="1"/>
  <c r="BU77" i="12" a="1"/>
  <c r="BU77" i="12" s="1"/>
  <c r="BZ77" i="12" s="1"/>
  <c r="BT77" i="12" a="1"/>
  <c r="BT77" i="12" s="1"/>
  <c r="BY77" i="12" s="1"/>
  <c r="BQ77" i="12" a="1"/>
  <c r="BQ77" i="12" s="1"/>
  <c r="BV77" i="12" s="1"/>
  <c r="BR77" i="12" a="1"/>
  <c r="BR77" i="12" s="1"/>
  <c r="BW77" i="12" s="1"/>
  <c r="BS77" i="12" a="1"/>
  <c r="BS77" i="12" s="1"/>
  <c r="BX77" i="12" s="1"/>
  <c r="BR61" i="12" a="1"/>
  <c r="BR61" i="12" s="1"/>
  <c r="BW61" i="12" s="1"/>
  <c r="CB61" i="12" s="1"/>
  <c r="BT21" i="12" a="1"/>
  <c r="BT21" i="12" s="1"/>
  <c r="BY21" i="12" s="1"/>
  <c r="CI21" i="12" s="1"/>
  <c r="BS26" i="12" a="1"/>
  <c r="BS26" i="12" s="1"/>
  <c r="BX26" i="12" s="1"/>
  <c r="CH26" i="12" s="1"/>
  <c r="BU26" i="12" a="1"/>
  <c r="BU26" i="12" s="1"/>
  <c r="BZ26" i="12" s="1"/>
  <c r="CE26" i="12" s="1"/>
  <c r="BU76" i="12" a="1"/>
  <c r="BU76" i="12" s="1"/>
  <c r="BZ76" i="12" s="1"/>
  <c r="BS76" i="12" a="1"/>
  <c r="BS76" i="12" s="1"/>
  <c r="BX76" i="12" s="1"/>
  <c r="BM76" i="12" a="1"/>
  <c r="BM76" i="12" s="1"/>
  <c r="BN76" i="12" s="1" a="1"/>
  <c r="BN76" i="12" s="1"/>
  <c r="BO76" i="12" s="1" a="1"/>
  <c r="BO76" i="12" s="1"/>
  <c r="BP76" i="12" s="1"/>
  <c r="BR76" i="12" a="1"/>
  <c r="BR76" i="12" s="1"/>
  <c r="BW76" i="12" s="1"/>
  <c r="BT76" i="12" a="1"/>
  <c r="BT76" i="12" s="1"/>
  <c r="BY76" i="12" s="1"/>
  <c r="BQ76" i="12" a="1"/>
  <c r="BQ76" i="12" s="1"/>
  <c r="BV76" i="12" s="1"/>
  <c r="BT40" i="12" a="1"/>
  <c r="BT40" i="12" s="1"/>
  <c r="BY40" i="12" s="1"/>
  <c r="CI40" i="12" s="1"/>
  <c r="BU24" i="12" a="1"/>
  <c r="BU24" i="12" s="1"/>
  <c r="BZ24" i="12" s="1"/>
  <c r="CJ24" i="12" s="1"/>
  <c r="BS12" i="12" a="1"/>
  <c r="BS12" i="12" s="1"/>
  <c r="BX12" i="12" s="1"/>
  <c r="CC12" i="12" s="1"/>
  <c r="BM12" i="12" a="1"/>
  <c r="BM12" i="12" s="1"/>
  <c r="BN12" i="12" s="1" a="1"/>
  <c r="BN12" i="12" s="1"/>
  <c r="K28" i="32" s="1" a="1"/>
  <c r="K28" i="32" s="1"/>
  <c r="BR24" i="12" a="1"/>
  <c r="BR24" i="12" s="1"/>
  <c r="BW24" i="12" s="1"/>
  <c r="CB24" i="12" s="1"/>
  <c r="BS24" i="12" a="1"/>
  <c r="BS24" i="12" s="1"/>
  <c r="BX24" i="12" s="1"/>
  <c r="CC24" i="12" s="1"/>
  <c r="BR12" i="12" a="1"/>
  <c r="BR12" i="12" s="1"/>
  <c r="BW12" i="12" s="1"/>
  <c r="CG12" i="12" s="1"/>
  <c r="BT24" i="12" a="1"/>
  <c r="BT24" i="12" s="1"/>
  <c r="BY24" i="12" s="1"/>
  <c r="CI24" i="12" s="1"/>
  <c r="BT12" i="12" a="1"/>
  <c r="BT12" i="12" s="1"/>
  <c r="BY12" i="12" s="1"/>
  <c r="CI12" i="12" s="1"/>
  <c r="BS40" i="12" a="1"/>
  <c r="BS40" i="12" s="1"/>
  <c r="BX40" i="12" s="1"/>
  <c r="CC40" i="12" s="1"/>
  <c r="BQ24" i="12" a="1"/>
  <c r="BQ24" i="12" s="1"/>
  <c r="BV24" i="12" s="1"/>
  <c r="CA24" i="12" s="1"/>
  <c r="BQ12" i="12" a="1"/>
  <c r="BQ12" i="12" s="1"/>
  <c r="BV12" i="12" s="1"/>
  <c r="CF12" i="12" s="1"/>
  <c r="BR40" i="12" a="1"/>
  <c r="BR40" i="12" s="1"/>
  <c r="BW40" i="12" s="1"/>
  <c r="CG40" i="12" s="1"/>
  <c r="BQ26" i="12" a="1"/>
  <c r="BQ26" i="12" s="1"/>
  <c r="BV26" i="12" s="1"/>
  <c r="CA26" i="12" s="1"/>
  <c r="BR26" i="12" a="1"/>
  <c r="BR26" i="12" s="1"/>
  <c r="BW26" i="12" s="1"/>
  <c r="CG26" i="12" s="1"/>
  <c r="BT26" i="12" a="1"/>
  <c r="BT26" i="12" s="1"/>
  <c r="BY26" i="12" s="1"/>
  <c r="CI26" i="12" s="1"/>
  <c r="BQ8" i="12" a="1"/>
  <c r="BQ8" i="12" s="1"/>
  <c r="BV8" i="12" s="1"/>
  <c r="CF8" i="12" s="1"/>
  <c r="BS44" i="12" a="1"/>
  <c r="BS44" i="12" s="1"/>
  <c r="BX44" i="12" s="1"/>
  <c r="CC44" i="12" s="1"/>
  <c r="BR44" i="12" a="1"/>
  <c r="BR44" i="12" s="1"/>
  <c r="BW44" i="12" s="1"/>
  <c r="CG44" i="12" s="1"/>
  <c r="BR20" i="12" a="1"/>
  <c r="BR20" i="12" s="1"/>
  <c r="BW20" i="12" s="1"/>
  <c r="CB20" i="12" s="1"/>
  <c r="BQ36" i="12" a="1"/>
  <c r="BQ36" i="12" s="1"/>
  <c r="BV36" i="12" s="1"/>
  <c r="CF36" i="12" s="1"/>
  <c r="BU44" i="12" a="1"/>
  <c r="BU44" i="12" s="1"/>
  <c r="BZ44" i="12" s="1"/>
  <c r="CE44" i="12" s="1"/>
  <c r="BS20" i="12" a="1"/>
  <c r="BS20" i="12" s="1"/>
  <c r="BX20" i="12" s="1"/>
  <c r="CC20" i="12" s="1"/>
  <c r="BQ44" i="12" a="1"/>
  <c r="BQ44" i="12" s="1"/>
  <c r="BV44" i="12" s="1"/>
  <c r="CF44" i="12" s="1"/>
  <c r="BM20" i="12" a="1"/>
  <c r="BM20" i="12" s="1"/>
  <c r="BN20" i="12" s="1" a="1"/>
  <c r="BN20" i="12" s="1"/>
  <c r="BO20" i="12" s="1" a="1"/>
  <c r="BO20" i="12" s="1"/>
  <c r="BP20" i="12" s="1"/>
  <c r="BT44" i="12" a="1"/>
  <c r="BT44" i="12" s="1"/>
  <c r="BY44" i="12" s="1"/>
  <c r="CD44" i="12" s="1"/>
  <c r="BT20" i="12" a="1"/>
  <c r="BT20" i="12" s="1"/>
  <c r="BY20" i="12" s="1"/>
  <c r="CD20" i="12" s="1"/>
  <c r="BQ20" i="12" a="1"/>
  <c r="BQ20" i="12" s="1"/>
  <c r="BV20" i="12" s="1"/>
  <c r="CF20" i="12" s="1"/>
  <c r="BT36" i="12" a="1"/>
  <c r="BT36" i="12" s="1"/>
  <c r="BY36" i="12" s="1"/>
  <c r="CI36" i="12" s="1"/>
  <c r="E9" i="32" a="1"/>
  <c r="E9" i="32" s="1"/>
  <c r="E57" i="32" a="1"/>
  <c r="E57" i="32" s="1"/>
  <c r="E59" i="32" a="1"/>
  <c r="E59" i="32" s="1"/>
  <c r="BO65" i="12" a="1"/>
  <c r="BO65" i="12" s="1"/>
  <c r="BP65" i="12" s="1"/>
  <c r="E23" i="32" a="1"/>
  <c r="E23" i="32" s="1"/>
  <c r="E22" i="32" a="1"/>
  <c r="E22" i="32" s="1"/>
  <c r="E35" i="32" a="1"/>
  <c r="E35" i="32" s="1"/>
  <c r="E56" i="32" a="1"/>
  <c r="E56" i="32" s="1"/>
  <c r="E33" i="32" a="1"/>
  <c r="E33" i="32" s="1"/>
  <c r="CI67" i="12"/>
  <c r="CD67" i="12"/>
  <c r="E40" i="32" a="1"/>
  <c r="E40" i="32" s="1"/>
  <c r="E25" i="32" a="1"/>
  <c r="E25" i="32" s="1"/>
  <c r="E17" i="32" a="1"/>
  <c r="E17" i="32" s="1"/>
  <c r="E18" i="32" a="1"/>
  <c r="E18" i="32" s="1"/>
  <c r="BU36" i="12" a="1"/>
  <c r="BU36" i="12" s="1"/>
  <c r="BZ36" i="12" s="1"/>
  <c r="CJ36" i="12" s="1"/>
  <c r="E31" i="32" a="1"/>
  <c r="E31" i="32" s="1"/>
  <c r="E42" i="32" a="1"/>
  <c r="E42" i="32" s="1"/>
  <c r="E55" i="32" a="1"/>
  <c r="E55" i="32" s="1"/>
  <c r="BS36" i="12" a="1"/>
  <c r="BS36" i="12" s="1"/>
  <c r="BX36" i="12" s="1"/>
  <c r="CH36" i="12" s="1"/>
  <c r="E37" i="32" a="1"/>
  <c r="E37" i="32" s="1"/>
  <c r="BR36" i="12" a="1"/>
  <c r="BR36" i="12" s="1"/>
  <c r="BW36" i="12" s="1"/>
  <c r="CB36" i="12" s="1"/>
  <c r="CJ64" i="12"/>
  <c r="CE64" i="12"/>
  <c r="E26" i="32" a="1"/>
  <c r="E26" i="32" s="1"/>
  <c r="E29" i="32" a="1"/>
  <c r="E29" i="32" s="1"/>
  <c r="F26" i="32" a="1"/>
  <c r="F26" i="32" s="1"/>
  <c r="F56" i="32" a="1"/>
  <c r="F56" i="32" s="1"/>
  <c r="F44" i="32" a="1"/>
  <c r="F44" i="32" s="1"/>
  <c r="F47" i="32" a="1"/>
  <c r="F47" i="32" s="1"/>
  <c r="F43" i="32" a="1"/>
  <c r="F43" i="32" s="1"/>
  <c r="F17" i="32" a="1"/>
  <c r="F17" i="32" s="1"/>
  <c r="F38" i="32" a="1"/>
  <c r="F38" i="32" s="1"/>
  <c r="F40" i="32" a="1"/>
  <c r="F40" i="32" s="1"/>
  <c r="F49" i="32" a="1"/>
  <c r="F49" i="32" s="1"/>
  <c r="F64" i="32" a="1"/>
  <c r="F64" i="32" s="1"/>
  <c r="F36" i="32" a="1"/>
  <c r="F36" i="32" s="1"/>
  <c r="F61" i="32" a="1"/>
  <c r="F61" i="32" s="1"/>
  <c r="F25" i="32" a="1"/>
  <c r="F25" i="32" s="1"/>
  <c r="F22" i="32" a="1"/>
  <c r="F22" i="32" s="1"/>
  <c r="M5" i="17"/>
  <c r="F67" i="32" a="1"/>
  <c r="F67" i="32" s="1"/>
  <c r="F35" i="32" a="1"/>
  <c r="F35" i="32" s="1"/>
  <c r="F30" i="32" a="1"/>
  <c r="F30" i="32" s="1"/>
  <c r="F50" i="32" a="1"/>
  <c r="F50" i="32" s="1"/>
  <c r="F65" i="32" a="1"/>
  <c r="F65" i="32" s="1"/>
  <c r="F20" i="32" a="1"/>
  <c r="F20" i="32" s="1"/>
  <c r="F53" i="32" a="1"/>
  <c r="F53" i="32" s="1"/>
  <c r="K55" i="32" a="1"/>
  <c r="K55" i="32" s="1"/>
  <c r="CE16" i="12"/>
  <c r="CJ16" i="12"/>
  <c r="CF39" i="12"/>
  <c r="CA39" i="12"/>
  <c r="CI31" i="12"/>
  <c r="CD31" i="12"/>
  <c r="CF37" i="12"/>
  <c r="CA37" i="12"/>
  <c r="BI8" i="12" a="1"/>
  <c r="BI8" i="12" s="1"/>
  <c r="CH61" i="12"/>
  <c r="CC61" i="12"/>
  <c r="CD7" i="12"/>
  <c r="CI7" i="12"/>
  <c r="CI37" i="12"/>
  <c r="CD37" i="12"/>
  <c r="CE14" i="12"/>
  <c r="CJ14" i="12"/>
  <c r="BI49" i="12" a="1"/>
  <c r="BI49" i="12" s="1"/>
  <c r="BI29" i="12" a="1"/>
  <c r="BI29" i="12" s="1"/>
  <c r="BI54" i="12" a="1"/>
  <c r="BI54" i="12" s="1"/>
  <c r="BI23" i="12" a="1"/>
  <c r="BI23" i="12" s="1"/>
  <c r="CF29" i="12"/>
  <c r="CA29" i="12"/>
  <c r="CI52" i="12"/>
  <c r="CD52" i="12"/>
  <c r="CC56" i="12"/>
  <c r="CH56" i="12"/>
  <c r="BO48" i="12" a="1"/>
  <c r="BO48" i="12" s="1"/>
  <c r="BP48" i="12" s="1"/>
  <c r="K51" i="32" a="1"/>
  <c r="K51" i="32" s="1"/>
  <c r="CJ31" i="12"/>
  <c r="CE31" i="12"/>
  <c r="BI48" i="12" a="1"/>
  <c r="BI48" i="12" s="1"/>
  <c r="BI53" i="12" a="1"/>
  <c r="BI53" i="12" s="1"/>
  <c r="BO22" i="12" a="1"/>
  <c r="BO22" i="12" s="1"/>
  <c r="BP22" i="12" s="1"/>
  <c r="K25" i="32" a="1"/>
  <c r="K25" i="32" s="1"/>
  <c r="CB35" i="12"/>
  <c r="CG35" i="12"/>
  <c r="CE51" i="12"/>
  <c r="CJ51" i="12"/>
  <c r="BO31" i="12" a="1"/>
  <c r="BO31" i="12" s="1"/>
  <c r="BP31" i="12" s="1"/>
  <c r="CE8" i="12"/>
  <c r="CJ8" i="12"/>
  <c r="CF27" i="12"/>
  <c r="CA27" i="12"/>
  <c r="CD30" i="12"/>
  <c r="CI30" i="12"/>
  <c r="CD50" i="12"/>
  <c r="CI50" i="12"/>
  <c r="CD23" i="12"/>
  <c r="CI23" i="12"/>
  <c r="CE37" i="12"/>
  <c r="CJ37" i="12"/>
  <c r="BO10" i="12" a="1"/>
  <c r="BO10" i="12" s="1"/>
  <c r="BP10" i="12" s="1"/>
  <c r="K13" i="32" a="1"/>
  <c r="K13" i="32" s="1"/>
  <c r="BO25" i="12" a="1"/>
  <c r="BO25" i="12" s="1"/>
  <c r="BP25" i="12" s="1"/>
  <c r="BI41" i="12" a="1"/>
  <c r="BI41" i="12" s="1"/>
  <c r="BI38" i="12" a="1"/>
  <c r="BI38" i="12" s="1"/>
  <c r="BI44" i="12" a="1"/>
  <c r="BI44" i="12" s="1"/>
  <c r="BI40" i="12" a="1"/>
  <c r="BI40" i="12" s="1"/>
  <c r="BI3" i="12" a="1"/>
  <c r="BI3" i="12" s="1"/>
  <c r="CH51" i="12"/>
  <c r="CC51" i="12"/>
  <c r="CF15" i="12"/>
  <c r="CA15" i="12"/>
  <c r="K45" i="32" a="1"/>
  <c r="K45" i="32" s="1"/>
  <c r="BO42" i="12" a="1"/>
  <c r="BO42" i="12" s="1"/>
  <c r="BP42" i="12" s="1"/>
  <c r="BO33" i="12" a="1"/>
  <c r="BO33" i="12" s="1"/>
  <c r="BP33" i="12" s="1"/>
  <c r="CC37" i="12"/>
  <c r="CH37" i="12"/>
  <c r="CD32" i="12"/>
  <c r="CI32" i="12"/>
  <c r="BI5" i="12" a="1"/>
  <c r="BI5" i="12" s="1"/>
  <c r="BI34" i="12" a="1"/>
  <c r="BI34" i="12" s="1"/>
  <c r="K46" i="32" a="1"/>
  <c r="K46" i="32" s="1"/>
  <c r="CE58" i="12"/>
  <c r="CJ58" i="12"/>
  <c r="CC3" i="12"/>
  <c r="CH3" i="12"/>
  <c r="K40" i="32" a="1"/>
  <c r="K40" i="32" s="1"/>
  <c r="BI14" i="12" a="1"/>
  <c r="BI14" i="12" s="1"/>
  <c r="CE21" i="12"/>
  <c r="CJ21" i="12"/>
  <c r="BI63" i="12" a="1"/>
  <c r="BI63" i="12" s="1"/>
  <c r="BI9" i="12" a="1"/>
  <c r="BI9" i="12" s="1"/>
  <c r="BI31" i="12" a="1"/>
  <c r="BI31" i="12" s="1"/>
  <c r="BI52" i="12" a="1"/>
  <c r="BI52" i="12" s="1"/>
  <c r="BI25" i="12" a="1"/>
  <c r="BI25" i="12" s="1"/>
  <c r="BI35" i="12" a="1"/>
  <c r="BI35" i="12" s="1"/>
  <c r="BJ35" i="12" s="1"/>
  <c r="K54" i="32" a="1"/>
  <c r="K54" i="32" s="1"/>
  <c r="CB3" i="12"/>
  <c r="CG3" i="12"/>
  <c r="CB19" i="12"/>
  <c r="CG19" i="12"/>
  <c r="BI12" i="12" a="1"/>
  <c r="BI12" i="12" s="1"/>
  <c r="BI30" i="12" a="1"/>
  <c r="BI30" i="12" s="1"/>
  <c r="CC41" i="12"/>
  <c r="CH41" i="12"/>
  <c r="BU4" i="12" a="1"/>
  <c r="BU4" i="12" s="1"/>
  <c r="BZ4" i="12" s="1"/>
  <c r="BR4" i="12" a="1"/>
  <c r="BR4" i="12" s="1"/>
  <c r="BW4" i="12" s="1"/>
  <c r="BS4" i="12" a="1"/>
  <c r="BS4" i="12" s="1"/>
  <c r="BX4" i="12" s="1"/>
  <c r="BM4" i="12" a="1"/>
  <c r="BM4" i="12" s="1"/>
  <c r="BN4" i="12" s="1" a="1"/>
  <c r="BN4" i="12" s="1"/>
  <c r="BQ4" i="12" a="1"/>
  <c r="BQ4" i="12" s="1"/>
  <c r="BV4" i="12" s="1"/>
  <c r="BT4" i="12" a="1"/>
  <c r="BT4" i="12" s="1"/>
  <c r="BY4" i="12" s="1"/>
  <c r="BO26" i="12" a="1"/>
  <c r="BO26" i="12" s="1"/>
  <c r="BP26" i="12" s="1"/>
  <c r="K29" i="32" a="1"/>
  <c r="K29" i="32" s="1"/>
  <c r="CA3" i="12"/>
  <c r="CF3" i="12"/>
  <c r="CD54" i="12"/>
  <c r="CI54" i="12"/>
  <c r="CI11" i="12"/>
  <c r="CD11" i="12"/>
  <c r="CJ19" i="12"/>
  <c r="CE19" i="12"/>
  <c r="CE43" i="12"/>
  <c r="CJ43" i="12"/>
  <c r="CB53" i="12"/>
  <c r="CG53" i="12"/>
  <c r="CF34" i="12"/>
  <c r="CA34" i="12"/>
  <c r="CE3" i="12"/>
  <c r="CJ3" i="12"/>
  <c r="K27" i="32" a="1"/>
  <c r="K27" i="32" s="1"/>
  <c r="BO24" i="12" a="1"/>
  <c r="BO24" i="12" s="1"/>
  <c r="BP24" i="12" s="1"/>
  <c r="BO36" i="12" a="1"/>
  <c r="BO36" i="12" s="1"/>
  <c r="BP36" i="12" s="1"/>
  <c r="K39" i="32" a="1"/>
  <c r="K39" i="32" s="1"/>
  <c r="CD19" i="12"/>
  <c r="CI19" i="12"/>
  <c r="CJ17" i="12"/>
  <c r="CE17" i="12"/>
  <c r="K62" i="32" a="1"/>
  <c r="K62" i="32" s="1"/>
  <c r="CH19" i="12"/>
  <c r="CC19" i="12"/>
  <c r="BI37" i="12" a="1"/>
  <c r="BI37" i="12" s="1"/>
  <c r="BI46" i="12" a="1"/>
  <c r="BI46" i="12" s="1"/>
  <c r="BI61" i="12" a="1"/>
  <c r="BI61" i="12" s="1"/>
  <c r="CH43" i="12"/>
  <c r="BI39" i="12" a="1"/>
  <c r="BI39" i="12" s="1"/>
  <c r="BI4" i="12" a="1"/>
  <c r="BI4" i="12" s="1"/>
  <c r="BI33" i="12" a="1"/>
  <c r="BI33" i="12" s="1"/>
  <c r="CD3" i="12"/>
  <c r="CI3" i="12"/>
  <c r="BI20" i="12" a="1"/>
  <c r="BI20" i="12" s="1"/>
  <c r="BI10" i="12" a="1"/>
  <c r="BI10" i="12" s="1"/>
  <c r="CI13" i="12"/>
  <c r="CD13" i="12"/>
  <c r="CG49" i="12"/>
  <c r="CB49" i="12"/>
  <c r="CG46" i="12"/>
  <c r="CB46" i="12"/>
  <c r="BO3" i="12" a="1"/>
  <c r="BO3" i="12" s="1"/>
  <c r="BP3" i="12" s="1"/>
  <c r="K6" i="32" a="1"/>
  <c r="K6" i="32" s="1"/>
  <c r="CE12" i="12"/>
  <c r="CJ12" i="12"/>
  <c r="CA19" i="12"/>
  <c r="CF19" i="12"/>
  <c r="BI58" i="12" a="1"/>
  <c r="BI58" i="12" s="1"/>
  <c r="BI43" i="12" a="1"/>
  <c r="BI43" i="12" s="1"/>
  <c r="BI26" i="12" a="1"/>
  <c r="BI26" i="12" s="1"/>
  <c r="CD16" i="12"/>
  <c r="CI16" i="12"/>
  <c r="CJ60" i="12"/>
  <c r="CE60" i="12"/>
  <c r="K21" i="32" a="1"/>
  <c r="K21" i="32" s="1"/>
  <c r="BO18" i="12" a="1"/>
  <c r="BO18" i="12" s="1"/>
  <c r="BP18" i="12" s="1"/>
  <c r="CF31" i="12"/>
  <c r="CA31" i="12"/>
  <c r="BO44" i="12" a="1"/>
  <c r="BO44" i="12" s="1"/>
  <c r="BP44" i="12" s="1"/>
  <c r="K47" i="32" a="1"/>
  <c r="K47" i="32" s="1"/>
  <c r="BO55" i="12" a="1"/>
  <c r="BO55" i="12" s="1"/>
  <c r="BP55" i="12" s="1"/>
  <c r="K58" i="32" a="1"/>
  <c r="K58" i="32" s="1"/>
  <c r="K22" i="32" a="1"/>
  <c r="K22" i="32" s="1"/>
  <c r="BO19" i="12" a="1"/>
  <c r="BO19" i="12" s="1"/>
  <c r="BP19" i="12" s="1"/>
  <c r="BO45" i="12" a="1"/>
  <c r="BO45" i="12" s="1"/>
  <c r="BP45" i="12" s="1"/>
  <c r="K48" i="32" a="1"/>
  <c r="K48" i="32" s="1"/>
  <c r="CE20" i="12"/>
  <c r="CJ20" i="12"/>
  <c r="BI55" i="12" a="1"/>
  <c r="BI55" i="12" s="1"/>
  <c r="BI24" i="12" a="1"/>
  <c r="BI24" i="12" s="1"/>
  <c r="BI7" i="12" a="1"/>
  <c r="BI7" i="12" s="1"/>
  <c r="K52" i="32" a="1"/>
  <c r="K52" i="32" s="1"/>
  <c r="CC57" i="12"/>
  <c r="CH57" i="12"/>
  <c r="BI22" i="12" a="1"/>
  <c r="BI22" i="12" s="1"/>
  <c r="BI19" i="12" a="1"/>
  <c r="BI19" i="12" s="1"/>
  <c r="BI59" i="12" a="1"/>
  <c r="BI59" i="12" s="1"/>
  <c r="BI56" i="12" a="1"/>
  <c r="BI56" i="12" s="1"/>
  <c r="BI36" i="12" a="1"/>
  <c r="BI36" i="12" s="1"/>
  <c r="BI57" i="12" a="1"/>
  <c r="BI57" i="12" s="1"/>
  <c r="BI15" i="12" a="1"/>
  <c r="BI15" i="12" s="1"/>
  <c r="BI42" i="12" a="1"/>
  <c r="BI42" i="12" s="1"/>
  <c r="CH6" i="12"/>
  <c r="CC6" i="12"/>
  <c r="K19" i="32" a="1"/>
  <c r="K19" i="32" s="1"/>
  <c r="BI11" i="12" a="1"/>
  <c r="BI11" i="12" s="1"/>
  <c r="BI16" i="12" a="1"/>
  <c r="BI16" i="12" s="1"/>
  <c r="BI32" i="12" a="1"/>
  <c r="BI32" i="12" s="1"/>
  <c r="BI45" i="12" a="1"/>
  <c r="BI45" i="12" s="1"/>
  <c r="BI27" i="12" a="1"/>
  <c r="BI27" i="12" s="1"/>
  <c r="BI28" i="12" a="1"/>
  <c r="BI28" i="12" s="1"/>
  <c r="BI47" i="12" a="1"/>
  <c r="BI47" i="12" s="1"/>
  <c r="CI5" i="12"/>
  <c r="CD5" i="12"/>
  <c r="BO62" i="12" a="1"/>
  <c r="BO62" i="12" s="1"/>
  <c r="BP62" i="12" s="1"/>
  <c r="K65" i="32" a="1"/>
  <c r="K65" i="32" s="1"/>
  <c r="CF47" i="12"/>
  <c r="CA47" i="12"/>
  <c r="CC31" i="12"/>
  <c r="CH31" i="12"/>
  <c r="CJ40" i="12"/>
  <c r="CE40" i="12"/>
  <c r="CE59" i="12"/>
  <c r="CJ59" i="12"/>
  <c r="BO28" i="12" a="1"/>
  <c r="BO28" i="12" s="1"/>
  <c r="BP28" i="12" s="1"/>
  <c r="K31" i="32" a="1"/>
  <c r="K31" i="32" s="1"/>
  <c r="BI6" i="12" a="1"/>
  <c r="BI6" i="12" s="1"/>
  <c r="BI62" i="12" a="1"/>
  <c r="BI62" i="12" s="1"/>
  <c r="BI18" i="12" a="1"/>
  <c r="BI18" i="12" s="1"/>
  <c r="BI13" i="12" a="1"/>
  <c r="BI13" i="12" s="1"/>
  <c r="V42" i="21" a="1"/>
  <c r="V42" i="21" s="1"/>
  <c r="BI60" i="12" a="1"/>
  <c r="BI60" i="12" s="1"/>
  <c r="BI17" i="12" a="1"/>
  <c r="BI17" i="12" s="1"/>
  <c r="BI21" i="12" a="1"/>
  <c r="BI21" i="12" s="1"/>
  <c r="BI51" i="12" a="1"/>
  <c r="BI51" i="12" s="1"/>
  <c r="BI50" i="12" a="1"/>
  <c r="BI50" i="12" s="1"/>
  <c r="BO63" i="12" a="1"/>
  <c r="BO63" i="12" s="1"/>
  <c r="BP63" i="12" s="1"/>
  <c r="K66" i="32" a="1"/>
  <c r="K66" i="32" s="1"/>
  <c r="CH38" i="12"/>
  <c r="CC38" i="12"/>
  <c r="CI48" i="12"/>
  <c r="CD48" i="12"/>
  <c r="CB31" i="12"/>
  <c r="CG31" i="12"/>
  <c r="CC25" i="12"/>
  <c r="CH25" i="12"/>
  <c r="BO9" i="12" a="1"/>
  <c r="BO9" i="12" s="1"/>
  <c r="BP9" i="12" s="1"/>
  <c r="K12" i="32" a="1"/>
  <c r="K12" i="32" s="1"/>
  <c r="K30" i="32" a="1"/>
  <c r="K30" i="32" s="1"/>
  <c r="G50" i="14"/>
  <c r="E50" i="14" a="1"/>
  <c r="E50" i="14" s="1"/>
  <c r="C51" i="14" s="1" a="1"/>
  <c r="C51" i="14" s="1"/>
  <c r="CD59" i="12" l="1"/>
  <c r="CG37" i="12"/>
  <c r="CF59" i="12"/>
  <c r="CA48" i="12"/>
  <c r="CB59" i="12"/>
  <c r="CC59" i="12"/>
  <c r="CG48" i="12"/>
  <c r="CI18" i="12"/>
  <c r="CD43" i="12"/>
  <c r="CA43" i="12"/>
  <c r="CF16" i="12"/>
  <c r="CA51" i="12"/>
  <c r="CA25" i="12"/>
  <c r="CC49" i="12"/>
  <c r="CA22" i="12"/>
  <c r="CG64" i="12"/>
  <c r="CC48" i="12"/>
  <c r="CI25" i="12"/>
  <c r="CJ48" i="12"/>
  <c r="CG25" i="12"/>
  <c r="CB51" i="12"/>
  <c r="CI64" i="12"/>
  <c r="CG43" i="12"/>
  <c r="CK43" i="12" s="1"/>
  <c r="CL43" i="12" s="1"/>
  <c r="CN43" i="12" s="1" a="1"/>
  <c r="CN43" i="12" s="1"/>
  <c r="CO43" i="12" s="1"/>
  <c r="CE18" i="12"/>
  <c r="CI51" i="12"/>
  <c r="CK51" i="12" s="1"/>
  <c r="CL51" i="12" s="1"/>
  <c r="CN51" i="12" s="1" a="1"/>
  <c r="CN51" i="12" s="1"/>
  <c r="CF64" i="12"/>
  <c r="CE25" i="12"/>
  <c r="CJ27" i="12"/>
  <c r="CK27" i="12" s="1"/>
  <c r="CL27" i="12" s="1"/>
  <c r="CN27" i="12" s="1" a="1"/>
  <c r="CN27" i="12" s="1"/>
  <c r="CC27" i="12"/>
  <c r="CE9" i="12"/>
  <c r="CF33" i="12"/>
  <c r="CJ10" i="12"/>
  <c r="CF10" i="12"/>
  <c r="CD49" i="12"/>
  <c r="CC22" i="12"/>
  <c r="CC9" i="12"/>
  <c r="CD27" i="12"/>
  <c r="CJ22" i="12"/>
  <c r="CJ67" i="12"/>
  <c r="CC64" i="12"/>
  <c r="CB27" i="12"/>
  <c r="CB67" i="12"/>
  <c r="CH67" i="12"/>
  <c r="CG62" i="12"/>
  <c r="CB18" i="12"/>
  <c r="CA49" i="12"/>
  <c r="CH10" i="12"/>
  <c r="CA62" i="12"/>
  <c r="CD33" i="12"/>
  <c r="CI10" i="12"/>
  <c r="CJ62" i="12"/>
  <c r="CG10" i="12"/>
  <c r="CE49" i="12"/>
  <c r="CI22" i="12"/>
  <c r="CG16" i="12"/>
  <c r="CA18" i="12"/>
  <c r="CJ33" i="12"/>
  <c r="CC16" i="12"/>
  <c r="CC52" i="12"/>
  <c r="CD62" i="12"/>
  <c r="CB33" i="12"/>
  <c r="CH33" i="12"/>
  <c r="CH18" i="12"/>
  <c r="CG22" i="12"/>
  <c r="CF9" i="12"/>
  <c r="CK9" i="12" s="1"/>
  <c r="CL9" i="12" s="1"/>
  <c r="CN9" i="12" s="1" a="1"/>
  <c r="CN9" i="12" s="1"/>
  <c r="CA67" i="12"/>
  <c r="CJ52" i="12"/>
  <c r="CG52" i="12"/>
  <c r="CF52" i="12"/>
  <c r="CH62" i="12"/>
  <c r="L9" i="32" a="1"/>
  <c r="L9" i="32" s="1"/>
  <c r="L12" i="32" a="1"/>
  <c r="L12" i="32" s="1"/>
  <c r="CD9" i="12"/>
  <c r="L11" i="32" a="1"/>
  <c r="L11" i="32" s="1"/>
  <c r="CB9" i="12"/>
  <c r="L13" i="32" a="1"/>
  <c r="L13" i="32" s="1"/>
  <c r="F10" i="32" a="1"/>
  <c r="F10" i="32" s="1"/>
  <c r="K43" i="32" a="1"/>
  <c r="K43" i="32" s="1"/>
  <c r="K20" i="32" a="1"/>
  <c r="K20" i="32" s="1"/>
  <c r="K33" i="32" a="1"/>
  <c r="K33" i="32" s="1"/>
  <c r="CC30" i="12"/>
  <c r="CD41" i="12"/>
  <c r="CB30" i="12"/>
  <c r="CA30" i="12"/>
  <c r="CE30" i="12"/>
  <c r="CG41" i="12"/>
  <c r="W33" i="21"/>
  <c r="N33" i="21" s="1"/>
  <c r="BO30" i="12" a="1"/>
  <c r="BO30" i="12" s="1"/>
  <c r="BP30" i="12" s="1"/>
  <c r="L33" i="32" s="1" a="1"/>
  <c r="L33" i="32" s="1"/>
  <c r="K44" i="32" a="1"/>
  <c r="K44" i="32" s="1"/>
  <c r="CA41" i="12"/>
  <c r="CJ41" i="12"/>
  <c r="K56" i="32" a="1"/>
  <c r="K56" i="32" s="1"/>
  <c r="CB17" i="12"/>
  <c r="CI53" i="12"/>
  <c r="CA17" i="12"/>
  <c r="CH53" i="12"/>
  <c r="K16" i="32" a="1"/>
  <c r="K16" i="32" s="1"/>
  <c r="M43" i="21" a="1"/>
  <c r="M43" i="21" s="1"/>
  <c r="W43" i="21"/>
  <c r="N43" i="21" s="1"/>
  <c r="CF11" i="12"/>
  <c r="CF53" i="12"/>
  <c r="CJ5" i="12"/>
  <c r="CG5" i="12"/>
  <c r="CE55" i="12"/>
  <c r="CD17" i="12"/>
  <c r="CJ56" i="12"/>
  <c r="CA5" i="12"/>
  <c r="AD8" i="32" s="1" a="1"/>
  <c r="AD8" i="32" s="1"/>
  <c r="CE53" i="12"/>
  <c r="AD56" i="32" s="1" a="1"/>
  <c r="AD56" i="32" s="1"/>
  <c r="CH5" i="12"/>
  <c r="CH11" i="12"/>
  <c r="K37" i="32" a="1"/>
  <c r="K37" i="32" s="1"/>
  <c r="CC17" i="12"/>
  <c r="CA56" i="12"/>
  <c r="K50" i="32" a="1"/>
  <c r="K50" i="32" s="1"/>
  <c r="CJ34" i="12"/>
  <c r="CJ47" i="12"/>
  <c r="BO5" i="12" a="1"/>
  <c r="BO5" i="12" s="1"/>
  <c r="BP5" i="12" s="1"/>
  <c r="L8" i="32" s="1" a="1"/>
  <c r="L8" i="32" s="1"/>
  <c r="CG34" i="12"/>
  <c r="CI56" i="12"/>
  <c r="K18" i="32" a="1"/>
  <c r="K18" i="32" s="1"/>
  <c r="BO40" i="12" a="1"/>
  <c r="BO40" i="12" s="1"/>
  <c r="BP40" i="12" s="1"/>
  <c r="L43" i="32" s="1" a="1"/>
  <c r="L43" i="32" s="1"/>
  <c r="CD34" i="12"/>
  <c r="AD37" i="32" s="1" a="1"/>
  <c r="AD37" i="32" s="1"/>
  <c r="CJ35" i="12"/>
  <c r="CJ15" i="12"/>
  <c r="CB47" i="12"/>
  <c r="AD50" i="32" s="1" a="1"/>
  <c r="AD50" i="32" s="1"/>
  <c r="CH34" i="12"/>
  <c r="CB56" i="12"/>
  <c r="CB63" i="12"/>
  <c r="CH39" i="12"/>
  <c r="CH47" i="12"/>
  <c r="CB11" i="12"/>
  <c r="AD14" i="32" s="1" a="1"/>
  <c r="AD14" i="32" s="1"/>
  <c r="CD45" i="12"/>
  <c r="CJ63" i="12"/>
  <c r="CJ45" i="12"/>
  <c r="CB8" i="12"/>
  <c r="K11" i="32" a="1"/>
  <c r="K11" i="32" s="1"/>
  <c r="CA54" i="12"/>
  <c r="CE50" i="12"/>
  <c r="CG23" i="12"/>
  <c r="CJ38" i="12"/>
  <c r="CF46" i="12"/>
  <c r="CF35" i="12"/>
  <c r="CE29" i="12"/>
  <c r="CI47" i="12"/>
  <c r="CH15" i="12"/>
  <c r="CA6" i="12"/>
  <c r="CJ11" i="12"/>
  <c r="CA40" i="12"/>
  <c r="BO11" i="12" a="1"/>
  <c r="BO11" i="12" s="1"/>
  <c r="BP11" i="12" s="1"/>
  <c r="L14" i="32" s="1" a="1"/>
  <c r="L14" i="32" s="1"/>
  <c r="CC35" i="12"/>
  <c r="CE54" i="12"/>
  <c r="CG15" i="12"/>
  <c r="CI6" i="12"/>
  <c r="CH14" i="12"/>
  <c r="CA13" i="12"/>
  <c r="AD16" i="32" s="1" a="1"/>
  <c r="AD16" i="32" s="1"/>
  <c r="K9" i="32" a="1"/>
  <c r="K9" i="32" s="1"/>
  <c r="CC21" i="12"/>
  <c r="CC32" i="12"/>
  <c r="CF14" i="12"/>
  <c r="CA60" i="12"/>
  <c r="CA38" i="12"/>
  <c r="AD41" i="32" s="1" a="1"/>
  <c r="AD41" i="32" s="1"/>
  <c r="CI46" i="12"/>
  <c r="BO17" i="12" a="1"/>
  <c r="BO17" i="12" s="1"/>
  <c r="BP17" i="12" s="1"/>
  <c r="L20" i="32" s="1" a="1"/>
  <c r="L20" i="32" s="1"/>
  <c r="CH45" i="12"/>
  <c r="CG32" i="12"/>
  <c r="BO46" i="12" a="1"/>
  <c r="BO46" i="12" s="1"/>
  <c r="BP46" i="12" s="1"/>
  <c r="L49" i="32" s="1" a="1"/>
  <c r="L49" i="32" s="1"/>
  <c r="K17" i="32" a="1"/>
  <c r="K17" i="32" s="1"/>
  <c r="CF42" i="12"/>
  <c r="CH60" i="12"/>
  <c r="CB65" i="12"/>
  <c r="CF65" i="12"/>
  <c r="CI15" i="12"/>
  <c r="CJ6" i="12"/>
  <c r="CC50" i="12"/>
  <c r="CI8" i="12"/>
  <c r="CA61" i="12"/>
  <c r="CB7" i="12"/>
  <c r="CD35" i="12"/>
  <c r="AD38" i="32" s="1" a="1"/>
  <c r="AD38" i="32" s="1"/>
  <c r="CA45" i="12"/>
  <c r="CC58" i="12"/>
  <c r="CF68" i="12"/>
  <c r="CA55" i="12"/>
  <c r="CD58" i="12"/>
  <c r="CG54" i="12"/>
  <c r="CK54" i="12" s="1"/>
  <c r="CL54" i="12" s="1"/>
  <c r="CN54" i="12" s="1" a="1"/>
  <c r="CN54" i="12" s="1"/>
  <c r="K23" i="32" a="1"/>
  <c r="K23" i="32" s="1"/>
  <c r="CI39" i="12"/>
  <c r="CB50" i="12"/>
  <c r="CH65" i="12"/>
  <c r="CC54" i="12"/>
  <c r="CD14" i="12"/>
  <c r="CB21" i="12"/>
  <c r="CH55" i="12"/>
  <c r="CK55" i="12" s="1"/>
  <c r="CL55" i="12" s="1"/>
  <c r="CN55" i="12" s="1" a="1"/>
  <c r="CN55" i="12" s="1"/>
  <c r="K53" i="32" a="1"/>
  <c r="K53" i="32" s="1"/>
  <c r="CJ46" i="12"/>
  <c r="BO32" i="12" a="1"/>
  <c r="BO32" i="12" s="1"/>
  <c r="BP32" i="12" s="1"/>
  <c r="L35" i="32" s="1" a="1"/>
  <c r="L35" i="32" s="1"/>
  <c r="K32" i="32" a="1"/>
  <c r="K32" i="32" s="1"/>
  <c r="CD68" i="12"/>
  <c r="CB6" i="12"/>
  <c r="CB14" i="12"/>
  <c r="CB45" i="12"/>
  <c r="CI38" i="12"/>
  <c r="CB29" i="12"/>
  <c r="CH29" i="12"/>
  <c r="CK29" i="12" s="1"/>
  <c r="CL29" i="12" s="1"/>
  <c r="CN29" i="12" s="1" a="1"/>
  <c r="CN29" i="12" s="1"/>
  <c r="CB55" i="12"/>
  <c r="CE65" i="12"/>
  <c r="CH44" i="12"/>
  <c r="K61" i="32" a="1"/>
  <c r="K61" i="32" s="1"/>
  <c r="CB57" i="12"/>
  <c r="CB42" i="12"/>
  <c r="CF50" i="12"/>
  <c r="CK50" i="12" s="1"/>
  <c r="CL50" i="12" s="1"/>
  <c r="CN50" i="12" s="1" a="1"/>
  <c r="CN50" i="12" s="1"/>
  <c r="CH63" i="12"/>
  <c r="BO12" i="12" a="1"/>
  <c r="BO12" i="12" s="1"/>
  <c r="BP12" i="12" s="1"/>
  <c r="L15" i="32" s="1" a="1"/>
  <c r="L15" i="32" s="1"/>
  <c r="K24" i="32" a="1"/>
  <c r="K24" i="32" s="1"/>
  <c r="CD29" i="12"/>
  <c r="CH8" i="12"/>
  <c r="CG13" i="12"/>
  <c r="CD55" i="12"/>
  <c r="CH46" i="12"/>
  <c r="CF24" i="12"/>
  <c r="CB58" i="12"/>
  <c r="CC23" i="12"/>
  <c r="CF21" i="12"/>
  <c r="CK21" i="12" s="1"/>
  <c r="CL21" i="12" s="1"/>
  <c r="CN21" i="12" s="1" a="1"/>
  <c r="CN21" i="12" s="1"/>
  <c r="K26" i="32" a="1"/>
  <c r="K26" i="32" s="1"/>
  <c r="CE61" i="12"/>
  <c r="CI28" i="12"/>
  <c r="CA57" i="12"/>
  <c r="K42" i="32" a="1"/>
  <c r="K42" i="32" s="1"/>
  <c r="CE39" i="12"/>
  <c r="CA28" i="12"/>
  <c r="CJ23" i="12"/>
  <c r="CF58" i="12"/>
  <c r="CK58" i="12" s="1"/>
  <c r="CL58" i="12" s="1"/>
  <c r="CN58" i="12" s="1" a="1"/>
  <c r="CN58" i="12" s="1"/>
  <c r="CD24" i="12"/>
  <c r="CJ26" i="12"/>
  <c r="CE7" i="12"/>
  <c r="CE68" i="12"/>
  <c r="CD12" i="12"/>
  <c r="CB39" i="12"/>
  <c r="CG38" i="12"/>
  <c r="CJ13" i="12"/>
  <c r="CA63" i="12"/>
  <c r="K63" i="32" a="1"/>
  <c r="K63" i="32" s="1"/>
  <c r="CJ42" i="12"/>
  <c r="K60" i="32" a="1"/>
  <c r="K60" i="32" s="1"/>
  <c r="CD65" i="12"/>
  <c r="BO14" i="12" a="1"/>
  <c r="BO14" i="12" s="1"/>
  <c r="BP14" i="12" s="1"/>
  <c r="L17" i="32" s="1" a="1"/>
  <c r="L17" i="32" s="1"/>
  <c r="CC7" i="12"/>
  <c r="CB60" i="12"/>
  <c r="CJ28" i="12"/>
  <c r="CA7" i="12"/>
  <c r="CD63" i="12"/>
  <c r="CI60" i="12"/>
  <c r="CC42" i="12"/>
  <c r="CH13" i="12"/>
  <c r="CH24" i="12"/>
  <c r="CB28" i="12"/>
  <c r="BO7" i="12" a="1"/>
  <c r="BO7" i="12" s="1"/>
  <c r="BP7" i="12" s="1"/>
  <c r="L10" i="32" s="1" a="1"/>
  <c r="L10" i="32" s="1"/>
  <c r="CF26" i="12"/>
  <c r="CA23" i="12"/>
  <c r="CJ32" i="12"/>
  <c r="CJ57" i="12"/>
  <c r="CA32" i="12"/>
  <c r="CG24" i="12"/>
  <c r="K70" i="32" a="1"/>
  <c r="K70" i="32" s="1"/>
  <c r="CC28" i="12"/>
  <c r="K59" i="32" a="1"/>
  <c r="K59" i="32" s="1"/>
  <c r="K38" i="32" a="1"/>
  <c r="K38" i="32" s="1"/>
  <c r="CG68" i="12"/>
  <c r="CB68" i="12"/>
  <c r="CE24" i="12"/>
  <c r="F14" i="32" a="1"/>
  <c r="F14" i="32" s="1"/>
  <c r="CB26" i="12"/>
  <c r="CI57" i="12"/>
  <c r="K57" i="32" a="1"/>
  <c r="K57" i="32" s="1"/>
  <c r="CD61" i="12"/>
  <c r="CG61" i="12"/>
  <c r="CK61" i="12" s="1"/>
  <c r="CL61" i="12" s="1"/>
  <c r="CN61" i="12" s="1" a="1"/>
  <c r="CN61" i="12" s="1"/>
  <c r="CD21" i="12"/>
  <c r="K36" i="32" a="1"/>
  <c r="K36" i="32" s="1"/>
  <c r="CD40" i="12"/>
  <c r="K41" i="32" a="1"/>
  <c r="K41" i="32" s="1"/>
  <c r="K15" i="32" a="1"/>
  <c r="K15" i="32" s="1"/>
  <c r="CD26" i="12"/>
  <c r="K64" i="32" a="1"/>
  <c r="K64" i="32" s="1"/>
  <c r="CG20" i="12"/>
  <c r="CC26" i="12"/>
  <c r="F13" i="32" a="1"/>
  <c r="F13" i="32" s="1"/>
  <c r="CB12" i="12"/>
  <c r="L61" i="32" a="1"/>
  <c r="L61" i="32" s="1"/>
  <c r="L37" i="32" a="1"/>
  <c r="L37" i="32" s="1"/>
  <c r="L68" i="32" a="1"/>
  <c r="L68" i="32" s="1"/>
  <c r="L23" i="32" a="1"/>
  <c r="L23" i="32" s="1"/>
  <c r="CI42" i="12"/>
  <c r="L60" i="32" a="1"/>
  <c r="L60" i="32" s="1"/>
  <c r="L66" i="32" a="1"/>
  <c r="L66" i="32" s="1"/>
  <c r="L45" i="32" a="1"/>
  <c r="L45" i="32" s="1"/>
  <c r="L52" i="32" a="1"/>
  <c r="L52" i="32" s="1"/>
  <c r="L16" i="32" a="1"/>
  <c r="L16" i="32" s="1"/>
  <c r="L28" i="32" a="1"/>
  <c r="L28" i="32" s="1"/>
  <c r="L31" i="32" a="1"/>
  <c r="L31" i="32" s="1"/>
  <c r="L30" i="32" a="1"/>
  <c r="L30" i="32" s="1"/>
  <c r="L47" i="32" a="1"/>
  <c r="L47" i="32" s="1"/>
  <c r="L63" i="32" a="1"/>
  <c r="L63" i="32" s="1"/>
  <c r="L54" i="32" a="1"/>
  <c r="L54" i="32" s="1"/>
  <c r="L64" i="32" a="1"/>
  <c r="L64" i="32" s="1"/>
  <c r="L24" i="32" a="1"/>
  <c r="L24" i="32" s="1"/>
  <c r="L56" i="32" a="1"/>
  <c r="L56" i="32" s="1"/>
  <c r="L62" i="32" a="1"/>
  <c r="L62" i="32" s="1"/>
  <c r="L32" i="32" a="1"/>
  <c r="L32" i="32" s="1"/>
  <c r="L22" i="32" a="1"/>
  <c r="L22" i="32" s="1"/>
  <c r="L53" i="32" a="1"/>
  <c r="L53" i="32" s="1"/>
  <c r="L67" i="32" a="1"/>
  <c r="L67" i="32" s="1"/>
  <c r="CF76" i="12"/>
  <c r="CA76" i="12"/>
  <c r="CJ77" i="12"/>
  <c r="CE77" i="12"/>
  <c r="CB72" i="12"/>
  <c r="CG72" i="12"/>
  <c r="CC75" i="12"/>
  <c r="CH75" i="12"/>
  <c r="CF71" i="12"/>
  <c r="CA71" i="12"/>
  <c r="CI76" i="12"/>
  <c r="CD76" i="12"/>
  <c r="CF75" i="12"/>
  <c r="CA75" i="12"/>
  <c r="CH71" i="12"/>
  <c r="CC71" i="12"/>
  <c r="L72" i="32" a="1"/>
  <c r="L72" i="32" s="1"/>
  <c r="L41" i="32" a="1"/>
  <c r="L41" i="32" s="1"/>
  <c r="L70" i="32" a="1"/>
  <c r="L70" i="32" s="1"/>
  <c r="CG76" i="12"/>
  <c r="CB76" i="12"/>
  <c r="CB74" i="12"/>
  <c r="CG74" i="12"/>
  <c r="CG75" i="12"/>
  <c r="CB75" i="12"/>
  <c r="CE69" i="12"/>
  <c r="CJ69" i="12"/>
  <c r="L38" i="32" a="1"/>
  <c r="L38" i="32" s="1"/>
  <c r="CJ73" i="12"/>
  <c r="CE73" i="12"/>
  <c r="CD75" i="12"/>
  <c r="CI75" i="12"/>
  <c r="CI69" i="12"/>
  <c r="CD69" i="12"/>
  <c r="CC73" i="12"/>
  <c r="CH73" i="12"/>
  <c r="CE75" i="12"/>
  <c r="CJ75" i="12"/>
  <c r="CG69" i="12"/>
  <c r="CB69" i="12"/>
  <c r="CE74" i="12"/>
  <c r="CJ74" i="12"/>
  <c r="CJ76" i="12"/>
  <c r="CE76" i="12"/>
  <c r="CA74" i="12"/>
  <c r="CF74" i="12"/>
  <c r="CA73" i="12"/>
  <c r="CF73" i="12"/>
  <c r="CI70" i="12"/>
  <c r="CD70" i="12"/>
  <c r="CH69" i="12"/>
  <c r="CC69" i="12"/>
  <c r="L57" i="32" a="1"/>
  <c r="L57" i="32" s="1"/>
  <c r="CH74" i="12"/>
  <c r="CC74" i="12"/>
  <c r="CG70" i="12"/>
  <c r="CB70" i="12"/>
  <c r="CF69" i="12"/>
  <c r="CA69" i="12"/>
  <c r="CG73" i="12"/>
  <c r="CB73" i="12"/>
  <c r="CH70" i="12"/>
  <c r="CC70" i="12"/>
  <c r="CA66" i="12"/>
  <c r="CF66" i="12"/>
  <c r="L29" i="32" a="1"/>
  <c r="L29" i="32" s="1"/>
  <c r="L46" i="32" a="1"/>
  <c r="L46" i="32" s="1"/>
  <c r="L25" i="32" a="1"/>
  <c r="L25" i="32" s="1"/>
  <c r="CI73" i="12"/>
  <c r="CD73" i="12"/>
  <c r="CJ66" i="12"/>
  <c r="CE66" i="12"/>
  <c r="CH72" i="12"/>
  <c r="CC72" i="12"/>
  <c r="CE70" i="12"/>
  <c r="CJ70" i="12"/>
  <c r="CG66" i="12"/>
  <c r="CB66" i="12"/>
  <c r="CC76" i="12"/>
  <c r="CH76" i="12"/>
  <c r="L42" i="32" a="1"/>
  <c r="L42" i="32" s="1"/>
  <c r="CD36" i="12"/>
  <c r="L59" i="32" a="1"/>
  <c r="L59" i="32" s="1"/>
  <c r="F7" i="32" a="1"/>
  <c r="F7" i="32" s="1"/>
  <c r="K69" i="32" a="1"/>
  <c r="K69" i="32" s="1"/>
  <c r="K72" i="32" a="1"/>
  <c r="K72" i="32" s="1"/>
  <c r="CH77" i="12"/>
  <c r="CC77" i="12"/>
  <c r="CD72" i="12"/>
  <c r="CI72" i="12"/>
  <c r="CF70" i="12"/>
  <c r="CA70" i="12"/>
  <c r="CC66" i="12"/>
  <c r="CH66" i="12"/>
  <c r="CI74" i="12"/>
  <c r="CD74" i="12"/>
  <c r="K34" i="32" a="1"/>
  <c r="K34" i="32" s="1"/>
  <c r="F8" i="32" a="1"/>
  <c r="F8" i="32" s="1"/>
  <c r="CB77" i="12"/>
  <c r="CG77" i="12"/>
  <c r="CF72" i="12"/>
  <c r="CA72" i="12"/>
  <c r="CG71" i="12"/>
  <c r="CB71" i="12"/>
  <c r="L69" i="32" a="1"/>
  <c r="L69" i="32" s="1"/>
  <c r="F6" i="32" a="1"/>
  <c r="F6" i="32" s="1"/>
  <c r="CF77" i="12"/>
  <c r="CA77" i="12"/>
  <c r="CE71" i="12"/>
  <c r="CJ71" i="12"/>
  <c r="CI66" i="12"/>
  <c r="CD66" i="12"/>
  <c r="L55" i="32" a="1"/>
  <c r="L55" i="32" s="1"/>
  <c r="K67" i="32" a="1"/>
  <c r="K67" i="32" s="1"/>
  <c r="K71" i="32" a="1"/>
  <c r="K71" i="32" s="1"/>
  <c r="CD77" i="12"/>
  <c r="CI77" i="12"/>
  <c r="CE72" i="12"/>
  <c r="CJ72" i="12"/>
  <c r="CI71" i="12"/>
  <c r="CD71" i="12"/>
  <c r="L71" i="32" a="1"/>
  <c r="L71" i="32" s="1"/>
  <c r="CB40" i="12"/>
  <c r="CA12" i="12"/>
  <c r="CH40" i="12"/>
  <c r="CK40" i="12" s="1"/>
  <c r="CL40" i="12" s="1"/>
  <c r="CN40" i="12" s="1" a="1"/>
  <c r="CN40" i="12" s="1"/>
  <c r="CH12" i="12"/>
  <c r="CK12" i="12" s="1"/>
  <c r="CL12" i="12" s="1"/>
  <c r="CN12" i="12" s="1" a="1"/>
  <c r="CN12" i="12" s="1"/>
  <c r="CA8" i="12"/>
  <c r="CJ44" i="12"/>
  <c r="CB44" i="12"/>
  <c r="CA36" i="12"/>
  <c r="CC36" i="12"/>
  <c r="CA44" i="12"/>
  <c r="CH20" i="12"/>
  <c r="CI44" i="12"/>
  <c r="CA20" i="12"/>
  <c r="AD23" i="32" s="1" a="1"/>
  <c r="AD23" i="32" s="1"/>
  <c r="CI20" i="12"/>
  <c r="CG36" i="12"/>
  <c r="CK36" i="12" s="1"/>
  <c r="CL36" i="12" s="1"/>
  <c r="CN36" i="12" s="1" a="1"/>
  <c r="CN36" i="12" s="1"/>
  <c r="CE36" i="12"/>
  <c r="F24" i="32" a="1"/>
  <c r="F24" i="32" s="1"/>
  <c r="F66" i="32" a="1"/>
  <c r="F66" i="32" s="1"/>
  <c r="F62" i="32" a="1"/>
  <c r="F62" i="32" s="1"/>
  <c r="F31" i="32" a="1"/>
  <c r="F31" i="32" s="1"/>
  <c r="F41" i="32" a="1"/>
  <c r="F41" i="32" s="1"/>
  <c r="F27" i="32" a="1"/>
  <c r="F27" i="32" s="1"/>
  <c r="F33" i="32" a="1"/>
  <c r="F33" i="32" s="1"/>
  <c r="F48" i="32" a="1"/>
  <c r="F48" i="32" s="1"/>
  <c r="F15" i="32" a="1"/>
  <c r="F15" i="32" s="1"/>
  <c r="F29" i="32" a="1"/>
  <c r="F29" i="32" s="1"/>
  <c r="F19" i="32" a="1"/>
  <c r="F19" i="32" s="1"/>
  <c r="F46" i="32" a="1"/>
  <c r="F46" i="32" s="1"/>
  <c r="F28" i="32" a="1"/>
  <c r="F28" i="32" s="1"/>
  <c r="F51" i="32" a="1"/>
  <c r="F51" i="32" s="1"/>
  <c r="F54" i="32" a="1"/>
  <c r="F54" i="32" s="1"/>
  <c r="F55" i="32" a="1"/>
  <c r="F55" i="32" s="1"/>
  <c r="F45" i="32" a="1"/>
  <c r="F45" i="32" s="1"/>
  <c r="F34" i="32" a="1"/>
  <c r="F34" i="32" s="1"/>
  <c r="F18" i="32" a="1"/>
  <c r="F18" i="32" s="1"/>
  <c r="F23" i="32" a="1"/>
  <c r="F23" i="32" s="1"/>
  <c r="F12" i="32" a="1"/>
  <c r="F12" i="32" s="1"/>
  <c r="F32" i="32" a="1"/>
  <c r="F32" i="32" s="1"/>
  <c r="F63" i="32" a="1"/>
  <c r="F63" i="32" s="1"/>
  <c r="F70" i="32" a="1"/>
  <c r="F70" i="32" s="1"/>
  <c r="F52" i="32" a="1"/>
  <c r="F52" i="32" s="1"/>
  <c r="F16" i="32" a="1"/>
  <c r="F16" i="32" s="1"/>
  <c r="F39" i="32" a="1"/>
  <c r="F39" i="32" s="1"/>
  <c r="F11" i="32" a="1"/>
  <c r="F11" i="32" s="1"/>
  <c r="AD67" i="32" a="1"/>
  <c r="AD67" i="32" s="1"/>
  <c r="F21" i="32" a="1"/>
  <c r="F21" i="32" s="1"/>
  <c r="F37" i="32" a="1"/>
  <c r="F37" i="32" s="1"/>
  <c r="F42" i="32" a="1"/>
  <c r="F42" i="32" s="1"/>
  <c r="F9" i="32" a="1"/>
  <c r="F9" i="32" s="1"/>
  <c r="AD70" i="32" a="1"/>
  <c r="AD70" i="32" s="1"/>
  <c r="AD13" i="32" a="1"/>
  <c r="AD13" i="32" s="1"/>
  <c r="AD21" i="32" a="1"/>
  <c r="AD21" i="32" s="1"/>
  <c r="AD49" i="32" a="1"/>
  <c r="AD49" i="32" s="1"/>
  <c r="AD22" i="32" a="1"/>
  <c r="AD22" i="32" s="1"/>
  <c r="AD54" i="32" a="1"/>
  <c r="AD54" i="32" s="1"/>
  <c r="BJ28" i="12"/>
  <c r="BK28" i="12" s="1" a="1"/>
  <c r="BK28" i="12" s="1"/>
  <c r="AD65" i="32" a="1"/>
  <c r="AD65" i="32" s="1"/>
  <c r="CK31" i="12"/>
  <c r="CL31" i="12" s="1"/>
  <c r="CN31" i="12" s="1" a="1"/>
  <c r="CN31" i="12" s="1"/>
  <c r="L48" i="32" a="1"/>
  <c r="L48" i="32" s="1"/>
  <c r="L65" i="32" a="1"/>
  <c r="L65" i="32" s="1"/>
  <c r="BJ24" i="12"/>
  <c r="AD18" i="32" a="1"/>
  <c r="AD18" i="32" s="1"/>
  <c r="F71" i="32" a="1"/>
  <c r="F71" i="32" s="1"/>
  <c r="F59" i="32" a="1"/>
  <c r="F59" i="32" s="1"/>
  <c r="BJ16" i="12"/>
  <c r="BJ7" i="12"/>
  <c r="BJ47" i="12"/>
  <c r="BO4" i="12" a="1"/>
  <c r="BO4" i="12" s="1"/>
  <c r="BP4" i="12" s="1"/>
  <c r="L7" i="32" s="1" a="1"/>
  <c r="L7" i="32" s="1"/>
  <c r="K7" i="32" a="1"/>
  <c r="K7" i="32" s="1"/>
  <c r="AD52" i="32" a="1"/>
  <c r="AD52" i="32" s="1"/>
  <c r="BK35" i="12" a="1"/>
  <c r="BK35" i="12" s="1"/>
  <c r="AD12" i="32" a="1"/>
  <c r="AD12" i="32" s="1"/>
  <c r="AD55" i="32" a="1"/>
  <c r="AD55" i="32" s="1"/>
  <c r="L58" i="32" a="1"/>
  <c r="L58" i="32" s="1"/>
  <c r="BJ57" i="12"/>
  <c r="G67" i="32" a="1"/>
  <c r="G67" i="32" s="1"/>
  <c r="BJ26" i="12"/>
  <c r="G29" i="32" a="1"/>
  <c r="G29" i="32" s="1"/>
  <c r="L39" i="32" a="1"/>
  <c r="L39" i="32" s="1"/>
  <c r="CH4" i="12"/>
  <c r="CC4" i="12"/>
  <c r="CK49" i="12"/>
  <c r="CL49" i="12" s="1"/>
  <c r="CN49" i="12" s="1" a="1"/>
  <c r="CN49" i="12" s="1"/>
  <c r="BJ25" i="12"/>
  <c r="G31" i="32" a="1"/>
  <c r="G31" i="32" s="1"/>
  <c r="BJ45" i="12"/>
  <c r="BJ56" i="12"/>
  <c r="BJ10" i="12"/>
  <c r="BJ39" i="12"/>
  <c r="CK3" i="12"/>
  <c r="CL3" i="12" s="1"/>
  <c r="CN3" i="12" s="1" a="1"/>
  <c r="CN3" i="12" s="1"/>
  <c r="CO3" i="12" s="1"/>
  <c r="CG4" i="12"/>
  <c r="CB4" i="12"/>
  <c r="BJ52" i="12"/>
  <c r="L26" i="32" a="1"/>
  <c r="L26" i="32" s="1"/>
  <c r="BJ15" i="12"/>
  <c r="BJ4" i="12"/>
  <c r="CF4" i="12"/>
  <c r="CA4" i="12"/>
  <c r="BJ27" i="12"/>
  <c r="G30" i="32" a="1"/>
  <c r="G30" i="32" s="1"/>
  <c r="BJ36" i="12"/>
  <c r="L18" i="32" a="1"/>
  <c r="L18" i="32" s="1"/>
  <c r="L6" i="32" a="1"/>
  <c r="L6" i="32" s="1"/>
  <c r="BJ50" i="12"/>
  <c r="G53" i="32" a="1"/>
  <c r="G53" i="32" s="1"/>
  <c r="BJ32" i="12"/>
  <c r="BJ59" i="12"/>
  <c r="N5" i="17" a="1"/>
  <c r="N5" i="17" s="1"/>
  <c r="L44" i="32" a="1"/>
  <c r="L44" i="32" s="1"/>
  <c r="BJ20" i="12"/>
  <c r="AD6" i="32" a="1"/>
  <c r="AD6" i="32" s="1"/>
  <c r="CE4" i="12"/>
  <c r="CJ4" i="12"/>
  <c r="L36" i="32" a="1"/>
  <c r="L36" i="32" s="1"/>
  <c r="AD28" i="32" a="1"/>
  <c r="AD28" i="32" s="1"/>
  <c r="L50" i="32" a="1"/>
  <c r="L50" i="32" s="1"/>
  <c r="BJ30" i="12"/>
  <c r="G33" i="32" a="1"/>
  <c r="G33" i="32" s="1"/>
  <c r="BJ14" i="12"/>
  <c r="BJ21" i="12"/>
  <c r="BJ11" i="12"/>
  <c r="L19" i="32" a="1"/>
  <c r="L19" i="32" s="1"/>
  <c r="BJ22" i="12"/>
  <c r="L21" i="32" a="1"/>
  <c r="L21" i="32" s="1"/>
  <c r="BJ58" i="12"/>
  <c r="BJ61" i="12"/>
  <c r="BJ12" i="12"/>
  <c r="BJ31" i="12"/>
  <c r="G34" i="32" a="1"/>
  <c r="G34" i="32" s="1"/>
  <c r="BJ3" i="12"/>
  <c r="AD36" i="32" a="1"/>
  <c r="AD36" i="32" s="1"/>
  <c r="F69" i="32" a="1"/>
  <c r="F69" i="32" s="1"/>
  <c r="F58" i="32" a="1"/>
  <c r="F58" i="32" s="1"/>
  <c r="BJ43" i="12"/>
  <c r="BJ46" i="12"/>
  <c r="AD46" i="32" a="1"/>
  <c r="AD46" i="32" s="1"/>
  <c r="BJ9" i="12"/>
  <c r="BJ40" i="12"/>
  <c r="G43" i="32" a="1"/>
  <c r="G43" i="32" s="1"/>
  <c r="BJ23" i="12"/>
  <c r="G26" i="32" a="1"/>
  <c r="G26" i="32" s="1"/>
  <c r="AD34" i="32" a="1"/>
  <c r="AD34" i="32" s="1"/>
  <c r="BJ37" i="12"/>
  <c r="BJ63" i="12"/>
  <c r="BJ34" i="12"/>
  <c r="BJ44" i="12"/>
  <c r="G47" i="32" a="1"/>
  <c r="G47" i="32" s="1"/>
  <c r="BJ54" i="12"/>
  <c r="AD40" i="32" a="1"/>
  <c r="AD40" i="32" s="1"/>
  <c r="BJ53" i="12"/>
  <c r="BJ29" i="12"/>
  <c r="G32" i="32" a="1"/>
  <c r="G32" i="32" s="1"/>
  <c r="CK37" i="12"/>
  <c r="CL37" i="12" s="1"/>
  <c r="CN37" i="12" s="1" a="1"/>
  <c r="CN37" i="12" s="1"/>
  <c r="BJ51" i="12"/>
  <c r="AD19" i="32" a="1"/>
  <c r="AD19" i="32" s="1"/>
  <c r="BJ17" i="12"/>
  <c r="W42" i="21"/>
  <c r="N42" i="21" s="1"/>
  <c r="M42" i="21" a="1"/>
  <c r="M42" i="21" s="1"/>
  <c r="CK17" i="12"/>
  <c r="CL17" i="12" s="1"/>
  <c r="CN17" i="12" s="1" a="1"/>
  <c r="CN17" i="12" s="1"/>
  <c r="AD33" i="32" a="1"/>
  <c r="AD33" i="32" s="1"/>
  <c r="BJ41" i="12"/>
  <c r="G44" i="32" a="1"/>
  <c r="G44" i="32" s="1"/>
  <c r="BJ48" i="12"/>
  <c r="G51" i="32" a="1"/>
  <c r="G51" i="32" s="1"/>
  <c r="BJ49" i="12"/>
  <c r="F68" i="32" a="1"/>
  <c r="F68" i="32" s="1"/>
  <c r="F57" i="32" a="1"/>
  <c r="F57" i="32" s="1"/>
  <c r="AD51" i="32" a="1"/>
  <c r="AD51" i="32" s="1"/>
  <c r="L27" i="32" a="1"/>
  <c r="L27" i="32" s="1"/>
  <c r="L40" i="32" a="1"/>
  <c r="L40" i="32" s="1"/>
  <c r="AD25" i="32" a="1"/>
  <c r="AD25" i="32" s="1"/>
  <c r="CK7" i="12"/>
  <c r="CL7" i="12" s="1"/>
  <c r="CN7" i="12" s="1" a="1"/>
  <c r="CN7" i="12" s="1"/>
  <c r="BJ19" i="12"/>
  <c r="G22" i="32" a="1"/>
  <c r="G22" i="32" s="1"/>
  <c r="BJ60" i="12"/>
  <c r="BJ55" i="12"/>
  <c r="BJ5" i="12"/>
  <c r="G8" i="32" a="1"/>
  <c r="G8" i="32" s="1"/>
  <c r="BJ38" i="12"/>
  <c r="G41" i="32" a="1"/>
  <c r="G41" i="32" s="1"/>
  <c r="CK30" i="12"/>
  <c r="CL30" i="12" s="1"/>
  <c r="CN30" i="12" s="1" a="1"/>
  <c r="CN30" i="12" s="1"/>
  <c r="BJ62" i="12"/>
  <c r="G65" i="32" a="1"/>
  <c r="G65" i="32" s="1"/>
  <c r="AD62" i="32" a="1"/>
  <c r="AD62" i="32" s="1"/>
  <c r="L51" i="32" a="1"/>
  <c r="L51" i="32" s="1"/>
  <c r="F72" i="32" a="1"/>
  <c r="F72" i="32" s="1"/>
  <c r="F60" i="32" a="1"/>
  <c r="F60" i="32" s="1"/>
  <c r="BJ13" i="12"/>
  <c r="BJ18" i="12"/>
  <c r="G21" i="32" a="1"/>
  <c r="G21" i="32" s="1"/>
  <c r="CK59" i="12"/>
  <c r="CL59" i="12" s="1"/>
  <c r="CN59" i="12" s="1" a="1"/>
  <c r="CN59" i="12" s="1"/>
  <c r="L34" i="32" a="1"/>
  <c r="L34" i="32" s="1"/>
  <c r="BJ6" i="12"/>
  <c r="BJ42" i="12"/>
  <c r="G45" i="32" a="1"/>
  <c r="G45" i="32" s="1"/>
  <c r="CK19" i="12"/>
  <c r="CL19" i="12" s="1"/>
  <c r="CN19" i="12" s="1" a="1"/>
  <c r="CN19" i="12" s="1"/>
  <c r="BJ33" i="12"/>
  <c r="G36" i="32" a="1"/>
  <c r="G36" i="32" s="1"/>
  <c r="CD4" i="12"/>
  <c r="CI4" i="12"/>
  <c r="AD30" i="32" a="1"/>
  <c r="AD30" i="32" s="1"/>
  <c r="BJ8" i="12"/>
  <c r="F51" i="14"/>
  <c r="D51" i="14"/>
  <c r="H50" i="14" a="1"/>
  <c r="H50" i="14" s="1"/>
  <c r="A50" i="14" s="1" a="1"/>
  <c r="A50" i="14" s="1"/>
  <c r="I50" i="14" a="1"/>
  <c r="I50" i="14" s="1"/>
  <c r="B50" i="14" s="1" a="1"/>
  <c r="B50" i="14" s="1"/>
  <c r="M67" i="32" a="1"/>
  <c r="M14" i="32" a="1"/>
  <c r="M37" i="32" a="1"/>
  <c r="M56" i="32" a="1"/>
  <c r="M33" i="32" a="1"/>
  <c r="M12" i="32" a="1"/>
  <c r="M40" i="32" a="1"/>
  <c r="M8" i="32" a="1"/>
  <c r="M55" i="32" a="1"/>
  <c r="M22" i="32" a="1"/>
  <c r="M52" i="32" a="1"/>
  <c r="M13" i="32" a="1"/>
  <c r="M34" i="32" a="1"/>
  <c r="M30" i="32" a="1"/>
  <c r="M38" i="32" a="1"/>
  <c r="M65" i="32" a="1"/>
  <c r="M51" i="32" a="1"/>
  <c r="M41" i="32" a="1"/>
  <c r="M28" i="32" a="1"/>
  <c r="M25" i="32" a="1"/>
  <c r="M16" i="32" a="1"/>
  <c r="M18" i="32" a="1"/>
  <c r="M36" i="32" a="1"/>
  <c r="M23" i="32" a="1"/>
  <c r="M62" i="32" a="1"/>
  <c r="M50" i="32" a="1"/>
  <c r="M6" i="32" a="1"/>
  <c r="M49" i="32" a="1"/>
  <c r="M70" i="32" a="1"/>
  <c r="M46" i="32" a="1"/>
  <c r="M21" i="32" a="1"/>
  <c r="M54" i="32" a="1"/>
  <c r="M19" i="32" a="1"/>
  <c r="G51" i="14" a="1"/>
  <c r="CK48" i="12" l="1"/>
  <c r="CL48" i="12" s="1"/>
  <c r="CN48" i="12" s="1" a="1"/>
  <c r="CN48" i="12" s="1"/>
  <c r="CO48" i="12" s="1"/>
  <c r="CP48" i="12" s="1" a="1"/>
  <c r="CP48" i="12" s="1"/>
  <c r="CK18" i="12"/>
  <c r="CL18" i="12" s="1"/>
  <c r="CN18" i="12" s="1" a="1"/>
  <c r="CN18" i="12" s="1"/>
  <c r="CK25" i="12"/>
  <c r="CL25" i="12" s="1"/>
  <c r="CN25" i="12" s="1" a="1"/>
  <c r="CN25" i="12" s="1"/>
  <c r="CK16" i="12"/>
  <c r="CL16" i="12" s="1"/>
  <c r="CN16" i="12" s="1" a="1"/>
  <c r="CN16" i="12" s="1"/>
  <c r="CK64" i="12"/>
  <c r="CL64" i="12" s="1"/>
  <c r="CN64" i="12" s="1" a="1"/>
  <c r="CN64" i="12" s="1"/>
  <c r="CO64" i="12" s="1"/>
  <c r="CK67" i="12"/>
  <c r="CL67" i="12" s="1"/>
  <c r="CN67" i="12" s="1" a="1"/>
  <c r="CN67" i="12" s="1"/>
  <c r="CO67" i="12" s="1"/>
  <c r="CP67" i="12" s="1" a="1"/>
  <c r="CP67" i="12" s="1"/>
  <c r="CK10" i="12"/>
  <c r="CL10" i="12" s="1"/>
  <c r="CN10" i="12" s="1" a="1"/>
  <c r="CN10" i="12" s="1"/>
  <c r="CO10" i="12" s="1"/>
  <c r="CP10" i="12" s="1" a="1"/>
  <c r="CP10" i="12" s="1"/>
  <c r="CK33" i="12"/>
  <c r="CL33" i="12" s="1"/>
  <c r="CN33" i="12" s="1" a="1"/>
  <c r="CN33" i="12" s="1"/>
  <c r="CO33" i="12" s="1"/>
  <c r="CK62" i="12"/>
  <c r="CL62" i="12" s="1"/>
  <c r="CN62" i="12" s="1" a="1"/>
  <c r="CN62" i="12" s="1"/>
  <c r="CO62" i="12" s="1"/>
  <c r="CK22" i="12"/>
  <c r="CL22" i="12" s="1"/>
  <c r="CN22" i="12" s="1" a="1"/>
  <c r="CN22" i="12" s="1"/>
  <c r="CO22" i="12" s="1"/>
  <c r="CK52" i="12"/>
  <c r="CL52" i="12" s="1"/>
  <c r="CN52" i="12" s="1" a="1"/>
  <c r="CN52" i="12" s="1"/>
  <c r="CO52" i="12" s="1"/>
  <c r="CP52" i="12" s="1" a="1"/>
  <c r="CP52" i="12" s="1"/>
  <c r="AD44" i="32" a="1"/>
  <c r="AD44" i="32" s="1"/>
  <c r="CK41" i="12"/>
  <c r="CL41" i="12" s="1"/>
  <c r="CN41" i="12" s="1" a="1"/>
  <c r="CN41" i="12" s="1"/>
  <c r="CO41" i="12" s="1"/>
  <c r="CP41" i="12" s="1" a="1"/>
  <c r="CP41" i="12" s="1"/>
  <c r="AD59" i="32" a="1"/>
  <c r="AD59" i="32" s="1"/>
  <c r="CK56" i="12"/>
  <c r="CL56" i="12" s="1"/>
  <c r="CN56" i="12" s="1" a="1"/>
  <c r="CN56" i="12" s="1"/>
  <c r="CO56" i="12" s="1"/>
  <c r="CP56" i="12" s="1" a="1"/>
  <c r="CP56" i="12" s="1"/>
  <c r="CK53" i="12"/>
  <c r="CL53" i="12" s="1"/>
  <c r="CN53" i="12" s="1" a="1"/>
  <c r="CN53" i="12" s="1"/>
  <c r="CO53" i="12" s="1"/>
  <c r="CK5" i="12"/>
  <c r="CL5" i="12" s="1"/>
  <c r="CN5" i="12" s="1" a="1"/>
  <c r="CN5" i="12" s="1"/>
  <c r="CO5" i="12" s="1"/>
  <c r="AD20" i="32" a="1"/>
  <c r="AD20" i="32" s="1"/>
  <c r="AD72" i="32" a="1"/>
  <c r="AD72" i="32" s="1"/>
  <c r="CK11" i="12"/>
  <c r="CL11" i="12" s="1"/>
  <c r="CN11" i="12" s="1" a="1"/>
  <c r="CN11" i="12" s="1"/>
  <c r="CK34" i="12"/>
  <c r="CL34" i="12" s="1"/>
  <c r="CN34" i="12" s="1" a="1"/>
  <c r="CN34" i="12" s="1"/>
  <c r="CO34" i="12" s="1"/>
  <c r="CK47" i="12"/>
  <c r="CL47" i="12" s="1"/>
  <c r="CN47" i="12" s="1" a="1"/>
  <c r="CN47" i="12" s="1"/>
  <c r="CO47" i="12" s="1"/>
  <c r="CP47" i="12" s="1" a="1"/>
  <c r="CP47" i="12" s="1"/>
  <c r="CK35" i="12"/>
  <c r="CL35" i="12" s="1"/>
  <c r="CN35" i="12" s="1" a="1"/>
  <c r="CN35" i="12" s="1"/>
  <c r="CK63" i="12"/>
  <c r="CL63" i="12" s="1"/>
  <c r="CN63" i="12" s="1" a="1"/>
  <c r="CN63" i="12" s="1"/>
  <c r="CO63" i="12" s="1"/>
  <c r="CK39" i="12"/>
  <c r="CL39" i="12" s="1"/>
  <c r="CN39" i="12" s="1" a="1"/>
  <c r="CN39" i="12" s="1"/>
  <c r="CO39" i="12" s="1"/>
  <c r="AD9" i="32" a="1"/>
  <c r="AD9" i="32" s="1"/>
  <c r="CK23" i="12"/>
  <c r="CL23" i="12" s="1"/>
  <c r="CN23" i="12" s="1" a="1"/>
  <c r="CN23" i="12" s="1"/>
  <c r="AD11" i="32" a="1"/>
  <c r="AD11" i="32" s="1"/>
  <c r="CK45" i="12"/>
  <c r="CL45" i="12" s="1"/>
  <c r="CN45" i="12" s="1" a="1"/>
  <c r="CN45" i="12" s="1"/>
  <c r="AD63" i="32" a="1"/>
  <c r="AD63" i="32" s="1"/>
  <c r="CK14" i="12"/>
  <c r="CL14" i="12" s="1"/>
  <c r="CN14" i="12" s="1" a="1"/>
  <c r="CN14" i="12" s="1"/>
  <c r="AD24" i="32" a="1"/>
  <c r="AD24" i="32" s="1"/>
  <c r="CK15" i="12"/>
  <c r="CL15" i="12" s="1"/>
  <c r="CN15" i="12" s="1" a="1"/>
  <c r="CN15" i="12" s="1"/>
  <c r="CO15" i="12" s="1"/>
  <c r="AD57" i="32" a="1"/>
  <c r="AD57" i="32" s="1"/>
  <c r="CK6" i="12"/>
  <c r="CL6" i="12" s="1"/>
  <c r="CN6" i="12" s="1" a="1"/>
  <c r="CN6" i="12" s="1"/>
  <c r="CO6" i="12" s="1"/>
  <c r="AD60" i="32" a="1"/>
  <c r="AD60" i="32" s="1"/>
  <c r="AD35" i="32" a="1"/>
  <c r="AD35" i="32" s="1"/>
  <c r="CK32" i="12"/>
  <c r="CL32" i="12" s="1"/>
  <c r="CN32" i="12" s="1" a="1"/>
  <c r="CN32" i="12" s="1"/>
  <c r="CO32" i="12" s="1"/>
  <c r="AD53" i="32" a="1"/>
  <c r="AD53" i="32" s="1"/>
  <c r="AD61" i="32" a="1"/>
  <c r="AD61" i="32" s="1"/>
  <c r="CK60" i="12"/>
  <c r="CL60" i="12" s="1"/>
  <c r="CN60" i="12" s="1" a="1"/>
  <c r="CN60" i="12" s="1"/>
  <c r="CO60" i="12" s="1"/>
  <c r="CK65" i="12"/>
  <c r="CL65" i="12" s="1"/>
  <c r="CN65" i="12" s="1" a="1"/>
  <c r="CN65" i="12" s="1"/>
  <c r="AD15" i="32" a="1"/>
  <c r="AD15" i="32" s="1"/>
  <c r="CK8" i="12"/>
  <c r="CL8" i="12" s="1"/>
  <c r="CN8" i="12" s="1" a="1"/>
  <c r="CN8" i="12" s="1"/>
  <c r="N11" i="32" s="1" a="1"/>
  <c r="N11" i="32" s="1"/>
  <c r="AD48" i="32" a="1"/>
  <c r="AD48" i="32" s="1"/>
  <c r="CK68" i="12"/>
  <c r="CL68" i="12" s="1"/>
  <c r="CN68" i="12" s="1" a="1"/>
  <c r="CN68" i="12" s="1"/>
  <c r="CO68" i="12" s="1"/>
  <c r="CP68" i="12" s="1" a="1"/>
  <c r="CP68" i="12" s="1"/>
  <c r="AD58" i="32" a="1"/>
  <c r="AD58" i="32" s="1"/>
  <c r="AD68" i="32" a="1"/>
  <c r="AD68" i="32" s="1"/>
  <c r="CK38" i="12"/>
  <c r="CL38" i="12" s="1"/>
  <c r="CN38" i="12" s="1" a="1"/>
  <c r="CN38" i="12" s="1"/>
  <c r="CO38" i="12" s="1"/>
  <c r="AD17" i="32" a="1"/>
  <c r="AD17" i="32" s="1"/>
  <c r="AD32" i="32" a="1"/>
  <c r="AD32" i="32" s="1"/>
  <c r="CK46" i="12"/>
  <c r="CL46" i="12" s="1"/>
  <c r="CN46" i="12" s="1" a="1"/>
  <c r="CN46" i="12" s="1"/>
  <c r="CO46" i="12" s="1"/>
  <c r="AD43" i="32" a="1"/>
  <c r="AD43" i="32" s="1"/>
  <c r="AD42" i="32" a="1"/>
  <c r="AD42" i="32" s="1"/>
  <c r="AD66" i="32" a="1"/>
  <c r="AD66" i="32" s="1"/>
  <c r="AD64" i="32" a="1"/>
  <c r="AD64" i="32" s="1"/>
  <c r="AD31" i="32" a="1"/>
  <c r="AD31" i="32" s="1"/>
  <c r="AD29" i="32" a="1"/>
  <c r="AD29" i="32" s="1"/>
  <c r="CK28" i="12"/>
  <c r="CL28" i="12" s="1"/>
  <c r="CN28" i="12" s="1" a="1"/>
  <c r="CN28" i="12" s="1"/>
  <c r="AD27" i="32" a="1"/>
  <c r="AD27" i="32" s="1"/>
  <c r="AD45" i="32" a="1"/>
  <c r="AD45" i="32" s="1"/>
  <c r="AD10" i="32" a="1"/>
  <c r="AD10" i="32" s="1"/>
  <c r="AD26" i="32" a="1"/>
  <c r="AD26" i="32" s="1"/>
  <c r="AD71" i="32" a="1"/>
  <c r="AD71" i="32" s="1"/>
  <c r="CK13" i="12"/>
  <c r="CL13" i="12" s="1"/>
  <c r="CN13" i="12" s="1" a="1"/>
  <c r="CN13" i="12" s="1"/>
  <c r="CO13" i="12" s="1"/>
  <c r="CK26" i="12"/>
  <c r="CL26" i="12" s="1"/>
  <c r="CN26" i="12" s="1" a="1"/>
  <c r="CN26" i="12" s="1"/>
  <c r="CO26" i="12" s="1"/>
  <c r="CK42" i="12"/>
  <c r="CL42" i="12" s="1"/>
  <c r="CN42" i="12" s="1" a="1"/>
  <c r="CN42" i="12" s="1"/>
  <c r="CO42" i="12" s="1"/>
  <c r="CP42" i="12" s="1" a="1"/>
  <c r="CP42" i="12" s="1"/>
  <c r="AD69" i="32" a="1"/>
  <c r="AD69" i="32" s="1"/>
  <c r="CK44" i="12"/>
  <c r="CL44" i="12" s="1"/>
  <c r="CN44" i="12" s="1" a="1"/>
  <c r="CN44" i="12" s="1"/>
  <c r="CO44" i="12" s="1"/>
  <c r="CK24" i="12"/>
  <c r="CL24" i="12" s="1"/>
  <c r="CN24" i="12" s="1" a="1"/>
  <c r="CN24" i="12" s="1"/>
  <c r="N27" i="32" s="1" a="1"/>
  <c r="N27" i="32" s="1"/>
  <c r="CK57" i="12"/>
  <c r="CL57" i="12" s="1"/>
  <c r="CN57" i="12" s="1" a="1"/>
  <c r="CN57" i="12" s="1"/>
  <c r="CO57" i="12" s="1"/>
  <c r="CK75" i="12"/>
  <c r="CL75" i="12" s="1"/>
  <c r="CN75" i="12" s="1" a="1"/>
  <c r="CN75" i="12" s="1"/>
  <c r="CO75" i="12" s="1"/>
  <c r="CP75" i="12" s="1" a="1"/>
  <c r="CP75" i="12" s="1"/>
  <c r="G6" i="32" a="1"/>
  <c r="G6" i="32" s="1"/>
  <c r="CK77" i="12"/>
  <c r="CL77" i="12" s="1"/>
  <c r="CN77" i="12" s="1" a="1"/>
  <c r="CN77" i="12" s="1"/>
  <c r="CO77" i="12" s="1"/>
  <c r="CP77" i="12" s="1" a="1"/>
  <c r="CP77" i="12" s="1"/>
  <c r="CK66" i="12"/>
  <c r="CL66" i="12" s="1"/>
  <c r="CN66" i="12" s="1" a="1"/>
  <c r="CN66" i="12" s="1"/>
  <c r="CO66" i="12" s="1"/>
  <c r="CP66" i="12" s="1" a="1"/>
  <c r="CP66" i="12" s="1"/>
  <c r="CK71" i="12"/>
  <c r="CL71" i="12" s="1"/>
  <c r="CN71" i="12" s="1" a="1"/>
  <c r="CN71" i="12" s="1"/>
  <c r="CO71" i="12" s="1"/>
  <c r="CP71" i="12" s="1" a="1"/>
  <c r="CP71" i="12" s="1"/>
  <c r="N51" i="32" a="1"/>
  <c r="N51" i="32" s="1"/>
  <c r="CK70" i="12"/>
  <c r="CL70" i="12" s="1"/>
  <c r="CN70" i="12" s="1" a="1"/>
  <c r="CN70" i="12" s="1"/>
  <c r="CO70" i="12" s="1"/>
  <c r="CP70" i="12" s="1" a="1"/>
  <c r="CP70" i="12" s="1"/>
  <c r="CK73" i="12"/>
  <c r="CL73" i="12" s="1"/>
  <c r="CN73" i="12" s="1" a="1"/>
  <c r="CN73" i="12" s="1"/>
  <c r="CO73" i="12" s="1"/>
  <c r="CP73" i="12" s="1" a="1"/>
  <c r="CP73" i="12" s="1"/>
  <c r="CK72" i="12"/>
  <c r="CL72" i="12" s="1"/>
  <c r="CN72" i="12" s="1" a="1"/>
  <c r="CN72" i="12" s="1"/>
  <c r="CO72" i="12" s="1"/>
  <c r="CP72" i="12" s="1" a="1"/>
  <c r="CP72" i="12" s="1"/>
  <c r="N58" i="32" a="1"/>
  <c r="N58" i="32" s="1"/>
  <c r="CK74" i="12"/>
  <c r="CL74" i="12" s="1"/>
  <c r="CN74" i="12" s="1" a="1"/>
  <c r="CN74" i="12" s="1"/>
  <c r="CO74" i="12" s="1"/>
  <c r="CP74" i="12" s="1" a="1"/>
  <c r="CP74" i="12" s="1"/>
  <c r="G14" i="32" a="1"/>
  <c r="G14" i="32" s="1"/>
  <c r="G7" i="32" a="1"/>
  <c r="G7" i="32" s="1"/>
  <c r="CK69" i="12"/>
  <c r="CL69" i="12" s="1"/>
  <c r="CN69" i="12" s="1" a="1"/>
  <c r="CN69" i="12" s="1"/>
  <c r="CO69" i="12" s="1"/>
  <c r="CP69" i="12" s="1" a="1"/>
  <c r="CP69" i="12" s="1"/>
  <c r="CK76" i="12"/>
  <c r="CL76" i="12" s="1"/>
  <c r="CN76" i="12" s="1" a="1"/>
  <c r="CN76" i="12" s="1"/>
  <c r="CO76" i="12" s="1"/>
  <c r="CP76" i="12" s="1" a="1"/>
  <c r="CP76" i="12" s="1"/>
  <c r="G11" i="32" a="1"/>
  <c r="G11" i="32" s="1"/>
  <c r="N39" i="32" a="1"/>
  <c r="N39" i="32" s="1"/>
  <c r="AD47" i="32" a="1"/>
  <c r="AD47" i="32" s="1"/>
  <c r="AD39" i="32" a="1"/>
  <c r="AD39" i="32" s="1"/>
  <c r="CK20" i="12"/>
  <c r="CL20" i="12" s="1"/>
  <c r="CN20" i="12" s="1" a="1"/>
  <c r="CN20" i="12" s="1"/>
  <c r="N13" i="32" a="1"/>
  <c r="N13" i="32" s="1"/>
  <c r="CO31" i="12"/>
  <c r="CP31" i="12" s="1" a="1"/>
  <c r="CP31" i="12" s="1"/>
  <c r="N70" i="32" a="1"/>
  <c r="N70" i="32" s="1"/>
  <c r="G42" i="32" a="1"/>
  <c r="G42" i="32" s="1"/>
  <c r="G15" i="32" a="1"/>
  <c r="G15" i="32" s="1"/>
  <c r="G39" i="32" a="1"/>
  <c r="G39" i="32" s="1"/>
  <c r="G52" i="32" a="1"/>
  <c r="G52" i="32" s="1"/>
  <c r="G20" i="32" a="1"/>
  <c r="G20" i="32" s="1"/>
  <c r="G61" i="32" a="1"/>
  <c r="G61" i="32" s="1"/>
  <c r="G23" i="32" a="1"/>
  <c r="G23" i="32" s="1"/>
  <c r="G19" i="32" a="1"/>
  <c r="G19" i="32" s="1"/>
  <c r="G16" i="32" a="1"/>
  <c r="G16" i="32" s="1"/>
  <c r="G9" i="32" a="1"/>
  <c r="G9" i="32" s="1"/>
  <c r="M49" i="32"/>
  <c r="M67" i="32"/>
  <c r="M70" i="32"/>
  <c r="G54" i="32" a="1"/>
  <c r="G54" i="32" s="1"/>
  <c r="G12" i="32" a="1"/>
  <c r="G12" i="32" s="1"/>
  <c r="G25" i="32" a="1"/>
  <c r="G25" i="32" s="1"/>
  <c r="G62" i="32" a="1"/>
  <c r="G62" i="32" s="1"/>
  <c r="G55" i="32" a="1"/>
  <c r="G55" i="32" s="1"/>
  <c r="G48" i="32" a="1"/>
  <c r="G48" i="32" s="1"/>
  <c r="G37" i="32" a="1"/>
  <c r="G37" i="32" s="1"/>
  <c r="G35" i="32" a="1"/>
  <c r="G35" i="32" s="1"/>
  <c r="G66" i="32" a="1"/>
  <c r="G66" i="32" s="1"/>
  <c r="G50" i="32" a="1"/>
  <c r="G50" i="32" s="1"/>
  <c r="G38" i="32" a="1"/>
  <c r="G38" i="32" s="1"/>
  <c r="G49" i="32" a="1"/>
  <c r="G49" i="32" s="1"/>
  <c r="G56" i="32" a="1"/>
  <c r="G56" i="32" s="1"/>
  <c r="G24" i="32" a="1"/>
  <c r="G24" i="32" s="1"/>
  <c r="G40" i="32" a="1"/>
  <c r="G40" i="32" s="1"/>
  <c r="G46" i="32" a="1"/>
  <c r="G46" i="32" s="1"/>
  <c r="G64" i="32" a="1"/>
  <c r="G64" i="32" s="1"/>
  <c r="G28" i="32" a="1"/>
  <c r="G28" i="32" s="1"/>
  <c r="G27" i="32" a="1"/>
  <c r="G27" i="32" s="1"/>
  <c r="G17" i="32" a="1"/>
  <c r="G17" i="32" s="1"/>
  <c r="G18" i="32" a="1"/>
  <c r="G18" i="32" s="1"/>
  <c r="G13" i="32" a="1"/>
  <c r="G13" i="32" s="1"/>
  <c r="G10" i="32" a="1"/>
  <c r="G10" i="32" s="1"/>
  <c r="G63" i="32" a="1"/>
  <c r="G63" i="32" s="1"/>
  <c r="G70" i="32" a="1"/>
  <c r="G70" i="32" s="1"/>
  <c r="N46" i="32" a="1"/>
  <c r="N46" i="32" s="1"/>
  <c r="CO55" i="12"/>
  <c r="CP55" i="12" s="1" a="1"/>
  <c r="CP55" i="12" s="1"/>
  <c r="M13" i="32"/>
  <c r="M21" i="32"/>
  <c r="M54" i="32"/>
  <c r="M22" i="32"/>
  <c r="M65" i="32"/>
  <c r="CO37" i="12"/>
  <c r="CK4" i="12"/>
  <c r="CL4" i="12" s="1"/>
  <c r="CN4" i="12" s="1" a="1"/>
  <c r="CN4" i="12" s="1"/>
  <c r="N7" i="32" s="1" a="1"/>
  <c r="N7" i="32" s="1"/>
  <c r="M25" i="32"/>
  <c r="M19" i="32"/>
  <c r="M36" i="32"/>
  <c r="M52" i="32"/>
  <c r="M6" i="32"/>
  <c r="M37" i="32"/>
  <c r="M33" i="32"/>
  <c r="M18" i="32"/>
  <c r="M30" i="32"/>
  <c r="M14" i="32"/>
  <c r="M46" i="32"/>
  <c r="M56" i="32"/>
  <c r="M51" i="32"/>
  <c r="M38" i="32"/>
  <c r="M23" i="32"/>
  <c r="M8" i="32"/>
  <c r="M62" i="32"/>
  <c r="M41" i="32"/>
  <c r="M28" i="32"/>
  <c r="M55" i="32"/>
  <c r="M40" i="32"/>
  <c r="M34" i="32"/>
  <c r="M50" i="32"/>
  <c r="M12" i="32"/>
  <c r="M16" i="32"/>
  <c r="CO51" i="12"/>
  <c r="N54" i="32" a="1"/>
  <c r="N54" i="32" s="1"/>
  <c r="BK16" i="12" a="1"/>
  <c r="BK16" i="12" s="1"/>
  <c r="BK21" i="12" a="1"/>
  <c r="BK21" i="12" s="1"/>
  <c r="BK48" i="12" a="1"/>
  <c r="BK48" i="12" s="1"/>
  <c r="BK44" i="12" a="1"/>
  <c r="BK44" i="12" s="1"/>
  <c r="BK23" i="12" a="1"/>
  <c r="BK23" i="12" s="1"/>
  <c r="O6" i="32" a="1"/>
  <c r="O6" i="32" s="1"/>
  <c r="AF6" i="32" s="1" a="1"/>
  <c r="AF6" i="32" s="1"/>
  <c r="P6" i="32" s="1"/>
  <c r="R6" i="32" s="1"/>
  <c r="CP3" i="12" a="1"/>
  <c r="CP3" i="12" s="1"/>
  <c r="N55" i="32" a="1"/>
  <c r="N55" i="32" s="1"/>
  <c r="N6" i="32" a="1"/>
  <c r="N6" i="32" s="1"/>
  <c r="BK26" i="12" a="1"/>
  <c r="BK26" i="12" s="1"/>
  <c r="CO58" i="12"/>
  <c r="BK51" i="12" a="1"/>
  <c r="BK51" i="12" s="1"/>
  <c r="BK40" i="12" a="1"/>
  <c r="BK40" i="12" s="1"/>
  <c r="BK58" i="12" a="1"/>
  <c r="BK58" i="12" s="1"/>
  <c r="I68" i="32" a="1"/>
  <c r="I68" i="32" s="1"/>
  <c r="BK14" i="12" a="1"/>
  <c r="BK14" i="12" s="1"/>
  <c r="BK38" i="12" a="1"/>
  <c r="BK38" i="12" s="1"/>
  <c r="BK4" i="12" a="1"/>
  <c r="BK4" i="12" s="1"/>
  <c r="CO9" i="12"/>
  <c r="BK41" i="12" a="1"/>
  <c r="BK41" i="12" s="1"/>
  <c r="BK34" i="12" a="1"/>
  <c r="BK34" i="12" s="1"/>
  <c r="CO18" i="12"/>
  <c r="BK30" i="12" a="1"/>
  <c r="BK30" i="12" s="1"/>
  <c r="CO54" i="12"/>
  <c r="N57" i="32" a="1"/>
  <c r="N57" i="32" s="1"/>
  <c r="BK39" i="12" a="1"/>
  <c r="BK39" i="12" s="1"/>
  <c r="G72" i="32" a="1"/>
  <c r="G72" i="32" s="1"/>
  <c r="G60" i="32" a="1"/>
  <c r="G60" i="32" s="1"/>
  <c r="CO27" i="12"/>
  <c r="N30" i="32" a="1"/>
  <c r="N30" i="32" s="1"/>
  <c r="BK17" i="12" a="1"/>
  <c r="BK17" i="12" s="1"/>
  <c r="BK50" i="12" a="1"/>
  <c r="BK50" i="12" s="1"/>
  <c r="BK9" i="12" a="1"/>
  <c r="BK9" i="12" s="1"/>
  <c r="BK3" i="12" a="1"/>
  <c r="BK3" i="12" s="1"/>
  <c r="BK15" i="12" a="1"/>
  <c r="BK15" i="12" s="1"/>
  <c r="CO30" i="12"/>
  <c r="BK5" i="12" a="1"/>
  <c r="BK5" i="12" s="1"/>
  <c r="BK25" i="12" a="1"/>
  <c r="BK25" i="12" s="1"/>
  <c r="BK57" i="12" a="1"/>
  <c r="BK57" i="12" s="1"/>
  <c r="I67" i="32" a="1"/>
  <c r="I67" i="32" s="1"/>
  <c r="BK33" i="12" a="1"/>
  <c r="BK33" i="12" s="1"/>
  <c r="CO17" i="12"/>
  <c r="N20" i="32" a="1"/>
  <c r="N20" i="32" s="1"/>
  <c r="BK63" i="12" a="1"/>
  <c r="BK63" i="12" s="1"/>
  <c r="BK20" i="12" a="1"/>
  <c r="BK20" i="12" s="1"/>
  <c r="BK36" i="12" a="1"/>
  <c r="BK36" i="12" s="1"/>
  <c r="BK10" i="12" a="1"/>
  <c r="BK10" i="12" s="1"/>
  <c r="CO21" i="12"/>
  <c r="N24" i="32" a="1"/>
  <c r="N24" i="32" s="1"/>
  <c r="BK29" i="12" a="1"/>
  <c r="BK29" i="12" s="1"/>
  <c r="BK31" i="12" a="1"/>
  <c r="BK31" i="12" s="1"/>
  <c r="I38" i="32" a="1"/>
  <c r="I38" i="32" s="1"/>
  <c r="BK22" i="12" a="1"/>
  <c r="BK22" i="12" s="1"/>
  <c r="CO25" i="12"/>
  <c r="N28" i="32" a="1"/>
  <c r="N28" i="32" s="1"/>
  <c r="CO49" i="12"/>
  <c r="N52" i="32" a="1"/>
  <c r="N52" i="32" s="1"/>
  <c r="BK47" i="12" a="1"/>
  <c r="BK47" i="12" s="1"/>
  <c r="N25" i="32" a="1"/>
  <c r="N25" i="32" s="1"/>
  <c r="BK55" i="12" a="1"/>
  <c r="BK55" i="12" s="1"/>
  <c r="CO12" i="12"/>
  <c r="N15" i="32" a="1"/>
  <c r="N15" i="32" s="1"/>
  <c r="CP43" i="12" a="1"/>
  <c r="CP43" i="12" s="1"/>
  <c r="CO16" i="12"/>
  <c r="BK27" i="12" a="1"/>
  <c r="BK27" i="12" s="1"/>
  <c r="BK6" i="12" a="1"/>
  <c r="BK6" i="12" s="1"/>
  <c r="CO7" i="12"/>
  <c r="N10" i="32" a="1"/>
  <c r="N10" i="32" s="1"/>
  <c r="CO59" i="12"/>
  <c r="N62" i="32" a="1"/>
  <c r="N62" i="32" s="1"/>
  <c r="BK53" i="12" a="1"/>
  <c r="BK53" i="12" s="1"/>
  <c r="G71" i="32" a="1"/>
  <c r="G71" i="32" s="1"/>
  <c r="G59" i="32" a="1"/>
  <c r="G59" i="32" s="1"/>
  <c r="BK24" i="12" a="1"/>
  <c r="BK24" i="12" s="1"/>
  <c r="BK8" i="12" a="1"/>
  <c r="BK8" i="12" s="1"/>
  <c r="G69" i="32" a="1"/>
  <c r="G69" i="32" s="1"/>
  <c r="G58" i="32" a="1"/>
  <c r="G58" i="32" s="1"/>
  <c r="CO19" i="12"/>
  <c r="N22" i="32" a="1"/>
  <c r="N22" i="32" s="1"/>
  <c r="BK12" i="12" a="1"/>
  <c r="BK12" i="12" s="1"/>
  <c r="BK42" i="12" a="1"/>
  <c r="BK42" i="12" s="1"/>
  <c r="BK18" i="12" a="1"/>
  <c r="BK18" i="12" s="1"/>
  <c r="BK60" i="12" a="1"/>
  <c r="BK60" i="12" s="1"/>
  <c r="I70" i="32" a="1"/>
  <c r="I70" i="32" s="1"/>
  <c r="BK46" i="12" a="1"/>
  <c r="BK46" i="12" s="1"/>
  <c r="BK59" i="12" a="1"/>
  <c r="BK59" i="12" s="1"/>
  <c r="V35" i="21" s="1" a="1"/>
  <c r="V35" i="21" s="1"/>
  <c r="O5" i="17" a="1"/>
  <c r="O5" i="17" s="1"/>
  <c r="BK56" i="12" a="1"/>
  <c r="BK56" i="12" s="1"/>
  <c r="BK7" i="12" a="1"/>
  <c r="BK7" i="12" s="1"/>
  <c r="CO50" i="12"/>
  <c r="N53" i="32" a="1"/>
  <c r="N53" i="32" s="1"/>
  <c r="BK37" i="12" a="1"/>
  <c r="BK37" i="12" s="1"/>
  <c r="BK11" i="12" a="1"/>
  <c r="BK11" i="12" s="1"/>
  <c r="CO29" i="12"/>
  <c r="N32" i="32" a="1"/>
  <c r="N32" i="32" s="1"/>
  <c r="CO61" i="12"/>
  <c r="N64" i="32" a="1"/>
  <c r="N64" i="32" s="1"/>
  <c r="BK13" i="12" a="1"/>
  <c r="BK13" i="12" s="1"/>
  <c r="BK62" i="12" a="1"/>
  <c r="BK62" i="12" s="1"/>
  <c r="I72" i="32" a="1"/>
  <c r="I72" i="32" s="1"/>
  <c r="BK19" i="12" a="1"/>
  <c r="BK19" i="12" s="1"/>
  <c r="G68" i="32" a="1"/>
  <c r="G68" i="32" s="1"/>
  <c r="G57" i="32" a="1"/>
  <c r="G57" i="32" s="1"/>
  <c r="BK43" i="12" a="1"/>
  <c r="BK43" i="12" s="1"/>
  <c r="BK32" i="12" a="1"/>
  <c r="BK32" i="12" s="1"/>
  <c r="BK52" i="12" a="1"/>
  <c r="BK52" i="12" s="1"/>
  <c r="BK45" i="12" a="1"/>
  <c r="BK45" i="12" s="1"/>
  <c r="CO36" i="12"/>
  <c r="CO40" i="12"/>
  <c r="N43" i="32" a="1"/>
  <c r="N43" i="32" s="1"/>
  <c r="BK49" i="12" a="1"/>
  <c r="BK49" i="12" s="1"/>
  <c r="BK54" i="12" a="1"/>
  <c r="BK54" i="12" s="1"/>
  <c r="BK61" i="12" a="1"/>
  <c r="BK61" i="12" s="1"/>
  <c r="I71" i="32" a="1"/>
  <c r="I71" i="32" s="1"/>
  <c r="AD7" i="32" a="1"/>
  <c r="AD7" i="32" s="1"/>
  <c r="G51" i="14"/>
  <c r="E51" i="14" a="1"/>
  <c r="E51" i="14" s="1"/>
  <c r="C52" i="14" s="1" a="1"/>
  <c r="C52" i="14" s="1"/>
  <c r="M44" i="32" a="1"/>
  <c r="M69" i="32" a="1"/>
  <c r="M39" i="32" a="1"/>
  <c r="M42" i="32" a="1"/>
  <c r="M7" i="32" a="1"/>
  <c r="M66" i="32" a="1"/>
  <c r="M72" i="32" a="1"/>
  <c r="M10" i="32" a="1"/>
  <c r="M26" i="32" a="1"/>
  <c r="M45" i="32" a="1"/>
  <c r="M27" i="32" a="1"/>
  <c r="M32" i="32" a="1"/>
  <c r="M20" i="32" a="1"/>
  <c r="M53" i="32" a="1"/>
  <c r="M17" i="32" a="1"/>
  <c r="M71" i="32" a="1"/>
  <c r="M59" i="32" a="1"/>
  <c r="M11" i="32" a="1"/>
  <c r="M29" i="32" a="1"/>
  <c r="M43" i="32" a="1"/>
  <c r="M47" i="32" a="1"/>
  <c r="M31" i="32" a="1"/>
  <c r="M63" i="32" a="1"/>
  <c r="M9" i="32" a="1"/>
  <c r="M35" i="32" a="1"/>
  <c r="M60" i="32" a="1"/>
  <c r="M48" i="32" a="1"/>
  <c r="M64" i="32" a="1"/>
  <c r="M68" i="32" a="1"/>
  <c r="M24" i="32" a="1"/>
  <c r="M57" i="32" a="1"/>
  <c r="M15" i="32" a="1"/>
  <c r="M61" i="32" a="1"/>
  <c r="M58" i="32" a="1"/>
  <c r="N65" i="32" l="1" a="1"/>
  <c r="N65" i="32" s="1"/>
  <c r="N38" i="32" a="1"/>
  <c r="N38" i="32" s="1"/>
  <c r="N21" i="32" a="1"/>
  <c r="N21" i="32" s="1"/>
  <c r="N19" i="32" a="1"/>
  <c r="N19" i="32" s="1"/>
  <c r="N40" i="32" a="1"/>
  <c r="N40" i="32" s="1"/>
  <c r="N36" i="32" a="1"/>
  <c r="N36" i="32" s="1"/>
  <c r="N14" i="32" a="1"/>
  <c r="N14" i="32" s="1"/>
  <c r="N12" i="32" a="1"/>
  <c r="N12" i="32" s="1"/>
  <c r="N34" i="32" a="1"/>
  <c r="N34" i="32" s="1"/>
  <c r="N33" i="32" a="1"/>
  <c r="N33" i="32" s="1"/>
  <c r="N61" i="32" a="1"/>
  <c r="N61" i="32" s="1"/>
  <c r="N31" i="32" a="1"/>
  <c r="N31" i="32" s="1"/>
  <c r="N17" i="32" a="1"/>
  <c r="N17" i="32" s="1"/>
  <c r="N48" i="32" a="1"/>
  <c r="N48" i="32" s="1"/>
  <c r="N68" i="32" a="1"/>
  <c r="N68" i="32" s="1"/>
  <c r="N67" i="32" a="1"/>
  <c r="N67" i="32" s="1"/>
  <c r="N23" i="32" a="1"/>
  <c r="N23" i="32" s="1"/>
  <c r="N26" i="32" a="1"/>
  <c r="N26" i="32" s="1"/>
  <c r="N44" i="32" a="1"/>
  <c r="N44" i="32" s="1"/>
  <c r="M44" i="32"/>
  <c r="N59" i="32" a="1"/>
  <c r="N59" i="32" s="1"/>
  <c r="M59" i="32"/>
  <c r="I69" i="32" a="1"/>
  <c r="I69" i="32" s="1"/>
  <c r="N8" i="32" a="1"/>
  <c r="N8" i="32" s="1"/>
  <c r="N56" i="32" a="1"/>
  <c r="N56" i="32" s="1"/>
  <c r="N37" i="32" a="1"/>
  <c r="N37" i="32" s="1"/>
  <c r="M20" i="32"/>
  <c r="M72" i="32"/>
  <c r="CO11" i="12"/>
  <c r="CP11" i="12" s="1" a="1"/>
  <c r="CP11" i="12" s="1"/>
  <c r="CO14" i="12"/>
  <c r="CO45" i="12"/>
  <c r="O48" i="32" s="1" a="1"/>
  <c r="O48" i="32" s="1"/>
  <c r="AF48" i="32" s="1" a="1"/>
  <c r="AF48" i="32" s="1"/>
  <c r="P48" i="32" s="1"/>
  <c r="R48" i="32" s="1"/>
  <c r="N66" i="32" a="1"/>
  <c r="N66" i="32" s="1"/>
  <c r="N50" i="32" a="1"/>
  <c r="N50" i="32" s="1"/>
  <c r="N42" i="32" a="1"/>
  <c r="N42" i="32" s="1"/>
  <c r="CO35" i="12"/>
  <c r="CP35" i="12" s="1" a="1"/>
  <c r="CP35" i="12" s="1"/>
  <c r="CO23" i="12"/>
  <c r="CP23" i="12" s="1" a="1"/>
  <c r="CP23" i="12" s="1"/>
  <c r="N35" i="32" a="1"/>
  <c r="N35" i="32" s="1"/>
  <c r="M9" i="32"/>
  <c r="M11" i="32"/>
  <c r="N63" i="32" a="1"/>
  <c r="N63" i="32" s="1"/>
  <c r="N9" i="32" a="1"/>
  <c r="N9" i="32" s="1"/>
  <c r="N18" i="32" a="1"/>
  <c r="N18" i="32" s="1"/>
  <c r="M63" i="32"/>
  <c r="CO8" i="12"/>
  <c r="O18" i="32" s="1" a="1"/>
  <c r="O18" i="32" s="1"/>
  <c r="AF18" i="32" s="1" a="1"/>
  <c r="AF18" i="32" s="1"/>
  <c r="P18" i="32" s="1"/>
  <c r="R18" i="32" s="1"/>
  <c r="M24" i="32"/>
  <c r="M57" i="32"/>
  <c r="M60" i="32"/>
  <c r="M35" i="32"/>
  <c r="CO65" i="12"/>
  <c r="M53" i="32"/>
  <c r="M61" i="32"/>
  <c r="N49" i="32" a="1"/>
  <c r="N49" i="32" s="1"/>
  <c r="M15" i="32"/>
  <c r="N41" i="32" a="1"/>
  <c r="N41" i="32" s="1"/>
  <c r="N47" i="32" a="1"/>
  <c r="N47" i="32" s="1"/>
  <c r="M48" i="32"/>
  <c r="N71" i="32" a="1"/>
  <c r="N71" i="32" s="1"/>
  <c r="M68" i="32"/>
  <c r="M58" i="32"/>
  <c r="M17" i="32"/>
  <c r="M32" i="32"/>
  <c r="CO28" i="12"/>
  <c r="N16" i="32" a="1"/>
  <c r="N16" i="32" s="1"/>
  <c r="N29" i="32" a="1"/>
  <c r="N29" i="32" s="1"/>
  <c r="M66" i="32"/>
  <c r="M42" i="32"/>
  <c r="M43" i="32"/>
  <c r="M31" i="32"/>
  <c r="M64" i="32"/>
  <c r="M27" i="32"/>
  <c r="M29" i="32"/>
  <c r="N60" i="32" a="1"/>
  <c r="N60" i="32" s="1"/>
  <c r="CO24" i="12"/>
  <c r="CP24" i="12" s="1" a="1"/>
  <c r="CP24" i="12" s="1"/>
  <c r="M26" i="32"/>
  <c r="M10" i="32"/>
  <c r="M45" i="32"/>
  <c r="N45" i="32" a="1"/>
  <c r="N45" i="32" s="1"/>
  <c r="M71" i="32"/>
  <c r="CO20" i="12"/>
  <c r="CP20" i="12" s="1" a="1"/>
  <c r="CP20" i="12" s="1"/>
  <c r="N69" i="32" a="1"/>
  <c r="N69" i="32" s="1"/>
  <c r="M69" i="32"/>
  <c r="N72" i="32" a="1"/>
  <c r="N72" i="32" s="1"/>
  <c r="O70" i="32" a="1"/>
  <c r="O70" i="32" s="1"/>
  <c r="AF70" i="32" s="1" a="1"/>
  <c r="AF70" i="32" s="1"/>
  <c r="P70" i="32" s="1"/>
  <c r="R70" i="32" s="1"/>
  <c r="V40" i="21" a="1"/>
  <c r="V40" i="21" s="1"/>
  <c r="M40" i="21" s="1" a="1"/>
  <c r="M40" i="21" s="1"/>
  <c r="O55" i="32" a="1"/>
  <c r="O55" i="32" s="1"/>
  <c r="AF55" i="32" s="1" a="1"/>
  <c r="AF55" i="32" s="1"/>
  <c r="P55" i="32" s="1"/>
  <c r="R55" i="32" s="1"/>
  <c r="O45" i="32" a="1"/>
  <c r="O45" i="32" s="1"/>
  <c r="AF45" i="32" s="1" a="1"/>
  <c r="AF45" i="32" s="1"/>
  <c r="P45" i="32" s="1"/>
  <c r="R45" i="32" s="1"/>
  <c r="V39" i="21" a="1"/>
  <c r="V39" i="21" s="1"/>
  <c r="W39" i="21" s="1"/>
  <c r="N39" i="21" s="1"/>
  <c r="O59" i="32" a="1"/>
  <c r="O59" i="32" s="1"/>
  <c r="AF59" i="32" s="1" a="1"/>
  <c r="AF59" i="32" s="1"/>
  <c r="P59" i="32" s="1"/>
  <c r="R59" i="32" s="1"/>
  <c r="O71" i="32" a="1"/>
  <c r="O71" i="32" s="1"/>
  <c r="AF71" i="32" s="1" a="1"/>
  <c r="AF71" i="32" s="1"/>
  <c r="P71" i="32" s="1"/>
  <c r="R71" i="32" s="1"/>
  <c r="V32" i="21" a="1"/>
  <c r="V32" i="21" s="1"/>
  <c r="W32" i="21" s="1"/>
  <c r="N32" i="21" s="1"/>
  <c r="M47" i="32"/>
  <c r="M39" i="32"/>
  <c r="O34" i="32" a="1"/>
  <c r="O34" i="32" s="1"/>
  <c r="AF34" i="32" s="1" a="1"/>
  <c r="AF34" i="32" s="1"/>
  <c r="P34" i="32" s="1"/>
  <c r="R34" i="32" s="1"/>
  <c r="O51" i="32" a="1"/>
  <c r="O51" i="32" s="1"/>
  <c r="AF51" i="32" s="1" a="1"/>
  <c r="AF51" i="32" s="1"/>
  <c r="P51" i="32" s="1"/>
  <c r="R51" i="32" s="1"/>
  <c r="O58" i="32" a="1"/>
  <c r="O58" i="32" s="1"/>
  <c r="AF58" i="32" s="1" a="1"/>
  <c r="AF58" i="32" s="1"/>
  <c r="P58" i="32" s="1"/>
  <c r="R58" i="32" s="1"/>
  <c r="V10" i="21" a="1"/>
  <c r="V10" i="21" s="1"/>
  <c r="W10" i="21" s="1"/>
  <c r="N10" i="21" s="1"/>
  <c r="CP64" i="12" a="1"/>
  <c r="CP64" i="12" s="1"/>
  <c r="O67" i="32" a="1"/>
  <c r="O67" i="32" s="1"/>
  <c r="AF67" i="32" s="1" a="1"/>
  <c r="AF67" i="32" s="1"/>
  <c r="P67" i="32" s="1"/>
  <c r="R67" i="32" s="1"/>
  <c r="V17" i="21" a="1"/>
  <c r="V17" i="21" s="1"/>
  <c r="V26" i="21" a="1"/>
  <c r="V26" i="21" s="1"/>
  <c r="M26" i="21" s="1" a="1"/>
  <c r="M26" i="21" s="1"/>
  <c r="V28" i="21" a="1"/>
  <c r="V28" i="21" s="1"/>
  <c r="W28" i="21" s="1"/>
  <c r="N28" i="21" s="1"/>
  <c r="V41" i="21" a="1"/>
  <c r="V41" i="21" s="1"/>
  <c r="W41" i="21" s="1"/>
  <c r="N41" i="21" s="1"/>
  <c r="CP37" i="12" a="1"/>
  <c r="CP37" i="12" s="1"/>
  <c r="V31" i="21" a="1"/>
  <c r="V31" i="21" s="1"/>
  <c r="M31" i="21" s="1" a="1"/>
  <c r="M31" i="21" s="1"/>
  <c r="I31" i="32" a="1"/>
  <c r="I31" i="32" s="1"/>
  <c r="V27" i="21" a="1"/>
  <c r="V27" i="21" s="1"/>
  <c r="W27" i="21" s="1"/>
  <c r="N27" i="21" s="1"/>
  <c r="V18" i="21" a="1"/>
  <c r="V18" i="21" s="1"/>
  <c r="M18" i="21" s="1" a="1"/>
  <c r="M18" i="21" s="1"/>
  <c r="V19" i="21" a="1"/>
  <c r="V19" i="21" s="1"/>
  <c r="M19" i="21" s="1" a="1"/>
  <c r="M19" i="21" s="1"/>
  <c r="V13" i="21" a="1"/>
  <c r="V13" i="21" s="1"/>
  <c r="M13" i="21" s="1" a="1"/>
  <c r="M13" i="21" s="1"/>
  <c r="V24" i="21" a="1"/>
  <c r="V24" i="21" s="1"/>
  <c r="W24" i="21" s="1"/>
  <c r="N24" i="21" s="1"/>
  <c r="CO4" i="12"/>
  <c r="CP4" i="12" s="1" a="1"/>
  <c r="CP4" i="12" s="1"/>
  <c r="CP15" i="12" a="1"/>
  <c r="CP15" i="12" s="1"/>
  <c r="M7" i="32"/>
  <c r="I23" i="32" a="1"/>
  <c r="I23" i="32" s="1"/>
  <c r="I50" i="32" a="1"/>
  <c r="I50" i="32" s="1"/>
  <c r="I66" i="32" a="1"/>
  <c r="I66" i="32" s="1"/>
  <c r="I12" i="32" a="1"/>
  <c r="I12" i="32" s="1"/>
  <c r="CP9" i="12" a="1"/>
  <c r="CP9" i="12" s="1"/>
  <c r="O12" i="32" a="1"/>
  <c r="O12" i="32" s="1"/>
  <c r="AF12" i="32" s="1" a="1"/>
  <c r="AF12" i="32" s="1"/>
  <c r="P12" i="32" s="1"/>
  <c r="R12" i="32" s="1"/>
  <c r="I61" i="32" a="1"/>
  <c r="I61" i="32" s="1"/>
  <c r="I51" i="32" a="1"/>
  <c r="I51" i="32" s="1"/>
  <c r="I14" i="32" a="1"/>
  <c r="I14" i="32" s="1"/>
  <c r="I47" i="32" a="1"/>
  <c r="I47" i="32" s="1"/>
  <c r="I30" i="32" a="1"/>
  <c r="I30" i="32" s="1"/>
  <c r="CP60" i="12" a="1"/>
  <c r="CP60" i="12" s="1"/>
  <c r="O63" i="32" a="1"/>
  <c r="O63" i="32" s="1"/>
  <c r="AF63" i="32" s="1" a="1"/>
  <c r="AF63" i="32" s="1"/>
  <c r="P63" i="32" s="1"/>
  <c r="R63" i="32" s="1"/>
  <c r="CP19" i="12" a="1"/>
  <c r="CP19" i="12" s="1"/>
  <c r="O22" i="32" a="1"/>
  <c r="O22" i="32" s="1"/>
  <c r="AF22" i="32" s="1" a="1"/>
  <c r="AF22" i="32" s="1"/>
  <c r="P22" i="32" s="1"/>
  <c r="R22" i="32" s="1"/>
  <c r="CP16" i="12" a="1"/>
  <c r="CP16" i="12" s="1"/>
  <c r="I7" i="32" a="1"/>
  <c r="I7" i="32" s="1"/>
  <c r="I29" i="32" a="1"/>
  <c r="I29" i="32" s="1"/>
  <c r="CP6" i="12" a="1"/>
  <c r="CP6" i="12" s="1"/>
  <c r="O9" i="32" a="1"/>
  <c r="O9" i="32" s="1"/>
  <c r="AF9" i="32" s="1" a="1"/>
  <c r="AF9" i="32" s="1"/>
  <c r="P9" i="32" s="1"/>
  <c r="R9" i="32" s="1"/>
  <c r="I16" i="32" a="1"/>
  <c r="I16" i="32" s="1"/>
  <c r="I56" i="32" a="1"/>
  <c r="I56" i="32" s="1"/>
  <c r="CP63" i="12" a="1"/>
  <c r="CP63" i="12" s="1"/>
  <c r="O66" i="32" a="1"/>
  <c r="O66" i="32" s="1"/>
  <c r="AF66" i="32" s="1" a="1"/>
  <c r="AF66" i="32" s="1"/>
  <c r="P66" i="32" s="1"/>
  <c r="R66" i="32" s="1"/>
  <c r="CP53" i="12" a="1"/>
  <c r="CP53" i="12" s="1"/>
  <c r="O56" i="32" a="1"/>
  <c r="O56" i="32" s="1"/>
  <c r="AF56" i="32" s="1" a="1"/>
  <c r="AF56" i="32" s="1"/>
  <c r="P56" i="32" s="1"/>
  <c r="R56" i="32" s="1"/>
  <c r="I57" i="32" a="1"/>
  <c r="I57" i="32" s="1"/>
  <c r="I40" i="32" a="1"/>
  <c r="I40" i="32" s="1"/>
  <c r="I63" i="32" a="1"/>
  <c r="I63" i="32" s="1"/>
  <c r="I42" i="32" a="1"/>
  <c r="I42" i="32" s="1"/>
  <c r="I24" i="32" a="1"/>
  <c r="I24" i="32" s="1"/>
  <c r="CP5" i="12" a="1"/>
  <c r="CP5" i="12" s="1"/>
  <c r="O8" i="32" a="1"/>
  <c r="O8" i="32" s="1"/>
  <c r="AF8" i="32" s="1" a="1"/>
  <c r="AF8" i="32" s="1"/>
  <c r="P8" i="32" s="1"/>
  <c r="R8" i="32" s="1"/>
  <c r="I65" i="32" a="1"/>
  <c r="I65" i="32" s="1"/>
  <c r="I32" i="32" a="1"/>
  <c r="I32" i="32" s="1"/>
  <c r="CP33" i="12" a="1"/>
  <c r="CP33" i="12" s="1"/>
  <c r="I22" i="32" a="1"/>
  <c r="I22" i="32" s="1"/>
  <c r="I55" i="32" a="1"/>
  <c r="I55" i="32" s="1"/>
  <c r="I48" i="32" a="1"/>
  <c r="I48" i="32" s="1"/>
  <c r="CP44" i="12" a="1"/>
  <c r="CP44" i="12" s="1"/>
  <c r="O47" i="32" a="1"/>
  <c r="O47" i="32" s="1"/>
  <c r="AF47" i="32" s="1" a="1"/>
  <c r="AF47" i="32" s="1"/>
  <c r="P47" i="32" s="1"/>
  <c r="R47" i="32" s="1"/>
  <c r="CP27" i="12" a="1"/>
  <c r="CP27" i="12" s="1"/>
  <c r="CP49" i="12" a="1"/>
  <c r="CP49" i="12" s="1"/>
  <c r="CP17" i="12" a="1"/>
  <c r="CP17" i="12" s="1"/>
  <c r="O20" i="32" a="1"/>
  <c r="O20" i="32" s="1"/>
  <c r="AF20" i="32" s="1" a="1"/>
  <c r="AF20" i="32" s="1"/>
  <c r="P20" i="32" s="1"/>
  <c r="R20" i="32" s="1"/>
  <c r="CP38" i="12" a="1"/>
  <c r="CP38" i="12" s="1"/>
  <c r="O41" i="32" a="1"/>
  <c r="O41" i="32" s="1"/>
  <c r="AF41" i="32" s="1" a="1"/>
  <c r="AF41" i="32" s="1"/>
  <c r="P41" i="32" s="1"/>
  <c r="R41" i="32" s="1"/>
  <c r="V4" i="21" a="1"/>
  <c r="V4" i="21" s="1"/>
  <c r="CP26" i="12" a="1"/>
  <c r="CP26" i="12" s="1"/>
  <c r="O29" i="32" a="1"/>
  <c r="O29" i="32" s="1"/>
  <c r="AF29" i="32" s="1" a="1"/>
  <c r="AF29" i="32" s="1"/>
  <c r="P29" i="32" s="1"/>
  <c r="R29" i="32" s="1"/>
  <c r="I52" i="32" a="1"/>
  <c r="I52" i="32" s="1"/>
  <c r="CP61" i="12" a="1"/>
  <c r="CP61" i="12" s="1"/>
  <c r="I21" i="32" a="1"/>
  <c r="I21" i="32" s="1"/>
  <c r="CP59" i="12" a="1"/>
  <c r="CP59" i="12" s="1"/>
  <c r="I36" i="32" a="1"/>
  <c r="I36" i="32" s="1"/>
  <c r="I41" i="32" a="1"/>
  <c r="I41" i="32" s="1"/>
  <c r="V21" i="21" a="1"/>
  <c r="V21" i="21" s="1"/>
  <c r="V20" i="21" a="1"/>
  <c r="V20" i="21" s="1"/>
  <c r="I19" i="32" a="1"/>
  <c r="I19" i="32" s="1"/>
  <c r="O65" i="32" a="1"/>
  <c r="O65" i="32" s="1"/>
  <c r="AF65" i="32" s="1" a="1"/>
  <c r="AF65" i="32" s="1"/>
  <c r="P65" i="32" s="1"/>
  <c r="R65" i="32" s="1"/>
  <c r="CP62" i="12" a="1"/>
  <c r="CP62" i="12" s="1"/>
  <c r="CP50" i="12" a="1"/>
  <c r="CP50" i="12" s="1"/>
  <c r="O53" i="32" a="1"/>
  <c r="O53" i="32" s="1"/>
  <c r="AF53" i="32" s="1" a="1"/>
  <c r="AF53" i="32" s="1"/>
  <c r="P53" i="32" s="1"/>
  <c r="R53" i="32" s="1"/>
  <c r="V9" i="21" a="1"/>
  <c r="V9" i="21" s="1"/>
  <c r="CP13" i="12" a="1"/>
  <c r="CP13" i="12" s="1"/>
  <c r="O16" i="32" a="1"/>
  <c r="O16" i="32" s="1"/>
  <c r="AF16" i="32" s="1" a="1"/>
  <c r="AF16" i="32" s="1"/>
  <c r="P16" i="32" s="1"/>
  <c r="R16" i="32" s="1"/>
  <c r="CP12" i="12" a="1"/>
  <c r="CP12" i="12" s="1"/>
  <c r="O15" i="32" a="1"/>
  <c r="O15" i="32" s="1"/>
  <c r="AF15" i="32" s="1" a="1"/>
  <c r="AF15" i="32" s="1"/>
  <c r="P15" i="32" s="1"/>
  <c r="R15" i="32" s="1"/>
  <c r="CP21" i="12" a="1"/>
  <c r="CP21" i="12" s="1"/>
  <c r="O24" i="32" a="1"/>
  <c r="O24" i="32" s="1"/>
  <c r="AF24" i="32" s="1" a="1"/>
  <c r="AF24" i="32" s="1"/>
  <c r="P24" i="32" s="1"/>
  <c r="R24" i="32" s="1"/>
  <c r="V16" i="21" a="1"/>
  <c r="V16" i="21" s="1"/>
  <c r="CP54" i="12" a="1"/>
  <c r="CP54" i="12" s="1"/>
  <c r="O57" i="32" a="1"/>
  <c r="O57" i="32" s="1"/>
  <c r="AF57" i="32" s="1" a="1"/>
  <c r="AF57" i="32" s="1"/>
  <c r="P57" i="32" s="1"/>
  <c r="R57" i="32" s="1"/>
  <c r="I43" i="32" a="1"/>
  <c r="I43" i="32" s="1"/>
  <c r="CP32" i="12" a="1"/>
  <c r="CP32" i="12" s="1"/>
  <c r="O35" i="32" a="1"/>
  <c r="O35" i="32" s="1"/>
  <c r="AF35" i="32" s="1" a="1"/>
  <c r="AF35" i="32" s="1"/>
  <c r="P35" i="32" s="1"/>
  <c r="R35" i="32" s="1"/>
  <c r="I10" i="32" a="1"/>
  <c r="I10" i="32" s="1"/>
  <c r="I45" i="32" a="1"/>
  <c r="I45" i="32" s="1"/>
  <c r="I11" i="32" a="1"/>
  <c r="I11" i="32" s="1"/>
  <c r="CP7" i="12" a="1"/>
  <c r="CP7" i="12" s="1"/>
  <c r="O10" i="32" a="1"/>
  <c r="O10" i="32" s="1"/>
  <c r="AF10" i="32" s="1" a="1"/>
  <c r="AF10" i="32" s="1"/>
  <c r="P10" i="32" s="1"/>
  <c r="R10" i="32" s="1"/>
  <c r="I58" i="32" a="1"/>
  <c r="I58" i="32" s="1"/>
  <c r="I13" i="32" a="1"/>
  <c r="I13" i="32" s="1"/>
  <c r="I60" i="32" a="1"/>
  <c r="I60" i="32" s="1"/>
  <c r="I33" i="32" a="1"/>
  <c r="I33" i="32" s="1"/>
  <c r="I17" i="32" a="1"/>
  <c r="I17" i="32" s="1"/>
  <c r="I54" i="32" a="1"/>
  <c r="I54" i="32" s="1"/>
  <c r="I46" i="32" a="1"/>
  <c r="I46" i="32" s="1"/>
  <c r="V6" i="21" a="1"/>
  <c r="V6" i="21" s="1"/>
  <c r="I9" i="32" a="1"/>
  <c r="I9" i="32" s="1"/>
  <c r="CP25" i="12" a="1"/>
  <c r="CP25" i="12" s="1"/>
  <c r="CP30" i="12" a="1"/>
  <c r="CP30" i="12" s="1"/>
  <c r="CP51" i="12" a="1"/>
  <c r="CP51" i="12" s="1"/>
  <c r="O54" i="32" a="1"/>
  <c r="O54" i="32" s="1"/>
  <c r="AF54" i="32" s="1" a="1"/>
  <c r="AF54" i="32" s="1"/>
  <c r="P54" i="32" s="1"/>
  <c r="R54" i="32" s="1"/>
  <c r="M35" i="21" a="1"/>
  <c r="M35" i="21" s="1"/>
  <c r="W35" i="21"/>
  <c r="N35" i="21" s="1"/>
  <c r="V23" i="21" a="1"/>
  <c r="V23" i="21" s="1"/>
  <c r="V25" i="21" a="1"/>
  <c r="V25" i="21" s="1"/>
  <c r="I35" i="32" a="1"/>
  <c r="I35" i="32" s="1"/>
  <c r="O37" i="32" a="1"/>
  <c r="O37" i="32" s="1"/>
  <c r="AF37" i="32" s="1" a="1"/>
  <c r="AF37" i="32" s="1"/>
  <c r="P37" i="32" s="1"/>
  <c r="R37" i="32" s="1"/>
  <c r="CP34" i="12" a="1"/>
  <c r="CP34" i="12" s="1"/>
  <c r="I59" i="32" a="1"/>
  <c r="I59" i="32" s="1"/>
  <c r="I15" i="32" a="1"/>
  <c r="I15" i="32" s="1"/>
  <c r="I25" i="32" a="1"/>
  <c r="I25" i="32" s="1"/>
  <c r="I28" i="32" a="1"/>
  <c r="I28" i="32" s="1"/>
  <c r="I53" i="32" a="1"/>
  <c r="I53" i="32" s="1"/>
  <c r="O21" i="32" a="1"/>
  <c r="O21" i="32" s="1"/>
  <c r="AF21" i="32" s="1" a="1"/>
  <c r="AF21" i="32" s="1"/>
  <c r="P21" i="32" s="1"/>
  <c r="R21" i="32" s="1"/>
  <c r="CP18" i="12" a="1"/>
  <c r="CP18" i="12" s="1"/>
  <c r="CP40" i="12" a="1"/>
  <c r="CP40" i="12" s="1"/>
  <c r="O43" i="32" a="1"/>
  <c r="O43" i="32" s="1"/>
  <c r="AF43" i="32" s="1" a="1"/>
  <c r="AF43" i="32" s="1"/>
  <c r="P43" i="32" s="1"/>
  <c r="R43" i="32" s="1"/>
  <c r="I27" i="32" a="1"/>
  <c r="I27" i="32" s="1"/>
  <c r="V7" i="21" a="1"/>
  <c r="V7" i="21" s="1"/>
  <c r="CP57" i="12" a="1"/>
  <c r="CP57" i="12" s="1"/>
  <c r="O60" i="32" a="1"/>
  <c r="O60" i="32" s="1"/>
  <c r="AF60" i="32" s="1" a="1"/>
  <c r="AF60" i="32" s="1"/>
  <c r="P60" i="32" s="1"/>
  <c r="R60" i="32" s="1"/>
  <c r="I49" i="32" a="1"/>
  <c r="I49" i="32" s="1"/>
  <c r="I6" i="32" a="1"/>
  <c r="I6" i="32" s="1"/>
  <c r="V3" i="21" a="1"/>
  <c r="V3" i="21" s="1"/>
  <c r="V5" i="21" a="1"/>
  <c r="V5" i="21" s="1"/>
  <c r="I64" i="32" a="1"/>
  <c r="I64" i="32" s="1"/>
  <c r="V30" i="21" a="1"/>
  <c r="V30" i="21" s="1"/>
  <c r="V29" i="21" a="1"/>
  <c r="V29" i="21" s="1"/>
  <c r="I18" i="32" a="1"/>
  <c r="I18" i="32" s="1"/>
  <c r="CP46" i="12" a="1"/>
  <c r="CP46" i="12" s="1"/>
  <c r="CP39" i="12" a="1"/>
  <c r="CP39" i="12" s="1"/>
  <c r="O42" i="32" a="1"/>
  <c r="O42" i="32" s="1"/>
  <c r="AF42" i="32" s="1" a="1"/>
  <c r="AF42" i="32" s="1"/>
  <c r="P42" i="32" s="1"/>
  <c r="R42" i="32" s="1"/>
  <c r="V8" i="21" a="1"/>
  <c r="V8" i="21" s="1"/>
  <c r="I37" i="32" a="1"/>
  <c r="I37" i="32" s="1"/>
  <c r="CP36" i="12" a="1"/>
  <c r="CP36" i="12" s="1"/>
  <c r="O39" i="32" a="1"/>
  <c r="O39" i="32" s="1"/>
  <c r="AF39" i="32" s="1" a="1"/>
  <c r="AF39" i="32" s="1"/>
  <c r="P39" i="32" s="1"/>
  <c r="R39" i="32" s="1"/>
  <c r="AA5" i="17" a="1"/>
  <c r="AA5" i="17" s="1"/>
  <c r="P5" i="17" s="1"/>
  <c r="I62" i="32" a="1"/>
  <c r="I62" i="32" s="1"/>
  <c r="I34" i="32" a="1"/>
  <c r="I34" i="32" s="1"/>
  <c r="I39" i="32" a="1"/>
  <c r="I39" i="32" s="1"/>
  <c r="I8" i="32" a="1"/>
  <c r="I8" i="32" s="1"/>
  <c r="I20" i="32" a="1"/>
  <c r="I20" i="32" s="1"/>
  <c r="CP58" i="12" a="1"/>
  <c r="CP58" i="12" s="1"/>
  <c r="O61" i="32" a="1"/>
  <c r="O61" i="32" s="1"/>
  <c r="AF61" i="32" s="1" a="1"/>
  <c r="AF61" i="32" s="1"/>
  <c r="P61" i="32" s="1"/>
  <c r="R61" i="32" s="1"/>
  <c r="I26" i="32" a="1"/>
  <c r="I26" i="32" s="1"/>
  <c r="CP29" i="12" a="1"/>
  <c r="CP29" i="12" s="1"/>
  <c r="CP22" i="12" a="1"/>
  <c r="CP22" i="12" s="1"/>
  <c r="I44" i="32" a="1"/>
  <c r="I44" i="32" s="1"/>
  <c r="V12" i="21" a="1"/>
  <c r="V12" i="21" s="1"/>
  <c r="F52" i="14"/>
  <c r="D52" i="14"/>
  <c r="H51" i="14" a="1"/>
  <c r="H51" i="14" s="1"/>
  <c r="A51" i="14" s="1" a="1"/>
  <c r="A51" i="14" s="1"/>
  <c r="I51" i="14" a="1"/>
  <c r="I51" i="14" s="1"/>
  <c r="B51" i="14" s="1" a="1"/>
  <c r="B51" i="14" s="1"/>
  <c r="G52" i="14" a="1"/>
  <c r="O62" i="32" l="1" a="1"/>
  <c r="O62" i="32" s="1"/>
  <c r="AF62" i="32" s="1" a="1"/>
  <c r="AF62" i="32" s="1"/>
  <c r="P62" i="32" s="1"/>
  <c r="R62" i="32" s="1"/>
  <c r="O36" i="32" a="1"/>
  <c r="O36" i="32" s="1"/>
  <c r="AF36" i="32" s="1" a="1"/>
  <c r="AF36" i="32" s="1"/>
  <c r="P36" i="32" s="1"/>
  <c r="R36" i="32" s="1"/>
  <c r="O49" i="32" a="1"/>
  <c r="O49" i="32" s="1"/>
  <c r="AF49" i="32" s="1" a="1"/>
  <c r="AF49" i="32" s="1"/>
  <c r="P49" i="32" s="1"/>
  <c r="R49" i="32" s="1"/>
  <c r="O25" i="32" a="1"/>
  <c r="O25" i="32" s="1"/>
  <c r="AF25" i="32" s="1" a="1"/>
  <c r="AF25" i="32" s="1"/>
  <c r="P25" i="32" s="1"/>
  <c r="R25" i="32" s="1"/>
  <c r="O33" i="32" a="1"/>
  <c r="O33" i="32" s="1"/>
  <c r="AF33" i="32" s="1" a="1"/>
  <c r="AF33" i="32" s="1"/>
  <c r="P33" i="32" s="1"/>
  <c r="R33" i="32" s="1"/>
  <c r="O52" i="32" a="1"/>
  <c r="O52" i="32" s="1"/>
  <c r="AF52" i="32" s="1" a="1"/>
  <c r="AF52" i="32" s="1"/>
  <c r="P52" i="32" s="1"/>
  <c r="R52" i="32" s="1"/>
  <c r="O69" i="32" a="1"/>
  <c r="O69" i="32" s="1"/>
  <c r="AF69" i="32" s="1" a="1"/>
  <c r="AF69" i="32" s="1"/>
  <c r="P69" i="32" s="1"/>
  <c r="R69" i="32" s="1"/>
  <c r="O32" i="32" a="1"/>
  <c r="O32" i="32" s="1"/>
  <c r="AF32" i="32" s="1" a="1"/>
  <c r="AF32" i="32" s="1"/>
  <c r="P32" i="32" s="1"/>
  <c r="R32" i="32" s="1"/>
  <c r="O28" i="32" a="1"/>
  <c r="O28" i="32" s="1"/>
  <c r="AF28" i="32" s="1" a="1"/>
  <c r="AF28" i="32" s="1"/>
  <c r="P28" i="32" s="1"/>
  <c r="R28" i="32" s="1"/>
  <c r="O30" i="32" a="1"/>
  <c r="O30" i="32" s="1"/>
  <c r="AF30" i="32" s="1" a="1"/>
  <c r="AF30" i="32" s="1"/>
  <c r="P30" i="32" s="1"/>
  <c r="R30" i="32" s="1"/>
  <c r="O50" i="32" a="1"/>
  <c r="O50" i="32" s="1"/>
  <c r="AF50" i="32" s="1" a="1"/>
  <c r="AF50" i="32" s="1"/>
  <c r="P50" i="32" s="1"/>
  <c r="R50" i="32" s="1"/>
  <c r="O64" i="32" a="1"/>
  <c r="O64" i="32" s="1"/>
  <c r="AF64" i="32" s="1" a="1"/>
  <c r="AF64" i="32" s="1"/>
  <c r="P64" i="32" s="1"/>
  <c r="R64" i="32" s="1"/>
  <c r="O44" i="32" a="1"/>
  <c r="O44" i="32" s="1"/>
  <c r="AF44" i="32" s="1" a="1"/>
  <c r="AF44" i="32" s="1"/>
  <c r="P44" i="32" s="1"/>
  <c r="R44" i="32" s="1"/>
  <c r="O40" i="32" a="1"/>
  <c r="O40" i="32" s="1"/>
  <c r="AF40" i="32" s="1" a="1"/>
  <c r="AF40" i="32" s="1"/>
  <c r="P40" i="32" s="1"/>
  <c r="R40" i="32" s="1"/>
  <c r="O72" i="32" a="1"/>
  <c r="O72" i="32" s="1"/>
  <c r="AF72" i="32" s="1" a="1"/>
  <c r="AF72" i="32" s="1"/>
  <c r="P72" i="32" s="1"/>
  <c r="R72" i="32" s="1"/>
  <c r="O68" i="32" a="1"/>
  <c r="O68" i="32" s="1"/>
  <c r="AF68" i="32" s="1" a="1"/>
  <c r="AF68" i="32" s="1"/>
  <c r="P68" i="32" s="1"/>
  <c r="R68" i="32" s="1"/>
  <c r="O19" i="32" a="1"/>
  <c r="O19" i="32" s="1"/>
  <c r="AF19" i="32" s="1" a="1"/>
  <c r="AF19" i="32" s="1"/>
  <c r="P19" i="32" s="1"/>
  <c r="R19" i="32" s="1"/>
  <c r="O31" i="32" a="1"/>
  <c r="O31" i="32" s="1"/>
  <c r="AF31" i="32" s="1" a="1"/>
  <c r="AF31" i="32" s="1"/>
  <c r="P31" i="32" s="1"/>
  <c r="R31" i="32" s="1"/>
  <c r="CP8" i="12" a="1"/>
  <c r="CP8" i="12" s="1"/>
  <c r="O13" i="32" a="1"/>
  <c r="O13" i="32" s="1"/>
  <c r="AF13" i="32" s="1" a="1"/>
  <c r="AF13" i="32" s="1"/>
  <c r="P13" i="32" s="1"/>
  <c r="R13" i="32" s="1"/>
  <c r="O46" i="32" a="1"/>
  <c r="O46" i="32" s="1"/>
  <c r="AF46" i="32" s="1" a="1"/>
  <c r="AF46" i="32" s="1"/>
  <c r="P46" i="32" s="1"/>
  <c r="R46" i="32" s="1"/>
  <c r="O14" i="32" a="1"/>
  <c r="O14" i="32" s="1"/>
  <c r="AF14" i="32" s="1" a="1"/>
  <c r="AF14" i="32" s="1"/>
  <c r="P14" i="32" s="1"/>
  <c r="R14" i="32" s="1"/>
  <c r="CP14" i="12" a="1"/>
  <c r="CP14" i="12" s="1"/>
  <c r="CP45" i="12" a="1"/>
  <c r="CP45" i="12" s="1"/>
  <c r="O17" i="32" a="1"/>
  <c r="O17" i="32" s="1"/>
  <c r="AF17" i="32" s="1" a="1"/>
  <c r="AF17" i="32" s="1"/>
  <c r="P17" i="32" s="1"/>
  <c r="R17" i="32" s="1"/>
  <c r="O38" i="32" a="1"/>
  <c r="O38" i="32" s="1"/>
  <c r="AF38" i="32" s="1" a="1"/>
  <c r="AF38" i="32" s="1"/>
  <c r="P38" i="32" s="1"/>
  <c r="R38" i="32" s="1"/>
  <c r="O26" i="32" a="1"/>
  <c r="O26" i="32" s="1"/>
  <c r="AF26" i="32" s="1" a="1"/>
  <c r="AF26" i="32" s="1"/>
  <c r="P26" i="32" s="1"/>
  <c r="R26" i="32" s="1"/>
  <c r="CP65" i="12" a="1"/>
  <c r="CP65" i="12" s="1"/>
  <c r="O11" i="32" a="1"/>
  <c r="O11" i="32" s="1"/>
  <c r="AF11" i="32" s="1" a="1"/>
  <c r="AF11" i="32" s="1"/>
  <c r="P11" i="32" s="1"/>
  <c r="R11" i="32" s="1"/>
  <c r="O23" i="32" a="1"/>
  <c r="O23" i="32" s="1"/>
  <c r="AF23" i="32" s="1" a="1"/>
  <c r="AF23" i="32" s="1"/>
  <c r="P23" i="32" s="1"/>
  <c r="R23" i="32" s="1"/>
  <c r="CP28" i="12" a="1"/>
  <c r="CP28" i="12" s="1"/>
  <c r="O27" i="32" a="1"/>
  <c r="O27" i="32" s="1"/>
  <c r="AF27" i="32" s="1" a="1"/>
  <c r="AF27" i="32" s="1"/>
  <c r="P27" i="32" s="1"/>
  <c r="R27" i="32" s="1"/>
  <c r="W40" i="21"/>
  <c r="N40" i="21" s="1"/>
  <c r="M39" i="21" a="1"/>
  <c r="M39" i="21" s="1"/>
  <c r="M10" i="21" a="1"/>
  <c r="M10" i="21" s="1"/>
  <c r="M32" i="21" a="1"/>
  <c r="M32" i="21" s="1"/>
  <c r="M41" i="21" a="1"/>
  <c r="M41" i="21" s="1"/>
  <c r="W19" i="21"/>
  <c r="N19" i="21" s="1"/>
  <c r="W17" i="21"/>
  <c r="N17" i="21" s="1"/>
  <c r="M17" i="21" a="1"/>
  <c r="M17" i="21" s="1"/>
  <c r="M27" i="21" a="1"/>
  <c r="M27" i="21" s="1"/>
  <c r="W31" i="21"/>
  <c r="N31" i="21" s="1"/>
  <c r="W26" i="21"/>
  <c r="N26" i="21" s="1"/>
  <c r="O7" i="32" a="1"/>
  <c r="O7" i="32" s="1"/>
  <c r="AF7" i="32" s="1" a="1"/>
  <c r="AF7" i="32" s="1"/>
  <c r="P7" i="32" s="1"/>
  <c r="R7" i="32" s="1"/>
  <c r="M24" i="21" a="1"/>
  <c r="M24" i="21" s="1"/>
  <c r="M28" i="21" a="1"/>
  <c r="M28" i="21" s="1"/>
  <c r="W18" i="21"/>
  <c r="N18" i="21" s="1"/>
  <c r="W13" i="21"/>
  <c r="N13" i="21" s="1"/>
  <c r="W25" i="21"/>
  <c r="N25" i="21" s="1"/>
  <c r="M25" i="21" a="1"/>
  <c r="M25" i="21" s="1"/>
  <c r="M6" i="21" a="1"/>
  <c r="M6" i="21" s="1"/>
  <c r="W6" i="21"/>
  <c r="N6" i="21" s="1"/>
  <c r="R5" i="17"/>
  <c r="AD5" i="17"/>
  <c r="AE5" i="17" s="1" a="1"/>
  <c r="AE5" i="17" s="1"/>
  <c r="W5" i="21"/>
  <c r="N5" i="21" s="1"/>
  <c r="M5" i="21" a="1"/>
  <c r="M5" i="21" s="1"/>
  <c r="M23" i="21" a="1"/>
  <c r="M23" i="21" s="1"/>
  <c r="W23" i="21"/>
  <c r="N23" i="21" s="1"/>
  <c r="M3" i="21" a="1"/>
  <c r="M3" i="21" s="1"/>
  <c r="W3" i="21"/>
  <c r="N3" i="21" s="1"/>
  <c r="W7" i="21"/>
  <c r="N7" i="21" s="1"/>
  <c r="M7" i="21" a="1"/>
  <c r="M7" i="21" s="1"/>
  <c r="W16" i="21"/>
  <c r="N16" i="21" s="1"/>
  <c r="M16" i="21" a="1"/>
  <c r="M16" i="21" s="1"/>
  <c r="W20" i="21"/>
  <c r="N20" i="21" s="1"/>
  <c r="M20" i="21" a="1"/>
  <c r="M20" i="21" s="1"/>
  <c r="M21" i="21" a="1"/>
  <c r="M21" i="21" s="1"/>
  <c r="W21" i="21"/>
  <c r="N21" i="21" s="1"/>
  <c r="M4" i="21" a="1"/>
  <c r="M4" i="21" s="1"/>
  <c r="W4" i="21"/>
  <c r="N4" i="21" s="1"/>
  <c r="W30" i="21"/>
  <c r="N30" i="21" s="1"/>
  <c r="M30" i="21" a="1"/>
  <c r="M30" i="21" s="1"/>
  <c r="W29" i="21"/>
  <c r="N29" i="21" s="1"/>
  <c r="M29" i="21" a="1"/>
  <c r="M29" i="21" s="1"/>
  <c r="M9" i="21" a="1"/>
  <c r="M9" i="21" s="1"/>
  <c r="W9" i="21"/>
  <c r="N9" i="21" s="1"/>
  <c r="M12" i="21" a="1"/>
  <c r="M12" i="21" s="1"/>
  <c r="W12" i="21"/>
  <c r="N12" i="21" s="1"/>
  <c r="M8" i="21" a="1"/>
  <c r="M8" i="21" s="1"/>
  <c r="W8" i="21"/>
  <c r="N8" i="21" s="1"/>
  <c r="G52" i="14"/>
  <c r="E52" i="14" a="1"/>
  <c r="E52" i="14" s="1"/>
  <c r="C8" i="30" a="1"/>
  <c r="C8" i="30" l="1"/>
  <c r="AF5" i="17" a="1"/>
  <c r="AF5" i="17" s="1"/>
  <c r="B52" i="14" a="1"/>
  <c r="B52" i="14" s="1"/>
  <c r="A52" i="14" a="1"/>
  <c r="A52" i="14" s="1"/>
  <c r="C53" i="14" a="1"/>
  <c r="C53" i="14" s="1"/>
  <c r="H52" i="14" a="1"/>
  <c r="H52" i="14" s="1"/>
  <c r="I52" i="14" a="1"/>
  <c r="I52" i="14" s="1"/>
  <c r="AG5" i="17" l="1"/>
  <c r="E4" i="27" a="1"/>
  <c r="E4" i="27" s="1"/>
  <c r="E8" i="27" a="1"/>
  <c r="E8" i="27" s="1"/>
  <c r="E6" i="27" a="1"/>
  <c r="E6" i="27" s="1"/>
  <c r="E12" i="27" a="1"/>
  <c r="E12" i="27" s="1"/>
  <c r="E10" i="27" a="1"/>
  <c r="E10" i="27" s="1"/>
  <c r="E5" i="27" a="1"/>
  <c r="E5" i="27" s="1"/>
  <c r="E3" i="27" a="1"/>
  <c r="E3" i="27" s="1"/>
  <c r="E9" i="27" a="1"/>
  <c r="E9" i="27" s="1"/>
  <c r="E11" i="27" a="1"/>
  <c r="E11" i="27" s="1"/>
  <c r="E15" i="27" a="1"/>
  <c r="E15" i="27" s="1"/>
  <c r="E14" i="27" a="1"/>
  <c r="E14" i="27" s="1"/>
  <c r="E13" i="27" a="1"/>
  <c r="E13" i="27" s="1"/>
  <c r="E7" i="27" a="1"/>
  <c r="E7" i="27" s="1"/>
  <c r="D53" i="14"/>
  <c r="F53" i="14"/>
  <c r="G53" i="14" a="1"/>
  <c r="Q16" i="24" a="1"/>
  <c r="G53" i="14" l="1"/>
  <c r="E53" i="14" a="1"/>
  <c r="E53" i="14" s="1"/>
  <c r="Q16" i="24"/>
  <c r="E16" i="24" s="1" a="1"/>
  <c r="E16" i="24" s="1"/>
  <c r="C16" i="24" a="1"/>
  <c r="B53" i="14" l="1" a="1"/>
  <c r="B53" i="14" s="1"/>
  <c r="A53" i="14" a="1"/>
  <c r="A53" i="14" s="1"/>
  <c r="C54" i="14" a="1"/>
  <c r="C54" i="14" s="1"/>
  <c r="H53" i="14" a="1"/>
  <c r="H53" i="14" s="1"/>
  <c r="I53" i="14" a="1"/>
  <c r="I53" i="14" s="1"/>
  <c r="C16" i="24"/>
  <c r="D16" i="24"/>
  <c r="D54" i="14" l="1"/>
  <c r="F54" i="14"/>
  <c r="A16" i="24"/>
  <c r="G54" i="14" a="1"/>
  <c r="G54" i="14" l="1"/>
  <c r="E54" i="14" a="1"/>
  <c r="E54" i="14" s="1"/>
  <c r="A54" i="14" l="1" a="1"/>
  <c r="A54" i="14" s="1"/>
  <c r="B54" i="14" a="1"/>
  <c r="B54" i="14" s="1"/>
  <c r="C55" i="14" a="1"/>
  <c r="C55" i="14" s="1"/>
  <c r="H54" i="14" a="1"/>
  <c r="H54" i="14" s="1"/>
  <c r="I54" i="14" a="1"/>
  <c r="I54" i="14" s="1"/>
  <c r="F55" i="14" l="1"/>
  <c r="D55" i="14"/>
  <c r="G55" i="14" a="1"/>
  <c r="G55" i="14" l="1"/>
  <c r="E55" i="14" a="1"/>
  <c r="E55" i="14" s="1"/>
  <c r="A55" i="14" l="1" a="1"/>
  <c r="A55" i="14" s="1"/>
  <c r="B55" i="14" a="1"/>
  <c r="B55" i="14" s="1"/>
  <c r="C56" i="14" a="1"/>
  <c r="C56" i="14" s="1"/>
  <c r="H55" i="14" a="1"/>
  <c r="H55" i="14" s="1"/>
  <c r="I55" i="14" a="1"/>
  <c r="I55" i="14" s="1"/>
  <c r="D56" i="14" l="1"/>
  <c r="F56" i="14"/>
  <c r="G56" i="14" a="1"/>
  <c r="G56" i="14" l="1"/>
  <c r="E56" i="14" a="1"/>
  <c r="E56" i="14" s="1"/>
  <c r="A56" i="14" l="1" a="1"/>
  <c r="A56" i="14" s="1"/>
  <c r="B56" i="14" a="1"/>
  <c r="B56" i="14" s="1"/>
  <c r="C57" i="14" a="1"/>
  <c r="C57" i="14" s="1"/>
  <c r="I56" i="14" a="1"/>
  <c r="I56" i="14" s="1"/>
  <c r="H56" i="14" a="1"/>
  <c r="H56" i="14" s="1"/>
  <c r="F57" i="14" l="1"/>
  <c r="D57" i="14"/>
  <c r="G57" i="14" a="1"/>
  <c r="G57" i="14" l="1"/>
  <c r="E57" i="14" a="1"/>
  <c r="E57" i="14" s="1"/>
  <c r="B57" i="14" l="1" a="1"/>
  <c r="B57" i="14" s="1"/>
  <c r="A57" i="14" a="1"/>
  <c r="A57" i="14" s="1"/>
  <c r="C58" i="14" a="1"/>
  <c r="C58" i="14" s="1"/>
  <c r="H57" i="14" a="1"/>
  <c r="H57" i="14" s="1"/>
  <c r="I57" i="14" a="1"/>
  <c r="I57" i="14" s="1"/>
  <c r="D58" i="14" l="1"/>
  <c r="F58" i="14"/>
  <c r="G58" i="14" a="1"/>
  <c r="G58" i="14" l="1"/>
  <c r="E58" i="14" a="1"/>
  <c r="E58" i="14" s="1"/>
  <c r="B58" i="14" l="1" a="1"/>
  <c r="B58" i="14" s="1"/>
  <c r="A58" i="14" a="1"/>
  <c r="A58" i="14" s="1"/>
  <c r="C59" i="14" a="1"/>
  <c r="C59" i="14" s="1"/>
  <c r="I58" i="14" a="1"/>
  <c r="I58" i="14" s="1"/>
  <c r="H58" i="14" a="1"/>
  <c r="H58" i="14" s="1"/>
  <c r="D59" i="14" l="1"/>
  <c r="F59" i="14"/>
  <c r="G59" i="14" a="1"/>
  <c r="G59" i="14" l="1"/>
  <c r="E59" i="14" a="1"/>
  <c r="E59" i="14" s="1"/>
  <c r="B59" i="14" l="1" a="1"/>
  <c r="B59" i="14" s="1"/>
  <c r="A59" i="14" a="1"/>
  <c r="A59" i="14" s="1"/>
  <c r="C60" i="14" a="1"/>
  <c r="C60" i="14" s="1"/>
  <c r="H59" i="14" a="1"/>
  <c r="H59" i="14" s="1"/>
  <c r="I59" i="14" a="1"/>
  <c r="I59" i="14" s="1"/>
  <c r="F60" i="14" l="1"/>
  <c r="D60" i="14"/>
  <c r="G60" i="14" a="1"/>
  <c r="G60" i="14" l="1"/>
  <c r="E60" i="14" a="1"/>
  <c r="E60" i="14" s="1"/>
  <c r="B60" i="14" l="1" a="1"/>
  <c r="B60" i="14" s="1"/>
  <c r="A60" i="14" a="1"/>
  <c r="A60" i="14" s="1"/>
  <c r="C61" i="14" a="1"/>
  <c r="C61" i="14" s="1"/>
  <c r="H60" i="14" a="1"/>
  <c r="H60" i="14" s="1"/>
  <c r="I60" i="14" a="1"/>
  <c r="I60" i="14" s="1"/>
  <c r="F61" i="14" l="1"/>
  <c r="D61" i="14"/>
  <c r="G61" i="14" a="1"/>
  <c r="G61" i="14" l="1"/>
  <c r="E61" i="14" a="1"/>
  <c r="E61" i="14" s="1"/>
  <c r="A61" i="14" l="1" a="1"/>
  <c r="A61" i="14" s="1"/>
  <c r="B61" i="14" a="1"/>
  <c r="B61" i="14" s="1"/>
  <c r="C62" i="14" a="1"/>
  <c r="C62" i="14" s="1"/>
  <c r="I61" i="14" a="1"/>
  <c r="I61" i="14" s="1"/>
  <c r="H61" i="14" a="1"/>
  <c r="H61" i="14" s="1"/>
  <c r="F62" i="14" l="1"/>
  <c r="D62" i="14"/>
  <c r="G62" i="14" a="1"/>
  <c r="G62" i="14" l="1"/>
  <c r="E62" i="14" a="1"/>
  <c r="E62" i="14" s="1"/>
  <c r="B62" i="14" l="1" a="1"/>
  <c r="B62" i="14" s="1"/>
  <c r="A62" i="14" a="1"/>
  <c r="A62" i="14" s="1"/>
  <c r="C63" i="14" a="1"/>
  <c r="C63" i="14" s="1"/>
  <c r="H62" i="14" a="1"/>
  <c r="H62" i="14" s="1"/>
  <c r="I62" i="14" a="1"/>
  <c r="I62" i="14" s="1"/>
  <c r="F63" i="14" l="1"/>
  <c r="D63" i="14"/>
  <c r="G63" i="14" a="1"/>
  <c r="G63" i="14" l="1"/>
  <c r="E63" i="14" a="1"/>
  <c r="E63" i="14" s="1"/>
  <c r="B63" i="14" l="1" a="1"/>
  <c r="B63" i="14" s="1"/>
  <c r="A63" i="14" a="1"/>
  <c r="A63" i="14" s="1"/>
  <c r="C64" i="14" a="1"/>
  <c r="C64" i="14" s="1"/>
  <c r="I63" i="14" a="1"/>
  <c r="I63" i="14" s="1"/>
  <c r="H63" i="14" a="1"/>
  <c r="H63" i="14" s="1"/>
  <c r="Q15" i="24" a="1"/>
  <c r="F64" i="14" l="1"/>
  <c r="D64" i="14"/>
  <c r="Q15" i="24"/>
  <c r="E15" i="24" s="1" a="1"/>
  <c r="E15" i="24" s="1"/>
  <c r="C15" i="24" a="1"/>
  <c r="G64" i="14" a="1"/>
  <c r="G64" i="14" l="1"/>
  <c r="E64" i="14" a="1"/>
  <c r="E64" i="14" s="1"/>
  <c r="C15" i="24"/>
  <c r="A15" i="24"/>
  <c r="D15" i="24"/>
  <c r="A64" i="14" l="1" a="1"/>
  <c r="A64" i="14" s="1"/>
  <c r="B64" i="14" a="1"/>
  <c r="B64" i="14" s="1"/>
  <c r="C65" i="14" a="1"/>
  <c r="C65" i="14" s="1"/>
  <c r="I64" i="14" a="1"/>
  <c r="I64" i="14" s="1"/>
  <c r="H64" i="14" a="1"/>
  <c r="H64" i="14" s="1"/>
  <c r="F65" i="14" l="1"/>
  <c r="D65" i="14"/>
  <c r="G65" i="14" a="1"/>
  <c r="G65" i="14" l="1"/>
  <c r="E65" i="14" a="1"/>
  <c r="E65" i="14" s="1"/>
  <c r="B65" i="14" l="1" a="1"/>
  <c r="B65" i="14" s="1"/>
  <c r="A65" i="14" a="1"/>
  <c r="A65" i="14" s="1"/>
  <c r="C66" i="14" a="1"/>
  <c r="C66" i="14" s="1"/>
  <c r="I65" i="14" a="1"/>
  <c r="I65" i="14" s="1"/>
  <c r="H65" i="14" a="1"/>
  <c r="H65" i="14" s="1"/>
  <c r="Q13" i="24" a="1"/>
  <c r="Q14" i="24" a="1"/>
  <c r="F66" i="14" l="1"/>
  <c r="D66" i="14"/>
  <c r="Q14" i="24"/>
  <c r="Q13" i="24"/>
  <c r="G66" i="14" a="1"/>
  <c r="C13" i="24" a="1"/>
  <c r="C14" i="24" a="1"/>
  <c r="G66" i="14" l="1"/>
  <c r="E66" i="14" a="1"/>
  <c r="E66" i="14" s="1"/>
  <c r="C13" i="24"/>
  <c r="C14" i="24"/>
  <c r="E13" i="24" a="1"/>
  <c r="E13" i="24" s="1"/>
  <c r="E14" i="24" a="1"/>
  <c r="E14" i="24" s="1"/>
  <c r="D14" i="24" s="1"/>
  <c r="A66" i="14" l="1" a="1"/>
  <c r="A66" i="14" s="1"/>
  <c r="B66" i="14" a="1"/>
  <c r="B66" i="14" s="1"/>
  <c r="C67" i="14" a="1"/>
  <c r="C67" i="14" s="1"/>
  <c r="I66" i="14" a="1"/>
  <c r="I66" i="14" s="1"/>
  <c r="H66" i="14" a="1"/>
  <c r="H66" i="14" s="1"/>
  <c r="A14" i="24"/>
  <c r="A13" i="24"/>
  <c r="D13" i="24"/>
  <c r="F67" i="14" l="1"/>
  <c r="D67" i="14"/>
  <c r="G67" i="14" a="1"/>
  <c r="G67" i="14" l="1"/>
  <c r="E67" i="14" a="1"/>
  <c r="E67" i="14" s="1"/>
  <c r="B67" i="14" l="1" a="1"/>
  <c r="B67" i="14" s="1"/>
  <c r="A67" i="14" a="1"/>
  <c r="A67" i="14" s="1"/>
  <c r="C68" i="14" a="1"/>
  <c r="C68" i="14" s="1"/>
  <c r="I67" i="14" a="1"/>
  <c r="I67" i="14" s="1"/>
  <c r="H67" i="14" a="1"/>
  <c r="H67" i="14" s="1"/>
  <c r="D68" i="14" l="1"/>
  <c r="F68" i="14"/>
  <c r="G68" i="14" a="1"/>
  <c r="G68" i="14" l="1"/>
  <c r="E68" i="14" a="1"/>
  <c r="E68" i="14" s="1"/>
  <c r="A68" i="14" l="1" a="1"/>
  <c r="A68" i="14" s="1"/>
  <c r="B68" i="14" a="1"/>
  <c r="B68" i="14" s="1"/>
  <c r="H68" i="14" a="1"/>
  <c r="H68" i="14" s="1"/>
  <c r="I68" i="14" a="1"/>
  <c r="I68" i="14" s="1"/>
  <c r="AI3" i="21" a="1"/>
  <c r="AI3" i="21" s="1"/>
  <c r="AJ3" i="21" s="1" a="1"/>
  <c r="AJ3" i="21" s="1"/>
  <c r="AI42" i="21" a="1"/>
  <c r="AI42" i="21" s="1"/>
  <c r="AI41" i="21" a="1"/>
  <c r="AI41" i="21" s="1"/>
  <c r="AI40" i="21" a="1"/>
  <c r="AI40" i="21" s="1"/>
  <c r="AI39" i="21" a="1"/>
  <c r="AI39" i="21" s="1"/>
  <c r="AI38" i="21" a="1"/>
  <c r="AI38" i="21" s="1"/>
  <c r="AI37" i="21" a="1"/>
  <c r="AI37" i="21" s="1"/>
  <c r="AI36" i="21" a="1"/>
  <c r="AI36" i="21" s="1"/>
  <c r="AI35" i="21" a="1"/>
  <c r="AI35" i="21" s="1"/>
  <c r="AI34" i="21" a="1"/>
  <c r="AI34" i="21" s="1"/>
  <c r="AI33" i="21" a="1"/>
  <c r="AI33" i="21" s="1"/>
  <c r="AI32" i="21" a="1"/>
  <c r="AI32" i="21" s="1"/>
  <c r="AI31" i="21" a="1"/>
  <c r="AI31" i="21" s="1"/>
  <c r="AI30" i="21" a="1"/>
  <c r="AI30" i="21" s="1"/>
  <c r="AI29" i="21" l="1" a="1"/>
  <c r="AI29" i="21" s="1"/>
  <c r="AI28" i="21" a="1"/>
  <c r="AI28" i="21" s="1"/>
  <c r="AI27" i="21" a="1"/>
  <c r="AI27" i="21" s="1"/>
  <c r="AI26" i="21" a="1"/>
  <c r="AI26" i="21" s="1"/>
  <c r="AI25" i="21" l="1" a="1"/>
  <c r="AI25" i="21" s="1"/>
  <c r="AI24" i="21" a="1"/>
  <c r="AI24" i="21" s="1"/>
  <c r="AI23" i="21" l="1" a="1"/>
  <c r="AI23" i="21" s="1"/>
  <c r="AI22" i="21" a="1"/>
  <c r="AI22" i="21" s="1"/>
  <c r="AI21" i="21" a="1"/>
  <c r="AI21" i="21" s="1"/>
  <c r="AI20" i="21" a="1"/>
  <c r="AI20" i="21" s="1"/>
  <c r="AI19" i="21" a="1"/>
  <c r="AI19" i="21" s="1"/>
  <c r="AI18" i="21" l="1" a="1"/>
  <c r="AI18" i="21" s="1"/>
  <c r="AI17" i="21" l="1" a="1"/>
  <c r="AI17" i="21" s="1"/>
  <c r="AI16" i="21" a="1"/>
  <c r="AI16" i="21" s="1"/>
  <c r="AI15" i="21" a="1"/>
  <c r="AI15" i="21" s="1"/>
  <c r="AI14" i="21" a="1"/>
  <c r="AI14" i="21" s="1"/>
  <c r="AJ4" i="20" l="1" a="1"/>
  <c r="AJ4" i="20" s="1"/>
  <c r="AI13" i="21" l="1" a="1"/>
  <c r="AI13" i="21" s="1"/>
  <c r="AI7" i="21" a="1"/>
  <c r="AI7" i="21" s="1"/>
  <c r="AI8" i="21" a="1"/>
  <c r="AI8" i="21" s="1"/>
  <c r="AI9" i="21" a="1"/>
  <c r="AI9" i="21" s="1"/>
  <c r="AI10" i="21" a="1"/>
  <c r="AI10" i="21" s="1"/>
  <c r="AI11" i="21" a="1"/>
  <c r="AI11" i="21" s="1"/>
  <c r="AI12" i="21" a="1"/>
  <c r="AI12" i="21" s="1"/>
  <c r="AI6" i="21" a="1"/>
  <c r="AI6" i="21" s="1"/>
  <c r="AI5" i="21" a="1"/>
  <c r="AI5" i="21" s="1"/>
  <c r="AI4" i="21" a="1"/>
  <c r="AI4" i="21" s="1"/>
  <c r="AJ4" i="21" s="1" a="1"/>
  <c r="AJ4" i="21" s="1"/>
  <c r="AJ5" i="21" l="1" a="1"/>
  <c r="AJ5" i="21" s="1"/>
  <c r="AJ6" i="21" l="1" a="1"/>
  <c r="AJ6" i="21" s="1"/>
  <c r="AJ7" i="21" l="1" a="1"/>
  <c r="AJ7" i="21" s="1"/>
  <c r="AJ8" i="21" l="1" a="1"/>
  <c r="AJ8" i="21" s="1"/>
  <c r="AJ9" i="21" l="1" a="1"/>
  <c r="AJ9" i="21" s="1"/>
  <c r="AJ10" i="21" l="1" a="1"/>
  <c r="AJ10" i="21" s="1"/>
  <c r="AJ11" i="21" l="1" a="1"/>
  <c r="AJ11" i="21" s="1"/>
  <c r="AJ12" i="21" l="1" a="1"/>
  <c r="AJ12" i="21" s="1"/>
  <c r="AJ13" i="21" l="1" a="1"/>
  <c r="AJ13" i="21" s="1"/>
  <c r="AJ14" i="21" l="1" a="1"/>
  <c r="AJ14" i="21" s="1"/>
  <c r="AJ15" i="21" l="1" a="1"/>
  <c r="AJ15" i="21" s="1"/>
  <c r="AJ16" i="21" l="1" a="1"/>
  <c r="AJ16" i="21" s="1"/>
  <c r="AJ17" i="21" l="1" a="1"/>
  <c r="AJ17" i="21" s="1"/>
  <c r="AJ18" i="21" l="1" a="1"/>
  <c r="AJ18" i="21" s="1"/>
  <c r="AJ19" i="21" l="1" a="1"/>
  <c r="AJ19" i="21" s="1"/>
  <c r="AJ20" i="21" l="1" a="1"/>
  <c r="AJ20" i="21" s="1"/>
  <c r="AJ21" i="21" l="1" a="1"/>
  <c r="AJ21" i="21" s="1"/>
  <c r="AJ22" i="21" l="1" a="1"/>
  <c r="AJ22" i="21" s="1"/>
  <c r="AJ23" i="21" l="1" a="1"/>
  <c r="AJ23" i="21" s="1"/>
  <c r="AI4" i="20" a="1"/>
  <c r="AI4" i="20" s="1"/>
  <c r="AI5" i="20" s="1" a="1"/>
  <c r="AI5" i="20" s="1"/>
  <c r="AI6" i="20" s="1" a="1"/>
  <c r="AI6" i="20" s="1"/>
  <c r="AI7" i="20" s="1" a="1"/>
  <c r="AI7" i="20" s="1"/>
  <c r="AI8" i="20" s="1" a="1"/>
  <c r="AI8" i="20" s="1"/>
  <c r="AI9" i="20" s="1" a="1"/>
  <c r="AI9" i="20" s="1"/>
  <c r="AI10" i="20" s="1" a="1"/>
  <c r="AI10" i="20" s="1"/>
  <c r="AI11" i="20" s="1" a="1"/>
  <c r="AI11" i="20" s="1"/>
  <c r="AI12" i="20" s="1" a="1"/>
  <c r="AI12" i="20" s="1"/>
  <c r="AI13" i="20" s="1" a="1"/>
  <c r="AI13" i="20" s="1"/>
  <c r="AI14" i="20" s="1" a="1"/>
  <c r="AI14" i="20" s="1"/>
  <c r="AI15" i="20" s="1" a="1"/>
  <c r="AI15" i="20" s="1"/>
  <c r="AI16" i="20" s="1" a="1"/>
  <c r="AI16" i="20" s="1"/>
  <c r="AI17" i="20" s="1" a="1"/>
  <c r="AI17" i="20" s="1"/>
  <c r="AI18" i="20" s="1" a="1"/>
  <c r="AI18" i="20" s="1"/>
  <c r="AI19" i="20" s="1" a="1"/>
  <c r="AI19" i="20" s="1"/>
  <c r="AI20" i="20" s="1" a="1"/>
  <c r="AI20" i="20" s="1"/>
  <c r="AI21" i="20" s="1" a="1"/>
  <c r="AI21" i="20" s="1"/>
  <c r="AI22" i="20" s="1" a="1"/>
  <c r="AI22" i="20" s="1"/>
  <c r="AI23" i="20" s="1" a="1"/>
  <c r="AI23" i="20" s="1"/>
  <c r="AI24" i="20" s="1" a="1"/>
  <c r="AI24" i="20" s="1"/>
  <c r="AI25" i="20" s="1" a="1"/>
  <c r="AI25" i="20" s="1"/>
  <c r="AI26" i="20" s="1" a="1"/>
  <c r="AI26" i="20" s="1"/>
  <c r="AI27" i="20" s="1" a="1"/>
  <c r="AI27" i="20" s="1"/>
  <c r="AI28" i="20" s="1" a="1"/>
  <c r="AI28" i="20" s="1"/>
  <c r="AI29" i="20" s="1" a="1"/>
  <c r="AI29" i="20" s="1"/>
  <c r="AI30" i="20" s="1" a="1"/>
  <c r="AI30" i="20" s="1"/>
  <c r="AI31" i="20" s="1" a="1"/>
  <c r="AI31" i="20" s="1"/>
  <c r="AI32" i="20" s="1" a="1"/>
  <c r="AI32" i="20" s="1"/>
  <c r="AJ11" i="20" a="1"/>
  <c r="AJ11" i="20" s="1"/>
  <c r="AG11" i="20" a="1"/>
  <c r="AG11" i="20" s="1"/>
  <c r="AG28" i="20" a="1"/>
  <c r="AG28" i="20" s="1"/>
  <c r="AJ28" i="20" a="1"/>
  <c r="AJ28" i="20" s="1"/>
  <c r="AJ10" i="20" a="1"/>
  <c r="AJ10" i="20" s="1"/>
  <c r="AG10" i="20" a="1"/>
  <c r="AG10" i="20" s="1"/>
  <c r="AG14" i="20" a="1"/>
  <c r="AG14" i="20" s="1"/>
  <c r="AJ14" i="20" a="1"/>
  <c r="AJ14" i="20" s="1"/>
  <c r="AJ7" i="20" a="1"/>
  <c r="AJ7" i="20" s="1"/>
  <c r="AG7" i="20" a="1"/>
  <c r="AG7" i="20" s="1"/>
  <c r="AG23" i="20" a="1"/>
  <c r="AG23" i="20" s="1"/>
  <c r="AJ23" i="20" a="1"/>
  <c r="AJ23" i="20" s="1"/>
  <c r="AG31" i="20" a="1"/>
  <c r="AG31" i="20" s="1"/>
  <c r="AJ31" i="20" a="1"/>
  <c r="AJ31" i="20" s="1"/>
  <c r="AG17" i="20" a="1"/>
  <c r="AG17" i="20" s="1"/>
  <c r="AJ17" i="20" a="1"/>
  <c r="AJ17" i="20" s="1"/>
  <c r="AG22" i="20" a="1"/>
  <c r="AG22" i="20" s="1"/>
  <c r="AJ22" i="20" a="1"/>
  <c r="AJ22" i="20" s="1"/>
  <c r="AJ25" i="20" a="1"/>
  <c r="AJ25" i="20" s="1"/>
  <c r="AG25" i="20" a="1"/>
  <c r="AG25" i="20" s="1"/>
  <c r="AG8" i="20" a="1"/>
  <c r="AG8" i="20" s="1"/>
  <c r="AJ8" i="20" a="1"/>
  <c r="AJ8" i="20" s="1"/>
  <c r="AJ9" i="20" a="1"/>
  <c r="AJ9" i="20" s="1"/>
  <c r="AG9" i="20" a="1"/>
  <c r="AG9" i="20" s="1"/>
  <c r="AJ29" i="20" a="1"/>
  <c r="AJ29" i="20" s="1"/>
  <c r="AG29" i="20" a="1"/>
  <c r="AG29" i="20" s="1"/>
  <c r="AG6" i="20" a="1"/>
  <c r="AG6" i="20" s="1"/>
  <c r="AJ6" i="20" a="1"/>
  <c r="AJ6" i="20" s="1"/>
  <c r="AJ15" i="20" a="1"/>
  <c r="AJ15" i="20" s="1"/>
  <c r="AG15" i="20" a="1"/>
  <c r="AG15" i="20" s="1"/>
  <c r="AG18" i="20" a="1"/>
  <c r="AG18" i="20" s="1"/>
  <c r="AJ18" i="20" a="1"/>
  <c r="AJ18" i="20" s="1"/>
  <c r="AG21" i="20" a="1"/>
  <c r="AG21" i="20" s="1"/>
  <c r="AJ21" i="20" a="1"/>
  <c r="AJ21" i="20" s="1"/>
  <c r="AG45" i="20" a="1"/>
  <c r="AG45" i="20" s="1"/>
  <c r="AJ45" i="20" a="1"/>
  <c r="AJ45" i="20" s="1"/>
  <c r="AJ12" i="20" a="1"/>
  <c r="AJ12" i="20" s="1"/>
  <c r="AG12" i="20" a="1"/>
  <c r="AG12" i="20" s="1"/>
  <c r="AJ32" i="20" a="1"/>
  <c r="AJ32" i="20" s="1"/>
  <c r="AG32" i="20" a="1"/>
  <c r="AG32" i="20" s="1"/>
  <c r="AG50" i="20" a="1"/>
  <c r="AG50" i="20" s="1"/>
  <c r="AJ50" i="20" a="1"/>
  <c r="AJ50" i="20" s="1"/>
  <c r="AG30" i="20" a="1"/>
  <c r="AG30" i="20" s="1"/>
  <c r="AJ30" i="20" a="1"/>
  <c r="AJ30" i="20" s="1"/>
  <c r="AG35" i="20" a="1"/>
  <c r="AG35" i="20" s="1"/>
  <c r="AJ35" i="20" a="1"/>
  <c r="AJ35" i="20" s="1"/>
  <c r="AG4" i="20" a="1"/>
  <c r="AG4" i="20" s="1"/>
  <c r="U47" i="10" s="1"/>
  <c r="X47" i="10" l="1" a="1"/>
  <c r="X47" i="10" s="1"/>
  <c r="AH47" i="10" a="1"/>
  <c r="AH47" i="10" s="1"/>
  <c r="U46" i="10"/>
  <c r="X46" i="10" s="1" a="1"/>
  <c r="X46" i="10" s="1"/>
  <c r="AI33" i="20" a="1"/>
  <c r="AI33" i="20" s="1"/>
  <c r="AI34" i="20" s="1" a="1"/>
  <c r="AI34" i="20" s="1"/>
  <c r="AI35" i="20" s="1" a="1"/>
  <c r="AI35" i="20" s="1"/>
  <c r="AI36" i="20" s="1" a="1"/>
  <c r="AI36" i="20" s="1"/>
  <c r="AI37" i="20" s="1" a="1"/>
  <c r="AI37" i="20" s="1"/>
  <c r="AI38" i="20" s="1" a="1"/>
  <c r="AI38" i="20" s="1"/>
  <c r="AI39" i="20" s="1" a="1"/>
  <c r="AI39" i="20" s="1"/>
  <c r="AI40" i="20" s="1" a="1"/>
  <c r="AI40" i="20" s="1"/>
  <c r="U29" i="10"/>
  <c r="U31" i="10"/>
  <c r="U25" i="10"/>
  <c r="U13" i="10"/>
  <c r="U42" i="10"/>
  <c r="U16" i="10"/>
  <c r="U8" i="10"/>
  <c r="U40" i="10"/>
  <c r="U17" i="10"/>
  <c r="U15" i="10"/>
  <c r="U37" i="10"/>
  <c r="U41" i="10"/>
  <c r="U26" i="10"/>
  <c r="U23" i="10"/>
  <c r="U30" i="10"/>
  <c r="U38" i="10"/>
  <c r="U33" i="10"/>
  <c r="U12" i="10"/>
  <c r="U35" i="10"/>
  <c r="U27" i="10"/>
  <c r="U10" i="10"/>
  <c r="U14" i="10"/>
  <c r="U4" i="10"/>
  <c r="U19" i="10"/>
  <c r="U32" i="10"/>
  <c r="U45" i="10"/>
  <c r="U18" i="10"/>
  <c r="U6" i="10"/>
  <c r="U11" i="10"/>
  <c r="U5" i="10"/>
  <c r="U20" i="10"/>
  <c r="U43" i="10"/>
  <c r="U44" i="10"/>
  <c r="U22" i="10"/>
  <c r="U36" i="10"/>
  <c r="U28" i="10"/>
  <c r="U39" i="10"/>
  <c r="U34" i="10"/>
  <c r="U7" i="10"/>
  <c r="U24" i="10"/>
  <c r="U21" i="10"/>
  <c r="U9" i="10"/>
  <c r="AJ24" i="21" a="1"/>
  <c r="AJ24" i="21" s="1"/>
  <c r="AH46" i="10" l="1" a="1"/>
  <c r="AH46" i="10" s="1"/>
  <c r="AI41" i="20" a="1"/>
  <c r="AI41" i="20" s="1"/>
  <c r="AI42" i="20" s="1" a="1"/>
  <c r="AI42" i="20" s="1"/>
  <c r="AI43" i="20" s="1" a="1"/>
  <c r="AI43" i="20" s="1"/>
  <c r="AI44" i="20" s="1" a="1"/>
  <c r="AI44" i="20" s="1"/>
  <c r="AI45" i="20" s="1" a="1"/>
  <c r="AI45" i="20" s="1"/>
  <c r="AI46" i="20" s="1" a="1"/>
  <c r="AI46" i="20" s="1"/>
  <c r="AI47" i="20" s="1" a="1"/>
  <c r="AI47" i="20" s="1"/>
  <c r="AI48" i="20" s="1" a="1"/>
  <c r="AI48" i="20" s="1"/>
  <c r="AI49" i="20" s="1" a="1"/>
  <c r="AI49" i="20" s="1"/>
  <c r="AI50" i="20" s="1" a="1"/>
  <c r="AI50" i="20" s="1"/>
  <c r="AI51" i="20" s="1" a="1"/>
  <c r="AI51" i="20" s="1"/>
  <c r="AI52" i="20" s="1" a="1"/>
  <c r="AI52" i="20" s="1"/>
  <c r="AI53" i="20" s="1" a="1"/>
  <c r="AI53" i="20" s="1"/>
  <c r="AI54" i="20" s="1" a="1"/>
  <c r="AI54" i="20" s="1"/>
  <c r="AI55" i="20" s="1" a="1"/>
  <c r="AI55" i="20" s="1"/>
  <c r="AI56" i="20" s="1" a="1"/>
  <c r="AI56" i="20" s="1"/>
  <c r="AI57" i="20" s="1" a="1"/>
  <c r="AI57" i="20" s="1"/>
  <c r="AI58" i="20" s="1" a="1"/>
  <c r="AI58" i="20" s="1"/>
  <c r="AI59" i="20" s="1" a="1"/>
  <c r="AI59" i="20" s="1"/>
  <c r="AI60" i="20" s="1" a="1"/>
  <c r="AI60" i="20" s="1"/>
  <c r="AI61" i="20" s="1" a="1"/>
  <c r="AI61" i="20" s="1"/>
  <c r="X43" i="10" a="1"/>
  <c r="X43" i="10" s="1"/>
  <c r="AH43" i="10" a="1"/>
  <c r="AH43" i="10" s="1"/>
  <c r="X23" i="10" a="1"/>
  <c r="X23" i="10" s="1"/>
  <c r="AH23" i="10" a="1"/>
  <c r="AH23" i="10" s="1"/>
  <c r="AG4" i="10" a="1"/>
  <c r="AG4" i="10" s="1"/>
  <c r="AH4" i="10" a="1"/>
  <c r="AH4" i="10" s="1"/>
  <c r="X4" i="10" a="1"/>
  <c r="X4" i="10" s="1"/>
  <c r="X7" i="10" a="1"/>
  <c r="X7" i="10" s="1"/>
  <c r="AH7" i="10" a="1"/>
  <c r="AH7" i="10" s="1"/>
  <c r="X19" i="10" a="1"/>
  <c r="X19" i="10" s="1"/>
  <c r="AH19" i="10" a="1"/>
  <c r="AH19" i="10" s="1"/>
  <c r="AH26" i="10" a="1"/>
  <c r="AH26" i="10" s="1"/>
  <c r="X26" i="10" a="1"/>
  <c r="X26" i="10" s="1"/>
  <c r="X41" i="10" a="1"/>
  <c r="X41" i="10" s="1"/>
  <c r="AH41" i="10" a="1"/>
  <c r="AH41" i="10" s="1"/>
  <c r="AH34" i="10" a="1"/>
  <c r="AH34" i="10" s="1"/>
  <c r="X34" i="10" a="1"/>
  <c r="X34" i="10" s="1"/>
  <c r="AH20" i="10" a="1"/>
  <c r="AH20" i="10" s="1"/>
  <c r="X20" i="10" a="1"/>
  <c r="X20" i="10" s="1"/>
  <c r="X14" i="10" a="1"/>
  <c r="X14" i="10" s="1"/>
  <c r="AH14" i="10" a="1"/>
  <c r="AH14" i="10" s="1"/>
  <c r="X37" i="10" a="1"/>
  <c r="X37" i="10" s="1"/>
  <c r="AH37" i="10" a="1"/>
  <c r="AH37" i="10" s="1"/>
  <c r="AH10" i="10" a="1"/>
  <c r="AH10" i="10" s="1"/>
  <c r="X10" i="10" a="1"/>
  <c r="X10" i="10" s="1"/>
  <c r="AH15" i="10" a="1"/>
  <c r="AH15" i="10" s="1"/>
  <c r="X15" i="10" a="1"/>
  <c r="X15" i="10" s="1"/>
  <c r="AJ25" i="21" a="1"/>
  <c r="AJ25" i="21" s="1"/>
  <c r="X27" i="10" a="1"/>
  <c r="X27" i="10" s="1"/>
  <c r="AH27" i="10" a="1"/>
  <c r="AH27" i="10" s="1"/>
  <c r="X17" i="10" a="1"/>
  <c r="X17" i="10" s="1"/>
  <c r="AH17" i="10" a="1"/>
  <c r="AH17" i="10" s="1"/>
  <c r="AH11" i="10" a="1"/>
  <c r="AH11" i="10" s="1"/>
  <c r="X11" i="10" a="1"/>
  <c r="X11" i="10" s="1"/>
  <c r="AH35" i="10" a="1"/>
  <c r="AH35" i="10" s="1"/>
  <c r="X35" i="10" a="1"/>
  <c r="X35" i="10" s="1"/>
  <c r="AH40" i="10" a="1"/>
  <c r="AH40" i="10" s="1"/>
  <c r="X40" i="10" a="1"/>
  <c r="X40" i="10" s="1"/>
  <c r="X6" i="10" a="1"/>
  <c r="X6" i="10" s="1"/>
  <c r="AH6" i="10" a="1"/>
  <c r="AH6" i="10" s="1"/>
  <c r="X12" i="10" a="1"/>
  <c r="X12" i="10" s="1"/>
  <c r="AH12" i="10" a="1"/>
  <c r="AH12" i="10" s="1"/>
  <c r="X8" i="10" a="1"/>
  <c r="X8" i="10" s="1"/>
  <c r="AH8" i="10" a="1"/>
  <c r="AH8" i="10" s="1"/>
  <c r="X18" i="10" a="1"/>
  <c r="X18" i="10" s="1"/>
  <c r="AH18" i="10" a="1"/>
  <c r="AH18" i="10" s="1"/>
  <c r="X16" i="10" a="1"/>
  <c r="X16" i="10" s="1"/>
  <c r="AH16" i="10" a="1"/>
  <c r="AH16" i="10" s="1"/>
  <c r="X36" i="10" a="1"/>
  <c r="X36" i="10" s="1"/>
  <c r="AH36" i="10" a="1"/>
  <c r="AH36" i="10" s="1"/>
  <c r="X45" i="10" a="1"/>
  <c r="X45" i="10" s="1"/>
  <c r="AH45" i="10" a="1"/>
  <c r="AH45" i="10" s="1"/>
  <c r="X42" i="10" a="1"/>
  <c r="X42" i="10" s="1"/>
  <c r="AH42" i="10" a="1"/>
  <c r="AH42" i="10" s="1"/>
  <c r="AH5" i="10" a="1"/>
  <c r="AH5" i="10" s="1"/>
  <c r="X5" i="10" a="1"/>
  <c r="X5" i="10" s="1"/>
  <c r="AH28" i="10" a="1"/>
  <c r="AH28" i="10" s="1"/>
  <c r="X28" i="10" a="1"/>
  <c r="X28" i="10" s="1"/>
  <c r="X24" i="10" a="1"/>
  <c r="X24" i="10" s="1"/>
  <c r="AH24" i="10" a="1"/>
  <c r="AH24" i="10" s="1"/>
  <c r="X22" i="10" a="1"/>
  <c r="X22" i="10" s="1"/>
  <c r="AH22" i="10" a="1"/>
  <c r="AH22" i="10" s="1"/>
  <c r="AH13" i="10" a="1"/>
  <c r="AH13" i="10" s="1"/>
  <c r="X13" i="10" a="1"/>
  <c r="X13" i="10" s="1"/>
  <c r="X21" i="10" a="1"/>
  <c r="X21" i="10" s="1"/>
  <c r="AH21" i="10" a="1"/>
  <c r="AH21" i="10" s="1"/>
  <c r="X44" i="10" a="1"/>
  <c r="X44" i="10" s="1"/>
  <c r="AH44" i="10" a="1"/>
  <c r="AH44" i="10" s="1"/>
  <c r="AH33" i="10" a="1"/>
  <c r="AH33" i="10" s="1"/>
  <c r="X33" i="10" a="1"/>
  <c r="X33" i="10" s="1"/>
  <c r="AH25" i="10" a="1"/>
  <c r="AH25" i="10" s="1"/>
  <c r="X25" i="10" a="1"/>
  <c r="X25" i="10" s="1"/>
  <c r="AH39" i="10" a="1"/>
  <c r="AH39" i="10" s="1"/>
  <c r="X39" i="10" a="1"/>
  <c r="X39" i="10" s="1"/>
  <c r="X32" i="10" a="1"/>
  <c r="X32" i="10" s="1"/>
  <c r="AH32" i="10" a="1"/>
  <c r="AH32" i="10" s="1"/>
  <c r="X38" i="10" a="1"/>
  <c r="X38" i="10" s="1"/>
  <c r="AH38" i="10" a="1"/>
  <c r="AH38" i="10" s="1"/>
  <c r="X31" i="10" a="1"/>
  <c r="X31" i="10" s="1"/>
  <c r="AH31" i="10" a="1"/>
  <c r="AH31" i="10" s="1"/>
  <c r="AH9" i="10" a="1"/>
  <c r="AH9" i="10" s="1"/>
  <c r="X9" i="10" a="1"/>
  <c r="X9" i="10" s="1"/>
  <c r="X30" i="10" a="1"/>
  <c r="X30" i="10" s="1"/>
  <c r="AH30" i="10" a="1"/>
  <c r="AH30" i="10" s="1"/>
  <c r="AH29" i="10" a="1"/>
  <c r="AH29" i="10" s="1"/>
  <c r="X29" i="10" a="1"/>
  <c r="X29" i="10" s="1"/>
  <c r="AF43" i="9" l="1" a="1"/>
  <c r="AF43" i="9" s="1"/>
  <c r="G43" i="21" s="1" a="1"/>
  <c r="G43" i="21" s="1"/>
  <c r="AJ26" i="21" a="1"/>
  <c r="AJ26" i="21" s="1"/>
  <c r="AF38" i="9" a="1"/>
  <c r="AF38" i="9" s="1"/>
  <c r="G38" i="21" s="1" a="1"/>
  <c r="G38" i="21" s="1"/>
  <c r="AF40" i="9" a="1"/>
  <c r="AF40" i="9" s="1"/>
  <c r="G40" i="21" s="1" a="1"/>
  <c r="G40" i="21" s="1"/>
  <c r="AF42" i="9" a="1"/>
  <c r="AF42" i="9" s="1"/>
  <c r="G42" i="21" s="1" a="1"/>
  <c r="G42" i="21" s="1"/>
  <c r="AF37" i="9" a="1"/>
  <c r="AF37" i="9" s="1"/>
  <c r="G37" i="21" s="1" a="1"/>
  <c r="G37" i="21" s="1"/>
  <c r="AF36" i="9" a="1"/>
  <c r="AF36" i="9" s="1"/>
  <c r="G36" i="21" s="1" a="1"/>
  <c r="G36" i="21" s="1"/>
  <c r="AF41" i="9" a="1"/>
  <c r="AF41" i="9" s="1"/>
  <c r="G41" i="21" s="1" a="1"/>
  <c r="G41" i="21" s="1"/>
  <c r="AF39" i="9" a="1"/>
  <c r="AF39" i="9" s="1"/>
  <c r="G39" i="21" s="1" a="1"/>
  <c r="G39" i="21" s="1"/>
  <c r="AF32" i="9" a="1"/>
  <c r="AF32" i="9" s="1"/>
  <c r="G32" i="21" s="1" a="1"/>
  <c r="G32" i="21" s="1"/>
  <c r="AF16" i="9" a="1"/>
  <c r="AF16" i="9" s="1"/>
  <c r="G16" i="21" s="1" a="1"/>
  <c r="G16" i="21" s="1"/>
  <c r="AF18" i="9" a="1"/>
  <c r="AF18" i="9" s="1"/>
  <c r="G18" i="21" s="1" a="1"/>
  <c r="G18" i="21" s="1"/>
  <c r="AF24" i="9" a="1"/>
  <c r="AF24" i="9" s="1"/>
  <c r="G24" i="21" s="1" a="1"/>
  <c r="G24" i="21" s="1"/>
  <c r="AF30" i="9" a="1"/>
  <c r="AF30" i="9" s="1"/>
  <c r="G30" i="21" s="1" a="1"/>
  <c r="G30" i="21" s="1"/>
  <c r="AF26" i="9" a="1"/>
  <c r="AF26" i="9" s="1"/>
  <c r="G26" i="21" s="1" a="1"/>
  <c r="G26" i="21" s="1"/>
  <c r="AF31" i="9" a="1"/>
  <c r="AF31" i="9" s="1"/>
  <c r="G31" i="21" s="1" a="1"/>
  <c r="G31" i="21" s="1"/>
  <c r="AF14" i="9" a="1"/>
  <c r="AF14" i="9" s="1"/>
  <c r="G14" i="21" s="1" a="1"/>
  <c r="G14" i="21" s="1"/>
  <c r="AF20" i="9" a="1"/>
  <c r="AF20" i="9" s="1"/>
  <c r="G20" i="21" s="1" a="1"/>
  <c r="G20" i="21" s="1"/>
  <c r="AF21" i="9" a="1"/>
  <c r="AF21" i="9" s="1"/>
  <c r="G21" i="21" s="1" a="1"/>
  <c r="G21" i="21" s="1"/>
  <c r="AF29" i="9" a="1"/>
  <c r="AF29" i="9" s="1"/>
  <c r="G29" i="21" s="1" a="1"/>
  <c r="G29" i="21" s="1"/>
  <c r="AF12" i="9" a="1"/>
  <c r="AF12" i="9" s="1"/>
  <c r="G12" i="21" s="1" a="1"/>
  <c r="G12" i="21" s="1"/>
  <c r="AF15" i="9" a="1"/>
  <c r="AF15" i="9" s="1"/>
  <c r="G15" i="21" s="1" a="1"/>
  <c r="G15" i="21" s="1"/>
  <c r="AF28" i="9" a="1"/>
  <c r="AF28" i="9" s="1"/>
  <c r="G28" i="21" s="1" a="1"/>
  <c r="G28" i="21" s="1"/>
  <c r="AF17" i="9" a="1"/>
  <c r="AF17" i="9" s="1"/>
  <c r="G17" i="21" s="1" a="1"/>
  <c r="G17" i="21" s="1"/>
  <c r="AF33" i="9" a="1"/>
  <c r="AF33" i="9" s="1"/>
  <c r="G33" i="21" s="1" a="1"/>
  <c r="G33" i="21" s="1"/>
  <c r="AF27" i="9" a="1"/>
  <c r="AF27" i="9" s="1"/>
  <c r="G27" i="21" s="1" a="1"/>
  <c r="G27" i="21" s="1"/>
  <c r="AF25" i="9" a="1"/>
  <c r="AF25" i="9" s="1"/>
  <c r="G25" i="21" s="1" a="1"/>
  <c r="G25" i="21" s="1"/>
  <c r="AF19" i="9" a="1"/>
  <c r="AF19" i="9" s="1"/>
  <c r="G19" i="21" s="1" a="1"/>
  <c r="G19" i="21" s="1"/>
  <c r="AF23" i="9" a="1"/>
  <c r="AF23" i="9" s="1"/>
  <c r="G23" i="21" s="1" a="1"/>
  <c r="G23" i="21" s="1"/>
  <c r="AF34" i="9" a="1"/>
  <c r="AF34" i="9" s="1"/>
  <c r="G34" i="21" s="1" a="1"/>
  <c r="G34" i="21" s="1"/>
  <c r="AF13" i="9" a="1"/>
  <c r="AF13" i="9" s="1"/>
  <c r="G13" i="21" s="1" a="1"/>
  <c r="G13" i="21" s="1"/>
  <c r="AF22" i="9" a="1"/>
  <c r="AF22" i="9" s="1"/>
  <c r="G22" i="21" s="1" a="1"/>
  <c r="G22" i="21" s="1"/>
  <c r="AF35" i="9" a="1"/>
  <c r="AF35" i="9" s="1"/>
  <c r="G35" i="21" s="1" a="1"/>
  <c r="G35" i="21" s="1"/>
  <c r="AF11" i="9" a="1"/>
  <c r="AF11" i="9" s="1"/>
  <c r="G11" i="21" s="1" a="1"/>
  <c r="G11" i="21" s="1"/>
  <c r="AF5" i="9" a="1"/>
  <c r="AF5" i="9" s="1"/>
  <c r="G5" i="21" s="1" a="1"/>
  <c r="G5" i="21" s="1"/>
  <c r="AF3" i="9" a="1"/>
  <c r="AF3" i="9" s="1"/>
  <c r="G3" i="21" s="1" a="1"/>
  <c r="G3" i="21" s="1"/>
  <c r="AF4" i="9" a="1"/>
  <c r="AF4" i="9" s="1"/>
  <c r="G4" i="21" s="1" a="1"/>
  <c r="G4" i="21" s="1"/>
  <c r="AF8" i="9" a="1"/>
  <c r="AF8" i="9" s="1"/>
  <c r="G8" i="21" s="1" a="1"/>
  <c r="G8" i="21" s="1"/>
  <c r="AF9" i="9" a="1"/>
  <c r="AF9" i="9" s="1"/>
  <c r="G9" i="21" s="1" a="1"/>
  <c r="G9" i="21" s="1"/>
  <c r="AF7" i="9" a="1"/>
  <c r="AF7" i="9" s="1"/>
  <c r="G7" i="21" s="1" a="1"/>
  <c r="G7" i="21" s="1"/>
  <c r="AF10" i="9" a="1"/>
  <c r="AF10" i="9" s="1"/>
  <c r="G10" i="21" s="1" a="1"/>
  <c r="G10" i="21" s="1"/>
  <c r="AF6" i="9" a="1"/>
  <c r="AF6" i="9" s="1"/>
  <c r="G6" i="21" s="1" a="1"/>
  <c r="G6" i="21" s="1"/>
  <c r="AG5" i="10" a="1"/>
  <c r="AG5" i="10" s="1"/>
  <c r="AG6" i="10" s="1" a="1"/>
  <c r="AG6" i="10" s="1"/>
  <c r="AG7" i="10" s="1" a="1"/>
  <c r="AG7" i="10" s="1"/>
  <c r="AG8" i="10" s="1" a="1"/>
  <c r="AG8" i="10" s="1"/>
  <c r="AG9" i="10" s="1" a="1"/>
  <c r="AG9" i="10" s="1"/>
  <c r="AG10" i="10" s="1" a="1"/>
  <c r="AG10" i="10" s="1"/>
  <c r="AG11" i="10" s="1" a="1"/>
  <c r="AG11" i="10" s="1"/>
  <c r="AG12" i="10" s="1" a="1"/>
  <c r="AG12" i="10" s="1"/>
  <c r="AG13" i="10" s="1" a="1"/>
  <c r="AG13" i="10" s="1"/>
  <c r="AG14" i="10" s="1" a="1"/>
  <c r="AG14" i="10" s="1"/>
  <c r="AG15" i="10" s="1" a="1"/>
  <c r="AG15" i="10" s="1"/>
  <c r="AG16" i="10" s="1" a="1"/>
  <c r="AG16" i="10" s="1"/>
  <c r="AG17" i="10" s="1" a="1"/>
  <c r="AG17" i="10" s="1"/>
  <c r="AG18" i="10" s="1" a="1"/>
  <c r="AG18" i="10" s="1"/>
  <c r="AG19" i="10" s="1" a="1"/>
  <c r="AG19" i="10" s="1"/>
  <c r="AG20" i="10" s="1" a="1"/>
  <c r="AG20" i="10" s="1"/>
  <c r="AG21" i="10" s="1" a="1"/>
  <c r="AG21" i="10" s="1"/>
  <c r="AG22" i="10" s="1" a="1"/>
  <c r="AG22" i="10" s="1"/>
  <c r="AG23" i="10" s="1" a="1"/>
  <c r="AG23" i="10" s="1"/>
  <c r="AG24" i="10" s="1" a="1"/>
  <c r="AG24" i="10" s="1"/>
  <c r="AG25" i="10" s="1" a="1"/>
  <c r="AG25" i="10" s="1"/>
  <c r="AG26" i="10" s="1" a="1"/>
  <c r="AG26" i="10" s="1"/>
  <c r="AG27" i="10" s="1" a="1"/>
  <c r="AG27" i="10" s="1"/>
  <c r="AG28" i="10" s="1" a="1"/>
  <c r="AG28" i="10" s="1"/>
  <c r="AG29" i="10" s="1" a="1"/>
  <c r="AG29" i="10" s="1"/>
  <c r="AG30" i="10" s="1" a="1"/>
  <c r="AG30" i="10" s="1"/>
  <c r="AG31" i="10" s="1" a="1"/>
  <c r="AG31" i="10" s="1"/>
  <c r="AG32" i="10" s="1" a="1"/>
  <c r="AG32" i="10" s="1"/>
  <c r="AG33" i="10" s="1" a="1"/>
  <c r="AG33" i="10" s="1"/>
  <c r="AG34" i="10" s="1" a="1"/>
  <c r="AG34" i="10" s="1"/>
  <c r="AG35" i="10" s="1" a="1"/>
  <c r="AG35" i="10" s="1"/>
  <c r="AG36" i="10" s="1" a="1"/>
  <c r="AG36" i="10" s="1"/>
  <c r="AG37" i="10" s="1" a="1"/>
  <c r="AG37" i="10" s="1"/>
  <c r="AG38" i="10" s="1" a="1"/>
  <c r="AG38" i="10" s="1"/>
  <c r="AG39" i="10" s="1" a="1"/>
  <c r="AG39" i="10" s="1"/>
  <c r="AG40" i="10" s="1" a="1"/>
  <c r="AG40" i="10" s="1"/>
  <c r="AG41" i="10" s="1" a="1"/>
  <c r="AG41" i="10" s="1"/>
  <c r="AG42" i="10" s="1" a="1"/>
  <c r="AG42" i="10" s="1"/>
  <c r="AG43" i="10" s="1" a="1"/>
  <c r="AG43" i="10" s="1"/>
  <c r="AG44" i="10" s="1" a="1"/>
  <c r="AG44" i="10" s="1"/>
  <c r="AG45" i="10" s="1" a="1"/>
  <c r="AG45" i="10" s="1"/>
  <c r="AG46" i="10" s="1" a="1"/>
  <c r="AG46" i="10" s="1"/>
  <c r="AG47" i="10" s="1" a="1"/>
  <c r="AG47" i="10" s="1"/>
  <c r="C7" i="27" a="1"/>
  <c r="C7" i="27" s="1"/>
  <c r="D7" i="27" s="1" a="1"/>
  <c r="D7" i="27" s="1"/>
  <c r="C9" i="27" a="1"/>
  <c r="C9" i="27" s="1"/>
  <c r="D9" i="27" s="1" a="1"/>
  <c r="D9" i="27" s="1"/>
  <c r="C6" i="27" a="1"/>
  <c r="C6" i="27" s="1"/>
  <c r="D6" i="27" s="1" a="1"/>
  <c r="D6" i="27" s="1"/>
  <c r="C4" i="27" a="1"/>
  <c r="C4" i="27" s="1"/>
  <c r="D4" i="27" s="1" a="1"/>
  <c r="D4" i="27" s="1"/>
  <c r="C15" i="27" a="1"/>
  <c r="C15" i="27" s="1"/>
  <c r="D15" i="27" s="1" a="1"/>
  <c r="D15" i="27" s="1"/>
  <c r="C8" i="27" a="1"/>
  <c r="C8" i="27" s="1"/>
  <c r="D8" i="27" s="1" a="1"/>
  <c r="D8" i="27" s="1"/>
  <c r="C3" i="27" a="1"/>
  <c r="C3" i="27" s="1"/>
  <c r="D3" i="27" s="1" a="1"/>
  <c r="D3" i="27" s="1"/>
  <c r="C12" i="27" a="1"/>
  <c r="C12" i="27" s="1"/>
  <c r="D12" i="27" s="1" a="1"/>
  <c r="D12" i="27" s="1"/>
  <c r="C10" i="27" a="1"/>
  <c r="C10" i="27" s="1"/>
  <c r="D10" i="27" s="1" a="1"/>
  <c r="D10" i="27" s="1"/>
  <c r="C13" i="27" a="1"/>
  <c r="C13" i="27" s="1"/>
  <c r="D13" i="27" s="1" a="1"/>
  <c r="D13" i="27" s="1"/>
  <c r="C11" i="27" a="1"/>
  <c r="C11" i="27" s="1"/>
  <c r="D11" i="27" s="1" a="1"/>
  <c r="D11" i="27" s="1"/>
  <c r="C5" i="27" a="1"/>
  <c r="C5" i="27" s="1"/>
  <c r="D5" i="27" s="1" a="1"/>
  <c r="D5" i="27" s="1"/>
  <c r="C14" i="27" a="1"/>
  <c r="C14" i="27" s="1"/>
  <c r="D14" i="27" s="1" a="1"/>
  <c r="D14" i="27" s="1"/>
  <c r="AI62" i="20" l="1" a="1"/>
  <c r="AI62" i="20" s="1"/>
  <c r="AI63" i="20" s="1" a="1"/>
  <c r="AI63" i="20" s="1"/>
  <c r="AI64" i="20" s="1" a="1"/>
  <c r="AI64" i="20" s="1"/>
  <c r="AI65" i="20" s="1" a="1"/>
  <c r="AI65" i="20" s="1"/>
  <c r="AI66" i="20" s="1" a="1"/>
  <c r="AI66" i="20" s="1"/>
  <c r="H43" i="21" a="1"/>
  <c r="H43" i="21" s="1"/>
  <c r="AE43" i="21" s="1" a="1"/>
  <c r="AE43" i="21" s="1"/>
  <c r="B8" i="19"/>
  <c r="H10" i="21" a="1"/>
  <c r="H10" i="21" s="1"/>
  <c r="I10" i="21" s="1" a="1"/>
  <c r="I10" i="21" s="1"/>
  <c r="H25" i="21" a="1"/>
  <c r="H25" i="21" s="1"/>
  <c r="AE25" i="21" s="1" a="1"/>
  <c r="AE25" i="21" s="1"/>
  <c r="H24" i="21" a="1"/>
  <c r="H24" i="21" s="1"/>
  <c r="AE24" i="21" s="1" a="1"/>
  <c r="AE24" i="21" s="1"/>
  <c r="H23" i="21" a="1"/>
  <c r="H23" i="21" s="1"/>
  <c r="AE23" i="21" s="1" a="1"/>
  <c r="AE23" i="21" s="1"/>
  <c r="H6" i="21" a="1"/>
  <c r="H6" i="21" s="1"/>
  <c r="AE6" i="21" s="1" a="1"/>
  <c r="AE6" i="21" s="1"/>
  <c r="H7" i="21" a="1"/>
  <c r="H7" i="21" s="1"/>
  <c r="AE7" i="21" s="1" a="1"/>
  <c r="AE7" i="21" s="1"/>
  <c r="H27" i="21" a="1"/>
  <c r="H27" i="21" s="1"/>
  <c r="AE27" i="21" s="1" a="1"/>
  <c r="AE27" i="21" s="1"/>
  <c r="H18" i="21" a="1"/>
  <c r="H18" i="21" s="1"/>
  <c r="I18" i="21" s="1" a="1"/>
  <c r="I18" i="21" s="1"/>
  <c r="H9" i="21" a="1"/>
  <c r="H9" i="21" s="1"/>
  <c r="I9" i="21" s="1" a="1"/>
  <c r="I9" i="21" s="1"/>
  <c r="H33" i="21" a="1"/>
  <c r="H33" i="21" s="1"/>
  <c r="I33" i="21" s="1" a="1"/>
  <c r="I33" i="21" s="1"/>
  <c r="H16" i="21" a="1"/>
  <c r="H16" i="21" s="1"/>
  <c r="AE16" i="21" s="1" a="1"/>
  <c r="AE16" i="21" s="1"/>
  <c r="H8" i="21" a="1"/>
  <c r="H8" i="21" s="1"/>
  <c r="AE8" i="21" s="1" a="1"/>
  <c r="AE8" i="21" s="1"/>
  <c r="H17" i="21" a="1"/>
  <c r="H17" i="21" s="1"/>
  <c r="AE17" i="21" s="1" a="1"/>
  <c r="AE17" i="21" s="1"/>
  <c r="H32" i="21" a="1"/>
  <c r="H32" i="21" s="1"/>
  <c r="AE32" i="21" s="1" a="1"/>
  <c r="AE32" i="21" s="1"/>
  <c r="H26" i="21" a="1"/>
  <c r="H26" i="21" s="1"/>
  <c r="I26" i="21" s="1" a="1"/>
  <c r="I26" i="21" s="1"/>
  <c r="H19" i="21" a="1"/>
  <c r="H19" i="21" s="1"/>
  <c r="AE19" i="21" s="1" a="1"/>
  <c r="AE19" i="21" s="1"/>
  <c r="H4" i="21" a="1"/>
  <c r="H4" i="21" s="1"/>
  <c r="AE4" i="21" s="1" a="1"/>
  <c r="AE4" i="21" s="1"/>
  <c r="H28" i="21" a="1"/>
  <c r="H28" i="21" s="1"/>
  <c r="AE28" i="21" s="1" a="1"/>
  <c r="AE28" i="21" s="1"/>
  <c r="H39" i="21" a="1"/>
  <c r="H39" i="21" s="1"/>
  <c r="AE39" i="21" s="1" a="1"/>
  <c r="AE39" i="21" s="1"/>
  <c r="H3" i="21" a="1"/>
  <c r="H3" i="21" s="1"/>
  <c r="AE3" i="21" s="1" a="1"/>
  <c r="AE3" i="21" s="1"/>
  <c r="AF3" i="21" s="1" a="1"/>
  <c r="AF3" i="21" s="1"/>
  <c r="H15" i="21" a="1"/>
  <c r="H15" i="21" s="1"/>
  <c r="AE15" i="21" s="1" a="1"/>
  <c r="AE15" i="21" s="1"/>
  <c r="H41" i="21" a="1"/>
  <c r="H41" i="21" s="1"/>
  <c r="I41" i="21" s="1" a="1"/>
  <c r="I41" i="21" s="1"/>
  <c r="H30" i="21" a="1"/>
  <c r="H30" i="21" s="1"/>
  <c r="I30" i="21" s="1" a="1"/>
  <c r="I30" i="21" s="1"/>
  <c r="H12" i="21" a="1"/>
  <c r="H12" i="21" s="1"/>
  <c r="I12" i="21" s="1" a="1"/>
  <c r="I12" i="21" s="1"/>
  <c r="H11" i="21" a="1"/>
  <c r="H11" i="21" s="1"/>
  <c r="AE11" i="21" s="1" a="1"/>
  <c r="AE11" i="21" s="1"/>
  <c r="H29" i="21" a="1"/>
  <c r="H29" i="21" s="1"/>
  <c r="AE29" i="21" s="1" a="1"/>
  <c r="AE29" i="21" s="1"/>
  <c r="H37" i="21" a="1"/>
  <c r="H37" i="21" s="1"/>
  <c r="AE37" i="21" s="1" a="1"/>
  <c r="AE37" i="21" s="1"/>
  <c r="H5" i="21" a="1"/>
  <c r="H5" i="21" s="1"/>
  <c r="AE5" i="21" s="1" a="1"/>
  <c r="AE5" i="21" s="1"/>
  <c r="H36" i="21" a="1"/>
  <c r="H36" i="21" s="1"/>
  <c r="AE36" i="21" s="1" a="1"/>
  <c r="AE36" i="21" s="1"/>
  <c r="H21" i="21" a="1"/>
  <c r="H21" i="21" s="1"/>
  <c r="AE21" i="21" s="1" a="1"/>
  <c r="AE21" i="21" s="1"/>
  <c r="H42" i="21" a="1"/>
  <c r="H42" i="21" s="1"/>
  <c r="AE42" i="21" s="1" a="1"/>
  <c r="AE42" i="21" s="1"/>
  <c r="H35" i="21" a="1"/>
  <c r="H35" i="21" s="1"/>
  <c r="AE35" i="21" s="1" a="1"/>
  <c r="AE35" i="21" s="1"/>
  <c r="H22" i="21" a="1"/>
  <c r="H22" i="21" s="1"/>
  <c r="AE22" i="21" s="1" a="1"/>
  <c r="AE22" i="21" s="1"/>
  <c r="H20" i="21" a="1"/>
  <c r="H20" i="21" s="1"/>
  <c r="AE20" i="21" s="1" a="1"/>
  <c r="AE20" i="21" s="1"/>
  <c r="H40" i="21" a="1"/>
  <c r="H40" i="21" s="1"/>
  <c r="AE40" i="21" s="1" a="1"/>
  <c r="AE40" i="21" s="1"/>
  <c r="H13" i="21" a="1"/>
  <c r="H13" i="21" s="1"/>
  <c r="I13" i="21" s="1" a="1"/>
  <c r="I13" i="21" s="1"/>
  <c r="H14" i="21" a="1"/>
  <c r="H14" i="21" s="1"/>
  <c r="I14" i="21" s="1" a="1"/>
  <c r="I14" i="21" s="1"/>
  <c r="H38" i="21" a="1"/>
  <c r="H38" i="21" s="1"/>
  <c r="I38" i="21" s="1" a="1"/>
  <c r="I38" i="21" s="1"/>
  <c r="H34" i="21" a="1"/>
  <c r="H34" i="21" s="1"/>
  <c r="AE34" i="21" s="1" a="1"/>
  <c r="AE34" i="21" s="1"/>
  <c r="H31" i="21" a="1"/>
  <c r="H31" i="21" s="1"/>
  <c r="I31" i="21" s="1" a="1"/>
  <c r="I31" i="21" s="1"/>
  <c r="AJ27" i="21" a="1"/>
  <c r="AJ27" i="21" s="1"/>
  <c r="J88" i="22" l="1"/>
  <c r="J100" i="22"/>
  <c r="J89" i="22"/>
  <c r="J90" i="22"/>
  <c r="J91" i="22"/>
  <c r="J98" i="22"/>
  <c r="J93" i="22"/>
  <c r="J94" i="22"/>
  <c r="J92" i="22"/>
  <c r="J87" i="22"/>
  <c r="J95" i="22"/>
  <c r="J99" i="22"/>
  <c r="J101" i="22"/>
  <c r="J97" i="22"/>
  <c r="J96" i="22"/>
  <c r="B9" i="19"/>
  <c r="L86" i="22" s="1"/>
  <c r="I43" i="21" a="1"/>
  <c r="I43" i="21" s="1"/>
  <c r="J75" i="22"/>
  <c r="K75" i="22" s="1"/>
  <c r="J64" i="22"/>
  <c r="K64" i="22" s="1"/>
  <c r="J50" i="22"/>
  <c r="K50" i="22" s="1"/>
  <c r="J65" i="22"/>
  <c r="K65" i="22" s="1"/>
  <c r="AE26" i="21" a="1"/>
  <c r="AE26" i="21" s="1"/>
  <c r="J58" i="22"/>
  <c r="J29" i="22"/>
  <c r="J24" i="22"/>
  <c r="K24" i="22" s="1"/>
  <c r="J39" i="22"/>
  <c r="K39" i="22" s="1"/>
  <c r="J67" i="22"/>
  <c r="J74" i="22"/>
  <c r="K74" i="22" s="1"/>
  <c r="J86" i="22"/>
  <c r="K86" i="22" s="1"/>
  <c r="J40" i="22"/>
  <c r="K40" i="22" s="1"/>
  <c r="J41" i="22"/>
  <c r="K41" i="22" s="1"/>
  <c r="J78" i="22"/>
  <c r="K78" i="22" s="1"/>
  <c r="J66" i="22"/>
  <c r="J36" i="22"/>
  <c r="J84" i="22"/>
  <c r="K84" i="22" s="1"/>
  <c r="J26" i="22"/>
  <c r="K26" i="22" s="1"/>
  <c r="J80" i="22"/>
  <c r="K80" i="22" s="1"/>
  <c r="AE12" i="21" a="1"/>
  <c r="AE12" i="21" s="1"/>
  <c r="J27" i="22"/>
  <c r="K27" i="22" s="1"/>
  <c r="J83" i="22"/>
  <c r="J37" i="22"/>
  <c r="J28" i="22"/>
  <c r="J30" i="22"/>
  <c r="K30" i="22" s="1"/>
  <c r="J31" i="22"/>
  <c r="K31" i="22" s="1"/>
  <c r="J47" i="22"/>
  <c r="J18" i="22"/>
  <c r="K18" i="22" s="1"/>
  <c r="A18" i="22" s="1"/>
  <c r="G18" i="22" s="1" a="1"/>
  <c r="G18" i="22" s="1"/>
  <c r="J60" i="22"/>
  <c r="K60" i="22" s="1"/>
  <c r="J42" i="22"/>
  <c r="K42" i="22" s="1"/>
  <c r="J72" i="22"/>
  <c r="K72" i="22" s="1"/>
  <c r="J32" i="22"/>
  <c r="K32" i="22" s="1"/>
  <c r="J63" i="22"/>
  <c r="K63" i="22" s="1"/>
  <c r="J59" i="22"/>
  <c r="K59" i="22" s="1"/>
  <c r="J52" i="22"/>
  <c r="K52" i="22" s="1"/>
  <c r="J21" i="22"/>
  <c r="J77" i="22"/>
  <c r="K77" i="22" s="1"/>
  <c r="J61" i="22"/>
  <c r="K61" i="22" s="1"/>
  <c r="J43" i="22"/>
  <c r="K43" i="22" s="1"/>
  <c r="J53" i="22"/>
  <c r="K53" i="22" s="1"/>
  <c r="J68" i="22"/>
  <c r="J76" i="22"/>
  <c r="K76" i="22" s="1"/>
  <c r="J56" i="22"/>
  <c r="K56" i="22" s="1"/>
  <c r="J62" i="22"/>
  <c r="K62" i="22" s="1"/>
  <c r="J25" i="22"/>
  <c r="K25" i="22" s="1"/>
  <c r="J57" i="22"/>
  <c r="K57" i="22" s="1"/>
  <c r="J49" i="22"/>
  <c r="K49" i="22" s="1"/>
  <c r="J71" i="22"/>
  <c r="J48" i="22"/>
  <c r="K48" i="22" s="1"/>
  <c r="J51" i="22"/>
  <c r="K51" i="22" s="1"/>
  <c r="J79" i="22"/>
  <c r="J33" i="22"/>
  <c r="K33" i="22" s="1"/>
  <c r="J82" i="22"/>
  <c r="K82" i="22" s="1"/>
  <c r="J85" i="22"/>
  <c r="K85" i="22" s="1"/>
  <c r="J70" i="22"/>
  <c r="K70" i="22" s="1"/>
  <c r="J45" i="22"/>
  <c r="K45" i="22" s="1"/>
  <c r="J44" i="22"/>
  <c r="K44" i="22" s="1"/>
  <c r="J34" i="22"/>
  <c r="J54" i="22"/>
  <c r="J19" i="22"/>
  <c r="J23" i="22"/>
  <c r="J38" i="22"/>
  <c r="K38" i="22" s="1"/>
  <c r="J20" i="22"/>
  <c r="K20" i="22" s="1"/>
  <c r="A20" i="22" s="1"/>
  <c r="G20" i="22" s="1" a="1"/>
  <c r="G20" i="22" s="1"/>
  <c r="J73" i="22"/>
  <c r="K73" i="22" s="1"/>
  <c r="J22" i="22"/>
  <c r="K22" i="22" s="1"/>
  <c r="A22" i="22" s="1"/>
  <c r="G22" i="22" s="1" a="1"/>
  <c r="G22" i="22" s="1"/>
  <c r="J81" i="22"/>
  <c r="K81" i="22" s="1"/>
  <c r="J55" i="22"/>
  <c r="J35" i="22"/>
  <c r="K35" i="22" s="1"/>
  <c r="J46" i="22"/>
  <c r="K46" i="22" s="1"/>
  <c r="J69" i="22"/>
  <c r="K69" i="22" s="1"/>
  <c r="AE13" i="21" a="1"/>
  <c r="AE13" i="21" s="1"/>
  <c r="AE30" i="21" a="1"/>
  <c r="AE30" i="21" s="1"/>
  <c r="AE41" i="21" a="1"/>
  <c r="AE41" i="21" s="1"/>
  <c r="I6" i="21" a="1"/>
  <c r="I6" i="21" s="1"/>
  <c r="I3" i="21" a="1"/>
  <c r="I3" i="21" s="1"/>
  <c r="I11" i="21" a="1"/>
  <c r="I11" i="21" s="1"/>
  <c r="I20" i="21" a="1"/>
  <c r="I20" i="21" s="1"/>
  <c r="I22" i="21" a="1"/>
  <c r="I22" i="21" s="1"/>
  <c r="I8" i="21" a="1"/>
  <c r="I8" i="21" s="1"/>
  <c r="I34" i="21" a="1"/>
  <c r="I34" i="21" s="1"/>
  <c r="AE14" i="21" a="1"/>
  <c r="AE14" i="21" s="1"/>
  <c r="I21" i="21" a="1"/>
  <c r="I21" i="21" s="1"/>
  <c r="I4" i="21" a="1"/>
  <c r="I4" i="21" s="1"/>
  <c r="I36" i="21" a="1"/>
  <c r="I36" i="21" s="1"/>
  <c r="AE9" i="21" a="1"/>
  <c r="AE9" i="21" s="1"/>
  <c r="I40" i="21" a="1"/>
  <c r="I40" i="21" s="1"/>
  <c r="AE18" i="21" a="1"/>
  <c r="AE18" i="21" s="1"/>
  <c r="I37" i="21" a="1"/>
  <c r="I37" i="21" s="1"/>
  <c r="I15" i="21" a="1"/>
  <c r="I15" i="21" s="1"/>
  <c r="I32" i="21" a="1"/>
  <c r="I32" i="21" s="1"/>
  <c r="I29" i="21" a="1"/>
  <c r="I29" i="21" s="1"/>
  <c r="I16" i="21" a="1"/>
  <c r="I16" i="21" s="1"/>
  <c r="I35" i="21" a="1"/>
  <c r="I35" i="21" s="1"/>
  <c r="I28" i="21" a="1"/>
  <c r="I28" i="21" s="1"/>
  <c r="AE10" i="21" a="1"/>
  <c r="AE10" i="21" s="1"/>
  <c r="I39" i="21" a="1"/>
  <c r="I39" i="21" s="1"/>
  <c r="I5" i="21" a="1"/>
  <c r="I5" i="21" s="1"/>
  <c r="AE38" i="21" a="1"/>
  <c r="AE38" i="21" s="1"/>
  <c r="AE33" i="21" a="1"/>
  <c r="AE33" i="21" s="1"/>
  <c r="I23" i="21" a="1"/>
  <c r="I23" i="21" s="1"/>
  <c r="I17" i="21" a="1"/>
  <c r="I17" i="21" s="1"/>
  <c r="AJ28" i="21" a="1"/>
  <c r="AJ28" i="21" s="1"/>
  <c r="I42" i="21" a="1"/>
  <c r="I42" i="21" s="1"/>
  <c r="I24" i="21" a="1"/>
  <c r="I24" i="21" s="1"/>
  <c r="AF4" i="21" a="1"/>
  <c r="AF4" i="21" s="1"/>
  <c r="AF5" i="21" s="1" a="1"/>
  <c r="AF5" i="21" s="1"/>
  <c r="AF6" i="21" s="1" a="1"/>
  <c r="AF6" i="21" s="1"/>
  <c r="AF7" i="21" s="1" a="1"/>
  <c r="AF7" i="21" s="1"/>
  <c r="AF8" i="21" s="1" a="1"/>
  <c r="AF8" i="21" s="1"/>
  <c r="AE31" i="21" a="1"/>
  <c r="AE31" i="21" s="1"/>
  <c r="I19" i="21" a="1"/>
  <c r="I19" i="21" s="1"/>
  <c r="I27" i="21" a="1"/>
  <c r="I27" i="21" s="1"/>
  <c r="I25" i="21" a="1"/>
  <c r="I25" i="21" s="1"/>
  <c r="I7" i="21" a="1"/>
  <c r="I7" i="21" s="1"/>
  <c r="L97" i="22" l="1"/>
  <c r="N97" i="22" s="1" a="1"/>
  <c r="N97" i="22" s="1"/>
  <c r="O97" i="22" s="1" a="1"/>
  <c r="O97" i="22" s="1"/>
  <c r="L95" i="22"/>
  <c r="M95" i="22" s="1" a="1"/>
  <c r="M95" i="22" s="1"/>
  <c r="L94" i="22"/>
  <c r="M94" i="22" s="1" a="1"/>
  <c r="M94" i="22" s="1"/>
  <c r="L96" i="22"/>
  <c r="W96" i="22" s="1"/>
  <c r="L87" i="22"/>
  <c r="L99" i="22"/>
  <c r="T99" i="22" s="1"/>
  <c r="L93" i="22"/>
  <c r="M93" i="22" s="1" a="1"/>
  <c r="M93" i="22" s="1"/>
  <c r="L90" i="22"/>
  <c r="S90" i="22" s="1"/>
  <c r="L89" i="22"/>
  <c r="L92" i="22"/>
  <c r="N92" i="22" s="1" a="1"/>
  <c r="N92" i="22" s="1"/>
  <c r="O92" i="22" s="1" a="1"/>
  <c r="O92" i="22" s="1"/>
  <c r="L88" i="22"/>
  <c r="L91" i="22"/>
  <c r="V91" i="22" s="1" a="1"/>
  <c r="V91" i="22" s="1"/>
  <c r="L101" i="22"/>
  <c r="T101" i="22" s="1"/>
  <c r="L98" i="22"/>
  <c r="Y98" i="22" s="1" a="1"/>
  <c r="Y98" i="22" s="1"/>
  <c r="L100" i="22"/>
  <c r="M100" i="22" s="1" a="1"/>
  <c r="M100" i="22" s="1"/>
  <c r="K96" i="22"/>
  <c r="A96" i="22" s="1"/>
  <c r="K97" i="22"/>
  <c r="A97" i="22" s="1"/>
  <c r="K101" i="22"/>
  <c r="A101" i="22" s="1"/>
  <c r="K99" i="22"/>
  <c r="A99" i="22" s="1"/>
  <c r="K95" i="22"/>
  <c r="A95" i="22" s="1"/>
  <c r="K87" i="22"/>
  <c r="K92" i="22"/>
  <c r="A92" i="22" s="1"/>
  <c r="K94" i="22"/>
  <c r="A94" i="22" s="1"/>
  <c r="K93" i="22"/>
  <c r="A93" i="22" s="1"/>
  <c r="K98" i="22"/>
  <c r="A98" i="22" s="1"/>
  <c r="K91" i="22"/>
  <c r="A91" i="22" s="1"/>
  <c r="K90" i="22"/>
  <c r="A90" i="22" s="1"/>
  <c r="K89" i="22"/>
  <c r="K100" i="22"/>
  <c r="A100" i="22" s="1"/>
  <c r="K88" i="22"/>
  <c r="L19" i="22"/>
  <c r="N19" i="22" s="1" a="1"/>
  <c r="N19" i="22" s="1"/>
  <c r="O19" i="22" s="1" a="1"/>
  <c r="O19" i="22" s="1"/>
  <c r="Q19" i="22" s="1" a="1"/>
  <c r="Q19" i="22" s="1"/>
  <c r="L43" i="22"/>
  <c r="L31" i="22"/>
  <c r="L73" i="22"/>
  <c r="A80" i="22"/>
  <c r="G80" i="22" s="1" a="1"/>
  <c r="G80" i="22" s="1"/>
  <c r="A60" i="22"/>
  <c r="G60" i="22" s="1" a="1"/>
  <c r="G60" i="22" s="1"/>
  <c r="L20" i="22"/>
  <c r="N20" i="22" s="1" a="1"/>
  <c r="N20" i="22" s="1"/>
  <c r="O20" i="22" s="1" a="1"/>
  <c r="O20" i="22" s="1"/>
  <c r="Q20" i="22" s="1" a="1"/>
  <c r="Q20" i="22" s="1"/>
  <c r="L76" i="22"/>
  <c r="Y76" i="22" s="1" a="1"/>
  <c r="Y76" i="22" s="1"/>
  <c r="L24" i="22"/>
  <c r="L63" i="22"/>
  <c r="L70" i="22"/>
  <c r="L84" i="22"/>
  <c r="L39" i="22"/>
  <c r="L23" i="22"/>
  <c r="AC23" i="22" s="1" a="1"/>
  <c r="AC23" i="22" s="1"/>
  <c r="L72" i="22"/>
  <c r="L74" i="22"/>
  <c r="L65" i="22"/>
  <c r="V65" i="22" s="1" a="1"/>
  <c r="V65" i="22" s="1"/>
  <c r="A77" i="22"/>
  <c r="G77" i="22" s="1" a="1"/>
  <c r="G77" i="22" s="1"/>
  <c r="L40" i="22"/>
  <c r="L34" i="22"/>
  <c r="L59" i="22"/>
  <c r="N59" i="22" s="1" a="1"/>
  <c r="N59" i="22" s="1"/>
  <c r="O59" i="22" s="1" a="1"/>
  <c r="O59" i="22" s="1"/>
  <c r="P59" i="22" s="1" a="1"/>
  <c r="P59" i="22" s="1"/>
  <c r="L56" i="22"/>
  <c r="AC56" i="22" s="1" a="1"/>
  <c r="AC56" i="22" s="1"/>
  <c r="A57" i="22"/>
  <c r="G57" i="22" s="1" a="1"/>
  <c r="G57" i="22" s="1"/>
  <c r="L48" i="22"/>
  <c r="X48" i="22" s="1" a="1"/>
  <c r="X48" i="22" s="1"/>
  <c r="L80" i="22"/>
  <c r="U80" i="22" s="1" a="1"/>
  <c r="U80" i="22" s="1"/>
  <c r="L75" i="22"/>
  <c r="L60" i="22"/>
  <c r="M60" i="22" s="1" a="1"/>
  <c r="M60" i="22" s="1"/>
  <c r="L46" i="22"/>
  <c r="M46" i="22" s="1" a="1"/>
  <c r="M46" i="22" s="1"/>
  <c r="L61" i="22"/>
  <c r="M61" i="22" s="1" a="1"/>
  <c r="M61" i="22" s="1"/>
  <c r="W61" i="22" s="1"/>
  <c r="L37" i="22"/>
  <c r="A56" i="22"/>
  <c r="G56" i="22" s="1" a="1"/>
  <c r="G56" i="22" s="1"/>
  <c r="L45" i="22"/>
  <c r="Y45" i="22" s="1" a="1"/>
  <c r="Y45" i="22" s="1"/>
  <c r="L30" i="22"/>
  <c r="A51" i="22"/>
  <c r="G51" i="22" s="1" a="1"/>
  <c r="G51" i="22" s="1"/>
  <c r="L67" i="22"/>
  <c r="W67" i="22" s="1"/>
  <c r="L64" i="22"/>
  <c r="L81" i="22"/>
  <c r="L44" i="22"/>
  <c r="L32" i="22"/>
  <c r="A53" i="22"/>
  <c r="G53" i="22" s="1" a="1"/>
  <c r="G53" i="22" s="1"/>
  <c r="L41" i="22"/>
  <c r="L57" i="22"/>
  <c r="X57" i="22" s="1" a="1"/>
  <c r="X57" i="22" s="1"/>
  <c r="A65" i="22"/>
  <c r="G65" i="22" s="1" a="1"/>
  <c r="G65" i="22" s="1"/>
  <c r="L71" i="22"/>
  <c r="A46" i="22"/>
  <c r="G46" i="22" s="1" a="1"/>
  <c r="G46" i="22" s="1"/>
  <c r="A48" i="22"/>
  <c r="G48" i="22" s="1" a="1"/>
  <c r="G48" i="22" s="1"/>
  <c r="L78" i="22"/>
  <c r="S78" i="22" s="1"/>
  <c r="A52" i="22"/>
  <c r="G52" i="22" s="1" a="1"/>
  <c r="G52" i="22" s="1"/>
  <c r="L28" i="22"/>
  <c r="L66" i="22"/>
  <c r="V66" i="22" s="1" a="1"/>
  <c r="V66" i="22" s="1"/>
  <c r="L26" i="22"/>
  <c r="L82" i="22"/>
  <c r="A76" i="22"/>
  <c r="G76" i="22" s="1" a="1"/>
  <c r="G76" i="22" s="1"/>
  <c r="A59" i="22"/>
  <c r="G59" i="22" s="1" a="1"/>
  <c r="G59" i="22" s="1"/>
  <c r="L69" i="22"/>
  <c r="L62" i="22"/>
  <c r="L53" i="22"/>
  <c r="Y53" i="22" s="1" a="1"/>
  <c r="Y53" i="22" s="1"/>
  <c r="L35" i="22"/>
  <c r="L85" i="22"/>
  <c r="A49" i="22"/>
  <c r="G49" i="22" s="1" a="1"/>
  <c r="G49" i="22" s="1"/>
  <c r="L52" i="22"/>
  <c r="Y52" i="22" s="1" a="1"/>
  <c r="Y52" i="22" s="1"/>
  <c r="L22" i="22"/>
  <c r="N22" i="22" s="1" a="1"/>
  <c r="N22" i="22" s="1"/>
  <c r="O22" i="22" s="1" a="1"/>
  <c r="O22" i="22" s="1"/>
  <c r="P22" i="22" s="1" a="1"/>
  <c r="P22" i="22" s="1"/>
  <c r="B15" i="19"/>
  <c r="L68" i="22"/>
  <c r="M68" i="22" s="1" a="1"/>
  <c r="M68" i="22" s="1"/>
  <c r="L83" i="22"/>
  <c r="L49" i="22"/>
  <c r="V49" i="22" s="1" a="1"/>
  <c r="V49" i="22" s="1"/>
  <c r="L79" i="22"/>
  <c r="M79" i="22" s="1" a="1"/>
  <c r="M79" i="22" s="1"/>
  <c r="L77" i="22"/>
  <c r="V77" i="22" s="1" a="1"/>
  <c r="V77" i="22" s="1"/>
  <c r="L47" i="22"/>
  <c r="V47" i="22" s="1" a="1"/>
  <c r="V47" i="22" s="1"/>
  <c r="L25" i="22"/>
  <c r="L21" i="22"/>
  <c r="S21" i="22" s="1"/>
  <c r="L58" i="22"/>
  <c r="S58" i="22" s="1"/>
  <c r="L36" i="22"/>
  <c r="X36" i="22" s="1" a="1"/>
  <c r="X36" i="22" s="1"/>
  <c r="L18" i="22"/>
  <c r="AC18" i="22" s="1" a="1"/>
  <c r="AC18" i="22" s="1"/>
  <c r="L50" i="22"/>
  <c r="AG50" i="22" s="1" a="1"/>
  <c r="AG50" i="22" s="1"/>
  <c r="L54" i="22"/>
  <c r="N54" i="22" s="1" a="1"/>
  <c r="N54" i="22" s="1"/>
  <c r="O54" i="22" s="1" a="1"/>
  <c r="O54" i="22" s="1"/>
  <c r="Q54" i="22" s="1" a="1"/>
  <c r="Q54" i="22" s="1"/>
  <c r="L29" i="22"/>
  <c r="A50" i="22"/>
  <c r="G50" i="22" s="1" a="1"/>
  <c r="G50" i="22" s="1"/>
  <c r="A45" i="22"/>
  <c r="G45" i="22" s="1" a="1"/>
  <c r="G45" i="22" s="1"/>
  <c r="L42" i="22"/>
  <c r="L27" i="22"/>
  <c r="L38" i="22"/>
  <c r="L33" i="22"/>
  <c r="L51" i="22"/>
  <c r="Y51" i="22" s="1" a="1"/>
  <c r="Y51" i="22" s="1"/>
  <c r="A78" i="22"/>
  <c r="G78" i="22" s="1" a="1"/>
  <c r="G78" i="22" s="1"/>
  <c r="L55" i="22"/>
  <c r="W55" i="22" s="1"/>
  <c r="K28" i="22"/>
  <c r="K54" i="22"/>
  <c r="A54" i="22" s="1"/>
  <c r="G54" i="22" s="1" a="1"/>
  <c r="G54" i="22" s="1"/>
  <c r="K36" i="22"/>
  <c r="A36" i="22" s="1"/>
  <c r="G36" i="22" s="1" a="1"/>
  <c r="G36" i="22" s="1"/>
  <c r="K79" i="22"/>
  <c r="A79" i="22" s="1"/>
  <c r="G79" i="22" s="1" a="1"/>
  <c r="G79" i="22" s="1"/>
  <c r="K34" i="22"/>
  <c r="K21" i="22"/>
  <c r="A21" i="22" s="1"/>
  <c r="G21" i="22" s="1" a="1"/>
  <c r="G21" i="22" s="1"/>
  <c r="K23" i="22"/>
  <c r="A23" i="22" s="1"/>
  <c r="G23" i="22" s="1" a="1"/>
  <c r="G23" i="22" s="1"/>
  <c r="K66" i="22"/>
  <c r="A66" i="22" s="1"/>
  <c r="G66" i="22" s="1" a="1"/>
  <c r="G66" i="22" s="1"/>
  <c r="K55" i="22"/>
  <c r="A55" i="22" s="1"/>
  <c r="G55" i="22" s="1" a="1"/>
  <c r="G55" i="22" s="1"/>
  <c r="K19" i="22"/>
  <c r="A19" i="22" s="1"/>
  <c r="G19" i="22" s="1" a="1"/>
  <c r="G19" i="22" s="1"/>
  <c r="K67" i="22"/>
  <c r="A67" i="22" s="1"/>
  <c r="G67" i="22" s="1" a="1"/>
  <c r="G67" i="22" s="1"/>
  <c r="K47" i="22"/>
  <c r="A47" i="22" s="1"/>
  <c r="G47" i="22" s="1" a="1"/>
  <c r="G47" i="22" s="1"/>
  <c r="K29" i="22"/>
  <c r="K37" i="22"/>
  <c r="K68" i="22"/>
  <c r="A68" i="22" s="1"/>
  <c r="G68" i="22" s="1" a="1"/>
  <c r="G68" i="22" s="1"/>
  <c r="AF9" i="21" a="1"/>
  <c r="AF9" i="21" s="1"/>
  <c r="AF10" i="21" s="1" a="1"/>
  <c r="AF10" i="21" s="1"/>
  <c r="AF11" i="21" s="1" a="1"/>
  <c r="AF11" i="21" s="1"/>
  <c r="AF12" i="21" s="1" a="1"/>
  <c r="AF12" i="21" s="1"/>
  <c r="AF13" i="21" s="1" a="1"/>
  <c r="AF13" i="21" s="1"/>
  <c r="AF14" i="21" s="1" a="1"/>
  <c r="AF14" i="21" s="1"/>
  <c r="AF15" i="21" s="1" a="1"/>
  <c r="AF15" i="21" s="1"/>
  <c r="AF16" i="21" s="1" a="1"/>
  <c r="AF16" i="21" s="1"/>
  <c r="AF17" i="21" s="1" a="1"/>
  <c r="AF17" i="21" s="1"/>
  <c r="AF18" i="21" s="1" a="1"/>
  <c r="AF18" i="21" s="1"/>
  <c r="AF19" i="21" s="1" a="1"/>
  <c r="AF19" i="21" s="1"/>
  <c r="AF20" i="21" s="1" a="1"/>
  <c r="AF20" i="21" s="1"/>
  <c r="AF21" i="21" s="1" a="1"/>
  <c r="AF21" i="21" s="1"/>
  <c r="AF22" i="21" s="1" a="1"/>
  <c r="AF22" i="21" s="1"/>
  <c r="AF23" i="21" s="1" a="1"/>
  <c r="AF23" i="21" s="1"/>
  <c r="AF24" i="21" s="1" a="1"/>
  <c r="AF24" i="21" s="1"/>
  <c r="AF25" i="21" s="1" a="1"/>
  <c r="AF25" i="21" s="1"/>
  <c r="AF26" i="21" s="1" a="1"/>
  <c r="AF26" i="21" s="1"/>
  <c r="AF27" i="21" s="1" a="1"/>
  <c r="AF27" i="21" s="1"/>
  <c r="AF28" i="21" s="1" a="1"/>
  <c r="AF28" i="21" s="1"/>
  <c r="AF29" i="21" s="1" a="1"/>
  <c r="AF29" i="21" s="1"/>
  <c r="AF30" i="21" s="1" a="1"/>
  <c r="AF30" i="21" s="1"/>
  <c r="AF31" i="21" s="1" a="1"/>
  <c r="AF31" i="21" s="1"/>
  <c r="K71" i="22"/>
  <c r="K83" i="22"/>
  <c r="K58" i="22"/>
  <c r="A58" i="22" s="1"/>
  <c r="G58" i="22" s="1" a="1"/>
  <c r="G58" i="22" s="1"/>
  <c r="C22" i="22" a="1"/>
  <c r="C22" i="22" s="1"/>
  <c r="H22" i="22" a="1"/>
  <c r="H22" i="22" s="1"/>
  <c r="AD22" i="22" a="1"/>
  <c r="AD22" i="22" s="1"/>
  <c r="AB22" i="22" a="1"/>
  <c r="AB22" i="22" s="1"/>
  <c r="I18" i="22" a="1"/>
  <c r="I18" i="22" s="1"/>
  <c r="C18" i="22" a="1"/>
  <c r="C18" i="22" s="1"/>
  <c r="H18" i="22" a="1"/>
  <c r="H18" i="22" s="1"/>
  <c r="AD18" i="22" a="1"/>
  <c r="AD18" i="22" s="1"/>
  <c r="AB18" i="22" a="1"/>
  <c r="AB18" i="22" s="1"/>
  <c r="H20" i="22" a="1"/>
  <c r="H20" i="22" s="1"/>
  <c r="C20" i="22" a="1"/>
  <c r="C20" i="22" s="1"/>
  <c r="AD20" i="22" a="1"/>
  <c r="AD20" i="22" s="1"/>
  <c r="AB20" i="22" a="1"/>
  <c r="AB20" i="22" s="1"/>
  <c r="AJ29" i="21" a="1"/>
  <c r="AJ29" i="21" s="1"/>
  <c r="AA91" i="22" l="1" a="1"/>
  <c r="AA91" i="22" s="1"/>
  <c r="S100" i="22"/>
  <c r="AG100" i="22" a="1"/>
  <c r="AG100" i="22" s="1"/>
  <c r="N100" i="22" a="1"/>
  <c r="N100" i="22" s="1"/>
  <c r="O100" i="22" s="1" a="1"/>
  <c r="O100" i="22" s="1"/>
  <c r="P100" i="22" s="1" a="1"/>
  <c r="P100" i="22" s="1"/>
  <c r="V100" i="22" a="1"/>
  <c r="V100" i="22" s="1"/>
  <c r="AA95" i="22" a="1"/>
  <c r="AA95" i="22" s="1"/>
  <c r="M97" i="22" a="1"/>
  <c r="M97" i="22" s="1"/>
  <c r="AG97" i="22" a="1"/>
  <c r="AG97" i="22" s="1"/>
  <c r="W97" i="22"/>
  <c r="AC100" i="22" a="1"/>
  <c r="AC100" i="22" s="1"/>
  <c r="V94" i="22" a="1"/>
  <c r="V94" i="22" s="1"/>
  <c r="U94" i="22" a="1"/>
  <c r="U94" i="22" s="1"/>
  <c r="S97" i="22"/>
  <c r="U100" i="22" a="1"/>
  <c r="U100" i="22" s="1"/>
  <c r="U90" i="22" a="1"/>
  <c r="U90" i="22" s="1"/>
  <c r="AA90" i="22" a="1"/>
  <c r="AA90" i="22" s="1"/>
  <c r="N90" i="22" a="1"/>
  <c r="N90" i="22" s="1"/>
  <c r="O90" i="22" s="1" a="1"/>
  <c r="O90" i="22" s="1"/>
  <c r="P90" i="22" s="1" a="1"/>
  <c r="P90" i="22" s="1"/>
  <c r="X90" i="22" a="1"/>
  <c r="X90" i="22" s="1"/>
  <c r="AG90" i="22" a="1"/>
  <c r="AG90" i="22" s="1"/>
  <c r="Y90" i="22" a="1"/>
  <c r="Y90" i="22" s="1"/>
  <c r="AG99" i="22" a="1"/>
  <c r="AG99" i="22" s="1"/>
  <c r="S92" i="22"/>
  <c r="Y92" i="22" a="1"/>
  <c r="Y92" i="22" s="1"/>
  <c r="Y95" i="22" a="1"/>
  <c r="Y95" i="22" s="1"/>
  <c r="U95" i="22" a="1"/>
  <c r="U95" i="22" s="1"/>
  <c r="N95" i="22" a="1"/>
  <c r="N95" i="22" s="1"/>
  <c r="O95" i="22" s="1" a="1"/>
  <c r="O95" i="22" s="1"/>
  <c r="P95" i="22" s="1" a="1"/>
  <c r="P95" i="22" s="1"/>
  <c r="AC90" i="22" a="1"/>
  <c r="AC90" i="22" s="1"/>
  <c r="V90" i="22" a="1"/>
  <c r="V90" i="22" s="1"/>
  <c r="M91" i="22" a="1"/>
  <c r="M91" i="22" s="1"/>
  <c r="W91" i="22"/>
  <c r="AG92" i="22" a="1"/>
  <c r="AG92" i="22" s="1"/>
  <c r="V92" i="22" a="1"/>
  <c r="V92" i="22" s="1"/>
  <c r="W90" i="22"/>
  <c r="U92" i="22" a="1"/>
  <c r="U92" i="22" s="1"/>
  <c r="M90" i="22" a="1"/>
  <c r="M90" i="22" s="1"/>
  <c r="AC92" i="22" a="1"/>
  <c r="AC92" i="22" s="1"/>
  <c r="T90" i="22"/>
  <c r="M99" i="22" a="1"/>
  <c r="M99" i="22" s="1"/>
  <c r="W95" i="22"/>
  <c r="V99" i="22" a="1"/>
  <c r="V99" i="22" s="1"/>
  <c r="X95" i="22" a="1"/>
  <c r="X95" i="22" s="1"/>
  <c r="X94" i="22" a="1"/>
  <c r="X94" i="22" s="1"/>
  <c r="V95" i="22" a="1"/>
  <c r="V95" i="22" s="1"/>
  <c r="AG94" i="22" a="1"/>
  <c r="AG94" i="22" s="1"/>
  <c r="AA94" i="22" a="1"/>
  <c r="AA94" i="22" s="1"/>
  <c r="T94" i="22"/>
  <c r="AC95" i="22" a="1"/>
  <c r="AC95" i="22" s="1"/>
  <c r="Y94" i="22" a="1"/>
  <c r="Y94" i="22" s="1"/>
  <c r="W94" i="22"/>
  <c r="S94" i="22"/>
  <c r="N94" i="22" a="1"/>
  <c r="N94" i="22" s="1"/>
  <c r="O94" i="22" s="1" a="1"/>
  <c r="O94" i="22" s="1"/>
  <c r="Q94" i="22" s="1" a="1"/>
  <c r="Q94" i="22" s="1"/>
  <c r="AC94" i="22" a="1"/>
  <c r="AC94" i="22" s="1"/>
  <c r="T100" i="22"/>
  <c r="U99" i="22" a="1"/>
  <c r="U99" i="22" s="1"/>
  <c r="T97" i="22"/>
  <c r="Y100" i="22" a="1"/>
  <c r="Y100" i="22" s="1"/>
  <c r="W99" i="22"/>
  <c r="X97" i="22" a="1"/>
  <c r="X97" i="22" s="1"/>
  <c r="X100" i="22" a="1"/>
  <c r="X100" i="22" s="1"/>
  <c r="X99" i="22" a="1"/>
  <c r="X99" i="22" s="1"/>
  <c r="S95" i="22"/>
  <c r="U97" i="22" a="1"/>
  <c r="U97" i="22" s="1"/>
  <c r="W100" i="22"/>
  <c r="Y99" i="22" a="1"/>
  <c r="Y99" i="22" s="1"/>
  <c r="T95" i="22"/>
  <c r="V97" i="22" a="1"/>
  <c r="V97" i="22" s="1"/>
  <c r="N99" i="22" a="1"/>
  <c r="N99" i="22" s="1"/>
  <c r="O99" i="22" s="1" a="1"/>
  <c r="O99" i="22" s="1"/>
  <c r="P99" i="22" s="1" a="1"/>
  <c r="P99" i="22" s="1"/>
  <c r="AG95" i="22" a="1"/>
  <c r="AG95" i="22" s="1"/>
  <c r="Y97" i="22" a="1"/>
  <c r="Y97" i="22" s="1"/>
  <c r="AA100" i="22" a="1"/>
  <c r="AA100" i="22" s="1"/>
  <c r="X96" i="22" a="1"/>
  <c r="X96" i="22" s="1"/>
  <c r="X101" i="22" a="1"/>
  <c r="X101" i="22" s="1"/>
  <c r="W92" i="22"/>
  <c r="M96" i="22" a="1"/>
  <c r="M96" i="22" s="1"/>
  <c r="AA92" i="22" a="1"/>
  <c r="AA92" i="22" s="1"/>
  <c r="Y101" i="22" a="1"/>
  <c r="Y101" i="22" s="1"/>
  <c r="M92" i="22" a="1"/>
  <c r="M92" i="22" s="1"/>
  <c r="U96" i="22" a="1"/>
  <c r="U96" i="22" s="1"/>
  <c r="U91" i="22" a="1"/>
  <c r="U91" i="22" s="1"/>
  <c r="AA99" i="22" a="1"/>
  <c r="AA99" i="22" s="1"/>
  <c r="T91" i="22"/>
  <c r="T92" i="22"/>
  <c r="S99" i="22"/>
  <c r="AG91" i="22" a="1"/>
  <c r="AG91" i="22" s="1"/>
  <c r="X92" i="22" a="1"/>
  <c r="X92" i="22" s="1"/>
  <c r="AC99" i="22" a="1"/>
  <c r="AC99" i="22" s="1"/>
  <c r="X91" i="22" a="1"/>
  <c r="X91" i="22" s="1"/>
  <c r="S101" i="22"/>
  <c r="T96" i="22"/>
  <c r="AA93" i="22" a="1"/>
  <c r="AA93" i="22" s="1"/>
  <c r="AG101" i="22" a="1"/>
  <c r="AG101" i="22" s="1"/>
  <c r="X93" i="22" a="1"/>
  <c r="X93" i="22" s="1"/>
  <c r="Y96" i="22" a="1"/>
  <c r="Y96" i="22" s="1"/>
  <c r="N101" i="22" a="1"/>
  <c r="N101" i="22" s="1"/>
  <c r="O101" i="22" s="1" a="1"/>
  <c r="O101" i="22" s="1"/>
  <c r="Q101" i="22" s="1" a="1"/>
  <c r="Q101" i="22" s="1"/>
  <c r="S91" i="22"/>
  <c r="AC93" i="22" a="1"/>
  <c r="AC93" i="22" s="1"/>
  <c r="N96" i="22" a="1"/>
  <c r="N96" i="22" s="1"/>
  <c r="O96" i="22" s="1" a="1"/>
  <c r="O96" i="22" s="1"/>
  <c r="P96" i="22" s="1" a="1"/>
  <c r="P96" i="22" s="1"/>
  <c r="V98" i="22" a="1"/>
  <c r="V98" i="22" s="1"/>
  <c r="V101" i="22" a="1"/>
  <c r="V101" i="22" s="1"/>
  <c r="V96" i="22" a="1"/>
  <c r="V96" i="22" s="1"/>
  <c r="S98" i="22"/>
  <c r="W101" i="22"/>
  <c r="Y91" i="22" a="1"/>
  <c r="Y91" i="22" s="1"/>
  <c r="AC96" i="22" a="1"/>
  <c r="AC96" i="22" s="1"/>
  <c r="AG98" i="22" a="1"/>
  <c r="AG98" i="22" s="1"/>
  <c r="AC101" i="22" a="1"/>
  <c r="AC101" i="22" s="1"/>
  <c r="W98" i="22"/>
  <c r="M101" i="22" a="1"/>
  <c r="M101" i="22" s="1"/>
  <c r="S96" i="22"/>
  <c r="X98" i="22" a="1"/>
  <c r="X98" i="22" s="1"/>
  <c r="U101" i="22" a="1"/>
  <c r="U101" i="22" s="1"/>
  <c r="AA101" i="22" a="1"/>
  <c r="AA101" i="22" s="1"/>
  <c r="AC91" i="22" a="1"/>
  <c r="AC91" i="22" s="1"/>
  <c r="AG96" i="22" a="1"/>
  <c r="AG96" i="22" s="1"/>
  <c r="AC97" i="22" a="1"/>
  <c r="AC97" i="22" s="1"/>
  <c r="AA97" i="22" a="1"/>
  <c r="AA97" i="22" s="1"/>
  <c r="N91" i="22" a="1"/>
  <c r="N91" i="22" s="1"/>
  <c r="O91" i="22" s="1" a="1"/>
  <c r="O91" i="22" s="1"/>
  <c r="P91" i="22" s="1" a="1"/>
  <c r="P91" i="22" s="1"/>
  <c r="AA96" i="22" a="1"/>
  <c r="AA96" i="22" s="1"/>
  <c r="U93" i="22" a="1"/>
  <c r="U93" i="22" s="1"/>
  <c r="W93" i="22"/>
  <c r="AA98" i="22" a="1"/>
  <c r="AA98" i="22" s="1"/>
  <c r="AG93" i="22" a="1"/>
  <c r="AG93" i="22" s="1"/>
  <c r="Y93" i="22" a="1"/>
  <c r="Y93" i="22" s="1"/>
  <c r="U98" i="22" a="1"/>
  <c r="U98" i="22" s="1"/>
  <c r="S93" i="22"/>
  <c r="T98" i="22"/>
  <c r="N93" i="22" a="1"/>
  <c r="N93" i="22" s="1"/>
  <c r="O93" i="22" s="1" a="1"/>
  <c r="O93" i="22" s="1"/>
  <c r="P93" i="22" s="1" a="1"/>
  <c r="P93" i="22" s="1"/>
  <c r="AC98" i="22" a="1"/>
  <c r="AC98" i="22" s="1"/>
  <c r="V93" i="22" a="1"/>
  <c r="V93" i="22" s="1"/>
  <c r="N98" i="22" a="1"/>
  <c r="N98" i="22" s="1"/>
  <c r="O98" i="22" s="1" a="1"/>
  <c r="O98" i="22" s="1"/>
  <c r="P98" i="22" s="1" a="1"/>
  <c r="P98" i="22" s="1"/>
  <c r="T93" i="22"/>
  <c r="M98" i="22" a="1"/>
  <c r="M98" i="22" s="1"/>
  <c r="AH80" i="22"/>
  <c r="AH89" i="22"/>
  <c r="AH90" i="22"/>
  <c r="AH91" i="22"/>
  <c r="AH93" i="22"/>
  <c r="AH92" i="22"/>
  <c r="AH94" i="22"/>
  <c r="AH87" i="22"/>
  <c r="AH88" i="22"/>
  <c r="AH95" i="22"/>
  <c r="AH96" i="22"/>
  <c r="AH97" i="22"/>
  <c r="AH98" i="22"/>
  <c r="AH99" i="22"/>
  <c r="AH100" i="22"/>
  <c r="AH101" i="22"/>
  <c r="Q92" i="22" a="1"/>
  <c r="Q92" i="22" s="1"/>
  <c r="P92" i="22" a="1"/>
  <c r="P92" i="22" s="1"/>
  <c r="P97" i="22" a="1"/>
  <c r="P97" i="22" s="1"/>
  <c r="Q97" i="22" a="1"/>
  <c r="Q97" i="22" s="1"/>
  <c r="G100" i="22" a="1"/>
  <c r="G100" i="22" s="1"/>
  <c r="C100" i="22" a="1"/>
  <c r="C100" i="22" s="1"/>
  <c r="AD100" i="22" a="1"/>
  <c r="AD100" i="22" s="1"/>
  <c r="B100" i="22" a="1"/>
  <c r="B100" i="22" s="1"/>
  <c r="AB100" i="22" a="1"/>
  <c r="AB100" i="22" s="1"/>
  <c r="AF100" i="22" a="1"/>
  <c r="AF100" i="22" s="1"/>
  <c r="H100" i="22" a="1"/>
  <c r="H100" i="22" s="1"/>
  <c r="Z100" i="22" a="1"/>
  <c r="Z100" i="22" s="1"/>
  <c r="F100" i="22"/>
  <c r="AF90" i="22" a="1"/>
  <c r="AF90" i="22" s="1"/>
  <c r="H90" i="22" a="1"/>
  <c r="H90" i="22" s="1"/>
  <c r="Z90" i="22" a="1"/>
  <c r="Z90" i="22" s="1"/>
  <c r="B90" i="22" a="1"/>
  <c r="B90" i="22" s="1"/>
  <c r="AD90" i="22" a="1"/>
  <c r="AD90" i="22" s="1"/>
  <c r="G90" i="22" a="1"/>
  <c r="G90" i="22" s="1"/>
  <c r="F90" i="22"/>
  <c r="C90" i="22" a="1"/>
  <c r="C90" i="22" s="1"/>
  <c r="AB90" i="22" a="1"/>
  <c r="AB90" i="22" s="1"/>
  <c r="G91" i="22" a="1"/>
  <c r="G91" i="22" s="1"/>
  <c r="AF91" i="22" a="1"/>
  <c r="AF91" i="22" s="1"/>
  <c r="H91" i="22" a="1"/>
  <c r="H91" i="22" s="1"/>
  <c r="Z91" i="22" a="1"/>
  <c r="Z91" i="22" s="1"/>
  <c r="AB91" i="22" a="1"/>
  <c r="AB91" i="22" s="1"/>
  <c r="F91" i="22"/>
  <c r="AD91" i="22" a="1"/>
  <c r="AD91" i="22" s="1"/>
  <c r="B91" i="22" a="1"/>
  <c r="B91" i="22" s="1"/>
  <c r="C91" i="22" a="1"/>
  <c r="C91" i="22" s="1"/>
  <c r="G98" i="22" a="1"/>
  <c r="G98" i="22" s="1"/>
  <c r="AF98" i="22" a="1"/>
  <c r="AF98" i="22" s="1"/>
  <c r="H98" i="22" a="1"/>
  <c r="H98" i="22" s="1"/>
  <c r="Z98" i="22" a="1"/>
  <c r="Z98" i="22" s="1"/>
  <c r="AB98" i="22" a="1"/>
  <c r="AB98" i="22" s="1"/>
  <c r="AD98" i="22" a="1"/>
  <c r="AD98" i="22" s="1"/>
  <c r="B98" i="22" a="1"/>
  <c r="B98" i="22" s="1"/>
  <c r="C98" i="22" a="1"/>
  <c r="C98" i="22" s="1"/>
  <c r="F98" i="22"/>
  <c r="C93" i="22" a="1"/>
  <c r="C93" i="22" s="1"/>
  <c r="AD93" i="22" a="1"/>
  <c r="AD93" i="22" s="1"/>
  <c r="G93" i="22" a="1"/>
  <c r="G93" i="22" s="1"/>
  <c r="Z93" i="22" a="1"/>
  <c r="Z93" i="22" s="1"/>
  <c r="AF93" i="22" a="1"/>
  <c r="AF93" i="22" s="1"/>
  <c r="H93" i="22" a="1"/>
  <c r="H93" i="22" s="1"/>
  <c r="B93" i="22" a="1"/>
  <c r="B93" i="22" s="1"/>
  <c r="F93" i="22"/>
  <c r="AB93" i="22" a="1"/>
  <c r="AB93" i="22" s="1"/>
  <c r="AB94" i="22" a="1"/>
  <c r="AB94" i="22" s="1"/>
  <c r="B94" i="22" a="1"/>
  <c r="B94" i="22" s="1"/>
  <c r="AD94" i="22" a="1"/>
  <c r="AD94" i="22" s="1"/>
  <c r="C94" i="22" a="1"/>
  <c r="C94" i="22" s="1"/>
  <c r="G94" i="22" a="1"/>
  <c r="G94" i="22" s="1"/>
  <c r="AF94" i="22" a="1"/>
  <c r="AF94" i="22" s="1"/>
  <c r="Z94" i="22" a="1"/>
  <c r="Z94" i="22" s="1"/>
  <c r="H94" i="22" a="1"/>
  <c r="H94" i="22" s="1"/>
  <c r="F94" i="22"/>
  <c r="AD92" i="22" a="1"/>
  <c r="AD92" i="22" s="1"/>
  <c r="AF92" i="22" a="1"/>
  <c r="AF92" i="22" s="1"/>
  <c r="H92" i="22" a="1"/>
  <c r="H92" i="22" s="1"/>
  <c r="G92" i="22" a="1"/>
  <c r="G92" i="22" s="1"/>
  <c r="B92" i="22" a="1"/>
  <c r="B92" i="22" s="1"/>
  <c r="Z92" i="22" a="1"/>
  <c r="Z92" i="22" s="1"/>
  <c r="C92" i="22" a="1"/>
  <c r="C92" i="22" s="1"/>
  <c r="F92" i="22"/>
  <c r="AB92" i="22" a="1"/>
  <c r="AB92" i="22" s="1"/>
  <c r="AB95" i="22" a="1"/>
  <c r="AB95" i="22" s="1"/>
  <c r="B95" i="22" a="1"/>
  <c r="B95" i="22" s="1"/>
  <c r="C95" i="22" a="1"/>
  <c r="C95" i="22" s="1"/>
  <c r="AF95" i="22" a="1"/>
  <c r="AF95" i="22" s="1"/>
  <c r="G95" i="22" a="1"/>
  <c r="G95" i="22" s="1"/>
  <c r="AD95" i="22" a="1"/>
  <c r="AD95" i="22" s="1"/>
  <c r="Z95" i="22" a="1"/>
  <c r="Z95" i="22" s="1"/>
  <c r="H95" i="22" a="1"/>
  <c r="H95" i="22" s="1"/>
  <c r="F95" i="22"/>
  <c r="AD99" i="22" a="1"/>
  <c r="AD99" i="22" s="1"/>
  <c r="AF99" i="22" a="1"/>
  <c r="AF99" i="22" s="1"/>
  <c r="G99" i="22" a="1"/>
  <c r="G99" i="22" s="1"/>
  <c r="H99" i="22" a="1"/>
  <c r="H99" i="22" s="1"/>
  <c r="AB99" i="22" a="1"/>
  <c r="AB99" i="22" s="1"/>
  <c r="Z99" i="22" a="1"/>
  <c r="Z99" i="22" s="1"/>
  <c r="B99" i="22" a="1"/>
  <c r="B99" i="22" s="1"/>
  <c r="C99" i="22" a="1"/>
  <c r="C99" i="22" s="1"/>
  <c r="F99" i="22"/>
  <c r="AB101" i="22" a="1"/>
  <c r="AB101" i="22" s="1"/>
  <c r="B101" i="22" a="1"/>
  <c r="B101" i="22" s="1"/>
  <c r="C101" i="22" a="1"/>
  <c r="C101" i="22" s="1"/>
  <c r="AD101" i="22" a="1"/>
  <c r="AD101" i="22" s="1"/>
  <c r="H101" i="22" a="1"/>
  <c r="H101" i="22" s="1"/>
  <c r="Z101" i="22" a="1"/>
  <c r="Z101" i="22" s="1"/>
  <c r="AF101" i="22" a="1"/>
  <c r="AF101" i="22" s="1"/>
  <c r="G101" i="22" a="1"/>
  <c r="G101" i="22" s="1"/>
  <c r="F101" i="22"/>
  <c r="AF97" i="22" a="1"/>
  <c r="AF97" i="22" s="1"/>
  <c r="H97" i="22" a="1"/>
  <c r="H97" i="22" s="1"/>
  <c r="Z97" i="22" a="1"/>
  <c r="Z97" i="22" s="1"/>
  <c r="B97" i="22" a="1"/>
  <c r="B97" i="22" s="1"/>
  <c r="AB97" i="22" a="1"/>
  <c r="AB97" i="22" s="1"/>
  <c r="C97" i="22" a="1"/>
  <c r="C97" i="22" s="1"/>
  <c r="AD97" i="22" a="1"/>
  <c r="AD97" i="22" s="1"/>
  <c r="G97" i="22" a="1"/>
  <c r="G97" i="22" s="1"/>
  <c r="F97" i="22"/>
  <c r="Z96" i="22" a="1"/>
  <c r="Z96" i="22" s="1"/>
  <c r="B96" i="22" a="1"/>
  <c r="B96" i="22" s="1"/>
  <c r="AB96" i="22" a="1"/>
  <c r="AB96" i="22" s="1"/>
  <c r="C96" i="22" a="1"/>
  <c r="C96" i="22" s="1"/>
  <c r="G96" i="22" a="1"/>
  <c r="G96" i="22" s="1"/>
  <c r="AD96" i="22" a="1"/>
  <c r="AD96" i="22" s="1"/>
  <c r="AF96" i="22" a="1"/>
  <c r="AF96" i="22" s="1"/>
  <c r="H96" i="22" a="1"/>
  <c r="H96" i="22" s="1"/>
  <c r="F96" i="22"/>
  <c r="H58" i="22" a="1"/>
  <c r="H58" i="22" s="1"/>
  <c r="AB53" i="22" a="1"/>
  <c r="AB53" i="22" s="1"/>
  <c r="AB36" i="22" a="1"/>
  <c r="AB36" i="22" s="1"/>
  <c r="C50" i="22" a="1"/>
  <c r="C50" i="22" s="1"/>
  <c r="C54" i="22" a="1"/>
  <c r="C54" i="22" s="1"/>
  <c r="H68" i="22" a="1"/>
  <c r="H68" i="22" s="1"/>
  <c r="AD57" i="22" a="1"/>
  <c r="AD57" i="22" s="1"/>
  <c r="H51" i="22" a="1"/>
  <c r="H51" i="22" s="1"/>
  <c r="C47" i="22" a="1"/>
  <c r="C47" i="22" s="1"/>
  <c r="H49" i="22" a="1"/>
  <c r="H49" i="22" s="1"/>
  <c r="C60" i="22" a="1"/>
  <c r="C60" i="22" s="1"/>
  <c r="AD80" i="22" a="1"/>
  <c r="AD80" i="22" s="1"/>
  <c r="C19" i="22" a="1"/>
  <c r="C19" i="22" s="1"/>
  <c r="AB46" i="22" a="1"/>
  <c r="AB46" i="22" s="1"/>
  <c r="AB56" i="22" a="1"/>
  <c r="AB56" i="22" s="1"/>
  <c r="AD77" i="22" a="1"/>
  <c r="AD77" i="22" s="1"/>
  <c r="C66" i="22" a="1"/>
  <c r="C66" i="22" s="1"/>
  <c r="AD65" i="22" a="1"/>
  <c r="AD65" i="22" s="1"/>
  <c r="N65" i="22" a="1"/>
  <c r="N65" i="22" s="1"/>
  <c r="O65" i="22" s="1" a="1"/>
  <c r="O65" i="22" s="1"/>
  <c r="P65" i="22" s="1" a="1"/>
  <c r="P65" i="22" s="1"/>
  <c r="X76" i="22" a="1"/>
  <c r="X76" i="22" s="1"/>
  <c r="U65" i="22" a="1"/>
  <c r="U65" i="22" s="1"/>
  <c r="C80" i="22" a="1"/>
  <c r="C80" i="22" s="1"/>
  <c r="AA20" i="22" a="1"/>
  <c r="AA20" i="22" s="1"/>
  <c r="P20" i="22" a="1"/>
  <c r="P20" i="22" s="1"/>
  <c r="AB80" i="22" a="1"/>
  <c r="AB80" i="22" s="1"/>
  <c r="X65" i="22" a="1"/>
  <c r="X65" i="22" s="1"/>
  <c r="H80" i="22" a="1"/>
  <c r="H80" i="22" s="1"/>
  <c r="U20" i="22" a="1"/>
  <c r="U20" i="22" s="1"/>
  <c r="W20" i="22"/>
  <c r="AB60" i="22" a="1"/>
  <c r="AB60" i="22" s="1"/>
  <c r="H60" i="22" a="1"/>
  <c r="H60" i="22" s="1"/>
  <c r="P19" i="22" a="1"/>
  <c r="P19" i="22" s="1"/>
  <c r="B20" i="22" a="1"/>
  <c r="B20" i="22" s="1"/>
  <c r="AG20" i="22" a="1"/>
  <c r="AG20" i="22" s="1"/>
  <c r="X20" i="22" a="1"/>
  <c r="X20" i="22" s="1"/>
  <c r="V20" i="22" a="1"/>
  <c r="V20" i="22" s="1"/>
  <c r="AF20" i="22" a="1"/>
  <c r="AF20" i="22" s="1"/>
  <c r="S20" i="22"/>
  <c r="AC20" i="22" a="1"/>
  <c r="AC20" i="22" s="1"/>
  <c r="M20" i="22" a="1"/>
  <c r="M20" i="22" s="1"/>
  <c r="R20" i="22" s="1"/>
  <c r="X19" i="22" a="1"/>
  <c r="X19" i="22" s="1"/>
  <c r="Y20" i="22" a="1"/>
  <c r="Y20" i="22" s="1"/>
  <c r="M19" i="22" a="1"/>
  <c r="M19" i="22" s="1"/>
  <c r="R19" i="22" s="1"/>
  <c r="T20" i="22"/>
  <c r="U19" i="22" a="1"/>
  <c r="U19" i="22" s="1"/>
  <c r="H77" i="22" a="1"/>
  <c r="H77" i="22" s="1"/>
  <c r="B65" i="22" a="1"/>
  <c r="B65" i="22" s="1"/>
  <c r="S65" i="22"/>
  <c r="Y19" i="22" a="1"/>
  <c r="Y19" i="22" s="1"/>
  <c r="AC19" i="22" a="1"/>
  <c r="AC19" i="22" s="1"/>
  <c r="AF65" i="22" a="1"/>
  <c r="AF65" i="22" s="1"/>
  <c r="V19" i="22" a="1"/>
  <c r="V19" i="22" s="1"/>
  <c r="AC65" i="22" a="1"/>
  <c r="AC65" i="22" s="1"/>
  <c r="S19" i="22"/>
  <c r="W19" i="22"/>
  <c r="AG19" i="22" a="1"/>
  <c r="AG19" i="22" s="1"/>
  <c r="T19" i="22"/>
  <c r="W65" i="22"/>
  <c r="W76" i="22"/>
  <c r="AA76" i="22" a="1"/>
  <c r="AA76" i="22" s="1"/>
  <c r="AD60" i="22" a="1"/>
  <c r="AD60" i="22" s="1"/>
  <c r="M76" i="22" a="1"/>
  <c r="M76" i="22" s="1"/>
  <c r="T76" i="22"/>
  <c r="AG76" i="22" a="1"/>
  <c r="AG76" i="22" s="1"/>
  <c r="N76" i="22" a="1"/>
  <c r="N76" i="22" s="1"/>
  <c r="O76" i="22" s="1" a="1"/>
  <c r="O76" i="22" s="1"/>
  <c r="Q76" i="22" s="1" a="1"/>
  <c r="Q76" i="22" s="1"/>
  <c r="S76" i="22"/>
  <c r="U76" i="22" a="1"/>
  <c r="U76" i="22" s="1"/>
  <c r="V76" i="22" a="1"/>
  <c r="V76" i="22" s="1"/>
  <c r="AC76" i="22" a="1"/>
  <c r="AC76" i="22" s="1"/>
  <c r="W23" i="22"/>
  <c r="B23" i="22" a="1"/>
  <c r="B23" i="22" s="1"/>
  <c r="Y23" i="22" a="1"/>
  <c r="Y23" i="22" s="1"/>
  <c r="M23" i="22" a="1"/>
  <c r="M23" i="22" s="1"/>
  <c r="R23" i="22" s="1"/>
  <c r="C77" i="22" a="1"/>
  <c r="C77" i="22" s="1"/>
  <c r="N23" i="22" a="1"/>
  <c r="N23" i="22" s="1"/>
  <c r="O23" i="22" s="1" a="1"/>
  <c r="O23" i="22" s="1"/>
  <c r="Q23" i="22" s="1" a="1"/>
  <c r="Q23" i="22" s="1"/>
  <c r="T56" i="22"/>
  <c r="V59" i="22" a="1"/>
  <c r="V59" i="22" s="1"/>
  <c r="AG23" i="22" a="1"/>
  <c r="AG23" i="22" s="1"/>
  <c r="U56" i="22" a="1"/>
  <c r="U56" i="22" s="1"/>
  <c r="U23" i="22" a="1"/>
  <c r="U23" i="22" s="1"/>
  <c r="AG56" i="22" a="1"/>
  <c r="AG56" i="22" s="1"/>
  <c r="AB77" i="22" a="1"/>
  <c r="AB77" i="22" s="1"/>
  <c r="X23" i="22" a="1"/>
  <c r="X23" i="22" s="1"/>
  <c r="V23" i="22" a="1"/>
  <c r="V23" i="22" s="1"/>
  <c r="S23" i="22"/>
  <c r="T23" i="22"/>
  <c r="M65" i="22" a="1"/>
  <c r="M65" i="22" s="1"/>
  <c r="AG65" i="22" a="1"/>
  <c r="AG65" i="22" s="1"/>
  <c r="T65" i="22"/>
  <c r="AA65" i="22" a="1"/>
  <c r="AA65" i="22" s="1"/>
  <c r="Y65" i="22" a="1"/>
  <c r="Y65" i="22" s="1"/>
  <c r="Y59" i="22" a="1"/>
  <c r="Y59" i="22" s="1"/>
  <c r="S59" i="22"/>
  <c r="AB65" i="22" a="1"/>
  <c r="AB65" i="22" s="1"/>
  <c r="AG59" i="22" a="1"/>
  <c r="AG59" i="22" s="1"/>
  <c r="U59" i="22" a="1"/>
  <c r="U59" i="22" s="1"/>
  <c r="M59" i="22" a="1"/>
  <c r="M59" i="22" s="1"/>
  <c r="Q59" i="22" a="1"/>
  <c r="Q59" i="22" s="1"/>
  <c r="X59" i="22" a="1"/>
  <c r="X59" i="22" s="1"/>
  <c r="H57" i="22" a="1"/>
  <c r="H57" i="22" s="1"/>
  <c r="T59" i="22"/>
  <c r="W59" i="22"/>
  <c r="B60" i="22" a="1"/>
  <c r="B60" i="22" s="1"/>
  <c r="AA60" i="22" a="1"/>
  <c r="AA60" i="22" s="1"/>
  <c r="AA59" i="22" a="1"/>
  <c r="AA59" i="22" s="1"/>
  <c r="AA46" i="22" a="1"/>
  <c r="AA46" i="22" s="1"/>
  <c r="AA56" i="22" a="1"/>
  <c r="AA56" i="22" s="1"/>
  <c r="W56" i="22"/>
  <c r="V56" i="22" a="1"/>
  <c r="V56" i="22" s="1"/>
  <c r="M56" i="22" a="1"/>
  <c r="M56" i="22" s="1"/>
  <c r="H46" i="22" a="1"/>
  <c r="H46" i="22" s="1"/>
  <c r="B56" i="22" a="1"/>
  <c r="B56" i="22" s="1"/>
  <c r="C46" i="22" a="1"/>
  <c r="C46" i="22" s="1"/>
  <c r="AD56" i="22" a="1"/>
  <c r="AD56" i="22" s="1"/>
  <c r="AF80" i="22" a="1"/>
  <c r="AF80" i="22" s="1"/>
  <c r="S56" i="22"/>
  <c r="AF56" i="22" a="1"/>
  <c r="AF56" i="22" s="1"/>
  <c r="B80" i="22" a="1"/>
  <c r="B80" i="22" s="1"/>
  <c r="B57" i="22" a="1"/>
  <c r="B57" i="22" s="1"/>
  <c r="AD53" i="22" a="1"/>
  <c r="AD53" i="22" s="1"/>
  <c r="Y56" i="22" a="1"/>
  <c r="Y56" i="22" s="1"/>
  <c r="AC80" i="22" a="1"/>
  <c r="AC80" i="22" s="1"/>
  <c r="M80" i="22" a="1"/>
  <c r="M80" i="22" s="1"/>
  <c r="AA57" i="22" a="1"/>
  <c r="AA57" i="22" s="1"/>
  <c r="C57" i="22" a="1"/>
  <c r="C57" i="22" s="1"/>
  <c r="X56" i="22" a="1"/>
  <c r="X56" i="22" s="1"/>
  <c r="N56" i="22" a="1"/>
  <c r="N56" i="22" s="1"/>
  <c r="O56" i="22" s="1" a="1"/>
  <c r="O56" i="22" s="1"/>
  <c r="P56" i="22" s="1" a="1"/>
  <c r="P56" i="22" s="1"/>
  <c r="S48" i="22"/>
  <c r="Y48" i="22" a="1"/>
  <c r="Y48" i="22" s="1"/>
  <c r="H56" i="22" a="1"/>
  <c r="H56" i="22" s="1"/>
  <c r="M48" i="22" a="1"/>
  <c r="M48" i="22" s="1"/>
  <c r="C56" i="22" a="1"/>
  <c r="C56" i="22" s="1"/>
  <c r="B46" i="22" a="1"/>
  <c r="B46" i="22" s="1"/>
  <c r="AB57" i="22" a="1"/>
  <c r="AB57" i="22" s="1"/>
  <c r="AC59" i="22" a="1"/>
  <c r="AC59" i="22" s="1"/>
  <c r="H53" i="22" a="1"/>
  <c r="H53" i="22" s="1"/>
  <c r="C48" i="22" a="1"/>
  <c r="C48" i="22" s="1"/>
  <c r="N21" i="22" a="1"/>
  <c r="N21" i="22" s="1"/>
  <c r="O21" i="22" s="1" a="1"/>
  <c r="O21" i="22" s="1"/>
  <c r="Q21" i="22" s="1" a="1"/>
  <c r="Q21" i="22" s="1"/>
  <c r="AA21" i="22" a="1"/>
  <c r="AA21" i="22" s="1"/>
  <c r="S45" i="22"/>
  <c r="B48" i="22" a="1"/>
  <c r="B48" i="22" s="1"/>
  <c r="AG45" i="22" a="1"/>
  <c r="AG45" i="22" s="1"/>
  <c r="U45" i="22" a="1"/>
  <c r="U45" i="22" s="1"/>
  <c r="C65" i="22" a="1"/>
  <c r="C65" i="22" s="1"/>
  <c r="AF48" i="22" a="1"/>
  <c r="AF48" i="22" s="1"/>
  <c r="AD48" i="22" a="1"/>
  <c r="AD48" i="22" s="1"/>
  <c r="N45" i="22" a="1"/>
  <c r="N45" i="22" s="1"/>
  <c r="O45" i="22" s="1" a="1"/>
  <c r="O45" i="22" s="1"/>
  <c r="Q45" i="22" s="1" a="1"/>
  <c r="Q45" i="22" s="1"/>
  <c r="H48" i="22" a="1"/>
  <c r="H48" i="22" s="1"/>
  <c r="AF46" i="22" a="1"/>
  <c r="AF46" i="22" s="1"/>
  <c r="AD46" i="22" a="1"/>
  <c r="AD46" i="22" s="1"/>
  <c r="V48" i="22" a="1"/>
  <c r="V48" i="22" s="1"/>
  <c r="AC46" i="22" a="1"/>
  <c r="AC46" i="22" s="1"/>
  <c r="H65" i="22" a="1"/>
  <c r="H65" i="22" s="1"/>
  <c r="AC48" i="22" a="1"/>
  <c r="AC48" i="22" s="1"/>
  <c r="T48" i="22"/>
  <c r="N57" i="22" a="1"/>
  <c r="N57" i="22" s="1"/>
  <c r="O57" i="22" s="1" a="1"/>
  <c r="O57" i="22" s="1"/>
  <c r="P57" i="22" s="1" a="1"/>
  <c r="P57" i="22" s="1"/>
  <c r="U52" i="22" a="1"/>
  <c r="U52" i="22" s="1"/>
  <c r="AG57" i="22" a="1"/>
  <c r="AG57" i="22" s="1"/>
  <c r="S46" i="22"/>
  <c r="U57" i="22" a="1"/>
  <c r="U57" i="22" s="1"/>
  <c r="V57" i="22" a="1"/>
  <c r="V57" i="22" s="1"/>
  <c r="AF57" i="22" a="1"/>
  <c r="AF57" i="22" s="1"/>
  <c r="AG46" i="22" a="1"/>
  <c r="AG46" i="22" s="1"/>
  <c r="M57" i="22" a="1"/>
  <c r="M57" i="22" s="1"/>
  <c r="C51" i="22" a="1"/>
  <c r="C51" i="22" s="1"/>
  <c r="X80" i="22" a="1"/>
  <c r="X80" i="22" s="1"/>
  <c r="V46" i="22" a="1"/>
  <c r="V46" i="22" s="1"/>
  <c r="T46" i="22"/>
  <c r="AC57" i="22" a="1"/>
  <c r="AC57" i="22" s="1"/>
  <c r="AF78" i="22" a="1"/>
  <c r="AF78" i="22" s="1"/>
  <c r="T57" i="22"/>
  <c r="U46" i="22" a="1"/>
  <c r="U46" i="22" s="1"/>
  <c r="B78" i="22" a="1"/>
  <c r="B78" i="22" s="1"/>
  <c r="N46" i="22" a="1"/>
  <c r="N46" i="22" s="1"/>
  <c r="O46" i="22" s="1" a="1"/>
  <c r="O46" i="22" s="1"/>
  <c r="Q46" i="22" s="1" a="1"/>
  <c r="Q46" i="22" s="1"/>
  <c r="S57" i="22"/>
  <c r="X60" i="22" a="1"/>
  <c r="X60" i="22" s="1"/>
  <c r="X46" i="22" a="1"/>
  <c r="X46" i="22" s="1"/>
  <c r="Y57" i="22" a="1"/>
  <c r="Y57" i="22" s="1"/>
  <c r="W46" i="22"/>
  <c r="T52" i="22"/>
  <c r="Y46" i="22" a="1"/>
  <c r="Y46" i="22" s="1"/>
  <c r="N36" i="22" a="1"/>
  <c r="N36" i="22" s="1"/>
  <c r="O36" i="22" s="1" a="1"/>
  <c r="O36" i="22" s="1"/>
  <c r="Q36" i="22" s="1" a="1"/>
  <c r="Q36" i="22" s="1"/>
  <c r="W57" i="22"/>
  <c r="AF60" i="22" a="1"/>
  <c r="AF60" i="22" s="1"/>
  <c r="U21" i="22" a="1"/>
  <c r="U21" i="22" s="1"/>
  <c r="N51" i="22" a="1"/>
  <c r="N51" i="22" s="1"/>
  <c r="O51" i="22" s="1" a="1"/>
  <c r="O51" i="22" s="1"/>
  <c r="P51" i="22" s="1" a="1"/>
  <c r="P51" i="22" s="1"/>
  <c r="Q22" i="22" a="1"/>
  <c r="Q22" i="22" s="1"/>
  <c r="X21" i="22" a="1"/>
  <c r="X21" i="22" s="1"/>
  <c r="W21" i="22"/>
  <c r="C53" i="22" a="1"/>
  <c r="C53" i="22" s="1"/>
  <c r="AH53" i="22"/>
  <c r="W60" i="22"/>
  <c r="AG67" i="22" a="1"/>
  <c r="AG67" i="22" s="1"/>
  <c r="P54" i="22" a="1"/>
  <c r="P54" i="22" s="1"/>
  <c r="AA80" i="22" a="1"/>
  <c r="AA80" i="22" s="1"/>
  <c r="V60" i="22" a="1"/>
  <c r="V60" i="22" s="1"/>
  <c r="AG60" i="22" a="1"/>
  <c r="AG60" i="22" s="1"/>
  <c r="U60" i="22" a="1"/>
  <c r="U60" i="22" s="1"/>
  <c r="Y80" i="22" a="1"/>
  <c r="Y80" i="22" s="1"/>
  <c r="V67" i="22" a="1"/>
  <c r="V67" i="22" s="1"/>
  <c r="U67" i="22" a="1"/>
  <c r="U67" i="22" s="1"/>
  <c r="T60" i="22"/>
  <c r="W80" i="22"/>
  <c r="N80" i="22" a="1"/>
  <c r="N80" i="22" s="1"/>
  <c r="O80" i="22" s="1" a="1"/>
  <c r="O80" i="22" s="1"/>
  <c r="Q80" i="22" s="1" a="1"/>
  <c r="Q80" i="22" s="1"/>
  <c r="V21" i="22" a="1"/>
  <c r="V21" i="22" s="1"/>
  <c r="S60" i="22"/>
  <c r="S80" i="22"/>
  <c r="Y21" i="22" a="1"/>
  <c r="Y21" i="22" s="1"/>
  <c r="V80" i="22" a="1"/>
  <c r="V80" i="22" s="1"/>
  <c r="N60" i="22" a="1"/>
  <c r="N60" i="22" s="1"/>
  <c r="O60" i="22" s="1" a="1"/>
  <c r="O60" i="22" s="1"/>
  <c r="P60" i="22" s="1" a="1"/>
  <c r="P60" i="22" s="1"/>
  <c r="AC60" i="22" a="1"/>
  <c r="AC60" i="22" s="1"/>
  <c r="AG80" i="22" a="1"/>
  <c r="AG80" i="22" s="1"/>
  <c r="T80" i="22"/>
  <c r="Y60" i="22" a="1"/>
  <c r="Y60" i="22" s="1"/>
  <c r="AD78" i="22" a="1"/>
  <c r="AD78" i="22" s="1"/>
  <c r="AB49" i="22" a="1"/>
  <c r="AB49" i="22" s="1"/>
  <c r="AD52" i="22" a="1"/>
  <c r="AD52" i="22" s="1"/>
  <c r="N48" i="22" a="1"/>
  <c r="N48" i="22" s="1"/>
  <c r="O48" i="22" s="1" a="1"/>
  <c r="O48" i="22" s="1"/>
  <c r="Q48" i="22" s="1" a="1"/>
  <c r="Q48" i="22" s="1"/>
  <c r="AH75" i="22"/>
  <c r="AH45" i="22"/>
  <c r="M45" i="22" a="1"/>
  <c r="M45" i="22" s="1"/>
  <c r="AC51" i="22" a="1"/>
  <c r="AC51" i="22" s="1"/>
  <c r="N67" i="22" a="1"/>
  <c r="N67" i="22" s="1"/>
  <c r="O67" i="22" s="1" a="1"/>
  <c r="O67" i="22" s="1"/>
  <c r="Q67" i="22" s="1" a="1"/>
  <c r="Q67" i="22" s="1"/>
  <c r="AA52" i="22" a="1"/>
  <c r="AA52" i="22" s="1"/>
  <c r="AA51" i="22" a="1"/>
  <c r="AA51" i="22" s="1"/>
  <c r="AB51" i="22" a="1"/>
  <c r="AB51" i="22" s="1"/>
  <c r="H78" i="22" a="1"/>
  <c r="H78" i="22" s="1"/>
  <c r="AB52" i="22" a="1"/>
  <c r="AB52" i="22" s="1"/>
  <c r="W48" i="22"/>
  <c r="X45" i="22" a="1"/>
  <c r="X45" i="22" s="1"/>
  <c r="Y67" i="22" a="1"/>
  <c r="Y67" i="22" s="1"/>
  <c r="AG36" i="22" a="1"/>
  <c r="AG36" i="22" s="1"/>
  <c r="AF52" i="22" a="1"/>
  <c r="AF52" i="22" s="1"/>
  <c r="AH40" i="22"/>
  <c r="AD51" i="22" a="1"/>
  <c r="AD51" i="22" s="1"/>
  <c r="C78" i="22" a="1"/>
  <c r="C78" i="22" s="1"/>
  <c r="H52" i="22" a="1"/>
  <c r="H52" i="22" s="1"/>
  <c r="X51" i="22" a="1"/>
  <c r="X51" i="22" s="1"/>
  <c r="T21" i="22"/>
  <c r="AB78" i="22" a="1"/>
  <c r="AB78" i="22" s="1"/>
  <c r="AA78" i="22" a="1"/>
  <c r="AA78" i="22" s="1"/>
  <c r="AD49" i="22" a="1"/>
  <c r="AD49" i="22" s="1"/>
  <c r="C49" i="22" a="1"/>
  <c r="C49" i="22" s="1"/>
  <c r="AA18" i="22" a="1"/>
  <c r="AA18" i="22" s="1"/>
  <c r="C52" i="22" a="1"/>
  <c r="C52" i="22" s="1"/>
  <c r="AG48" i="22" a="1"/>
  <c r="AG48" i="22" s="1"/>
  <c r="U48" i="22" a="1"/>
  <c r="U48" i="22" s="1"/>
  <c r="T67" i="22"/>
  <c r="AC21" i="22" a="1"/>
  <c r="AC21" i="22" s="1"/>
  <c r="AF51" i="22" a="1"/>
  <c r="AF51" i="22" s="1"/>
  <c r="AF18" i="22" a="1"/>
  <c r="AF18" i="22" s="1"/>
  <c r="AG66" i="22" a="1"/>
  <c r="AG66" i="22" s="1"/>
  <c r="V45" i="22" a="1"/>
  <c r="V45" i="22" s="1"/>
  <c r="S51" i="22"/>
  <c r="AF67" i="22" a="1"/>
  <c r="AF67" i="22" s="1"/>
  <c r="V36" i="22" a="1"/>
  <c r="V36" i="22" s="1"/>
  <c r="B51" i="22" a="1"/>
  <c r="B51" i="22" s="1"/>
  <c r="AA48" i="22" a="1"/>
  <c r="AA48" i="22" s="1"/>
  <c r="AA22" i="22" a="1"/>
  <c r="AA22" i="22" s="1"/>
  <c r="AH69" i="22"/>
  <c r="X67" i="22" a="1"/>
  <c r="X67" i="22" s="1"/>
  <c r="W45" i="22"/>
  <c r="T36" i="22"/>
  <c r="AC45" i="22" a="1"/>
  <c r="AC45" i="22" s="1"/>
  <c r="S67" i="22"/>
  <c r="AA45" i="22" a="1"/>
  <c r="AA45" i="22" s="1"/>
  <c r="AB48" i="22" a="1"/>
  <c r="AB48" i="22" s="1"/>
  <c r="M52" i="22" a="1"/>
  <c r="M52" i="22" s="1"/>
  <c r="M67" i="22" a="1"/>
  <c r="M67" i="22" s="1"/>
  <c r="AF22" i="22" a="1"/>
  <c r="AF22" i="22" s="1"/>
  <c r="W22" i="22"/>
  <c r="AH37" i="22"/>
  <c r="T45" i="22"/>
  <c r="V51" i="22" a="1"/>
  <c r="V51" i="22" s="1"/>
  <c r="AC67" i="22" a="1"/>
  <c r="AC67" i="22" s="1"/>
  <c r="AG18" i="22" a="1"/>
  <c r="AG18" i="22" s="1"/>
  <c r="S52" i="22"/>
  <c r="U78" i="22" a="1"/>
  <c r="U78" i="22" s="1"/>
  <c r="W78" i="22"/>
  <c r="AC78" i="22" a="1"/>
  <c r="AC78" i="22" s="1"/>
  <c r="W18" i="22"/>
  <c r="V52" i="22" a="1"/>
  <c r="V52" i="22" s="1"/>
  <c r="M78" i="22" a="1"/>
  <c r="M78" i="22" s="1"/>
  <c r="V78" i="22" a="1"/>
  <c r="V78" i="22" s="1"/>
  <c r="AG78" i="22" a="1"/>
  <c r="AG78" i="22" s="1"/>
  <c r="X18" i="22" a="1"/>
  <c r="X18" i="22" s="1"/>
  <c r="Y18" i="22" a="1"/>
  <c r="Y18" i="22" s="1"/>
  <c r="M18" i="22" a="1"/>
  <c r="M18" i="22" s="1"/>
  <c r="R18" i="22" s="1"/>
  <c r="H45" i="22" a="1"/>
  <c r="H45" i="22" s="1"/>
  <c r="AA50" i="22" a="1"/>
  <c r="AA50" i="22" s="1"/>
  <c r="C45" i="22" a="1"/>
  <c r="C45" i="22" s="1"/>
  <c r="AD50" i="22" a="1"/>
  <c r="AD50" i="22" s="1"/>
  <c r="AB50" i="22" a="1"/>
  <c r="AB50" i="22" s="1"/>
  <c r="H50" i="22" a="1"/>
  <c r="H50" i="22" s="1"/>
  <c r="V68" i="22" a="1"/>
  <c r="V68" i="22" s="1"/>
  <c r="N78" i="22" a="1"/>
  <c r="N78" i="22" s="1"/>
  <c r="O78" i="22" s="1" a="1"/>
  <c r="O78" i="22" s="1"/>
  <c r="P78" i="22" s="1" a="1"/>
  <c r="P78" i="22" s="1"/>
  <c r="AG21" i="22" a="1"/>
  <c r="AG21" i="22" s="1"/>
  <c r="U68" i="22" a="1"/>
  <c r="U68" i="22" s="1"/>
  <c r="Y68" i="22" a="1"/>
  <c r="Y68" i="22" s="1"/>
  <c r="M21" i="22" a="1"/>
  <c r="M21" i="22" s="1"/>
  <c r="R21" i="22" s="1"/>
  <c r="AD59" i="22" a="1"/>
  <c r="AD59" i="22" s="1"/>
  <c r="B49" i="22" a="1"/>
  <c r="B49" i="22" s="1"/>
  <c r="AB59" i="22" a="1"/>
  <c r="AB59" i="22" s="1"/>
  <c r="H59" i="22" a="1"/>
  <c r="H59" i="22" s="1"/>
  <c r="C59" i="22" a="1"/>
  <c r="C59" i="22" s="1"/>
  <c r="B59" i="22" a="1"/>
  <c r="B59" i="22" s="1"/>
  <c r="AB45" i="22" a="1"/>
  <c r="AB45" i="22" s="1"/>
  <c r="AD45" i="22" a="1"/>
  <c r="AD45" i="22" s="1"/>
  <c r="AF59" i="22" a="1"/>
  <c r="AF59" i="22" s="1"/>
  <c r="B45" i="22" a="1"/>
  <c r="B45" i="22" s="1"/>
  <c r="C76" i="22" a="1"/>
  <c r="C76" i="22" s="1"/>
  <c r="B76" i="22" a="1"/>
  <c r="B76" i="22" s="1"/>
  <c r="AF45" i="22" a="1"/>
  <c r="AF45" i="22" s="1"/>
  <c r="AD76" i="22" a="1"/>
  <c r="AD76" i="22" s="1"/>
  <c r="AB76" i="22" a="1"/>
  <c r="AB76" i="22" s="1"/>
  <c r="AG49" i="22" a="1"/>
  <c r="AG49" i="22" s="1"/>
  <c r="AF76" i="22" a="1"/>
  <c r="AF76" i="22" s="1"/>
  <c r="H76" i="22" a="1"/>
  <c r="H76" i="22" s="1"/>
  <c r="AA49" i="22" a="1"/>
  <c r="AA49" i="22" s="1"/>
  <c r="AC49" i="22" a="1"/>
  <c r="AC49" i="22" s="1"/>
  <c r="T49" i="22"/>
  <c r="AF49" i="22" a="1"/>
  <c r="AF49" i="22" s="1"/>
  <c r="Y49" i="22" a="1"/>
  <c r="Y49" i="22" s="1"/>
  <c r="M49" i="22" a="1"/>
  <c r="M49" i="22" s="1"/>
  <c r="W49" i="22"/>
  <c r="W36" i="22"/>
  <c r="U36" i="22" a="1"/>
  <c r="U36" i="22" s="1"/>
  <c r="AC68" i="22" a="1"/>
  <c r="AC68" i="22" s="1"/>
  <c r="AA79" i="22" a="1"/>
  <c r="AA79" i="22" s="1"/>
  <c r="S79" i="22"/>
  <c r="AC55" i="22" a="1"/>
  <c r="AC55" i="22" s="1"/>
  <c r="N55" i="22" a="1"/>
  <c r="N55" i="22" s="1"/>
  <c r="O55" i="22" s="1" a="1"/>
  <c r="O55" i="22" s="1"/>
  <c r="Q55" i="22" s="1" a="1"/>
  <c r="Q55" i="22" s="1"/>
  <c r="M66" i="22" a="1"/>
  <c r="M66" i="22" s="1"/>
  <c r="W79" i="22"/>
  <c r="V58" i="22" a="1"/>
  <c r="V58" i="22" s="1"/>
  <c r="AG58" i="22" a="1"/>
  <c r="AG58" i="22" s="1"/>
  <c r="W58" i="22"/>
  <c r="U66" i="22" a="1"/>
  <c r="U66" i="22" s="1"/>
  <c r="AH58" i="22"/>
  <c r="V54" i="22" a="1"/>
  <c r="V54" i="22" s="1"/>
  <c r="N49" i="22" a="1"/>
  <c r="N49" i="22" s="1"/>
  <c r="O49" i="22" s="1" a="1"/>
  <c r="O49" i="22" s="1"/>
  <c r="P49" i="22" s="1" a="1"/>
  <c r="P49" i="22" s="1"/>
  <c r="AC58" i="22" a="1"/>
  <c r="AC58" i="22" s="1"/>
  <c r="AH19" i="22"/>
  <c r="AH23" i="22"/>
  <c r="AH76" i="22"/>
  <c r="N79" i="22" a="1"/>
  <c r="N79" i="22" s="1"/>
  <c r="O79" i="22" s="1" a="1"/>
  <c r="O79" i="22" s="1"/>
  <c r="P79" i="22" s="1" a="1"/>
  <c r="P79" i="22" s="1"/>
  <c r="M47" i="22" a="1"/>
  <c r="M47" i="22" s="1"/>
  <c r="AC79" i="22" a="1"/>
  <c r="AC79" i="22" s="1"/>
  <c r="U49" i="22" a="1"/>
  <c r="U49" i="22" s="1"/>
  <c r="AG47" i="22" a="1"/>
  <c r="AG47" i="22" s="1"/>
  <c r="AG79" i="22" a="1"/>
  <c r="AG79" i="22" s="1"/>
  <c r="AH42" i="22"/>
  <c r="X79" i="22" a="1"/>
  <c r="X79" i="22" s="1"/>
  <c r="S49" i="22"/>
  <c r="S47" i="22"/>
  <c r="AF77" i="22" a="1"/>
  <c r="AF77" i="22" s="1"/>
  <c r="AH43" i="22"/>
  <c r="AH79" i="22"/>
  <c r="AH68" i="22"/>
  <c r="W54" i="22"/>
  <c r="U58" i="22" a="1"/>
  <c r="U58" i="22" s="1"/>
  <c r="X77" i="22" a="1"/>
  <c r="X77" i="22" s="1"/>
  <c r="N50" i="22" a="1"/>
  <c r="N50" i="22" s="1"/>
  <c r="O50" i="22" s="1" a="1"/>
  <c r="O50" i="22" s="1"/>
  <c r="P50" i="22" s="1" a="1"/>
  <c r="P50" i="22" s="1"/>
  <c r="B22" i="22" a="1"/>
  <c r="B22" i="22" s="1"/>
  <c r="AH46" i="22"/>
  <c r="X22" i="22" a="1"/>
  <c r="X22" i="22" s="1"/>
  <c r="AH52" i="22"/>
  <c r="AH74" i="22"/>
  <c r="S55" i="22"/>
  <c r="AG55" i="22" a="1"/>
  <c r="AG55" i="22" s="1"/>
  <c r="W77" i="22"/>
  <c r="U77" i="22" a="1"/>
  <c r="U77" i="22" s="1"/>
  <c r="M58" i="22" a="1"/>
  <c r="M58" i="22" s="1"/>
  <c r="AH70" i="22"/>
  <c r="AH35" i="22"/>
  <c r="AH28" i="22"/>
  <c r="T77" i="22"/>
  <c r="X54" i="22" a="1"/>
  <c r="X54" i="22" s="1"/>
  <c r="M77" i="22" a="1"/>
  <c r="M77" i="22" s="1"/>
  <c r="AH32" i="22"/>
  <c r="AH25" i="22"/>
  <c r="AH72" i="22"/>
  <c r="M51" i="22" a="1"/>
  <c r="M51" i="22" s="1"/>
  <c r="AG51" i="22" a="1"/>
  <c r="AG51" i="22" s="1"/>
  <c r="Y54" i="22" a="1"/>
  <c r="Y54" i="22" s="1"/>
  <c r="Y58" i="22" a="1"/>
  <c r="Y58" i="22" s="1"/>
  <c r="S77" i="22"/>
  <c r="B77" i="22" a="1"/>
  <c r="B77" i="22" s="1"/>
  <c r="AH20" i="22"/>
  <c r="AH82" i="22"/>
  <c r="AH84" i="22"/>
  <c r="T51" i="22"/>
  <c r="V55" i="22" a="1"/>
  <c r="V55" i="22" s="1"/>
  <c r="AC50" i="22" a="1"/>
  <c r="AC50" i="22" s="1"/>
  <c r="Y36" i="22" a="1"/>
  <c r="Y36" i="22" s="1"/>
  <c r="AG77" i="22" a="1"/>
  <c r="AG77" i="22" s="1"/>
  <c r="AC54" i="22" a="1"/>
  <c r="AC54" i="22" s="1"/>
  <c r="AG54" i="22" a="1"/>
  <c r="AG54" i="22" s="1"/>
  <c r="S50" i="22"/>
  <c r="AH77" i="22"/>
  <c r="AH55" i="22"/>
  <c r="AG22" i="22" a="1"/>
  <c r="AG22" i="22" s="1"/>
  <c r="AH66" i="22"/>
  <c r="U51" i="22" a="1"/>
  <c r="U51" i="22" s="1"/>
  <c r="W51" i="22"/>
  <c r="Y50" i="22" a="1"/>
  <c r="Y50" i="22" s="1"/>
  <c r="T79" i="22"/>
  <c r="AH48" i="22"/>
  <c r="AH65" i="22"/>
  <c r="M36" i="22" a="1"/>
  <c r="M36" i="22" s="1"/>
  <c r="N58" i="22" a="1"/>
  <c r="N58" i="22" s="1"/>
  <c r="O58" i="22" s="1" a="1"/>
  <c r="O58" i="22" s="1"/>
  <c r="P58" i="22" s="1" a="1"/>
  <c r="P58" i="22" s="1"/>
  <c r="AC36" i="22" a="1"/>
  <c r="AC36" i="22" s="1"/>
  <c r="U22" i="22" a="1"/>
  <c r="U22" i="22" s="1"/>
  <c r="T22" i="22"/>
  <c r="AH26" i="22"/>
  <c r="AH18" i="22"/>
  <c r="AH36" i="22"/>
  <c r="T58" i="22"/>
  <c r="X58" i="22" a="1"/>
  <c r="X58" i="22" s="1"/>
  <c r="M54" i="22" a="1"/>
  <c r="M54" i="22" s="1"/>
  <c r="Y77" i="22" a="1"/>
  <c r="Y77" i="22" s="1"/>
  <c r="N77" i="22" a="1"/>
  <c r="N77" i="22" s="1"/>
  <c r="O77" i="22" s="1" a="1"/>
  <c r="O77" i="22" s="1"/>
  <c r="P77" i="22" s="1" a="1"/>
  <c r="P77" i="22" s="1"/>
  <c r="AA77" i="22" a="1"/>
  <c r="AA77" i="22" s="1"/>
  <c r="AH34" i="22"/>
  <c r="M22" i="22" a="1"/>
  <c r="M22" i="22" s="1"/>
  <c r="R22" i="22" s="1"/>
  <c r="S22" i="22"/>
  <c r="T55" i="22"/>
  <c r="T54" i="22"/>
  <c r="Y79" i="22" a="1"/>
  <c r="Y79" i="22" s="1"/>
  <c r="V79" i="22" a="1"/>
  <c r="V79" i="22" s="1"/>
  <c r="S36" i="22"/>
  <c r="AH29" i="22"/>
  <c r="AH63" i="22"/>
  <c r="AH24" i="22"/>
  <c r="AH73" i="22"/>
  <c r="AH56" i="22"/>
  <c r="X52" i="22" a="1"/>
  <c r="X52" i="22" s="1"/>
  <c r="AH21" i="22"/>
  <c r="X78" i="22" a="1"/>
  <c r="X78" i="22" s="1"/>
  <c r="U54" i="22" a="1"/>
  <c r="U54" i="22" s="1"/>
  <c r="N18" i="22" a="1"/>
  <c r="N18" i="22" s="1"/>
  <c r="O18" i="22" s="1" a="1"/>
  <c r="O18" i="22" s="1"/>
  <c r="Q18" i="22" s="1" a="1"/>
  <c r="Q18" i="22" s="1"/>
  <c r="AG68" i="22" a="1"/>
  <c r="AG68" i="22" s="1"/>
  <c r="U18" i="22" a="1"/>
  <c r="U18" i="22" s="1"/>
  <c r="AH27" i="22"/>
  <c r="AH51" i="22"/>
  <c r="AH49" i="22"/>
  <c r="AH38" i="22"/>
  <c r="AH64" i="22"/>
  <c r="AH33" i="22"/>
  <c r="T78" i="22"/>
  <c r="W50" i="22"/>
  <c r="N47" i="22" a="1"/>
  <c r="N47" i="22" s="1"/>
  <c r="O47" i="22" s="1" a="1"/>
  <c r="O47" i="22" s="1"/>
  <c r="Q47" i="22" s="1" a="1"/>
  <c r="Q47" i="22" s="1"/>
  <c r="W68" i="22"/>
  <c r="Y66" i="22" a="1"/>
  <c r="Y66" i="22" s="1"/>
  <c r="M50" i="22" a="1"/>
  <c r="M50" i="22" s="1"/>
  <c r="S18" i="22"/>
  <c r="B52" i="22" a="1"/>
  <c r="B52" i="22" s="1"/>
  <c r="AH83" i="22"/>
  <c r="AC22" i="22" a="1"/>
  <c r="AC22" i="22" s="1"/>
  <c r="AH47" i="22"/>
  <c r="N53" i="22" a="1"/>
  <c r="N53" i="22" s="1"/>
  <c r="O53" i="22" s="1" a="1"/>
  <c r="O53" i="22" s="1"/>
  <c r="P53" i="22" s="1" a="1"/>
  <c r="P53" i="22" s="1"/>
  <c r="AH85" i="22"/>
  <c r="AH81" i="22"/>
  <c r="X66" i="22" a="1"/>
  <c r="X66" i="22" s="1"/>
  <c r="W66" i="22"/>
  <c r="M55" i="22" a="1"/>
  <c r="M55" i="22" s="1"/>
  <c r="X68" i="22" a="1"/>
  <c r="X68" i="22" s="1"/>
  <c r="U50" i="22" a="1"/>
  <c r="U50" i="22" s="1"/>
  <c r="AC47" i="22" a="1"/>
  <c r="AC47" i="22" s="1"/>
  <c r="T68" i="22"/>
  <c r="M69" i="22" s="1" a="1"/>
  <c r="M69" i="22" s="1"/>
  <c r="AA53" i="22" a="1"/>
  <c r="AA53" i="22" s="1"/>
  <c r="Y47" i="22" a="1"/>
  <c r="Y47" i="22" s="1"/>
  <c r="B53" i="22" a="1"/>
  <c r="B53" i="22" s="1"/>
  <c r="M53" i="22" a="1"/>
  <c r="M53" i="22" s="1"/>
  <c r="X47" i="22" a="1"/>
  <c r="X47" i="22" s="1"/>
  <c r="AC53" i="22" a="1"/>
  <c r="AC53" i="22" s="1"/>
  <c r="T47" i="22"/>
  <c r="AF53" i="22" a="1"/>
  <c r="AF53" i="22" s="1"/>
  <c r="AC52" i="22" a="1"/>
  <c r="AC52" i="22" s="1"/>
  <c r="AH67" i="22"/>
  <c r="AH78" i="22"/>
  <c r="AH44" i="22"/>
  <c r="AH60" i="22"/>
  <c r="V53" i="22" a="1"/>
  <c r="V53" i="22" s="1"/>
  <c r="AC66" i="22" a="1"/>
  <c r="AC66" i="22" s="1"/>
  <c r="V18" i="22" a="1"/>
  <c r="V18" i="22" s="1"/>
  <c r="W53" i="22"/>
  <c r="S53" i="22"/>
  <c r="B18" i="22" a="1"/>
  <c r="B18" i="22" s="1"/>
  <c r="AF50" i="22" a="1"/>
  <c r="AF50" i="22" s="1"/>
  <c r="Y22" i="22" a="1"/>
  <c r="Y22" i="22" s="1"/>
  <c r="AH59" i="22"/>
  <c r="AH31" i="22"/>
  <c r="AH54" i="22"/>
  <c r="N52" i="22" a="1"/>
  <c r="N52" i="22" s="1"/>
  <c r="O52" i="22" s="1" a="1"/>
  <c r="O52" i="22" s="1"/>
  <c r="P52" i="22" s="1" a="1"/>
  <c r="P52" i="22" s="1"/>
  <c r="AH86" i="22"/>
  <c r="B55" i="22" a="1"/>
  <c r="B55" i="22" s="1"/>
  <c r="T53" i="22"/>
  <c r="U55" i="22" a="1"/>
  <c r="U55" i="22" s="1"/>
  <c r="X55" i="22" a="1"/>
  <c r="X55" i="22" s="1"/>
  <c r="T66" i="22"/>
  <c r="AC77" i="22" a="1"/>
  <c r="AC77" i="22" s="1"/>
  <c r="U79" i="22" a="1"/>
  <c r="U79" i="22" s="1"/>
  <c r="W47" i="22"/>
  <c r="N66" i="22" a="1"/>
  <c r="N66" i="22" s="1"/>
  <c r="O66" i="22" s="1" a="1"/>
  <c r="O66" i="22" s="1"/>
  <c r="Q66" i="22" s="1" a="1"/>
  <c r="Q66" i="22" s="1"/>
  <c r="B50" i="22" a="1"/>
  <c r="B50" i="22" s="1"/>
  <c r="AH39" i="22"/>
  <c r="AG52" i="22" a="1"/>
  <c r="AG52" i="22" s="1"/>
  <c r="AH22" i="22"/>
  <c r="V22" i="22" a="1"/>
  <c r="V22" i="22" s="1"/>
  <c r="AH61" i="22"/>
  <c r="AH57" i="22"/>
  <c r="U53" i="22" a="1"/>
  <c r="U53" i="22" s="1"/>
  <c r="AH71" i="22"/>
  <c r="Y55" i="22" a="1"/>
  <c r="Y55" i="22" s="1"/>
  <c r="X50" i="22" a="1"/>
  <c r="X50" i="22" s="1"/>
  <c r="N68" i="22" a="1"/>
  <c r="N68" i="22" s="1"/>
  <c r="O68" i="22" s="1" a="1"/>
  <c r="O68" i="22" s="1"/>
  <c r="Q68" i="22" s="1" a="1"/>
  <c r="Q68" i="22" s="1"/>
  <c r="Y78" i="22" a="1"/>
  <c r="Y78" i="22" s="1"/>
  <c r="T50" i="22"/>
  <c r="V50" i="22" a="1"/>
  <c r="V50" i="22" s="1"/>
  <c r="X49" i="22" a="1"/>
  <c r="X49" i="22" s="1"/>
  <c r="AH30" i="22"/>
  <c r="AH62" i="22"/>
  <c r="W52" i="22"/>
  <c r="X53" i="22" a="1"/>
  <c r="X53" i="22" s="1"/>
  <c r="AH41" i="22"/>
  <c r="AG53" i="22" a="1"/>
  <c r="AG53" i="22" s="1"/>
  <c r="AH50" i="22"/>
  <c r="S68" i="22"/>
  <c r="U47" i="22" a="1"/>
  <c r="U47" i="22" s="1"/>
  <c r="T18" i="22"/>
  <c r="S54" i="22"/>
  <c r="S66" i="22"/>
  <c r="M37" i="22" a="1"/>
  <c r="M37" i="22" s="1"/>
  <c r="W37" i="22" s="1"/>
  <c r="X37" i="22" s="1" a="1"/>
  <c r="X37" i="22" s="1"/>
  <c r="N37" i="22" a="1"/>
  <c r="N37" i="22" s="1"/>
  <c r="O37" i="22" s="1" a="1"/>
  <c r="O37" i="22" s="1"/>
  <c r="Q37" i="22" s="1" a="1"/>
  <c r="Q37" i="22" s="1"/>
  <c r="M81" i="22" a="1"/>
  <c r="M81" i="22" s="1"/>
  <c r="W81" i="22" s="1"/>
  <c r="AF36" i="22" a="1"/>
  <c r="AF36" i="22" s="1"/>
  <c r="M26" i="22" a="1"/>
  <c r="M26" i="22" s="1"/>
  <c r="X61" i="22" a="1"/>
  <c r="X61" i="22" s="1"/>
  <c r="N61" i="22" a="1"/>
  <c r="N61" i="22" s="1"/>
  <c r="O61" i="22" s="1" a="1"/>
  <c r="O61" i="22" s="1"/>
  <c r="C36" i="22" a="1"/>
  <c r="C36" i="22" s="1"/>
  <c r="B36" i="22" a="1"/>
  <c r="B36" i="22" s="1"/>
  <c r="AD79" i="22" a="1"/>
  <c r="AD79" i="22" s="1"/>
  <c r="B79" i="22" a="1"/>
  <c r="B79" i="22" s="1"/>
  <c r="H54" i="22" a="1"/>
  <c r="H54" i="22" s="1"/>
  <c r="AB79" i="22" a="1"/>
  <c r="AB79" i="22" s="1"/>
  <c r="H79" i="22" a="1"/>
  <c r="H79" i="22" s="1"/>
  <c r="B21" i="22" a="1"/>
  <c r="B21" i="22" s="1"/>
  <c r="AA66" i="22" a="1"/>
  <c r="AA66" i="22" s="1"/>
  <c r="H66" i="22" a="1"/>
  <c r="H66" i="22" s="1"/>
  <c r="AD66" i="22" a="1"/>
  <c r="AD66" i="22" s="1"/>
  <c r="AF66" i="22" a="1"/>
  <c r="AF66" i="22" s="1"/>
  <c r="AA54" i="22" a="1"/>
  <c r="AA54" i="22" s="1"/>
  <c r="AB66" i="22" a="1"/>
  <c r="AB66" i="22" s="1"/>
  <c r="AF79" i="22" a="1"/>
  <c r="AF79" i="22" s="1"/>
  <c r="B66" i="22" a="1"/>
  <c r="B66" i="22" s="1"/>
  <c r="AA19" i="22" a="1"/>
  <c r="AA19" i="22" s="1"/>
  <c r="C79" i="22" a="1"/>
  <c r="C79" i="22" s="1"/>
  <c r="C58" i="22" a="1"/>
  <c r="C58" i="22" s="1"/>
  <c r="AD54" i="22" a="1"/>
  <c r="AD54" i="22" s="1"/>
  <c r="B19" i="22" a="1"/>
  <c r="B19" i="22" s="1"/>
  <c r="AB54" i="22" a="1"/>
  <c r="AB54" i="22" s="1"/>
  <c r="AB19" i="22" a="1"/>
  <c r="AB19" i="22" s="1"/>
  <c r="AF19" i="22" a="1"/>
  <c r="AF19" i="22" s="1"/>
  <c r="B54" i="22" a="1"/>
  <c r="B54" i="22" s="1"/>
  <c r="AF54" i="22" a="1"/>
  <c r="AF54" i="22" s="1"/>
  <c r="H19" i="22" a="1"/>
  <c r="H19" i="22" s="1"/>
  <c r="AA23" i="22" a="1"/>
  <c r="AA23" i="22" s="1"/>
  <c r="AB23" i="22" a="1"/>
  <c r="AB23" i="22" s="1"/>
  <c r="AA67" i="22" a="1"/>
  <c r="AA67" i="22" s="1"/>
  <c r="AF23" i="22" a="1"/>
  <c r="AF23" i="22" s="1"/>
  <c r="AB67" i="22" a="1"/>
  <c r="AB67" i="22" s="1"/>
  <c r="AD23" i="22" a="1"/>
  <c r="AD23" i="22" s="1"/>
  <c r="H67" i="22" a="1"/>
  <c r="H67" i="22" s="1"/>
  <c r="H23" i="22" a="1"/>
  <c r="H23" i="22" s="1"/>
  <c r="C23" i="22" a="1"/>
  <c r="C23" i="22" s="1"/>
  <c r="AB21" i="22" a="1"/>
  <c r="AB21" i="22" s="1"/>
  <c r="H21" i="22" a="1"/>
  <c r="H21" i="22" s="1"/>
  <c r="AD19" i="22" a="1"/>
  <c r="AD19" i="22" s="1"/>
  <c r="AA36" i="22" a="1"/>
  <c r="AA36" i="22" s="1"/>
  <c r="AD36" i="22" a="1"/>
  <c r="AD36" i="22" s="1"/>
  <c r="C67" i="22" a="1"/>
  <c r="C67" i="22" s="1"/>
  <c r="H36" i="22" a="1"/>
  <c r="H36" i="22" s="1"/>
  <c r="B67" i="22" a="1"/>
  <c r="B67" i="22" s="1"/>
  <c r="AD67" i="22" a="1"/>
  <c r="AD67" i="22" s="1"/>
  <c r="AD55" i="22" a="1"/>
  <c r="AD55" i="22" s="1"/>
  <c r="AB55" i="22" a="1"/>
  <c r="AB55" i="22" s="1"/>
  <c r="AF58" i="22" a="1"/>
  <c r="AF58" i="22" s="1"/>
  <c r="B58" i="22" a="1"/>
  <c r="B58" i="22" s="1"/>
  <c r="AD58" i="22" a="1"/>
  <c r="AD58" i="22" s="1"/>
  <c r="AB58" i="22" a="1"/>
  <c r="AB58" i="22" s="1"/>
  <c r="AF21" i="22" a="1"/>
  <c r="AF21" i="22" s="1"/>
  <c r="AD21" i="22" a="1"/>
  <c r="AD21" i="22" s="1"/>
  <c r="C21" i="22" a="1"/>
  <c r="C21" i="22" s="1"/>
  <c r="AA47" i="22" a="1"/>
  <c r="AA47" i="22" s="1"/>
  <c r="AF55" i="22" a="1"/>
  <c r="AF55" i="22" s="1"/>
  <c r="C55" i="22" a="1"/>
  <c r="C55" i="22" s="1"/>
  <c r="AA55" i="22" a="1"/>
  <c r="AA55" i="22" s="1"/>
  <c r="H55" i="22" a="1"/>
  <c r="H55" i="22" s="1"/>
  <c r="B68" i="22" a="1"/>
  <c r="B68" i="22" s="1"/>
  <c r="AA68" i="22" a="1"/>
  <c r="AA68" i="22" s="1"/>
  <c r="AB68" i="22" a="1"/>
  <c r="AB68" i="22" s="1"/>
  <c r="AB47" i="22" a="1"/>
  <c r="AB47" i="22" s="1"/>
  <c r="AF47" i="22" a="1"/>
  <c r="AF47" i="22" s="1"/>
  <c r="B47" i="22" a="1"/>
  <c r="B47" i="22" s="1"/>
  <c r="AD47" i="22" a="1"/>
  <c r="AD47" i="22" s="1"/>
  <c r="H47" i="22" a="1"/>
  <c r="H47" i="22" s="1"/>
  <c r="AD68" i="22" a="1"/>
  <c r="AD68" i="22" s="1"/>
  <c r="C68" i="22" a="1"/>
  <c r="C68" i="22" s="1"/>
  <c r="AF68" i="22" a="1"/>
  <c r="AF68" i="22" s="1"/>
  <c r="AA58" i="22" a="1"/>
  <c r="AA58" i="22" s="1"/>
  <c r="AJ30" i="21" a="1"/>
  <c r="AJ30" i="21" s="1"/>
  <c r="I19" i="22" a="1"/>
  <c r="I19" i="22" s="1"/>
  <c r="AF32" i="21" a="1"/>
  <c r="AF32" i="21" s="1"/>
  <c r="V37" i="22" a="1"/>
  <c r="Z51" i="22" a="1"/>
  <c r="Z49" i="22" a="1"/>
  <c r="Z53" i="22" a="1"/>
  <c r="Z48" i="22" a="1"/>
  <c r="Z68" i="22" a="1"/>
  <c r="Z46" i="22" a="1"/>
  <c r="Z79" i="22" a="1"/>
  <c r="Z59" i="22" a="1"/>
  <c r="Z60" i="22" a="1"/>
  <c r="Z47" i="22" a="1"/>
  <c r="Z57" i="22" a="1"/>
  <c r="Z76" i="22" a="1"/>
  <c r="Z55" i="22" a="1"/>
  <c r="Z66" i="22" a="1"/>
  <c r="Z36" i="22" a="1"/>
  <c r="Z80" i="22" a="1"/>
  <c r="Z52" i="22" a="1"/>
  <c r="Z58" i="22" a="1"/>
  <c r="Z54" i="22" a="1"/>
  <c r="Z65" i="22" a="1"/>
  <c r="Z67" i="22" a="1"/>
  <c r="Z56" i="22" a="1"/>
  <c r="Z50" i="22" a="1"/>
  <c r="Z78" i="22" a="1"/>
  <c r="Z77" i="22" a="1"/>
  <c r="Z45" i="22" a="1"/>
  <c r="Z21" i="22" a="1"/>
  <c r="Z18" i="22" a="1"/>
  <c r="Z23" i="22" a="1"/>
  <c r="Z19" i="22" a="1"/>
  <c r="Z22" i="22" a="1"/>
  <c r="Z20" i="22" a="1"/>
  <c r="M24" i="22" l="1" a="1"/>
  <c r="M24" i="22" s="1"/>
  <c r="W69" i="22"/>
  <c r="W72" i="22"/>
  <c r="Q90" i="22" a="1"/>
  <c r="Q90" i="22" s="1"/>
  <c r="P101" i="22" a="1"/>
  <c r="P101" i="22" s="1"/>
  <c r="Q100" i="22" a="1"/>
  <c r="Q100" i="22" s="1"/>
  <c r="Q95" i="22" a="1"/>
  <c r="Q95" i="22" s="1"/>
  <c r="P94" i="22" a="1"/>
  <c r="P94" i="22" s="1"/>
  <c r="D94" i="22"/>
  <c r="Q96" i="22" a="1"/>
  <c r="Q96" i="22" s="1"/>
  <c r="D95" i="22"/>
  <c r="Q99" i="22" a="1"/>
  <c r="Q99" i="22" s="1"/>
  <c r="D91" i="22"/>
  <c r="D100" i="22"/>
  <c r="D92" i="22"/>
  <c r="D93" i="22"/>
  <c r="D99" i="22"/>
  <c r="Q93" i="22" a="1"/>
  <c r="Q93" i="22" s="1"/>
  <c r="D96" i="22"/>
  <c r="D101" i="22"/>
  <c r="D97" i="22"/>
  <c r="Q91" i="22" a="1"/>
  <c r="Q91" i="22" s="1"/>
  <c r="D90" i="22"/>
  <c r="Q98" i="22" a="1"/>
  <c r="Q98" i="22" s="1"/>
  <c r="D98" i="22"/>
  <c r="AI88" i="22"/>
  <c r="AI92" i="22"/>
  <c r="AI93" i="22"/>
  <c r="AI89" i="22"/>
  <c r="AI90" i="22"/>
  <c r="AI91" i="22"/>
  <c r="AI87" i="22"/>
  <c r="AI99" i="22"/>
  <c r="AI100" i="22"/>
  <c r="AI94" i="22"/>
  <c r="AI95" i="22"/>
  <c r="AI96" i="22"/>
  <c r="AI97" i="22"/>
  <c r="AI98" i="22"/>
  <c r="AI101" i="22"/>
  <c r="Q65" i="22" a="1"/>
  <c r="Q65" i="22" s="1"/>
  <c r="D20" i="22"/>
  <c r="Z20" i="22"/>
  <c r="F20" i="22" s="1"/>
  <c r="Z65" i="22"/>
  <c r="F65" i="22" s="1"/>
  <c r="P76" i="22" a="1"/>
  <c r="P76" i="22" s="1"/>
  <c r="Z76" i="22"/>
  <c r="F76" i="22" s="1"/>
  <c r="P23" i="22" a="1"/>
  <c r="P23" i="22" s="1"/>
  <c r="Z23" i="22"/>
  <c r="F23" i="22" s="1"/>
  <c r="D65" i="22"/>
  <c r="P21" i="22" a="1"/>
  <c r="P21" i="22" s="1"/>
  <c r="Z59" i="22"/>
  <c r="F59" i="22" s="1"/>
  <c r="D56" i="22"/>
  <c r="Z56" i="22"/>
  <c r="F56" i="22" s="1"/>
  <c r="Q56" i="22" a="1"/>
  <c r="Q56" i="22" s="1"/>
  <c r="D80" i="22"/>
  <c r="P46" i="22" a="1"/>
  <c r="P46" i="22" s="1"/>
  <c r="D46" i="22"/>
  <c r="P36" i="22" a="1"/>
  <c r="P36" i="22" s="1"/>
  <c r="Z55" i="22"/>
  <c r="F55" i="22" s="1"/>
  <c r="Z19" i="22"/>
  <c r="F19" i="22" s="1"/>
  <c r="P45" i="22" a="1"/>
  <c r="P45" i="22" s="1"/>
  <c r="Q60" i="22" a="1"/>
  <c r="Q60" i="22" s="1"/>
  <c r="Q57" i="22" a="1"/>
  <c r="Q57" i="22" s="1"/>
  <c r="D57" i="22"/>
  <c r="D60" i="22"/>
  <c r="D22" i="22"/>
  <c r="P48" i="22" a="1"/>
  <c r="P48" i="22" s="1"/>
  <c r="Q51" i="22" a="1"/>
  <c r="Q51" i="22" s="1"/>
  <c r="D78" i="22"/>
  <c r="Z46" i="22"/>
  <c r="F46" i="22" s="1"/>
  <c r="Z57" i="22"/>
  <c r="F57" i="22" s="1"/>
  <c r="D59" i="22"/>
  <c r="D18" i="22"/>
  <c r="P80" i="22" a="1"/>
  <c r="P80" i="22" s="1"/>
  <c r="D48" i="22"/>
  <c r="Z60" i="22"/>
  <c r="F60" i="22" s="1"/>
  <c r="Z80" i="22"/>
  <c r="F80" i="22" s="1"/>
  <c r="Q78" i="22" a="1"/>
  <c r="Q78" i="22" s="1"/>
  <c r="P67" i="22" a="1"/>
  <c r="P67" i="22" s="1"/>
  <c r="D51" i="22"/>
  <c r="Z45" i="22"/>
  <c r="F45" i="22" s="1"/>
  <c r="Z22" i="22"/>
  <c r="F22" i="22" s="1"/>
  <c r="Z48" i="22"/>
  <c r="F48" i="22" s="1"/>
  <c r="Q49" i="22" a="1"/>
  <c r="Q49" i="22" s="1"/>
  <c r="D52" i="22"/>
  <c r="Z18" i="22"/>
  <c r="F18" i="22" s="1"/>
  <c r="Z78" i="22"/>
  <c r="F78" i="22" s="1"/>
  <c r="D49" i="22"/>
  <c r="D76" i="22"/>
  <c r="D45" i="22"/>
  <c r="D50" i="22"/>
  <c r="Q79" i="22" a="1"/>
  <c r="Q79" i="22" s="1"/>
  <c r="Q50" i="22" a="1"/>
  <c r="Q50" i="22" s="1"/>
  <c r="P55" i="22" a="1"/>
  <c r="P55" i="22" s="1"/>
  <c r="D77" i="22"/>
  <c r="Z36" i="22"/>
  <c r="F36" i="22" s="1"/>
  <c r="Z49" i="22"/>
  <c r="F49" i="22" s="1"/>
  <c r="Q77" i="22" a="1"/>
  <c r="Q77" i="22" s="1"/>
  <c r="AI18" i="22"/>
  <c r="AJ18" i="22" s="1" a="1"/>
  <c r="AJ18" i="22" s="1"/>
  <c r="Q53" i="22" a="1"/>
  <c r="Q53" i="22" s="1"/>
  <c r="AI38" i="22"/>
  <c r="Z58" i="22"/>
  <c r="F58" i="22" s="1"/>
  <c r="Z79" i="22"/>
  <c r="F79" i="22" s="1"/>
  <c r="D53" i="22"/>
  <c r="P66" i="22" a="1"/>
  <c r="P66" i="22" s="1"/>
  <c r="AI40" i="22"/>
  <c r="AI72" i="22"/>
  <c r="AI62" i="22"/>
  <c r="AI69" i="22"/>
  <c r="Q58" i="22" a="1"/>
  <c r="Q58" i="22" s="1"/>
  <c r="AI81" i="22"/>
  <c r="AI34" i="22"/>
  <c r="Z51" i="22"/>
  <c r="F51" i="22" s="1"/>
  <c r="Z54" i="22"/>
  <c r="F54" i="22" s="1"/>
  <c r="Z77" i="22"/>
  <c r="F77" i="22" s="1"/>
  <c r="AI19" i="22"/>
  <c r="AI56" i="22"/>
  <c r="AI48" i="22"/>
  <c r="AI84" i="22"/>
  <c r="AI67" i="22"/>
  <c r="P68" i="22" a="1"/>
  <c r="P68" i="22" s="1"/>
  <c r="AI57" i="22"/>
  <c r="AI41" i="22"/>
  <c r="AI32" i="22"/>
  <c r="AI27" i="22"/>
  <c r="AI70" i="22"/>
  <c r="AI80" i="22"/>
  <c r="AI77" i="22"/>
  <c r="AI36" i="22"/>
  <c r="AI44" i="22"/>
  <c r="AI82" i="22"/>
  <c r="Z50" i="22"/>
  <c r="F50" i="22" s="1"/>
  <c r="Z52" i="22"/>
  <c r="F52" i="22" s="1"/>
  <c r="Z53" i="22"/>
  <c r="F53" i="22" s="1"/>
  <c r="AI29" i="22"/>
  <c r="AI43" i="22"/>
  <c r="AI23" i="22"/>
  <c r="AI42" i="22"/>
  <c r="P47" i="22" a="1"/>
  <c r="P47" i="22" s="1"/>
  <c r="AI78" i="22"/>
  <c r="AI26" i="22"/>
  <c r="AI79" i="22"/>
  <c r="AI35" i="22"/>
  <c r="AI74" i="22"/>
  <c r="AI58" i="22"/>
  <c r="AI61" i="22"/>
  <c r="AI50" i="22"/>
  <c r="AI51" i="22"/>
  <c r="AI45" i="22"/>
  <c r="AI25" i="22"/>
  <c r="AI49" i="22"/>
  <c r="AI37" i="22"/>
  <c r="AI46" i="22"/>
  <c r="AI33" i="22"/>
  <c r="AI47" i="22"/>
  <c r="AI86" i="22"/>
  <c r="AI76" i="22"/>
  <c r="AI53" i="22"/>
  <c r="AI21" i="22"/>
  <c r="AI31" i="22"/>
  <c r="AI60" i="22"/>
  <c r="AI24" i="22"/>
  <c r="AI71" i="22"/>
  <c r="AI63" i="22"/>
  <c r="Q52" i="22" a="1"/>
  <c r="Q52" i="22" s="1"/>
  <c r="AI83" i="22"/>
  <c r="AI52" i="22"/>
  <c r="AI59" i="22"/>
  <c r="AI28" i="22"/>
  <c r="AI66" i="22"/>
  <c r="AI39" i="22"/>
  <c r="AI64" i="22"/>
  <c r="AI65" i="22"/>
  <c r="AI20" i="22"/>
  <c r="AI30" i="22"/>
  <c r="AI55" i="22"/>
  <c r="AI54" i="22"/>
  <c r="AI68" i="22"/>
  <c r="AI85" i="22"/>
  <c r="AI73" i="22"/>
  <c r="AI75" i="22"/>
  <c r="AI22" i="22"/>
  <c r="P18" i="22" a="1"/>
  <c r="P18" i="22" s="1"/>
  <c r="P37" i="22" a="1"/>
  <c r="P37" i="22" s="1"/>
  <c r="S37" i="22" s="1"/>
  <c r="Z67" i="22"/>
  <c r="F67" i="22" s="1"/>
  <c r="V37" i="22"/>
  <c r="X81" i="22" a="1"/>
  <c r="X81" i="22" s="1"/>
  <c r="N81" i="22" a="1"/>
  <c r="N81" i="22" s="1"/>
  <c r="O81" i="22" s="1" a="1"/>
  <c r="O81" i="22" s="1"/>
  <c r="Z66" i="22"/>
  <c r="F66" i="22" s="1"/>
  <c r="Z47" i="22"/>
  <c r="F47" i="22" s="1"/>
  <c r="Z68" i="22"/>
  <c r="F68" i="22" s="1"/>
  <c r="Z21" i="22"/>
  <c r="F21" i="22" s="1"/>
  <c r="W26" i="22"/>
  <c r="N26" i="22" s="1" a="1"/>
  <c r="N26" i="22" s="1"/>
  <c r="O26" i="22" s="1" a="1"/>
  <c r="O26" i="22" s="1"/>
  <c r="Q61" i="22" a="1"/>
  <c r="Q61" i="22" s="1"/>
  <c r="D79" i="22"/>
  <c r="D54" i="22"/>
  <c r="D66" i="22"/>
  <c r="D67" i="22"/>
  <c r="D19" i="22"/>
  <c r="D23" i="22"/>
  <c r="D36" i="22"/>
  <c r="D21" i="22"/>
  <c r="D58" i="22"/>
  <c r="D55" i="22"/>
  <c r="D68" i="22"/>
  <c r="D47" i="22"/>
  <c r="AJ31" i="21" a="1"/>
  <c r="AJ31" i="21" s="1"/>
  <c r="I20" i="22" a="1"/>
  <c r="I20" i="22" s="1"/>
  <c r="AF33" i="21" a="1"/>
  <c r="AF33" i="21" s="1"/>
  <c r="P61" i="22" a="1"/>
  <c r="V61" i="22" a="1"/>
  <c r="Y61" i="22" a="1"/>
  <c r="Y37" i="22" a="1"/>
  <c r="R24" i="22" l="1"/>
  <c r="W24" i="22"/>
  <c r="N69" i="22" a="1"/>
  <c r="N69" i="22" s="1"/>
  <c r="O69" i="22" s="1" a="1"/>
  <c r="O69" i="22" s="1"/>
  <c r="X69" i="22" a="1"/>
  <c r="X69" i="22" s="1"/>
  <c r="N72" i="22" a="1"/>
  <c r="N72" i="22" s="1"/>
  <c r="O72" i="22" s="1" a="1"/>
  <c r="O72" i="22" s="1"/>
  <c r="X72" i="22" a="1"/>
  <c r="X72" i="22" s="1"/>
  <c r="AJ19" i="22" a="1"/>
  <c r="AJ19" i="22" s="1"/>
  <c r="AJ20" i="22" s="1" a="1"/>
  <c r="AJ20" i="22" s="1"/>
  <c r="AJ21" i="22" s="1" a="1"/>
  <c r="AJ21" i="22" s="1"/>
  <c r="AJ22" i="22" s="1" a="1"/>
  <c r="AJ22" i="22" s="1"/>
  <c r="AJ23" i="22" s="1" a="1"/>
  <c r="AJ23" i="22" s="1"/>
  <c r="AJ24" i="22" s="1" a="1"/>
  <c r="AJ24" i="22" s="1"/>
  <c r="AJ25" i="22" s="1" a="1"/>
  <c r="AJ25" i="22" s="1"/>
  <c r="AJ26" i="22" s="1" a="1"/>
  <c r="AJ26" i="22" s="1"/>
  <c r="AJ27" i="22" s="1" a="1"/>
  <c r="AJ27" i="22" s="1"/>
  <c r="AJ28" i="22" s="1" a="1"/>
  <c r="AJ28" i="22" s="1"/>
  <c r="AJ29" i="22" s="1" a="1"/>
  <c r="AJ29" i="22" s="1"/>
  <c r="AJ30" i="22" s="1" a="1"/>
  <c r="AJ30" i="22" s="1"/>
  <c r="AJ31" i="22" s="1" a="1"/>
  <c r="AJ31" i="22" s="1"/>
  <c r="AJ32" i="22" s="1" a="1"/>
  <c r="AJ32" i="22" s="1"/>
  <c r="AJ33" i="22" s="1" a="1"/>
  <c r="AJ33" i="22" s="1"/>
  <c r="AJ34" i="22" s="1" a="1"/>
  <c r="AJ34" i="22" s="1"/>
  <c r="AJ35" i="22" s="1" a="1"/>
  <c r="AJ35" i="22" s="1"/>
  <c r="AJ36" i="22" s="1" a="1"/>
  <c r="AJ36" i="22" s="1"/>
  <c r="AJ37" i="22" s="1" a="1"/>
  <c r="AJ37" i="22" s="1"/>
  <c r="AJ38" i="22" s="1" a="1"/>
  <c r="AJ38" i="22" s="1"/>
  <c r="AJ39" i="22" s="1" a="1"/>
  <c r="AJ39" i="22" s="1"/>
  <c r="AJ40" i="22" s="1" a="1"/>
  <c r="AJ40" i="22" s="1"/>
  <c r="AJ41" i="22" s="1" a="1"/>
  <c r="AJ41" i="22" s="1"/>
  <c r="AJ42" i="22" s="1" a="1"/>
  <c r="AJ42" i="22" s="1"/>
  <c r="AJ43" i="22" s="1" a="1"/>
  <c r="AJ43" i="22" s="1"/>
  <c r="AJ44" i="22" s="1" a="1"/>
  <c r="AJ44" i="22" s="1"/>
  <c r="AJ45" i="22" s="1" a="1"/>
  <c r="AJ45" i="22" s="1"/>
  <c r="AJ46" i="22" s="1" a="1"/>
  <c r="AJ46" i="22" s="1"/>
  <c r="AJ47" i="22" s="1" a="1"/>
  <c r="AJ47" i="22" s="1"/>
  <c r="AJ48" i="22" s="1" a="1"/>
  <c r="AJ48" i="22" s="1"/>
  <c r="AJ49" i="22" s="1" a="1"/>
  <c r="AJ49" i="22" s="1"/>
  <c r="AJ50" i="22" s="1" a="1"/>
  <c r="AJ50" i="22" s="1"/>
  <c r="AJ51" i="22" s="1" a="1"/>
  <c r="AJ51" i="22" s="1"/>
  <c r="AJ52" i="22" s="1" a="1"/>
  <c r="AJ52" i="22" s="1"/>
  <c r="AJ53" i="22" s="1" a="1"/>
  <c r="AJ53" i="22" s="1"/>
  <c r="AJ54" i="22" s="1" a="1"/>
  <c r="AJ54" i="22" s="1"/>
  <c r="AJ55" i="22" s="1" a="1"/>
  <c r="AJ55" i="22" s="1"/>
  <c r="AJ56" i="22" s="1" a="1"/>
  <c r="AJ56" i="22" s="1"/>
  <c r="AJ57" i="22" s="1" a="1"/>
  <c r="AJ57" i="22" s="1"/>
  <c r="AJ58" i="22" s="1" a="1"/>
  <c r="AJ58" i="22" s="1"/>
  <c r="AJ59" i="22" s="1" a="1"/>
  <c r="AJ59" i="22" s="1"/>
  <c r="AJ60" i="22" s="1" a="1"/>
  <c r="AJ60" i="22" s="1"/>
  <c r="AJ61" i="22" s="1" a="1"/>
  <c r="AJ61" i="22" s="1"/>
  <c r="AJ62" i="22" s="1" a="1"/>
  <c r="AJ62" i="22" s="1"/>
  <c r="AJ63" i="22" s="1" a="1"/>
  <c r="AJ63" i="22" s="1"/>
  <c r="AJ64" i="22" s="1" a="1"/>
  <c r="AJ64" i="22" s="1"/>
  <c r="AJ65" i="22" s="1" a="1"/>
  <c r="AJ65" i="22" s="1"/>
  <c r="AJ66" i="22" s="1" a="1"/>
  <c r="AJ66" i="22" s="1"/>
  <c r="AJ67" i="22" s="1" a="1"/>
  <c r="AJ67" i="22" s="1"/>
  <c r="AJ68" i="22" s="1" a="1"/>
  <c r="AJ68" i="22" s="1"/>
  <c r="AJ69" i="22" s="1" a="1"/>
  <c r="AJ69" i="22" s="1"/>
  <c r="AJ70" i="22" s="1" a="1"/>
  <c r="AJ70" i="22" s="1"/>
  <c r="AJ71" i="22" s="1" a="1"/>
  <c r="AJ71" i="22" s="1"/>
  <c r="AJ72" i="22" s="1" a="1"/>
  <c r="AJ72" i="22" s="1"/>
  <c r="AJ73" i="22" s="1" a="1"/>
  <c r="AJ73" i="22" s="1"/>
  <c r="AJ74" i="22" s="1" a="1"/>
  <c r="AJ74" i="22" s="1"/>
  <c r="AJ75" i="22" s="1" a="1"/>
  <c r="AJ75" i="22" s="1"/>
  <c r="AJ76" i="22" s="1" a="1"/>
  <c r="AJ76" i="22" s="1"/>
  <c r="AJ77" i="22" s="1" a="1"/>
  <c r="AJ77" i="22" s="1"/>
  <c r="AJ78" i="22" s="1" a="1"/>
  <c r="AJ78" i="22" s="1"/>
  <c r="AJ79" i="22" s="1" a="1"/>
  <c r="AJ79" i="22" s="1"/>
  <c r="AJ80" i="22" s="1" a="1"/>
  <c r="AJ80" i="22" s="1"/>
  <c r="AJ81" i="22" s="1" a="1"/>
  <c r="AJ81" i="22" s="1"/>
  <c r="AJ82" i="22" s="1" a="1"/>
  <c r="AJ82" i="22" s="1"/>
  <c r="AJ83" i="22" s="1" a="1"/>
  <c r="AJ83" i="22" s="1"/>
  <c r="AJ84" i="22" s="1" a="1"/>
  <c r="AJ84" i="22" s="1"/>
  <c r="AJ85" i="22" s="1" a="1"/>
  <c r="AJ85" i="22" s="1"/>
  <c r="AJ86" i="22" s="1" a="1"/>
  <c r="AJ86" i="22" s="1"/>
  <c r="AJ87" i="22" s="1" a="1"/>
  <c r="AJ87" i="22" s="1"/>
  <c r="AJ88" i="22" s="1" a="1"/>
  <c r="AJ88" i="22" s="1"/>
  <c r="AJ89" i="22" s="1" a="1"/>
  <c r="AJ89" i="22" s="1"/>
  <c r="AJ90" i="22" s="1" a="1"/>
  <c r="AJ90" i="22" s="1"/>
  <c r="AJ91" i="22" s="1" a="1"/>
  <c r="AJ91" i="22" s="1"/>
  <c r="AJ92" i="22" s="1" a="1"/>
  <c r="AJ92" i="22" s="1"/>
  <c r="AJ93" i="22" s="1" a="1"/>
  <c r="AJ93" i="22" s="1"/>
  <c r="AJ94" i="22" s="1" a="1"/>
  <c r="AJ94" i="22" s="1"/>
  <c r="AJ95" i="22" s="1" a="1"/>
  <c r="AJ95" i="22" s="1"/>
  <c r="AJ96" i="22" s="1" a="1"/>
  <c r="AJ96" i="22" s="1"/>
  <c r="AJ97" i="22" s="1" a="1"/>
  <c r="AJ97" i="22" s="1"/>
  <c r="AJ98" i="22" s="1" a="1"/>
  <c r="AJ98" i="22" s="1"/>
  <c r="AJ99" i="22" s="1" a="1"/>
  <c r="AJ99" i="22" s="1"/>
  <c r="AJ100" i="22" s="1" a="1"/>
  <c r="AJ100" i="22" s="1"/>
  <c r="AJ101" i="22" s="1" a="1"/>
  <c r="AJ101" i="22" s="1"/>
  <c r="Y37" i="22"/>
  <c r="AG37" i="22" a="1"/>
  <c r="AG37" i="22" s="1"/>
  <c r="A37" i="22"/>
  <c r="G37" i="22" s="1" a="1"/>
  <c r="G37" i="22" s="1"/>
  <c r="Q81" i="22" a="1"/>
  <c r="Q81" i="22" s="1"/>
  <c r="X26" i="22" a="1"/>
  <c r="X26" i="22" s="1"/>
  <c r="Y61" i="22"/>
  <c r="V61" i="22"/>
  <c r="P61" i="22"/>
  <c r="S61" i="22" s="1"/>
  <c r="Q26" i="22" a="1"/>
  <c r="Q26" i="22" s="1"/>
  <c r="AF34" i="21" a="1"/>
  <c r="AF34" i="21" s="1"/>
  <c r="I21" i="22" a="1"/>
  <c r="I21" i="22" s="1"/>
  <c r="AJ32" i="21" a="1"/>
  <c r="AJ32" i="21" s="1"/>
  <c r="V26" i="22" a="1"/>
  <c r="U61" i="22" a="1"/>
  <c r="P26" i="22" a="1"/>
  <c r="Y26" i="22" a="1"/>
  <c r="U37" i="22" a="1"/>
  <c r="P81" i="22" a="1"/>
  <c r="Y81" i="22" a="1"/>
  <c r="V81" i="22" a="1"/>
  <c r="Y69" i="22" a="1"/>
  <c r="Y72" i="22" a="1"/>
  <c r="V72" i="22" a="1"/>
  <c r="X24" i="22" l="1" a="1"/>
  <c r="X24" i="22" s="1"/>
  <c r="N24" i="22" a="1"/>
  <c r="N24" i="22" s="1"/>
  <c r="O24" i="22" s="1" a="1"/>
  <c r="O24" i="22" s="1"/>
  <c r="Y69" i="22"/>
  <c r="Q69" i="22" a="1"/>
  <c r="Q69" i="22" s="1"/>
  <c r="V72" i="22"/>
  <c r="Y72" i="22"/>
  <c r="Q72" i="22" a="1"/>
  <c r="Q72" i="22" s="1"/>
  <c r="AA37" i="22" a="1"/>
  <c r="AA37" i="22" s="1"/>
  <c r="U37" i="22"/>
  <c r="AC37" i="22" a="1"/>
  <c r="AC37" i="22" s="1"/>
  <c r="B37" i="22" a="1"/>
  <c r="B37" i="22" s="1"/>
  <c r="H37" i="22" a="1"/>
  <c r="H37" i="22" s="1"/>
  <c r="AF37" i="22" a="1"/>
  <c r="AF37" i="22" s="1"/>
  <c r="AD37" i="22" a="1"/>
  <c r="AD37" i="22" s="1"/>
  <c r="C37" i="22" a="1"/>
  <c r="C37" i="22" s="1"/>
  <c r="AB37" i="22" a="1"/>
  <c r="AB37" i="22" s="1"/>
  <c r="V81" i="22"/>
  <c r="Y81" i="22"/>
  <c r="P81" i="22"/>
  <c r="S81" i="22" s="1"/>
  <c r="V26" i="22"/>
  <c r="Y26" i="22"/>
  <c r="P26" i="22"/>
  <c r="S26" i="22" s="1"/>
  <c r="T26" i="22" s="1"/>
  <c r="M27" i="22" s="1" a="1"/>
  <c r="M27" i="22" s="1"/>
  <c r="U61" i="22"/>
  <c r="A61" i="22"/>
  <c r="G61" i="22" s="1" a="1"/>
  <c r="G61" i="22" s="1"/>
  <c r="AG61" i="22" a="1"/>
  <c r="AG61" i="22" s="1"/>
  <c r="AG26" i="22" a="1"/>
  <c r="AG26" i="22" s="1"/>
  <c r="A26" i="22"/>
  <c r="G26" i="22" s="1" a="1"/>
  <c r="G26" i="22" s="1"/>
  <c r="I22" i="22" a="1"/>
  <c r="I22" i="22" s="1"/>
  <c r="AF35" i="21" a="1"/>
  <c r="AF35" i="21" s="1"/>
  <c r="AJ33" i="21" a="1"/>
  <c r="AJ33" i="21" s="1"/>
  <c r="U26" i="22" a="1"/>
  <c r="U81" i="22" a="1"/>
  <c r="V24" i="22" a="1"/>
  <c r="Y24" i="22" a="1"/>
  <c r="U69" i="22" a="1"/>
  <c r="V69" i="22" a="1"/>
  <c r="P69" i="22" a="1"/>
  <c r="U72" i="22" a="1"/>
  <c r="P72" i="22" a="1"/>
  <c r="Z37" i="22" a="1"/>
  <c r="Y24" i="22" l="1"/>
  <c r="V24" i="22"/>
  <c r="Q24" i="22" a="1"/>
  <c r="Q24" i="22" s="1"/>
  <c r="P69" i="22"/>
  <c r="S69" i="22" s="1"/>
  <c r="V69" i="22"/>
  <c r="U69" i="22"/>
  <c r="P72" i="22"/>
  <c r="S72" i="22" s="1"/>
  <c r="U72" i="22"/>
  <c r="A72" i="22"/>
  <c r="AA72" i="22" s="1" a="1"/>
  <c r="AA72" i="22" s="1"/>
  <c r="AG72" i="22" a="1"/>
  <c r="AG72" i="22" s="1"/>
  <c r="AA61" i="22" a="1"/>
  <c r="AA61" i="22" s="1"/>
  <c r="AA26" i="22" a="1"/>
  <c r="AA26" i="22" s="1"/>
  <c r="Z37" i="22"/>
  <c r="F37" i="22" s="1"/>
  <c r="D37" i="22"/>
  <c r="U81" i="22"/>
  <c r="AG81" i="22" a="1"/>
  <c r="AG81" i="22" s="1"/>
  <c r="A81" i="22"/>
  <c r="G81" i="22" s="1" a="1"/>
  <c r="G81" i="22" s="1"/>
  <c r="U26" i="22"/>
  <c r="B26" i="22" s="1" a="1"/>
  <c r="B26" i="22" s="1"/>
  <c r="AD61" i="22" a="1"/>
  <c r="AD61" i="22" s="1"/>
  <c r="C61" i="22" a="1"/>
  <c r="C61" i="22" s="1"/>
  <c r="AF61" i="22" a="1"/>
  <c r="AF61" i="22" s="1"/>
  <c r="H61" i="22" a="1"/>
  <c r="H61" i="22" s="1"/>
  <c r="B61" i="22" a="1"/>
  <c r="B61" i="22" s="1"/>
  <c r="AB61" i="22" a="1"/>
  <c r="AB61" i="22" s="1"/>
  <c r="AC61" i="22" a="1"/>
  <c r="AC61" i="22" s="1"/>
  <c r="H26" i="22" a="1"/>
  <c r="H26" i="22" s="1"/>
  <c r="C26" i="22" a="1"/>
  <c r="C26" i="22" s="1"/>
  <c r="AC26" i="22" a="1"/>
  <c r="AC26" i="22" s="1"/>
  <c r="AD26" i="22" a="1"/>
  <c r="AD26" i="22" s="1"/>
  <c r="AB26" i="22" a="1"/>
  <c r="AB26" i="22" s="1"/>
  <c r="AF26" i="22" a="1"/>
  <c r="AF26" i="22" s="1"/>
  <c r="W27" i="22"/>
  <c r="AF36" i="21" a="1"/>
  <c r="AF36" i="21" s="1"/>
  <c r="I23" i="22" a="1"/>
  <c r="I23" i="22" s="1"/>
  <c r="AJ34" i="21" a="1"/>
  <c r="AJ34" i="21" s="1"/>
  <c r="U24" i="22" a="1"/>
  <c r="P24" i="22" a="1"/>
  <c r="Z61" i="22" a="1"/>
  <c r="Z26" i="22" a="1"/>
  <c r="Z72" i="22" l="1" a="1"/>
  <c r="Z72" i="22" s="1"/>
  <c r="F72" i="22" s="1"/>
  <c r="P24" i="22"/>
  <c r="S24" i="22" s="1"/>
  <c r="T24" i="22" s="1"/>
  <c r="M25" i="22" s="1" a="1"/>
  <c r="M25" i="22" s="1"/>
  <c r="U24" i="22"/>
  <c r="A24" i="22"/>
  <c r="AA24" i="22" s="1" a="1"/>
  <c r="AA24" i="22" s="1"/>
  <c r="AG24" i="22" a="1"/>
  <c r="AG24" i="22" s="1"/>
  <c r="A69" i="22"/>
  <c r="AA69" i="22" s="1" a="1"/>
  <c r="AA69" i="22" s="1"/>
  <c r="AG69" i="22" a="1"/>
  <c r="AG69" i="22" s="1"/>
  <c r="G72" i="22" a="1"/>
  <c r="G72" i="22" s="1"/>
  <c r="AB72" i="22" a="1"/>
  <c r="AB72" i="22" s="1"/>
  <c r="B72" i="22" a="1"/>
  <c r="B72" i="22" s="1"/>
  <c r="C72" i="22" a="1"/>
  <c r="C72" i="22" s="1"/>
  <c r="AC72" i="22" a="1"/>
  <c r="AC72" i="22" s="1"/>
  <c r="AF72" i="22" a="1"/>
  <c r="AF72" i="22" s="1"/>
  <c r="H72" i="22" a="1"/>
  <c r="H72" i="22" s="1"/>
  <c r="AD72" i="22" a="1"/>
  <c r="AD72" i="22" s="1"/>
  <c r="AA81" i="22" a="1"/>
  <c r="AA81" i="22" s="1"/>
  <c r="B81" i="22" a="1"/>
  <c r="B81" i="22" s="1"/>
  <c r="AF81" i="22" a="1"/>
  <c r="AF81" i="22" s="1"/>
  <c r="AD81" i="22" a="1"/>
  <c r="AD81" i="22" s="1"/>
  <c r="C81" i="22" a="1"/>
  <c r="C81" i="22" s="1"/>
  <c r="AC81" i="22" a="1"/>
  <c r="AC81" i="22" s="1"/>
  <c r="H81" i="22" a="1"/>
  <c r="H81" i="22" s="1"/>
  <c r="AB81" i="22" a="1"/>
  <c r="AB81" i="22" s="1"/>
  <c r="Z26" i="22"/>
  <c r="F26" i="22" s="1"/>
  <c r="Z61" i="22"/>
  <c r="F61" i="22" s="1"/>
  <c r="D61" i="22"/>
  <c r="D26" i="22"/>
  <c r="X27" i="22" a="1"/>
  <c r="X27" i="22" s="1"/>
  <c r="N27" i="22" a="1"/>
  <c r="N27" i="22" s="1"/>
  <c r="O27" i="22" s="1" a="1"/>
  <c r="O27" i="22" s="1"/>
  <c r="AJ35" i="21" a="1"/>
  <c r="AJ35" i="21" s="1"/>
  <c r="AF37" i="21" a="1"/>
  <c r="AF37" i="21" s="1"/>
  <c r="V27" i="22" a="1"/>
  <c r="Z81" i="22" a="1"/>
  <c r="Z69" i="22" l="1" a="1"/>
  <c r="Z69" i="22" s="1"/>
  <c r="F69" i="22" s="1"/>
  <c r="I24" i="22" a="1"/>
  <c r="I24" i="22" s="1"/>
  <c r="G24" i="22" a="1"/>
  <c r="G24" i="22" s="1"/>
  <c r="AD24" i="22" a="1"/>
  <c r="AD24" i="22" s="1"/>
  <c r="H24" i="22" a="1"/>
  <c r="H24" i="22" s="1"/>
  <c r="C24" i="22" a="1"/>
  <c r="C24" i="22" s="1"/>
  <c r="AB24" i="22" a="1"/>
  <c r="AB24" i="22" s="1"/>
  <c r="B24" i="22" a="1"/>
  <c r="B24" i="22" s="1"/>
  <c r="AF24" i="22" a="1"/>
  <c r="AF24" i="22" s="1"/>
  <c r="AC24" i="22" a="1"/>
  <c r="AC24" i="22" s="1"/>
  <c r="R25" i="22"/>
  <c r="W25" i="22"/>
  <c r="R26" i="22"/>
  <c r="R27" i="22"/>
  <c r="G69" i="22" a="1"/>
  <c r="G69" i="22" s="1"/>
  <c r="AB69" i="22" a="1"/>
  <c r="AB69" i="22" s="1"/>
  <c r="AF69" i="22" a="1"/>
  <c r="AF69" i="22" s="1"/>
  <c r="H69" i="22" a="1"/>
  <c r="H69" i="22" s="1"/>
  <c r="B69" i="22" a="1"/>
  <c r="B69" i="22" s="1"/>
  <c r="AD69" i="22" a="1"/>
  <c r="AD69" i="22" s="1"/>
  <c r="C69" i="22" a="1"/>
  <c r="C69" i="22" s="1"/>
  <c r="AC69" i="22" a="1"/>
  <c r="AC69" i="22" s="1"/>
  <c r="D72" i="22"/>
  <c r="Z81" i="22"/>
  <c r="F81" i="22" s="1"/>
  <c r="D81" i="22"/>
  <c r="V27" i="22"/>
  <c r="Q27" i="22" a="1"/>
  <c r="Q27" i="22" s="1"/>
  <c r="AF38" i="21" a="1"/>
  <c r="AF38" i="21" s="1"/>
  <c r="AJ36" i="21" a="1"/>
  <c r="AJ36" i="21" s="1"/>
  <c r="P27" i="22" a="1"/>
  <c r="Y27" i="22" a="1"/>
  <c r="Z24" i="22" a="1"/>
  <c r="Z24" i="22" l="1"/>
  <c r="F24" i="22" s="1"/>
  <c r="N25" i="22" a="1"/>
  <c r="N25" i="22" s="1"/>
  <c r="O25" i="22" s="1" a="1"/>
  <c r="O25" i="22" s="1"/>
  <c r="X25" i="22" a="1"/>
  <c r="X25" i="22" s="1"/>
  <c r="D24" i="22"/>
  <c r="D69" i="22"/>
  <c r="Y27" i="22"/>
  <c r="P27" i="22"/>
  <c r="S27" i="22" s="1"/>
  <c r="T27" i="22" s="1"/>
  <c r="M28" i="22" s="1" a="1"/>
  <c r="M28" i="22" s="1"/>
  <c r="A27" i="22"/>
  <c r="G27" i="22" s="1" a="1"/>
  <c r="G27" i="22" s="1"/>
  <c r="AG27" i="22" a="1"/>
  <c r="AG27" i="22" s="1"/>
  <c r="AF39" i="21" a="1"/>
  <c r="AF39" i="21" s="1"/>
  <c r="AJ37" i="21" a="1"/>
  <c r="AJ37" i="21" s="1"/>
  <c r="U27" i="22" a="1"/>
  <c r="Y25" i="22" a="1"/>
  <c r="Y25" i="22" l="1"/>
  <c r="Q25" i="22" a="1"/>
  <c r="Q25" i="22" s="1"/>
  <c r="AA27" i="22" a="1"/>
  <c r="AA27" i="22" s="1"/>
  <c r="U27" i="22"/>
  <c r="AD27" i="22" a="1"/>
  <c r="AD27" i="22" s="1"/>
  <c r="AF27" i="22" a="1"/>
  <c r="AF27" i="22" s="1"/>
  <c r="B27" i="22" a="1"/>
  <c r="B27" i="22" s="1"/>
  <c r="C27" i="22" a="1"/>
  <c r="C27" i="22" s="1"/>
  <c r="AC27" i="22" a="1"/>
  <c r="AC27" i="22" s="1"/>
  <c r="H27" i="22" a="1"/>
  <c r="H27" i="22" s="1"/>
  <c r="AB27" i="22" a="1"/>
  <c r="AB27" i="22" s="1"/>
  <c r="R28" i="22"/>
  <c r="W28" i="22"/>
  <c r="AJ38" i="21" a="1"/>
  <c r="AJ38" i="21" s="1"/>
  <c r="AF40" i="21" a="1"/>
  <c r="AF40" i="21" s="1"/>
  <c r="U25" i="22" a="1"/>
  <c r="V25" i="22" a="1"/>
  <c r="P25" i="22" a="1"/>
  <c r="Z27" i="22" a="1"/>
  <c r="P25" i="22" l="1"/>
  <c r="S25" i="22" s="1"/>
  <c r="T25" i="22" s="1"/>
  <c r="V25" i="22"/>
  <c r="U25" i="22"/>
  <c r="Z27" i="22"/>
  <c r="F27" i="22" s="1"/>
  <c r="D27" i="22"/>
  <c r="N28" i="22" a="1"/>
  <c r="N28" i="22" s="1"/>
  <c r="O28" i="22" s="1" a="1"/>
  <c r="O28" i="22" s="1"/>
  <c r="X28" i="22" a="1"/>
  <c r="X28" i="22" s="1"/>
  <c r="AF41" i="21" a="1"/>
  <c r="AF41" i="21" s="1"/>
  <c r="AJ39" i="21" a="1"/>
  <c r="AJ39" i="21" s="1"/>
  <c r="V28" i="22" a="1"/>
  <c r="A25" i="22" l="1"/>
  <c r="AA25" i="22" s="1" a="1"/>
  <c r="AA25" i="22" s="1"/>
  <c r="AG25" i="22" a="1"/>
  <c r="AG25" i="22" s="1"/>
  <c r="V28" i="22"/>
  <c r="Q28" i="22" a="1"/>
  <c r="Q28" i="22" s="1"/>
  <c r="AJ40" i="21" a="1"/>
  <c r="AJ40" i="21" s="1"/>
  <c r="AF42" i="21" a="1"/>
  <c r="AF42" i="21" s="1"/>
  <c r="AF43" i="21" s="1" a="1"/>
  <c r="AF43" i="21" s="1"/>
  <c r="P28" i="22" a="1"/>
  <c r="Y28" i="22" a="1"/>
  <c r="Q10" i="24" a="1"/>
  <c r="G25" i="22" l="1" a="1"/>
  <c r="G25" i="22" s="1"/>
  <c r="AD25" i="22" a="1"/>
  <c r="AD25" i="22" s="1"/>
  <c r="H25" i="22" a="1"/>
  <c r="H25" i="22" s="1"/>
  <c r="C25" i="22" a="1"/>
  <c r="C25" i="22" s="1"/>
  <c r="AB25" i="22" a="1"/>
  <c r="AB25" i="22" s="1"/>
  <c r="AC25" i="22" a="1"/>
  <c r="AC25" i="22" s="1"/>
  <c r="AF25" i="22" a="1"/>
  <c r="AF25" i="22" s="1"/>
  <c r="B25" i="22" a="1"/>
  <c r="B25" i="22" s="1"/>
  <c r="I25" i="22" a="1"/>
  <c r="I25" i="22" s="1"/>
  <c r="I26" i="22" s="1" a="1"/>
  <c r="I26" i="22" s="1"/>
  <c r="I27" i="22" s="1" a="1"/>
  <c r="I27" i="22" s="1"/>
  <c r="Y28" i="22"/>
  <c r="P28" i="22"/>
  <c r="S28" i="22" s="1"/>
  <c r="T28" i="22" s="1"/>
  <c r="M29" i="22" s="1" a="1"/>
  <c r="M29" i="22" s="1"/>
  <c r="AG28" i="22" a="1"/>
  <c r="AG28" i="22" s="1"/>
  <c r="A28" i="22"/>
  <c r="G28" i="22" s="1" a="1"/>
  <c r="G28" i="22" s="1"/>
  <c r="Q10" i="24"/>
  <c r="AJ41" i="21" a="1"/>
  <c r="AJ41" i="21" s="1"/>
  <c r="U28" i="22" a="1"/>
  <c r="C10" i="24" a="1"/>
  <c r="Z25" i="22" a="1"/>
  <c r="Z25" i="22" l="1"/>
  <c r="F25" i="22" s="1"/>
  <c r="D25" i="22"/>
  <c r="AA28" i="22" a="1"/>
  <c r="AA28" i="22" s="1"/>
  <c r="U28" i="22"/>
  <c r="B28" i="22" a="1"/>
  <c r="B28" i="22" s="1"/>
  <c r="AD28" i="22" a="1"/>
  <c r="AD28" i="22" s="1"/>
  <c r="AC28" i="22" a="1"/>
  <c r="AC28" i="22" s="1"/>
  <c r="H28" i="22" a="1"/>
  <c r="H28" i="22" s="1"/>
  <c r="AB28" i="22" a="1"/>
  <c r="AB28" i="22" s="1"/>
  <c r="AF28" i="22" a="1"/>
  <c r="AF28" i="22" s="1"/>
  <c r="C28" i="22" a="1"/>
  <c r="C28" i="22" s="1"/>
  <c r="I28" i="22" a="1"/>
  <c r="I28" i="22" s="1"/>
  <c r="R29" i="22"/>
  <c r="W29" i="22"/>
  <c r="C10" i="24"/>
  <c r="AJ42" i="21" a="1"/>
  <c r="AJ42" i="21" s="1"/>
  <c r="AJ43" i="21" s="1" a="1"/>
  <c r="AJ43" i="21" s="1"/>
  <c r="E10" i="24" a="1"/>
  <c r="E10" i="24" s="1"/>
  <c r="D10" i="24" s="1"/>
  <c r="Q21" i="24" a="1"/>
  <c r="Z28" i="22" a="1"/>
  <c r="Z28" i="22" l="1"/>
  <c r="F28" i="22" s="1"/>
  <c r="D28" i="22"/>
  <c r="N29" i="22" a="1"/>
  <c r="N29" i="22" s="1"/>
  <c r="O29" i="22" s="1" a="1"/>
  <c r="O29" i="22" s="1"/>
  <c r="X29" i="22" a="1"/>
  <c r="X29" i="22" s="1"/>
  <c r="Q21" i="24"/>
  <c r="A10" i="24"/>
  <c r="V29" i="22" a="1"/>
  <c r="C21" i="24" a="1"/>
  <c r="V29" i="22" l="1"/>
  <c r="Q29" i="22" a="1"/>
  <c r="Q29" i="22" s="1"/>
  <c r="C21" i="24"/>
  <c r="E21" i="24" a="1"/>
  <c r="E21" i="24" s="1"/>
  <c r="Y29" i="22" a="1"/>
  <c r="P29" i="22" a="1"/>
  <c r="P29" i="22" l="1"/>
  <c r="S29" i="22" s="1"/>
  <c r="T29" i="22" s="1"/>
  <c r="M30" i="22" s="1" a="1"/>
  <c r="M30" i="22" s="1"/>
  <c r="Y29" i="22"/>
  <c r="AG29" i="22" a="1"/>
  <c r="AG29" i="22" s="1"/>
  <c r="A29" i="22"/>
  <c r="G29" i="22" s="1" a="1"/>
  <c r="G29" i="22" s="1"/>
  <c r="D21" i="24"/>
  <c r="A21" i="24"/>
  <c r="U29" i="22" a="1"/>
  <c r="AA29" i="22" l="1" a="1"/>
  <c r="AA29" i="22" s="1"/>
  <c r="U29" i="22"/>
  <c r="C29" i="22" a="1"/>
  <c r="C29" i="22" s="1"/>
  <c r="AC29" i="22" a="1"/>
  <c r="AC29" i="22" s="1"/>
  <c r="H29" i="22" a="1"/>
  <c r="H29" i="22" s="1"/>
  <c r="AF29" i="22" a="1"/>
  <c r="AF29" i="22" s="1"/>
  <c r="AD29" i="22" a="1"/>
  <c r="AD29" i="22" s="1"/>
  <c r="AB29" i="22" a="1"/>
  <c r="AB29" i="22" s="1"/>
  <c r="B29" i="22" a="1"/>
  <c r="B29" i="22" s="1"/>
  <c r="I29" i="22" a="1"/>
  <c r="I29" i="22" s="1"/>
  <c r="W30" i="22"/>
  <c r="R30" i="22"/>
  <c r="Z29" i="22" a="1"/>
  <c r="Z29" i="22" l="1"/>
  <c r="F29" i="22" s="1"/>
  <c r="X38" i="22" a="1"/>
  <c r="X38" i="22" s="1"/>
  <c r="N38" i="22" a="1"/>
  <c r="N38" i="22" s="1"/>
  <c r="O38" i="22" s="1" a="1"/>
  <c r="O38" i="22" s="1"/>
  <c r="D29" i="22"/>
  <c r="N30" i="22" a="1"/>
  <c r="N30" i="22" s="1"/>
  <c r="O30" i="22" s="1" a="1"/>
  <c r="O30" i="22" s="1"/>
  <c r="X30" i="22" a="1"/>
  <c r="X30" i="22" s="1"/>
  <c r="V30" i="22" a="1"/>
  <c r="V38" i="22" a="1"/>
  <c r="Y38" i="22" a="1"/>
  <c r="Y38" i="22" l="1"/>
  <c r="V38" i="22"/>
  <c r="Q38" i="22" a="1"/>
  <c r="Q38" i="22" s="1"/>
  <c r="V30" i="22"/>
  <c r="Q30" i="22" a="1"/>
  <c r="Q30" i="22" s="1"/>
  <c r="P30" i="22" a="1"/>
  <c r="Y30" i="22" a="1"/>
  <c r="U38" i="22" a="1"/>
  <c r="P38" i="22" a="1"/>
  <c r="P38" i="22" l="1"/>
  <c r="S38" i="22" s="1"/>
  <c r="T38" i="22" s="1"/>
  <c r="M39" i="22" s="1" a="1"/>
  <c r="M39" i="22" s="1"/>
  <c r="U38" i="22"/>
  <c r="AG38" i="22" a="1"/>
  <c r="AG38" i="22" s="1"/>
  <c r="A38" i="22"/>
  <c r="G38" i="22" s="1" a="1"/>
  <c r="G38" i="22" s="1"/>
  <c r="Y30" i="22"/>
  <c r="P30" i="22"/>
  <c r="S30" i="22" s="1"/>
  <c r="T30" i="22" s="1"/>
  <c r="M31" i="22" s="1" a="1"/>
  <c r="M31" i="22" s="1"/>
  <c r="A30" i="22"/>
  <c r="G30" i="22" s="1" a="1"/>
  <c r="G30" i="22" s="1"/>
  <c r="AG30" i="22" a="1"/>
  <c r="AG30" i="22" s="1"/>
  <c r="U30" i="22" a="1"/>
  <c r="W31" i="22" l="1"/>
  <c r="R31" i="22"/>
  <c r="AA30" i="22" a="1"/>
  <c r="AA30" i="22" s="1"/>
  <c r="W39" i="22"/>
  <c r="AA38" i="22" a="1"/>
  <c r="AA38" i="22" s="1"/>
  <c r="C38" i="22" a="1"/>
  <c r="C38" i="22" s="1"/>
  <c r="AB38" i="22" a="1"/>
  <c r="AB38" i="22" s="1"/>
  <c r="B38" i="22" a="1"/>
  <c r="B38" i="22" s="1"/>
  <c r="H38" i="22" a="1"/>
  <c r="H38" i="22" s="1"/>
  <c r="AD38" i="22" a="1"/>
  <c r="AD38" i="22" s="1"/>
  <c r="AF38" i="22" a="1"/>
  <c r="AF38" i="22" s="1"/>
  <c r="AC38" i="22" a="1"/>
  <c r="AC38" i="22" s="1"/>
  <c r="U30" i="22"/>
  <c r="C30" i="22" a="1"/>
  <c r="C30" i="22" s="1"/>
  <c r="AC30" i="22" a="1"/>
  <c r="AC30" i="22" s="1"/>
  <c r="B30" i="22" a="1"/>
  <c r="B30" i="22" s="1"/>
  <c r="H30" i="22" a="1"/>
  <c r="H30" i="22" s="1"/>
  <c r="AB30" i="22" a="1"/>
  <c r="AB30" i="22" s="1"/>
  <c r="AF30" i="22" a="1"/>
  <c r="AF30" i="22" s="1"/>
  <c r="AD30" i="22" a="1"/>
  <c r="AD30" i="22" s="1"/>
  <c r="I30" i="22" a="1"/>
  <c r="I30" i="22" s="1"/>
  <c r="Z30" i="22" a="1"/>
  <c r="X31" i="22" l="1" a="1"/>
  <c r="X31" i="22" s="1"/>
  <c r="N31" i="22" a="1"/>
  <c r="N31" i="22" s="1"/>
  <c r="O31" i="22" s="1" a="1"/>
  <c r="O31" i="22" s="1"/>
  <c r="D38" i="22"/>
  <c r="N39" i="22" a="1"/>
  <c r="N39" i="22" s="1"/>
  <c r="O39" i="22" s="1" a="1"/>
  <c r="O39" i="22" s="1"/>
  <c r="P39" i="22" s="1" a="1"/>
  <c r="X39" i="22" a="1"/>
  <c r="X39" i="22" s="1"/>
  <c r="Z30" i="22"/>
  <c r="F30" i="22" s="1"/>
  <c r="D30" i="22"/>
  <c r="V39" i="22" a="1"/>
  <c r="Q31" i="22" l="1" a="1"/>
  <c r="Q31" i="22" s="1"/>
  <c r="P39" i="22"/>
  <c r="V39" i="22"/>
  <c r="Q39" i="22" a="1"/>
  <c r="Q39" i="22" s="1"/>
  <c r="P31" i="22" a="1"/>
  <c r="V31" i="22" a="1"/>
  <c r="Y31" i="22" a="1"/>
  <c r="Y39" i="22" a="1"/>
  <c r="Y31" i="22" l="1"/>
  <c r="V31" i="22"/>
  <c r="P31" i="22"/>
  <c r="S31" i="22" s="1"/>
  <c r="T31" i="22" s="1"/>
  <c r="M32" i="22" s="1" a="1"/>
  <c r="M32" i="22" s="1"/>
  <c r="Y39" i="22"/>
  <c r="AG39" i="22" a="1"/>
  <c r="AG39" i="22" s="1"/>
  <c r="A39" i="22"/>
  <c r="S39" i="22"/>
  <c r="T39" i="22" s="1"/>
  <c r="M40" i="22" s="1" a="1"/>
  <c r="M40" i="22" s="1"/>
  <c r="U31" i="22" a="1"/>
  <c r="U39" i="22" a="1"/>
  <c r="U31" i="22" l="1"/>
  <c r="W32" i="22"/>
  <c r="R32" i="22"/>
  <c r="A31" i="22"/>
  <c r="AA31" i="22" s="1" a="1"/>
  <c r="AA31" i="22" s="1"/>
  <c r="AG31" i="22" a="1"/>
  <c r="AG31" i="22" s="1"/>
  <c r="G39" i="22" a="1"/>
  <c r="G39" i="22" s="1"/>
  <c r="AA39" i="22" a="1"/>
  <c r="AA39" i="22" s="1"/>
  <c r="U39" i="22"/>
  <c r="W40" i="22"/>
  <c r="AF39" i="22" a="1"/>
  <c r="AF39" i="22" s="1"/>
  <c r="B39" i="22" a="1"/>
  <c r="B39" i="22" s="1"/>
  <c r="AB39" i="22" a="1"/>
  <c r="AB39" i="22" s="1"/>
  <c r="AC39" i="22" a="1"/>
  <c r="AC39" i="22" s="1"/>
  <c r="AD39" i="22" a="1"/>
  <c r="AD39" i="22" s="1"/>
  <c r="H39" i="22" a="1"/>
  <c r="H39" i="22" s="1"/>
  <c r="C39" i="22" a="1"/>
  <c r="C39" i="22" s="1"/>
  <c r="Z39" i="22" a="1"/>
  <c r="Z31" i="22" l="1" a="1"/>
  <c r="Z31" i="22" s="1"/>
  <c r="F31" i="22" s="1"/>
  <c r="G31" i="22" a="1"/>
  <c r="G31" i="22" s="1"/>
  <c r="C31" i="22" a="1"/>
  <c r="C31" i="22" s="1"/>
  <c r="AD31" i="22" a="1"/>
  <c r="AD31" i="22" s="1"/>
  <c r="H31" i="22" a="1"/>
  <c r="H31" i="22" s="1"/>
  <c r="AB31" i="22" a="1"/>
  <c r="AB31" i="22" s="1"/>
  <c r="B31" i="22" a="1"/>
  <c r="B31" i="22" s="1"/>
  <c r="AC31" i="22" a="1"/>
  <c r="AC31" i="22" s="1"/>
  <c r="AF31" i="22" a="1"/>
  <c r="AF31" i="22" s="1"/>
  <c r="I31" i="22" a="1"/>
  <c r="I31" i="22" s="1"/>
  <c r="N32" i="22" a="1"/>
  <c r="N32" i="22" s="1"/>
  <c r="O32" i="22" s="1" a="1"/>
  <c r="O32" i="22" s="1"/>
  <c r="X32" i="22" a="1"/>
  <c r="X32" i="22" s="1"/>
  <c r="Z39" i="22"/>
  <c r="F39" i="22" s="1"/>
  <c r="D39" i="22"/>
  <c r="N40" i="22" a="1"/>
  <c r="N40" i="22" s="1"/>
  <c r="O40" i="22" s="1" a="1"/>
  <c r="O40" i="22" s="1"/>
  <c r="X40" i="22" a="1"/>
  <c r="X40" i="22" s="1"/>
  <c r="W62" i="22"/>
  <c r="Y32" i="22" a="1"/>
  <c r="V32" i="22" a="1"/>
  <c r="Y40" i="22" a="1"/>
  <c r="D31" i="22" l="1"/>
  <c r="V32" i="22"/>
  <c r="Y32" i="22"/>
  <c r="Q32" i="22" a="1"/>
  <c r="Q32" i="22" s="1"/>
  <c r="Y40" i="22"/>
  <c r="Q40" i="22" a="1"/>
  <c r="Q40" i="22" s="1"/>
  <c r="N62" i="22" a="1"/>
  <c r="N62" i="22" s="1"/>
  <c r="O62" i="22" s="1" a="1"/>
  <c r="O62" i="22" s="1"/>
  <c r="X62" i="22" a="1"/>
  <c r="X62" i="22" s="1"/>
  <c r="V62" i="22" a="1"/>
  <c r="U32" i="22" a="1"/>
  <c r="P32" i="22" a="1"/>
  <c r="U40" i="22" a="1"/>
  <c r="P40" i="22" a="1"/>
  <c r="V40" i="22" a="1"/>
  <c r="P32" i="22" l="1"/>
  <c r="S32" i="22" s="1"/>
  <c r="T32" i="22" s="1"/>
  <c r="M33" i="22" s="1" a="1"/>
  <c r="M33" i="22" s="1"/>
  <c r="U32" i="22"/>
  <c r="A32" i="22"/>
  <c r="AA32" i="22" s="1" a="1"/>
  <c r="AA32" i="22" s="1"/>
  <c r="AG32" i="22" a="1"/>
  <c r="AG32" i="22" s="1"/>
  <c r="V40" i="22"/>
  <c r="A40" i="22" s="1"/>
  <c r="P40" i="22"/>
  <c r="S40" i="22" s="1"/>
  <c r="T40" i="22" s="1"/>
  <c r="M41" i="22" s="1" a="1"/>
  <c r="M41" i="22" s="1"/>
  <c r="U40" i="22"/>
  <c r="V62" i="22"/>
  <c r="Q62" i="22" a="1"/>
  <c r="Q62" i="22" s="1"/>
  <c r="P62" i="22" a="1"/>
  <c r="Y62" i="22" a="1"/>
  <c r="Z32" i="22" l="1" a="1"/>
  <c r="Z32" i="22" s="1"/>
  <c r="F32" i="22" s="1"/>
  <c r="G40" i="22" a="1"/>
  <c r="G40" i="22" s="1"/>
  <c r="AA40" i="22" a="1"/>
  <c r="AA40" i="22" s="1"/>
  <c r="G32" i="22" a="1"/>
  <c r="G32" i="22" s="1"/>
  <c r="H32" i="22" a="1"/>
  <c r="H32" i="22" s="1"/>
  <c r="C32" i="22" a="1"/>
  <c r="C32" i="22" s="1"/>
  <c r="AB32" i="22" a="1"/>
  <c r="AB32" i="22" s="1"/>
  <c r="AD32" i="22" a="1"/>
  <c r="AD32" i="22" s="1"/>
  <c r="AF32" i="22" a="1"/>
  <c r="AF32" i="22" s="1"/>
  <c r="AC32" i="22" a="1"/>
  <c r="AC32" i="22" s="1"/>
  <c r="B32" i="22" a="1"/>
  <c r="B32" i="22" s="1"/>
  <c r="I32" i="22" a="1"/>
  <c r="I32" i="22" s="1"/>
  <c r="W33" i="22"/>
  <c r="R33" i="22"/>
  <c r="AG40" i="22" a="1"/>
  <c r="AG40" i="22" s="1"/>
  <c r="AB40" i="22" a="1"/>
  <c r="AB40" i="22" s="1"/>
  <c r="H40" i="22" a="1"/>
  <c r="H40" i="22" s="1"/>
  <c r="AD40" i="22" a="1"/>
  <c r="AD40" i="22" s="1"/>
  <c r="B40" i="22" a="1"/>
  <c r="B40" i="22" s="1"/>
  <c r="AF40" i="22" a="1"/>
  <c r="AF40" i="22" s="1"/>
  <c r="AC40" i="22" a="1"/>
  <c r="AC40" i="22" s="1"/>
  <c r="C40" i="22" a="1"/>
  <c r="C40" i="22" s="1"/>
  <c r="W41" i="22"/>
  <c r="Y62" i="22"/>
  <c r="P62" i="22"/>
  <c r="S62" i="22" s="1"/>
  <c r="T62" i="22" s="1"/>
  <c r="M63" i="22" s="1" a="1"/>
  <c r="M63" i="22" s="1"/>
  <c r="AG62" i="22" a="1"/>
  <c r="AG62" i="22" s="1"/>
  <c r="A62" i="22"/>
  <c r="G62" i="22" s="1" a="1"/>
  <c r="G62" i="22" s="1"/>
  <c r="U62" i="22" a="1"/>
  <c r="Z40" i="22" a="1"/>
  <c r="D32" i="22" l="1"/>
  <c r="N33" i="22" a="1"/>
  <c r="N33" i="22" s="1"/>
  <c r="O33" i="22" s="1" a="1"/>
  <c r="O33" i="22" s="1"/>
  <c r="X33" i="22" a="1"/>
  <c r="X33" i="22" s="1"/>
  <c r="Z40" i="22"/>
  <c r="F40" i="22" s="1"/>
  <c r="AA62" i="22" a="1"/>
  <c r="AA62" i="22" s="1"/>
  <c r="N41" i="22" a="1"/>
  <c r="N41" i="22" s="1"/>
  <c r="O41" i="22" s="1" a="1"/>
  <c r="O41" i="22" s="1"/>
  <c r="X41" i="22" a="1"/>
  <c r="X41" i="22" s="1"/>
  <c r="D40" i="22"/>
  <c r="U62" i="22"/>
  <c r="C62" i="22" a="1"/>
  <c r="C62" i="22" s="1"/>
  <c r="AB62" i="22" a="1"/>
  <c r="AB62" i="22" s="1"/>
  <c r="AC62" i="22" a="1"/>
  <c r="AC62" i="22" s="1"/>
  <c r="B62" i="22" a="1"/>
  <c r="B62" i="22" s="1"/>
  <c r="AD62" i="22" a="1"/>
  <c r="AD62" i="22" s="1"/>
  <c r="AF62" i="22" a="1"/>
  <c r="AF62" i="22" s="1"/>
  <c r="H62" i="22" a="1"/>
  <c r="H62" i="22" s="1"/>
  <c r="W63" i="22"/>
  <c r="V33" i="22" a="1"/>
  <c r="Z62" i="22" a="1"/>
  <c r="Y41" i="22" a="1"/>
  <c r="V33" i="22" l="1"/>
  <c r="Q33" i="22" a="1"/>
  <c r="Q33" i="22" s="1"/>
  <c r="Y41" i="22"/>
  <c r="Q41" i="22" a="1"/>
  <c r="Q41" i="22" s="1"/>
  <c r="Z62" i="22"/>
  <c r="F62" i="22" s="1"/>
  <c r="X63" i="22" a="1"/>
  <c r="X63" i="22" s="1"/>
  <c r="N63" i="22" a="1"/>
  <c r="N63" i="22" s="1"/>
  <c r="O63" i="22" s="1" a="1"/>
  <c r="O63" i="22" s="1"/>
  <c r="D62" i="22"/>
  <c r="V63" i="22" a="1"/>
  <c r="P33" i="22" a="1"/>
  <c r="Y33" i="22" a="1"/>
  <c r="P41" i="22" a="1"/>
  <c r="U41" i="22" a="1"/>
  <c r="V41" i="22" a="1"/>
  <c r="Y33" i="22" l="1"/>
  <c r="P33" i="22"/>
  <c r="S33" i="22" s="1"/>
  <c r="T33" i="22" s="1"/>
  <c r="M34" i="22" s="1" a="1"/>
  <c r="M34" i="22" s="1"/>
  <c r="A33" i="22"/>
  <c r="AA33" i="22" s="1" a="1"/>
  <c r="AA33" i="22" s="1"/>
  <c r="AG33" i="22" a="1"/>
  <c r="AG33" i="22" s="1"/>
  <c r="V41" i="22"/>
  <c r="AG41" i="22" s="1" a="1"/>
  <c r="AG41" i="22" s="1"/>
  <c r="P41" i="22"/>
  <c r="S41" i="22" s="1"/>
  <c r="T41" i="22" s="1"/>
  <c r="M42" i="22" s="1" a="1"/>
  <c r="M42" i="22" s="1"/>
  <c r="U41" i="22"/>
  <c r="V63" i="22"/>
  <c r="Q63" i="22" a="1"/>
  <c r="Q63" i="22" s="1"/>
  <c r="P63" i="22" a="1"/>
  <c r="Y63" i="22" a="1"/>
  <c r="U33" i="22" a="1"/>
  <c r="Z33" i="22" l="1" a="1"/>
  <c r="Z33" i="22" s="1"/>
  <c r="F33" i="22" s="1"/>
  <c r="U33" i="22"/>
  <c r="G33" i="22" a="1"/>
  <c r="G33" i="22" s="1"/>
  <c r="H33" i="22" a="1"/>
  <c r="H33" i="22" s="1"/>
  <c r="C33" i="22" a="1"/>
  <c r="C33" i="22" s="1"/>
  <c r="AB33" i="22" a="1"/>
  <c r="AB33" i="22" s="1"/>
  <c r="AD33" i="22" a="1"/>
  <c r="AD33" i="22" s="1"/>
  <c r="B33" i="22" a="1"/>
  <c r="B33" i="22" s="1"/>
  <c r="AF33" i="22" a="1"/>
  <c r="AF33" i="22" s="1"/>
  <c r="AC33" i="22" a="1"/>
  <c r="AC33" i="22" s="1"/>
  <c r="I33" i="22" a="1"/>
  <c r="I33" i="22" s="1"/>
  <c r="W34" i="22"/>
  <c r="R34" i="22"/>
  <c r="A41" i="22"/>
  <c r="W42" i="22"/>
  <c r="Y63" i="22"/>
  <c r="P63" i="22"/>
  <c r="S63" i="22" s="1"/>
  <c r="T63" i="22" s="1"/>
  <c r="M64" i="22" s="1" a="1"/>
  <c r="M64" i="22" s="1"/>
  <c r="AG63" i="22" a="1"/>
  <c r="AG63" i="22" s="1"/>
  <c r="A63" i="22"/>
  <c r="G63" i="22" s="1" a="1"/>
  <c r="G63" i="22" s="1"/>
  <c r="U63" i="22" a="1"/>
  <c r="D33" i="22" l="1"/>
  <c r="G41" i="22" a="1"/>
  <c r="G41" i="22" s="1"/>
  <c r="AA41" i="22" a="1"/>
  <c r="AA41" i="22" s="1"/>
  <c r="N34" i="22" a="1"/>
  <c r="N34" i="22" s="1"/>
  <c r="O34" i="22" s="1" a="1"/>
  <c r="O34" i="22" s="1"/>
  <c r="X34" i="22" a="1"/>
  <c r="X34" i="22" s="1"/>
  <c r="AD41" i="22" a="1"/>
  <c r="AD41" i="22" s="1"/>
  <c r="AB41" i="22" a="1"/>
  <c r="AB41" i="22" s="1"/>
  <c r="AF41" i="22" a="1"/>
  <c r="AF41" i="22" s="1"/>
  <c r="B41" i="22" a="1"/>
  <c r="B41" i="22" s="1"/>
  <c r="H41" i="22" a="1"/>
  <c r="H41" i="22" s="1"/>
  <c r="C41" i="22" a="1"/>
  <c r="C41" i="22" s="1"/>
  <c r="AC41" i="22" a="1"/>
  <c r="AC41" i="22" s="1"/>
  <c r="AA63" i="22" a="1"/>
  <c r="AA63" i="22" s="1"/>
  <c r="N42" i="22" a="1"/>
  <c r="N42" i="22" s="1"/>
  <c r="O42" i="22" s="1" a="1"/>
  <c r="O42" i="22" s="1"/>
  <c r="X42" i="22" a="1"/>
  <c r="X42" i="22" s="1"/>
  <c r="U63" i="22"/>
  <c r="H63" i="22" a="1"/>
  <c r="H63" i="22" s="1"/>
  <c r="AD63" i="22" a="1"/>
  <c r="AD63" i="22" s="1"/>
  <c r="AB63" i="22" a="1"/>
  <c r="AB63" i="22" s="1"/>
  <c r="AC63" i="22" a="1"/>
  <c r="AC63" i="22" s="1"/>
  <c r="B63" i="22" a="1"/>
  <c r="B63" i="22" s="1"/>
  <c r="AF63" i="22" a="1"/>
  <c r="AF63" i="22" s="1"/>
  <c r="C63" i="22" a="1"/>
  <c r="C63" i="22" s="1"/>
  <c r="W64" i="22"/>
  <c r="V42" i="22" a="1"/>
  <c r="Z41" i="22" a="1"/>
  <c r="Z63" i="22" a="1"/>
  <c r="Q34" i="22" l="1" a="1"/>
  <c r="Q34" i="22" s="1"/>
  <c r="Z41" i="22"/>
  <c r="F41" i="22" s="1"/>
  <c r="D41" i="22"/>
  <c r="V42" i="22"/>
  <c r="Q42" i="22" a="1"/>
  <c r="Q42" i="22" s="1"/>
  <c r="Z63" i="22"/>
  <c r="F63" i="22" s="1"/>
  <c r="D63" i="22"/>
  <c r="X64" i="22" a="1"/>
  <c r="X64" i="22" s="1"/>
  <c r="N64" i="22" a="1"/>
  <c r="N64" i="22" s="1"/>
  <c r="O64" i="22" s="1" a="1"/>
  <c r="O64" i="22" s="1"/>
  <c r="V64" i="22" a="1"/>
  <c r="Y34" i="22" a="1"/>
  <c r="P34" i="22" a="1"/>
  <c r="V34" i="22" a="1"/>
  <c r="P42" i="22" a="1"/>
  <c r="Y42" i="22" a="1"/>
  <c r="V34" i="22" l="1"/>
  <c r="P34" i="22"/>
  <c r="S34" i="22" s="1"/>
  <c r="T34" i="22" s="1"/>
  <c r="M35" i="22" s="1" a="1"/>
  <c r="M35" i="22" s="1"/>
  <c r="Y34" i="22"/>
  <c r="Y42" i="22"/>
  <c r="P42" i="22"/>
  <c r="S42" i="22" s="1"/>
  <c r="T42" i="22" s="1"/>
  <c r="M43" i="22" s="1" a="1"/>
  <c r="M43" i="22" s="1"/>
  <c r="A42" i="22"/>
  <c r="Z42" i="22" s="1" a="1"/>
  <c r="AG42" i="22" a="1"/>
  <c r="AG42" i="22" s="1"/>
  <c r="V64" i="22"/>
  <c r="Q64" i="22" a="1"/>
  <c r="Q64" i="22" s="1"/>
  <c r="P64" i="22" a="1"/>
  <c r="Y64" i="22" a="1"/>
  <c r="U34" i="22" a="1"/>
  <c r="U42" i="22" a="1"/>
  <c r="U34" i="22" l="1"/>
  <c r="G42" i="22" a="1"/>
  <c r="G42" i="22" s="1"/>
  <c r="AA42" i="22" a="1"/>
  <c r="AA42" i="22" s="1"/>
  <c r="W35" i="22"/>
  <c r="R35" i="22"/>
  <c r="R36" i="22"/>
  <c r="R39" i="22"/>
  <c r="R40" i="22"/>
  <c r="R41" i="22"/>
  <c r="R37" i="22"/>
  <c r="T37" i="22" s="1"/>
  <c r="M38" i="22" s="1" a="1"/>
  <c r="M38" i="22" s="1"/>
  <c r="R42" i="22"/>
  <c r="A34" i="22"/>
  <c r="AA34" i="22" s="1" a="1"/>
  <c r="AA34" i="22" s="1"/>
  <c r="AG34" i="22" a="1"/>
  <c r="AG34" i="22" s="1"/>
  <c r="R43" i="22"/>
  <c r="W43" i="22"/>
  <c r="U42" i="22"/>
  <c r="B42" i="22" s="1" a="1"/>
  <c r="B42" i="22" s="1"/>
  <c r="Z42" i="22"/>
  <c r="F42" i="22" s="1"/>
  <c r="AB42" i="22" a="1"/>
  <c r="AB42" i="22" s="1"/>
  <c r="H42" i="22" a="1"/>
  <c r="H42" i="22" s="1"/>
  <c r="AF42" i="22" a="1"/>
  <c r="AF42" i="22" s="1"/>
  <c r="C42" i="22" a="1"/>
  <c r="C42" i="22" s="1"/>
  <c r="AD42" i="22" a="1"/>
  <c r="AD42" i="22" s="1"/>
  <c r="AC42" i="22" a="1"/>
  <c r="AC42" i="22" s="1"/>
  <c r="Y64" i="22"/>
  <c r="P64" i="22"/>
  <c r="S64" i="22" s="1"/>
  <c r="T64" i="22" s="1"/>
  <c r="A64" i="22"/>
  <c r="G64" i="22" s="1" a="1"/>
  <c r="G64" i="22" s="1"/>
  <c r="AG64" i="22" a="1"/>
  <c r="AG64" i="22" s="1"/>
  <c r="U64" i="22" a="1"/>
  <c r="Z34" i="22" l="1" a="1"/>
  <c r="Z34" i="22" s="1"/>
  <c r="F34" i="22" s="1"/>
  <c r="G34" i="22" a="1"/>
  <c r="G34" i="22" s="1"/>
  <c r="H34" i="22" a="1"/>
  <c r="H34" i="22" s="1"/>
  <c r="C34" i="22" a="1"/>
  <c r="C34" i="22" s="1"/>
  <c r="B34" i="22" a="1"/>
  <c r="B34" i="22" s="1"/>
  <c r="AD34" i="22" a="1"/>
  <c r="AD34" i="22" s="1"/>
  <c r="AC34" i="22" a="1"/>
  <c r="AC34" i="22" s="1"/>
  <c r="AF34" i="22" a="1"/>
  <c r="AF34" i="22" s="1"/>
  <c r="AB34" i="22" a="1"/>
  <c r="AB34" i="22" s="1"/>
  <c r="I34" i="22" a="1"/>
  <c r="I34" i="22" s="1"/>
  <c r="W38" i="22"/>
  <c r="R38" i="22"/>
  <c r="N35" i="22" a="1"/>
  <c r="N35" i="22" s="1"/>
  <c r="O35" i="22" s="1" a="1"/>
  <c r="O35" i="22" s="1"/>
  <c r="X35" i="22" a="1"/>
  <c r="X35" i="22" s="1"/>
  <c r="X43" i="22" a="1"/>
  <c r="X43" i="22" s="1"/>
  <c r="N43" i="22" a="1"/>
  <c r="N43" i="22" s="1"/>
  <c r="O43" i="22" s="1" a="1"/>
  <c r="O43" i="22" s="1"/>
  <c r="AA64" i="22" a="1"/>
  <c r="AA64" i="22" s="1"/>
  <c r="D42" i="22"/>
  <c r="U64" i="22"/>
  <c r="AD64" i="22" a="1"/>
  <c r="AD64" i="22" s="1"/>
  <c r="B64" i="22" a="1"/>
  <c r="B64" i="22" s="1"/>
  <c r="H64" i="22" a="1"/>
  <c r="H64" i="22" s="1"/>
  <c r="AF64" i="22" a="1"/>
  <c r="AF64" i="22" s="1"/>
  <c r="C64" i="22" a="1"/>
  <c r="C64" i="22" s="1"/>
  <c r="AB64" i="22" a="1"/>
  <c r="AB64" i="22" s="1"/>
  <c r="AC64" i="22" a="1"/>
  <c r="AC64" i="22" s="1"/>
  <c r="V35" i="22" a="1"/>
  <c r="Z38" i="22" a="1"/>
  <c r="Y35" i="22" a="1"/>
  <c r="V43" i="22" a="1"/>
  <c r="Z64" i="22" a="1"/>
  <c r="Y35" i="22" l="1"/>
  <c r="Z38" i="22"/>
  <c r="F38" i="22" s="1"/>
  <c r="V35" i="22"/>
  <c r="D34" i="22"/>
  <c r="Q35" i="22" a="1"/>
  <c r="Q35" i="22" s="1"/>
  <c r="V43" i="22"/>
  <c r="Q43" i="22" a="1"/>
  <c r="Q43" i="22" s="1"/>
  <c r="Z64" i="22"/>
  <c r="F64" i="22" s="1"/>
  <c r="D64" i="22"/>
  <c r="U35" i="22" a="1"/>
  <c r="P35" i="22" a="1"/>
  <c r="Y43" i="22" a="1"/>
  <c r="P43" i="22" a="1"/>
  <c r="P35" i="22" l="1"/>
  <c r="S35" i="22" s="1"/>
  <c r="T35" i="22" s="1"/>
  <c r="U35" i="22"/>
  <c r="A35" i="22"/>
  <c r="AA35" i="22" s="1" a="1"/>
  <c r="AA35" i="22" s="1"/>
  <c r="AG35" i="22" a="1"/>
  <c r="AG35" i="22" s="1"/>
  <c r="Y43" i="22"/>
  <c r="P43" i="22"/>
  <c r="S43" i="22" s="1"/>
  <c r="T43" i="22" s="1"/>
  <c r="M44" i="22" s="1" a="1"/>
  <c r="M44" i="22" s="1"/>
  <c r="AG43" i="22" a="1"/>
  <c r="AG43" i="22" s="1"/>
  <c r="A43" i="22"/>
  <c r="AA43" i="22" s="1" a="1"/>
  <c r="AA43" i="22" s="1"/>
  <c r="U43" i="22" a="1"/>
  <c r="Z35" i="22" l="1" a="1"/>
  <c r="Z35" i="22" s="1"/>
  <c r="F35" i="22" s="1"/>
  <c r="G35" i="22" a="1"/>
  <c r="G35" i="22" s="1"/>
  <c r="C35" i="22" a="1"/>
  <c r="C35" i="22" s="1"/>
  <c r="H35" i="22" a="1"/>
  <c r="H35" i="22" s="1"/>
  <c r="AD35" i="22" a="1"/>
  <c r="AD35" i="22" s="1"/>
  <c r="AB35" i="22" a="1"/>
  <c r="AB35" i="22" s="1"/>
  <c r="AF35" i="22" a="1"/>
  <c r="AF35" i="22" s="1"/>
  <c r="AC35" i="22" a="1"/>
  <c r="AC35" i="22" s="1"/>
  <c r="B35" i="22" a="1"/>
  <c r="B35" i="22" s="1"/>
  <c r="I35" i="22" a="1"/>
  <c r="I35" i="22" s="1"/>
  <c r="I36" i="22" s="1" a="1"/>
  <c r="I36" i="22" s="1"/>
  <c r="I37" i="22" s="1" a="1"/>
  <c r="I37" i="22" s="1"/>
  <c r="I38" i="22" s="1" a="1"/>
  <c r="I38" i="22" s="1"/>
  <c r="I39" i="22" s="1" a="1"/>
  <c r="I39" i="22" s="1"/>
  <c r="I40" i="22" s="1" a="1"/>
  <c r="I40" i="22" s="1"/>
  <c r="I41" i="22" s="1" a="1"/>
  <c r="I41" i="22" s="1"/>
  <c r="I42" i="22" s="1" a="1"/>
  <c r="I42" i="22" s="1"/>
  <c r="I43" i="22" s="1" a="1"/>
  <c r="I43" i="22" s="1"/>
  <c r="R44" i="22"/>
  <c r="W44" i="22"/>
  <c r="R63" i="22"/>
  <c r="R68" i="22"/>
  <c r="R58" i="22"/>
  <c r="R61" i="22"/>
  <c r="T61" i="22" s="1"/>
  <c r="M62" i="22" s="1" a="1"/>
  <c r="M62" i="22" s="1"/>
  <c r="R62" i="22" s="1"/>
  <c r="R52" i="22"/>
  <c r="R69" i="22"/>
  <c r="T69" i="22" s="1"/>
  <c r="M70" i="22" s="1" a="1"/>
  <c r="M70" i="22" s="1"/>
  <c r="R70" i="22" s="1"/>
  <c r="R49" i="22"/>
  <c r="R60" i="22"/>
  <c r="R66" i="22"/>
  <c r="R54" i="22"/>
  <c r="R59" i="22"/>
  <c r="R67" i="22"/>
  <c r="R47" i="22"/>
  <c r="R65" i="22"/>
  <c r="R51" i="22"/>
  <c r="R56" i="22"/>
  <c r="R57" i="22"/>
  <c r="R55" i="22"/>
  <c r="R64" i="22"/>
  <c r="R53" i="22"/>
  <c r="R45" i="22"/>
  <c r="R50" i="22"/>
  <c r="R46" i="22"/>
  <c r="R48" i="22"/>
  <c r="U43" i="22"/>
  <c r="B43" i="22" s="1" a="1"/>
  <c r="B43" i="22" s="1"/>
  <c r="G43" i="22" a="1"/>
  <c r="G43" i="22" s="1"/>
  <c r="AF43" i="22" a="1"/>
  <c r="AF43" i="22" s="1"/>
  <c r="C43" i="22" a="1"/>
  <c r="C43" i="22" s="1"/>
  <c r="AD43" i="22" a="1"/>
  <c r="AD43" i="22" s="1"/>
  <c r="H43" i="22" a="1"/>
  <c r="H43" i="22" s="1"/>
  <c r="AC43" i="22" a="1"/>
  <c r="AC43" i="22" s="1"/>
  <c r="AB43" i="22" a="1"/>
  <c r="AB43" i="22" s="1"/>
  <c r="Z43" i="22" a="1"/>
  <c r="W70" i="22" l="1"/>
  <c r="W73" i="22"/>
  <c r="D35" i="22"/>
  <c r="Z43" i="22"/>
  <c r="F43" i="22" s="1"/>
  <c r="X82" i="22" a="1"/>
  <c r="X82" i="22" s="1"/>
  <c r="N82" i="22" a="1"/>
  <c r="N82" i="22" s="1"/>
  <c r="O82" i="22" s="1" a="1"/>
  <c r="O82" i="22" s="1"/>
  <c r="N44" i="22" a="1"/>
  <c r="N44" i="22" s="1"/>
  <c r="O44" i="22" s="1" a="1"/>
  <c r="O44" i="22" s="1"/>
  <c r="X44" i="22" a="1"/>
  <c r="X44" i="22" s="1"/>
  <c r="D43" i="22"/>
  <c r="Y82" i="22" a="1"/>
  <c r="V82" i="22" a="1"/>
  <c r="Y44" i="22" a="1"/>
  <c r="N70" i="22" l="1" a="1"/>
  <c r="N70" i="22" s="1"/>
  <c r="X70" i="22" a="1"/>
  <c r="X70" i="22" s="1"/>
  <c r="N73" i="22" a="1"/>
  <c r="N73" i="22" s="1"/>
  <c r="O73" i="22" s="1" a="1"/>
  <c r="O73" i="22" s="1"/>
  <c r="X73" i="22" a="1"/>
  <c r="X73" i="22" s="1"/>
  <c r="V82" i="22"/>
  <c r="Y82" i="22"/>
  <c r="Q82" i="22" a="1"/>
  <c r="Q82" i="22" s="1"/>
  <c r="Y44" i="22"/>
  <c r="Q44" i="22" a="1"/>
  <c r="Q44" i="22" s="1"/>
  <c r="U82" i="22" a="1"/>
  <c r="P82" i="22" a="1"/>
  <c r="U44" i="22" a="1"/>
  <c r="P44" i="22" a="1"/>
  <c r="V44" i="22" a="1"/>
  <c r="V73" i="22" a="1"/>
  <c r="Y73" i="22" a="1"/>
  <c r="O70" i="22" l="1" a="1"/>
  <c r="O70" i="22" s="1"/>
  <c r="Y73" i="22"/>
  <c r="V73" i="22"/>
  <c r="Q73" i="22" a="1"/>
  <c r="Q73" i="22" s="1"/>
  <c r="P82" i="22"/>
  <c r="S82" i="22" s="1"/>
  <c r="T82" i="22" s="1"/>
  <c r="M83" i="22" s="1" a="1"/>
  <c r="M83" i="22" s="1"/>
  <c r="U82" i="22"/>
  <c r="AG82" i="22" a="1"/>
  <c r="AG82" i="22" s="1"/>
  <c r="A82" i="22"/>
  <c r="AA82" i="22" s="1" a="1"/>
  <c r="AA82" i="22" s="1"/>
  <c r="P44" i="22"/>
  <c r="S44" i="22" s="1"/>
  <c r="T44" i="22" s="1"/>
  <c r="V44" i="22"/>
  <c r="U44" i="22"/>
  <c r="V70" i="22" a="1"/>
  <c r="U73" i="22" a="1"/>
  <c r="P73" i="22" a="1"/>
  <c r="V70" i="22" l="1"/>
  <c r="Q70" i="22" a="1"/>
  <c r="Q70" i="22" s="1"/>
  <c r="P73" i="22"/>
  <c r="S73" i="22" s="1"/>
  <c r="T73" i="22" s="1"/>
  <c r="M74" i="22" s="1" a="1"/>
  <c r="M74" i="22" s="1"/>
  <c r="U73" i="22"/>
  <c r="A73" i="22"/>
  <c r="AA73" i="22" s="1" a="1"/>
  <c r="AA73" i="22" s="1"/>
  <c r="AG73" i="22" a="1"/>
  <c r="AG73" i="22" s="1"/>
  <c r="G82" i="22" a="1"/>
  <c r="G82" i="22" s="1"/>
  <c r="H82" i="22" a="1"/>
  <c r="H82" i="22" s="1"/>
  <c r="AD82" i="22" a="1"/>
  <c r="AD82" i="22" s="1"/>
  <c r="AF82" i="22" a="1"/>
  <c r="AF82" i="22" s="1"/>
  <c r="AB82" i="22" a="1"/>
  <c r="AB82" i="22" s="1"/>
  <c r="AC82" i="22" a="1"/>
  <c r="AC82" i="22" s="1"/>
  <c r="C82" i="22" a="1"/>
  <c r="C82" i="22" s="1"/>
  <c r="B82" i="22" a="1"/>
  <c r="B82" i="22" s="1"/>
  <c r="W83" i="22"/>
  <c r="A44" i="22"/>
  <c r="AA44" i="22" s="1" a="1"/>
  <c r="AA44" i="22" s="1"/>
  <c r="AG44" i="22" a="1"/>
  <c r="AG44" i="22" s="1"/>
  <c r="P70" i="22" a="1"/>
  <c r="Y70" i="22" a="1"/>
  <c r="Z82" i="22" a="1"/>
  <c r="Z73" i="22" l="1" a="1"/>
  <c r="Z73" i="22" s="1"/>
  <c r="F73" i="22" s="1"/>
  <c r="Y70" i="22"/>
  <c r="P70" i="22"/>
  <c r="S70" i="22" s="1"/>
  <c r="T70" i="22" s="1"/>
  <c r="M71" i="22" s="1" a="1"/>
  <c r="M71" i="22" s="1"/>
  <c r="A70" i="22"/>
  <c r="AA70" i="22" s="1" a="1"/>
  <c r="AA70" i="22" s="1"/>
  <c r="AG70" i="22" a="1"/>
  <c r="AG70" i="22" s="1"/>
  <c r="G73" i="22" a="1"/>
  <c r="G73" i="22" s="1"/>
  <c r="AB73" i="22" a="1"/>
  <c r="AB73" i="22" s="1"/>
  <c r="H73" i="22" a="1"/>
  <c r="H73" i="22" s="1"/>
  <c r="AF73" i="22" a="1"/>
  <c r="AF73" i="22" s="1"/>
  <c r="AD73" i="22" a="1"/>
  <c r="AD73" i="22" s="1"/>
  <c r="AC73" i="22" a="1"/>
  <c r="AC73" i="22" s="1"/>
  <c r="C73" i="22" a="1"/>
  <c r="C73" i="22" s="1"/>
  <c r="B73" i="22" a="1"/>
  <c r="B73" i="22" s="1"/>
  <c r="W74" i="22"/>
  <c r="Z82" i="22"/>
  <c r="F82" i="22" s="1"/>
  <c r="D82" i="22"/>
  <c r="N83" i="22" a="1"/>
  <c r="N83" i="22" s="1"/>
  <c r="O83" i="22" s="1" a="1"/>
  <c r="O83" i="22" s="1"/>
  <c r="X83" i="22" a="1"/>
  <c r="X83" i="22" s="1"/>
  <c r="G44" i="22" a="1"/>
  <c r="G44" i="22" s="1"/>
  <c r="AB44" i="22" a="1"/>
  <c r="AB44" i="22" s="1"/>
  <c r="AF44" i="22" a="1"/>
  <c r="AF44" i="22" s="1"/>
  <c r="H44" i="22" a="1"/>
  <c r="H44" i="22" s="1"/>
  <c r="C44" i="22" a="1"/>
  <c r="C44" i="22" s="1"/>
  <c r="AD44" i="22" a="1"/>
  <c r="AD44" i="22" s="1"/>
  <c r="B44" i="22" a="1"/>
  <c r="B44" i="22" s="1"/>
  <c r="AC44" i="22" a="1"/>
  <c r="AC44" i="22" s="1"/>
  <c r="I44" i="22" a="1"/>
  <c r="I44" i="22" s="1"/>
  <c r="I45" i="22" s="1" a="1"/>
  <c r="I45" i="22" s="1"/>
  <c r="I46" i="22" s="1" a="1"/>
  <c r="I46" i="22" s="1"/>
  <c r="I47" i="22" s="1" a="1"/>
  <c r="I47" i="22" s="1"/>
  <c r="I48" i="22" s="1" a="1"/>
  <c r="I48" i="22" s="1"/>
  <c r="I49" i="22" s="1" a="1"/>
  <c r="I49" i="22" s="1"/>
  <c r="I50" i="22" s="1" a="1"/>
  <c r="I50" i="22" s="1"/>
  <c r="I51" i="22" s="1" a="1"/>
  <c r="I51" i="22" s="1"/>
  <c r="U70" i="22" a="1"/>
  <c r="Z44" i="22" a="1"/>
  <c r="Y83" i="22" a="1"/>
  <c r="V83" i="22" a="1"/>
  <c r="Z70" i="22" l="1" a="1"/>
  <c r="Z70" i="22" s="1"/>
  <c r="F70" i="22" s="1"/>
  <c r="U70" i="22"/>
  <c r="G70" i="22" a="1"/>
  <c r="G70" i="22" s="1"/>
  <c r="B70" i="22" a="1"/>
  <c r="B70" i="22" s="1"/>
  <c r="AC70" i="22" a="1"/>
  <c r="AC70" i="22" s="1"/>
  <c r="C70" i="22" a="1"/>
  <c r="C70" i="22" s="1"/>
  <c r="AD70" i="22" a="1"/>
  <c r="AD70" i="22" s="1"/>
  <c r="AF70" i="22" a="1"/>
  <c r="AF70" i="22" s="1"/>
  <c r="AB70" i="22" a="1"/>
  <c r="AB70" i="22" s="1"/>
  <c r="H70" i="22" a="1"/>
  <c r="H70" i="22" s="1"/>
  <c r="M72" i="22" a="1"/>
  <c r="M72" i="22" s="1"/>
  <c r="R72" i="22" s="1"/>
  <c r="T72" i="22" s="1"/>
  <c r="M73" i="22" s="1" a="1"/>
  <c r="M73" i="22" s="1"/>
  <c r="R73" i="22" s="1"/>
  <c r="W71" i="22"/>
  <c r="R71" i="22"/>
  <c r="R74" i="22"/>
  <c r="X74" i="22" a="1"/>
  <c r="X74" i="22" s="1"/>
  <c r="N74" i="22" a="1"/>
  <c r="N74" i="22" s="1"/>
  <c r="O74" i="22" s="1" a="1"/>
  <c r="O74" i="22" s="1"/>
  <c r="D73" i="22"/>
  <c r="V83" i="22"/>
  <c r="Y83" i="22"/>
  <c r="Q83" i="22" a="1"/>
  <c r="Q83" i="22" s="1"/>
  <c r="Z44" i="22"/>
  <c r="F44" i="22" s="1"/>
  <c r="D44" i="22"/>
  <c r="I52" i="22" a="1"/>
  <c r="I52" i="22" s="1"/>
  <c r="V74" i="22" a="1"/>
  <c r="U83" i="22" a="1"/>
  <c r="P83" i="22" a="1"/>
  <c r="D70" i="22" l="1"/>
  <c r="N71" i="22" a="1"/>
  <c r="N71" i="22" s="1"/>
  <c r="O71" i="22" s="1" a="1"/>
  <c r="O71" i="22" s="1"/>
  <c r="X71" i="22" a="1"/>
  <c r="X71" i="22" s="1"/>
  <c r="V74" i="22"/>
  <c r="Q74" i="22" a="1"/>
  <c r="Q74" i="22" s="1"/>
  <c r="P83" i="22"/>
  <c r="S83" i="22" s="1"/>
  <c r="T83" i="22" s="1"/>
  <c r="M84" i="22" s="1" a="1"/>
  <c r="M84" i="22" s="1"/>
  <c r="U83" i="22"/>
  <c r="AG83" i="22" a="1"/>
  <c r="AG83" i="22" s="1"/>
  <c r="A83" i="22"/>
  <c r="Z83" i="22" s="1" a="1"/>
  <c r="I53" i="22" a="1"/>
  <c r="I53" i="22" s="1"/>
  <c r="Y71" i="22" a="1"/>
  <c r="P74" i="22" a="1"/>
  <c r="Y74" i="22" a="1"/>
  <c r="Y71" i="22" l="1"/>
  <c r="Q71" i="22" a="1"/>
  <c r="Q71" i="22" s="1"/>
  <c r="Y74" i="22"/>
  <c r="P74" i="22"/>
  <c r="S74" i="22" s="1"/>
  <c r="T74" i="22" s="1"/>
  <c r="M75" i="22" s="1" a="1"/>
  <c r="M75" i="22" s="1"/>
  <c r="A74" i="22"/>
  <c r="AA74" i="22" s="1" a="1"/>
  <c r="AA74" i="22" s="1"/>
  <c r="AG74" i="22" a="1"/>
  <c r="AG74" i="22" s="1"/>
  <c r="Z83" i="22"/>
  <c r="F83" i="22" s="1"/>
  <c r="AA83" i="22" a="1"/>
  <c r="AA83" i="22" s="1"/>
  <c r="AF83" i="22" a="1"/>
  <c r="AF83" i="22" s="1"/>
  <c r="AD83" i="22" a="1"/>
  <c r="AD83" i="22" s="1"/>
  <c r="G83" i="22" a="1"/>
  <c r="G83" i="22" s="1"/>
  <c r="AB83" i="22" a="1"/>
  <c r="AB83" i="22" s="1"/>
  <c r="C83" i="22" a="1"/>
  <c r="C83" i="22" s="1"/>
  <c r="AC83" i="22" a="1"/>
  <c r="AC83" i="22" s="1"/>
  <c r="B83" i="22" a="1"/>
  <c r="B83" i="22" s="1"/>
  <c r="H83" i="22" a="1"/>
  <c r="H83" i="22" s="1"/>
  <c r="W84" i="22"/>
  <c r="I54" i="22" a="1"/>
  <c r="I54" i="22" s="1"/>
  <c r="U71" i="22" a="1"/>
  <c r="V71" i="22" a="1"/>
  <c r="P71" i="22" a="1"/>
  <c r="U74" i="22" a="1"/>
  <c r="Z74" i="22" l="1" a="1"/>
  <c r="Z74" i="22" s="1"/>
  <c r="F74" i="22" s="1"/>
  <c r="P71" i="22"/>
  <c r="S71" i="22" s="1"/>
  <c r="T71" i="22" s="1"/>
  <c r="V71" i="22"/>
  <c r="U71" i="22"/>
  <c r="U74" i="22"/>
  <c r="G74" i="22" a="1"/>
  <c r="G74" i="22" s="1"/>
  <c r="AD74" i="22" a="1"/>
  <c r="AD74" i="22" s="1"/>
  <c r="B74" i="22" a="1"/>
  <c r="B74" i="22" s="1"/>
  <c r="H74" i="22" a="1"/>
  <c r="H74" i="22" s="1"/>
  <c r="AC74" i="22" a="1"/>
  <c r="AC74" i="22" s="1"/>
  <c r="AF74" i="22" a="1"/>
  <c r="AF74" i="22" s="1"/>
  <c r="C74" i="22" a="1"/>
  <c r="C74" i="22" s="1"/>
  <c r="AB74" i="22" a="1"/>
  <c r="AB74" i="22" s="1"/>
  <c r="W75" i="22"/>
  <c r="R75" i="22"/>
  <c r="R83" i="22"/>
  <c r="R79" i="22"/>
  <c r="R81" i="22"/>
  <c r="T81" i="22" s="1"/>
  <c r="M82" i="22" s="1" a="1"/>
  <c r="M82" i="22" s="1"/>
  <c r="R77" i="22"/>
  <c r="R76" i="22"/>
  <c r="R80" i="22"/>
  <c r="R78" i="22"/>
  <c r="R84" i="22"/>
  <c r="N84" i="22" a="1"/>
  <c r="N84" i="22" s="1"/>
  <c r="O84" i="22" s="1" a="1"/>
  <c r="O84" i="22" s="1"/>
  <c r="P84" i="22" s="1" a="1"/>
  <c r="X84" i="22" a="1"/>
  <c r="X84" i="22" s="1"/>
  <c r="D83" i="22"/>
  <c r="I55" i="22" a="1"/>
  <c r="I55" i="22" s="1"/>
  <c r="V84" i="22" a="1"/>
  <c r="A71" i="22" l="1"/>
  <c r="AA71" i="22" s="1" a="1"/>
  <c r="AA71" i="22" s="1"/>
  <c r="AG71" i="22" a="1"/>
  <c r="AG71" i="22" s="1"/>
  <c r="X75" i="22" a="1"/>
  <c r="X75" i="22" s="1"/>
  <c r="N75" i="22" a="1"/>
  <c r="N75" i="22" s="1"/>
  <c r="O75" i="22" s="1" a="1"/>
  <c r="O75" i="22" s="1"/>
  <c r="D74" i="22"/>
  <c r="W82" i="22"/>
  <c r="R82" i="22"/>
  <c r="V84" i="22"/>
  <c r="P84" i="22"/>
  <c r="Q84" i="22" a="1"/>
  <c r="Q84" i="22" s="1"/>
  <c r="I56" i="22" a="1"/>
  <c r="I56" i="22" s="1"/>
  <c r="V75" i="22" a="1"/>
  <c r="Y84" i="22" a="1"/>
  <c r="Z71" i="22" l="1" a="1"/>
  <c r="Z71" i="22" s="1"/>
  <c r="F71" i="22" s="1"/>
  <c r="G71" i="22" a="1"/>
  <c r="G71" i="22" s="1"/>
  <c r="C71" i="22" a="1"/>
  <c r="C71" i="22" s="1"/>
  <c r="AC71" i="22" a="1"/>
  <c r="AC71" i="22" s="1"/>
  <c r="H71" i="22" a="1"/>
  <c r="H71" i="22" s="1"/>
  <c r="B71" i="22" a="1"/>
  <c r="B71" i="22" s="1"/>
  <c r="AB71" i="22" a="1"/>
  <c r="AB71" i="22" s="1"/>
  <c r="AF71" i="22" a="1"/>
  <c r="AF71" i="22" s="1"/>
  <c r="AD71" i="22" a="1"/>
  <c r="AD71" i="22" s="1"/>
  <c r="V75" i="22"/>
  <c r="Q75" i="22" a="1"/>
  <c r="Q75" i="22" s="1"/>
  <c r="Y84" i="22"/>
  <c r="S84" i="22"/>
  <c r="T84" i="22" s="1"/>
  <c r="M85" i="22" s="1" a="1"/>
  <c r="M85" i="22" s="1"/>
  <c r="A84" i="22"/>
  <c r="Z84" i="22" s="1" a="1"/>
  <c r="AG84" i="22" a="1"/>
  <c r="AG84" i="22" s="1"/>
  <c r="I57" i="22" a="1"/>
  <c r="I57" i="22" s="1"/>
  <c r="P75" i="22" a="1"/>
  <c r="Y75" i="22" a="1"/>
  <c r="U84" i="22" a="1"/>
  <c r="D71" i="22" l="1"/>
  <c r="Y75" i="22"/>
  <c r="P75" i="22"/>
  <c r="S75" i="22" s="1"/>
  <c r="T75" i="22" s="1"/>
  <c r="A75" i="22"/>
  <c r="AA75" i="22" s="1" a="1"/>
  <c r="AA75" i="22" s="1"/>
  <c r="AG75" i="22" a="1"/>
  <c r="AG75" i="22" s="1"/>
  <c r="U84" i="22"/>
  <c r="Z84" i="22"/>
  <c r="F84" i="22" s="1"/>
  <c r="AA84" i="22" a="1"/>
  <c r="AA84" i="22" s="1"/>
  <c r="G84" i="22" a="1"/>
  <c r="G84" i="22" s="1"/>
  <c r="C84" i="22" a="1"/>
  <c r="C84" i="22" s="1"/>
  <c r="H84" i="22" a="1"/>
  <c r="H84" i="22" s="1"/>
  <c r="AC84" i="22" a="1"/>
  <c r="AC84" i="22" s="1"/>
  <c r="AD84" i="22" a="1"/>
  <c r="AD84" i="22" s="1"/>
  <c r="AF84" i="22" a="1"/>
  <c r="AF84" i="22" s="1"/>
  <c r="B84" i="22" a="1"/>
  <c r="B84" i="22" s="1"/>
  <c r="AB84" i="22" a="1"/>
  <c r="AB84" i="22" s="1"/>
  <c r="R85" i="22"/>
  <c r="W85" i="22"/>
  <c r="I58" i="22" a="1"/>
  <c r="I58" i="22" s="1"/>
  <c r="U75" i="22" a="1"/>
  <c r="Z75" i="22" l="1" a="1"/>
  <c r="Z75" i="22" s="1"/>
  <c r="F75" i="22" s="1"/>
  <c r="U75" i="22"/>
  <c r="G75" i="22" a="1"/>
  <c r="G75" i="22" s="1"/>
  <c r="C75" i="22" a="1"/>
  <c r="C75" i="22" s="1"/>
  <c r="B75" i="22" a="1"/>
  <c r="B75" i="22" s="1"/>
  <c r="AB75" i="22" a="1"/>
  <c r="AB75" i="22" s="1"/>
  <c r="AF75" i="22" a="1"/>
  <c r="AF75" i="22" s="1"/>
  <c r="AD75" i="22" a="1"/>
  <c r="AD75" i="22" s="1"/>
  <c r="AC75" i="22" a="1"/>
  <c r="AC75" i="22" s="1"/>
  <c r="H75" i="22" a="1"/>
  <c r="H75" i="22" s="1"/>
  <c r="X85" i="22" a="1"/>
  <c r="X85" i="22" s="1"/>
  <c r="N85" i="22" a="1"/>
  <c r="N85" i="22" s="1"/>
  <c r="O85" i="22" s="1" a="1"/>
  <c r="O85" i="22" s="1"/>
  <c r="P85" i="22" s="1" a="1"/>
  <c r="D84" i="22"/>
  <c r="I59" i="22" a="1"/>
  <c r="I59" i="22" s="1"/>
  <c r="V85" i="22" a="1"/>
  <c r="Y85" i="22" a="1"/>
  <c r="D75" i="22" l="1"/>
  <c r="P85" i="22"/>
  <c r="Y85" i="22"/>
  <c r="V85" i="22"/>
  <c r="Q85" i="22" a="1"/>
  <c r="Q85" i="22" s="1"/>
  <c r="I60" i="22" a="1"/>
  <c r="I60" i="22" s="1"/>
  <c r="U85" i="22" a="1"/>
  <c r="U85" i="22" l="1"/>
  <c r="A85" i="22"/>
  <c r="Z85" i="22" s="1" a="1"/>
  <c r="AG85" i="22" a="1"/>
  <c r="AG85" i="22" s="1"/>
  <c r="S85" i="22"/>
  <c r="T85" i="22" s="1"/>
  <c r="M86" i="22" s="1" a="1"/>
  <c r="M86" i="22" s="1"/>
  <c r="I61" i="22" a="1"/>
  <c r="I61" i="22" s="1"/>
  <c r="R86" i="22" l="1"/>
  <c r="W86" i="22"/>
  <c r="Z85" i="22"/>
  <c r="F85" i="22" s="1"/>
  <c r="AA85" i="22" a="1"/>
  <c r="AA85" i="22" s="1"/>
  <c r="H85" i="22" a="1"/>
  <c r="H85" i="22" s="1"/>
  <c r="AC85" i="22" a="1"/>
  <c r="AC85" i="22" s="1"/>
  <c r="AF85" i="22" a="1"/>
  <c r="AF85" i="22" s="1"/>
  <c r="AB85" i="22" a="1"/>
  <c r="AB85" i="22" s="1"/>
  <c r="G85" i="22" a="1"/>
  <c r="G85" i="22" s="1"/>
  <c r="C85" i="22" a="1"/>
  <c r="C85" i="22" s="1"/>
  <c r="B85" i="22" a="1"/>
  <c r="B85" i="22" s="1"/>
  <c r="AD85" i="22" a="1"/>
  <c r="AD85" i="22" s="1"/>
  <c r="I62" i="22" a="1"/>
  <c r="I62" i="22" s="1"/>
  <c r="X86" i="22" l="1" a="1"/>
  <c r="X86" i="22" s="1"/>
  <c r="N86" i="22" a="1"/>
  <c r="N86" i="22" s="1"/>
  <c r="O86" i="22" s="1" a="1"/>
  <c r="O86" i="22" s="1"/>
  <c r="P86" i="22" s="1" a="1"/>
  <c r="D85" i="22"/>
  <c r="I63" i="22" a="1"/>
  <c r="I63" i="22" s="1"/>
  <c r="V86" i="22" a="1"/>
  <c r="Q17" i="24" a="1"/>
  <c r="P86" i="22" l="1"/>
  <c r="V86" i="22"/>
  <c r="Q86" i="22" a="1"/>
  <c r="Q86" i="22" s="1"/>
  <c r="Q17" i="24"/>
  <c r="I64" i="22" a="1"/>
  <c r="I64" i="22" s="1"/>
  <c r="Y86" i="22" a="1"/>
  <c r="C17" i="24" a="1"/>
  <c r="Y86" i="22" l="1"/>
  <c r="A86" i="22"/>
  <c r="Z86" i="22" s="1" a="1"/>
  <c r="AG86" i="22" a="1"/>
  <c r="AG86" i="22" s="1"/>
  <c r="S86" i="22"/>
  <c r="T86" i="22" s="1"/>
  <c r="M87" i="22" s="1" a="1"/>
  <c r="M87" i="22" s="1"/>
  <c r="C17" i="24"/>
  <c r="E17" i="24" a="1"/>
  <c r="E17" i="24" s="1"/>
  <c r="D17" i="24" s="1"/>
  <c r="I65" i="22" a="1"/>
  <c r="I65" i="22" s="1"/>
  <c r="U86" i="22" a="1"/>
  <c r="U86" i="22" l="1"/>
  <c r="W87" i="22"/>
  <c r="R87" i="22"/>
  <c r="Z86" i="22"/>
  <c r="F86" i="22" s="1"/>
  <c r="AA86" i="22" a="1"/>
  <c r="AA86" i="22" s="1"/>
  <c r="AC86" i="22" a="1"/>
  <c r="AC86" i="22" s="1"/>
  <c r="C86" i="22" a="1"/>
  <c r="C86" i="22" s="1"/>
  <c r="B86" i="22" a="1"/>
  <c r="B86" i="22" s="1"/>
  <c r="AB86" i="22" a="1"/>
  <c r="AB86" i="22" s="1"/>
  <c r="AF86" i="22" a="1"/>
  <c r="AF86" i="22" s="1"/>
  <c r="G86" i="22" a="1"/>
  <c r="G86" i="22" s="1"/>
  <c r="H86" i="22" a="1"/>
  <c r="H86" i="22" s="1"/>
  <c r="AD86" i="22" a="1"/>
  <c r="AD86" i="22" s="1"/>
  <c r="A17" i="24"/>
  <c r="I66" i="22" a="1"/>
  <c r="I66" i="22" s="1"/>
  <c r="X87" i="22" l="1" a="1"/>
  <c r="X87" i="22" s="1"/>
  <c r="N87" i="22" a="1"/>
  <c r="N87" i="22" s="1"/>
  <c r="O87" i="22" s="1" a="1"/>
  <c r="O87" i="22" s="1"/>
  <c r="D86" i="22"/>
  <c r="I67" i="22" a="1"/>
  <c r="I67" i="22" s="1"/>
  <c r="Q87" i="22" l="1" a="1"/>
  <c r="Q87" i="22" s="1"/>
  <c r="I68" i="22" a="1"/>
  <c r="I68" i="22" s="1"/>
  <c r="V87" i="22" a="1"/>
  <c r="Y87" i="22" a="1"/>
  <c r="P87" i="22" a="1"/>
  <c r="V87" i="22" l="1"/>
  <c r="Y87" i="22"/>
  <c r="P87" i="22"/>
  <c r="S87" i="22" s="1"/>
  <c r="T87" i="22" s="1"/>
  <c r="M88" i="22" s="1" a="1"/>
  <c r="M88" i="22" s="1"/>
  <c r="I69" i="22" a="1"/>
  <c r="I69" i="22" s="1"/>
  <c r="U87" i="22" a="1"/>
  <c r="W88" i="22" l="1"/>
  <c r="R88" i="22"/>
  <c r="U87" i="22"/>
  <c r="A87" i="22"/>
  <c r="AA87" i="22" s="1" a="1"/>
  <c r="AA87" i="22" s="1"/>
  <c r="AG87" i="22" a="1"/>
  <c r="AG87" i="22" s="1"/>
  <c r="I70" i="22" a="1"/>
  <c r="I70" i="22" s="1"/>
  <c r="N88" i="22" l="1" a="1"/>
  <c r="N88" i="22" s="1"/>
  <c r="O88" i="22" s="1" a="1"/>
  <c r="O88" i="22" s="1"/>
  <c r="X88" i="22" a="1"/>
  <c r="X88" i="22" s="1"/>
  <c r="AB87" i="22" a="1"/>
  <c r="AB87" i="22" s="1"/>
  <c r="B87" i="22" a="1"/>
  <c r="B87" i="22" s="1"/>
  <c r="AD87" i="22" a="1"/>
  <c r="AD87" i="22" s="1"/>
  <c r="C87" i="22" a="1"/>
  <c r="C87" i="22" s="1"/>
  <c r="AC87" i="22" a="1"/>
  <c r="AC87" i="22" s="1"/>
  <c r="G87" i="22" a="1"/>
  <c r="G87" i="22" s="1"/>
  <c r="H87" i="22" a="1"/>
  <c r="H87" i="22" s="1"/>
  <c r="AF87" i="22" a="1"/>
  <c r="AF87" i="22" s="1"/>
  <c r="I71" i="22" a="1"/>
  <c r="I71" i="22" s="1"/>
  <c r="Y88" i="22" a="1"/>
  <c r="Z87" i="22" a="1"/>
  <c r="Y88" i="22" l="1"/>
  <c r="Q88" i="22" a="1"/>
  <c r="Q88" i="22" s="1"/>
  <c r="Z87" i="22"/>
  <c r="F87" i="22" s="1"/>
  <c r="D87" i="22"/>
  <c r="I72" i="22" a="1"/>
  <c r="I72" i="22" s="1"/>
  <c r="U88" i="22" a="1"/>
  <c r="V88" i="22" a="1"/>
  <c r="P88" i="22" a="1"/>
  <c r="P88" i="22" l="1"/>
  <c r="S88" i="22" s="1"/>
  <c r="T88" i="22" s="1"/>
  <c r="M89" i="22" s="1" a="1"/>
  <c r="M89" i="22" s="1"/>
  <c r="V88" i="22"/>
  <c r="U88" i="22"/>
  <c r="I73" i="22" a="1"/>
  <c r="I73" i="22" s="1"/>
  <c r="AG88" i="22" l="1" a="1"/>
  <c r="AG88" i="22" s="1"/>
  <c r="A88" i="22"/>
  <c r="AA88" i="22" s="1" a="1"/>
  <c r="AA88" i="22" s="1"/>
  <c r="W89" i="22"/>
  <c r="R89" i="22"/>
  <c r="R100" i="22"/>
  <c r="R94" i="22"/>
  <c r="R90" i="22"/>
  <c r="R93" i="22"/>
  <c r="R98" i="22"/>
  <c r="R92" i="22"/>
  <c r="R91" i="22"/>
  <c r="R96" i="22"/>
  <c r="R97" i="22"/>
  <c r="R99" i="22"/>
  <c r="R101" i="22"/>
  <c r="R95" i="22"/>
  <c r="I74" i="22" a="1"/>
  <c r="I74" i="22" s="1"/>
  <c r="X89" i="22" l="1" a="1"/>
  <c r="X89" i="22" s="1"/>
  <c r="N89" i="22" a="1"/>
  <c r="N89" i="22" s="1"/>
  <c r="O89" i="22" s="1" a="1"/>
  <c r="O89" i="22" s="1"/>
  <c r="H88" i="22" a="1"/>
  <c r="H88" i="22" s="1"/>
  <c r="AF88" i="22" a="1"/>
  <c r="AF88" i="22" s="1"/>
  <c r="AB88" i="22" a="1"/>
  <c r="AB88" i="22" s="1"/>
  <c r="C88" i="22" a="1"/>
  <c r="C88" i="22" s="1"/>
  <c r="AC88" i="22" a="1"/>
  <c r="AC88" i="22" s="1"/>
  <c r="B88" i="22" a="1"/>
  <c r="B88" i="22" s="1"/>
  <c r="AD88" i="22" a="1"/>
  <c r="AD88" i="22" s="1"/>
  <c r="G88" i="22" a="1"/>
  <c r="G88" i="22" s="1"/>
  <c r="I75" i="22" a="1"/>
  <c r="I75" i="22" s="1"/>
  <c r="Z88" i="22" a="1"/>
  <c r="V89" i="22" a="1"/>
  <c r="V89" i="22" l="1"/>
  <c r="Z88" i="22"/>
  <c r="F88" i="22" s="1"/>
  <c r="Q89" i="22" a="1"/>
  <c r="Q89" i="22" s="1"/>
  <c r="D88" i="22"/>
  <c r="I76" i="22" a="1"/>
  <c r="I76" i="22" s="1"/>
  <c r="P89" i="22" a="1"/>
  <c r="Y89" i="22" a="1"/>
  <c r="Y89" i="22" l="1"/>
  <c r="P89" i="22"/>
  <c r="S89" i="22" s="1"/>
  <c r="T89" i="22" s="1"/>
  <c r="A89" i="22"/>
  <c r="AA89" i="22" s="1" a="1"/>
  <c r="AA89" i="22" s="1"/>
  <c r="AG89" i="22" a="1"/>
  <c r="AG89" i="22" s="1"/>
  <c r="I77" i="22" a="1"/>
  <c r="I77" i="22" s="1"/>
  <c r="U89" i="22" a="1"/>
  <c r="U89" i="22" l="1"/>
  <c r="B89" i="22" a="1"/>
  <c r="B89" i="22" s="1"/>
  <c r="AB89" i="22" a="1"/>
  <c r="AB89" i="22" s="1"/>
  <c r="C89" i="22" a="1"/>
  <c r="C89" i="22" s="1"/>
  <c r="AF89" i="22" a="1"/>
  <c r="AF89" i="22" s="1"/>
  <c r="G89" i="22" a="1"/>
  <c r="G89" i="22" s="1"/>
  <c r="H89" i="22" a="1"/>
  <c r="H89" i="22" s="1"/>
  <c r="AC89" i="22" a="1"/>
  <c r="AC89" i="22" s="1"/>
  <c r="AD89" i="22" a="1"/>
  <c r="AD89" i="22" s="1"/>
  <c r="J3" i="19" a="1"/>
  <c r="J3" i="19" s="1"/>
  <c r="C2" i="32" s="1" a="1"/>
  <c r="C2" i="32" s="1"/>
  <c r="I78" i="22" a="1"/>
  <c r="I78" i="22" s="1"/>
  <c r="Z89" i="22" a="1"/>
  <c r="D89" i="22" l="1"/>
  <c r="Z89" i="22"/>
  <c r="F89" i="22" s="1"/>
  <c r="I79" i="22" a="1"/>
  <c r="I79" i="22" s="1"/>
  <c r="I80" i="22" l="1" a="1"/>
  <c r="I80" i="22" s="1"/>
  <c r="I81" i="22" l="1" a="1"/>
  <c r="I81" i="22" s="1"/>
  <c r="I82" i="22" l="1" a="1"/>
  <c r="I82" i="22" s="1"/>
  <c r="I83" i="22" l="1" a="1"/>
  <c r="I83" i="22" s="1"/>
  <c r="I84" i="22" l="1" a="1"/>
  <c r="I84" i="22" s="1"/>
  <c r="I85" i="22" l="1" a="1"/>
  <c r="I85" i="22" s="1"/>
  <c r="I86" i="22" l="1" a="1"/>
  <c r="I86" i="22" s="1"/>
  <c r="I87" i="22" s="1" a="1"/>
  <c r="I87" i="22" s="1"/>
  <c r="I88" i="22" s="1" a="1"/>
  <c r="I88" i="22" s="1"/>
  <c r="I89" i="22" s="1" a="1"/>
  <c r="I89" i="22" s="1"/>
  <c r="I90" i="22" s="1" a="1"/>
  <c r="I90" i="22" s="1"/>
  <c r="I91" i="22" s="1" a="1"/>
  <c r="I91" i="22" s="1"/>
  <c r="I92" i="22" s="1" a="1"/>
  <c r="I92" i="22" s="1"/>
  <c r="I93" i="22" s="1" a="1"/>
  <c r="I93" i="22" s="1"/>
  <c r="I94" i="22" s="1" a="1"/>
  <c r="I94" i="22" s="1"/>
  <c r="I95" i="22" s="1" a="1"/>
  <c r="I95" i="22" s="1"/>
  <c r="I96" i="22" s="1" a="1"/>
  <c r="I96" i="22" s="1"/>
  <c r="I97" i="22" s="1" a="1"/>
  <c r="I97" i="22" s="1"/>
  <c r="I98" i="22" s="1" a="1"/>
  <c r="I98" i="22" s="1"/>
  <c r="I99" i="22" s="1" a="1"/>
  <c r="I99" i="22" s="1"/>
  <c r="I100" i="22" s="1" a="1"/>
  <c r="I100" i="22" s="1"/>
  <c r="I101" i="22" s="1" a="1"/>
  <c r="I101" i="22" s="1"/>
  <c r="C9" i="30" a="1"/>
  <c r="C9" i="3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<sst xmlns="http://schemas.openxmlformats.org/spreadsheetml/2006/main" count="2739" uniqueCount="1784">
  <si>
    <t>Impact Rating</t>
  </si>
  <si>
    <t>Required Attack Potential</t>
  </si>
  <si>
    <t xml:space="preserve">   Safety</t>
  </si>
  <si>
    <t>Comment</t>
  </si>
  <si>
    <t>Worst case impact for loss of confidentiality</t>
  </si>
  <si>
    <t>Worst case impact for loss of availability</t>
  </si>
  <si>
    <t>Worst case impact for loss of integrity</t>
  </si>
  <si>
    <t>Physical communication</t>
  </si>
  <si>
    <t>Logical communication</t>
  </si>
  <si>
    <t>Hardware interfaces and accessibility</t>
  </si>
  <si>
    <t>Yes</t>
  </si>
  <si>
    <t>No</t>
  </si>
  <si>
    <t>The person affected can be significantly impaired in his or her social status or economic circumstances</t>
  </si>
  <si>
    <t>The person affected can be ruinously impaired in his social status and economic circumstances. The freedom of the person concerned is threatened</t>
  </si>
  <si>
    <t>Personal data (low)</t>
  </si>
  <si>
    <t>Personal data (significant)</t>
  </si>
  <si>
    <t>Personal data (ruinous)</t>
  </si>
  <si>
    <t>Low</t>
  </si>
  <si>
    <t>High</t>
  </si>
  <si>
    <t>Critical</t>
  </si>
  <si>
    <t>IP (slightly innovative)</t>
  </si>
  <si>
    <t>Loss of general idea how product works or low impact on markets (little innovation / very small market)</t>
  </si>
  <si>
    <t>IP (moderately innovative)</t>
  </si>
  <si>
    <t>Relevant aspects of system is comprehensible or moderate impact on markets (some innovation in the product / medium size market)</t>
  </si>
  <si>
    <t>Medium</t>
  </si>
  <si>
    <t>IP (highly innovative)</t>
  </si>
  <si>
    <t>Can be copied / technology available or high impact on markets (highly innovative product / high-volume market)</t>
  </si>
  <si>
    <t>&lt; 200.000 EUR</t>
  </si>
  <si>
    <t>Rationale / provide details on the processed data</t>
  </si>
  <si>
    <t>Potentially dangerous situation</t>
  </si>
  <si>
    <t>Light or moderate injury</t>
  </si>
  <si>
    <t>Severe injury (survival probable)</t>
  </si>
  <si>
    <t>Life-threatening injury</t>
  </si>
  <si>
    <t>Disturbance</t>
  </si>
  <si>
    <t>Minor disturbance, customer can quickly fix issue himself (e.g. reset)</t>
  </si>
  <si>
    <t>Service required</t>
  </si>
  <si>
    <t>Disturbance of function, service required</t>
  </si>
  <si>
    <t>Major disturbance</t>
  </si>
  <si>
    <t>Major disturbance of function</t>
  </si>
  <si>
    <t>Critical disturbance (destruction)</t>
  </si>
  <si>
    <t>Accept</t>
  </si>
  <si>
    <t>Avoid</t>
  </si>
  <si>
    <t>Transfer</t>
  </si>
  <si>
    <t>Mitigate</t>
  </si>
  <si>
    <t>ET</t>
  </si>
  <si>
    <t>EX</t>
  </si>
  <si>
    <t>KT</t>
  </si>
  <si>
    <t>WO</t>
  </si>
  <si>
    <t>EQ</t>
  </si>
  <si>
    <t>Local network gateway</t>
  </si>
  <si>
    <t>Internet-facing gateway</t>
  </si>
  <si>
    <t>Does the product have any connectivity?</t>
  </si>
  <si>
    <t>Damage Scenario</t>
  </si>
  <si>
    <t>ID</t>
  </si>
  <si>
    <t>Shadow ID</t>
  </si>
  <si>
    <t>Question</t>
  </si>
  <si>
    <t>Personal data</t>
  </si>
  <si>
    <t>Intellectual property</t>
  </si>
  <si>
    <t>Financial and legal</t>
  </si>
  <si>
    <t>Safety</t>
  </si>
  <si>
    <t>Function and availability</t>
  </si>
  <si>
    <t>Personal data / IP</t>
  </si>
  <si>
    <t/>
  </si>
  <si>
    <t>Is the product typically installed in a physically accessible position?</t>
  </si>
  <si>
    <t>Indentation</t>
  </si>
  <si>
    <t>Can a manipulated product (or its communication) endanger the health of people? Also consider cases where the product is used against its intended use or misconfigured!</t>
  </si>
  <si>
    <t>Can a manipulated product disclose personal data to an attacker? Also consider cases where the product is used against its intended use or misconfigured!</t>
  </si>
  <si>
    <t>Can a manipulated product disclose intellectual property to an attacker? Also consider cases where the product is used against its intended use or misconfigured!</t>
  </si>
  <si>
    <t>Can a manipulated product allow an attacker access to assets of the customer or allow the attacker to attack the customer's network?</t>
  </si>
  <si>
    <t>Does the product have a point-to-point connection to another device?</t>
  </si>
  <si>
    <t>Does the product have a direct connection to a local network?</t>
  </si>
  <si>
    <t>Does the product support wireless connections?</t>
  </si>
  <si>
    <t>Does the product have a direct connection to a mobile network / the Internet?</t>
  </si>
  <si>
    <t>Does the product offer services to other entities on the network?</t>
  </si>
  <si>
    <t>Does the product offer a configuration interface?</t>
  </si>
  <si>
    <t>Does the product have an IP stack (or another routable protocol)?</t>
  </si>
  <si>
    <t>Can the product's software be updated over an interface?</t>
  </si>
  <si>
    <t>Line Width</t>
  </si>
  <si>
    <t>SUM</t>
  </si>
  <si>
    <t>Basic</t>
  </si>
  <si>
    <t>Enhanced-Basic</t>
  </si>
  <si>
    <t>Moderate</t>
  </si>
  <si>
    <t>Beyond High</t>
  </si>
  <si>
    <t>The product has a USB-C interface where a camera might get attached, but does not provide a camera on its own.</t>
  </si>
  <si>
    <t>The data can be written by the customer, consequently, private data might be processed.</t>
  </si>
  <si>
    <t>Patented, but not highly innovative.</t>
  </si>
  <si>
    <t>If the product is used in safety-related use cases, then the product is used against the intended use.</t>
  </si>
  <si>
    <t>Production halted, …</t>
  </si>
  <si>
    <t>Luggage moved to the wrong airplanes, damaged production site caused by attempt to assemble a vehicle incorrectly, …</t>
  </si>
  <si>
    <t>Even in hospitals, this is not plausible, as the AGVs only move items to people who are then responsible for distributing them to the patients.</t>
  </si>
  <si>
    <t>Not the intended use of the product.</t>
  </si>
  <si>
    <t>The device reads RFID tags and has a network interface.</t>
  </si>
  <si>
    <t>See above.</t>
  </si>
  <si>
    <t>Communication partners within a production site, consequently trusted.</t>
  </si>
  <si>
    <t>RF communication between sensor and tag. Additionally WLAN.
Communication partners within a production site, consequently trusted.</t>
  </si>
  <si>
    <t>Only when plugged in to USB-C by the customer.</t>
  </si>
  <si>
    <t>OPC UA (currently planned to act as the server).</t>
  </si>
  <si>
    <t>User name + password, protected with cerficates in the OPC UA case.</t>
  </si>
  <si>
    <t>The data in the tags can be defined arbitrarily.</t>
  </si>
  <si>
    <t>TCP/IP, USB, SD Card.
A secure firmware update provided by SICK is currently in planning.</t>
  </si>
  <si>
    <t>Customer's site</t>
  </si>
  <si>
    <t>Direct wireless communication (see above).</t>
  </si>
  <si>
    <t>Potentially next to tracks, in some cases it might be harder to access.</t>
  </si>
  <si>
    <t>Physically only accessible within the device, not externally available except for potentially the USB interface.</t>
  </si>
  <si>
    <t>Row</t>
  </si>
  <si>
    <t>Attack Path</t>
  </si>
  <si>
    <t>AS1</t>
  </si>
  <si>
    <t>Attack Step</t>
  </si>
  <si>
    <t>AS2</t>
  </si>
  <si>
    <t>AS3</t>
  </si>
  <si>
    <t>AS4</t>
  </si>
  <si>
    <t>AS5</t>
  </si>
  <si>
    <t>AS6</t>
  </si>
  <si>
    <t>AS7</t>
  </si>
  <si>
    <t>Interrupting the product with a denial of service attack</t>
  </si>
  <si>
    <t>Eavesdropping on the product's communication</t>
  </si>
  <si>
    <t>Disrupting the product's communication over the wireless network</t>
  </si>
  <si>
    <t>Prep IDs</t>
  </si>
  <si>
    <t>AS8</t>
  </si>
  <si>
    <t>Answers</t>
  </si>
  <si>
    <t>Answer Search</t>
  </si>
  <si>
    <t>AS9</t>
  </si>
  <si>
    <t>AS10</t>
  </si>
  <si>
    <t>Spoofing / tampering with the product's outgoing communication</t>
  </si>
  <si>
    <t>Spoofing / tampering with the product's incoming communication</t>
  </si>
  <si>
    <t>Attacking devices in the customer's network</t>
  </si>
  <si>
    <t>AS11</t>
  </si>
  <si>
    <t>Denial of Service on the customer's network</t>
  </si>
  <si>
    <t>AS12</t>
  </si>
  <si>
    <t>Creates Attack Paths</t>
  </si>
  <si>
    <t>AS13</t>
  </si>
  <si>
    <t>Elapsed Time</t>
  </si>
  <si>
    <t>&lt;= one day</t>
  </si>
  <si>
    <t xml:space="preserve"> &lt;= one week</t>
  </si>
  <si>
    <t>&lt;= one month</t>
  </si>
  <si>
    <t>&lt;= six months</t>
  </si>
  <si>
    <t>Years</t>
  </si>
  <si>
    <t>Decades</t>
  </si>
  <si>
    <t>Expertise</t>
  </si>
  <si>
    <t>Layman</t>
  </si>
  <si>
    <t>Proficient</t>
  </si>
  <si>
    <t>Expert</t>
  </si>
  <si>
    <t>Multiple experts</t>
  </si>
  <si>
    <t>Knowledge of TOE</t>
  </si>
  <si>
    <t>Public</t>
  </si>
  <si>
    <t>Restricted</t>
  </si>
  <si>
    <t>Sensitive</t>
  </si>
  <si>
    <t>Window of Opportunity</t>
  </si>
  <si>
    <t>Unnecessary / unlimited access</t>
  </si>
  <si>
    <t>Easy</t>
  </si>
  <si>
    <t>Difficult</t>
  </si>
  <si>
    <t>None</t>
  </si>
  <si>
    <t>Equipment</t>
  </si>
  <si>
    <t>Standard</t>
  </si>
  <si>
    <t>Specialized</t>
  </si>
  <si>
    <t>Bespoke</t>
  </si>
  <si>
    <t>Multiple bespoke</t>
  </si>
  <si>
    <t>Damage Scenarios</t>
  </si>
  <si>
    <t>DS1</t>
  </si>
  <si>
    <t>DS2</t>
  </si>
  <si>
    <t>DS3</t>
  </si>
  <si>
    <t>DS4</t>
  </si>
  <si>
    <t>DS5</t>
  </si>
  <si>
    <t>DS6</t>
  </si>
  <si>
    <t>DS7</t>
  </si>
  <si>
    <t>DS8</t>
  </si>
  <si>
    <t>DS9</t>
  </si>
  <si>
    <t>DS10</t>
  </si>
  <si>
    <t>DS11</t>
  </si>
  <si>
    <t>DS12</t>
  </si>
  <si>
    <t>DS13</t>
  </si>
  <si>
    <t>DS14</t>
  </si>
  <si>
    <t>DS15</t>
  </si>
  <si>
    <t>DS16</t>
  </si>
  <si>
    <t>Active Damage Scenarios</t>
  </si>
  <si>
    <t>Active DS</t>
  </si>
  <si>
    <t>R ID</t>
  </si>
  <si>
    <t>AP Shadow ID</t>
  </si>
  <si>
    <t># APs</t>
  </si>
  <si>
    <t>Active AP #</t>
  </si>
  <si>
    <t>Attack Paths Row</t>
  </si>
  <si>
    <t>Attack Paths String</t>
  </si>
  <si>
    <t>Last AP?</t>
  </si>
  <si>
    <t>Active AP</t>
  </si>
  <si>
    <t>DS IDs</t>
  </si>
  <si>
    <t>Immaterial</t>
  </si>
  <si>
    <t>Very High</t>
  </si>
  <si>
    <t>Damage Level</t>
  </si>
  <si>
    <t>RAP</t>
  </si>
  <si>
    <t>Risk Level</t>
  </si>
  <si>
    <t>DL</t>
  </si>
  <si>
    <t>Required Attack Potential - Factors</t>
  </si>
  <si>
    <t>Risk Matrix</t>
  </si>
  <si>
    <t>Damage Levels</t>
  </si>
  <si>
    <t>Yes / No</t>
  </si>
  <si>
    <t>Risk Values</t>
  </si>
  <si>
    <t>Proficient: The attacker needs a basic understanding of denial of service attacks</t>
  </si>
  <si>
    <t>Proficient: The attacker needs a basic understanding of the transmission protocol and sniffing tools</t>
  </si>
  <si>
    <t>The effort is similar to AS3, but can potentially be conducted in less time</t>
  </si>
  <si>
    <t>Specialized: Equipment to disrupt wireless transmissions</t>
  </si>
  <si>
    <t>Proficient: Without additional knowledge of the untrusted network, only some expertise might be required
Easy: The attacker needs access to the wireless network (note that this does not include mobile networks / the Internet, as these are featured in another question)</t>
  </si>
  <si>
    <t>AS14</t>
  </si>
  <si>
    <t>AS15</t>
  </si>
  <si>
    <t>AS16</t>
  </si>
  <si>
    <t>AS17</t>
  </si>
  <si>
    <t>AS18</t>
  </si>
  <si>
    <t>Disrupting the product's communication over the local network</t>
  </si>
  <si>
    <t>Depending on the software used to communicate over the Internet / mobile network, exploits might be easily applicable for attackers with basic knowledge</t>
  </si>
  <si>
    <t>Attack Step Causing Damages</t>
  </si>
  <si>
    <t>ET-val</t>
  </si>
  <si>
    <t>EX-val</t>
  </si>
  <si>
    <t>KT-val</t>
  </si>
  <si>
    <t>WO-val</t>
  </si>
  <si>
    <t>EQ-val</t>
  </si>
  <si>
    <t>A1</t>
  </si>
  <si>
    <t>A2</t>
  </si>
  <si>
    <t>Choices</t>
  </si>
  <si>
    <t>Name</t>
  </si>
  <si>
    <t>Description</t>
  </si>
  <si>
    <t>Options</t>
  </si>
  <si>
    <t>Risk Treatment</t>
  </si>
  <si>
    <t>Type of gateway</t>
  </si>
  <si>
    <t>Value</t>
  </si>
  <si>
    <t># Characters</t>
  </si>
  <si>
    <t>Threshold</t>
  </si>
  <si>
    <t>Class</t>
  </si>
  <si>
    <t>Factor</t>
  </si>
  <si>
    <t>Class ID</t>
  </si>
  <si>
    <t>Key Word:</t>
  </si>
  <si>
    <t>Element</t>
  </si>
  <si>
    <t>Task ID</t>
  </si>
  <si>
    <t>Sheet ID Link</t>
  </si>
  <si>
    <t>Sheet Name Link</t>
  </si>
  <si>
    <t>Sheet Comment Link</t>
  </si>
  <si>
    <t>Sheet Task ID Link</t>
  </si>
  <si>
    <t>Sheet Name</t>
  </si>
  <si>
    <t>ID Column</t>
  </si>
  <si>
    <t>Name Column</t>
  </si>
  <si>
    <t>Comment Column</t>
  </si>
  <si>
    <t>Task ID Column</t>
  </si>
  <si>
    <t>Number of Tasks</t>
  </si>
  <si>
    <t>Task #</t>
  </si>
  <si>
    <t>Task Sheet Shadow ID</t>
  </si>
  <si>
    <t>Task Sheet ID</t>
  </si>
  <si>
    <t>Final Entry?</t>
  </si>
  <si>
    <t>Element Text</t>
  </si>
  <si>
    <t>Comment Text</t>
  </si>
  <si>
    <t>Element Row</t>
  </si>
  <si>
    <t>Header Row</t>
  </si>
  <si>
    <t>Target of Evaluation</t>
  </si>
  <si>
    <t>Template Version History</t>
  </si>
  <si>
    <t>Date</t>
  </si>
  <si>
    <t>Changes</t>
  </si>
  <si>
    <t>Author</t>
  </si>
  <si>
    <t>R1</t>
  </si>
  <si>
    <t>R1-3</t>
  </si>
  <si>
    <t>R1-4</t>
  </si>
  <si>
    <t>R1-5</t>
  </si>
  <si>
    <t>R1-6</t>
  </si>
  <si>
    <t>R1-7</t>
  </si>
  <si>
    <t>R8</t>
  </si>
  <si>
    <t>R1-3-10</t>
  </si>
  <si>
    <t>R1-3-11</t>
  </si>
  <si>
    <t>R1-16</t>
  </si>
  <si>
    <t>All IDs</t>
  </si>
  <si>
    <t># Risks:</t>
  </si>
  <si>
    <t>All IDs Risk Generator:</t>
  </si>
  <si>
    <t>All IDs Risks:</t>
  </si>
  <si>
    <t>Open IDs:</t>
  </si>
  <si>
    <t>Assumption</t>
  </si>
  <si>
    <t>The camera's field of view never includes areas where people are located.</t>
  </si>
  <si>
    <t>The device's operational environment is trustworthy and not compromised by an attacker.</t>
  </si>
  <si>
    <t>A3</t>
  </si>
  <si>
    <t>The device's communication partner is trustworthy and not compromised by an attacker.</t>
  </si>
  <si>
    <t>Countermeasure</t>
  </si>
  <si>
    <t>C1</t>
  </si>
  <si>
    <t>Attack Steps</t>
  </si>
  <si>
    <t>C2</t>
  </si>
  <si>
    <t>Countermeasures and Assumptions</t>
  </si>
  <si>
    <t>Proposed Countermeasures and Assumptions</t>
  </si>
  <si>
    <t>C and A IDs</t>
  </si>
  <si>
    <t>AS IDs</t>
  </si>
  <si>
    <t>Countermeasures</t>
  </si>
  <si>
    <t>Attack Step Search</t>
  </si>
  <si>
    <t># Countermeasures:</t>
  </si>
  <si>
    <t>Countermeasure IDs</t>
  </si>
  <si>
    <t>AS ID</t>
  </si>
  <si>
    <t>Highest Risk with this
Attack Step</t>
  </si>
  <si>
    <t>AP Search</t>
  </si>
  <si>
    <t>Risk Level Value</t>
  </si>
  <si>
    <t>Risks</t>
  </si>
  <si>
    <t>C-ET</t>
  </si>
  <si>
    <t>C-EX</t>
  </si>
  <si>
    <t>C-KT</t>
  </si>
  <si>
    <t>C-WO</t>
  </si>
  <si>
    <t>C-EQ</t>
  </si>
  <si>
    <t>C-ET-val</t>
  </si>
  <si>
    <t>C-EX-val</t>
  </si>
  <si>
    <t>C-KT-val</t>
  </si>
  <si>
    <t>C-WO-val</t>
  </si>
  <si>
    <t>C-EQ-val</t>
  </si>
  <si>
    <t>Selected Countermeasures</t>
  </si>
  <si>
    <t>C&amp;A Search</t>
  </si>
  <si>
    <t># Attack Steps:</t>
  </si>
  <si>
    <t>N-ET</t>
  </si>
  <si>
    <t>N-EX</t>
  </si>
  <si>
    <t>N-KT</t>
  </si>
  <si>
    <t>N-WO</t>
  </si>
  <si>
    <t>N-EQ</t>
  </si>
  <si>
    <t>N-ET-val</t>
  </si>
  <si>
    <t>N-EX-val</t>
  </si>
  <si>
    <t>N-KT-val</t>
  </si>
  <si>
    <t>N-WO-val</t>
  </si>
  <si>
    <t>N-EQ-val</t>
  </si>
  <si>
    <t>N-SUM</t>
  </si>
  <si>
    <t>N-RAP</t>
  </si>
  <si>
    <t>N-Risk Level</t>
  </si>
  <si>
    <t>N-Risk</t>
  </si>
  <si>
    <t>N-Risk Value</t>
  </si>
  <si>
    <t>Dominating Attack Paths</t>
  </si>
  <si>
    <t xml:space="preserve">Dominating Attack Paths </t>
  </si>
  <si>
    <t>Dominating Risks Initial</t>
  </si>
  <si>
    <t>Q IDs</t>
  </si>
  <si>
    <t>Sending manipulated or malicious data to the product (from an untrusted source)</t>
  </si>
  <si>
    <t>Abusing the software update functionality to manipulate the product</t>
  </si>
  <si>
    <t>AS19</t>
  </si>
  <si>
    <t>AS20</t>
  </si>
  <si>
    <t>Providing a malicious software update from an untrusted source</t>
  </si>
  <si>
    <t>AS19, AS20</t>
  </si>
  <si>
    <t>Spoofing an entity sending a software update or manipulation of the update during transmission</t>
  </si>
  <si>
    <t>The attacker needs time, expertise and knowledge to provide a manipulated software update</t>
  </si>
  <si>
    <t>AS21</t>
  </si>
  <si>
    <t>AS22</t>
  </si>
  <si>
    <t>Gaining physical access to the product (3rd party)</t>
  </si>
  <si>
    <t>Gaining physical access to the product (customer)</t>
  </si>
  <si>
    <t>AS23</t>
  </si>
  <si>
    <t>AS21, AS22</t>
  </si>
  <si>
    <t>AS24</t>
  </si>
  <si>
    <t>The area where the product is located is protected against unauthorized access.</t>
  </si>
  <si>
    <t>A4</t>
  </si>
  <si>
    <t>A5</t>
  </si>
  <si>
    <t>The area where the product's communication media are located is protected against unauthorized access.</t>
  </si>
  <si>
    <t>AS25</t>
  </si>
  <si>
    <t>Accessing the product's debug interfaces remotely</t>
  </si>
  <si>
    <t>AS26</t>
  </si>
  <si>
    <t>Prerequisite Attack Steps</t>
  </si>
  <si>
    <t>Active  Based on Answers?</t>
  </si>
  <si>
    <t>Required answers for this attack step</t>
  </si>
  <si>
    <t>Accessing the product's physical debug interfaces</t>
  </si>
  <si>
    <t>R17</t>
  </si>
  <si>
    <t>R19-18</t>
  </si>
  <si>
    <t>R19</t>
  </si>
  <si>
    <t>R21</t>
  </si>
  <si>
    <t>R22</t>
  </si>
  <si>
    <t>R21-23</t>
  </si>
  <si>
    <t>R22-23</t>
  </si>
  <si>
    <t>R21-24</t>
  </si>
  <si>
    <t>R22-24</t>
  </si>
  <si>
    <t>R21-26</t>
  </si>
  <si>
    <t>R22-26</t>
  </si>
  <si>
    <t>AS27</t>
  </si>
  <si>
    <t>Getting physical access to the product's linked communication media (e.g., field buses)</t>
  </si>
  <si>
    <t>The attacker needs to access the communication medium physically with appropriate equipment</t>
  </si>
  <si>
    <t>Assumptions</t>
  </si>
  <si>
    <t># Assumptions:</t>
  </si>
  <si>
    <t>AS28</t>
  </si>
  <si>
    <t>Getting access to a trusted entity</t>
  </si>
  <si>
    <t>A6</t>
  </si>
  <si>
    <t>C3</t>
  </si>
  <si>
    <t>C4</t>
  </si>
  <si>
    <t>Stakeholder</t>
  </si>
  <si>
    <t>Stakeholders</t>
  </si>
  <si>
    <t>Customer</t>
  </si>
  <si>
    <t>Other (see comment)</t>
  </si>
  <si>
    <t>Stakeholder Names</t>
  </si>
  <si>
    <t>A7</t>
  </si>
  <si>
    <t>A8</t>
  </si>
  <si>
    <t>A9</t>
  </si>
  <si>
    <t>A10</t>
  </si>
  <si>
    <t>A11</t>
  </si>
  <si>
    <t>A12</t>
  </si>
  <si>
    <t>A13</t>
  </si>
  <si>
    <t>A14</t>
  </si>
  <si>
    <t>A15</t>
  </si>
  <si>
    <t>A16</t>
  </si>
  <si>
    <t>A17</t>
  </si>
  <si>
    <t>A18</t>
  </si>
  <si>
    <t>A19</t>
  </si>
  <si>
    <t>Note that this assumption does not exclude damage scenarios for information disclosure, it just states that no immediate damages arise from a violation of laws or contracts. Also note that privacy is handled on its own.</t>
  </si>
  <si>
    <t>A20</t>
  </si>
  <si>
    <t>The camera data is handled in compliance to data protection regulations (e.g., GDPR) by the customer.</t>
  </si>
  <si>
    <t>The product is not intended to process personal data.</t>
  </si>
  <si>
    <t>There are no legal or contractual obligations, with the possible exception of privacy-related issues, to keep the data processed / stored by the product confidential.</t>
  </si>
  <si>
    <t>The product is not intended to be applied in safety-relevant use cases.</t>
  </si>
  <si>
    <t>The product is not used to prevent / control access to assets.</t>
  </si>
  <si>
    <t>There are no contract-related fines if the product stops working at the customer's site.</t>
  </si>
  <si>
    <t>There are no legal or contractual fines if the product gets manipulated.</t>
  </si>
  <si>
    <t># Active AS:</t>
  </si>
  <si>
    <t>A14, A15</t>
  </si>
  <si>
    <t>C5</t>
  </si>
  <si>
    <t>C6</t>
  </si>
  <si>
    <t>C7</t>
  </si>
  <si>
    <t>C8</t>
  </si>
  <si>
    <t>C9</t>
  </si>
  <si>
    <t>C10</t>
  </si>
  <si>
    <t>C11</t>
  </si>
  <si>
    <t>C12</t>
  </si>
  <si>
    <t>C13</t>
  </si>
  <si>
    <t>C14</t>
  </si>
  <si>
    <t>C15</t>
  </si>
  <si>
    <t>C16</t>
  </si>
  <si>
    <t>C17</t>
  </si>
  <si>
    <t>C18</t>
  </si>
  <si>
    <t>C19</t>
  </si>
  <si>
    <t>C20</t>
  </si>
  <si>
    <t>C21</t>
  </si>
  <si>
    <t>PR IDs</t>
  </si>
  <si>
    <t>Prerequisites</t>
  </si>
  <si>
    <t>*</t>
  </si>
  <si>
    <t>If the customer is allowed to define passwords, then the customer is responsible for creating secure passwords and for protecting them against unauthorized access.</t>
  </si>
  <si>
    <t>If the customer owns a private key, then the customer is responsible for protecting it against unauthorized access.</t>
  </si>
  <si>
    <t>AS13, AS23, AS25</t>
  </si>
  <si>
    <t>A21</t>
  </si>
  <si>
    <t>If the customer conducts attacks, then only selected damages are in scope of the analysis.</t>
  </si>
  <si>
    <t>DSTs</t>
  </si>
  <si>
    <t>Damage Scenario Transformation</t>
  </si>
  <si>
    <t>Transformed DS IDs</t>
  </si>
  <si>
    <t>Damage Transformation</t>
  </si>
  <si>
    <t>DL after transformation</t>
  </si>
  <si>
    <t>New Damage Level</t>
  </si>
  <si>
    <t>Dependency Search If Active</t>
  </si>
  <si>
    <t>DS17</t>
  </si>
  <si>
    <t>DS18</t>
  </si>
  <si>
    <t>DS6&gt;DS17, DS7&gt;DS17, DS8&gt;DS17, DS9&gt;DS17</t>
  </si>
  <si>
    <t>Disturbance of function until restore</t>
  </si>
  <si>
    <t>Damage Transformation Search If Active</t>
  </si>
  <si>
    <t>Damage Scenario Search If Active</t>
  </si>
  <si>
    <t>Active for Proposal?</t>
  </si>
  <si>
    <t>Active in Risk Treatment?</t>
  </si>
  <si>
    <t>Mitigation Search</t>
  </si>
  <si>
    <t>Explanation Text</t>
  </si>
  <si>
    <t>Related Questions and Answers / Explanation</t>
  </si>
  <si>
    <t>Damage scenario for damage transformation: Restoring a system from a backup takes some time, but prevents longer downtimes</t>
  </si>
  <si>
    <t>DS6&gt;DS18, DS7&gt;DS18, DS8&gt;DS18, DS9&gt;DS18</t>
  </si>
  <si>
    <t>Limited response of the product during DoS attack, recovery afterwards</t>
  </si>
  <si>
    <t>Damage scenario for damage transformation: The product is resistant against DoS attacks and recovers from the attack</t>
  </si>
  <si>
    <t xml:space="preserve">RAP </t>
  </si>
  <si>
    <t xml:space="preserve">Damage Level </t>
  </si>
  <si>
    <t>R27-3</t>
  </si>
  <si>
    <t>R28-3</t>
  </si>
  <si>
    <t>R27-4</t>
  </si>
  <si>
    <t>R28-4</t>
  </si>
  <si>
    <t>R27-5</t>
  </si>
  <si>
    <t>R27-6</t>
  </si>
  <si>
    <t>R27-7</t>
  </si>
  <si>
    <t>R28-7</t>
  </si>
  <si>
    <t>R27-3-10</t>
  </si>
  <si>
    <t>R28-3-10</t>
  </si>
  <si>
    <t>R27-3-11</t>
  </si>
  <si>
    <t>R28-3-11</t>
  </si>
  <si>
    <t>R27-16</t>
  </si>
  <si>
    <t>R28-16</t>
  </si>
  <si>
    <t>R1-25</t>
  </si>
  <si>
    <t>R27-25</t>
  </si>
  <si>
    <t>R28-25</t>
  </si>
  <si>
    <t>R27</t>
  </si>
  <si>
    <t>R28</t>
  </si>
  <si>
    <t>DS1, DS2, DS4, DS5, DS6, DS7, DS8, DS9, DS10, DS11, DS13, DS14, DS15, DS16</t>
  </si>
  <si>
    <t xml:space="preserve">Damage Scenarios </t>
  </si>
  <si>
    <t>C22</t>
  </si>
  <si>
    <t>C23</t>
  </si>
  <si>
    <t>C24</t>
  </si>
  <si>
    <t>AS12, AS17</t>
  </si>
  <si>
    <t>C10, C13, C18</t>
  </si>
  <si>
    <t>C25</t>
  </si>
  <si>
    <t>Risk Treatment Proposal</t>
  </si>
  <si>
    <t>Manual Risk Treatment</t>
  </si>
  <si>
    <t>Risk Treatment Decision</t>
  </si>
  <si>
    <t>Risk Treatment Rationale / Explanation</t>
  </si>
  <si>
    <t>RL Value</t>
  </si>
  <si>
    <t>The customer needs to ensure that a disruption of WLAN connectivity does not impede operations substantially</t>
  </si>
  <si>
    <t>Active Assumption ID</t>
  </si>
  <si>
    <t># Active Assumptions:</t>
  </si>
  <si>
    <t>Is Assumption</t>
  </si>
  <si>
    <t>Active Countermeasure ID</t>
  </si>
  <si>
    <t>Active Or Transitively Active as Dependency</t>
  </si>
  <si>
    <t>Dependency Search</t>
  </si>
  <si>
    <t>Worst  case  impact  for  loss  of  confidentiality</t>
  </si>
  <si>
    <t xml:space="preserve">   Personal  data</t>
  </si>
  <si>
    <t xml:space="preserve">      Does  the  product  have  cameras?</t>
  </si>
  <si>
    <t xml:space="preserve">      Does  the  product  process  personal  data?
      Examples:
      SICK  ID,  address  labels</t>
  </si>
  <si>
    <t xml:space="preserve">   Intellectual  property</t>
  </si>
  <si>
    <t xml:space="preserve">      Does  the  product  contain  SICK  intellectual
      property?</t>
  </si>
  <si>
    <t xml:space="preserve">   Financial  and  legal</t>
  </si>
  <si>
    <t xml:space="preserve">      Is  SICK  (typically)  obliged  to  keep  the
      processed  /  stored  data  (including  third-party
      IP)  confidential  by  contract  or  law?</t>
  </si>
  <si>
    <t xml:space="preserve">      Does  the  product  contain  credentials  /
      cryptographic  keys  that  allow  access  to
      sensitive  data?</t>
  </si>
  <si>
    <t>Worst  case  impact  for  loss  of  availability</t>
  </si>
  <si>
    <t xml:space="preserve">      Can  a  loss  of  availability  of  the  product  (or
      its  communication)  endanger  the  health  of
      people?</t>
  </si>
  <si>
    <t xml:space="preserve">   Function  and  availability</t>
  </si>
  <si>
    <t xml:space="preserve">      Is  the  availability  of  the  product  relevant  for
      its  environment?</t>
  </si>
  <si>
    <t xml:space="preserve">      Can  a  loss  of  availability  allow  an  attacker
      access  to  assets  of  the  customer  (including
      physical  access  not  detected  by  the  SICK
      product)?</t>
  </si>
  <si>
    <t xml:space="preserve">      Can  a  loss  of  availability  cause
      contract-related  fines?</t>
  </si>
  <si>
    <t>Worst  case  impact  for  loss  of  integrity</t>
  </si>
  <si>
    <t xml:space="preserve">      Can  a  manipulated  product  (or  its  communication)
      endanger  the  health  of  people?  Also  consider
      cases  where  the  product  is  used  against  its
      intended  use  or  misconfigured!</t>
  </si>
  <si>
    <t xml:space="preserve">   Personal  data  /  IP</t>
  </si>
  <si>
    <t xml:space="preserve">      Can  a  manipulated  product  disclose  personal  data
      to  an  attacker?  Also  consider  cases  where  the
      product  is  used  against  its  intended  use  or
      misconfigured!</t>
  </si>
  <si>
    <t xml:space="preserve">      Can  a  manipulated  product  disclose  intellectual
      property  to  an  attacker?  Also  consider  cases
      where  the  product  is  used  against  its  intended
      use  or  misconfigured!</t>
  </si>
  <si>
    <t xml:space="preserve">      Can  a  manipulated  product  disclose  cryptographic
      material  to  an  attacker?Also  consider  cases
      where  the  product  does  not  disclose  the
      material  but  misuses  its  access  to  other
      systems!</t>
  </si>
  <si>
    <t xml:space="preserve">      Can  a  manipulated  product  affect  the  operation
      of  its  environment?</t>
  </si>
  <si>
    <t xml:space="preserve">      Can  a  manipulated  product  allow  an  attacker
      access  to  assets  of  the  customer  or  allow  the
      attacker  to  attack  the  customer's  network?</t>
  </si>
  <si>
    <t xml:space="preserve">      Can  a  manipulated  product  cause  contract-related
      /  legal  fines?</t>
  </si>
  <si>
    <t>Does  the  product  have  any  connectivity?</t>
  </si>
  <si>
    <t>Does  the  product  offer  a  gateway  functionality?</t>
  </si>
  <si>
    <t>Physical  communication</t>
  </si>
  <si>
    <t xml:space="preserve">   Does  the  product  have  a  point-to-point  connection
   to  another  device?</t>
  </si>
  <si>
    <t xml:space="preserve">   Does  the  product  have  a  direct  connection  to  a
   local  network?</t>
  </si>
  <si>
    <t xml:space="preserve">   Does  the  product  support  wireless  connections?</t>
  </si>
  <si>
    <t xml:space="preserve">   Does  the  product  have  a  direct  connection  to  a
   mobile  network  /  the  Internet?</t>
  </si>
  <si>
    <t>Logical  communication</t>
  </si>
  <si>
    <t xml:space="preserve">   Does  the  product  offer  services  to  other  entities
   on  the  network?</t>
  </si>
  <si>
    <t xml:space="preserve">      Does  the  product  offer  a  configuration
      interface?</t>
  </si>
  <si>
    <t xml:space="preserve">      Does  the  product  have  an  IP  stack  (or  another
      routable  protocol)?</t>
  </si>
  <si>
    <t xml:space="preserve">      Does  the  product  process  data  from  an  untrusted
      source?</t>
  </si>
  <si>
    <t xml:space="preserve">      Can  the  product's  software  be  updated  over  an
      interface?</t>
  </si>
  <si>
    <t xml:space="preserve">   Does  the  product  have  access  to  a  local  network
   over  a  gateway?</t>
  </si>
  <si>
    <t xml:space="preserve">   Does  the  product  have  access  to  a  wireless
   network  over  a  gateway?</t>
  </si>
  <si>
    <t>Hardware  interfaces  and  accessibility</t>
  </si>
  <si>
    <t xml:space="preserve">   Is  the  product  typically  installed  in  a  physically
   accessible  position?</t>
  </si>
  <si>
    <t xml:space="preserve">   Is  the  product  typically  installed  in  an
   environment  without  restricted  access?</t>
  </si>
  <si>
    <t xml:space="preserve">   Are  the  product's  physical  connections  (such  as
   attached  bus  cables)  typically  installed  in  an
   environment  without  restricted  access?</t>
  </si>
  <si>
    <t>Does  the  product  have  debug  interfaces?</t>
  </si>
  <si>
    <t>Profile A</t>
  </si>
  <si>
    <t>Only as part of a ring topology, but no gateway functionality (routing / firewalling).</t>
  </si>
  <si>
    <t>Ethernet, IP, TCP, Profinet, OPC UA, MQTT.</t>
  </si>
  <si>
    <t>Questionnaire</t>
  </si>
  <si>
    <t xml:space="preserve">                    RAP &gt;
v Damage</t>
  </si>
  <si>
    <t>[QI ID] Missing Rationale</t>
  </si>
  <si>
    <t>[QI Text] Missing Rationale</t>
  </si>
  <si>
    <t>QI ID Reference</t>
  </si>
  <si>
    <t>QI Text Reference</t>
  </si>
  <si>
    <t>Sheet</t>
  </si>
  <si>
    <t>#</t>
  </si>
  <si>
    <t>Criterion</t>
  </si>
  <si>
    <t>Triggering Elements</t>
  </si>
  <si>
    <t>Risk treatment decisions without a rationale</t>
  </si>
  <si>
    <t>QI Element ID Reference</t>
  </si>
  <si>
    <t>Element ID Column</t>
  </si>
  <si>
    <t>Triggering IDs</t>
  </si>
  <si>
    <t>Text Range</t>
  </si>
  <si>
    <t>Open IDs</t>
  </si>
  <si>
    <t>OK for IDs</t>
  </si>
  <si>
    <t>Rationale</t>
  </si>
  <si>
    <t>Element ID Letter</t>
  </si>
  <si>
    <t>Link to First Element</t>
  </si>
  <si>
    <t>QI Text</t>
  </si>
  <si>
    <t>QI ID</t>
  </si>
  <si>
    <t>Active Attack Step</t>
  </si>
  <si>
    <t>QI Text Question Not Answered</t>
  </si>
  <si>
    <t>QI ID Question Not Answered</t>
  </si>
  <si>
    <t>Unanswered questions</t>
  </si>
  <si>
    <t>Answers with missing details</t>
  </si>
  <si>
    <t>QI Text Missing Details</t>
  </si>
  <si>
    <t>QI ID Missing Details</t>
  </si>
  <si>
    <t>QI Text Missing Rationale</t>
  </si>
  <si>
    <t>QI ID Missing Rationale</t>
  </si>
  <si>
    <t>Answers with missing rationale</t>
  </si>
  <si>
    <t xml:space="preserve">Remaining Risk Level </t>
  </si>
  <si>
    <t>QI Text No Risk Treatment</t>
  </si>
  <si>
    <t>QI ID No Risk Treatment</t>
  </si>
  <si>
    <t>Risks without risk treatment</t>
  </si>
  <si>
    <t>QI Text Inconsistent Answers</t>
  </si>
  <si>
    <t>QI ID Inconsistent Answers</t>
  </si>
  <si>
    <t>Questions with inconsistent answers</t>
  </si>
  <si>
    <t>Related Question (for damage scenarios)</t>
  </si>
  <si>
    <t>Factor Explanation</t>
  </si>
  <si>
    <t xml:space="preserve">Factor Explanation </t>
  </si>
  <si>
    <t>Highest Remaining Risk with this
Attack Step</t>
  </si>
  <si>
    <t>Mitigation</t>
  </si>
  <si>
    <t>Q ID</t>
  </si>
  <si>
    <t xml:space="preserve">Disclosure of </t>
  </si>
  <si>
    <t>Damage Scenario Static Text Prefix</t>
  </si>
  <si>
    <t>Damage Scenario Static Text Suffix</t>
  </si>
  <si>
    <t>x</t>
  </si>
  <si>
    <t>)</t>
  </si>
  <si>
    <t xml:space="preserve">Disclosure of cryptographic material causing loss of </t>
  </si>
  <si>
    <t xml:space="preserve"> caused by unavailable product</t>
  </si>
  <si>
    <t xml:space="preserve">Loss of </t>
  </si>
  <si>
    <t xml:space="preserve">Contract-related fines of </t>
  </si>
  <si>
    <t xml:space="preserve"> caused by manipulated product</t>
  </si>
  <si>
    <t xml:space="preserve"> disclosed by manipulated product</t>
  </si>
  <si>
    <t xml:space="preserve"> caused by attacks on customer's assets by manipulated product</t>
  </si>
  <si>
    <t xml:space="preserve">Fines of </t>
  </si>
  <si>
    <t>Answer 1</t>
  </si>
  <si>
    <t>Answer 2</t>
  </si>
  <si>
    <t>Damage Value</t>
  </si>
  <si>
    <t>Fines for leaking data of a another party (</t>
  </si>
  <si>
    <t>The customer might attack the product before it is installed in the inaccessible place</t>
  </si>
  <si>
    <t>The product is installed in a physically inaccessible place. It is difficult for an attacker to gain physical access to the product.</t>
  </si>
  <si>
    <t>Description of the TOE (Target of Evaluation)</t>
  </si>
  <si>
    <t>Can a loss of availability cause contract-related fines (e.g., based on a service level agreement)?</t>
  </si>
  <si>
    <t>b</t>
  </si>
  <si>
    <t>k</t>
  </si>
  <si>
    <t>a</t>
  </si>
  <si>
    <t>h</t>
  </si>
  <si>
    <t>f</t>
  </si>
  <si>
    <t>c</t>
  </si>
  <si>
    <t>i</t>
  </si>
  <si>
    <t>d</t>
  </si>
  <si>
    <t>e</t>
  </si>
  <si>
    <t>g</t>
  </si>
  <si>
    <t>AS29</t>
  </si>
  <si>
    <t>Brute-forcing the authentication mechanism over IP</t>
  </si>
  <si>
    <t>A22</t>
  </si>
  <si>
    <t>The product does not offer any interface that requires authentication over the IP stack.</t>
  </si>
  <si>
    <t>If the product does not offer an interface, then attacks abusing such an interface cannot occur.</t>
  </si>
  <si>
    <t>Is last risk?</t>
  </si>
  <si>
    <t>Risk table not big enough</t>
  </si>
  <si>
    <t>QI Text Table Too Small</t>
  </si>
  <si>
    <t>QI ID Table Too Small</t>
  </si>
  <si>
    <t>INFORMATION AND INSTRUCTIONS TO THE USER</t>
  </si>
  <si>
    <t>&lt;point of contact where information about cybersecurity vulnerabilities of the product can be reported and received&gt;</t>
  </si>
  <si>
    <t>&lt;the name, registered trade name or registered trade mark of the manufacturer, and the postal address and the email address at which the manufacturer can be contacted, on the product or, where that is not possible, on its packaging or in a document accompanying the product&gt;</t>
  </si>
  <si>
    <t>&lt;the correct identification of the type, batch, version or serial number or other element allowing the identification of the product and the corresponding instructions and user information&gt;</t>
  </si>
  <si>
    <t>&lt;the intended use, including the security environment provided by the manufacturer, as well as the product’s essential functionalities and information about the security properties&gt;</t>
  </si>
  <si>
    <t>&lt;-- Kombination aus neuem Freitext und den Assumptions?</t>
  </si>
  <si>
    <t>&lt;any known or foreseeable circumstance, related to the use of the product with digital elements in accordance with its intended purpose or under conditions of reasonably foreseeable misuse, which may lead to significant cybersecurity risks&gt;</t>
  </si>
  <si>
    <t>&lt;-- Auflistung von Restrisiken &gt; Akzeptanzschwelle ("significant cybersecurity risk") oder mit Anforderungen an den Kunden (→ Assumptions)? Hier insbesondere: Foreseeable Misuse wie berücksichtigen?</t>
  </si>
  <si>
    <t>&lt;-- Muss während der Produktion festgelegt werden.</t>
  </si>
  <si>
    <t>&lt;if and, where applicable, where the software bill of materials can be accessed&gt;</t>
  </si>
  <si>
    <t>&lt;-- Während der Entwicklung ableiten.</t>
  </si>
  <si>
    <t>&lt;where applicable, the internet address at which the EU declaration of conformity can be accessed&gt;</t>
  </si>
  <si>
    <t>&lt;the type of technical security support offered by the manufacturer and until when it will be provided, at the very least until when users can expect to receive security updates&gt;</t>
  </si>
  <si>
    <t>&lt;-- Teilweise produktspezifische Angaben.</t>
  </si>
  <si>
    <t>&lt;detailed instructions or an internet address referring to such detailed instructions and information on:
(a) the necessary measures during initial commissioning and throughout the lifetime of the product to ensure its secure use;
(b) how changes to the product can affect the security of data;
(c) how security-relevant updates can be installed;
(d) the secure decommissioning of the product, including information on how user data can be securely removed&gt;</t>
  </si>
  <si>
    <t>&lt;-- a) Könnte teilweise über Textbausteine mit den gewählten Maßnahmen hergeleitet werden?
b) Möglicherweise aus SRA ableiten.</t>
  </si>
  <si>
    <t>Letter</t>
  </si>
  <si>
    <t>Implemented by</t>
  </si>
  <si>
    <t>j</t>
  </si>
  <si>
    <t>Annex I Active Countermeasure Search</t>
  </si>
  <si>
    <t>Active Assumption Annex I Search</t>
  </si>
  <si>
    <t>Products with digital elements shall…</t>
  </si>
  <si>
    <t>be designed, developed and produced to limit attack surfaces, including external interfaces</t>
  </si>
  <si>
    <t>be designed, developed and produced to reduce the impact of an incident using appropriate exploitation mitigation mechanisms and techniques</t>
  </si>
  <si>
    <t>Countermeasure / Assumption Names</t>
  </si>
  <si>
    <t>Annex I Text</t>
  </si>
  <si>
    <t>h, i, k</t>
  </si>
  <si>
    <t>d, g</t>
  </si>
  <si>
    <t>b, d</t>
  </si>
  <si>
    <t>Annex I 1.3 Search (Treatment not Accept)</t>
  </si>
  <si>
    <t>Explicit Risk Treatment</t>
  </si>
  <si>
    <t>Annex I 1.3 Text</t>
  </si>
  <si>
    <t>Answer Search for First Answer Only</t>
  </si>
  <si>
    <t>Active Based on Answers</t>
  </si>
  <si>
    <t>AS30</t>
  </si>
  <si>
    <t>C26</t>
  </si>
  <si>
    <t>Attack Steps Version History</t>
  </si>
  <si>
    <t>Assumptions Version History</t>
  </si>
  <si>
    <t>Countermeasures Version History</t>
  </si>
  <si>
    <t>Does the product have a logical connection to a local network over a gateway?</t>
  </si>
  <si>
    <t>Does the product have a logical connection to a wireless network over a gateway?</t>
  </si>
  <si>
    <t>Syntax Start</t>
  </si>
  <si>
    <t>Syntax End</t>
  </si>
  <si>
    <t>Element Type</t>
  </si>
  <si>
    <t>{A</t>
  </si>
  <si>
    <t>{C</t>
  </si>
  <si>
    <t>}</t>
  </si>
  <si>
    <t>Additional assumptions / countermeasures</t>
  </si>
  <si>
    <t>Sheet Element ID Link</t>
  </si>
  <si>
    <t>Number of Comments with Elements</t>
  </si>
  <si>
    <t>Additional Assumption ID</t>
  </si>
  <si>
    <t># Additional Assumptions</t>
  </si>
  <si>
    <t>Sheet Number of Elements Link</t>
  </si>
  <si>
    <t>Number of Elements Column</t>
  </si>
  <si>
    <t># Elements</t>
  </si>
  <si>
    <t>Is Additional Element</t>
  </si>
  <si>
    <t># Active Countermeasures:</t>
  </si>
  <si>
    <t>Additional Sheet ID</t>
  </si>
  <si>
    <t>Number of Elements For This Sheet</t>
  </si>
  <si>
    <t>Comment ID</t>
  </si>
  <si>
    <t>Number of Elements for this ID</t>
  </si>
  <si>
    <t>Element Within Comment ID</t>
  </si>
  <si>
    <t>Is Last Element for the Comment</t>
  </si>
  <si>
    <t>Comment Content</t>
  </si>
  <si>
    <t>Sheet ID Column</t>
  </si>
  <si>
    <t>ID for Additional Element</t>
  </si>
  <si>
    <t>Last Element for the Sheet</t>
  </si>
  <si>
    <t>Additional Assumptions</t>
  </si>
  <si>
    <t>Additional Countermeasures</t>
  </si>
  <si>
    <t>Additional Countermeasure ID</t>
  </si>
  <si>
    <t># Additional Countermeasures</t>
  </si>
  <si>
    <t>Triggering Answers and Their Comments</t>
  </si>
  <si>
    <t>Additional Assumption ID (Rationale)</t>
  </si>
  <si>
    <t># Additional Assumptions (Rationale)</t>
  </si>
  <si>
    <t>Additional Assumption ID (Comment)</t>
  </si>
  <si>
    <t># Additional Assumptions (Comment)</t>
  </si>
  <si>
    <t>Additional Countermeasure ID (Rationale)</t>
  </si>
  <si>
    <t># Additional Countermeasure (Rationale)</t>
  </si>
  <si>
    <t>Additional Countermeasure ID (Comment)</t>
  </si>
  <si>
    <t># Additional Countermeasure (Comment)</t>
  </si>
  <si>
    <t>Row Within Sheet</t>
  </si>
  <si>
    <t>Row in Lookup Tables</t>
  </si>
  <si>
    <t>Link</t>
  </si>
  <si>
    <t>Activates Assumption or Countermeasure</t>
  </si>
  <si>
    <t>Triggering Answer IDs</t>
  </si>
  <si>
    <t>Triggering Answer Search</t>
  </si>
  <si>
    <t>Display Blue Box</t>
  </si>
  <si>
    <t>Marking for Comments at Answers that Trigger Assumptions / Countermeasures</t>
  </si>
  <si>
    <t>Answer Search Field</t>
  </si>
  <si>
    <t>Assigned C&amp;A Search</t>
  </si>
  <si>
    <t>Assigned to Attack Steps</t>
  </si>
  <si>
    <t>Comments of Related Elements</t>
  </si>
  <si>
    <t>Defined in the Context of Element</t>
  </si>
  <si>
    <t>Dependant Elements</t>
  </si>
  <si>
    <t>Additional Information</t>
  </si>
  <si>
    <t>Go to ID</t>
  </si>
  <si>
    <t>Link Text Explicit</t>
  </si>
  <si>
    <t>Link Text Implicit</t>
  </si>
  <si>
    <t>Text for Default Elements</t>
  </si>
  <si>
    <t>Mitigates Attack Steps</t>
  </si>
  <si>
    <t>Mitigated Attack Steps Mapped to Annex Search</t>
  </si>
  <si>
    <t>Mitigated Attack Steps</t>
  </si>
  <si>
    <t>Is the availability of the product relevant for its operational environment?</t>
  </si>
  <si>
    <t>Can a manipulated product affect the operation of its operational environment?</t>
  </si>
  <si>
    <t>Risks not covered in risk treatment</t>
  </si>
  <si>
    <t>Comment (click to follow the link)</t>
  </si>
  <si>
    <t>Additional Element - Mapping to Annex I 1.3 Search (currently not used)</t>
  </si>
  <si>
    <t>CCSC 1: Support of essential functions</t>
  </si>
  <si>
    <t>CCSC 2: Compensating countermeasures</t>
  </si>
  <si>
    <t>CCSC 3: Least privilege</t>
  </si>
  <si>
    <t>CR 1.1 – Human user identification and authentication</t>
  </si>
  <si>
    <t>CR 1.3 – Account management</t>
  </si>
  <si>
    <t>CR 1.4 – Identifier management</t>
  </si>
  <si>
    <t>CR 1.12 – System use notification</t>
  </si>
  <si>
    <t>CR 2.1 – Authorization enforcement</t>
  </si>
  <si>
    <t>CR 2.2 – Wireless use control</t>
  </si>
  <si>
    <t>CR 2.8 – Auditable events</t>
  </si>
  <si>
    <t>CR 2.10 – Response to audit processing failures</t>
  </si>
  <si>
    <t>CR 3.3 – Security functionality verification</t>
  </si>
  <si>
    <t>CR 3.4 – Software and information integrity</t>
  </si>
  <si>
    <t>CR 3.5 – Input validation</t>
  </si>
  <si>
    <t>CR 3.6 – Deterministic output</t>
  </si>
  <si>
    <t>CR 4.2 – Information persistence</t>
  </si>
  <si>
    <t>CR 4.3 – Use of cryptography</t>
  </si>
  <si>
    <t>CR 5.1 – Network segmentation</t>
  </si>
  <si>
    <t>CR 7.1 – Denial of service protection</t>
  </si>
  <si>
    <t>CR 7.1 RE 1 Manage communication load from component</t>
  </si>
  <si>
    <t>CR 7.2 – Resource management</t>
  </si>
  <si>
    <t>CR 7.6 – Network and security configuration settings</t>
  </si>
  <si>
    <t>CR 7.7 – Least functionality</t>
  </si>
  <si>
    <t>C27</t>
  </si>
  <si>
    <t>C28</t>
  </si>
  <si>
    <t>C29</t>
  </si>
  <si>
    <t>C30</t>
  </si>
  <si>
    <t>If the product stops working / malfunctions, then no other components / processes in its operational environment are affected.</t>
  </si>
  <si>
    <t>Getting access to a trusted operational environment</t>
  </si>
  <si>
    <t>CM1</t>
  </si>
  <si>
    <t>CM3</t>
  </si>
  <si>
    <t>CM4</t>
  </si>
  <si>
    <t>CM5</t>
  </si>
  <si>
    <t>CM6</t>
  </si>
  <si>
    <t>CM7</t>
  </si>
  <si>
    <t>CM8</t>
  </si>
  <si>
    <t>CM10</t>
  </si>
  <si>
    <t>CM11</t>
  </si>
  <si>
    <t>CM12</t>
  </si>
  <si>
    <t>CM14</t>
  </si>
  <si>
    <t>CM15</t>
  </si>
  <si>
    <t>C11, C12</t>
  </si>
  <si>
    <t>AS31</t>
  </si>
  <si>
    <t>&lt;= one day: The exploit might already be available
Proficient: The attacker needs basic understanding of IACS
Restricted: The attacker needs knowledge about the site, including an understanding of the different network segments
Easy: The attacker needs access to a customer network
Standard: Potentially only standard hardware required</t>
  </si>
  <si>
    <t>AS9, AS15, AS31</t>
  </si>
  <si>
    <t>DS6&gt;DS18, DS7&gt;DS18</t>
  </si>
  <si>
    <t>A23</t>
  </si>
  <si>
    <t>The product does not offer a configuration interface, unlike required by CR 7.6 – Network and security configuration settings. For the given product, no such interface is required.</t>
  </si>
  <si>
    <t>CM16</t>
  </si>
  <si>
    <t>CM17</t>
  </si>
  <si>
    <t>SAR 3.2 / EDR 3.2 / HDR 3.2 / NDR 3.2 – Protection from malicious code</t>
  </si>
  <si>
    <t>EDR 3.10 / HDR 3.10 / NDR 3.10 – Support for updates</t>
  </si>
  <si>
    <t>EDR 2.13 / HDR 2.13 / NDR 2.13 – Use of physical diagnostic and test interfaces</t>
  </si>
  <si>
    <t>Explanation</t>
  </si>
  <si>
    <r>
      <t xml:space="preserve">Defines the answers </t>
    </r>
    <r>
      <rPr>
        <i/>
        <sz val="11"/>
        <color theme="0"/>
        <rFont val="Calibri"/>
        <family val="2"/>
        <scheme val="minor"/>
      </rPr>
      <t>yes</t>
    </r>
    <r>
      <rPr>
        <sz val="11"/>
        <color theme="0"/>
        <rFont val="Calibri"/>
        <family val="2"/>
        <scheme val="minor"/>
      </rPr>
      <t xml:space="preserve"> and</t>
    </r>
    <r>
      <rPr>
        <i/>
        <sz val="11"/>
        <color theme="0"/>
        <rFont val="Calibri"/>
        <family val="2"/>
        <scheme val="minor"/>
      </rPr>
      <t xml:space="preserve"> no </t>
    </r>
    <r>
      <rPr>
        <sz val="11"/>
        <color theme="0"/>
        <rFont val="Calibri"/>
        <family val="2"/>
        <scheme val="minor"/>
      </rPr>
      <t xml:space="preserve">for the </t>
    </r>
    <r>
      <rPr>
        <i/>
        <sz val="11"/>
        <color theme="0"/>
        <rFont val="Calibri"/>
        <family val="2"/>
        <scheme val="minor"/>
      </rPr>
      <t>Questionnaire</t>
    </r>
    <r>
      <rPr>
        <sz val="11"/>
        <color theme="0"/>
        <rFont val="Calibri"/>
        <family val="2"/>
        <scheme val="minor"/>
      </rPr>
      <t xml:space="preserve"> sheet.</t>
    </r>
  </si>
  <si>
    <t>Sheet #</t>
  </si>
  <si>
    <t>Column Header Address</t>
  </si>
  <si>
    <t xml:space="preserve">Sheet Name </t>
  </si>
  <si>
    <t>Column</t>
  </si>
  <si>
    <t>Column Letter</t>
  </si>
  <si>
    <t>Sheet Color</t>
  </si>
  <si>
    <t>Black</t>
  </si>
  <si>
    <t>Blue</t>
  </si>
  <si>
    <t>This readme.</t>
  </si>
  <si>
    <t>Calculation and presentation of results.</t>
  </si>
  <si>
    <t>ID of the question making this damage scenario active if answered accordingly.</t>
  </si>
  <si>
    <t>White</t>
  </si>
  <si>
    <t>Green</t>
  </si>
  <si>
    <t>A link.</t>
  </si>
  <si>
    <t>Calculated: The full text of the question matching the ID provided in the previous column.</t>
  </si>
  <si>
    <t>Calculated: The resulting damage scenario text.</t>
  </si>
  <si>
    <r>
      <t xml:space="preserve">The text of the damage scenario can be calculated from the answers in the </t>
    </r>
    <r>
      <rPr>
        <i/>
        <sz val="11"/>
        <color theme="0"/>
        <rFont val="Calibri"/>
        <family val="2"/>
        <scheme val="minor"/>
      </rPr>
      <t>Questionnaire</t>
    </r>
    <r>
      <rPr>
        <sz val="11"/>
        <color theme="0"/>
        <rFont val="Calibri"/>
        <family val="2"/>
        <scheme val="minor"/>
      </rPr>
      <t xml:space="preserve"> sheet. This static prefix is always used if the damage scenario is active.</t>
    </r>
  </si>
  <si>
    <t>A static suffix -- cf. the Static Text Prefix explanation.</t>
  </si>
  <si>
    <t>Describe the attack step.</t>
  </si>
  <si>
    <r>
      <t xml:space="preserve">Calculated: Lists the damage scenarios for the referenced question IDs, based on the answers in the </t>
    </r>
    <r>
      <rPr>
        <i/>
        <sz val="11"/>
        <color theme="0"/>
        <rFont val="Calibri"/>
        <family val="2"/>
        <scheme val="minor"/>
      </rPr>
      <t xml:space="preserve">Questionnaire </t>
    </r>
    <r>
      <rPr>
        <sz val="11"/>
        <color theme="0"/>
        <rFont val="Calibri"/>
        <family val="2"/>
        <scheme val="minor"/>
      </rPr>
      <t>sheet.</t>
    </r>
  </si>
  <si>
    <t>Calculated: Lists the questions for the referenced question IDs.</t>
  </si>
  <si>
    <t>Calculated: Lists the attack steps for the referenced attack step IDs.</t>
  </si>
  <si>
    <t>Estimate the factor Elapsed Time for this attack step.</t>
  </si>
  <si>
    <t>Estimate the factor Expertise for this attack step.</t>
  </si>
  <si>
    <t>Estimate the factor Knowledge of TOE for this attack step.</t>
  </si>
  <si>
    <t>Estimate the factor Window of Opportunity for this attack step.</t>
  </si>
  <si>
    <t>Estimate the factor Equipment for this attack step.</t>
  </si>
  <si>
    <r>
      <t xml:space="preserve">CSV: Define other attack steps as prerequisites for this attack step. For each active attack step in the prerequisites, an attack path will be created in later steps. Attack steps can become active based on answers in the </t>
    </r>
    <r>
      <rPr>
        <i/>
        <sz val="11"/>
        <color theme="0"/>
        <rFont val="Calibri"/>
        <family val="2"/>
        <scheme val="minor"/>
      </rPr>
      <t>Questionnaire</t>
    </r>
    <r>
      <rPr>
        <sz val="11"/>
        <color theme="0"/>
        <rFont val="Calibri"/>
        <family val="2"/>
        <scheme val="minor"/>
      </rPr>
      <t xml:space="preserve"> sheet or if any of their prerequisites are active.</t>
    </r>
  </si>
  <si>
    <t>Provide comments.</t>
  </si>
  <si>
    <t>Describe the assumption in detail.</t>
  </si>
  <si>
    <t>Define a stakeholder responsible for validating the assumption / for implementing compensating countermeasures validating the assumption.</t>
  </si>
  <si>
    <t>Calculated: The referenced attack steps.</t>
  </si>
  <si>
    <t>CSV: Reference by ID the attack steps influenced by this assumption (i.e., the assumption is assigned to any attack path containing any of the referenced attack steps when calculating risk).</t>
  </si>
  <si>
    <t>Estimate the factor Elapsed Time for this assumption.</t>
  </si>
  <si>
    <t>Estimate the factor Expertise for this assumption.</t>
  </si>
  <si>
    <t>Estimate the factor Knowledge of TOE for this assumption.</t>
  </si>
  <si>
    <t>Estimate the factor Window of Opportunity for this assumption.</t>
  </si>
  <si>
    <t>Estimate the factor Equipment for this assumption.</t>
  </si>
  <si>
    <t>Calculated: The resulting required attack potential.</t>
  </si>
  <si>
    <t>Describe the countermeasure in detail.</t>
  </si>
  <si>
    <t>CSV: Reference by ID the attack steps mitigated by this countermeasure (i.e., the countermeasure is assigned to any attack path containing any of the referenced attack steps when calculating risk).</t>
  </si>
  <si>
    <t>CSV: Reference by ID any assumptions or countermeasures required by this countermeasure to be effective.</t>
  </si>
  <si>
    <t>Calculated: The names of the referenced assumptions and countermeasures.</t>
  </si>
  <si>
    <t>Estimate the factor Elapsed Time for this countermeasure.</t>
  </si>
  <si>
    <t>Estimate the factor Expertise for this countermeasure.</t>
  </si>
  <si>
    <t>Estimate the factor Knowledge of TOE for this countermeasure.</t>
  </si>
  <si>
    <t>Estimate the factor Window of Opportunity for this countermeasure.</t>
  </si>
  <si>
    <t>Estimate the factor Equipment for this countermeasure.</t>
  </si>
  <si>
    <r>
      <t xml:space="preserve">Calculated: Lists the resulting damage scenario transformation. Note that the names of the damage scenarios can depend on the answers provided in the </t>
    </r>
    <r>
      <rPr>
        <i/>
        <sz val="11"/>
        <color theme="0"/>
        <rFont val="Calibri"/>
        <family val="2"/>
        <scheme val="minor"/>
      </rPr>
      <t>Questionnaire</t>
    </r>
    <r>
      <rPr>
        <sz val="11"/>
        <color theme="0"/>
        <rFont val="Calibri"/>
        <family val="2"/>
        <scheme val="minor"/>
      </rPr>
      <t xml:space="preserve"> sheet. Consequently, some damage scenarios might be inactive, resulting in empty names next to the IDs in the list.</t>
    </r>
  </si>
  <si>
    <t>The name of the target of evaluation for this assessment.</t>
  </si>
  <si>
    <t>The author of the assessment.</t>
  </si>
  <si>
    <t>A version history for the assessment itself.</t>
  </si>
  <si>
    <t>A version history for the template (independent of the assessment).</t>
  </si>
  <si>
    <t>A version history for the attack step catalog.</t>
  </si>
  <si>
    <t>A version history for the assumption catalog.</t>
  </si>
  <si>
    <t>A version history for the countermeasure catalog.</t>
  </si>
  <si>
    <t>Calculated: Depending on the first answer, an additional question might be raised here.</t>
  </si>
  <si>
    <t>Drop-down menu: Select the second answer to the question, if required. A red box marks empty cells where an answer is needed.</t>
  </si>
  <si>
    <t>Calculated: Depending on the second answer, additional information on that answer and instructions are provided. Typically, this provides additional information on the selection made in the drop-down menu and requests some free-text details or rationales.</t>
  </si>
  <si>
    <t>Additional information and instructions</t>
  </si>
  <si>
    <t>Explicit Link Text</t>
  </si>
  <si>
    <t>General Remarks</t>
  </si>
  <si>
    <r>
      <rPr>
        <sz val="11"/>
        <color theme="0"/>
        <rFont val="Calibri"/>
        <family val="2"/>
        <scheme val="minor"/>
      </rPr>
      <t>* When copying, always</t>
    </r>
    <r>
      <rPr>
        <sz val="11"/>
        <color rgb="FFFFB9B9"/>
        <rFont val="Calibri"/>
        <family val="2"/>
        <scheme val="minor"/>
      </rPr>
      <t xml:space="preserve"> paste as </t>
    </r>
    <r>
      <rPr>
        <b/>
        <sz val="11"/>
        <color rgb="FFFFB9B9"/>
        <rFont val="Calibri"/>
        <family val="2"/>
        <scheme val="minor"/>
      </rPr>
      <t>values</t>
    </r>
    <r>
      <rPr>
        <sz val="11"/>
        <color rgb="FFFFB9B9"/>
        <rFont val="Calibri"/>
        <family val="2"/>
        <scheme val="minor"/>
      </rPr>
      <t>!</t>
    </r>
  </si>
  <si>
    <t>Drop-down menu: Select the first answer to the question. A red box marks empty cells where an answer is needed.</t>
  </si>
  <si>
    <r>
      <t xml:space="preserve">* Some cells are restricted to choosing from a pre-defined list of options, denoted by </t>
    </r>
    <r>
      <rPr>
        <i/>
        <sz val="11"/>
        <color theme="0"/>
        <rFont val="Calibri"/>
        <family val="2"/>
        <scheme val="minor"/>
      </rPr>
      <t>drop-down menu</t>
    </r>
    <r>
      <rPr>
        <sz val="11"/>
        <color theme="0"/>
        <rFont val="Calibri"/>
        <family val="2"/>
        <scheme val="minor"/>
      </rPr>
      <t xml:space="preserve"> in the explanations below.</t>
    </r>
  </si>
  <si>
    <t>A unique ID for the damage scenario.</t>
  </si>
  <si>
    <t>A unique ID for the attack step.</t>
  </si>
  <si>
    <t>A unique ID for the assumption.</t>
  </si>
  <si>
    <t>Calculated: The name of the damage scenario.</t>
  </si>
  <si>
    <r>
      <t xml:space="preserve">Calculated: Lists the IDs of all active damage scenarios. For their definitions, see the </t>
    </r>
    <r>
      <rPr>
        <i/>
        <sz val="11"/>
        <color theme="0"/>
        <rFont val="Calibri"/>
        <family val="2"/>
        <scheme val="minor"/>
      </rPr>
      <t>DS Definition</t>
    </r>
    <r>
      <rPr>
        <sz val="11"/>
        <color theme="0"/>
        <rFont val="Calibri"/>
        <family val="2"/>
        <scheme val="minor"/>
      </rPr>
      <t xml:space="preserve"> sheet.</t>
    </r>
  </si>
  <si>
    <r>
      <t xml:space="preserve">Calculated: The damage level of the damage scenario. Note that this depends on the answers provided in the </t>
    </r>
    <r>
      <rPr>
        <i/>
        <sz val="11"/>
        <color theme="0"/>
        <rFont val="Calibri"/>
        <family val="2"/>
        <scheme val="minor"/>
      </rPr>
      <t xml:space="preserve">Questionnaire </t>
    </r>
    <r>
      <rPr>
        <sz val="11"/>
        <color theme="0"/>
        <rFont val="Calibri"/>
        <family val="2"/>
        <scheme val="minor"/>
      </rPr>
      <t>sheet.</t>
    </r>
  </si>
  <si>
    <t>Calculated: An explanation why this damage scenario is active, listing the triggering question(s) and answers.</t>
  </si>
  <si>
    <t>Calculated: A unique risk ID, based on the final attack step in the attack path and potential additional attack steps, separated by -.</t>
  </si>
  <si>
    <t>Calculated: A description of the attack path, with the final step above the line and the other steps below.</t>
  </si>
  <si>
    <t>Calculated: The (active) damage scenarios caused by the final step of the attack path.</t>
  </si>
  <si>
    <t>Calculated: The (highest) damage level of the damage scenarios.</t>
  </si>
  <si>
    <t>Calculated: The required attack potential of the attack path (by combining the factors along the path and then calculating the RAP).</t>
  </si>
  <si>
    <t>Calculated: Lists all attack steps. The inactive attack steps are displayed in grey.</t>
  </si>
  <si>
    <t>Calculated: The name of the attack step.</t>
  </si>
  <si>
    <t>Calculated: Lists all attack paths where this attack step is included and where the risk is highest among these attack paths.</t>
  </si>
  <si>
    <t>Calculated: The highest risk level for all attack paths including this attack step.</t>
  </si>
  <si>
    <t>Calculated: Provides the names for the proposed IDs.</t>
  </si>
  <si>
    <r>
      <t xml:space="preserve">CSV: Reference by ID assumptions and countermeasures (called </t>
    </r>
    <r>
      <rPr>
        <i/>
        <sz val="11"/>
        <color theme="0"/>
        <rFont val="Calibri"/>
        <family val="2"/>
        <scheme val="minor"/>
      </rPr>
      <t>mitigations</t>
    </r>
    <r>
      <rPr>
        <sz val="11"/>
        <color theme="0"/>
        <rFont val="Calibri"/>
        <family val="2"/>
        <scheme val="minor"/>
      </rPr>
      <t>) affecting the attack step. Note that assigning a mitigation in one row can affect the risk level in multiple rows, as the attack step might be part of several attack paths. It is recommended to search the proposed mitigations for assumptions first, assigning the assumptions where appropriate. Then do a second pass and assign countermeasures where appropriate.</t>
    </r>
  </si>
  <si>
    <t>Calculated: Provides the names for the referenced IDs.</t>
  </si>
  <si>
    <t>Calculated: The highest risk level for all attack paths including this attack step, also considering the assigned assumptions and countermeasures along the attack paths.</t>
  </si>
  <si>
    <r>
      <t xml:space="preserve">List all risk IDs (one per row) to make a documented risk treatment decision for each risk. You can copy the values from the </t>
    </r>
    <r>
      <rPr>
        <i/>
        <sz val="11"/>
        <color theme="0"/>
        <rFont val="Calibri"/>
        <family val="2"/>
        <scheme val="minor"/>
      </rPr>
      <t>All IDs</t>
    </r>
    <r>
      <rPr>
        <sz val="11"/>
        <color theme="0"/>
        <rFont val="Calibri"/>
        <family val="2"/>
        <scheme val="minor"/>
      </rPr>
      <t xml:space="preserve"> column to reduce the amount of manual work.</t>
    </r>
  </si>
  <si>
    <t>Calculated: Provides the name of the attack path causing the referenced risk.</t>
  </si>
  <si>
    <t>Calculated: Provides the names of the damage scenarios caused by the referenced attack path.</t>
  </si>
  <si>
    <t>Calculated: Calculates the (highest) damage level of the referenced damage scenarios.</t>
  </si>
  <si>
    <t>Calculated: Provides an explanation for the origin of each factor for the required attack potential along the attack path (without assumptions or countermeasures).</t>
  </si>
  <si>
    <t>Calculated: Provides the required attack potential resulting from the factors explained in the previous column.</t>
  </si>
  <si>
    <t>Calculated: Provides the risk level resulting from the calculated damage level and the calculated RAP.</t>
  </si>
  <si>
    <t>Calculated: Lists the countermeasures and assumptions assigned to any of the attack steps on the referenced attack path.</t>
  </si>
  <si>
    <t>Calculated: Calculates the damage scenarios under the damage transformation effects of the assigned countermeasures and assumptions.</t>
  </si>
  <si>
    <t>Calculated: Calculates the resulting damage level after damage transformation.</t>
  </si>
  <si>
    <t>Calculated: Provides the factor explanation now including countermeasures and assumptions.</t>
  </si>
  <si>
    <t>Calculated: Provides the resulting required attack potential.</t>
  </si>
  <si>
    <t>Calculated: Proposes risk acceptance for risks below the threshold.</t>
  </si>
  <si>
    <t>Drop-down menu: Select risk treatment decisions here. Make sure that every risk has a risk treatment proposal or a manual risk treatment decision. You may override the proposal by entering a manual decision.</t>
  </si>
  <si>
    <t>Calculated: The resulting risk level (without countermeasures or assumptions).</t>
  </si>
  <si>
    <t>Calculated: Calculates the dominating attack paths (cf. above) again, but this time with the assumptions and countermeasures assigned to any of the attack steps on the attack paths.</t>
  </si>
  <si>
    <t>Provide comments. Note that this is a typical place to define additional countermeasures or assumptions, using the syntax defined in the Definitions sheet.</t>
  </si>
  <si>
    <t>Manual risk treatment decisions require a rationale. Note that this is a typical place to define additional countermeasures or assumptions, using the syntax defined in the Definitions sheet.</t>
  </si>
  <si>
    <t>Calculated: Shows the risk treatment decision. If a manual risk treatment decision is provided, then this value is used. Otherwise, if a proposal is provided, then this value is used. If no value is provided, then a manual risk treatment decision is required.</t>
  </si>
  <si>
    <r>
      <t xml:space="preserve">Calculated: Shows all IDs of risks defined in the </t>
    </r>
    <r>
      <rPr>
        <i/>
        <sz val="11"/>
        <color theme="0"/>
        <rFont val="Calibri"/>
        <family val="2"/>
        <scheme val="minor"/>
      </rPr>
      <t>Risks</t>
    </r>
    <r>
      <rPr>
        <sz val="11"/>
        <color theme="0"/>
        <rFont val="Calibri"/>
        <family val="2"/>
        <scheme val="minor"/>
      </rPr>
      <t xml:space="preserve"> sheet that are currently not listed in the </t>
    </r>
    <r>
      <rPr>
        <i/>
        <sz val="11"/>
        <color theme="0"/>
        <rFont val="Calibri"/>
        <family val="2"/>
        <scheme val="minor"/>
      </rPr>
      <t>R ID</t>
    </r>
    <r>
      <rPr>
        <sz val="11"/>
        <color theme="0"/>
        <rFont val="Calibri"/>
        <family val="2"/>
        <scheme val="minor"/>
      </rPr>
      <t xml:space="preserve"> column. This field must be empty to complete the assessment.</t>
    </r>
  </si>
  <si>
    <t>Calculated: Provides the names of the listed assumptions and countermeasures.</t>
  </si>
  <si>
    <t>Calculated: Lists the IDs of all active assumptions and countermeasures (one per row). This sheet is part of the result documentation.</t>
  </si>
  <si>
    <t>Calculated: If applicable, the stakeholder responsible for implementing the countermeasure / validating the assumption / ensuring that the assumption holds (→ compensating countermeasures) is provided.</t>
  </si>
  <si>
    <r>
      <t>Calculated: Provides additional information on each assumption or countermeasure (</t>
    </r>
    <r>
      <rPr>
        <i/>
        <sz val="11"/>
        <color theme="0"/>
        <rFont val="Calibri"/>
        <family val="2"/>
        <scheme val="minor"/>
      </rPr>
      <t>mitigation</t>
    </r>
    <r>
      <rPr>
        <sz val="11"/>
        <color theme="0"/>
        <rFont val="Calibri"/>
        <family val="2"/>
        <scheme val="minor"/>
      </rPr>
      <t xml:space="preserve">):
* Comments of questions that triggered the mitigation to become active (→ </t>
    </r>
    <r>
      <rPr>
        <i/>
        <sz val="11"/>
        <color theme="0"/>
        <rFont val="Calibri"/>
        <family val="2"/>
        <scheme val="minor"/>
      </rPr>
      <t>Questionnaire</t>
    </r>
    <r>
      <rPr>
        <sz val="11"/>
        <color theme="0"/>
        <rFont val="Calibri"/>
        <family val="2"/>
        <scheme val="minor"/>
      </rPr>
      <t xml:space="preserve"> sheet).
* The attack steps the mitigation is assigned to (→ </t>
    </r>
    <r>
      <rPr>
        <i/>
        <sz val="11"/>
        <color theme="0"/>
        <rFont val="Calibri"/>
        <family val="2"/>
        <scheme val="minor"/>
      </rPr>
      <t xml:space="preserve">Mitigation </t>
    </r>
    <r>
      <rPr>
        <sz val="11"/>
        <color theme="0"/>
        <rFont val="Calibri"/>
        <family val="2"/>
        <scheme val="minor"/>
      </rPr>
      <t xml:space="preserve">sheet).
* Information on the element where this mitigation was defined for new mitigations (→ </t>
    </r>
    <r>
      <rPr>
        <i/>
        <sz val="11"/>
        <color theme="0"/>
        <rFont val="Calibri"/>
        <family val="2"/>
        <scheme val="minor"/>
      </rPr>
      <t>Comment</t>
    </r>
    <r>
      <rPr>
        <sz val="11"/>
        <color theme="0"/>
        <rFont val="Calibri"/>
        <family val="2"/>
        <scheme val="minor"/>
      </rPr>
      <t xml:space="preserve"> or </t>
    </r>
    <r>
      <rPr>
        <i/>
        <sz val="11"/>
        <color theme="0"/>
        <rFont val="Calibri"/>
        <family val="2"/>
        <scheme val="minor"/>
      </rPr>
      <t>Rationale</t>
    </r>
    <r>
      <rPr>
        <sz val="11"/>
        <color theme="0"/>
        <rFont val="Calibri"/>
        <family val="2"/>
        <scheme val="minor"/>
      </rPr>
      <t xml:space="preserve"> columns on several sheets).
* Mitigations that become active because they are prerequisites of active countermeasures (→ </t>
    </r>
    <r>
      <rPr>
        <i/>
        <sz val="11"/>
        <color theme="0"/>
        <rFont val="Calibri"/>
        <family val="2"/>
        <scheme val="minor"/>
      </rPr>
      <t>Countermeasures</t>
    </r>
    <r>
      <rPr>
        <sz val="11"/>
        <color theme="0"/>
        <rFont val="Calibri"/>
        <family val="2"/>
        <scheme val="minor"/>
      </rPr>
      <t xml:space="preserve"> sheet).</t>
    </r>
  </si>
  <si>
    <t>Allows you to enter the ID of an element you want to inspect by clicking on the link in the next column.</t>
  </si>
  <si>
    <r>
      <t xml:space="preserve">Calculated: If the </t>
    </r>
    <r>
      <rPr>
        <i/>
        <sz val="11"/>
        <color theme="0"/>
        <rFont val="Calibri"/>
        <family val="2"/>
        <scheme val="minor"/>
      </rPr>
      <t xml:space="preserve">Go to ID </t>
    </r>
    <r>
      <rPr>
        <sz val="11"/>
        <color theme="0"/>
        <rFont val="Calibri"/>
        <family val="2"/>
        <scheme val="minor"/>
      </rPr>
      <t xml:space="preserve">field is empty, then this provides a link to either the element referenced in the </t>
    </r>
    <r>
      <rPr>
        <i/>
        <sz val="11"/>
        <color theme="0"/>
        <rFont val="Calibri"/>
        <family val="2"/>
        <scheme val="minor"/>
      </rPr>
      <t xml:space="preserve">ID </t>
    </r>
    <r>
      <rPr>
        <sz val="11"/>
        <color theme="0"/>
        <rFont val="Calibri"/>
        <family val="2"/>
        <scheme val="minor"/>
      </rPr>
      <t>column or the cell where the mitigation was defined (for mitigations defined in comments). If the field is not empty, then the link leads to the element with the provided ID (if it exists). Note that you can use Alt+LEFTARROW to navigate back to this sheet after clicking on a link.</t>
    </r>
  </si>
  <si>
    <t>Calculated: Provides the comment of the referenced element (note that you must not enter new comments here).</t>
  </si>
  <si>
    <t>Lists the requirements within that section.</t>
  </si>
  <si>
    <t>Calculated: Provides the names of the referenced assumptions and countermeasures.</t>
  </si>
  <si>
    <r>
      <t xml:space="preserve">Calculated: Provides all instances of explicit risk treatment (→ </t>
    </r>
    <r>
      <rPr>
        <i/>
        <sz val="11"/>
        <color theme="0"/>
        <rFont val="Calibri"/>
        <family val="2"/>
        <scheme val="minor"/>
      </rPr>
      <t xml:space="preserve">Risk Treatment </t>
    </r>
    <r>
      <rPr>
        <sz val="11"/>
        <color theme="0"/>
        <rFont val="Calibri"/>
        <family val="2"/>
        <scheme val="minor"/>
      </rPr>
      <t xml:space="preserve">sheet) for each entry, based on the mapping in the </t>
    </r>
    <r>
      <rPr>
        <i/>
        <sz val="11"/>
        <color theme="0"/>
        <rFont val="Calibri"/>
        <family val="2"/>
        <scheme val="minor"/>
      </rPr>
      <t>Attack Steps</t>
    </r>
    <r>
      <rPr>
        <sz val="11"/>
        <color theme="0"/>
        <rFont val="Calibri"/>
        <family val="2"/>
        <scheme val="minor"/>
      </rPr>
      <t xml:space="preserve"> sheet.</t>
    </r>
  </si>
  <si>
    <r>
      <t xml:space="preserve">* All comment columns that accept text can be used with the </t>
    </r>
    <r>
      <rPr>
        <i/>
        <sz val="11"/>
        <color theme="0"/>
        <rFont val="Calibri"/>
        <family val="2"/>
        <scheme val="minor"/>
      </rPr>
      <t>Tasks</t>
    </r>
    <r>
      <rPr>
        <sz val="11"/>
        <color theme="0"/>
        <rFont val="Calibri"/>
        <family val="2"/>
        <scheme val="minor"/>
      </rPr>
      <t xml:space="preserve"> feature (see the explanation for the </t>
    </r>
    <r>
      <rPr>
        <i/>
        <sz val="11"/>
        <color theme="0"/>
        <rFont val="Calibri"/>
        <family val="2"/>
        <scheme val="minor"/>
      </rPr>
      <t xml:space="preserve">Tasks </t>
    </r>
    <r>
      <rPr>
        <sz val="11"/>
        <color theme="0"/>
        <rFont val="Calibri"/>
        <family val="2"/>
        <scheme val="minor"/>
      </rPr>
      <t>sheet).</t>
    </r>
  </si>
  <si>
    <t>Key Word</t>
  </si>
  <si>
    <t>Define a key word to be searched for in all comment / rationale columns. If the key word is found in a cell, then the cell is highlighted. This can be used to define TODOs at the appropriate elements.</t>
  </si>
  <si>
    <r>
      <t xml:space="preserve">Calculated: Shows the number of untreated instances triggering this quality indicator. In general, each quality indicator hints at potential issues in the assessment. These issues can either be fixed at the triggering element or be accepted (in the </t>
    </r>
    <r>
      <rPr>
        <i/>
        <sz val="11"/>
        <color theme="0"/>
        <rFont val="Calibri"/>
        <family val="2"/>
        <scheme val="minor"/>
      </rPr>
      <t>OK for IDs</t>
    </r>
    <r>
      <rPr>
        <sz val="11"/>
        <color theme="0"/>
        <rFont val="Calibri"/>
        <family val="2"/>
        <scheme val="minor"/>
      </rPr>
      <t xml:space="preserve"> column) with a rationale. An untreated instance is an instance violating the indicator without explicit acceptance.</t>
    </r>
  </si>
  <si>
    <t>Describes the criterion for the quality indicator.</t>
  </si>
  <si>
    <t>Calculated: Lists all elements triggering the indicator (including those with explicit acceptance).</t>
  </si>
  <si>
    <t>Calculated: Provides a link to the first untreated element in the list.</t>
  </si>
  <si>
    <t>Calculated: Lists all untreated instances triggering the indicator.</t>
  </si>
  <si>
    <t>CSV: Provide all IDs where triggering the quality indicator is explicitly accepted.</t>
  </si>
  <si>
    <t>Provide a rationale for explicit acceptance.</t>
  </si>
  <si>
    <t>Light Green</t>
  </si>
  <si>
    <t>Text Format</t>
  </si>
  <si>
    <r>
      <t xml:space="preserve">The target of a link from the </t>
    </r>
    <r>
      <rPr>
        <i/>
        <sz val="11"/>
        <color theme="0"/>
        <rFont val="Calibri"/>
        <family val="2"/>
        <scheme val="minor"/>
      </rPr>
      <t>Tasks</t>
    </r>
    <r>
      <rPr>
        <sz val="11"/>
        <color theme="0"/>
        <rFont val="Calibri"/>
        <family val="2"/>
        <scheme val="minor"/>
      </rPr>
      <t xml:space="preserve"> sheet (typically a TODO).</t>
    </r>
  </si>
  <si>
    <t>Fill these sheets to complete the analysis.</t>
  </si>
  <si>
    <t>Dark Grey</t>
  </si>
  <si>
    <t>Light Grey</t>
  </si>
  <si>
    <t>Damage Criteria</t>
  </si>
  <si>
    <t>Category</t>
  </si>
  <si>
    <t>Damage Categories</t>
  </si>
  <si>
    <t>Personal Data</t>
  </si>
  <si>
    <t>Loss of Intellectual Property</t>
  </si>
  <si>
    <t>Financial and Legal</t>
  </si>
  <si>
    <t>Function and Availability</t>
  </si>
  <si>
    <r>
      <t xml:space="preserve">Damage Criteria for </t>
    </r>
    <r>
      <rPr>
        <b/>
        <i/>
        <sz val="11"/>
        <color theme="8" tint="0.79998168889431442"/>
        <rFont val="Calibri"/>
        <family val="2"/>
        <scheme val="minor"/>
      </rPr>
      <t>Financial and Legal</t>
    </r>
    <r>
      <rPr>
        <b/>
        <sz val="11"/>
        <color theme="8" tint="0.79998168889431442"/>
        <rFont val="Calibri"/>
        <family val="2"/>
        <scheme val="minor"/>
      </rPr>
      <t xml:space="preserve"> and </t>
    </r>
    <r>
      <rPr>
        <b/>
        <i/>
        <sz val="11"/>
        <color theme="8" tint="0.79998168889431442"/>
        <rFont val="Calibri"/>
        <family val="2"/>
        <scheme val="minor"/>
      </rPr>
      <t>Function and Availability</t>
    </r>
  </si>
  <si>
    <t>Not first of Category</t>
  </si>
  <si>
    <t>Initial version</t>
  </si>
  <si>
    <t>Initial catalog</t>
  </si>
  <si>
    <t>Active DS ID</t>
  </si>
  <si>
    <t>Is Active?</t>
  </si>
  <si>
    <t>Provide criteria (in a formula) defining when the damage scenario becomes active.</t>
  </si>
  <si>
    <t>Calculated values, do not edit as the formula is included in template version management.</t>
  </si>
  <si>
    <t>Catalogs - these are versioned and centrally managed. Do not edit during an analysis.</t>
  </si>
  <si>
    <t>Calculated: Shows and links the ID and the name of the element where the key word was found. Note that the table contains links that are not underlined, as having fully underlined text is hard to read.</t>
  </si>
  <si>
    <t>Calculated: Shows and links the text containing the key word. Note that the table contains links that are not underlined, as having fully underlined text is hard to read.</t>
  </si>
  <si>
    <t>DS19</t>
  </si>
  <si>
    <t>Active DS Shadow ID</t>
  </si>
  <si>
    <t>Calculated: Calculates the damage level from the damage criterion.</t>
  </si>
  <si>
    <t>CM18</t>
  </si>
  <si>
    <t>Proposed Active Assumptions</t>
  </si>
  <si>
    <t>Proposal Search</t>
  </si>
  <si>
    <t>Active Assumptions Proposal</t>
  </si>
  <si>
    <t>Potential Additional Assumptions</t>
  </si>
  <si>
    <r>
      <t xml:space="preserve">Calculated: Based on the </t>
    </r>
    <r>
      <rPr>
        <i/>
        <sz val="11"/>
        <color theme="0"/>
        <rFont val="Calibri"/>
        <family val="2"/>
        <scheme val="minor"/>
      </rPr>
      <t>Countermeasures</t>
    </r>
    <r>
      <rPr>
        <sz val="11"/>
        <color theme="0"/>
        <rFont val="Calibri"/>
        <family val="2"/>
        <scheme val="minor"/>
      </rPr>
      <t xml:space="preserve"> sheet, the tool proposes a list of IDs countermeasure that reference the attack step.</t>
    </r>
  </si>
  <si>
    <r>
      <t xml:space="preserve">Calculated: Based on the </t>
    </r>
    <r>
      <rPr>
        <i/>
        <sz val="11"/>
        <color theme="0"/>
        <rFont val="Calibri"/>
        <family val="2"/>
        <scheme val="minor"/>
      </rPr>
      <t>Assumptions</t>
    </r>
    <r>
      <rPr>
        <sz val="11"/>
        <color theme="0"/>
        <rFont val="Calibri"/>
        <family val="2"/>
        <scheme val="minor"/>
      </rPr>
      <t xml:space="preserve"> sheet, the tool proposes a list of IDs of active assumptions (based on the </t>
    </r>
    <r>
      <rPr>
        <i/>
        <sz val="11"/>
        <color theme="0"/>
        <rFont val="Calibri"/>
        <family val="2"/>
        <scheme val="minor"/>
      </rPr>
      <t xml:space="preserve">Questionnaire </t>
    </r>
    <r>
      <rPr>
        <sz val="11"/>
        <color theme="0"/>
        <rFont val="Calibri"/>
        <family val="2"/>
        <scheme val="minor"/>
      </rPr>
      <t>sheet) that reference the attack step.</t>
    </r>
  </si>
  <si>
    <r>
      <t xml:space="preserve">Calculated: Based on the </t>
    </r>
    <r>
      <rPr>
        <i/>
        <sz val="11"/>
        <color theme="0"/>
        <rFont val="Calibri"/>
        <family val="2"/>
        <scheme val="minor"/>
      </rPr>
      <t>Assumptions</t>
    </r>
    <r>
      <rPr>
        <sz val="11"/>
        <color theme="0"/>
        <rFont val="Calibri"/>
        <family val="2"/>
        <scheme val="minor"/>
      </rPr>
      <t xml:space="preserve"> sheet, the tool proposes a list of IDs of additional assumptions (not currently active given the answers in the </t>
    </r>
    <r>
      <rPr>
        <i/>
        <sz val="11"/>
        <color theme="0"/>
        <rFont val="Calibri"/>
        <family val="2"/>
        <scheme val="minor"/>
      </rPr>
      <t xml:space="preserve">Questionnaire </t>
    </r>
    <r>
      <rPr>
        <sz val="11"/>
        <color theme="0"/>
        <rFont val="Calibri"/>
        <family val="2"/>
        <scheme val="minor"/>
      </rPr>
      <t>sheet) that reference the attack step.</t>
    </r>
  </si>
  <si>
    <t>DS3&gt;DS19, DS12&gt;DS19</t>
  </si>
  <si>
    <t>A24</t>
  </si>
  <si>
    <t>As the product does not store any credentials or cryptographic secrets, no such data can be extracted from the product or be misused by an attacker.</t>
  </si>
  <si>
    <t>Damage scenario for damage transformation: Patents protect intellectual property</t>
  </si>
  <si>
    <t>Contents of the analysis or the template. May be text or a formula.</t>
  </si>
  <si>
    <t>C4, C26, A19</t>
  </si>
  <si>
    <t>C4, C26, A20</t>
  </si>
  <si>
    <t>AS32</t>
  </si>
  <si>
    <t>Creates Risk</t>
  </si>
  <si>
    <t>Prep Attack Search</t>
  </si>
  <si>
    <t>Is Active Attack Step</t>
  </si>
  <si>
    <r>
      <t xml:space="preserve">* Whenever several items can be referenced, use comma-separated lists, denoted as </t>
    </r>
    <r>
      <rPr>
        <i/>
        <sz val="11"/>
        <color theme="0"/>
        <rFont val="Calibri"/>
        <family val="2"/>
        <scheme val="minor"/>
      </rPr>
      <t>CSV</t>
    </r>
    <r>
      <rPr>
        <sz val="11"/>
        <color theme="0"/>
        <rFont val="Calibri"/>
        <family val="2"/>
        <scheme val="minor"/>
      </rPr>
      <t xml:space="preserve"> in the explanations below.</t>
    </r>
  </si>
  <si>
    <t>Calculated: Provides the remaining risk, given the calculated damage level and RAP with countermeasures and assumptions.</t>
  </si>
  <si>
    <t>Damage Scenario Text (depends on answers to questionnaire)</t>
  </si>
  <si>
    <t>Compromising the product using a software vulnerability</t>
  </si>
  <si>
    <t>Compromising an untrusted device that communicates directly with the product</t>
  </si>
  <si>
    <t>Questionnaire Provides Damage Criterion?</t>
  </si>
  <si>
    <r>
      <t xml:space="preserve">Place an x here if the second answer in the </t>
    </r>
    <r>
      <rPr>
        <i/>
        <sz val="11"/>
        <color theme="0"/>
        <rFont val="Calibri"/>
        <family val="2"/>
        <scheme val="minor"/>
      </rPr>
      <t>Questionnaire</t>
    </r>
    <r>
      <rPr>
        <sz val="11"/>
        <color theme="0"/>
        <rFont val="Calibri"/>
        <family val="2"/>
        <scheme val="minor"/>
      </rPr>
      <t xml:space="preserve"> sheet contains the damage criterion for the damage scenario.</t>
    </r>
  </si>
  <si>
    <t>Explicit Damage Criterion</t>
  </si>
  <si>
    <t>Calculated: If the damage scenario is active, then a damage criterion is calculated: If an explicit damage criterion is provided, then this criterion applies. Otherwise, the damage criterion specified in Answer 2 applies.</t>
  </si>
  <si>
    <t>Explicit Explanation Text</t>
  </si>
  <si>
    <t>Optional: Provide an explanation for why the damage scenario is active and for its damage level.</t>
  </si>
  <si>
    <t>Calculated: If an explicit explanation text is provided, then this text is used. Otherwise, if a question ID is referenced, then the questions and answers belonging to this question ID are used.</t>
  </si>
  <si>
    <t>Active Damage Criterion</t>
  </si>
  <si>
    <t>Mitigated Attack Step Names</t>
  </si>
  <si>
    <t>Attack Step IDs</t>
  </si>
  <si>
    <t xml:space="preserve">Diplay at most # APs
(empty = all) </t>
  </si>
  <si>
    <t>Limit the number of displayed dominating attack paths to the given number. Leaving this empty displays all dominating attack paths.</t>
  </si>
  <si>
    <t>Drop-down menu: Optionally reference a damage criterion that differs from Answer 2.</t>
  </si>
  <si>
    <t>C4, A19</t>
  </si>
  <si>
    <t>AS33</t>
  </si>
  <si>
    <t>Disclosure of data by an untrusted entity receiving data from the product</t>
  </si>
  <si>
    <t>CM19</t>
  </si>
  <si>
    <t>A25</t>
  </si>
  <si>
    <t>As the product does not communicate any confidential data to its external communication partner, the communication partner cannot abuse the received information by disclosing it.</t>
  </si>
  <si>
    <t>DS1, DS2, DS3, DS4, DS5</t>
  </si>
  <si>
    <r>
      <t xml:space="preserve">Copy + Paste </t>
    </r>
    <r>
      <rPr>
        <b/>
        <sz val="11"/>
        <color rgb="FFFFB9B9"/>
        <rFont val="Calibri"/>
        <family val="2"/>
        <scheme val="minor"/>
      </rPr>
      <t>Values</t>
    </r>
    <r>
      <rPr>
        <sz val="11"/>
        <color rgb="FFFFB9B9"/>
        <rFont val="Calibri"/>
        <family val="2"/>
        <scheme val="minor"/>
      </rPr>
      <t>!</t>
    </r>
  </si>
  <si>
    <t>Helper: All IDs</t>
  </si>
  <si>
    <r>
      <t xml:space="preserve">Calculated: Lists all risk IDs currently defined in the </t>
    </r>
    <r>
      <rPr>
        <i/>
        <sz val="11"/>
        <color theme="0"/>
        <rFont val="Calibri"/>
        <family val="2"/>
        <scheme val="minor"/>
      </rPr>
      <t>Risks</t>
    </r>
    <r>
      <rPr>
        <sz val="11"/>
        <color theme="0"/>
        <rFont val="Calibri"/>
        <family val="2"/>
        <scheme val="minor"/>
      </rPr>
      <t xml:space="preserve"> sheet. These can be copied (as </t>
    </r>
    <r>
      <rPr>
        <b/>
        <sz val="11"/>
        <color theme="0"/>
        <rFont val="Calibri"/>
        <family val="2"/>
        <scheme val="minor"/>
      </rPr>
      <t>values</t>
    </r>
    <r>
      <rPr>
        <sz val="11"/>
        <color theme="0"/>
        <rFont val="Calibri"/>
        <family val="2"/>
        <scheme val="minor"/>
      </rPr>
      <t xml:space="preserve">!) into the </t>
    </r>
    <r>
      <rPr>
        <i/>
        <sz val="11"/>
        <color theme="0"/>
        <rFont val="Calibri"/>
        <family val="2"/>
        <scheme val="minor"/>
      </rPr>
      <t>R ID</t>
    </r>
    <r>
      <rPr>
        <sz val="11"/>
        <color theme="0"/>
        <rFont val="Calibri"/>
        <family val="2"/>
        <scheme val="minor"/>
      </rPr>
      <t xml:space="preserve"> column for ease of use.</t>
    </r>
  </si>
  <si>
    <t># Attack Paths:</t>
  </si>
  <si>
    <t># Additional Assumptions:</t>
  </si>
  <si>
    <t># Additional Countermeasures:</t>
  </si>
  <si>
    <t># Questions:</t>
  </si>
  <si>
    <t xml:space="preserve"> caused by a disclosure or misuse of cyptographic material by the manipulated product</t>
  </si>
  <si>
    <t>AS34</t>
  </si>
  <si>
    <t>Attacking the product's outgoing communication to an external communication partner over the Internet or a mobile network</t>
  </si>
  <si>
    <t>A26</t>
  </si>
  <si>
    <t>A27</t>
  </si>
  <si>
    <t>AS35</t>
  </si>
  <si>
    <t>Getting access to a wireless network</t>
  </si>
  <si>
    <t>CM20</t>
  </si>
  <si>
    <t>A28</t>
  </si>
  <si>
    <t>AS1, AS2, AS13, AS27, AS34</t>
  </si>
  <si>
    <t>Attacking the product or its communication from an untrusted local network</t>
  </si>
  <si>
    <t>A29</t>
  </si>
  <si>
    <t>The product cannot ensure that the wireless communication network is available. Consequently, the operational environment must ensure the availability of the wireless infrastructure or offer compensating countermeasures if the wireless communication network is not available.</t>
  </si>
  <si>
    <t>As the product does not transmit confidential cryptographic material, eavesdropping on its communication cannot disclose confidential cryptographic material.</t>
  </si>
  <si>
    <t>DS7, DS9</t>
  </si>
  <si>
    <t>AS1, AS13, AS27</t>
  </si>
  <si>
    <t>AS3, AS5, AS7, AS16, AS18, AS23, AS24, AS25, AS26, AS29</t>
  </si>
  <si>
    <t>A30</t>
  </si>
  <si>
    <t>Vandalism or other forms of physical destruction of the product are not in scope of this analysis.</t>
  </si>
  <si>
    <t>Scope definition - physical vandalism cannot be managed by the product's cybersecurity, but must be handled by compensating countermeasures, such as physical access control or monitoring.</t>
  </si>
  <si>
    <t>AS25, AS26</t>
  </si>
  <si>
    <t>A31</t>
  </si>
  <si>
    <t>Attacking the product from the Internet or a mobile network</t>
  </si>
  <si>
    <t>Attacking the product's incoming communication from the Internet or a mobile network</t>
  </si>
  <si>
    <t>AS36</t>
  </si>
  <si>
    <t xml:space="preserve"> AS7, AS19, AS34, AS36</t>
  </si>
  <si>
    <t>AS1, AS2, AS9, AS12, AS13, AS27, AS28, AS36</t>
  </si>
  <si>
    <t>C4, C18</t>
  </si>
  <si>
    <t>AS1, AS2, AS12, AS13, AS27, AS34, AS36</t>
  </si>
  <si>
    <t>Can a loss of availability of the product (or its communication) endanger the health of people?
(Consider how the operational environment reacts to a loss of availability of the product.)</t>
  </si>
  <si>
    <t>Accumulated Elements for This Sheet</t>
  </si>
  <si>
    <t>It is possible that the person affected will be negatively affected in his or her social status or economic situation</t>
  </si>
  <si>
    <t>Writing a functioning exploit typically requires a few weeks of preparation, expert knowledge and information regarding the targeted system (potentially gained with reverse engineering)</t>
  </si>
  <si>
    <t>Spoofing or tampering with outgoing communication in a meaningful (malicious!) way typically requires a few days of preparation, expert knowledge and information regarding the targeted system (potentially gained with reverse engineering). Note that this is typically easier than writing an exploit for a software vulnerability</t>
  </si>
  <si>
    <t>Spoofing or tampering with incoming communication in a meaningful (malicious!) way typically requires a few days of preparation, expert knowledge and information regarding the targeted system (potentially gained with reverse engineering). Note that this is typically easier than writing an exploit for a software vulnerability</t>
  </si>
  <si>
    <t>In the worst case, the product has a known vulnerability with available exploit over the Internet. Note that this differs from finding and exploiting a software vulnerability in an embedded system, as this might be standard communication software with well-known parts</t>
  </si>
  <si>
    <t>&lt;= one week: The attacker needs a few days to prepare the attack
Expert: The attacker needs to understand how to construct malicious data for the targeted product
Restricted: The attacker needs to know the targeted product</t>
  </si>
  <si>
    <t>Expert: The attacker needs skill to extract data (that can be analyzed later)
The other factors depend on the kind of memory that is being attacked</t>
  </si>
  <si>
    <t xml:space="preserve"> &lt;= one week: The attacker needs a few days to develop the attack
Expert: The attacker needs profound understanding of hardware manipulation
Restricted: The attacker needs internal knowledge about the attacked system (including its memory layout, potentially obtained by reverse engineering)</t>
  </si>
  <si>
    <t>Proficient: The attacker needs knowledge of the attacked protocol. In case of web protocols (such as RESTful APIs etc.) this might be well-known to many
Unnecessary / unlimited access: The attack can be conducted over the Internet or a mobile network</t>
  </si>
  <si>
    <t>None: See the description</t>
  </si>
  <si>
    <t>None: As the operational environment is trustworthy, no attacks are expected to originate from there</t>
  </si>
  <si>
    <t>Difficult: As the product is not easily accessible, gaining access to it is difficult</t>
  </si>
  <si>
    <t>None: As access to the area is restricted, physical access by unauthorized entities is not relevant for the analysis</t>
  </si>
  <si>
    <t>As no confidential data is communicated, the receiving entity cannot disclose any confidential data</t>
  </si>
  <si>
    <t>As no cryptographic material is transmitted, no such data can be misused by eavesdropping on transmissions</t>
  </si>
  <si>
    <t>As the customer is prepared to handle outages of wireless communication, the loss of wireless communication does not cause significant disturbances in the product's operational environment</t>
  </si>
  <si>
    <t>Managing the communication load limits the effects of an active DoS attack and ensures that the product can recover after the attack</t>
  </si>
  <si>
    <t>Note that this protects intellectual property to a certain degree while also making reverse engineering attempts more difficult (in terms of the time required as well as the expertise needed).</t>
  </si>
  <si>
    <t>None: Given a secure password, guessing the password within a reasonable time frame is highly unlikely</t>
  </si>
  <si>
    <t>None: Without access to the private key for the certificate, the attacker cannot authenticate successfully</t>
  </si>
  <si>
    <t>As the debug interfaces are physically closed, accessing them is not plausible</t>
  </si>
  <si>
    <t>Given state-of-the-art protocols, cryptographic algorithms, and parameters, an attacker cannot access transmitted data within a reasonable time frame</t>
  </si>
  <si>
    <t>Patents do not prevent leakage of intellectual property, but they can prevent its abuse by competitors</t>
  </si>
  <si>
    <t>QA1</t>
  </si>
  <si>
    <t>QA2[Yes|Internet-facing gateway]</t>
  </si>
  <si>
    <t>QA2[Yes|*]</t>
  </si>
  <si>
    <t>QA2</t>
  </si>
  <si>
    <t>QA3[Yes|No]</t>
  </si>
  <si>
    <t>QA3</t>
  </si>
  <si>
    <t>QA3[Yes|*], QA4[Yes|*]</t>
  </si>
  <si>
    <t>QA4</t>
  </si>
  <si>
    <t>QA5[Yes|*]</t>
  </si>
  <si>
    <t>QA5</t>
  </si>
  <si>
    <t>QA6</t>
  </si>
  <si>
    <t>QA7</t>
  </si>
  <si>
    <t>QA8[Yes|*]</t>
  </si>
  <si>
    <t>QA8[No]</t>
  </si>
  <si>
    <t>QA8</t>
  </si>
  <si>
    <t>QA9[Yes]</t>
  </si>
  <si>
    <t>QA9</t>
  </si>
  <si>
    <t>QA4[Yes|No], QA12[Yes|No]</t>
  </si>
  <si>
    <t>QA12</t>
  </si>
  <si>
    <t>QA4[Yes|Yes], QA12[Yes|Yes], QA13[Yes|Yes]</t>
  </si>
  <si>
    <t>QA5[Yes|*], QA13[Yes|*]</t>
  </si>
  <si>
    <t>QA13</t>
  </si>
  <si>
    <t>QA14[Yes]</t>
  </si>
  <si>
    <t>QA14[*]</t>
  </si>
  <si>
    <t>QA14[No]</t>
  </si>
  <si>
    <t>QA14</t>
  </si>
  <si>
    <t>QA15[No]</t>
  </si>
  <si>
    <t>QA15</t>
  </si>
  <si>
    <t>QA16[No]</t>
  </si>
  <si>
    <t>QA3[Yes|Yes], QA4[Yes|Yes], QA5[Yes|Yes], QA15[No], QA16[No]</t>
  </si>
  <si>
    <t>QA16</t>
  </si>
  <si>
    <t>QA17[Yes|Yes]</t>
  </si>
  <si>
    <t>QA17[Yes|*]</t>
  </si>
  <si>
    <t>QA17</t>
  </si>
  <si>
    <t>QI16</t>
  </si>
  <si>
    <t>QI16[No]</t>
  </si>
  <si>
    <t>QI15</t>
  </si>
  <si>
    <t>QI14</t>
  </si>
  <si>
    <t>QI14[Yes|Disturbance], QI14[Yes|Service Required], QI14[Yes|Major Disturbance]</t>
  </si>
  <si>
    <t>QI13</t>
  </si>
  <si>
    <t>QI12</t>
  </si>
  <si>
    <t>QI11</t>
  </si>
  <si>
    <t>QI10</t>
  </si>
  <si>
    <t>QI10, QI14, QI15, QI16</t>
  </si>
  <si>
    <t>QI10, QI11, QI12, QI13, QI14, QI15, QI16</t>
  </si>
  <si>
    <t>QI10[No]</t>
  </si>
  <si>
    <t>QI9</t>
  </si>
  <si>
    <t>QI9[No]</t>
  </si>
  <si>
    <t>QI8</t>
  </si>
  <si>
    <t>QI8[No]</t>
  </si>
  <si>
    <t>QI7</t>
  </si>
  <si>
    <t>QI7[Yes|Disturbance], QI7[Yes|Service Required], QI7[Yes|Major Disturbance]</t>
  </si>
  <si>
    <t>QI6</t>
  </si>
  <si>
    <t>QI6, QI7, QI8, QI9</t>
  </si>
  <si>
    <t>QI6, QI7, QI8, QI9, QI10, QI11, QI12, QI13, QI14, QI15, QI16</t>
  </si>
  <si>
    <t>QI5</t>
  </si>
  <si>
    <t>QI5[No]</t>
  </si>
  <si>
    <t>QI4</t>
  </si>
  <si>
    <t>QI4[No]</t>
  </si>
  <si>
    <t>QI3</t>
  </si>
  <si>
    <t>QI3, QI12</t>
  </si>
  <si>
    <t>QI2</t>
  </si>
  <si>
    <t>QI2, QI4, QI5</t>
  </si>
  <si>
    <t>QI2[Yes|*], QI4[Yes|*], QI5[Yes|*]</t>
  </si>
  <si>
    <t>QI1</t>
  </si>
  <si>
    <t>QI1, QI10, QI11, QI12, QI13, QI14, QI15, QI16</t>
  </si>
  <si>
    <t>QI1, QI2, QI4, QI5</t>
  </si>
  <si>
    <t>QI1, QI2, QI3, QI4, QI5</t>
  </si>
  <si>
    <t>QI1[Yes|Yes]</t>
  </si>
  <si>
    <t>QI1[Yes|No]</t>
  </si>
  <si>
    <t>QI2[No]</t>
  </si>
  <si>
    <t>A32</t>
  </si>
  <si>
    <t>Even if the product is manipulated and used against its intended purpose, it cannot disclose personal data to an attacker as the product has no access to personal data.</t>
  </si>
  <si>
    <t>QI11[No]</t>
  </si>
  <si>
    <t>QI7[No]</t>
  </si>
  <si>
    <t>A33</t>
  </si>
  <si>
    <t>Even a compromised product cannot affect the availability of its operational environment.</t>
  </si>
  <si>
    <t>QI14[No]</t>
  </si>
  <si>
    <t>AS37</t>
  </si>
  <si>
    <t>The product is manipulated during production and consequently behaves maliciously</t>
  </si>
  <si>
    <t>AS38</t>
  </si>
  <si>
    <t>AS1, AS2, AS9, AS12, AS13, AS15, AS17, AS27, AS28</t>
  </si>
  <si>
    <t>AS1, AS2, AS9, AS12, AS13, AS15, AS27, AS28</t>
  </si>
  <si>
    <t>Manipulated parts from the supply chain are integrated into the product, leading to the product behaving maliciously</t>
  </si>
  <si>
    <t>PM Contact</t>
  </si>
  <si>
    <t>RD Contact</t>
  </si>
  <si>
    <t>CSS</t>
  </si>
  <si>
    <t>CSTS</t>
  </si>
  <si>
    <t>Company Name</t>
  </si>
  <si>
    <t xml:space="preserve"> </t>
  </si>
  <si>
    <t>Are the product's physical connections (such as attached bus cables) typically installed in an environment with public access?</t>
  </si>
  <si>
    <t>QI Mitigation and Proposal Do Not Match Text</t>
  </si>
  <si>
    <t>QI Mitigation ID</t>
  </si>
  <si>
    <t>Selected mitigations that do not match the proposed options</t>
  </si>
  <si>
    <t>Destruction of plant, severe damage to assets or operational environment, critical disturbance of function</t>
  </si>
  <si>
    <t>Singular incident with limited environmental damage</t>
  </si>
  <si>
    <t>Definitions and Damage Scenarios Version History</t>
  </si>
  <si>
    <t>Environmental damage</t>
  </si>
  <si>
    <t>Critical environmental damage</t>
  </si>
  <si>
    <t>Environmental damages that accumulate to critical impact over time as well as critical damages that happen in a single incident</t>
  </si>
  <si>
    <t>An attacker prevents the product from communicating with an external entity (over the Internet or a mobile network). Consequently, the product cannot fulfill any functionality that depends on communication with the external entity.</t>
  </si>
  <si>
    <t>Disrupting the product's communication with an external entity (with communication over the Internet or a mobile network)</t>
  </si>
  <si>
    <t>QA18</t>
  </si>
  <si>
    <t>QA19</t>
  </si>
  <si>
    <t>Is the product produced in a secure environment?</t>
  </si>
  <si>
    <t>QA18[Yes]</t>
  </si>
  <si>
    <t>QA18[*]</t>
  </si>
  <si>
    <t>QA19[Yes|Yes]</t>
  </si>
  <si>
    <t>QA19[*]</t>
  </si>
  <si>
    <r>
      <t xml:space="preserve">As the product does not receive any sensitive data (except updates / configuration / debug communication, as these are covered separately), attacks on received data are not plausible. </t>
    </r>
    <r>
      <rPr>
        <i/>
        <sz val="11"/>
        <color theme="0"/>
        <rFont val="Calibri"/>
        <family val="2"/>
        <scheme val="minor"/>
      </rPr>
      <t>Sensitive data</t>
    </r>
    <r>
      <rPr>
        <sz val="11"/>
        <color theme="0"/>
        <rFont val="Calibri"/>
        <family val="2"/>
        <scheme val="minor"/>
      </rPr>
      <t xml:space="preserve"> includes any data that must be confidential or authentic.</t>
    </r>
  </si>
  <si>
    <t>As no sensitive data is exchanged, no damages can occur.</t>
  </si>
  <si>
    <t>C1, C3, C5, C6, C7, C8, C28</t>
  </si>
  <si>
    <t>C1, C18</t>
  </si>
  <si>
    <t>C1, C27</t>
  </si>
  <si>
    <t>C1, C3, C5, C6, C7, C8, C18, C28</t>
  </si>
  <si>
    <t>SSH with universal key</t>
  </si>
  <si>
    <t>Replay protection
Encryption
Secret shared among several devices (e.g., device familiy)</t>
  </si>
  <si>
    <t>SSH with individual key</t>
  </si>
  <si>
    <t>Replay protection
Encryption
Individual secret for each device</t>
  </si>
  <si>
    <t>Standard Oauth2</t>
  </si>
  <si>
    <t>OpenID Connect</t>
  </si>
  <si>
    <t>Options Range Header</t>
  </si>
  <si>
    <t>Resulting Options</t>
  </si>
  <si>
    <t>Info Text</t>
  </si>
  <si>
    <t xml:space="preserve">Options Range Header </t>
  </si>
  <si>
    <t xml:space="preserve">Resulting Options </t>
  </si>
  <si>
    <t xml:space="preserve">Info Text </t>
  </si>
  <si>
    <t>H1</t>
  </si>
  <si>
    <t>Text</t>
  </si>
  <si>
    <t>Height</t>
  </si>
  <si>
    <t xml:space="preserve">Height </t>
  </si>
  <si>
    <t>First Answer</t>
  </si>
  <si>
    <t>Second Answer</t>
  </si>
  <si>
    <t>H1.1</t>
  </si>
  <si>
    <t>H1.2</t>
  </si>
  <si>
    <t>H1.3</t>
  </si>
  <si>
    <t>H2</t>
  </si>
  <si>
    <t>H2.1</t>
  </si>
  <si>
    <t>H2.2</t>
  </si>
  <si>
    <t>H2.3</t>
  </si>
  <si>
    <t>Is a Question</t>
  </si>
  <si>
    <t>H1.1.1</t>
  </si>
  <si>
    <t>H1.1.2</t>
  </si>
  <si>
    <t>H1.1.3</t>
  </si>
  <si>
    <t>H1.2.1</t>
  </si>
  <si>
    <t>H1.2.2</t>
  </si>
  <si>
    <t>H1.2.3</t>
  </si>
  <si>
    <t>H1.3.1</t>
  </si>
  <si>
    <t>H1.3.2</t>
  </si>
  <si>
    <t>H1.3.3</t>
  </si>
  <si>
    <t>H1.3.4</t>
  </si>
  <si>
    <t>A1 Options Header</t>
  </si>
  <si>
    <t>A1 Height</t>
  </si>
  <si>
    <t>A2 Options Header</t>
  </si>
  <si>
    <t>A2 Height</t>
  </si>
  <si>
    <t>A1 Info Text</t>
  </si>
  <si>
    <t>A2 Info Text</t>
  </si>
  <si>
    <t>Inactive</t>
  </si>
  <si>
    <t>Inactive On</t>
  </si>
  <si>
    <t>QA1[No]</t>
  </si>
  <si>
    <t>Is Inactive</t>
  </si>
  <si>
    <t>Second Answer Required</t>
  </si>
  <si>
    <t>QA1[No], QA7[No]</t>
  </si>
  <si>
    <t>A unique ID for the questionnaire element.</t>
  </si>
  <si>
    <t>This sheet contains questions as well as headings to structure the questionnaire.</t>
  </si>
  <si>
    <t>A unique ID for the question. Note that IDs of non-question items are hidden to keep the focus on the questions.</t>
  </si>
  <si>
    <r>
      <t xml:space="preserve">Defines the indentation of the element in the </t>
    </r>
    <r>
      <rPr>
        <i/>
        <sz val="11"/>
        <color theme="0"/>
        <rFont val="Calibri"/>
        <family val="2"/>
        <scheme val="minor"/>
      </rPr>
      <t>Questionnaire</t>
    </r>
    <r>
      <rPr>
        <sz val="11"/>
        <color theme="0"/>
        <rFont val="Calibri"/>
        <family val="2"/>
        <scheme val="minor"/>
      </rPr>
      <t xml:space="preserve"> sheet.</t>
    </r>
  </si>
  <si>
    <t>Usually indicates the hierarchy of the element within the sheet.</t>
  </si>
  <si>
    <r>
      <t xml:space="preserve">IDs of non-question elements will be hidden in the </t>
    </r>
    <r>
      <rPr>
        <i/>
        <sz val="11"/>
        <color theme="0"/>
        <rFont val="Calibri"/>
        <family val="2"/>
        <scheme val="minor"/>
      </rPr>
      <t xml:space="preserve">Questionnaire </t>
    </r>
    <r>
      <rPr>
        <sz val="11"/>
        <color theme="0"/>
        <rFont val="Calibri"/>
        <family val="2"/>
        <scheme val="minor"/>
      </rPr>
      <t>sheet.</t>
    </r>
  </si>
  <si>
    <t>Defines whether an element is a question or another element. Use an "x" to mark an element as question.</t>
  </si>
  <si>
    <t>Additional information</t>
  </si>
  <si>
    <t>Provide the height of the answer options.</t>
  </si>
  <si>
    <r>
      <t xml:space="preserve">Provide the address of the topmost cell in the range of possible answers to the question. This range defines the values in the drop-down menu for Answer 1 on the </t>
    </r>
    <r>
      <rPr>
        <i/>
        <sz val="11"/>
        <color theme="0"/>
        <rFont val="Calibri"/>
        <family val="2"/>
        <scheme val="minor"/>
      </rPr>
      <t>Questionnaire</t>
    </r>
    <r>
      <rPr>
        <sz val="11"/>
        <color theme="0"/>
        <rFont val="Calibri"/>
        <family val="2"/>
        <scheme val="minor"/>
      </rPr>
      <t xml:space="preserve"> sheet.</t>
    </r>
  </si>
  <si>
    <t>Calculated: Displays the values in the provided range (see the previous two columns).</t>
  </si>
  <si>
    <t>Provide the text to be displayed, depending on the provided answer. Make sure that all values are covered, potentially by an empty string.</t>
  </si>
  <si>
    <t>List answers that cause this element to become inactive.</t>
  </si>
  <si>
    <t>Syntax:
&lt;Answer value 1&gt;: &lt;Text value 1&gt;Line_break
…
&lt;Answer value n&gt;: &lt;Text value n&gt;</t>
  </si>
  <si>
    <t>Syntax:
&lt;Question ID&gt;[&lt;Answer&gt;], …
Example:
QA1[No], QA7[No]</t>
  </si>
  <si>
    <t>Question Text</t>
  </si>
  <si>
    <t>C14, C15, C25, C27</t>
  </si>
  <si>
    <t>Decades: Given a secure password, guessing the password within a reasonable time frame is highly unlikely</t>
  </si>
  <si>
    <t>Decades: Without access to the private key for the certificate, the attacker cannot authenticate successfully</t>
  </si>
  <si>
    <t>Secure update: RE1 Update authenticity and integrity
EDR 3.10 / HDR 3.10 / NDR 3.10 – Support for updates</t>
  </si>
  <si>
    <t>A34</t>
  </si>
  <si>
    <t>The product's configuration is secure by default. If user generated passwords are required, then the user is prompted to change the password on first use. The secure defaults are restored by a factory reset, if applicable.</t>
  </si>
  <si>
    <t>Compromising the product with direct access to its persistent memory</t>
  </si>
  <si>
    <t>Data extraction from the product's persistent memory</t>
  </si>
  <si>
    <t>AS39</t>
  </si>
  <si>
    <t>Data extraction from the product's volatile memory</t>
  </si>
  <si>
    <t>&lt;= one month: It takes time to create a suitable setup.
Expert: Extracting data from volatile memory is difficult.
Restricted: The attacker needs to understand the memory layout.
Moderate: The device must be removed and disassembled.
Bespoke: Non-standard equipment for the process.</t>
  </si>
  <si>
    <t>CM21</t>
  </si>
  <si>
    <t>Protection in hardware prevents attackers from accessing data in the TEE</t>
  </si>
  <si>
    <t xml:space="preserve">
The attacker needs significant time and knowledge to attack secure boot, as well as access to the attacked hardware.</t>
  </si>
  <si>
    <t>AS3, AS39</t>
  </si>
  <si>
    <t>None: The supply chain partners are trustworthy and protected against attacks</t>
  </si>
  <si>
    <t>C1, C3, C5, C6, C7, C8, C28, A19</t>
  </si>
  <si>
    <t>Given state-of-the-art cryptography and parameters, an attacker cannot successfully provide a manipulated software update without the receiving party noticing it</t>
  </si>
  <si>
    <t>LDAP over TLS</t>
  </si>
  <si>
    <t>Lightweight Directory Access Protocol (LDAP) with Transport Layer Security (TLS)</t>
  </si>
  <si>
    <t>A35</t>
  </si>
  <si>
    <t>Attack path not applicable or not plausible</t>
  </si>
  <si>
    <t>This assumption is assigned in cases where an attack path (derived from the answers to the questionnaire) is not applicable or not plausible at closer inspection. Note that this requires a rationale in the comment when applied.</t>
  </si>
  <si>
    <t>No Risk</t>
  </si>
  <si>
    <t>TODO</t>
  </si>
  <si>
    <t>CM5, CM11</t>
  </si>
  <si>
    <t>Can a manipulated product disclose credentials / cryptographic material to an attacker? Also consider cases where the product does not disclose the material but misuses its access to other systems! (E.g., product contains access credentials to store data on a server.)</t>
  </si>
  <si>
    <t>QA10a</t>
  </si>
  <si>
    <t>QA10b</t>
  </si>
  <si>
    <t>Does the product communicate with an external system locally (e.g., a USB stick, an SD card, an RFID tag)?</t>
  </si>
  <si>
    <t>QA6[Yes], QA10b[Yes|*]</t>
  </si>
  <si>
    <t>QA10a[Yes|No], QA10b[Yes|No]</t>
  </si>
  <si>
    <t>QA3[Yes|Yes], QA10a[Yes|Yes], QA10b[Yes|Yes]</t>
  </si>
  <si>
    <t>QA10b[Yes|*]</t>
  </si>
  <si>
    <t>Does the product have debug / development interfaces (e.g., JTAG, root access over ssh)?</t>
  </si>
  <si>
    <t xml:space="preserve"> &lt;= one week: The attacker needs a few days to find inputs that circumvent the input validation
Expert: The attacker needs to understand that input validation is operational and how to circumvent it
Sensitive: The attacker needs to understand how the product validates its inputs</t>
  </si>
  <si>
    <t>QA4[Yes|Yes], QA5[Yes|Yes], QA12[Yes|Yes], QA13[Yes|Yes]</t>
  </si>
  <si>
    <t>A36</t>
  </si>
  <si>
    <t>The wireless network used over a gateway is trustworthy and sufficiently protected against attacks that would allow attackers to access this network.</t>
  </si>
  <si>
    <t>QA13[Yes|Yes]</t>
  </si>
  <si>
    <t>Prevents attackers from accessing the trusted wireless network the product uses over a gateway. Note that this network is not part of the product.</t>
  </si>
  <si>
    <t>Are the supply chain partners trustworthy and protected against attacks?</t>
  </si>
  <si>
    <t>Note that compensating countermeasures are typically linked to specific assumptions resulting from answers to the questionnaire. These assumptions must be communicated clearly to the party responsible for implementing the compensating countermeasures -- typically the customer.</t>
  </si>
  <si>
    <r>
      <t xml:space="preserve">Recommendation: Copy the column </t>
    </r>
    <r>
      <rPr>
        <i/>
        <sz val="11"/>
        <color theme="0"/>
        <rFont val="Calibri"/>
        <family val="2"/>
        <scheme val="minor"/>
      </rPr>
      <t>Proposed Active Assumptions</t>
    </r>
    <r>
      <rPr>
        <sz val="11"/>
        <color theme="0"/>
        <rFont val="Calibri"/>
        <family val="2"/>
        <scheme val="minor"/>
      </rPr>
      <t xml:space="preserve"> and paste </t>
    </r>
    <r>
      <rPr>
        <i/>
        <sz val="11"/>
        <color theme="0"/>
        <rFont val="Calibri"/>
        <family val="2"/>
        <scheme val="minor"/>
      </rPr>
      <t xml:space="preserve">as values </t>
    </r>
    <r>
      <rPr>
        <sz val="11"/>
        <color theme="0"/>
        <rFont val="Calibri"/>
        <family val="2"/>
        <scheme val="minor"/>
      </rPr>
      <t xml:space="preserve">into the column </t>
    </r>
    <r>
      <rPr>
        <i/>
        <sz val="11"/>
        <color theme="0"/>
        <rFont val="Calibri"/>
        <family val="2"/>
        <scheme val="minor"/>
      </rPr>
      <t>C and A IDs</t>
    </r>
    <r>
      <rPr>
        <sz val="11"/>
        <color theme="0"/>
        <rFont val="Calibri"/>
        <family val="2"/>
        <scheme val="minor"/>
      </rPr>
      <t>.
These assumptions match the answers provided in the questionnnaire. See below for additional information.</t>
    </r>
  </si>
  <si>
    <r>
      <t xml:space="preserve">Recommendation: Copy these first:
(1) Select the proposed assumptions: Select the cell below </t>
    </r>
    <r>
      <rPr>
        <i/>
        <sz val="11"/>
        <color theme="0"/>
        <rFont val="Calibri"/>
        <family val="2"/>
        <scheme val="minor"/>
      </rPr>
      <t>Proposed Active Assumptions</t>
    </r>
    <r>
      <rPr>
        <sz val="11"/>
        <color theme="0"/>
        <rFont val="Calibri"/>
        <family val="2"/>
        <scheme val="minor"/>
      </rPr>
      <t xml:space="preserve">, then press Ctrl+Space.
(2) Copy the values: Press Ctrl+C.
(3) Select the target: Select the cell below </t>
    </r>
    <r>
      <rPr>
        <i/>
        <sz val="11"/>
        <color theme="0"/>
        <rFont val="Calibri"/>
        <family val="2"/>
        <scheme val="minor"/>
      </rPr>
      <t>C and A IDs</t>
    </r>
    <r>
      <rPr>
        <sz val="11"/>
        <color theme="0"/>
        <rFont val="Calibri"/>
        <family val="2"/>
        <scheme val="minor"/>
      </rPr>
      <t>.
(4) Paste as values:
   Right click --&gt; Paste as values or
   Ctrl+Alt+V --&gt; Values.</t>
    </r>
  </si>
  <si>
    <t>If the message "Please enlarge the table to calculate all risks!" is displayed, then follow these steps:
(1) Click on the blue triangle in the bottom right corner of the table, above the area colored in red.
(2) Hold the left mouse button and drag the mouse downward until the red area is covered.</t>
  </si>
  <si>
    <t>Quick Start Guide (See below for more detailed explanations)</t>
  </si>
  <si>
    <t>Lime</t>
  </si>
  <si>
    <t>Highlights the sheets that must be filled in an analysis.</t>
  </si>
  <si>
    <t>Detailed explanations for each sheet</t>
  </si>
  <si>
    <t>A37</t>
  </si>
  <si>
    <t>Short-range wireless communication (such as RFID) cannot be accessed easily. Consequently, it is hard for an attacker to eavesdrop on the communication or to manipulate transmissions.</t>
  </si>
  <si>
    <t>AS5, AS6</t>
  </si>
  <si>
    <r>
      <t xml:space="preserve">* For all questions that contain several criteria (e.g., "Is the access to the network restricted </t>
    </r>
    <r>
      <rPr>
        <sz val="11"/>
        <color rgb="FFFFB9B9"/>
        <rFont val="Calibri"/>
        <family val="2"/>
        <scheme val="minor"/>
      </rPr>
      <t>and</t>
    </r>
    <r>
      <rPr>
        <sz val="11"/>
        <color theme="0"/>
        <rFont val="Calibri"/>
        <family val="2"/>
        <scheme val="minor"/>
      </rPr>
      <t xml:space="preserve"> are the devices in the network considered as trustworthy?":</t>
    </r>
  </si>
  <si>
    <t xml:space="preserve">   Only select "Yes" as an answer if all criteria a true (in this case, access is restricted and the devices are trustworthy).</t>
  </si>
  <si>
    <t>QA20</t>
  </si>
  <si>
    <t>QA21</t>
  </si>
  <si>
    <t>What is the product's expected lifetime?</t>
  </si>
  <si>
    <t>What is the product's planned support duration?</t>
  </si>
  <si>
    <t>Time frame</t>
  </si>
  <si>
    <t>0 - 5 years</t>
  </si>
  <si>
    <t>5 - 10 years</t>
  </si>
  <si>
    <t>10 - 20 years</t>
  </si>
  <si>
    <t>20+ years</t>
  </si>
  <si>
    <t>0 - 5 years:
5 - 10 years:
10 - 20 years:
20+ years:</t>
  </si>
  <si>
    <r>
      <t xml:space="preserve">Comment
</t>
    </r>
    <r>
      <rPr>
        <sz val="9"/>
        <color theme="0"/>
        <rFont val="Calibri"/>
        <family val="2"/>
        <scheme val="minor"/>
      </rPr>
      <t>To add a control or assumption:
{&lt;C or A&gt; &lt;Name&gt;[: &lt;RAP&gt;]}
RAP Options: Basic, Enhanced-Basic, Moderate, High, Beyond High</t>
    </r>
  </si>
  <si>
    <t>N-RAP-Calculated</t>
  </si>
  <si>
    <t>:</t>
  </si>
  <si>
    <t>N-RAP-Inline</t>
  </si>
  <si>
    <r>
      <t>RAP Delimiter
(</t>
    </r>
    <r>
      <rPr>
        <i/>
        <sz val="11"/>
        <color theme="0"/>
        <rFont val="Calibri"/>
        <family val="2"/>
        <scheme val="minor"/>
      </rPr>
      <t>Mitigation</t>
    </r>
    <r>
      <rPr>
        <sz val="11"/>
        <color theme="0"/>
        <rFont val="Calibri"/>
        <family val="2"/>
        <scheme val="minor"/>
      </rPr>
      <t xml:space="preserve"> sheet only)</t>
    </r>
  </si>
  <si>
    <t>Additional Mitigations</t>
  </si>
  <si>
    <t>Remaining Risk Factor Explanation</t>
  </si>
  <si>
    <t>Inline Mitigations</t>
  </si>
  <si>
    <t>QI Text Mismatch QA2 and QA6</t>
  </si>
  <si>
    <t>QI ID Mismatch QA2 and QA62</t>
  </si>
  <si>
    <t>Mismatch between the answers to QA2 and QA6</t>
  </si>
  <si>
    <t>QI Incorrect Risk ID Text</t>
  </si>
  <si>
    <t>QI Incorrect Risk ID ID</t>
  </si>
  <si>
    <t>Helper Link</t>
  </si>
  <si>
    <t>Additonal Question</t>
  </si>
  <si>
    <t>Sheet Names</t>
  </si>
  <si>
    <t>Undefined risk IDs in risk treatment</t>
  </si>
  <si>
    <r>
      <t xml:space="preserve">Defines risk treatment options for the </t>
    </r>
    <r>
      <rPr>
        <i/>
        <sz val="11"/>
        <color theme="0"/>
        <rFont val="Calibri"/>
        <family val="2"/>
        <scheme val="minor"/>
      </rPr>
      <t xml:space="preserve">Risk Treatment </t>
    </r>
    <r>
      <rPr>
        <sz val="11"/>
        <color theme="0"/>
        <rFont val="Calibri"/>
        <family val="2"/>
        <scheme val="minor"/>
      </rPr>
      <t>sheet.</t>
    </r>
  </si>
  <si>
    <r>
      <t xml:space="preserve">Defines options for a matching question in the </t>
    </r>
    <r>
      <rPr>
        <i/>
        <sz val="11"/>
        <color theme="0"/>
        <rFont val="Calibri"/>
        <family val="2"/>
        <scheme val="minor"/>
      </rPr>
      <t xml:space="preserve">Questionnaire </t>
    </r>
    <r>
      <rPr>
        <sz val="11"/>
        <color theme="0"/>
        <rFont val="Calibri"/>
        <family val="2"/>
        <scheme val="minor"/>
      </rPr>
      <t>sheet.</t>
    </r>
  </si>
  <si>
    <r>
      <t xml:space="preserve">Defines the maximum number of characters in each line for the questions in the </t>
    </r>
    <r>
      <rPr>
        <i/>
        <sz val="11"/>
        <color theme="0"/>
        <rFont val="Calibri"/>
        <family val="2"/>
        <scheme val="minor"/>
      </rPr>
      <t xml:space="preserve">Questionnaire </t>
    </r>
    <r>
      <rPr>
        <sz val="11"/>
        <color theme="0"/>
        <rFont val="Calibri"/>
        <family val="2"/>
        <scheme val="minor"/>
      </rPr>
      <t>sheet (→ formatting).</t>
    </r>
  </si>
  <si>
    <r>
      <t xml:space="preserve">Defines the stakeholders for assumptions, usually implying the party responsible for implementing compensating countermeasures from the product's point of view. Relevant in the </t>
    </r>
    <r>
      <rPr>
        <i/>
        <sz val="11"/>
        <color theme="0"/>
        <rFont val="Calibri"/>
        <family val="2"/>
        <scheme val="minor"/>
      </rPr>
      <t>Assumptions</t>
    </r>
    <r>
      <rPr>
        <sz val="11"/>
        <color theme="0"/>
        <rFont val="Calibri"/>
        <family val="2"/>
        <scheme val="minor"/>
      </rPr>
      <t xml:space="preserve"> and in the </t>
    </r>
    <r>
      <rPr>
        <i/>
        <sz val="11"/>
        <color theme="0"/>
        <rFont val="Calibri"/>
        <family val="2"/>
        <scheme val="minor"/>
      </rPr>
      <t xml:space="preserve">Assumptions and Countermeasures </t>
    </r>
    <r>
      <rPr>
        <sz val="11"/>
        <color theme="0"/>
        <rFont val="Calibri"/>
        <family val="2"/>
        <scheme val="minor"/>
      </rPr>
      <t>sheet.</t>
    </r>
  </si>
  <si>
    <r>
      <t xml:space="preserve">Defines the syntax for adding additional assumptions or countermeasures in comments or rationales. These additional elements are then listed in the </t>
    </r>
    <r>
      <rPr>
        <i/>
        <sz val="11"/>
        <color theme="0"/>
        <rFont val="Calibri"/>
        <family val="2"/>
        <scheme val="minor"/>
      </rPr>
      <t xml:space="preserve">Assumptions and Countermeasures </t>
    </r>
    <r>
      <rPr>
        <sz val="11"/>
        <color theme="0"/>
        <rFont val="Calibri"/>
        <family val="2"/>
        <scheme val="minor"/>
      </rPr>
      <t>sheet.</t>
    </r>
  </si>
  <si>
    <r>
      <t xml:space="preserve">Some answers to questions in the </t>
    </r>
    <r>
      <rPr>
        <i/>
        <sz val="11"/>
        <color theme="0"/>
        <rFont val="Calibri"/>
        <family val="2"/>
        <scheme val="minor"/>
      </rPr>
      <t xml:space="preserve">Questionnaire </t>
    </r>
    <r>
      <rPr>
        <sz val="11"/>
        <color theme="0"/>
        <rFont val="Calibri"/>
        <family val="2"/>
        <scheme val="minor"/>
      </rPr>
      <t xml:space="preserve">sheet activate assumptions or countermeasures. In this case, the comment for these questions is displayed in the </t>
    </r>
    <r>
      <rPr>
        <i/>
        <sz val="11"/>
        <color theme="0"/>
        <rFont val="Calibri"/>
        <family val="2"/>
        <scheme val="minor"/>
      </rPr>
      <t xml:space="preserve">Assumptions and Countermeasures </t>
    </r>
    <r>
      <rPr>
        <sz val="11"/>
        <color theme="0"/>
        <rFont val="Calibri"/>
        <family val="2"/>
        <scheme val="minor"/>
      </rPr>
      <t xml:space="preserve">sheet for the activated assumption or countermeasure.
Setting the entry under </t>
    </r>
    <r>
      <rPr>
        <i/>
        <sz val="11"/>
        <color theme="0"/>
        <rFont val="Calibri"/>
        <family val="2"/>
        <scheme val="minor"/>
      </rPr>
      <t xml:space="preserve">Display Blue Box </t>
    </r>
    <r>
      <rPr>
        <sz val="11"/>
        <color theme="0"/>
        <rFont val="Calibri"/>
        <family val="2"/>
        <scheme val="minor"/>
      </rPr>
      <t xml:space="preserve">to </t>
    </r>
    <r>
      <rPr>
        <i/>
        <sz val="11"/>
        <color theme="0"/>
        <rFont val="Calibri"/>
        <family val="2"/>
        <scheme val="minor"/>
      </rPr>
      <t xml:space="preserve">yes </t>
    </r>
    <r>
      <rPr>
        <sz val="11"/>
        <color theme="0"/>
        <rFont val="Calibri"/>
        <family val="2"/>
        <scheme val="minor"/>
      </rPr>
      <t>marks such comments with a blue margin.</t>
    </r>
  </si>
  <si>
    <t>The text of the questionnaire element.</t>
  </si>
  <si>
    <r>
      <t xml:space="preserve">Calculated: The first answer provided in the </t>
    </r>
    <r>
      <rPr>
        <i/>
        <sz val="11"/>
        <color theme="0"/>
        <rFont val="Calibri"/>
        <family val="2"/>
        <scheme val="minor"/>
      </rPr>
      <t>Questionnaire</t>
    </r>
    <r>
      <rPr>
        <sz val="11"/>
        <color theme="0"/>
        <rFont val="Calibri"/>
        <family val="2"/>
        <scheme val="minor"/>
      </rPr>
      <t xml:space="preserve"> sheet to the referenced question (see the </t>
    </r>
    <r>
      <rPr>
        <i/>
        <sz val="11"/>
        <color theme="0"/>
        <rFont val="Calibri"/>
        <family val="2"/>
        <scheme val="minor"/>
      </rPr>
      <t xml:space="preserve">ID </t>
    </r>
    <r>
      <rPr>
        <sz val="11"/>
        <color theme="0"/>
        <rFont val="Calibri"/>
        <family val="2"/>
        <scheme val="minor"/>
      </rPr>
      <t>column).</t>
    </r>
  </si>
  <si>
    <r>
      <t xml:space="preserve">Calculated: The second answer provided in the </t>
    </r>
    <r>
      <rPr>
        <i/>
        <sz val="11"/>
        <color theme="0"/>
        <rFont val="Calibri"/>
        <family val="2"/>
        <scheme val="minor"/>
      </rPr>
      <t>Questionnaire</t>
    </r>
    <r>
      <rPr>
        <sz val="11"/>
        <color theme="0"/>
        <rFont val="Calibri"/>
        <family val="2"/>
        <scheme val="minor"/>
      </rPr>
      <t xml:space="preserve"> sheet to the referenced question (see the </t>
    </r>
    <r>
      <rPr>
        <i/>
        <sz val="11"/>
        <color theme="0"/>
        <rFont val="Calibri"/>
        <family val="2"/>
        <scheme val="minor"/>
      </rPr>
      <t xml:space="preserve">ID </t>
    </r>
    <r>
      <rPr>
        <sz val="11"/>
        <color theme="0"/>
        <rFont val="Calibri"/>
        <family val="2"/>
        <scheme val="minor"/>
      </rPr>
      <t>column).</t>
    </r>
  </si>
  <si>
    <t>Syntax: &lt;Q ID&gt;[&lt;Answer 1&gt;|&lt;Answer 2&gt;]
Examples: QA4[Yes|Yes], QA14[Yes], QI2[Yes|*], where * serves as a wildcard accepting any answer.</t>
  </si>
  <si>
    <r>
      <t xml:space="preserve">CSV: Reference the IDs of questions whose answers imply damage scenarios caused by the attack step (cf. the </t>
    </r>
    <r>
      <rPr>
        <i/>
        <sz val="11"/>
        <color theme="0"/>
        <rFont val="Calibri"/>
        <family val="2"/>
        <scheme val="minor"/>
      </rPr>
      <t>DS Definition</t>
    </r>
    <r>
      <rPr>
        <sz val="11"/>
        <color theme="0"/>
        <rFont val="Calibri"/>
        <family val="2"/>
        <scheme val="minor"/>
      </rPr>
      <t xml:space="preserve"> sheet).</t>
    </r>
  </si>
  <si>
    <t>Example: The attack steps causes the damage scenarios related to question Qx. The actual damage scenario depends on the specific answers provided to Qx and might be "no damage scenario".</t>
  </si>
  <si>
    <t>CSV: Reference answers that activate this assumption (i.e., make sure that an answer that invalidates an attack path results in a documented assumption, e.g., on intended use of the product).</t>
  </si>
  <si>
    <t>Syntax: &lt;Q ID&gt;[&lt;Answer 1&gt;|&lt;Answer 2&gt;]
Examples: QI1[Yes|Yes], QI4[No], *, where * serves as a wildcard accepting any answer.</t>
  </si>
  <si>
    <t>Define damage scenario transformation effects here.</t>
  </si>
  <si>
    <t>Syntax: Use a DS ID to remove a damage scenario or DSx&gt;DSy to transform DSx into DSy.
Example: DS1, DS2&gt;DS3, DS4 removes damage scenarios DS1 and DS4 and transforms DS2 into DS3.</t>
  </si>
  <si>
    <t>CSV: Reference answers that activate this countermeasure (i.e., some countermeasures are required when specific circumstances apply).</t>
  </si>
  <si>
    <t>Syntax: &lt;Q ID&gt;[&lt;Answer 1&gt;|&lt;Answer 2&gt;]
Examples: QI1[Yes|No], QA8[Yes|*], *, where * serves as a wildcard accepting any answer.</t>
  </si>
  <si>
    <r>
      <t xml:space="preserve">Calculated: Lists the resulting damage scenario transformation. Note that the names of the damage scenarios can depend on the answers provided in the </t>
    </r>
    <r>
      <rPr>
        <i/>
        <sz val="11"/>
        <color theme="0"/>
        <rFont val="Calibri"/>
        <family val="2"/>
        <scheme val="minor"/>
      </rPr>
      <t xml:space="preserve">Questionnaire </t>
    </r>
    <r>
      <rPr>
        <sz val="11"/>
        <color theme="0"/>
        <rFont val="Calibri"/>
        <family val="2"/>
        <scheme val="minor"/>
      </rPr>
      <t>sheet. Consequently, some damage scenarios might be inactive, resulting in empty names next to the IDs in the list.</t>
    </r>
  </si>
  <si>
    <r>
      <t xml:space="preserve">A structuring element or a question. The sheet begins with questions on the </t>
    </r>
    <r>
      <rPr>
        <i/>
        <sz val="11"/>
        <color theme="0"/>
        <rFont val="Calibri"/>
        <family val="2"/>
        <scheme val="minor"/>
      </rPr>
      <t>impact rating</t>
    </r>
    <r>
      <rPr>
        <sz val="11"/>
        <color theme="0"/>
        <rFont val="Calibri"/>
        <family val="2"/>
        <scheme val="minor"/>
      </rPr>
      <t xml:space="preserve">, followed by questions on the </t>
    </r>
    <r>
      <rPr>
        <i/>
        <sz val="11"/>
        <color theme="0"/>
        <rFont val="Calibri"/>
        <family val="2"/>
        <scheme val="minor"/>
      </rPr>
      <t>attack feasibility rating</t>
    </r>
    <r>
      <rPr>
        <sz val="11"/>
        <color theme="0"/>
        <rFont val="Calibri"/>
        <family val="2"/>
        <scheme val="minor"/>
      </rPr>
      <t xml:space="preserve"> by first determining the assets and then the attack surface of the product and its operational environment.</t>
    </r>
  </si>
  <si>
    <t>Note that the questions are formatted by a formula, while the actual definitions of the text are located in the Questions sheet.</t>
  </si>
  <si>
    <r>
      <t xml:space="preserve">Provide a rationale or details when asked to. You may also add comments. Note that some answers activate assumptions or countermeasures. In this case, the comment for these questions is displayed in the </t>
    </r>
    <r>
      <rPr>
        <i/>
        <sz val="11"/>
        <color theme="0"/>
        <rFont val="Calibri"/>
        <family val="2"/>
        <scheme val="minor"/>
      </rPr>
      <t>Assumptions and Countermeasures</t>
    </r>
    <r>
      <rPr>
        <sz val="11"/>
        <color theme="0"/>
        <rFont val="Calibri"/>
        <family val="2"/>
        <scheme val="minor"/>
      </rPr>
      <t xml:space="preserve"> sheet for the activated assumption or countermeasure. Setting the entry under </t>
    </r>
    <r>
      <rPr>
        <i/>
        <sz val="11"/>
        <color theme="0"/>
        <rFont val="Calibri"/>
        <family val="2"/>
        <scheme val="minor"/>
      </rPr>
      <t>Display Blue Box</t>
    </r>
    <r>
      <rPr>
        <sz val="11"/>
        <color theme="0"/>
        <rFont val="Calibri"/>
        <family val="2"/>
        <scheme val="minor"/>
      </rPr>
      <t xml:space="preserve"> in the </t>
    </r>
    <r>
      <rPr>
        <i/>
        <sz val="11"/>
        <color theme="0"/>
        <rFont val="Calibri"/>
        <family val="2"/>
        <scheme val="minor"/>
      </rPr>
      <t>Definitions</t>
    </r>
    <r>
      <rPr>
        <sz val="11"/>
        <color theme="0"/>
        <rFont val="Calibri"/>
        <family val="2"/>
        <scheme val="minor"/>
      </rPr>
      <t xml:space="preserve"> sheet to </t>
    </r>
    <r>
      <rPr>
        <i/>
        <sz val="11"/>
        <color theme="0"/>
        <rFont val="Calibri"/>
        <family val="2"/>
        <scheme val="minor"/>
      </rPr>
      <t>yes</t>
    </r>
    <r>
      <rPr>
        <sz val="11"/>
        <color theme="0"/>
        <rFont val="Calibri"/>
        <family val="2"/>
        <scheme val="minor"/>
      </rPr>
      <t xml:space="preserve"> marks such comments with a blue margin.</t>
    </r>
  </si>
  <si>
    <t>Note that this is a typical place to define additional countermeasures or assumptions, using the syntax defined in the Definitions sheet.</t>
  </si>
  <si>
    <t>QI Missing Risk Text</t>
  </si>
  <si>
    <t>QI Missing Risk ID</t>
  </si>
  <si>
    <t>Risk ID Search</t>
  </si>
  <si>
    <t>Defines the options for the links linking to this sheet.</t>
  </si>
  <si>
    <t>Defines the name of the company.</t>
  </si>
  <si>
    <t>Symbol (not allowed in IDs)</t>
  </si>
  <si>
    <t>Provide a description of the target of evaluation.</t>
  </si>
  <si>
    <t>Diplay at most # APs (empty = all)</t>
  </si>
  <si>
    <t>Proposed Counter-measures</t>
  </si>
  <si>
    <t>Column Original Name</t>
  </si>
  <si>
    <t>To add a control or assumption:
{&lt;C or A&gt; &lt;Name&gt;[: &lt;RAP&gt;]}
RAP Options: Basic, Enhanced-Basic, Moderate, High, Beyond High.</t>
  </si>
  <si>
    <r>
      <t xml:space="preserve">Calculated: Lists all IDs defined in the </t>
    </r>
    <r>
      <rPr>
        <i/>
        <sz val="11"/>
        <color theme="0"/>
        <rFont val="Calibri"/>
        <family val="2"/>
        <scheme val="minor"/>
      </rPr>
      <t>Risks</t>
    </r>
    <r>
      <rPr>
        <sz val="11"/>
        <color theme="0"/>
        <rFont val="Calibri"/>
        <family val="2"/>
        <scheme val="minor"/>
      </rPr>
      <t xml:space="preserve"> sheet that are currently </t>
    </r>
    <r>
      <rPr>
        <u/>
        <sz val="11"/>
        <color theme="0"/>
        <rFont val="Calibri"/>
        <family val="2"/>
        <scheme val="minor"/>
      </rPr>
      <t>not</t>
    </r>
    <r>
      <rPr>
        <sz val="11"/>
        <color theme="0"/>
        <rFont val="Calibri"/>
        <family val="2"/>
        <scheme val="minor"/>
      </rPr>
      <t xml:space="preserve"> listed in the table on this sheet (i.e., they are currently not considered for risk treatment and must consequently be added to treat all risks).</t>
    </r>
  </si>
  <si>
    <t>Question Shadow ID</t>
  </si>
  <si>
    <t>JSON Template</t>
  </si>
  <si>
    <t>Duplicate risk IDs</t>
  </si>
  <si>
    <t>QI Duplicate Risk ID Text</t>
  </si>
  <si>
    <t>QI Duplicate Risk ID</t>
  </si>
  <si>
    <t>Element Template</t>
  </si>
  <si>
    <t>Attribute Template</t>
  </si>
  <si>
    <t>"[#1]": "[#2]"</t>
  </si>
  <si>
    <t>JSONParseAttributes</t>
  </si>
  <si>
    <t>JSONParseSheet</t>
  </si>
  <si>
    <t xml:space="preserve">{
[#1]
},
</t>
  </si>
  <si>
    <t>JSON Export</t>
  </si>
  <si>
    <t>Columns</t>
  </si>
  <si>
    <t>JSONParseSheets</t>
  </si>
  <si>
    <t>Shadow ID Column</t>
  </si>
  <si>
    <t>Shadow ID Header</t>
  </si>
  <si>
    <r>
      <t xml:space="preserve">Defines the sheets and columns on these sheets to be exported on the </t>
    </r>
    <r>
      <rPr>
        <i/>
        <sz val="11"/>
        <color theme="0"/>
        <rFont val="Calibri"/>
        <family val="2"/>
        <scheme val="minor"/>
      </rPr>
      <t>JSON</t>
    </r>
    <r>
      <rPr>
        <sz val="11"/>
        <color theme="0"/>
        <rFont val="Calibri"/>
        <family val="2"/>
        <scheme val="minor"/>
      </rPr>
      <t xml:space="preserve"> sheet. In detail:
* Use a formula to calculate the sheet name from which to export data (see existing entries for the formula.)
* Use a formula to reference the columns to be exported for each entry (see existing entries for the formula.)
* Use a formula to reference the </t>
    </r>
    <r>
      <rPr>
        <i/>
        <sz val="11"/>
        <color theme="0"/>
        <rFont val="Calibri"/>
        <family val="2"/>
        <scheme val="minor"/>
      </rPr>
      <t>Shadow ID</t>
    </r>
    <r>
      <rPr>
        <sz val="11"/>
        <color theme="0"/>
        <rFont val="Calibri"/>
        <family val="2"/>
        <scheme val="minor"/>
      </rPr>
      <t xml:space="preserve"> column for each sheet (this column is usually hidden and on most sheets one column right of the </t>
    </r>
    <r>
      <rPr>
        <i/>
        <sz val="11"/>
        <color theme="0"/>
        <rFont val="Calibri"/>
        <family val="2"/>
        <scheme val="minor"/>
      </rPr>
      <t>Comment</t>
    </r>
    <r>
      <rPr>
        <sz val="11"/>
        <color theme="0"/>
        <rFont val="Calibri"/>
        <family val="2"/>
        <scheme val="minor"/>
      </rPr>
      <t xml:space="preserve"> column).
* Use a formula to calculate the header row for each sheet (see existing entries for the formula).</t>
    </r>
  </si>
  <si>
    <t>You can also add text instead of calculating the values with a formula. However, renaming sheets or adding / removing columns easily breaks references, while formula-generated references remain operational unless one of the referenced columns is deleted. Even in this case, the visual #REF! error is helpful to find and fix the issue.</t>
  </si>
  <si>
    <t>CM22</t>
  </si>
  <si>
    <t>Isolation using virtualization or containers</t>
  </si>
  <si>
    <t>Virtual machines or software containers are used to isolate processes from each other</t>
  </si>
  <si>
    <t>Inconsistent Answers</t>
  </si>
  <si>
    <t>Completeness and Correctness</t>
  </si>
  <si>
    <t>QI QA11 and C27 inconsistent Text</t>
  </si>
  <si>
    <t>QI QA11 and C27 inconsistent ID</t>
  </si>
  <si>
    <t>C27 Search</t>
  </si>
  <si>
    <t>QI Mitigation Assigned to Inactive AS Text</t>
  </si>
  <si>
    <t>QI Mitigation Assigned to Inactive AS ID</t>
  </si>
  <si>
    <t>Inactive attack steps with assigned mitigations</t>
  </si>
  <si>
    <t>A38</t>
  </si>
  <si>
    <t>Export String (copy to MS Word)</t>
  </si>
  <si>
    <r>
      <t xml:space="preserve">Shows the names of the sheets to be exported according to the </t>
    </r>
    <r>
      <rPr>
        <i/>
        <sz val="11"/>
        <color theme="0"/>
        <rFont val="Calibri"/>
        <family val="2"/>
        <scheme val="minor"/>
      </rPr>
      <t xml:space="preserve">Definitions </t>
    </r>
    <r>
      <rPr>
        <sz val="11"/>
        <color theme="0"/>
        <rFont val="Calibri"/>
        <family val="2"/>
        <scheme val="minor"/>
      </rPr>
      <t>sheet.</t>
    </r>
  </si>
  <si>
    <r>
      <t xml:space="preserve">Provides a string representing a JSON export for each sheet. The sheets to be selected are defined in the </t>
    </r>
    <r>
      <rPr>
        <i/>
        <sz val="11"/>
        <color theme="0"/>
        <rFont val="Calibri"/>
        <family val="2"/>
        <scheme val="minor"/>
      </rPr>
      <t>Definitions</t>
    </r>
    <r>
      <rPr>
        <sz val="11"/>
        <color theme="0"/>
        <rFont val="Calibri"/>
        <family val="2"/>
        <scheme val="minor"/>
      </rPr>
      <t xml:space="preserve"> sheet.</t>
    </r>
  </si>
  <si>
    <t>The result is split among several rows as Excel cells can only support a limited number of characters. Consequently, storing the full export string in a single cell is typically not possible.
Also note that copying and pasting the string to MS Word is recommended, as pasting it into another application often results in many additional quotation marks (") around and within the string.</t>
  </si>
  <si>
    <t>A version history for the Definitions sheet. Note that this usually relates to changes in the assessment model.</t>
  </si>
  <si>
    <t>QuBA Change History</t>
  </si>
  <si>
    <t>Release</t>
  </si>
  <si>
    <t>AS40</t>
  </si>
  <si>
    <t>Secure Production</t>
  </si>
  <si>
    <t>Supply Chain Security</t>
  </si>
  <si>
    <t>Defines options to answer question QA18 (related to production security).</t>
  </si>
  <si>
    <t>Defines options to answer question QA19 (related to supply chain security).</t>
  </si>
  <si>
    <t>Software: CI/CD Pipeline</t>
  </si>
  <si>
    <t>QA11a</t>
  </si>
  <si>
    <t>QA11b</t>
  </si>
  <si>
    <t>Are software updates in the field (regularly or event-based) planned?</t>
  </si>
  <si>
    <t>QA11a[Yes|*]</t>
  </si>
  <si>
    <t>QA11a[Yes|No]</t>
  </si>
  <si>
    <t>QA8[Yes|*], QA11a[Yes|*], QA17[Yes|*]</t>
  </si>
  <si>
    <t>QA11b[Yes]</t>
  </si>
  <si>
    <t>CM23</t>
  </si>
  <si>
    <t>Hardware exchange</t>
  </si>
  <si>
    <t>Exchanging a vulnerable product with a secure product protects against incidents exploiting the vulnerability</t>
  </si>
  <si>
    <t>QA11b[No|Yes]</t>
  </si>
  <si>
    <t>Manipulating the product's configuration via its configuration interface</t>
  </si>
  <si>
    <t>Does the product contain credentials / cryptographic keys that allow access to sensitive data or to systems in the product's operational environment? (Note: this includes cryptographic data introduced by the customer.)</t>
  </si>
  <si>
    <t>A39</t>
  </si>
  <si>
    <t>DS3, DS12</t>
  </si>
  <si>
    <t>The current release version (as a date).</t>
  </si>
  <si>
    <r>
      <t xml:space="preserve">See the </t>
    </r>
    <r>
      <rPr>
        <i/>
        <sz val="11"/>
        <color theme="0"/>
        <rFont val="Calibri"/>
        <family val="2"/>
        <scheme val="minor"/>
      </rPr>
      <t>Release Version</t>
    </r>
    <r>
      <rPr>
        <sz val="11"/>
        <color theme="0"/>
        <rFont val="Calibri"/>
        <family val="2"/>
        <scheme val="minor"/>
      </rPr>
      <t xml:space="preserve"> above for the column in the history (an analysis might get updated and imported into a new template with a higher release version).</t>
    </r>
  </si>
  <si>
    <t>Template Release</t>
  </si>
  <si>
    <t>CM2a</t>
  </si>
  <si>
    <t>CM2b</t>
  </si>
  <si>
    <t>The product's software is developed in compliance with the required activities according to IEC 62443.</t>
  </si>
  <si>
    <t>&lt;= six months: The attacker must invest significant time to find a vulnerability, as easily detectable vulnerabilities are typically found and closed during development
Multiple Experts: The attackers must understand how to find exploits and develop exploits in tested code
Restricted: The attacker need knowledge about the product to find vulnerabilities. Note that this knowledge might be obtained by reverse engineering
Note that software security also requires and includes the ability to update the product if vulnerabilities become known.</t>
  </si>
  <si>
    <t>Abusing the lack of a software update functionality to exploit an unpatched vulnerability</t>
  </si>
  <si>
    <t>The product's expected lifetime exceeds the support duration.</t>
  </si>
  <si>
    <t>QI Text Support Time Too Short</t>
  </si>
  <si>
    <t>QI ID Support Time Too Short</t>
  </si>
  <si>
    <t>Attacking the product's internal gateway from the Internet</t>
  </si>
  <si>
    <t>Attacking a customer network from another customer network via the product's internal gateway</t>
  </si>
  <si>
    <t>SDL IEC 62443 Cybersecurity</t>
  </si>
  <si>
    <t>Removes damage scenarios not plausible when the customer acts as an attacker.
Note that safety-related aspects are not covered in this assumption, as people might wish to circumvent safety measures to "optimize" processes.</t>
  </si>
  <si>
    <t>DS6, DS10</t>
  </si>
  <si>
    <t>Allows customers to apply the principle of least privilege, preventing workers from disabling safety measures on purpose.</t>
  </si>
  <si>
    <t>Enter the string of confirmed assumptions and countermeasures.</t>
  </si>
  <si>
    <r>
      <t xml:space="preserve">Calculated: Lists the risks as defined in the </t>
    </r>
    <r>
      <rPr>
        <i/>
        <sz val="11"/>
        <color theme="0"/>
        <rFont val="Calibri"/>
        <family val="2"/>
        <scheme val="minor"/>
      </rPr>
      <t>Risks</t>
    </r>
    <r>
      <rPr>
        <sz val="11"/>
        <color theme="0"/>
        <rFont val="Calibri"/>
        <family val="2"/>
        <scheme val="minor"/>
      </rPr>
      <t xml:space="preserve"> sheet. Enlarge the table if red lines are visible to list all risks.</t>
    </r>
  </si>
  <si>
    <t>Planned Countermeasures and Assumptions</t>
  </si>
  <si>
    <t>Risk Level
(Planned)</t>
  </si>
  <si>
    <t>Confirmed Countermeasures and Assumptions</t>
  </si>
  <si>
    <t>Confirm:</t>
  </si>
  <si>
    <t>Calculated: Shows all IDs of planned countermeasures and assumptions that are not confirmed by the entry above.</t>
  </si>
  <si>
    <t>This is typically used for countermeasures and assumptions that do not have catalog IDs.</t>
  </si>
  <si>
    <t>Calculated: Calculates the damage scenarios under the damage transformation effects of the planned countermeasures and assumptions.</t>
  </si>
  <si>
    <t>Calculated: Provides the factor explanation including the planned countermeasures and assumptions.</t>
  </si>
  <si>
    <t>Calculated: Provides the required attack potential with the planned countermeasures and assumptions.</t>
  </si>
  <si>
    <t>Calculated: Provides the remaining risk, given the calculated damage level and RAP with the planned countermeasures and assumptions.</t>
  </si>
  <si>
    <t>Calculated: Provides the remaining risk, given the calculated damage level and RAP with the confirmed countermeasures and assumptions.</t>
  </si>
  <si>
    <t>Calculated: Lists the planned countermeasures and assumptions.</t>
  </si>
  <si>
    <t>Calculated: Lists the confirmed countermeasures and assumptions.</t>
  </si>
  <si>
    <t>Note that these represent a subset of the planned countermeasures and assumptions.</t>
  </si>
  <si>
    <t>Calculated: Calculates the damage scenarios under the damage transformation effects of the confirmed countermeasures and assumptions.</t>
  </si>
  <si>
    <t>Calculated: Provides the factor explanation including the confirmed countermeasures and assumptions.</t>
  </si>
  <si>
    <t>Calculated: Provides the required attack potential with the confirmed countermeasures and assumptions.</t>
  </si>
  <si>
    <t>Own ID for Catalog Lookup</t>
  </si>
  <si>
    <t>Planned C&amp;A</t>
  </si>
  <si>
    <t>All Countermeasures and Assumptions</t>
  </si>
  <si>
    <t>Assigned Mitigations</t>
  </si>
  <si>
    <t>Planned Inline C&amp;A</t>
  </si>
  <si>
    <t>Confirmed C&amp;A</t>
  </si>
  <si>
    <t>Confirmed Inline C&amp;A</t>
  </si>
  <si>
    <t>Confirmed C&amp;A by Catalog Import Search</t>
  </si>
  <si>
    <t>All Confirmed C&amp;A List</t>
  </si>
  <si>
    <t>Confirmed C&amp;A by Catalog Import</t>
  </si>
  <si>
    <r>
      <t xml:space="preserve">Confirm additional assumptions and countermeasures here. </t>
    </r>
    <r>
      <rPr>
        <sz val="11"/>
        <color rgb="FFFFB9B9"/>
        <rFont val="Calibri"/>
        <family val="2"/>
        <scheme val="minor"/>
      </rPr>
      <t>Important: Ensure that these are / will be implemented!</t>
    </r>
  </si>
  <si>
    <t>T-ET</t>
  </si>
  <si>
    <t>T-EX</t>
  </si>
  <si>
    <t>T-KT</t>
  </si>
  <si>
    <t>T-WO</t>
  </si>
  <si>
    <t>T-EQ</t>
  </si>
  <si>
    <t>T-ET-val</t>
  </si>
  <si>
    <t>T-EX-val</t>
  </si>
  <si>
    <t>T-KT-val</t>
  </si>
  <si>
    <t>T-WO-val</t>
  </si>
  <si>
    <t>T-EQ-val</t>
  </si>
  <si>
    <t>T-SUM</t>
  </si>
  <si>
    <t>T-RAP-Calculated</t>
  </si>
  <si>
    <t>T-RAP-Inline</t>
  </si>
  <si>
    <t>T-RAP</t>
  </si>
  <si>
    <t>T-Risk Level</t>
  </si>
  <si>
    <t>T-Risk Value</t>
  </si>
  <si>
    <t>Confirmed Countermeasures in Tracing</t>
  </si>
  <si>
    <t>CT-ET</t>
  </si>
  <si>
    <t>CT-EX</t>
  </si>
  <si>
    <t>CT-KT</t>
  </si>
  <si>
    <t>CT-WO</t>
  </si>
  <si>
    <t>CT-EQ</t>
  </si>
  <si>
    <t>CT-ET-val</t>
  </si>
  <si>
    <t>CT-EX-val</t>
  </si>
  <si>
    <t>CT-KT-val</t>
  </si>
  <si>
    <t>CT-WO-val</t>
  </si>
  <si>
    <t>CT-EQ-val</t>
  </si>
  <si>
    <t>Planned Inline C&amp;A Full</t>
  </si>
  <si>
    <t>Confirmed Inline C&amp;A Full</t>
  </si>
  <si>
    <t>CT-DL after transformation</t>
  </si>
  <si>
    <t>CT-New Damage Level</t>
  </si>
  <si>
    <t>CT-Damage Transformation</t>
  </si>
  <si>
    <t>CT-Transformed DS IDs</t>
  </si>
  <si>
    <t>Not confirmed by import:</t>
  </si>
  <si>
    <t>Catalog import:</t>
  </si>
  <si>
    <t># Mitigation Rows:</t>
  </si>
  <si>
    <t># Active Mitigations:</t>
  </si>
  <si>
    <t>Is Last?</t>
  </si>
  <si>
    <t>Assumptions and Countermeasures Table not big enough</t>
  </si>
  <si>
    <t>A41</t>
  </si>
  <si>
    <t>If the product's Internet connectivity / connection over a mobile network is lost, then only quality-related damages occur, but no safety-related damages or damages regarding the product's core functionality and its operational environment happen.</t>
  </si>
  <si>
    <t>DS6, DS7, DS8</t>
  </si>
  <si>
    <t>This differentiates loss of availability for the product from loss of availability of the product's external communication.</t>
  </si>
  <si>
    <t>Does the product have cameras or other sensors that can potentially recognize people?</t>
  </si>
  <si>
    <t>Component shall
* provide an immutable source of trust leveraging hardware-based security and;
* enforce authentication of
   - mutable code by the immutable source on every boot;
   - the bootloader;
* use either a public key or a hash of a public key;
* support deactivation of public keys whose private key has been leaked or misused and activation
of a spare public key
Component should
* provision sufficient space for keys;
* support renewal of secure boot keys.</t>
  </si>
  <si>
    <t>Product Life Time / Support Duration</t>
  </si>
  <si>
    <t>Defines the options for the product life time and the support duration.</t>
  </si>
  <si>
    <t>C31</t>
  </si>
  <si>
    <t>CR 1.10 – Authenticator feedback</t>
  </si>
  <si>
    <t>C32</t>
  </si>
  <si>
    <t>C33</t>
  </si>
  <si>
    <t>SCR 1.1 - Processed personal data</t>
  </si>
  <si>
    <t>C34</t>
  </si>
  <si>
    <t>SCR 1.2 - Telemetry data</t>
  </si>
  <si>
    <t>SCR 2.1 - Device Firewall</t>
  </si>
  <si>
    <t>The component shall
* be capable of filtering incoming and outgoing network traffic as well as information which is forwarded from one to another interface based on pre-defined rules.
* be delivered in a known secure state that allows only traffic that is necessary for one of its functions.
The component should analyze packets at multiple layers (e.g. IP, TCP, UDP) and either allow or block traffic based on criteria like port number, protocol, and source/destination IP address.
The component should provide an interface to configure the firewall settings, including the removal of settings and the possibility to restore known secure settings.</t>
  </si>
  <si>
    <t>Prevents an attacker from reading confidential information by data extraction from the storage medium. This requires hardware security to store the secret key securely, as otherwise, an attacker can simply extract the key from memory and then decrypt the data
None: The attacker can only extract encrypted data from the hard disk. Note that the attacker might attack the key stored in hardware to decrypt the data. Consequently, this control requires hardware protection mechanisms for the cryptographic material</t>
  </si>
  <si>
    <t>SCR 2.2 - Hardware based Storage Encryption</t>
  </si>
  <si>
    <t>The component shall,
provide storage encryption with hardware security mechanisms to ensure the confidentiality and integrity of data at rest;
adhere to industry-standard cryptographic algorithms and provide key management functionalities that adhere to best practices for secure storage of encryption keys as outlined in the "Cryptographic algorithms and keylength in products";
The implementation must ensure that encryption keys are stored securely within dedicated hardware modules only, such as Trusted Platform Modules (TPM) or Hardware Security Modules (HSM), to prevent unauthorized access and tampering.
Generally, the implementation of cryptography must follow the guideline on "Cryptographic algorithms and keylength in products";</t>
  </si>
  <si>
    <t>SCR 2.3 - Password based authentication (human)</t>
  </si>
  <si>
    <t>Components shall,
provide authentication with username and password as an authentication method for all human user accounts;
enforce password complexity rules (if provided);
allow for password change for all human user accounts;
Components may,
provide the component owner the possibility to define password complexity rules for human users; including a minimum password length;</t>
  </si>
  <si>
    <t>SCR 2.4 - Authentication with certificates (human)</t>
  </si>
  <si>
    <t>Components shall,
provide authentication with certificates as an authentication method for all human user accounts;
provide the capability to add and remove certificates to individual human user accounts;
authenticate human users only with certificates signed by Certificate Authorities that are configured as trusted;
support integration into enrollment, renewal, and revocation of certificates processes of a pki (if applicable);
validate certificates upon each authentication attempt;
determine valid certificates by checking the certificate's validity period, revocation status, and the authenticity of the issuing CA;
store certificates securely, adhering to the crypto policy;</t>
  </si>
  <si>
    <t>QI ID Error Text</t>
  </si>
  <si>
    <t>QI ID Error ID</t>
  </si>
  <si>
    <t>The product communicates over a secure channel where the product is authenticated and the channel ensures the integrity and the confidentiality of the outgoing data.
Given state-of-the-art protocols, cryptographic algorithms, and parameters, an attacker cannot access transmitted data within a reasonable time frame</t>
  </si>
  <si>
    <t>The component shall
* have the capability to establish a secure channel to safeguard the integrity, authenticity and the confidentiality of transmitted data;
* authenticate itself to the communication partner.</t>
  </si>
  <si>
    <t>* The component shall be made available without any usable debug functionalities;
* If debug functionalities are meant to be activatable in the field, the procedure to do so shall require appropriate authorization.</t>
  </si>
  <si>
    <t>SCR 2.5 - Secure boot</t>
  </si>
  <si>
    <t>SCR 2.7 - Close debug interfaces</t>
  </si>
  <si>
    <t>SCR 2.6 - Secure channel with product authentication</t>
  </si>
  <si>
    <t>SCR 2.8 - Obfuscation</t>
  </si>
  <si>
    <t>The component shall be made available with adequately obfuscated parts of software and configuration such that it maintains functionality while increasing the difficulty for users to understand or replicate the underlying logic and design.</t>
  </si>
  <si>
    <t>SCR 2.9 - Secure channel with communication partner authentication</t>
  </si>
  <si>
    <t>The component shall
* have the capability to provide a secure channel to safeguard the integrity and the confidentiality of data received;
* accept data only from authenticated communication partners.</t>
  </si>
  <si>
    <t>SCR 2.10 - Password-based authentication (machine)</t>
  </si>
  <si>
    <t>Components shall
* provide an authentication mechanism based on a password for all machine-to-machine access;
* allow for password change used for the machine-to-machine access by accordingly privileged users;
unless excluded by a compulsory state of the art specification.</t>
  </si>
  <si>
    <t>SCR 2.11 - Secure Wi-Fi</t>
  </si>
  <si>
    <t>The component shall allow configurations in which a known secure Wi-Fi standard is used.</t>
  </si>
  <si>
    <t>A secure Wi-Fi channel protects against attacks on the product's wireless communication, using, e.g., WPA3</t>
  </si>
  <si>
    <t>SCR 2.12 - Trusted Execution Environment (TEE)</t>
  </si>
  <si>
    <t>The component shall
* support hardware-based isolation to run trusted and untrusted code in separate environments;
* have the capability to provide cryptographic proof that its execution environment is untampered;
* only include cryptographic modules within the TEE that are compliant with FIPS 140-2 or equivalent.
The TEE should be isolated from the main operating system, with access controlled by hardware-level security mechanisms.</t>
  </si>
  <si>
    <t>SCR 2.13 - Public key-based authentication at debug interfaces</t>
  </si>
  <si>
    <t>The component shall
* provide authentication based on public key as an authentication method for all debug interfaces;
* provide the capability to add and remove keys related to those debug interfaces;
* authenticate humans only with keys signed by certificate authorities that are configured as trusted;
* support integration into enrollment, renewal, and revocation of key processes of a pki;
* validate keys upon each authentication attempt;
* determine valid keys by checking at least the key's validity period, revocation status, and the authenticity of the issuing CA;
* store key pairs securely, adhering to the crypto policy;
* provide the user with a second factor to approve any access for all active debug interfaces.</t>
  </si>
  <si>
    <t>SCR 2.14 - Password-based authentication at debug interfaces</t>
  </si>
  <si>
    <t>Components shall
* provide authentication with a password as an authentication method for all debug interfaces;
* allow for password change for the password associated with the debug interfaces;
* provide the user with a second factor to approve any access for all debug interfaces;
* The authentication method provided by the component may require an username;</t>
  </si>
  <si>
    <t>SCR 2.15 - Patents</t>
  </si>
  <si>
    <t>The component shall
* be made available only if a patent has been filed for the essential parts of the intellectual property contained in it or;
* be made available only under an appropriate license, or both;</t>
  </si>
  <si>
    <t>SCR 2.16 - Authentication with certificates (machine)</t>
  </si>
  <si>
    <t>Components shall
* provide authentication with certificates as an authentication method for all machine user accounts;
* provide the capability to add and remove certificates to individual machine user accounts;
* authenticate machine users only with certificates signed by Certificate Authorities that are configured as trusted;
* support integration into enrollment, renewal, and revocation of certificates processes of a pki (if applicable);
* validate certificates upon each authentication attempt;
* determine valid certificates by checking the certificate's validity period, revocation status, and the authenticity of the issuing CA;
* store certificates securely, adhering to the crypto policy.</t>
  </si>
  <si>
    <t>Depending on the type of product, the following requirements apply:
SAR 3.2 – Protection from malicious code
The application product supplier shall qualify and document which protection from malicious code mechanisms are compatible with the application and note any special configuration requirements.
EDR 3.2 – Protection from malicious code
The embedded device shall provide the capability to protect from installation and execution of unauthorized software.
HDR 3.2 – Protection from malicious code
There shall be mechanisms on host devices that are qualified by the IACS product supplier to provide protection from malicious code. The IACS product supplier shall document any special configuration requirements related to protection from malicious code.
NDR 3.2 – Protection from malicious code
The network device shall provide for protection from malicious code.</t>
  </si>
  <si>
    <t>Depending on the type of product, the following requirements apply:
EDR 2.13 – Use of physical diagnostic and test interfaces
Embedded devices shall protect against unauthorized use of the physical factory diagnostic and test interface(s) (e.g. JTAG debugging).
HDR 2.13 – Use of physical diagnostic and test interfaces
Host devices shall protect against unauthorized use of the physical factory diagnostic and test interface(s) (e.g. JTAG debugging).
NDR 2.13 – Use of physical diagnostic and test interfaces
Network devices shall protect against unauthorized use of the physical factory diagnostic and test interface(s) (e.g. JTAG debugging).</t>
  </si>
  <si>
    <t>Depending on the type of product, the following requirements apply:
EDR 3.10 – Support for updates
The embedded device shall support the ability to be updated and upgraded.
HDR 3.10 – Support for updates
Host devices shall support the ability to be updated and upgraded.
NDR 3.10 – Support for updates
Network devices shall support the ability to be updated and upgraded.
AS40 specifically targets systems that do not receive updates. Consequently, this countermeasure removes the Window of Opportunity for AS40, but does not prevent reliably against vulnerabilities in general.</t>
  </si>
  <si>
    <t>C35</t>
  </si>
  <si>
    <t>EDR 3.14 / HDR 3.14 / NDR 3.14 – Integrity of the boot process</t>
  </si>
  <si>
    <t>A42</t>
  </si>
  <si>
    <t>SDR 1.1 – List all network traffic</t>
  </si>
  <si>
    <t>The user documentation shall contain a list of all intended network connections together with an appropriate high-level description including its associated use case and destination.</t>
  </si>
  <si>
    <t>SDR 1.2 – Handling of personal data</t>
  </si>
  <si>
    <t>The user documentation shall state
* that the product does not have the capability to appropriately protect personal data and/or is not intended to handle personal data;
* that the user shall ensure that data collected by the solution is handled in compliance with data protection regulations (e.g. GDPR, DSGVO).</t>
  </si>
  <si>
    <t>SDR 1.3 – Product cannot film people</t>
  </si>
  <si>
    <t>The user documentation shall state that the sensor’s input field or the camera’s field of vision can not be positioned by the operator in a way that could create artifacts capable of identifying people.</t>
  </si>
  <si>
    <t>The customer buying the product can understand the intended communication of the product.</t>
  </si>
  <si>
    <t>SDR 1.4 – Privacy-compliant handling of camera data</t>
  </si>
  <si>
    <t>Requirements</t>
  </si>
  <si>
    <t>Provided the requirements resulting from active assumptions, such as required entries in the product documentation.</t>
  </si>
  <si>
    <t>SDR 1.5 – Product is not used for safety-relevant use cases</t>
  </si>
  <si>
    <t>The user documentation shall state that the product is not intended to be applied in safety-relevant use cases.</t>
  </si>
  <si>
    <t>SDR 1.6 – Product not relevant for availability of operational environment</t>
  </si>
  <si>
    <t>The user documentation shall state that the product must not be used in such a way that the loss of availability negatively impacts its operational environment.</t>
  </si>
  <si>
    <t xml:space="preserve">SDR 1.7 – Limited damages in case of loss of availability </t>
  </si>
  <si>
    <t>SDR 1.8 – Limited damages in case of a loss of integrity of the product</t>
  </si>
  <si>
    <t>SDR 1.9 – Not used for access control</t>
  </si>
  <si>
    <t>The contractual document with the user shall contain,
a limitation/waiver for liability of damages to the operational environment due to the loss of availability by the product.</t>
  </si>
  <si>
    <t>The contractual document with the user shall contain,
 a limitation/ waiver for liability of damages to the operational environment due to the loss of integrity of the product as the potential impact is neither considered far reaching nor serious in criticality.</t>
  </si>
  <si>
    <t>The user documentation shall state
that using the product outside of the specified applications may impose cybersecurity risks to the product and its operational environment</t>
  </si>
  <si>
    <t>SDR 1.10 – Device operates in trustworthy operational environment</t>
  </si>
  <si>
    <t>SDR 1.11 – Trustworthy communication partner</t>
  </si>
  <si>
    <t>SDR 1.12 – Product inaccessible</t>
  </si>
  <si>
    <t>SDR 1.13 – Area with restricted access</t>
  </si>
  <si>
    <t>SDR 1.14 – Communication media located in restricted access area</t>
  </si>
  <si>
    <t>The user documentation shall state that the customer must ensure a secure operational environment for the device including a continuous assessment for indicators of compromise.</t>
  </si>
  <si>
    <t>The user documentation shall state that the customer must ensure the trustworthiness and integrity of the device's communication partners.</t>
  </si>
  <si>
    <t>The user documentation shall state that the product is intended to be installed in a place with protection measures preventing physical access.</t>
  </si>
  <si>
    <t>The user documentation shall state that the customer must ensure that the area where the product is located is protected against unauthorized physical access.</t>
  </si>
  <si>
    <t>The user documentation shall state that the customer must ensure that the area where the product's communication media are located is protected against unauthorized physical access.</t>
  </si>
  <si>
    <t>SDR 1.15 – Password security</t>
  </si>
  <si>
    <t>SDR 1.16 – Private key security</t>
  </si>
  <si>
    <t>The user documentation shall state
that the customer must ensure adequate password strength and protection of those passwords against unauthorized access.</t>
  </si>
  <si>
    <t>The user documentation shall state
that the customer shall ensure adequate protection for any private key related to the product owned by the customer against unauthorized access.</t>
  </si>
  <si>
    <t>SDR 1.17 - Sensing capabilities</t>
  </si>
  <si>
    <t>The customer buying the product can understand the sensing capabilities of the product.</t>
  </si>
  <si>
    <t>A43</t>
  </si>
  <si>
    <t>SDR 1.18 - Well-protected trustworthy wireless network</t>
  </si>
  <si>
    <t>The user documentation shall state that the product is intended to be operated only with connections to a trustworthy and sufficiently protected wireless network whose provision and secure operation of networks is the sole responsibility of the customer.</t>
  </si>
  <si>
    <t>SDR 1.19 - Physical destruction</t>
  </si>
  <si>
    <t>The user documentation shall state that the product is incapable of protecting its functionality against violent acts with massive physical force.</t>
  </si>
  <si>
    <t>SDR 1.20 - Least privilege for provided credentials</t>
  </si>
  <si>
    <t>SDR 1.21 - Product not storing secrets</t>
  </si>
  <si>
    <t>The user documentation shall state that the product does not store any cryptographic secrets and such data can not be extracted from the product or misused by an attacker.</t>
  </si>
  <si>
    <t>SDR 1.22 - The product does not communicate any confidential data to an external communication partner</t>
  </si>
  <si>
    <t>SDR 1.23 - The product does not send any sensitive data to external communication partners over the Internet or a mobile network</t>
  </si>
  <si>
    <t>SDR 1.24 - The product does not receive any sensitive data (except updates / configuration / debug communication) from external communication partners over the Internet or a mobile network</t>
  </si>
  <si>
    <t>SDR 1.25 - The product does not transmit confidential cryptographic material (such as passwords)</t>
  </si>
  <si>
    <t>SDR 1.26 - The customer ensures that a loss of wireless communication with the product is manageable</t>
  </si>
  <si>
    <t>The user documentation shall state that the product does not send any confidential data to communication partners and therefore can not be extracted from communication of  the product or misused by an attacker.</t>
  </si>
  <si>
    <t>The user documentation shall state that the product does not receive any sensitive data from external communication partners via the Internet or mobile network, except for data related to updates, configuration, or debug communication.</t>
  </si>
  <si>
    <t>The user documentation shall state that the product does not transmit confidential cryptographic material (such as passwords, private keys, or other sensitive information) over networks or any other communication channels.</t>
  </si>
  <si>
    <t>The user documentation shall state that the customer ensures the loss of wireless communication with the product is manageable.</t>
  </si>
  <si>
    <t>SDR 1.27 - The product has no access to personal data</t>
  </si>
  <si>
    <t>SDR 1.28 - The product cannot affect the availability of its operational environment</t>
  </si>
  <si>
    <t>The user documentation shall state
that the product has no access to personal data. The product is designed to operate without collecting, storing, or processing any personal information.</t>
  </si>
  <si>
    <t>The user documentation shall state
that the product cannot affect the availability of its operational environment;</t>
  </si>
  <si>
    <t>SDR 1.29 - Loss of external connectivity (Internet, mobile network) only leads to quality-related issues</t>
  </si>
  <si>
    <t>The user documentation shall state that the product continues to function even in the event of a loss of external connectivity (e.g., Internet or mobile network), but may experience quality-related issues. These could include reduced performance, delays, or degraded service in certain features that rely on real-time connectivity. The reliability of the system and core functionalities that do not depend on external connections remain unaffected.</t>
  </si>
  <si>
    <t>SDR 2.1 – No legal or contractual obligations for data confidentiality</t>
  </si>
  <si>
    <t>The contractual document shall not contain obligations to protect confidentiality for data other than personally identifiable information, which is processed by the product.</t>
  </si>
  <si>
    <t>SDR 2.2 – No contractual obligations regarding product availability</t>
  </si>
  <si>
    <t>SDR 2.3 – No legal or contractual obligations for product integrity</t>
  </si>
  <si>
    <t>The contractual document shall not contain compensations in the case that the solution's availability is affected by a cybersecurity incident.</t>
  </si>
  <si>
    <t>The contractual document shall not contain contractual fines in the case that the solution's integrity gets affected in the event of solution tampering.</t>
  </si>
  <si>
    <t>SDR 2.4 – Secure production</t>
  </si>
  <si>
    <t>SDR 2.5 – Secure supply chain</t>
  </si>
  <si>
    <t>SDR 2.6 - Limited accessibility of short-range wireless communication</t>
  </si>
  <si>
    <t>The component shall be designed in a way that all available wireless interfaces are only suitable for short-range communication (less than 10m) either by their nature or by reducing signal strength.</t>
  </si>
  <si>
    <t>SDR 2.7 - Scope for customer-based attacks</t>
  </si>
  <si>
    <t>SDR 2.8 - No authentication over the IP stack possible</t>
  </si>
  <si>
    <t>SDR 2.9 - No configuration interface required</t>
  </si>
  <si>
    <t>The component shall be designed in a way
that no authentication shall be possible over the IP stack;</t>
  </si>
  <si>
    <t>The component shall be designed in a way
that the component shall not provide a configuration interface;</t>
  </si>
  <si>
    <t>SDR 2.10 - The product is delivered with a secure by default configuration</t>
  </si>
  <si>
    <t>The technical documentation and production steps documentation shall ensure and document that the product is delivered in a known-secure state.</t>
  </si>
  <si>
    <t>Decades: This countermeasure increases the time required for a successful brute-force attack significantly.</t>
  </si>
  <si>
    <t>None: After using the factory reset, extracting customer-specific information from the device is no longer possible</t>
  </si>
  <si>
    <t>l</t>
  </si>
  <si>
    <t>m</t>
  </si>
  <si>
    <t>provide the possibility for users to securely and easily remove on a permanent basis all data and settings and, where such data can be transferred to other products or systems, ensure that this is done in a secure manner</t>
  </si>
  <si>
    <t>be made available on the market without known exploitable vulnerabilities</t>
  </si>
  <si>
    <t>be made available on the market with a secure by default configuration, unless otherwise agreed between manufacturer and business user in relation to a tailor-made product with digital elements, including the possibility to reset the product to its original state</t>
  </si>
  <si>
    <t>ensure that vulnerabilities can be addressed through security updates, including, where applicable, through automatic security updates that are installed within an appropriate timeframe enabled as a default setting, with a clear and easy-to-use opt-out mechanism, through the notification of available updates to users, and the option to temporarily postpone them</t>
  </si>
  <si>
    <t>ensure protection from unauthorised access by appropriate control mechanisms, including but not limited to authentication, identity or access management systems, and report on possible unauthorised access</t>
  </si>
  <si>
    <t>protect the confidentiality of stored, transmitted or otherwise processed data, personal or other, such as by encrypting relevant data at rest or in transit by state of the art mechanisms, and by using other technical means</t>
  </si>
  <si>
    <t>protect the integrity of stored, transmitted or otherwise processed data, personal or other, commands, programs and configuration against any manipulation or modification not authorised by the user, and report on corruptions</t>
  </si>
  <si>
    <t>process only data, personal or other, that are adequate, relevant and limited to what is necessary in relation to the intended purpose of the product with digital elements (data minimisation)</t>
  </si>
  <si>
    <t>protect the availability of essential and basic functions, also after an incident, including through resilience  and mitigation measures against denial-of-service attacks</t>
  </si>
  <si>
    <t>minimise the negative impact by the products themselves or connected devices on the availability of services provided by other devices or networks</t>
  </si>
  <si>
    <t>provide security related information by recording and monitoring relevant internal activity, including the access to or modification of data, services or functions, with an opt-out mechanism for the user</t>
  </si>
  <si>
    <t>e, f</t>
  </si>
  <si>
    <t>j, k</t>
  </si>
  <si>
    <t>e, f, j</t>
  </si>
  <si>
    <t>g, j</t>
  </si>
  <si>
    <t>Mapping to CRA, Annex I (1.2)</t>
  </si>
  <si>
    <t>a, k</t>
  </si>
  <si>
    <t>d, l</t>
  </si>
  <si>
    <t>d, e, f</t>
  </si>
  <si>
    <t>Recovery and reconstitution allows the product to quickly become operational again after an incident</t>
  </si>
  <si>
    <t>Circumventing a protected boot process without hardware protection is non-trivial, but possible.</t>
  </si>
  <si>
    <t>The product does not process data from an external communication partner and consequently cannot be attacked by the communication partner (except for attacking vulnerabilities / configuration interfaces, which are covered by attacks not affected by this countermeasure)</t>
  </si>
  <si>
    <t>QA1[Yes]</t>
  </si>
  <si>
    <t>The user documentation shall list all external sensing capabilities of the device in an accessible way that is clear and transparent.</t>
  </si>
  <si>
    <t>AS40 specifically targets systems that do not receive updates. Consequently, this countermeasure removes the Window of Opportunity for AS40, but does not prevent reliably against vulnerabilities in general.</t>
  </si>
  <si>
    <t>QI6[*]</t>
  </si>
  <si>
    <t>A loss of availability of the product does not cause safety-related damages. This may imply that the product has mechanisms to ensure that it enters a fail-safe state on error (potentially enabling its operational environment to handle the loss of availability).</t>
  </si>
  <si>
    <t>The user documentation shall state that the customer ensures the implementation of least privilege when providing credentials.</t>
  </si>
  <si>
    <t>QI5[*]</t>
  </si>
  <si>
    <t>No protection</t>
  </si>
  <si>
    <t>Internal production - only access control</t>
  </si>
  <si>
    <t>Internal production according to IT requirements</t>
  </si>
  <si>
    <t>Internal validated production (e.g., ISACA OT-Check)</t>
  </si>
  <si>
    <t>Certified production (e.g., IEC 62443)</t>
  </si>
  <si>
    <t>Software: Internal Audit</t>
  </si>
  <si>
    <t>Software: ISO-certified</t>
  </si>
  <si>
    <t>Established supplier (several years of positive cooperation, sufficient size) (Open source alternative: git with regular updates)</t>
  </si>
  <si>
    <t>Renowned supplier (internationally well-known) (Open Source: large renowned project)</t>
  </si>
  <si>
    <t>Supplier agreed to cybersecurity requirements in a contract (Open source alternative: Foundation / open source steward)</t>
  </si>
  <si>
    <t>Supplier is audited (by the Q-department)</t>
  </si>
  <si>
    <t>Supplier is certified</t>
  </si>
  <si>
    <t>e, g</t>
  </si>
  <si>
    <t>b, h, k</t>
  </si>
  <si>
    <t>Note that providing an empty list is a valid option if the product is not supposed to communicate over a network.</t>
  </si>
  <si>
    <t>Can a manipulated product cause contract-related / legal fines? (Note that this concerns individual obligations, not the standard product warranty).</t>
  </si>
  <si>
    <t>The attacker must understand how to access the debug interface (Proficient), where the interface can be accessed and how (Restricted), and the right hardware to do it (Specialized).</t>
  </si>
  <si>
    <t>DS1, DS2, DS4, DS5, DS7, DS8, DS9, DS10, DS11, DS13, DS14, DS15, DS16</t>
  </si>
  <si>
    <t>&lt;= one week: The attacker needs time to find exploitable features in the firewall's configuration
Expert: The attacker requires understanding of network components
Restricted: The attacker must obtain or probe the configuration
Difficult: The attacker must find a way to circumvent the firewall or VLAN</t>
  </si>
  <si>
    <t>QI7[Yes|*], QI14[Yes|*]</t>
  </si>
  <si>
    <t>Filtered Preconditions</t>
  </si>
  <si>
    <t>Damage Scenario with Damage Level</t>
  </si>
  <si>
    <t>AS24, AS30</t>
  </si>
  <si>
    <t>Extracting information from a decommissioned or second-hand device's persistent memory</t>
  </si>
  <si>
    <t>AS41</t>
  </si>
  <si>
    <t>Extracting information from a decommissioned or second-hand device's RAM</t>
  </si>
  <si>
    <t>CSV: Reference answers in the Questionnaire sheet that are required for making this attack step active. If no answers are referenced, then prerequisite attack steps should be considered.</t>
  </si>
  <si>
    <t>&lt;= six months: It takes a while to create a proper setup for reading out RAM of another device
Expert: The attack is sophisticated
Restricted: The attacker needs to know or reverse-engineer the memory layout to interpret the data
Unnecessary / unlimited access: The attacker has full access to the device
Specialized: The attacker needs non-standard equipment for the attack</t>
  </si>
  <si>
    <t>AS30, AS41</t>
  </si>
  <si>
    <t>SDR 1.5 - The product's availability is not relevant for safety</t>
  </si>
  <si>
    <t>C30a</t>
  </si>
  <si>
    <t>CR 7.3 – Control system backup</t>
  </si>
  <si>
    <t>Backups allow the product to quickly become operational again after an incident</t>
  </si>
  <si>
    <t>QA2[Yes|*], QA6[Yes], QA14[Yes] &amp; QA15[Yes]</t>
  </si>
  <si>
    <t>Currently not in use.</t>
  </si>
  <si>
    <t>Supply Chain Answers</t>
  </si>
  <si>
    <t>Answer</t>
  </si>
  <si>
    <t>The answer options for QA19 (supply chain partners are trustworthy, not trustworthy, or no supply chain partners exist).</t>
  </si>
  <si>
    <t>N/A</t>
  </si>
  <si>
    <t>Not applicable: no supplier</t>
  </si>
  <si>
    <t>The suppliers are trustworthy</t>
  </si>
  <si>
    <t>At least one supplier is not trusted</t>
  </si>
  <si>
    <t>Provide the letters of entries from the CRA, Annex I (1.2) related to this attack step.</t>
  </si>
  <si>
    <t>Provide the letters of entries from the CRA, Annex I (1.2) related to this assumption.</t>
  </si>
  <si>
    <t>Provide the letters of entries from the CRA, Annex I (1.2) related to this countermeasure.</t>
  </si>
  <si>
    <t>Lists all letters structuring Annex I 1.2 of the Cyber Resilience Act.</t>
  </si>
  <si>
    <r>
      <t xml:space="preserve">Calculated: Lists the IDs of countermeasures and assumptions implementing these requirements, based on
* The entries in the </t>
    </r>
    <r>
      <rPr>
        <i/>
        <sz val="11"/>
        <color theme="0"/>
        <rFont val="Calibri"/>
        <family val="2"/>
        <scheme val="minor"/>
      </rPr>
      <t>Assumptions</t>
    </r>
    <r>
      <rPr>
        <sz val="11"/>
        <color theme="0"/>
        <rFont val="Calibri"/>
        <family val="2"/>
        <scheme val="minor"/>
      </rPr>
      <t xml:space="preserve"> and </t>
    </r>
    <r>
      <rPr>
        <i/>
        <sz val="11"/>
        <color theme="0"/>
        <rFont val="Calibri"/>
        <family val="2"/>
        <scheme val="minor"/>
      </rPr>
      <t xml:space="preserve">Countermeasures </t>
    </r>
    <r>
      <rPr>
        <sz val="11"/>
        <color theme="0"/>
        <rFont val="Calibri"/>
        <family val="2"/>
        <scheme val="minor"/>
      </rPr>
      <t xml:space="preserve">sheets, assigning the respective elements to each other, as well as
* by following these relations:
assumption/countermeasure |-- mitigates --&gt; attack step |-- is assigned to (in the </t>
    </r>
    <r>
      <rPr>
        <i/>
        <sz val="11"/>
        <color theme="0"/>
        <rFont val="Calibri"/>
        <family val="2"/>
        <scheme val="minor"/>
      </rPr>
      <t>Attack Steps</t>
    </r>
    <r>
      <rPr>
        <sz val="11"/>
        <color theme="0"/>
        <rFont val="Calibri"/>
        <family val="2"/>
        <scheme val="minor"/>
      </rPr>
      <t xml:space="preserve"> sheet) --&gt; Annex I 1.2 entry.</t>
    </r>
  </si>
  <si>
    <t>Missing meta-information
(Note that for the change history this only checks if it contains at least one entry.)</t>
  </si>
  <si>
    <t xml:space="preserve">{
"[#1]": [
[#2]
]
},
</t>
  </si>
  <si>
    <t>Denial of service protection limits the effects of an active DoS attack and ensures that the product can recover after the attack. It makes it more difficult for an attacker to effectively run a denial of service attack against the product.</t>
  </si>
  <si>
    <t>A44</t>
  </si>
  <si>
    <t>Network monitoring</t>
  </si>
  <si>
    <t>The customer monitors relevant networks and manages network outages, including denial-of-service attacks on networks.</t>
  </si>
  <si>
    <t>DS7, DS9, DS17, DS18</t>
  </si>
  <si>
    <t>Does the product connect two networks to each other (e.g., as a gateway)?</t>
  </si>
  <si>
    <t>QA5[Yes|*], QA6[Yes|*]</t>
  </si>
  <si>
    <t>Decades: Given state-of-the-art protocols, cryptographic algorithms, and parameters, an attacker cannot access transmitted data within a reasonable time frame.
Note that "to protect the confidentiality of information at rest for which explicit read authorization is supported" does not imply encrypted memory or hardware security (this is modeled in another countermeasure).</t>
  </si>
  <si>
    <t>The summary of the resulting assumptions and countermeasures, including IDs for the external catalog, if available.</t>
  </si>
  <si>
    <t>A45</t>
  </si>
  <si>
    <t>Physical tampering with the product not plausible</t>
  </si>
  <si>
    <t>As the product is in a (temporarily) physically accessible but monitored or well-observed environment, it is not plausible that an attacker can tamper with the product's hardware without being detected.</t>
  </si>
  <si>
    <t>This assumes that the attacker needs more time to execute the attack than available in a well-observed environment.</t>
  </si>
  <si>
    <t>QA15[Yes|No]</t>
  </si>
  <si>
    <t>SDR 2.13 - No processing of external data</t>
  </si>
  <si>
    <t>Illustration / photos of the product, including component / data flow / sequence diagrams, if available.</t>
  </si>
  <si>
    <t>Provide illustrations of the target of evaluation.</t>
  </si>
  <si>
    <t>Is the product typically installed in an operational environment with public access?</t>
  </si>
  <si>
    <r>
      <t xml:space="preserve">For each possible answer to the first question, decide whether a second question or additional information in the comment is required. If this is the case, add a line with the answer to the first question, followed by ":".
Then, in the next line, provide the address of the topmost cell in the range of possible answers to the question. This range defines the values in the drop-down menu for Answer 2 on the </t>
    </r>
    <r>
      <rPr>
        <i/>
        <sz val="11"/>
        <color theme="0"/>
        <rFont val="Calibri"/>
        <family val="2"/>
        <scheme val="minor"/>
      </rPr>
      <t xml:space="preserve">Questionnaire </t>
    </r>
    <r>
      <rPr>
        <sz val="11"/>
        <color theme="0"/>
        <rFont val="Calibri"/>
        <family val="2"/>
        <scheme val="minor"/>
      </rPr>
      <t>sheet.
If you only want a text requesting additional information, then provide no topmost cell after the ":".</t>
    </r>
  </si>
  <si>
    <t>Provide the height of the answer options for each first answer. If you only want a text requesting additional information, then height = 0.</t>
  </si>
  <si>
    <t>Provide the text to be displayed, depending on the provided first and second answer. Make sure that all values are covered, potentially by an empty string. You can use "*:" to catch all cases.</t>
  </si>
  <si>
    <t>Syntax:
___&lt;First answer value 1&gt;___
&lt;Second answer value 1&gt;: &lt;Text value 1&gt;&lt;Line_break&gt;
…
&lt;Second answer value n&gt;: &lt;Text value n&gt;&lt;Line_break&gt;
… 
___&lt;First answer value m&gt;___
&lt;Second answer value 1&gt;: &lt;Text value 1&gt;&lt;Line_break&gt;
…
&lt;Second answer value k&gt;: &lt;Text value k&gt;
Alternatively to the &lt;Second answer to value 1&gt; to &lt;Second answer to value n&gt; blocks, you can use:
*: &lt;Text value for all cases&gt;&lt;Line_break&gt;</t>
  </si>
  <si>
    <t>Reference</t>
  </si>
  <si>
    <t>Optional: Embed a reference, e.g., a foreign ID for the assumption (in another catalog).</t>
  </si>
  <si>
    <t>Optional: Embed a reference, e.g., a foreign ID for the countermeasure (in another catalog).</t>
  </si>
  <si>
    <t>Calculated: Lists the references (e.g., foreign IDs) for the item</t>
  </si>
  <si>
    <t>Version</t>
  </si>
  <si>
    <t xml:space="preserve">  </t>
  </si>
  <si>
    <t>Is last</t>
  </si>
  <si>
    <t>The attacker needs some knowledge on how to (mis-) configure the product and basic hacking skills</t>
  </si>
  <si>
    <t>Easy: The attacker needs physical access to the product</t>
  </si>
  <si>
    <t>Defines damage categories in accordance with the OEM's security risk assessment method to be used in the Questionnaire sheet.</t>
  </si>
  <si>
    <t>Defines damage criteria in accordance with the OEM's security risk assessment method to be used in the Questionnaire sheet.</t>
  </si>
  <si>
    <t>Defines the damage levels for risk calculation (sheets Risks, Mitigation, and Risk Treatment) in accordance with the OEM's security risk assessment method.</t>
  </si>
  <si>
    <t>Defines the required attack potential levels and their thresholds for risk calculation (sheets Risks, Mitigation, and Risk Treatment) in accordance with the OEM's security risk assessment method.</t>
  </si>
  <si>
    <t>Defines the contribution of each RAP factor for risk calculation (sheets Risks, Mitigation, and Risk Treatment) in accordance with the OEM's security risk assessment method.</t>
  </si>
  <si>
    <t>Defines the risk values for risk calculation (sheets Risks, Mitigation, and Risk Treatment) in accordance with the OEM's security risk assessment method.</t>
  </si>
  <si>
    <t>Defines the risk matrix for risk calculation (sheets Risks, Mitigation, and Risk Treatment) in accordance with the OEM's security risk assessment method.</t>
  </si>
  <si>
    <t>Use an export of foreign IDs (e.g., from an external catalog) for the confirmed assumptions and countermeasures.</t>
  </si>
  <si>
    <t>qubalibre@SICK.de
riskassessments@aisec.fraunhofer.de</t>
  </si>
  <si>
    <t>Low financial damage</t>
  </si>
  <si>
    <t>Direct loss, fines for infringements of laws, or violations of contracts (low volume)</t>
  </si>
  <si>
    <t>Medium financial damage</t>
  </si>
  <si>
    <t>Direct loss, fines for infringements of laws, or violations of contracts (medium volume)</t>
  </si>
  <si>
    <t>High financial damage</t>
  </si>
  <si>
    <t>Direct loss, fines for infringements of laws, or violations of contracts (high volume)</t>
  </si>
  <si>
    <t>Critical financial damage</t>
  </si>
  <si>
    <t>Loss of freedom for employees, direct loss, fines for infringements of laws, or violations of contracts (critical volume)</t>
  </si>
  <si>
    <t>Does the product process personal data?
Examples: User ID, address labels</t>
  </si>
  <si>
    <t>&lt;OEM name&gt;</t>
  </si>
  <si>
    <t>Proficient: The attacker needs to understand how to use the compromised device to attack the product
Restricted: The attacker needs knowledge of the attacked product</t>
  </si>
  <si>
    <t>Note: Attacks on IP are covered by other attacks
Proficient: The attacker needs basic understanding on how to extract data from a device
Moderate: The attacker needs to obtain the device</t>
  </si>
  <si>
    <t>Applied selectively by the security expert conducting the analysis, given a good rationale.</t>
  </si>
  <si>
    <t>See IEC 62443</t>
  </si>
  <si>
    <t>Oauth2</t>
  </si>
  <si>
    <t>The attack needs to find and exploit a software vulnerability first, then escape from the virtual system / the container to attack the target software.</t>
  </si>
  <si>
    <t>State of the art identity management.</t>
  </si>
  <si>
    <t>The attacker must wait for the legitimate user to access the ssh server on the product for the first time (after that, the public key of the product is stored on the client and a man-in-the-middle attack is noticed).</t>
  </si>
  <si>
    <t>State of the art identity management. Requires a trustworthy trust anchor to be secure (e.g., certificate from a well-managed PKI).</t>
  </si>
  <si>
    <r>
      <rPr>
        <b/>
        <sz val="11"/>
        <color rgb="FFB2D6EC"/>
        <rFont val="Calibri"/>
        <family val="2"/>
        <scheme val="minor"/>
      </rPr>
      <t>Intended Use</t>
    </r>
    <r>
      <rPr>
        <b/>
        <sz val="11"/>
        <color theme="0"/>
        <rFont val="Calibri"/>
        <family val="2"/>
        <scheme val="minor"/>
      </rPr>
      <t xml:space="preserve">
</t>
    </r>
    <r>
      <rPr>
        <sz val="11"/>
        <color theme="0"/>
        <rFont val="Calibri"/>
        <family val="2"/>
        <scheme val="minor"/>
      </rPr>
      <t xml:space="preserve">Describe the intended usage scenario(s) and main use cases for the product. Also include foreseeable (or known) usage scenario(s) outside the scope documented here.
</t>
    </r>
    <r>
      <rPr>
        <b/>
        <sz val="11"/>
        <color rgb="FFB2D6EC"/>
        <rFont val="Calibri"/>
        <family val="2"/>
        <scheme val="minor"/>
      </rPr>
      <t>Application area / Operational environment</t>
    </r>
    <r>
      <rPr>
        <b/>
        <sz val="11"/>
        <color theme="0"/>
        <rFont val="Calibri"/>
        <family val="2"/>
        <scheme val="minor"/>
      </rPr>
      <t xml:space="preserve">
</t>
    </r>
    <r>
      <rPr>
        <sz val="11"/>
        <color theme="0"/>
        <rFont val="Calibri"/>
        <family val="2"/>
        <scheme val="minor"/>
      </rPr>
      <t xml:space="preserve">Describe the application area and the operational environment of the product.
</t>
    </r>
    <r>
      <rPr>
        <b/>
        <sz val="11"/>
        <color rgb="FFB2D6EC"/>
        <rFont val="Calibri"/>
        <family val="2"/>
        <scheme val="minor"/>
      </rPr>
      <t>Interfaces</t>
    </r>
    <r>
      <rPr>
        <b/>
        <sz val="11"/>
        <color theme="0"/>
        <rFont val="Calibri"/>
        <family val="2"/>
        <scheme val="minor"/>
      </rPr>
      <t xml:space="preserve">
</t>
    </r>
    <r>
      <rPr>
        <sz val="11"/>
        <color theme="0"/>
        <rFont val="Calibri"/>
        <family val="2"/>
        <scheme val="minor"/>
      </rPr>
      <t>Remove all interfaces from the following list that are not typically used in or provided by the product (externally, for configuration or integration in systems). Add interfaces missing in this list:
   - physical
      &gt; Serial (RS232, RS485, ...)
      &gt; Ethernet port(s) (switched, independent)
      &gt; IO Link
      &gt; PROFINET
      &gt; PROFIBUS
      &gt; EtherCAT
      &gt; EtherNet/IP
      &gt; Hiperface DSL
      &gt; SD Card
      &gt; USB (HID, Data)
      &gt; WiFi
      &gt; RFID
      &gt; Bluetooth, BTLE
      &gt; SafetyBUS p
      &gt; CAN
      &gt; HMI, dip switches, buttons (describe purpose)
      &gt; Backplane port
      &gt; Barcode Scanner for configuration
   - logical
      &gt; Modbus / RTU / ASCII / TCP
      &gt; HTTP / HTTPS
      &gt; FTP / FTPS / SFTP
      &gt; SSH
      &gt; MQTT</t>
    </r>
  </si>
  <si>
    <t>The product shall be designed to prevent attacks by external communication partners after commissioning by not processing any data from external sources on applicable interfaces
Example:
The product has an interface for initial setup and configuration which is disabled as part of the commissioning process.</t>
  </si>
  <si>
    <t>The Product Manager (PM).</t>
  </si>
  <si>
    <t>The Research &amp; Development contact (R&amp;D).</t>
  </si>
  <si>
    <t>The Cybersecurity Specialist (CSS) (central security department).</t>
  </si>
  <si>
    <t>The Cybersecurity Team Specialist (CSTS) (security expert embedded in a department).</t>
  </si>
  <si>
    <t>1.0.0</t>
  </si>
  <si>
    <t>CR 2.11 – Timestamps</t>
  </si>
  <si>
    <t>* This document requires the Microsoft 365 version of Excel</t>
  </si>
  <si>
    <t>TODO: No values are given, as the process is OEM-individual -- please set the values accordingly for the initial setup of the template!</t>
  </si>
  <si>
    <t>See ETSI EN 303 645 V2.1.1 (2020-06), Provision 6-1, 6-2, and 6-3</t>
  </si>
  <si>
    <t>See ETSI EN 303 645 V2.1.1 (2020-06), Provision 6-4, and 6-5</t>
  </si>
  <si>
    <t>CM24</t>
  </si>
  <si>
    <t>CM25</t>
  </si>
  <si>
    <t>CM26</t>
  </si>
  <si>
    <t>CM27</t>
  </si>
  <si>
    <t>CM28</t>
  </si>
  <si>
    <t>CR 1.5 – Authenticator management</t>
  </si>
  <si>
    <t>CR 4.1 – Information confidentiality</t>
  </si>
  <si>
    <t>CR 7.4 – Control system recovery and reconstitution</t>
  </si>
  <si>
    <t>CR 1.11 - Unsuccessful login attempts</t>
  </si>
  <si>
    <t>CR 7.8 - Control system component inventory</t>
  </si>
  <si>
    <t>C0</t>
  </si>
  <si>
    <t>See IEC 62443‑3‑3:2013, Clause 4</t>
  </si>
  <si>
    <r>
      <t xml:space="preserve">A unique ID for the countermeasure. IDs with the structure </t>
    </r>
    <r>
      <rPr>
        <i/>
        <sz val="11"/>
        <color theme="0"/>
        <rFont val="Calibri"/>
        <family val="2"/>
        <scheme val="minor"/>
      </rPr>
      <t>C&lt;number&gt;</t>
    </r>
    <r>
      <rPr>
        <sz val="11"/>
        <color theme="0"/>
        <rFont val="Calibri"/>
        <family val="2"/>
        <scheme val="minor"/>
      </rPr>
      <t xml:space="preserve"> represent basic requirements, typically based on standards, while countermeasures with a </t>
    </r>
    <r>
      <rPr>
        <i/>
        <sz val="11"/>
        <color theme="0"/>
        <rFont val="Calibri"/>
        <family val="2"/>
        <scheme val="minor"/>
      </rPr>
      <t>CM&lt;number&gt;</t>
    </r>
    <r>
      <rPr>
        <sz val="11"/>
        <color theme="0"/>
        <rFont val="Calibri"/>
        <family val="2"/>
        <scheme val="minor"/>
      </rPr>
      <t xml:space="preserve"> ID represent more specific requirements / countermeasures.</t>
    </r>
  </si>
  <si>
    <r>
      <t xml:space="preserve">Name the countermeasure. If the name contains an ID, then it usually represents the ID in a standard or technical specification. The acronym </t>
    </r>
    <r>
      <rPr>
        <i/>
        <sz val="11"/>
        <color theme="0"/>
        <rFont val="Calibri"/>
        <family val="2"/>
        <scheme val="minor"/>
      </rPr>
      <t>SCR</t>
    </r>
    <r>
      <rPr>
        <sz val="11"/>
        <color theme="0"/>
        <rFont val="Calibri"/>
        <family val="2"/>
        <scheme val="minor"/>
      </rPr>
      <t xml:space="preserve"> represents </t>
    </r>
    <r>
      <rPr>
        <i/>
        <sz val="11"/>
        <color theme="0"/>
        <rFont val="Calibri"/>
        <family val="2"/>
        <scheme val="minor"/>
      </rPr>
      <t>Security Component Requirement</t>
    </r>
    <r>
      <rPr>
        <sz val="11"/>
        <color theme="0"/>
        <rFont val="Calibri"/>
        <family val="2"/>
        <scheme val="minor"/>
      </rPr>
      <t>.</t>
    </r>
  </si>
  <si>
    <t>The attacker needs to extract the universal key from a single device to then spoof a legitimate client.</t>
  </si>
  <si>
    <t>Make sure you tailor the document, especially the assessment model contained in the Definitions sheet and the catalogs, to your organization.
For example, adapt the exemplary risk matrix to a matrix that fits your organization and its context.</t>
  </si>
  <si>
    <r>
      <t xml:space="preserve">Name the assumption. The </t>
    </r>
    <r>
      <rPr>
        <i/>
        <sz val="11"/>
        <color theme="0"/>
        <rFont val="Calibri"/>
        <family val="2"/>
        <scheme val="minor"/>
      </rPr>
      <t>SDR&lt;number&gt;</t>
    </r>
    <r>
      <rPr>
        <sz val="11"/>
        <color theme="0"/>
        <rFont val="Calibri"/>
        <family val="2"/>
        <scheme val="minor"/>
      </rPr>
      <t xml:space="preserve"> IDs in the initial catalog represent </t>
    </r>
    <r>
      <rPr>
        <i/>
        <sz val="11"/>
        <color theme="0"/>
        <rFont val="Calibri"/>
        <family val="2"/>
        <scheme val="minor"/>
      </rPr>
      <t>Security Documentation Requirements</t>
    </r>
    <r>
      <rPr>
        <sz val="11"/>
        <color theme="0"/>
        <rFont val="Calibri"/>
        <family val="2"/>
        <scheme val="minor"/>
      </rPr>
      <t>, as assumptions typically must be documented and communicated accordingly.</t>
    </r>
  </si>
  <si>
    <t>The user documentation shall state that the product does not send any sensitive data to communication partners over the Internet or a mobile network.</t>
  </si>
  <si>
    <t>Intended Use
Describe the intended usage scenario(s) and main use cases for the product. Also include foreseeable (or known) usage scenario(s) outside the scope documented here.
Application area / Operational environment
Describe the application area and the operational environment of the product.
Interfaces
Remove all interfaces from the following list that are not typically used in or provided by the product (externally, for configuration or integration in systems). Add interfaces missing in this list:
   - physical
      &gt; Serial (RS232, RS485, ...)
      &gt; Ethernet port(s) (switched, independent)
      &gt; IO Link
      &gt; PROFINET
      &gt; PROFIBUS
      &gt; EtherCAT
      &gt; EtherNet/IP
      &gt; Hiperface DSL
      &gt; SD Card
      &gt; USB (HID, Data)
      &gt; WiFi
      &gt; RFID
      &gt; Bluetooth, BTLE
      &gt; SafetyBUS p
      &gt; CAN
      &gt; HMI, dip switches, buttons (describe purpose)
      &gt; Backplane port
      &gt; Barcode Scanner for configuration
   - logical
      &gt; Modbus/RTU/ASCII/TCP
      &gt; http/s
      &gt; ftp/s
      &gt; ssh</t>
  </si>
  <si>
    <t xml:space="preserve">    Questionnaire-Based Assessment (QuBA)  © 2025 by SICK AG and Fraunhofer-Institut für Angewandte und Integrierte Sicherheit AISEC is licensed under CC BY-SA 4.0. To view a copy of this license, visit https://creativecommons.org/licenses/by-sa/4.0/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</si>
</sst>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9" x14ac:knownFonts="1">
    <font>
      <sz val="11"/>
      <color theme="1"/>
      <name val="Calibri"/>
      <family val="2"/>
      <scheme val="minor"/>
    </font>
    <font>
      <b/>
      <sz val="11"/>
      <color theme="0"/>
      <name val="Calibri"/>
      <family val="2"/>
      <scheme val="minor"/>
    </font>
    <font>
      <sz val="11"/>
      <color theme="0"/>
      <name val="Calibri"/>
      <family val="2"/>
      <scheme val="minor"/>
    </font>
    <font>
      <b/>
      <sz val="18"/>
      <color theme="0"/>
      <name val="Calibri"/>
      <family val="2"/>
      <scheme val="minor"/>
    </font>
    <font>
      <sz val="8"/>
      <name val="Calibri"/>
      <family val="2"/>
      <scheme val="minor"/>
    </font>
    <font>
      <b/>
      <sz val="11"/>
      <color theme="9" tint="0.59999389629810485"/>
      <name val="Calibri"/>
      <family val="2"/>
      <scheme val="minor"/>
    </font>
    <font>
      <sz val="11"/>
      <color theme="9" tint="0.59999389629810485"/>
      <name val="Calibri"/>
      <family val="2"/>
      <scheme val="minor"/>
    </font>
    <font>
      <sz val="11"/>
      <color rgb="FFFFFFFF"/>
      <name val="Calibri"/>
      <family val="2"/>
    </font>
    <font>
      <sz val="9"/>
      <color theme="9" tint="0.59999389629810485"/>
      <name val="Calibri"/>
      <family val="2"/>
      <scheme val="minor"/>
    </font>
    <font>
      <sz val="8"/>
      <color theme="9" tint="0.59999389629810485"/>
      <name val="Calibri"/>
      <family val="2"/>
      <scheme val="minor"/>
    </font>
    <font>
      <b/>
      <sz val="14"/>
      <color theme="0"/>
      <name val="Calibri"/>
      <family val="2"/>
      <scheme val="minor"/>
    </font>
    <font>
      <b/>
      <sz val="16"/>
      <color theme="0"/>
      <name val="Calibri"/>
      <family val="2"/>
      <scheme val="minor"/>
    </font>
    <font>
      <u/>
      <sz val="11"/>
      <color theme="10"/>
      <name val="Calibri"/>
      <family val="2"/>
      <scheme val="minor"/>
    </font>
    <font>
      <sz val="11"/>
      <color rgb="FF99FFCC"/>
      <name val="Calibri"/>
      <family val="2"/>
      <scheme val="minor"/>
    </font>
    <font>
      <u/>
      <sz val="11"/>
      <color theme="0"/>
      <name val="Calibri"/>
      <family val="2"/>
      <scheme val="minor"/>
    </font>
    <font>
      <b/>
      <sz val="12"/>
      <color theme="9" tint="0.59999389629810485"/>
      <name val="Calibri"/>
      <family val="2"/>
      <scheme val="minor"/>
    </font>
    <font>
      <b/>
      <sz val="12"/>
      <color theme="0"/>
      <name val="Calibri"/>
      <family val="2"/>
      <scheme val="minor"/>
    </font>
    <font>
      <sz val="12"/>
      <color theme="0"/>
      <name val="Calibri"/>
      <family val="2"/>
      <scheme val="minor"/>
    </font>
    <font>
      <b/>
      <sz val="11"/>
      <color rgb="FFB2D6EC"/>
      <name val="Calibri"/>
      <family val="2"/>
      <scheme val="minor"/>
    </font>
    <font>
      <u/>
      <sz val="11"/>
      <color rgb="FF99FFCC"/>
      <name val="Calibri"/>
      <family val="2"/>
      <scheme val="minor"/>
    </font>
    <font>
      <sz val="11"/>
      <color theme="5" tint="0.59999389629810485"/>
      <name val="Calibri"/>
      <family val="2"/>
      <scheme val="minor"/>
    </font>
    <font>
      <b/>
      <sz val="15"/>
      <color theme="3"/>
      <name val="Calibri"/>
      <family val="2"/>
      <scheme val="minor"/>
    </font>
    <font>
      <i/>
      <sz val="11"/>
      <color theme="0"/>
      <name val="Calibri"/>
      <family val="2"/>
      <scheme val="minor"/>
    </font>
    <font>
      <sz val="11"/>
      <color rgb="FFFFB9B9"/>
      <name val="Calibri"/>
      <family val="2"/>
      <scheme val="minor"/>
    </font>
    <font>
      <b/>
      <sz val="11"/>
      <color rgb="FFFFB9B9"/>
      <name val="Calibri"/>
      <family val="2"/>
      <scheme val="minor"/>
    </font>
    <font>
      <b/>
      <sz val="11"/>
      <color rgb="FF99FFCC"/>
      <name val="Calibri"/>
      <family val="2"/>
      <scheme val="minor"/>
    </font>
    <font>
      <sz val="11"/>
      <color theme="0" tint="-0.34998626667073579"/>
      <name val="Calibri"/>
      <family val="2"/>
      <scheme val="minor"/>
    </font>
    <font>
      <b/>
      <sz val="11"/>
      <color theme="8" tint="0.79998168889431442"/>
      <name val="Calibri"/>
      <family val="2"/>
      <scheme val="minor"/>
    </font>
    <font>
      <b/>
      <i/>
      <sz val="11"/>
      <color theme="8" tint="0.79998168889431442"/>
      <name val="Calibri"/>
      <family val="2"/>
      <scheme val="minor"/>
    </font>
    <font>
      <sz val="11"/>
      <color theme="0"/>
      <name val="Calibri"/>
      <family val="2"/>
    </font>
    <font>
      <b/>
      <sz val="11"/>
      <color theme="1"/>
      <name val="Calibri"/>
      <family val="2"/>
      <scheme val="minor"/>
    </font>
    <font>
      <sz val="9"/>
      <color theme="0"/>
      <name val="Calibri"/>
      <family val="2"/>
      <scheme val="minor"/>
    </font>
    <font>
      <b/>
      <sz val="11"/>
      <color theme="1" tint="0.14999847407452621"/>
      <name val="Calibri"/>
      <family val="2"/>
      <scheme val="minor"/>
    </font>
    <font>
      <sz val="11"/>
      <color theme="1" tint="0.14999847407452621"/>
      <name val="Calibri"/>
      <family val="2"/>
      <scheme val="minor"/>
    </font>
    <font>
      <b/>
      <sz val="11"/>
      <color rgb="FFCCFF33"/>
      <name val="Calibri"/>
      <family val="2"/>
      <scheme val="minor"/>
    </font>
    <font>
      <sz val="14"/>
      <color theme="0"/>
      <name val="Calibri"/>
      <family val="2"/>
      <scheme val="minor"/>
    </font>
    <font>
      <sz val="8"/>
      <color theme="0"/>
      <name val="Calibri"/>
      <family val="2"/>
      <scheme val="minor"/>
    </font>
    <font>
      <sz val="16"/>
      <color theme="0"/>
      <name val="Calibri"/>
      <family val="2"/>
      <scheme val="minor"/>
    </font>
    <font>
      <sz val="11"/>
      <color rgb="FFC6E0B4"/>
      <name val="Calibri"/>
      <family val="2"/>
      <scheme val="minor"/>
    </font>
  </fonts>
  <fills count="9">
    <fill>
      <patternFill patternType="none"/>
    </fill>
    <fill>
      <patternFill patternType="gray125"/>
    </fill>
    <fill>
      <patternFill patternType="solid">
        <fgColor theme="1" tint="0.14999847407452621"/>
        <bgColor indexed="64"/>
      </patternFill>
    </fill>
    <fill>
      <patternFill patternType="solid">
        <fgColor theme="1" tint="0.34998626667073579"/>
        <bgColor indexed="64"/>
      </patternFill>
    </fill>
    <fill>
      <patternFill patternType="solid">
        <fgColor theme="1"/>
        <bgColor indexed="64"/>
      </patternFill>
    </fill>
    <fill>
      <patternFill patternType="solid">
        <fgColor theme="6"/>
        <bgColor indexed="64"/>
      </patternFill>
    </fill>
    <fill>
      <patternFill patternType="solid">
        <fgColor theme="3"/>
        <bgColor indexed="64"/>
      </patternFill>
    </fill>
    <fill>
      <patternFill patternType="solid">
        <fgColor theme="9" tint="-0.499984740745262"/>
        <bgColor indexed="64"/>
      </patternFill>
    </fill>
    <fill>
      <patternFill patternType="solid">
        <fgColor theme="1" tint="0.14996795556505021"/>
        <bgColor indexed="64"/>
      </patternFill>
    </fill>
  </fills>
  <borders count="7">
    <border>
      <left/>
      <right/>
      <top/>
      <bottom/>
      <diagonal/>
    </border>
    <border>
      <left/>
      <right/>
      <top/>
      <bottom style="thin">
        <color theme="0"/>
      </bottom>
      <diagonal/>
    </border>
    <border>
      <left/>
      <right/>
      <top/>
      <bottom style="thick">
        <color theme="4"/>
      </bottom>
      <diagonal/>
    </border>
    <border>
      <left/>
      <right style="thin">
        <color theme="0"/>
      </right>
      <top/>
      <bottom/>
      <diagonal/>
    </border>
    <border>
      <left/>
      <right/>
      <top style="thin">
        <color theme="0"/>
      </top>
      <bottom/>
      <diagonal/>
    </border>
    <border>
      <left style="thin">
        <color theme="0"/>
      </left>
      <right/>
      <top/>
      <bottom/>
      <diagonal/>
    </border>
    <border>
      <left style="thin">
        <color theme="0"/>
      </left>
      <right style="thin">
        <color theme="0"/>
      </right>
      <top style="thin">
        <color theme="0"/>
      </top>
      <bottom style="thin">
        <color theme="0"/>
      </bottom>
      <diagonal/>
    </border>
  </borders>
  <cellStyleXfs count="3">
    <xf numFmtId="0" fontId="0" fillId="0" borderId="0"/>
    <xf numFmtId="0" fontId="12" fillId="0" borderId="0" applyNumberFormat="0" applyFill="0" applyBorder="0" applyAlignment="0" applyProtection="0"/>
    <xf numFmtId="0" fontId="21" fillId="0" borderId="2" applyNumberFormat="0" applyFill="0" applyAlignment="0" applyProtection="0"/>
  </cellStyleXfs>
  <cellXfs count="152">
    <xf numFmtId="0" fontId="0" fillId="0" borderId="0" xfId="0"/>
    <xf numFmtId="0" fontId="1" fillId="2" borderId="0" xfId="0" applyFont="1" applyFill="1"/>
    <xf numFmtId="0" fontId="2" fillId="2" borderId="0" xfId="0" applyFont="1" applyFill="1"/>
    <xf numFmtId="0" fontId="1" fillId="2" borderId="0" xfId="0" applyFont="1" applyFill="1" applyAlignment="1">
      <alignment wrapText="1"/>
    </xf>
    <xf numFmtId="0" fontId="2" fillId="2" borderId="0" xfId="0" applyFont="1" applyFill="1" applyAlignment="1">
      <alignment wrapText="1"/>
    </xf>
    <xf numFmtId="0" fontId="1" fillId="2" borderId="0" xfId="0" applyFont="1" applyFill="1" applyBorder="1" applyAlignment="1">
      <alignment wrapText="1"/>
    </xf>
    <xf numFmtId="0" fontId="3" fillId="2" borderId="0" xfId="0" applyFont="1" applyFill="1" applyAlignment="1">
      <alignment wrapText="1"/>
    </xf>
    <xf numFmtId="0" fontId="5" fillId="2" borderId="0" xfId="0" applyFont="1" applyFill="1" applyAlignment="1">
      <alignment wrapText="1"/>
    </xf>
    <xf numFmtId="0" fontId="6" fillId="2" borderId="0" xfId="0" applyFont="1" applyFill="1" applyAlignment="1">
      <alignment wrapText="1"/>
    </xf>
    <xf numFmtId="0" fontId="6" fillId="2" borderId="0" xfId="0" applyFont="1" applyFill="1"/>
    <xf numFmtId="0" fontId="2" fillId="0" borderId="0" xfId="0" applyFont="1" applyFill="1"/>
    <xf numFmtId="0" fontId="1" fillId="2" borderId="0" xfId="0" applyFont="1" applyFill="1" applyAlignment="1"/>
    <xf numFmtId="0" fontId="2" fillId="2" borderId="0" xfId="0" applyFont="1" applyFill="1" applyAlignment="1"/>
    <xf numFmtId="0" fontId="2" fillId="0" borderId="0" xfId="0" applyFont="1" applyFill="1" applyAlignment="1">
      <alignment wrapText="1"/>
    </xf>
    <xf numFmtId="0" fontId="7" fillId="0" borderId="0" xfId="0" applyFont="1" applyFill="1"/>
    <xf numFmtId="0" fontId="6" fillId="0" borderId="0" xfId="0" applyFont="1" applyFill="1"/>
    <xf numFmtId="0" fontId="6" fillId="0" borderId="0" xfId="0" applyFont="1" applyFill="1" applyAlignment="1">
      <alignment wrapText="1"/>
    </xf>
    <xf numFmtId="0" fontId="8" fillId="2" borderId="0" xfId="0" applyFont="1" applyFill="1"/>
    <xf numFmtId="0" fontId="2" fillId="2" borderId="0" xfId="0" applyFont="1" applyFill="1" applyAlignment="1">
      <alignment horizontal="right" wrapText="1"/>
    </xf>
    <xf numFmtId="0" fontId="9" fillId="0" borderId="0" xfId="0" applyFont="1" applyFill="1" applyAlignment="1">
      <alignment wrapText="1"/>
    </xf>
    <xf numFmtId="0" fontId="7" fillId="0" borderId="0" xfId="0" applyNumberFormat="1" applyFont="1" applyFill="1"/>
    <xf numFmtId="0" fontId="2" fillId="0" borderId="0" xfId="0" applyNumberFormat="1" applyFont="1" applyFill="1"/>
    <xf numFmtId="0" fontId="2" fillId="0" borderId="0" xfId="0" applyFont="1" applyFill="1" applyAlignment="1"/>
    <xf numFmtId="0" fontId="2" fillId="0" borderId="0" xfId="0" applyNumberFormat="1" applyFont="1" applyFill="1" applyAlignment="1">
      <alignment wrapText="1"/>
    </xf>
    <xf numFmtId="0" fontId="7" fillId="0" borderId="0" xfId="0" applyFont="1" applyFill="1" applyAlignment="1">
      <alignment wrapText="1"/>
    </xf>
    <xf numFmtId="0" fontId="1" fillId="2" borderId="0" xfId="0" applyFont="1" applyFill="1" applyBorder="1" applyAlignment="1"/>
    <xf numFmtId="0" fontId="11" fillId="2" borderId="0" xfId="0" applyFont="1" applyFill="1" applyBorder="1" applyAlignment="1"/>
    <xf numFmtId="0" fontId="2" fillId="2" borderId="0" xfId="0" applyFont="1" applyFill="1" applyAlignment="1">
      <alignment horizontal="right"/>
    </xf>
    <xf numFmtId="0" fontId="6" fillId="2" borderId="0" xfId="0" applyNumberFormat="1" applyFont="1" applyFill="1" applyAlignment="1">
      <alignment wrapText="1"/>
    </xf>
    <xf numFmtId="0" fontId="1" fillId="3" borderId="0" xfId="0" applyFont="1" applyFill="1"/>
    <xf numFmtId="0" fontId="13" fillId="0" borderId="0" xfId="1" applyFont="1" applyFill="1" applyAlignment="1">
      <alignment wrapText="1"/>
    </xf>
    <xf numFmtId="0" fontId="10" fillId="2" borderId="0" xfId="0" applyFont="1" applyFill="1"/>
    <xf numFmtId="14" fontId="2" fillId="0" borderId="0" xfId="0" applyNumberFormat="1" applyFont="1" applyFill="1"/>
    <xf numFmtId="0" fontId="6" fillId="0" borderId="0" xfId="0" applyNumberFormat="1" applyFont="1" applyFill="1" applyAlignment="1">
      <alignment wrapText="1"/>
    </xf>
    <xf numFmtId="0" fontId="9" fillId="0" borderId="0" xfId="0" applyNumberFormat="1" applyFont="1" applyFill="1" applyAlignment="1">
      <alignment wrapText="1"/>
    </xf>
    <xf numFmtId="0" fontId="13" fillId="0" borderId="0" xfId="1" applyNumberFormat="1" applyFont="1" applyFill="1" applyAlignment="1">
      <alignment wrapText="1"/>
    </xf>
    <xf numFmtId="0" fontId="8" fillId="0" borderId="0" xfId="0" applyFont="1" applyFill="1" applyAlignment="1">
      <alignment wrapText="1"/>
    </xf>
    <xf numFmtId="0" fontId="8" fillId="0" borderId="0" xfId="0" applyNumberFormat="1" applyFont="1" applyFill="1" applyAlignment="1">
      <alignment wrapText="1"/>
    </xf>
    <xf numFmtId="0" fontId="11" fillId="2" borderId="0" xfId="0" applyFont="1" applyFill="1" applyBorder="1" applyAlignment="1">
      <alignment wrapText="1"/>
    </xf>
    <xf numFmtId="0" fontId="16" fillId="2" borderId="0" xfId="0" applyFont="1" applyFill="1"/>
    <xf numFmtId="0" fontId="17" fillId="2" borderId="0" xfId="0" applyFont="1" applyFill="1"/>
    <xf numFmtId="0" fontId="17" fillId="0" borderId="0" xfId="0" applyFont="1" applyFill="1"/>
    <xf numFmtId="0" fontId="15" fillId="2" borderId="1" xfId="0" applyFont="1" applyFill="1" applyBorder="1" applyAlignment="1">
      <alignment horizontal="center"/>
    </xf>
    <xf numFmtId="0" fontId="15" fillId="2" borderId="1" xfId="0" applyFont="1" applyFill="1" applyBorder="1" applyAlignment="1">
      <alignment wrapText="1"/>
    </xf>
    <xf numFmtId="0" fontId="16" fillId="2" borderId="1" xfId="0" applyFont="1" applyFill="1" applyBorder="1"/>
    <xf numFmtId="0" fontId="6" fillId="2" borderId="0" xfId="0" applyFont="1" applyFill="1" applyAlignment="1">
      <alignment horizontal="center" vertical="center"/>
    </xf>
    <xf numFmtId="0" fontId="2" fillId="2" borderId="0" xfId="0" applyFont="1" applyFill="1" applyBorder="1"/>
    <xf numFmtId="0" fontId="18" fillId="2" borderId="0" xfId="0" applyFont="1" applyFill="1"/>
    <xf numFmtId="0" fontId="8" fillId="2" borderId="0" xfId="0" applyFont="1" applyFill="1" applyAlignment="1">
      <alignment wrapText="1"/>
    </xf>
    <xf numFmtId="0" fontId="6" fillId="3" borderId="0" xfId="0" applyFont="1" applyFill="1" applyAlignment="1">
      <alignment wrapText="1"/>
    </xf>
    <xf numFmtId="0" fontId="19" fillId="2" borderId="0" xfId="1" applyFont="1" applyFill="1" applyAlignment="1">
      <alignment wrapText="1"/>
    </xf>
    <xf numFmtId="0" fontId="13" fillId="2" borderId="0" xfId="0" applyFont="1" applyFill="1" applyAlignment="1">
      <alignment wrapText="1"/>
    </xf>
    <xf numFmtId="0" fontId="2" fillId="0" borderId="0" xfId="0" applyFont="1" applyFill="1" applyAlignment="1">
      <alignment horizontal="center" vertical="center" wrapText="1"/>
    </xf>
    <xf numFmtId="0" fontId="20" fillId="2" borderId="0" xfId="0" applyFont="1" applyFill="1"/>
    <xf numFmtId="0" fontId="21" fillId="0" borderId="2" xfId="2" applyAlignment="1">
      <alignment wrapText="1"/>
    </xf>
    <xf numFmtId="0" fontId="0" fillId="0" borderId="0" xfId="0" applyAlignment="1">
      <alignment wrapText="1"/>
    </xf>
    <xf numFmtId="0" fontId="6" fillId="0" borderId="0" xfId="0" applyFont="1" applyFill="1" applyAlignment="1"/>
    <xf numFmtId="0" fontId="2" fillId="2" borderId="0" xfId="0" applyNumberFormat="1" applyFont="1" applyFill="1" applyAlignment="1"/>
    <xf numFmtId="0" fontId="10" fillId="2" borderId="0" xfId="0" applyFont="1" applyFill="1" applyAlignment="1"/>
    <xf numFmtId="0" fontId="19" fillId="0" borderId="0" xfId="1" applyNumberFormat="1" applyFont="1" applyFill="1" applyAlignment="1">
      <alignment wrapText="1"/>
    </xf>
    <xf numFmtId="0" fontId="23" fillId="2" borderId="0" xfId="0" applyFont="1" applyFill="1" applyAlignment="1">
      <alignment wrapText="1"/>
    </xf>
    <xf numFmtId="0" fontId="2" fillId="0" borderId="0" xfId="0" applyNumberFormat="1" applyFont="1" applyFill="1" applyAlignment="1"/>
    <xf numFmtId="0" fontId="2" fillId="2" borderId="0" xfId="0" applyFont="1" applyFill="1" applyAlignment="1">
      <alignment horizontal="left" wrapText="1"/>
    </xf>
    <xf numFmtId="0" fontId="1" fillId="2" borderId="0" xfId="0" applyFont="1" applyFill="1" applyAlignment="1">
      <alignment horizontal="left" wrapText="1"/>
    </xf>
    <xf numFmtId="0" fontId="2" fillId="4" borderId="0" xfId="0" applyFont="1" applyFill="1" applyAlignment="1">
      <alignment horizontal="left" wrapText="1"/>
    </xf>
    <xf numFmtId="0" fontId="2" fillId="5" borderId="0" xfId="0" applyFont="1" applyFill="1" applyAlignment="1">
      <alignment horizontal="left" wrapText="1"/>
    </xf>
    <xf numFmtId="0" fontId="2" fillId="6" borderId="0" xfId="0" applyFont="1" applyFill="1" applyAlignment="1">
      <alignment horizontal="left" wrapText="1"/>
    </xf>
    <xf numFmtId="0" fontId="1" fillId="2" borderId="1" xfId="0" applyFont="1" applyFill="1" applyBorder="1" applyAlignment="1">
      <alignment horizontal="left" wrapText="1"/>
    </xf>
    <xf numFmtId="0" fontId="1" fillId="2" borderId="1" xfId="0" applyFont="1" applyFill="1" applyBorder="1" applyAlignment="1">
      <alignment wrapText="1"/>
    </xf>
    <xf numFmtId="0" fontId="6" fillId="2" borderId="0" xfId="0" applyFont="1" applyFill="1" applyAlignment="1">
      <alignment horizontal="left" wrapText="1"/>
    </xf>
    <xf numFmtId="0" fontId="19" fillId="2" borderId="0" xfId="0" applyFont="1" applyFill="1" applyAlignment="1">
      <alignment horizontal="left" wrapText="1"/>
    </xf>
    <xf numFmtId="0" fontId="19" fillId="0" borderId="0" xfId="0" applyFont="1" applyFill="1" applyAlignment="1">
      <alignment wrapText="1"/>
    </xf>
    <xf numFmtId="0" fontId="16" fillId="2" borderId="1" xfId="0" applyFont="1" applyFill="1" applyBorder="1" applyAlignment="1">
      <alignment wrapText="1"/>
    </xf>
    <xf numFmtId="0" fontId="2" fillId="2" borderId="0" xfId="0" applyFont="1" applyFill="1" applyBorder="1" applyAlignment="1">
      <alignment wrapText="1"/>
    </xf>
    <xf numFmtId="0" fontId="2" fillId="2" borderId="1" xfId="0" applyFont="1" applyFill="1" applyBorder="1"/>
    <xf numFmtId="0" fontId="25" fillId="2" borderId="0" xfId="0" applyFont="1" applyFill="1" applyAlignment="1">
      <alignment horizontal="left" wrapText="1"/>
    </xf>
    <xf numFmtId="0" fontId="12" fillId="0" borderId="0" xfId="1" applyNumberFormat="1" applyFill="1" applyAlignment="1">
      <alignment wrapText="1"/>
    </xf>
    <xf numFmtId="0" fontId="7" fillId="0" borderId="0" xfId="0" applyNumberFormat="1" applyFont="1" applyFill="1" applyAlignment="1">
      <alignment wrapText="1"/>
    </xf>
    <xf numFmtId="0" fontId="2" fillId="0" borderId="0" xfId="0" applyNumberFormat="1" applyFont="1" applyFill="1" applyAlignment="1">
      <alignment horizontal="center" vertical="center" wrapText="1"/>
    </xf>
    <xf numFmtId="0" fontId="26" fillId="0" borderId="0" xfId="0" applyFont="1" applyFill="1" applyAlignment="1">
      <alignment wrapText="1"/>
    </xf>
    <xf numFmtId="0" fontId="26" fillId="0" borderId="0" xfId="0" applyNumberFormat="1" applyFont="1" applyFill="1" applyAlignment="1">
      <alignment wrapText="1"/>
    </xf>
    <xf numFmtId="0" fontId="29" fillId="2" borderId="0" xfId="0" applyNumberFormat="1" applyFont="1" applyFill="1"/>
    <xf numFmtId="0" fontId="1" fillId="2" borderId="3" xfId="0" applyFont="1" applyFill="1" applyBorder="1" applyAlignment="1">
      <alignment wrapText="1"/>
    </xf>
    <xf numFmtId="0" fontId="5" fillId="2" borderId="0" xfId="0" applyFont="1" applyFill="1" applyBorder="1"/>
    <xf numFmtId="0" fontId="6" fillId="2" borderId="4" xfId="0" applyFont="1" applyFill="1" applyBorder="1"/>
    <xf numFmtId="0" fontId="23" fillId="2" borderId="0" xfId="0" applyFont="1" applyFill="1" applyAlignment="1">
      <alignment horizontal="center"/>
    </xf>
    <xf numFmtId="0" fontId="30" fillId="0" borderId="0" xfId="0" applyFont="1" applyAlignment="1">
      <alignment wrapText="1"/>
    </xf>
    <xf numFmtId="0" fontId="2" fillId="2" borderId="0" xfId="0" applyFont="1" applyFill="1" applyAlignment="1">
      <alignment horizontal="left"/>
    </xf>
    <xf numFmtId="0" fontId="2" fillId="0" borderId="5" xfId="0" applyFont="1" applyFill="1" applyBorder="1"/>
    <xf numFmtId="0" fontId="2" fillId="0" borderId="0" xfId="0" applyFont="1" applyFill="1" applyBorder="1" applyAlignment="1">
      <alignment wrapText="1"/>
    </xf>
    <xf numFmtId="0" fontId="2" fillId="0" borderId="3" xfId="0" applyFont="1" applyFill="1" applyBorder="1"/>
    <xf numFmtId="0" fontId="31" fillId="0" borderId="5" xfId="0" applyFont="1" applyFill="1" applyBorder="1" applyAlignment="1">
      <alignment wrapText="1"/>
    </xf>
    <xf numFmtId="0" fontId="6" fillId="0" borderId="0" xfId="0" applyFont="1" applyFill="1" applyBorder="1"/>
    <xf numFmtId="0" fontId="31" fillId="0" borderId="3" xfId="0" applyFont="1" applyFill="1" applyBorder="1" applyAlignment="1">
      <alignment wrapText="1"/>
    </xf>
    <xf numFmtId="0" fontId="3" fillId="2" borderId="0" xfId="0" applyFont="1" applyFill="1" applyAlignment="1">
      <alignment horizontal="left" wrapText="1"/>
    </xf>
    <xf numFmtId="0" fontId="32" fillId="2" borderId="0" xfId="0" applyFont="1" applyFill="1" applyAlignment="1">
      <alignment horizontal="right" wrapText="1"/>
    </xf>
    <xf numFmtId="0" fontId="33" fillId="2" borderId="0" xfId="0" applyFont="1" applyFill="1" applyAlignment="1">
      <alignment horizontal="right" wrapText="1"/>
    </xf>
    <xf numFmtId="0" fontId="8" fillId="0" borderId="0" xfId="0" applyFont="1" applyFill="1" applyBorder="1" applyAlignment="1">
      <alignment wrapText="1"/>
    </xf>
    <xf numFmtId="0" fontId="5" fillId="0" borderId="0" xfId="0" applyFont="1" applyFill="1"/>
    <xf numFmtId="0" fontId="6" fillId="0" borderId="0" xfId="0" applyNumberFormat="1" applyFont="1" applyFill="1"/>
    <xf numFmtId="0" fontId="31" fillId="0" borderId="0" xfId="0" applyFont="1" applyFill="1" applyBorder="1" applyAlignment="1">
      <alignment wrapText="1"/>
    </xf>
    <xf numFmtId="0" fontId="19" fillId="2" borderId="0" xfId="1" applyFont="1" applyFill="1" applyAlignment="1"/>
    <xf numFmtId="0" fontId="34" fillId="0" borderId="0" xfId="0" applyNumberFormat="1" applyFont="1" applyFill="1" applyAlignment="1">
      <alignment wrapText="1"/>
    </xf>
    <xf numFmtId="0" fontId="34" fillId="2" borderId="0" xfId="0" applyFont="1" applyFill="1" applyAlignment="1">
      <alignment horizontal="left" wrapText="1"/>
    </xf>
    <xf numFmtId="0" fontId="10" fillId="2" borderId="1" xfId="0" applyFont="1" applyFill="1" applyBorder="1" applyAlignment="1">
      <alignment horizontal="left"/>
    </xf>
    <xf numFmtId="0" fontId="35" fillId="2" borderId="1" xfId="0" applyFont="1" applyFill="1" applyBorder="1" applyAlignment="1"/>
    <xf numFmtId="0" fontId="35" fillId="2" borderId="1" xfId="0" applyFont="1" applyFill="1" applyBorder="1"/>
    <xf numFmtId="0" fontId="35" fillId="2" borderId="0" xfId="0" applyFont="1" applyFill="1" applyAlignment="1"/>
    <xf numFmtId="0" fontId="35" fillId="2" borderId="0" xfId="0" applyFont="1" applyFill="1"/>
    <xf numFmtId="0" fontId="10" fillId="2" borderId="1" xfId="0" applyFont="1" applyFill="1" applyBorder="1" applyAlignment="1">
      <alignment horizontal="left" wrapText="1"/>
    </xf>
    <xf numFmtId="0" fontId="31" fillId="0" borderId="0" xfId="0" applyFont="1" applyFill="1" applyAlignment="1">
      <alignment wrapText="1"/>
    </xf>
    <xf numFmtId="0" fontId="2" fillId="0" borderId="3" xfId="0" applyNumberFormat="1" applyFont="1" applyFill="1" applyBorder="1" applyAlignment="1">
      <alignment horizontal="center" vertical="center" wrapText="1"/>
    </xf>
    <xf numFmtId="0" fontId="2" fillId="0" borderId="3" xfId="0" applyFont="1" applyFill="1" applyBorder="1" applyAlignment="1">
      <alignment horizontal="center" vertical="center" wrapText="1"/>
    </xf>
    <xf numFmtId="0" fontId="6" fillId="0" borderId="0" xfId="0" applyNumberFormat="1" applyFont="1" applyFill="1" applyAlignment="1"/>
    <xf numFmtId="0" fontId="13" fillId="2" borderId="0" xfId="0" applyFont="1" applyFill="1" applyAlignment="1">
      <alignment horizontal="center" vertical="center" wrapText="1"/>
    </xf>
    <xf numFmtId="0" fontId="13" fillId="2" borderId="0" xfId="0" applyFont="1" applyFill="1" applyAlignment="1">
      <alignment horizontal="center" vertical="center"/>
    </xf>
    <xf numFmtId="0" fontId="13" fillId="2" borderId="0" xfId="0" applyFont="1" applyFill="1"/>
    <xf numFmtId="0" fontId="36" fillId="0" borderId="0" xfId="0" applyFont="1" applyFill="1" applyAlignment="1">
      <alignment wrapText="1"/>
    </xf>
    <xf numFmtId="0" fontId="23" fillId="2" borderId="0" xfId="0" applyFont="1" applyFill="1" applyAlignment="1">
      <alignment horizontal="center" vertical="center"/>
    </xf>
    <xf numFmtId="0" fontId="35" fillId="0" borderId="0" xfId="0" applyFont="1" applyFill="1"/>
    <xf numFmtId="0" fontId="37" fillId="2" borderId="0" xfId="0" applyFont="1" applyFill="1" applyAlignment="1">
      <alignment horizontal="center"/>
    </xf>
    <xf numFmtId="0" fontId="13" fillId="2" borderId="0" xfId="0" applyFont="1" applyFill="1" applyAlignment="1">
      <alignment horizontal="right" vertical="center"/>
    </xf>
    <xf numFmtId="0" fontId="8" fillId="0" borderId="0" xfId="1" applyNumberFormat="1" applyFont="1" applyFill="1" applyAlignment="1">
      <alignment wrapText="1"/>
    </xf>
    <xf numFmtId="0" fontId="31" fillId="3" borderId="6" xfId="0" applyFont="1" applyFill="1" applyBorder="1" applyAlignment="1"/>
    <xf numFmtId="0" fontId="1" fillId="2" borderId="0" xfId="0" applyFont="1" applyFill="1" applyAlignment="1">
      <alignment vertical="center" wrapText="1"/>
    </xf>
    <xf numFmtId="0" fontId="5" fillId="2" borderId="0" xfId="0" applyFont="1" applyFill="1" applyAlignment="1">
      <alignment vertical="center" wrapText="1"/>
    </xf>
    <xf numFmtId="0" fontId="8" fillId="3" borderId="6" xfId="0" applyFont="1" applyFill="1" applyBorder="1" applyAlignment="1">
      <alignment wrapText="1"/>
    </xf>
    <xf numFmtId="0" fontId="7" fillId="0" borderId="0" xfId="0" applyFont="1" applyFill="1" applyAlignment="1"/>
    <xf numFmtId="0" fontId="7" fillId="0" borderId="0" xfId="0" applyNumberFormat="1" applyFont="1" applyFill="1" applyAlignment="1"/>
    <xf numFmtId="0" fontId="38" fillId="0" borderId="0" xfId="0" applyFont="1" applyFill="1"/>
    <xf numFmtId="0" fontId="38" fillId="0" borderId="0" xfId="0" applyFont="1" applyFill="1" applyAlignment="1">
      <alignment wrapText="1"/>
    </xf>
    <xf numFmtId="0" fontId="2" fillId="7" borderId="0" xfId="0" applyFont="1" applyFill="1" applyAlignment="1">
      <alignment horizontal="left" wrapText="1"/>
    </xf>
    <xf numFmtId="0" fontId="1" fillId="8" borderId="0" xfId="0" applyFont="1" applyFill="1" applyBorder="1"/>
    <xf numFmtId="14" fontId="2" fillId="3" borderId="4" xfId="0" applyNumberFormat="1" applyFont="1" applyFill="1" applyBorder="1"/>
    <xf numFmtId="0" fontId="2" fillId="3" borderId="4" xfId="0" applyFont="1" applyFill="1" applyBorder="1"/>
    <xf numFmtId="0" fontId="1" fillId="8" borderId="0" xfId="0" applyFont="1" applyFill="1"/>
    <xf numFmtId="14" fontId="2" fillId="2" borderId="0" xfId="0" applyNumberFormat="1" applyFont="1" applyFill="1"/>
    <xf numFmtId="0" fontId="19" fillId="0" borderId="0" xfId="1" applyFont="1" applyFill="1" applyAlignment="1">
      <alignment wrapText="1"/>
    </xf>
    <xf numFmtId="0" fontId="10" fillId="2" borderId="0" xfId="0" applyFont="1" applyFill="1" applyBorder="1" applyAlignment="1">
      <alignment horizontal="left"/>
    </xf>
    <xf numFmtId="0" fontId="35" fillId="2" borderId="0" xfId="0" applyFont="1" applyFill="1" applyBorder="1"/>
    <xf numFmtId="0" fontId="2" fillId="2" borderId="0" xfId="1" applyFont="1" applyFill="1" applyAlignment="1">
      <alignment horizontal="left" wrapText="1"/>
    </xf>
    <xf numFmtId="0" fontId="1" fillId="2" borderId="5" xfId="0" applyFont="1" applyFill="1" applyBorder="1" applyAlignment="1">
      <alignment horizontal="center"/>
    </xf>
    <xf numFmtId="0" fontId="1" fillId="2" borderId="0" xfId="0" applyFont="1" applyFill="1" applyBorder="1" applyAlignment="1">
      <alignment horizontal="center"/>
    </xf>
    <xf numFmtId="0" fontId="1" fillId="2" borderId="3" xfId="0" applyFont="1" applyFill="1" applyBorder="1" applyAlignment="1">
      <alignment horizontal="center"/>
    </xf>
    <xf numFmtId="0" fontId="2" fillId="3" borderId="0" xfId="0" applyFont="1" applyFill="1" applyAlignment="1">
      <alignment horizontal="left" vertical="top" wrapText="1"/>
    </xf>
    <xf numFmtId="0" fontId="10" fillId="3" borderId="0" xfId="0" applyFont="1" applyFill="1" applyAlignment="1">
      <alignment horizontal="left"/>
    </xf>
    <xf numFmtId="0" fontId="2" fillId="3" borderId="0" xfId="0" applyFont="1" applyFill="1" applyAlignment="1">
      <alignment horizontal="left"/>
    </xf>
    <xf numFmtId="0" fontId="6" fillId="3" borderId="0" xfId="0" applyNumberFormat="1" applyFont="1" applyFill="1" applyAlignment="1">
      <alignment horizontal="left"/>
    </xf>
    <xf numFmtId="0" fontId="1" fillId="3" borderId="0" xfId="0" applyFont="1" applyFill="1" applyAlignment="1">
      <alignment horizontal="left" vertical="top"/>
    </xf>
    <xf numFmtId="0" fontId="10" fillId="2" borderId="4" xfId="0" applyFont="1" applyFill="1" applyBorder="1" applyAlignment="1">
      <alignment horizontal="center"/>
    </xf>
    <xf numFmtId="0" fontId="10" fillId="2" borderId="0" xfId="0" applyFont="1" applyFill="1" applyAlignment="1">
      <alignment horizontal="center" vertical="center"/>
    </xf>
    <xf numFmtId="0" fontId="1" fillId="2" borderId="1" xfId="0" applyFont="1" applyFill="1" applyBorder="1" applyAlignment="1">
      <alignment horizontal="center" wrapText="1"/>
    </xf>
  </cellXfs>
  <cellStyles count="3">
    <cellStyle name="Heading 1" xfId="2" builtinId="16"/>
    <cellStyle name="Hyperlink" xfId="1" builtinId="8"/>
    <cellStyle name="Normal" xfId="0" builtinId="0"/>
  </cellStyles>
  <dxfs count="685">
    <dxf>
      <border>
        <bottom style="thin">
          <color theme="0"/>
        </bottom>
        <vertical/>
        <horizontal/>
      </border>
    </dxf>
    <dxf>
      <fill>
        <patternFill>
          <bgColor theme="1" tint="0.14996795556505021"/>
        </patternFill>
      </fill>
    </dxf>
    <dxf>
      <border>
        <left style="thin">
          <color rgb="FFFFB9B9"/>
        </left>
        <right style="thin">
          <color rgb="FFFFB9B9"/>
        </right>
        <top style="thin">
          <color rgb="FFFFB9B9"/>
        </top>
        <bottom style="thin">
          <color rgb="FFFFB9B9"/>
        </bottom>
        <vertical/>
        <horizontal/>
      </border>
    </dxf>
    <dxf>
      <font>
        <color theme="9" tint="-0.499984740745262"/>
      </font>
      <fill>
        <patternFill>
          <bgColor theme="9" tint="0.79998168889431442"/>
        </patternFill>
      </fill>
      <border>
        <vertical/>
        <horizontal/>
      </border>
    </dxf>
    <dxf>
      <font>
        <color theme="5" tint="-0.499984740745262"/>
      </font>
      <fill>
        <patternFill>
          <bgColor theme="5" tint="0.79998168889431442"/>
        </patternFill>
      </fill>
      <border>
        <vertical/>
        <horizontal/>
      </border>
    </dxf>
    <dxf>
      <fill>
        <patternFill>
          <bgColor theme="1" tint="0.34998626667073579"/>
        </patternFill>
      </fill>
    </dxf>
    <dxf>
      <font>
        <b/>
        <i val="0"/>
        <color rgb="FF99FFCC"/>
      </font>
    </dxf>
    <dxf>
      <border>
        <left style="thin">
          <color rgb="FFFFB9B9"/>
        </left>
        <right style="thin">
          <color rgb="FFFFB9B9"/>
        </right>
        <top style="thin">
          <color rgb="FFFFB9B9"/>
        </top>
        <bottom style="thin">
          <color rgb="FFFFB9B9"/>
        </bottom>
        <vertical/>
        <horizontal/>
      </border>
    </dxf>
    <dxf>
      <border>
        <left style="thin">
          <color rgb="FFFFB9B9"/>
        </left>
        <right style="thin">
          <color rgb="FFFFB9B9"/>
        </right>
        <top style="thin">
          <color rgb="FFFFB9B9"/>
        </top>
        <bottom style="thin">
          <color rgb="FFFFB9B9"/>
        </bottom>
        <vertical/>
        <horizontal/>
      </border>
    </dxf>
    <dxf>
      <font>
        <color theme="1"/>
      </font>
      <fill>
        <patternFill>
          <bgColor rgb="FFFF3300"/>
        </patternFill>
      </fill>
    </dxf>
    <dxf>
      <font>
        <color theme="1"/>
      </font>
      <fill>
        <patternFill>
          <bgColor rgb="FFFFCC00"/>
        </patternFill>
      </fill>
    </dxf>
    <dxf>
      <font>
        <color theme="1"/>
      </font>
      <fill>
        <patternFill>
          <bgColor rgb="FFCCFF33"/>
        </patternFill>
      </fill>
    </dxf>
    <dxf>
      <font>
        <color theme="1"/>
      </font>
      <fill>
        <patternFill>
          <bgColor rgb="FF99FFCC"/>
        </patternFill>
      </fill>
    </dxf>
    <dxf>
      <font>
        <color theme="3" tint="-0.499984740745262"/>
      </font>
      <fill>
        <patternFill>
          <bgColor theme="3" tint="0.59996337778862885"/>
        </patternFill>
      </fill>
    </dxf>
    <dxf>
      <fill>
        <patternFill>
          <bgColor rgb="FFFFB9B9"/>
        </patternFill>
      </fill>
    </dxf>
    <dxf>
      <font>
        <b/>
        <i val="0"/>
        <color rgb="FF99FFCC"/>
      </font>
    </dxf>
    <dxf>
      <border>
        <bottom style="hair">
          <color theme="0"/>
        </bottom>
        <vertical/>
        <horizontal/>
      </border>
    </dxf>
    <dxf>
      <border>
        <bottom style="hair">
          <color theme="0"/>
        </bottom>
        <vertical/>
        <horizontal/>
      </border>
    </dxf>
    <dxf>
      <fill>
        <patternFill>
          <bgColor rgb="FFFFB9B9"/>
        </patternFill>
      </fill>
    </dxf>
    <dxf>
      <font>
        <b/>
        <i val="0"/>
        <color rgb="FF99FFCC"/>
      </font>
    </dxf>
    <dxf>
      <border>
        <left style="thin">
          <color rgb="FFFFB9B9"/>
        </left>
        <right style="thin">
          <color rgb="FFFFB9B9"/>
        </right>
        <top style="thin">
          <color rgb="FFFFB9B9"/>
        </top>
        <bottom style="thin">
          <color rgb="FFFFB9B9"/>
        </bottom>
        <vertical/>
        <horizontal/>
      </border>
    </dxf>
    <dxf>
      <border>
        <left style="thin">
          <color rgb="FFFFB9B9"/>
        </left>
        <right style="thin">
          <color rgb="FFFFB9B9"/>
        </right>
        <top style="thin">
          <color rgb="FFFFB9B9"/>
        </top>
        <bottom style="thin">
          <color rgb="FFFFB9B9"/>
        </bottom>
        <vertical/>
        <horizontal/>
      </border>
    </dxf>
    <dxf>
      <font>
        <color theme="1"/>
      </font>
      <fill>
        <patternFill>
          <bgColor rgb="FFFF3300"/>
        </patternFill>
      </fill>
    </dxf>
    <dxf>
      <font>
        <color theme="1"/>
      </font>
      <fill>
        <patternFill>
          <bgColor rgb="FFFFCC00"/>
        </patternFill>
      </fill>
    </dxf>
    <dxf>
      <font>
        <color theme="1"/>
      </font>
      <fill>
        <patternFill>
          <bgColor rgb="FFCCFF33"/>
        </patternFill>
      </fill>
    </dxf>
    <dxf>
      <font>
        <color theme="1"/>
      </font>
      <fill>
        <patternFill>
          <bgColor rgb="FF99FFCC"/>
        </patternFill>
      </fill>
    </dxf>
    <dxf>
      <font>
        <color theme="3" tint="-0.499984740745262"/>
      </font>
      <fill>
        <patternFill>
          <bgColor theme="3" tint="0.59996337778862885"/>
        </patternFill>
      </fill>
    </dxf>
    <dxf>
      <font>
        <b/>
        <i val="0"/>
        <color rgb="FF99FFCC"/>
      </font>
    </dxf>
    <dxf>
      <border>
        <left style="thin">
          <color rgb="FFFFFF9B"/>
        </left>
        <right style="thin">
          <color rgb="FFFFFF9B"/>
        </right>
        <top style="thin">
          <color rgb="FFFFFF9B"/>
        </top>
        <bottom style="thin">
          <color rgb="FFFFFF9B"/>
        </bottom>
        <vertical/>
        <horizontal/>
      </border>
    </dxf>
    <dxf>
      <font>
        <color theme="1"/>
      </font>
      <fill>
        <patternFill>
          <bgColor rgb="FFFF3300"/>
        </patternFill>
      </fill>
    </dxf>
    <dxf>
      <font>
        <color theme="1"/>
      </font>
      <fill>
        <patternFill>
          <bgColor rgb="FFFFCC00"/>
        </patternFill>
      </fill>
    </dxf>
    <dxf>
      <font>
        <color theme="1"/>
      </font>
      <fill>
        <patternFill>
          <bgColor rgb="FFCCFF33"/>
        </patternFill>
      </fill>
    </dxf>
    <dxf>
      <font>
        <color theme="1"/>
      </font>
      <fill>
        <patternFill>
          <bgColor rgb="FF99FFCC"/>
        </patternFill>
      </fill>
    </dxf>
    <dxf>
      <font>
        <color theme="3" tint="-0.499984740745262"/>
      </font>
      <fill>
        <patternFill>
          <bgColor theme="3" tint="0.59996337778862885"/>
        </patternFill>
      </fill>
    </dxf>
    <dxf>
      <fill>
        <patternFill>
          <bgColor theme="9" tint="0.59996337778862885"/>
        </patternFill>
      </fill>
    </dxf>
    <dxf>
      <font>
        <color theme="0" tint="-0.34998626667073579"/>
      </font>
    </dxf>
    <dxf>
      <font>
        <color theme="1"/>
      </font>
      <fill>
        <patternFill>
          <bgColor rgb="FFFF3300"/>
        </patternFill>
      </fill>
    </dxf>
    <dxf>
      <font>
        <color theme="1"/>
      </font>
      <fill>
        <patternFill>
          <bgColor rgb="FFFFCC00"/>
        </patternFill>
      </fill>
    </dxf>
    <dxf>
      <font>
        <color theme="1"/>
      </font>
      <fill>
        <patternFill>
          <bgColor rgb="FFCCFF33"/>
        </patternFill>
      </fill>
    </dxf>
    <dxf>
      <font>
        <color theme="1"/>
      </font>
      <fill>
        <patternFill>
          <bgColor rgb="FF99FFCC"/>
        </patternFill>
      </fill>
    </dxf>
    <dxf>
      <font>
        <color theme="3" tint="-0.499984740745262"/>
      </font>
      <fill>
        <patternFill>
          <bgColor theme="3" tint="0.59996337778862885"/>
        </patternFill>
      </fill>
    </dxf>
    <dxf>
      <fill>
        <patternFill>
          <bgColor rgb="FFFFB9B9"/>
        </patternFill>
      </fill>
    </dxf>
    <dxf>
      <fill>
        <patternFill>
          <bgColor theme="5" tint="0.59996337778862885"/>
        </patternFill>
      </fill>
    </dxf>
    <dxf>
      <border>
        <left style="thin">
          <color theme="4" tint="0.59996337778862885"/>
        </left>
        <right style="thin">
          <color theme="4" tint="0.59996337778862885"/>
        </right>
        <top style="thin">
          <color theme="4" tint="0.59996337778862885"/>
        </top>
        <bottom style="thin">
          <color theme="4" tint="0.59996337778862885"/>
        </bottom>
        <vertical/>
        <horizontal/>
      </border>
    </dxf>
    <dxf>
      <border>
        <left style="thin">
          <color rgb="FFFFB9B9"/>
        </left>
        <right style="thin">
          <color rgb="FFFFB9B9"/>
        </right>
        <top style="thin">
          <color rgb="FFFFB9B9"/>
        </top>
        <bottom style="thin">
          <color rgb="FFFFB9B9"/>
        </bottom>
        <vertical/>
        <horizontal/>
      </border>
    </dxf>
    <dxf>
      <font>
        <b/>
        <i val="0"/>
        <color rgb="FF99FFCC"/>
      </font>
    </dxf>
    <dxf>
      <font>
        <color rgb="FFFFB9B9"/>
      </font>
    </dxf>
    <dxf>
      <font>
        <color theme="5" tint="0.39994506668294322"/>
      </font>
    </dxf>
    <dxf>
      <font>
        <color rgb="FFFFFF9B"/>
      </font>
    </dxf>
    <dxf>
      <font>
        <color rgb="FF92D050"/>
      </font>
    </dxf>
    <dxf>
      <border>
        <left style="thin">
          <color rgb="FFFFB9B9"/>
        </left>
        <right style="thin">
          <color rgb="FFFFB9B9"/>
        </right>
        <top style="thin">
          <color rgb="FFFFB9B9"/>
        </top>
        <bottom style="thin">
          <color rgb="FFFFB9B9"/>
        </bottom>
        <vertical/>
        <horizontal/>
      </border>
    </dxf>
    <dxf>
      <border>
        <left style="thin">
          <color rgb="FFFFB9B9"/>
        </left>
        <right style="thin">
          <color rgb="FFFFB9B9"/>
        </right>
        <top style="thin">
          <color rgb="FFFFB9B9"/>
        </top>
        <bottom style="thin">
          <color rgb="FFFFB9B9"/>
        </bottom>
        <vertical/>
        <horizontal/>
      </border>
    </dxf>
    <dxf>
      <border>
        <left style="thin">
          <color rgb="FFFFB9B9"/>
        </left>
        <right style="thin">
          <color rgb="FFFFB9B9"/>
        </right>
        <top style="thin">
          <color rgb="FFFFB9B9"/>
        </top>
        <bottom style="thin">
          <color rgb="FFFFB9B9"/>
        </bottom>
        <vertical/>
        <horizontal/>
      </border>
    </dxf>
    <dxf>
      <font>
        <color theme="1" tint="0.499984740745262"/>
      </font>
    </dxf>
    <dxf>
      <border>
        <top style="thin">
          <color theme="0"/>
        </top>
        <bottom style="thin">
          <color theme="0"/>
        </bottom>
        <vertical/>
        <horizontal/>
      </border>
    </dxf>
    <dxf>
      <font>
        <color theme="0"/>
      </font>
    </dxf>
    <dxf>
      <fill>
        <patternFill>
          <bgColor theme="1" tint="0.34998626667073579"/>
        </patternFill>
      </fill>
    </dxf>
    <dxf>
      <font>
        <b/>
        <i val="0"/>
        <color rgb="FF99FFCC"/>
      </font>
    </dxf>
    <dxf>
      <font>
        <strike/>
        <color rgb="FFC00000"/>
      </font>
      <border>
        <left style="thin">
          <color rgb="FFC00000"/>
        </left>
        <right style="thin">
          <color rgb="FFC00000"/>
        </right>
        <top style="thin">
          <color rgb="FFC00000"/>
        </top>
        <bottom style="thin">
          <color rgb="FFC00000"/>
        </bottom>
        <vertical/>
        <horizontal/>
      </border>
    </dxf>
    <dxf>
      <font>
        <b/>
        <i val="0"/>
        <color rgb="FF99FFCC"/>
      </font>
    </dxf>
    <dxf>
      <font>
        <color theme="0" tint="-0.34998626667073579"/>
      </font>
    </dxf>
    <dxf>
      <font>
        <strike/>
        <color rgb="FFC00000"/>
      </font>
      <border>
        <left style="thin">
          <color rgb="FFC00000"/>
        </left>
        <right style="thin">
          <color rgb="FFC00000"/>
        </right>
        <top style="thin">
          <color rgb="FFC00000"/>
        </top>
        <bottom style="thin">
          <color rgb="FFC00000"/>
        </bottom>
        <vertical/>
        <horizontal/>
      </border>
    </dxf>
    <dxf>
      <font>
        <b/>
        <i val="0"/>
        <color rgb="FF99FFCC"/>
      </font>
    </dxf>
    <dxf>
      <font>
        <strike/>
        <color rgb="FFC00000"/>
      </font>
      <border>
        <left style="thin">
          <color rgb="FFC00000"/>
        </left>
        <right style="thin">
          <color rgb="FFC00000"/>
        </right>
        <top style="thin">
          <color rgb="FFC00000"/>
        </top>
        <bottom style="thin">
          <color rgb="FFC00000"/>
        </bottom>
        <vertical/>
        <horizontal/>
      </border>
    </dxf>
    <dxf>
      <font>
        <b/>
        <i val="0"/>
        <color rgb="FF99FFCC"/>
      </font>
    </dxf>
    <dxf>
      <font>
        <strike/>
        <color rgb="FFC00000"/>
      </font>
      <border>
        <left style="thin">
          <color rgb="FFC00000"/>
        </left>
        <right style="thin">
          <color rgb="FFC00000"/>
        </right>
        <top style="thin">
          <color rgb="FFC00000"/>
        </top>
        <bottom style="thin">
          <color rgb="FFC00000"/>
        </bottom>
        <vertical/>
        <horizontal/>
      </border>
    </dxf>
    <dxf>
      <font>
        <b/>
        <i val="0"/>
        <color rgb="FF99FFCC"/>
      </font>
    </dxf>
    <dxf>
      <border>
        <bottom style="dotted">
          <color theme="0"/>
        </bottom>
        <vertical/>
        <horizontal/>
      </border>
    </dxf>
    <dxf>
      <font>
        <color theme="1" tint="0.14996795556505021"/>
      </font>
    </dxf>
    <dxf>
      <font>
        <color theme="1" tint="0.34998626667073579"/>
      </font>
    </dxf>
    <dxf>
      <border>
        <left style="thin">
          <color rgb="FFFFB9B9"/>
        </left>
        <right style="thin">
          <color rgb="FFFFB9B9"/>
        </right>
        <top style="thin">
          <color rgb="FFFFB9B9"/>
        </top>
        <bottom style="thin">
          <color rgb="FFFFB9B9"/>
        </bottom>
        <vertical/>
        <horizontal/>
      </border>
    </dxf>
    <dxf>
      <border>
        <bottom style="dotted">
          <color theme="0"/>
        </bottom>
        <vertical/>
        <horizontal/>
      </border>
    </dxf>
    <dxf>
      <font>
        <color theme="1" tint="0.14996795556505021"/>
      </font>
    </dxf>
    <dxf>
      <font>
        <color theme="1" tint="0.34998626667073579"/>
      </font>
    </dxf>
    <dxf>
      <border>
        <left style="thin">
          <color rgb="FFFFB9B9"/>
        </left>
        <right style="thin">
          <color rgb="FFFFB9B9"/>
        </right>
        <top style="thin">
          <color rgb="FFFFB9B9"/>
        </top>
        <bottom style="thin">
          <color rgb="FFFFB9B9"/>
        </bottom>
        <vertical/>
        <horizontal/>
      </border>
    </dxf>
    <dxf>
      <border>
        <bottom style="thin">
          <color theme="0"/>
        </bottom>
        <vertical/>
        <horizontal/>
      </border>
    </dxf>
    <dxf>
      <fill>
        <patternFill>
          <bgColor theme="1" tint="0.34998626667073579"/>
        </patternFill>
      </fill>
    </dxf>
    <dxf>
      <font>
        <color theme="9" tint="0.59996337778862885"/>
      </font>
    </dxf>
    <dxf>
      <font>
        <color theme="9" tint="0.59996337778862885"/>
      </font>
    </dxf>
    <dxf>
      <font>
        <color theme="9" tint="0.59996337778862885"/>
      </font>
    </dxf>
    <dxf>
      <font>
        <color theme="9" tint="0.59996337778862885"/>
      </font>
    </dxf>
    <dxf>
      <font>
        <color theme="9" tint="0.59996337778862885"/>
      </font>
    </dxf>
    <dxf>
      <fill>
        <patternFill>
          <bgColor theme="1" tint="0.34998626667073579"/>
        </patternFill>
      </fill>
    </dxf>
    <dxf>
      <fill>
        <patternFill>
          <bgColor theme="1" tint="0.1499679555650502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2"/>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rgb="FF99FFCC"/>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99FFCC"/>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ertAlign val="baseline"/>
        <sz val="11"/>
        <color rgb="FF99FFCC"/>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tint="-0.34998626667073579"/>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9" tint="0.59999389629810485"/>
        <name val="Calibri"/>
        <family val="2"/>
        <scheme val="minor"/>
      </font>
      <fill>
        <patternFill patternType="none">
          <fgColor indexed="64"/>
          <bgColor auto="1"/>
        </patternFill>
      </fill>
    </dxf>
    <dxf>
      <font>
        <b/>
        <i val="0"/>
        <strike val="0"/>
        <condense val="0"/>
        <extend val="0"/>
        <outline val="0"/>
        <shadow val="0"/>
        <u val="none"/>
        <vertAlign val="baseline"/>
        <sz val="11"/>
        <color theme="9" tint="0.59999389629810485"/>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C6E0B4"/>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8"/>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dxf>
    <dxf>
      <font>
        <b val="0"/>
        <i val="0"/>
        <strike val="0"/>
        <condense val="0"/>
        <extend val="0"/>
        <outline val="0"/>
        <shadow val="0"/>
        <u val="none"/>
        <vertAlign val="baseline"/>
        <sz val="11"/>
        <color rgb="FFFFFFFF"/>
        <name val="Calibri"/>
        <family val="2"/>
        <scheme val="none"/>
      </font>
      <numFmt numFmtId="0" formatCode="General"/>
      <fill>
        <patternFill patternType="none">
          <fgColor rgb="FF000000"/>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FFFFFF"/>
        <name val="Calibri"/>
        <family val="2"/>
        <scheme val="none"/>
      </font>
      <fill>
        <patternFill patternType="none">
          <fgColor rgb="FF000000"/>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border diagonalUp="0" diagonalDown="0" outline="0">
        <left/>
        <right style="thin">
          <color theme="0"/>
        </right>
        <top/>
        <bottom/>
      </border>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border diagonalUp="0" diagonalDown="0" outline="0">
        <left style="thin">
          <color theme="0"/>
        </left>
        <right/>
        <top/>
        <bottom/>
      </border>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border diagonalUp="0" diagonalDown="0" outline="0">
        <left/>
        <right style="thin">
          <color theme="0"/>
        </right>
        <top/>
        <bottom/>
      </border>
    </dxf>
    <dxf>
      <font>
        <b val="0"/>
        <i val="0"/>
        <strike val="0"/>
        <condense val="0"/>
        <extend val="0"/>
        <outline val="0"/>
        <shadow val="0"/>
        <u val="none"/>
        <vertAlign val="baseline"/>
        <sz val="9"/>
        <color theme="9" tint="0.59999389629810485"/>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9"/>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right style="thin">
          <color theme="0"/>
        </right>
        <top/>
        <bottom/>
        <vertical/>
        <horizontal/>
      </border>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font>
        <b val="0"/>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19" formatCode="dd/mm/yyyy"/>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19" formatCode="dd/mm/yyyy"/>
      <fill>
        <patternFill patternType="solid">
          <fgColor indexed="64"/>
          <bgColor theme="1" tint="0.14996795556505021"/>
        </patternFill>
      </fill>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font>
        <b val="0"/>
        <i val="0"/>
        <strike val="0"/>
        <condense val="0"/>
        <extend val="0"/>
        <outline val="0"/>
        <shadow val="0"/>
        <u val="none"/>
        <vertAlign val="baseline"/>
        <sz val="11"/>
        <color theme="0"/>
        <name val="Calibri"/>
        <family val="2"/>
        <scheme val="minor"/>
      </font>
      <fill>
        <patternFill patternType="solid">
          <fgColor indexed="64"/>
          <bgColor theme="1" tint="0.34998626667073579"/>
        </patternFill>
      </fill>
    </dxf>
    <dxf>
      <font>
        <b val="0"/>
        <i val="0"/>
        <strike val="0"/>
        <condense val="0"/>
        <extend val="0"/>
        <outline val="0"/>
        <shadow val="0"/>
        <u val="none"/>
        <vertAlign val="baseline"/>
        <sz val="11"/>
        <color theme="0"/>
        <name val="Calibri"/>
        <family val="2"/>
        <scheme val="minor"/>
      </font>
      <fill>
        <patternFill patternType="solid">
          <fgColor indexed="64"/>
          <bgColor theme="1" tint="0.34998626667073579"/>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19" formatCode="dd/mm/yyyy"/>
      <fill>
        <patternFill patternType="solid">
          <fgColor indexed="64"/>
          <bgColor theme="1" tint="0.34998626667073579"/>
        </patternFill>
      </fill>
    </dxf>
    <dxf>
      <font>
        <b val="0"/>
        <i val="0"/>
        <strike val="0"/>
        <condense val="0"/>
        <extend val="0"/>
        <outline val="0"/>
        <shadow val="0"/>
        <u val="none"/>
        <vertAlign val="baseline"/>
        <sz val="11"/>
        <color theme="0"/>
        <name val="Calibri"/>
        <family val="2"/>
        <scheme val="minor"/>
      </font>
      <numFmt numFmtId="19" formatCode="dd/mm/yyyy"/>
      <fill>
        <patternFill patternType="solid">
          <fgColor indexed="64"/>
          <bgColor theme="1" tint="0.34998626667073579"/>
        </patternFill>
      </fill>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font>
        <b val="0"/>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19" formatCode="dd/mm/yyyy"/>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19" formatCode="dd/mm/yyyy"/>
      <fill>
        <patternFill patternType="solid">
          <fgColor indexed="64"/>
          <bgColor theme="1" tint="0.14996795556505021"/>
        </patternFill>
      </fill>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1" tint="0.14999847407452621"/>
        </patternFill>
      </fill>
    </dxf>
    <dxf>
      <fill>
        <patternFill patternType="none">
          <fgColor indexed="64"/>
          <bgColor auto="1"/>
        </patternFill>
      </fill>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19" formatCode="dd/mm/yyyy"/>
      <fill>
        <patternFill patternType="none">
          <fgColor indexed="64"/>
          <bgColor auto="1"/>
        </patternFill>
      </fill>
    </dxf>
    <dxf>
      <font>
        <b val="0"/>
        <i val="0"/>
        <strike val="0"/>
        <condense val="0"/>
        <extend val="0"/>
        <outline val="0"/>
        <shadow val="0"/>
        <u val="none"/>
        <vertAlign val="baseline"/>
        <sz val="11"/>
        <color theme="0"/>
        <name val="Calibri"/>
        <family val="2"/>
        <scheme val="minor"/>
      </font>
      <numFmt numFmtId="19" formatCode="dd/mm/yyyy"/>
      <fill>
        <patternFill patternType="none">
          <fgColor indexed="64"/>
          <bgColor auto="1"/>
        </patternFill>
      </fill>
    </dxf>
    <dxf>
      <font>
        <b/>
        <i val="0"/>
        <strike val="0"/>
        <condense val="0"/>
        <extend val="0"/>
        <outline val="0"/>
        <shadow val="0"/>
        <u val="none"/>
        <vertAlign val="baseline"/>
        <sz val="11"/>
        <color theme="0"/>
        <name val="Calibri"/>
        <family val="2"/>
        <scheme val="minor"/>
      </font>
      <fill>
        <patternFill patternType="solid">
          <fgColor indexed="64"/>
          <bgColor theme="1" tint="0.14996795556505021"/>
        </patternFill>
      </fill>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ertAlign val="baseline"/>
        <sz val="11"/>
        <color rgb="FF99FFCC"/>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general" vertical="bottom" textRotation="0" wrapText="1" indent="0" justifyLastLine="0" shrinkToFit="0" readingOrder="0"/>
    </dxf>
    <dxf>
      <fill>
        <patternFill>
          <bgColor theme="1" tint="0.14996795556505021"/>
        </patternFill>
      </fill>
    </dxf>
    <dxf>
      <fill>
        <patternFill>
          <bgColor theme="1" tint="0.34998626667073579"/>
        </patternFill>
      </fill>
    </dxf>
    <dxf>
      <font>
        <b/>
        <i val="0"/>
      </font>
      <fill>
        <patternFill>
          <bgColor theme="1" tint="0.14996795556505021"/>
        </patternFill>
      </fill>
      <border>
        <bottom style="thin">
          <color theme="0"/>
        </bottom>
      </border>
    </dxf>
    <dxf>
      <font>
        <color theme="0"/>
      </font>
    </dxf>
  </dxfs>
  <tableStyles count="2" defaultTableStyle="TableStyleMedium2" defaultPivotStyle="PivotStyleLight16">
    <tableStyle name="DarkCustom" pivot="0" count="4" xr9:uid="{A4D013CC-6709-4684-A8AB-D227F39B7A9C}">
      <tableStyleElement type="wholeTable" dxfId="684"/>
      <tableStyleElement type="headerRow" dxfId="683"/>
      <tableStyleElement type="firstRowStripe" dxfId="682"/>
      <tableStyleElement type="secondRowStripe" dxfId="681"/>
    </tableStyle>
    <tableStyle name="Invisible Table" pivot="0" count="0" xr9:uid="{4AE7C36D-2F67-4DA2-8BE2-A886E5094388}"/>
  </tableStyles>
  <colors>
    <mruColors>
      <color rgb="FFB2D6EC"/>
      <color rgb="FFCCFF33"/>
      <color rgb="FF99FFCC"/>
      <color rgb="FFC6E0B4"/>
      <color rgb="FFFFB9B9"/>
      <color rgb="FFFFFF9B"/>
      <color rgb="FFABFFD1"/>
      <color rgb="FFFFCCCC"/>
      <color rgb="FFFFFFC9"/>
      <color rgb="FF007F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2466975</xdr:colOff>
      <xdr:row>5</xdr:row>
      <xdr:rowOff>19050</xdr:rowOff>
    </xdr:from>
    <xdr:to>
      <xdr:col>2</xdr:col>
      <xdr:colOff>3905451</xdr:colOff>
      <xdr:row>6</xdr:row>
      <xdr:rowOff>543025</xdr:rowOff>
    </xdr:to>
    <xdr:pic>
      <xdr:nvPicPr>
        <xdr:cNvPr id="2" name="Picture 1">
          <a:extLst>
            <a:ext uri="{FF2B5EF4-FFF2-40B4-BE49-F238E27FC236}">
              <a16:creationId xmlns:a16="http://schemas.microsoft.com/office/drawing/2014/main" id="{FED584C5-E2E9-BFFE-F324-23FB8E03F69C}"/>
            </a:ext>
          </a:extLst>
        </xdr:cNvPr>
        <xdr:cNvPicPr>
          <a:picLocks noChangeAspect="1"/>
        </xdr:cNvPicPr>
      </xdr:nvPicPr>
      <xdr:blipFill>
        <a:blip xmlns:r="http://schemas.openxmlformats.org/officeDocument/2006/relationships" r:embed="rId1"/>
        <a:stretch>
          <a:fillRect/>
        </a:stretch>
      </xdr:blipFill>
      <xdr:spPr>
        <a:xfrm>
          <a:off x="7896225" y="590550"/>
          <a:ext cx="1438476" cy="714475"/>
        </a:xfrm>
        <a:prstGeom prst="rect">
          <a:avLst/>
        </a:prstGeom>
      </xdr:spPr>
    </xdr:pic>
    <xdr:clientData/>
  </xdr:twoCellAnchor>
  <xdr:twoCellAnchor>
    <xdr:from>
      <xdr:col>2</xdr:col>
      <xdr:colOff>3438525</xdr:colOff>
      <xdr:row>6</xdr:row>
      <xdr:rowOff>200025</xdr:rowOff>
    </xdr:from>
    <xdr:to>
      <xdr:col>2</xdr:col>
      <xdr:colOff>3952875</xdr:colOff>
      <xdr:row>6</xdr:row>
      <xdr:rowOff>457200</xdr:rowOff>
    </xdr:to>
    <xdr:sp macro="" textlink="">
      <xdr:nvSpPr>
        <xdr:cNvPr id="3" name="Rectangle 2">
          <a:extLst>
            <a:ext uri="{FF2B5EF4-FFF2-40B4-BE49-F238E27FC236}">
              <a16:creationId xmlns:a16="http://schemas.microsoft.com/office/drawing/2014/main" id="{31C7C45E-68D3-37CF-E7AC-4E913D5234CA}"/>
            </a:ext>
          </a:extLst>
        </xdr:cNvPr>
        <xdr:cNvSpPr/>
      </xdr:nvSpPr>
      <xdr:spPr>
        <a:xfrm>
          <a:off x="8867775" y="962025"/>
          <a:ext cx="514350" cy="257175"/>
        </a:xfrm>
        <a:prstGeom prst="rect">
          <a:avLst/>
        </a:prstGeom>
        <a:noFill/>
        <a:ln w="38100">
          <a:solidFill>
            <a:srgbClr val="B2D6E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B7961A-CA9E-4B52-8961-220CF1B2F5FA}" name="Table1" displayName="Table1" ref="A36:I258" totalsRowShown="0">
  <autoFilter ref="A36:I258" xr:uid="{96B7961A-CA9E-4B52-8961-220CF1B2F5FA}"/>
  <tableColumns count="9">
    <tableColumn id="1" xr3:uid="{B4310152-8863-4BCD-BCA8-D26968007672}" name="Sheet" dataDxfId="680">
      <calculatedColumnFormula array="1">IF(INDEX($H:$H,ROW()-1)&lt;&gt;$H37,$E37,"")</calculatedColumnFormula>
    </tableColumn>
    <tableColumn id="2" xr3:uid="{C3DBD2C5-7262-4547-B55B-051DED726911}" name="Column" dataDxfId="679">
      <calculatedColumnFormula array="1">IF($K37="","",_xlfn.LET(
_xlpm._fullName,IF($L37="",SUBSTITUTE(SUBSTITUTE(INDIRECT($K37),CHAR(10)," "),"  "," "),$L37),
_xlpm._truncatedName,IF(LEN(_xlpm._fullName)&gt;250,LEFT(_xlpm._fullName,250)&amp;"[…]",_xlpm._fullName),
HYPERLINK("#'"&amp;$E37&amp;"'!"&amp;$F37&amp;$G37,
_xlpm._truncatedName)))</calculatedColumnFormula>
    </tableColumn>
    <tableColumn id="3" xr3:uid="{DE213625-7D1F-407B-9570-714CE4B3936C}" name="Explanation" dataDxfId="678"/>
    <tableColumn id="4" xr3:uid="{40336350-6652-4C1D-860E-ABBEAE642831}" name="Comment" dataDxfId="677"/>
    <tableColumn id="6" xr3:uid="{B88B0791-99C8-4294-9339-CD0B51FAD21C}" name="Sheet Name " dataDxfId="676">
      <calculatedColumnFormula>IF($K37="","",_xlfn.LET(
_xlpm._in,$K37,
_xlpm._start,FIND("]",_xlpm._in)+1,
SUBSTITUTE(MID(_xlpm._in,_xlpm._start,FIND("!",_xlpm._in)-_xlpm._start),"'","")))</calculatedColumnFormula>
    </tableColumn>
    <tableColumn id="8" xr3:uid="{26E24997-BFC0-44B1-9F60-5118D135CA25}" name="Column Letter" dataDxfId="675">
      <calculatedColumnFormula>IF($K37="","",_xlfn.LET(
_xlpm._in,SUBSTITUTE($K37,"$","§",1),
_xlpm._start,FIND("§",_xlpm._in)+1,
SUBSTITUTE(MID(_xlpm._in,_xlpm._start,FIND("$",_xlpm._in)-_xlpm._start),"'","")))</calculatedColumnFormula>
    </tableColumn>
    <tableColumn id="7" xr3:uid="{6406BF7C-2EE0-4277-8042-B9726BD6E631}" name="Header Row" dataDxfId="674">
      <calculatedColumnFormula>IF($K37="","",RIGHT($K37,LEN($K37)-FIND("$",SUBSTITUTE($K37,"$","§",1))))</calculatedColumnFormula>
    </tableColumn>
    <tableColumn id="5" xr3:uid="{66A12776-5148-4FB0-8BDE-02B2B3A0C6CE}" name="Sheet #" dataDxfId="673">
      <calculatedColumnFormula array="1">CreateID($H$36,$H:$H,$E37&lt;&gt;INDEX($E:$E,ROW()-1))</calculatedColumnFormula>
    </tableColumn>
    <tableColumn id="9" xr3:uid="{0D67A3DA-662E-4DBF-A071-25ED36C0AE65}" name="Column Original Name" dataDxfId="672">
      <calculatedColumnFormula array="1">INDIRECT($K37)</calculatedColumnFormula>
    </tableColumn>
  </tableColumns>
  <tableStyleInfo name="DarkCustom"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06560FE-FFEF-45B2-AEBE-46E202CE8508}" name="Table19" displayName="Table19" ref="B2:F3" totalsRowShown="0" headerRowDxfId="671">
  <autoFilter ref="B2:F3" xr:uid="{D06560FE-FFEF-45B2-AEBE-46E202CE8508}"/>
  <tableColumns count="5">
    <tableColumn id="1" xr3:uid="{13AF057C-EACA-4936-895D-7E1216FA6E8F}" name="Date" dataDxfId="670"/>
    <tableColumn id="2" xr3:uid="{943A731E-978F-4BD9-BAFE-7098436390AB}" name="Version" dataDxfId="669"/>
    <tableColumn id="3" xr3:uid="{12050CB3-ABD7-4994-936D-EC92CA8F98A0}" name="Changes" dataDxfId="668"/>
    <tableColumn id="4" xr3:uid="{5D9A844F-F86B-47DA-B62C-EBEB094863AA}" name="Author" dataDxfId="667"/>
    <tableColumn id="5" xr3:uid="{DE7A8750-A706-4AFB-89C3-C45FBC552360}" name="Is last" dataDxfId="666">
      <calculatedColumnFormula array="1">_xlfn.LAMBDA(_xlpm._dateCell,AND(_xlpm._dateCell&lt;&gt;"",OFFSET(_xlpm._dateCell,1,0)=""))($B3)</calculatedColumnFormula>
    </tableColumn>
  </tableColumns>
  <tableStyleInfo name="Dark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9D47C96-915B-4B78-94DC-1DF705191265}" name="Table20" displayName="Table20" ref="B6:F7" totalsRowShown="0" headerRowDxfId="665">
  <autoFilter ref="B6:F7" xr:uid="{C9D47C96-915B-4B78-94DC-1DF705191265}"/>
  <tableColumns count="5">
    <tableColumn id="1" xr3:uid="{BB75168E-DB87-4E38-B966-3816F3063400}" name="Date"/>
    <tableColumn id="2" xr3:uid="{0DD7EA10-2063-43F8-820B-6FFF478FE5D1}" name=" "/>
    <tableColumn id="3" xr3:uid="{849DB6CE-CC92-4F73-98D7-574401FD117B}" name="Changes"/>
    <tableColumn id="4" xr3:uid="{155050C3-5E6A-4894-8DDA-9F760796F726}" name="  "/>
    <tableColumn id="5" xr3:uid="{DCA2DE8B-259E-49AF-8956-40E91A40D4B0}" name="Is last" dataDxfId="664">
      <calculatedColumnFormula array="1">_xlfn.LAMBDA(_xlpm._dateCell,AND(_xlpm._dateCell&lt;&gt;"",OFFSET(_xlpm._dateCell,1,0)=""))($B7)</calculatedColumnFormula>
    </tableColumn>
  </tableColumns>
  <tableStyleInfo name="Dark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B864172-F009-4CB6-8277-EE4A4B30D2F7}" name="Table21" displayName="Table21" ref="B10:F11" totalsRowShown="0" headerRowDxfId="663">
  <autoFilter ref="B10:F11" xr:uid="{6B864172-F009-4CB6-8277-EE4A4B30D2F7}"/>
  <tableColumns count="5">
    <tableColumn id="1" xr3:uid="{65B0DBDD-ADD6-40E0-806A-93B27D6BE4E5}" name="Date" dataDxfId="662"/>
    <tableColumn id="2" xr3:uid="{ACE73403-759F-4455-9973-2DE1C58C39E6}" name="  " dataDxfId="661"/>
    <tableColumn id="3" xr3:uid="{E6D6A864-B805-4A21-B527-391B7F4DD52C}" name="Changes" dataDxfId="660"/>
    <tableColumn id="4" xr3:uid="{57C56C44-D1F8-4094-99F2-C0DCD42ADB1E}" name=" " dataDxfId="659"/>
    <tableColumn id="5" xr3:uid="{67AA2715-512B-4642-8C59-0CE928C8714F}" name="Is last" dataDxfId="658">
      <calculatedColumnFormula array="1">_xlfn.LAMBDA(_xlpm._dateCell,AND(_xlpm._dateCell&lt;&gt;"",OFFSET(_xlpm._dateCell,1,0)=""))($B11)</calculatedColumnFormula>
    </tableColumn>
  </tableColumns>
  <tableStyleInfo name="Dark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CA81998-999C-4D6D-90B8-B4FC729BA145}" name="Table22" displayName="Table22" ref="B14:F15" totalsRowShown="0" headerRowDxfId="657">
  <autoFilter ref="B14:F15" xr:uid="{BCA81998-999C-4D6D-90B8-B4FC729BA145}"/>
  <tableColumns count="5">
    <tableColumn id="1" xr3:uid="{51A8042E-AD36-46C1-9CAE-17D914C92523}" name="Date" dataDxfId="656"/>
    <tableColumn id="2" xr3:uid="{D46B625F-E7B6-4402-8B70-8A8618C273F2}" name="  " dataDxfId="655"/>
    <tableColumn id="3" xr3:uid="{D600703E-6D1C-4F78-AC31-94B6393221AD}" name="Changes" dataDxfId="654"/>
    <tableColumn id="4" xr3:uid="{CDE03812-B7A9-4D40-9BF4-CE0E984F8F47}" name=" " dataDxfId="653"/>
    <tableColumn id="5" xr3:uid="{7F0CBEF2-3798-4366-9932-8244DC1805F8}" name="Is last" dataDxfId="652">
      <calculatedColumnFormula array="1">_xlfn.LAMBDA(_xlpm._dateCell,AND(_xlpm._dateCell&lt;&gt;"",OFFSET(_xlpm._dateCell,1,0)=""))($B15)</calculatedColumnFormula>
    </tableColumn>
  </tableColumns>
  <tableStyleInfo name="Dark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5CF4FA9-9BBA-4CBF-84FD-3F05BB287B19}" name="Table28" displayName="Table28" ref="B18:F19" totalsRowShown="0" headerRowDxfId="651">
  <autoFilter ref="B18:F19" xr:uid="{95CF4FA9-9BBA-4CBF-84FD-3F05BB287B19}"/>
  <tableColumns count="5">
    <tableColumn id="1" xr3:uid="{FC1E1B10-69AE-4B60-86B4-D282060CC861}" name="Date" dataDxfId="650"/>
    <tableColumn id="2" xr3:uid="{EEB5A95E-4B20-4C59-88E3-AA987176AFE7}" name="  " dataDxfId="649"/>
    <tableColumn id="3" xr3:uid="{542E742A-82C9-44DE-A9EA-A22A5691142C}" name="Changes"/>
    <tableColumn id="4" xr3:uid="{C6B39FA6-6371-477F-84C8-597EF1B9A973}" name=" " dataDxfId="648"/>
    <tableColumn id="5" xr3:uid="{2B9709CA-2015-458C-A34B-6F253FF7D36C}" name="Is last" dataDxfId="647">
      <calculatedColumnFormula array="1">_xlfn.LAMBDA(_xlpm._dateCell,AND(_xlpm._dateCell&lt;&gt;"",OFFSET(_xlpm._dateCell,1,0)=""))($B19)</calculatedColumnFormula>
    </tableColumn>
  </tableColumns>
  <tableStyleInfo name="DarkCustom"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1E6222B-320D-4583-9E2E-03CD7BDA9C99}" name="Table23" displayName="Table23" ref="G3:K23" totalsRowShown="0" headerRowDxfId="646" dataDxfId="645">
  <autoFilter ref="G3:K23" xr:uid="{A1E6222B-320D-4583-9E2E-03CD7BDA9C99}"/>
  <tableColumns count="5">
    <tableColumn id="1" xr3:uid="{008A17AD-36DD-45F6-834C-7B55597DC768}" name="Category" dataDxfId="644">
      <calculatedColumnFormula>$E$8</calculatedColumnFormula>
    </tableColumn>
    <tableColumn id="2" xr3:uid="{23B210D4-7ACF-4453-B070-83F3F95C6EFB}" name="Name" dataDxfId="643"/>
    <tableColumn id="3" xr3:uid="{D1981869-CEDF-4120-8602-DF1D8CB53116}" name="Description" dataDxfId="642"/>
    <tableColumn id="4" xr3:uid="{7A78C5E9-B1E7-4B82-9CBA-38B5D3170914}" name="Damage Level" dataDxfId="641"/>
    <tableColumn id="5" xr3:uid="{7DC7420E-CE8F-4E81-B085-D18218D317EC}" name="Not first of Category" dataDxfId="640">
      <calculatedColumnFormula>OFFSET($G4,-1,0)=$G4</calculatedColumnFormula>
    </tableColumn>
  </tableColumns>
  <tableStyleInfo name="Invisi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7C8DC10-6D2A-40EC-A89F-231A64641168}" name="Table26" displayName="Table26" ref="Y3:AC26" totalsRowShown="0" headerRowDxfId="639" dataDxfId="638">
  <autoFilter ref="Y3:AC26" xr:uid="{97C8DC10-6D2A-40EC-A89F-231A64641168}"/>
  <tableColumns count="5">
    <tableColumn id="1" xr3:uid="{D866D1DB-70EF-4AE9-82B4-ED7343C3099E}" name="Class" dataDxfId="637"/>
    <tableColumn id="2" xr3:uid="{B1217BBE-43A0-4469-9D77-C4DB335A8C8D}" name="Factor" dataDxfId="636"/>
    <tableColumn id="3" xr3:uid="{656B1B84-8C17-4243-B4CF-97B5AB4FE828}" name="Value" dataDxfId="635"/>
    <tableColumn id="4" xr3:uid="{CD43E30D-AF3E-498F-973C-BACCA4DD1A5F}" name="Class ID" dataDxfId="634">
      <calculatedColumnFormula array="1">IF(ROW()=ROW($AB$3)+1,0,INDEX($AB:$AB,ROW()-1))+
IF($Y4=INDEX($Y:$Y,ROW()-1),0,1)</calculatedColumnFormula>
    </tableColumn>
    <tableColumn id="5" xr3:uid="{E05E8D8E-ADFB-430E-A697-31F850C8198B}" name="Not first of Category" dataDxfId="633">
      <calculatedColumnFormula>OFFSET($AB4,-1,0)=$AB4</calculatedColumnFormula>
    </tableColumn>
  </tableColumns>
  <tableStyleInfo name="Invisi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570E9EA-8550-43DF-8444-EF65FBA2528A}" name="Table15" displayName="Table15" ref="A3:R60" totalsRowShown="0" headerRowDxfId="632" dataDxfId="631">
  <autoFilter ref="A3:R60" xr:uid="{6570E9EA-8550-43DF-8444-EF65FBA2528A}"/>
  <tableColumns count="18">
    <tableColumn id="1" xr3:uid="{EFB6E2AE-2F14-4276-9B86-E3A4FDDA7993}" name="ID" dataDxfId="630"/>
    <tableColumn id="2" xr3:uid="{AF932777-549F-4481-B99D-316700A1DE7D}" name="Text" dataDxfId="629"/>
    <tableColumn id="3" xr3:uid="{F6E59E74-01E8-4639-B19B-3AF21B61B998}" name="Indentation" dataDxfId="628"/>
    <tableColumn id="13" xr3:uid="{C1F24F1C-CA3B-4FB6-9C4F-FDA258B7CE71}" name="Is a Question" dataDxfId="627">
      <calculatedColumnFormula>IF($A4="","",IF(LEFT($A4,1)="Q","x",""))</calculatedColumnFormula>
    </tableColumn>
    <tableColumn id="4" xr3:uid="{108C451F-F7F4-4E46-B5A9-823D2A10AE04}" name="Options Range Header" dataDxfId="626"/>
    <tableColumn id="5" xr3:uid="{7F95F5C5-CC2D-41B7-B2D9-6B085CD85821}" name="Height" dataDxfId="625"/>
    <tableColumn id="6" xr3:uid="{1E4032E3-44CA-4544-AD67-BE289A8AFEA4}" name="Resulting Options" dataDxfId="624">
      <calculatedColumnFormula>IF($E4="","",_xlfn.TEXTJOIN(CHAR(10),TRUE,OFFSET(INDIRECT($E4),0,0,$F4,1)))</calculatedColumnFormula>
    </tableColumn>
    <tableColumn id="7" xr3:uid="{55366810-DD7B-469B-A55E-1AC3B230AA76}" name="Info Text" dataDxfId="623"/>
    <tableColumn id="8" xr3:uid="{11C50565-30D8-41B3-91A0-0EAAD8851D81}" name="Options Range Header " dataDxfId="622"/>
    <tableColumn id="9" xr3:uid="{F1092559-D414-42BB-A03F-ED7A073D2264}" name="Height " dataDxfId="621"/>
    <tableColumn id="10" xr3:uid="{248D5ADA-600A-4FC7-BA09-22F8BA7F07F6}" name="Resulting Options " dataDxfId="620">
      <calculatedColumnFormula array="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IF(LEN(_xlpm._optionsRanges)&lt;=_xlpm._endOfFirstElement,"",CHAR(10)&amp;ShowResultingOptions(RIGHT(_xlpm._optionsRanges,LEN(_xlpm._optionsRanges)-_xlpm._endOfFirstElement),RIGHT(_xlpm._optionsHeights,LEN(_xlpm._optionsHeights)-_xlpm._endOfFirstElementH))))))($I4,$J4),
CHAR(10))</calculatedColumnFormula>
    </tableColumn>
    <tableColumn id="11" xr3:uid="{FB57CBEF-942D-46A8-B532-B34EAE54E220}" name="Info Text " dataDxfId="619"/>
    <tableColumn id="12" xr3:uid="{52EB9D29-EF48-4FAE-922E-D0A490CA979E}" name="Inactive On" dataDxfId="618"/>
    <tableColumn id="17" xr3:uid="{9F6D41ED-F5EA-46C6-8B86-CB41A8D67B36}" name="Comment" dataDxfId="617"/>
    <tableColumn id="14" xr3:uid="{DF88AF4C-E434-43E5-BD2C-941752B7CF3D}" name="Shadow ID" dataDxfId="616">
      <calculatedColumnFormula array="1">CreateID($O$3,$O:$O,$A4&lt;&gt;"")</calculatedColumnFormula>
    </tableColumn>
    <tableColumn id="18" xr3:uid="{9DA4DC0B-32AB-448C-A39F-97E6F8629AA7}" name="Task ID" dataDxfId="615">
      <calculatedColumnFormula array="1">CreateTaskID($P$3,$P:$P,Tasks!$B$17,$N4)</calculatedColumnFormula>
    </tableColumn>
    <tableColumn id="15" xr3:uid="{4B8864F0-ECE0-404F-9AE1-5CEA1EEAF668}" name="Is Inactive" dataDxfId="614">
      <calculatedColumnFormula array="1">IF($M4="",FALSE,CheckRelevance(SanitizeInput($M4),Questionnaire!$AA:$AA))</calculatedColumnFormula>
    </tableColumn>
    <tableColumn id="19" xr3:uid="{07DAA999-E0FB-45C5-B9EC-3A18907944A3}" name="Question Shadow ID" dataDxfId="613">
      <calculatedColumnFormula array="1">CreateID($R$3,$R:$R,AND($A4&lt;&gt;"",$D4&lt;&gt;""))</calculatedColumnFormula>
    </tableColumn>
  </tableColumns>
  <tableStyleInfo name="Dark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B5EB1E3-0E7E-4D43-9BBF-434AF561776C}" name="Table2678185" displayName="Table2678185" ref="A2:V21" totalsRowShown="0" headerRowDxfId="612" dataDxfId="611">
  <autoFilter ref="A2:V21" xr:uid="{45D5F579-B153-490D-8DA5-723313A84BC5}"/>
  <tableColumns count="22">
    <tableColumn id="1" xr3:uid="{E689B570-C7E0-4C71-873B-B7C576D442BC}" name="ID" dataDxfId="610"/>
    <tableColumn id="4" xr3:uid="{9873F40F-F869-4286-A4F5-DADB5392AE05}" name="Q ID" dataDxfId="609"/>
    <tableColumn id="6" xr3:uid="{1A0AA7F3-36CB-4E6A-A425-ECBFC9FE52D3}" name="Question" dataDxfId="608">
      <calculatedColumnFormula array="1">IF($B3="","",IFERROR(SimpleLookup($B3,Questions!$A:$B),"Error: Unknown ID: "&amp;$B3))</calculatedColumnFormula>
    </tableColumn>
    <tableColumn id="13" xr3:uid="{D1189F80-DD4C-495C-AAAC-708CFA39F0E5}" name="Is Active?" dataDxfId="607">
      <calculatedColumnFormula>_xlfn.LET(
_xlpm._dsID,$A3,_xlpm._qID,$B3,_xlpm._dynamicReference,$F3,_xlpm._firstAnswer,$H3,_xlpm._secondAnswer,$I3,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calculatedColumnFormula>
    </tableColumn>
    <tableColumn id="2" xr3:uid="{A3FEDDF8-5437-4AE3-BA48-2C90C308D5B8}" name="Damage Scenario Static Text Prefix" dataDxfId="606"/>
    <tableColumn id="7" xr3:uid="{C2E8CE39-1ABA-4D7E-80B6-451232F1DBC4}" name="Questionnaire Provides Damage Criterion?" dataDxfId="605"/>
    <tableColumn id="8" xr3:uid="{9C1EE979-4305-4684-B333-5161DF4D4202}" name="Damage Scenario Static Text Suffix" dataDxfId="604"/>
    <tableColumn id="30" xr3:uid="{D4694575-49AD-40D2-BC20-47FD0501CD23}" name="Answer 1" dataDxfId="603">
      <calculatedColumnFormula array="1">IF($B3="","",_xlfn.LET(_xlpm._value,SimpleLookup($B3,Questionnaire!$A:$C),IF(_xlpm._value="","",_xlpm._value)))</calculatedColumnFormula>
    </tableColumn>
    <tableColumn id="29" xr3:uid="{0C28845A-0294-4CD2-94D8-87834BF4E0F0}" name="Answer 2" dataDxfId="602">
      <calculatedColumnFormula array="1">IF($B3="","",_xlfn.LET(_xlpm._value,SimpleLookup($B3,Questionnaire!$A:$E),IF(_xlpm._value="","",_xlpm._value)))</calculatedColumnFormula>
    </tableColumn>
    <tableColumn id="9" xr3:uid="{34DED894-B3B2-4AF9-81F3-52B5B79B18D0}" name="Damage Scenario Text (depends on answers to questionnaire)" dataDxfId="601">
      <calculatedColumnFormula>_xlfn.LET(
_xlpm._dynamicText,$I3,
_xlpm._ds,$E3&amp;IF($F3="","",_xlpm._dynamicText)&amp;$G3,
IF(_xlpm._ds="","",IF(AND($F3&lt;&gt;"",_xlpm._dynamicText=""),"",_xlpm._ds)))</calculatedColumnFormula>
    </tableColumn>
    <tableColumn id="11" xr3:uid="{FB1366F2-8E22-410F-B1DE-8EC6A18250CA}" name="Explicit Damage Criterion" dataDxfId="600"/>
    <tableColumn id="17" xr3:uid="{4E1677F3-EB65-4D35-9E2A-E36850960B1D}" name="Active Damage Criterion" dataDxfId="599">
      <calculatedColumnFormula>IF($D3="x",
IF($K3="",$I3,$K3),
"")</calculatedColumnFormula>
    </tableColumn>
    <tableColumn id="26" xr3:uid="{C20C78BC-ABF6-48C1-A062-517BB32FD444}" name="Damage Level" dataDxfId="598">
      <calculatedColumnFormula array="1">IF($L3="","",IFERROR(SimpleLookup($L3,Definitions!$H:$J),""))</calculatedColumnFormula>
    </tableColumn>
    <tableColumn id="18" xr3:uid="{A8D53DD3-24FB-4855-B0A5-0815DE893A88}" name="Explicit Explanation Text" dataDxfId="597"/>
    <tableColumn id="14" xr3:uid="{F4D383FD-FB8F-4AB3-8C13-FB9FF3FC3284}" name="Explanation Text" dataDxfId="596">
      <calculatedColumnFormula array="1">IF($N3&lt;&gt;"",$N3,_xlfn.LET(
_xlpm._qID,$B3,_xlpm._firstAnswer,$H3,_xlpm._secondAnswer,$I3,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calculatedColumnFormula>
    </tableColumn>
    <tableColumn id="5" xr3:uid="{F675418D-5720-40E6-8009-B08ECFF903E2}" name="Comment" dataDxfId="595"/>
    <tableColumn id="3" xr3:uid="{882CB7C7-C639-49E0-B01E-1EE020871141}" name="Shadow ID" dataDxfId="594">
      <calculatedColumnFormula array="1">IF(ROW()=ROW($Q$2)+1,0,INDEX($Q:$Q,ROW()-1))+IF($A3="",0,1)</calculatedColumnFormula>
    </tableColumn>
    <tableColumn id="31" xr3:uid="{EC2E73C9-83CD-4B01-9539-4007F6CAA956}" name="Task ID" dataDxfId="593">
      <calculatedColumnFormula array="1">CreateTaskID($R$2,$R:$R,Tasks!$B$17,$P3)</calculatedColumnFormula>
    </tableColumn>
    <tableColumn id="10" xr3:uid="{1BD51C1E-0D44-45C5-ACDF-4BC12759C478}" name="Active DS Shadow ID" dataDxfId="592">
      <calculatedColumnFormula array="1">CreateID($S$2,$S:$S,$D3="x")</calculatedColumnFormula>
    </tableColumn>
    <tableColumn id="16" xr3:uid="{ED936433-A23F-4746-A385-A9D2061E169B}" name="Active DS ID" dataDxfId="591">
      <calculatedColumnFormula>IF($D3="","",$A3)</calculatedColumnFormula>
    </tableColumn>
    <tableColumn id="15" xr3:uid="{59E7F584-F257-455D-BF54-173E3505D361}" name="Damage Value" dataDxfId="590">
      <calculatedColumnFormula array="1">IF($M3="",0,SimpleLookup($M3,Definitions!$Q:$R))</calculatedColumnFormula>
    </tableColumn>
    <tableColumn id="12" xr3:uid="{BDE0E43F-59BD-414F-A92E-89FE36A6C5A3}" name="Damage Scenario with Damage Level" dataDxfId="589">
      <calculatedColumnFormula>IF($J3="","",$J3&amp;" ["&amp;$M3&amp;"]")</calculatedColumnFormula>
    </tableColumn>
  </tableColumns>
  <tableStyleInfo name="Dark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D143FF-4C6A-41E9-9E9F-4AEEF7910D21}" name="Table267" displayName="Table267" ref="A2:AI43" totalsRowShown="0" headerRowDxfId="588" dataDxfId="587">
  <autoFilter ref="A2:AI43" xr:uid="{45D5F579-B153-490D-8DA5-723313A84BC5}"/>
  <tableColumns count="35">
    <tableColumn id="1" xr3:uid="{9D451374-C9CA-4E5F-8873-0D5F8D8D4353}" name="ID" dataDxfId="586"/>
    <tableColumn id="2" xr3:uid="{0993B13A-B860-494A-AF5A-77FA35A3DB11}" name="Attack Step" dataDxfId="585"/>
    <tableColumn id="6" xr3:uid="{E4667205-120E-483A-8DC7-83706F7FCBA1}" name="Prep IDs" dataDxfId="584"/>
    <tableColumn id="16" xr3:uid="{09807DD8-5A38-40A2-A503-0C2415B2A0AA}" name="Prerequisite Attack Steps" dataDxfId="583">
      <calculatedColumnFormula array="1">LookupNames(SanitizeInput($C3),$A:$B)</calculatedColumnFormula>
    </tableColumn>
    <tableColumn id="20" xr3:uid="{80EA3C98-F986-4869-B529-B7EEF01E563C}" name="Q IDs" dataDxfId="582"/>
    <tableColumn id="21" xr3:uid="{21459552-6F4F-4651-8168-C46F41E08839}" name="Related Question (for damage scenarios)" dataDxfId="581">
      <calculatedColumnFormula array="1">RemoveDelimiter(GetValues(SanitizeInput($E3),Questions!$A:$B,"   ",CHAR(10),TRUE),CHAR(10))</calculatedColumnFormula>
    </tableColumn>
    <tableColumn id="18" xr3:uid="{48B2D763-F982-42A0-B61C-D3AAAC64C2FB}" name="Active Damage Scenarios" dataDxfId="580">
      <calculatedColumnFormula array="1">LookupNames($T3,'Damage Scenarios'!$A:$J)</calculatedColumnFormula>
    </tableColumn>
    <tableColumn id="7" xr3:uid="{C2B25AD3-73A3-4A37-A240-5D240296FA7F}" name="Elapsed Time" dataDxfId="579"/>
    <tableColumn id="8" xr3:uid="{E57BC080-9DA7-42FC-9293-0689839BD5A7}" name="Expertise" dataDxfId="578"/>
    <tableColumn id="9" xr3:uid="{A20676E4-0028-427E-BE98-3AFA1874B3E5}" name="Knowledge of TOE" dataDxfId="577"/>
    <tableColumn id="10" xr3:uid="{5C7F1A35-3C71-44D0-883C-EA4D41F6C167}" name="Window of Opportunity" dataDxfId="576"/>
    <tableColumn id="11" xr3:uid="{69A601C0-0FDE-4DBF-9C30-EA0B5F53E102}" name="Equipment" dataDxfId="575"/>
    <tableColumn id="34" xr3:uid="{521D9ED7-8F10-4667-BE46-8ABF03871AF0}" name="RAP" dataDxfId="574">
      <calculatedColumnFormula>IF($A3="","",IFERROR(VLOOKUP($AC3,Definitions!$V:$W,COLUMNS(Definitions!$V:$W),TRUE),""))</calculatedColumnFormula>
    </tableColumn>
    <tableColumn id="12" xr3:uid="{C51668DF-6DBA-4D50-84F7-C1D5C419943C}" name="Required answers for this attack step" dataDxfId="573"/>
    <tableColumn id="17" xr3:uid="{B8FB711F-CFC0-40A3-9C5B-AFBC49A93A7D}" name="Mapping to CRA, Annex I (1.2)" dataDxfId="572"/>
    <tableColumn id="5" xr3:uid="{1FECA1CA-FFFA-4F35-A35D-DEA1D12EBE0C}" name="Comment" dataDxfId="571"/>
    <tableColumn id="3" xr3:uid="{5F105420-498C-495E-9DB4-CBDA7E959AC2}" name="Shadow ID" dataDxfId="570">
      <calculatedColumnFormula array="1">IF(ROW()=ROW($Q$2)+1,0,INDEX($Q:$Q,ROW()-1))+IF($A3="",0,1)</calculatedColumnFormula>
    </tableColumn>
    <tableColumn id="15" xr3:uid="{7733E57E-7EF1-4691-A021-FECA17A866CD}" name="Active  Based on Answers?" dataDxfId="569">
      <calculatedColumnFormula>OR(CheckRelevance(SanitizeInput(N3),Questionnaire!$I:$I),CheckRelevance(SanitizeInput(N3),Questionnaire!$J:$J))</calculatedColumnFormula>
    </tableColumn>
    <tableColumn id="4" xr3:uid="{93B4A87E-AD63-409E-9FBF-81318CEB859F}" name="Creates Attack Paths" dataDxfId="568">
      <calculatedColumnFormula array="1">IF(AND($N3&lt;&gt;"",$R3=FALSE),"",
IF(AND($R3,$C3=""),$A3&amp;",§","")&amp;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GenerateAttackPaths(RemoveFirstElement(_xlpm._in),_xlpm._apRange,_xlpm._ownID))))(SanitizeInput($C3),$A:$S,$A3))</calculatedColumnFormula>
    </tableColumn>
    <tableColumn id="19" xr3:uid="{C978D61E-2EE2-49C7-9AB5-1F665E0A85B4}" name="Active DS" dataDxfId="567">
      <calculatedColumnFormula array="1">GetValues(SanitizeInput($E3),'Damage Scenarios'!$B:$T,"",",",FALSE)</calculatedColumnFormula>
    </tableColumn>
    <tableColumn id="30" xr3:uid="{20BC824F-2FF8-4DC1-8581-7E11D9CC69C0}" name="Creates Risk" dataDxfId="566">
      <calculatedColumnFormula>AND($S3&lt;&gt;"",$T3&lt;&gt;"")</calculatedColumnFormula>
    </tableColumn>
    <tableColumn id="23" xr3:uid="{FDE8A6C9-DD4D-4ECC-B2F6-9B8B05132FC0}" name="AP Shadow ID" dataDxfId="565">
      <calculatedColumnFormula array="1">CreateID($V$2,$V:$V,$U3)</calculatedColumnFormula>
    </tableColumn>
    <tableColumn id="24" xr3:uid="{EA8FC9C0-6B24-4711-A041-95CC4D798F22}" name="# APs" dataDxfId="564">
      <calculatedColumnFormula>IF($U3,LEN($S3)-LEN(SUBSTITUTE($S3,"§","")),0)</calculatedColumnFormula>
    </tableColumn>
    <tableColumn id="25" xr3:uid="{B8B80A7C-2F5A-4A0E-82AF-F34882AA967C}" name="ET" dataDxfId="563">
      <calculatedColumnFormula>IF(H3="",0,VLOOKUP(H3,Definitions!$Z:$AA,COLUMNS(Definitions!$Z:$AA),FALSE))</calculatedColumnFormula>
    </tableColumn>
    <tableColumn id="26" xr3:uid="{31051859-140D-44D1-94BB-2D87350414F7}" name="EX" dataDxfId="562">
      <calculatedColumnFormula>IF(I3="",0,VLOOKUP(I3,Definitions!$Z:$AA,COLUMNS(Definitions!$Z:$AA),FALSE))</calculatedColumnFormula>
    </tableColumn>
    <tableColumn id="27" xr3:uid="{8B7F7A4F-AA64-413D-B737-F50370C6D9E0}" name="KT" dataDxfId="561">
      <calculatedColumnFormula>IF(J3="",0,VLOOKUP(J3,Definitions!$Z:$AA,COLUMNS(Definitions!$Z:$AA),FALSE))</calculatedColumnFormula>
    </tableColumn>
    <tableColumn id="28" xr3:uid="{7B223C0C-3369-4F37-9415-25D83F8AC90D}" name="WO" dataDxfId="560">
      <calculatedColumnFormula>IF(K3="",0,VLOOKUP(K3,Definitions!$Z:$AA,COLUMNS(Definitions!$Z:$AA),FALSE))</calculatedColumnFormula>
    </tableColumn>
    <tableColumn id="29" xr3:uid="{A0430764-261A-470A-9C93-27EA8320C9F6}" name="EQ" dataDxfId="559">
      <calculatedColumnFormula>IF(L3="",0,VLOOKUP(L3,Definitions!$Z:$AA,COLUMNS(Definitions!$Z:$AA),FALSE))</calculatedColumnFormula>
    </tableColumn>
    <tableColumn id="35" xr3:uid="{0681A2C0-80F6-4023-96E2-6CDF9A6698D3}" name="SUM" dataDxfId="558">
      <calculatedColumnFormula>SUM(OFFSET($X3,0,0,1,COLUMNS($X:$AB)))</calculatedColumnFormula>
    </tableColumn>
    <tableColumn id="13" xr3:uid="{98FC25E3-BD4C-40B0-BC4C-076E585B23A0}" name="Task ID" dataDxfId="557">
      <calculatedColumnFormula array="1">CreateTaskID($AD$2,$AD:$AD,Tasks!$B$17,$P3)</calculatedColumnFormula>
    </tableColumn>
    <tableColumn id="14" xr3:uid="{F2F43B3C-680D-4908-BA17-50377C65E426}" name="Countermeasures" dataDxfId="556">
      <calculatedColumnFormula array="1">InverseLookup($A3,Countermeasures!$X$2,Countermeasures!$A$2,1,Helper!$B$4,",")</calculatedColumnFormula>
    </tableColumn>
    <tableColumn id="22" xr3:uid="{9E37E05A-2180-435E-9674-FEBC5832213A}" name="Active Assumptions Proposal" dataDxfId="555">
      <calculatedColumnFormula array="1">InverseLookup($A3,Assumptions!$X$3,Assumptions!$A$3,1,Helper!$B$6,",")</calculatedColumnFormula>
    </tableColumn>
    <tableColumn id="32" xr3:uid="{F288107A-FC64-40B7-AD9D-0827C54E50A0}" name="Assumptions" dataDxfId="554">
      <calculatedColumnFormula array="1">InverseLookup($A3,Assumptions!$Y$3,Assumptions!$A$3,1,Helper!$B$6,",")</calculatedColumnFormula>
    </tableColumn>
    <tableColumn id="31" xr3:uid="{6E4349E9-0D08-4963-B6EC-B83C16EE9E1E}" name="Prep Attack Search" dataDxfId="553">
      <calculatedColumnFormula array="1">IF($U3,
CreateSearchString(SUBSTITUTE($S3,"§","")),
"")</calculatedColumnFormula>
    </tableColumn>
    <tableColumn id="33" xr3:uid="{31D39839-926C-4B7E-854B-695417D9DD5F}" name="Is Active Attack Step" dataDxfId="552">
      <calculatedColumnFormula>IFERROR(_xlfn.XMATCH("*,"&amp;$A3&amp;",*",$AH:$AH,2)&gt;0,FALSE)</calculatedColumnFormula>
    </tableColumn>
  </tableColumns>
  <tableStyleInfo name="Dark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FA2B44-4363-4083-B913-410BF8B51487}" name="Table2678" displayName="Table2678" ref="A3:AO47" totalsRowShown="0" headerRowDxfId="551" dataDxfId="550">
  <autoFilter ref="A3:AO47" xr:uid="{45D5F579-B153-490D-8DA5-723313A84BC5}"/>
  <tableColumns count="41">
    <tableColumn id="1" xr3:uid="{2152A5D1-93C9-473F-BBC9-B9E30BBE9E0D}" name="ID" dataDxfId="549"/>
    <tableColumn id="2" xr3:uid="{22A39497-37EF-4785-B598-9C857BFCBC78}" name="Assumption" dataDxfId="548"/>
    <tableColumn id="8" xr3:uid="{C7B215B4-F548-43F9-9282-33655014E34D}" name="Description" dataDxfId="547"/>
    <tableColumn id="41" xr3:uid="{C01FD5C9-2B1B-46C5-9F06-A1C29B7F9151}" name="Requirements" dataDxfId="546"/>
    <tableColumn id="22" xr3:uid="{41483DEE-7886-4CBC-A6B0-F8CCCDAAFFA1}" name="Stakeholder" dataDxfId="545"/>
    <tableColumn id="4" xr3:uid="{EBC75E0F-7BAD-4AB1-9C03-3369773E2C12}" name="Answers" dataDxfId="544"/>
    <tableColumn id="10" xr3:uid="{67C5FE34-79CD-490B-9B0D-165C992A9BF0}" name="AS IDs" dataDxfId="543"/>
    <tableColumn id="9" xr3:uid="{ADD29807-6EB5-4AFB-B4CD-F3A75BD33802}" name="Attack Steps" dataDxfId="542">
      <calculatedColumnFormula array="1">LookupNames(SanitizeInput($G4),'Attack Steps'!$A:$B)</calculatedColumnFormula>
    </tableColumn>
    <tableColumn id="26" xr3:uid="{FB0A155D-07A8-4F77-868A-B8C39C933D86}" name="DSTs" dataDxfId="541"/>
    <tableColumn id="25" xr3:uid="{1D6CB586-B1CC-4AFF-8C6B-8DB6C57C83C1}" name="Damage Scenario Transformation" dataDxfId="540">
      <calculatedColumnFormula array="1">IF($I4="","",SUBSTITUTE(SUBSTITUTE(SUBSTITUTE(SUBSTITUTE(SUBSTITUTE(SUBSTITUTE(SUBSTITUTE(SUBSTITUTE(SUBSTITUTE(
GetTransformation(SanitizeInput($I4),'Damage Scenarios'!$A:$J,COLUMNS('Damage Scenarios'!$A:$J),CHAR(10),"[#0][#1][#2]")&amp;"§",
"[#1][#2]",""),
"[#2]",""),
"[#0][#1]","[#1]"),
"[#0]","Removes:"&amp;CHAR(10)),
"[#1]","Transforms:"&amp;CHAR(10)),
CHAR(10)&amp;"§",""),
"§",""),
CHAR(10),CHAR(10)&amp;"   "),
"   "&amp;"Transforms:","Transforms:"))</calculatedColumnFormula>
    </tableColumn>
    <tableColumn id="11" xr3:uid="{E4C33FA1-02CF-42D0-91DC-65AEACA71094}" name="Elapsed Time" dataDxfId="539"/>
    <tableColumn id="12" xr3:uid="{09A244C9-7FED-46E1-9EE8-DCF29EA75763}" name="Expertise" dataDxfId="538"/>
    <tableColumn id="15" xr3:uid="{7F90689B-1101-4B02-8810-9573AB88ECDC}" name="Knowledge of TOE" dataDxfId="537"/>
    <tableColumn id="13" xr3:uid="{6F0919C8-2584-43D5-9E8D-B445346786A7}" name="Window of Opportunity" dataDxfId="536"/>
    <tableColumn id="14" xr3:uid="{547E5F8B-CE28-46FE-ABB2-1C9A9DAEE036}" name="Equipment" dataDxfId="535"/>
    <tableColumn id="29" xr3:uid="{734473B7-42F3-4DB6-B596-7F9CAC8AF2C1}" name="RAP" dataDxfId="534">
      <calculatedColumnFormula>IF($A4="","",IFERROR(VLOOKUP($AE4,Definitions!$V:$W,COLUMNS(Definitions!$V:$W),TRUE),""))</calculatedColumnFormula>
    </tableColumn>
    <tableColumn id="23" xr3:uid="{CFAEF806-EA2F-4647-B86F-B82FFE532D28}" name="Mapping to CRA, Annex I (1.2)" dataDxfId="533"/>
    <tableColumn id="39" xr3:uid="{A67DE806-D9BB-4BF7-AEA3-9058C2AF650F}" name="Reference" dataDxfId="532"/>
    <tableColumn id="5" xr3:uid="{895824EE-3AC0-4476-BC90-D30B6D469C8F}" name="Comment" dataDxfId="531"/>
    <tableColumn id="3" xr3:uid="{A4764B2A-450F-4675-9FCA-76E24BE4DFF8}" name="Shadow ID" dataDxfId="530">
      <calculatedColumnFormula array="1">IF(ROW()=ROW($T$3)+1,0,INDEX($T:$T,ROW()-1))+IF($A4="",0,1)</calculatedColumnFormula>
    </tableColumn>
    <tableColumn id="6" xr3:uid="{98029C22-9F3B-474C-AB76-41624F67FC31}" name="Active for Proposal?" dataDxfId="529">
      <calculatedColumnFormula>OR(CheckRelevance(SanitizeInput(F4),Questionnaire!$I:$I),IFERROR(_xlfn.XMATCH("*,"&amp;$A4&amp;",*",Countermeasures!$AG:$AG,2)&gt;0,FALSE))</calculatedColumnFormula>
    </tableColumn>
    <tableColumn id="27" xr3:uid="{906963D0-6B92-42E3-B9C1-4FFEBD762A24}" name="Active in Risk Treatment?" dataDxfId="528">
      <calculatedColumnFormula>IFERROR(_xlfn.XMATCH("*,"&amp;$A4&amp;",*",Mitigation!$X:$X,2)&gt;0,FALSE)</calculatedColumnFormula>
    </tableColumn>
    <tableColumn id="7" xr3:uid="{2ED572E5-8235-4313-B20C-16C99042F758}" name="Task ID" dataDxfId="527">
      <calculatedColumnFormula array="1">CreateTaskID($W$3,$W:$W,Tasks!$B$17,$S4)</calculatedColumnFormula>
    </tableColumn>
    <tableColumn id="38" xr3:uid="{0932B43A-E971-46FD-A418-0FCEA8993687}" name="Proposal Search" dataDxfId="526">
      <calculatedColumnFormula array="1">IF(OR($G4="",NOT($U4)),"",","&amp;SanitizeInput($G4))</calculatedColumnFormula>
    </tableColumn>
    <tableColumn id="16" xr3:uid="{22026B8A-E6A9-4586-8532-73C442687CF4}" name="Attack Step Search" dataDxfId="525">
      <calculatedColumnFormula array="1">IF($G4="","",","&amp;SanitizeInput($G4))</calculatedColumnFormula>
    </tableColumn>
    <tableColumn id="17" xr3:uid="{DAB96B92-3811-4C8E-B9E9-6E6B2A79C36A}" name="ET" dataDxfId="524">
      <calculatedColumnFormula>IF(K4="",0,VLOOKUP(K4,Definitions!$Z:$AA,COLUMNS(Definitions!$Z:$AA),FALSE))</calculatedColumnFormula>
    </tableColumn>
    <tableColumn id="18" xr3:uid="{9BF6CEA0-44F6-4154-9CDD-06394FDC9E26}" name="EX" dataDxfId="523">
      <calculatedColumnFormula>IF(L4="",0,VLOOKUP(L4,Definitions!$Z:$AA,COLUMNS(Definitions!$Z:$AA),FALSE))</calculatedColumnFormula>
    </tableColumn>
    <tableColumn id="19" xr3:uid="{93DE207F-1D9E-46FE-BB58-CA25D24FE9F9}" name="KT" dataDxfId="522">
      <calculatedColumnFormula>IF(M4="",0,VLOOKUP(M4,Definitions!$Z:$AA,COLUMNS(Definitions!$Z:$AA),FALSE))</calculatedColumnFormula>
    </tableColumn>
    <tableColumn id="20" xr3:uid="{A7D30480-4639-49F3-BE74-60BA047AFB20}" name="WO" dataDxfId="521">
      <calculatedColumnFormula>IF(N4="",0,VLOOKUP(N4,Definitions!$Z:$AA,COLUMNS(Definitions!$Z:$AA),FALSE))</calculatedColumnFormula>
    </tableColumn>
    <tableColumn id="21" xr3:uid="{412BB662-3DB2-4C6A-B424-BF1ED9B88F09}" name="EQ" dataDxfId="520">
      <calculatedColumnFormula>IF(O4="",0,VLOOKUP(O4,Definitions!$Z:$AA,COLUMNS(Definitions!$Z:$AA),FALSE))</calculatedColumnFormula>
    </tableColumn>
    <tableColumn id="31" xr3:uid="{172EF1BF-4709-4530-99DC-0495152CBFB8}" name="SUM" dataDxfId="519">
      <calculatedColumnFormula>SUM(OFFSET($Z4,0,0,1,COLUMNS($Z:$AD)))</calculatedColumnFormula>
    </tableColumn>
    <tableColumn id="24" xr3:uid="{B7406DDF-1260-4703-8925-57FB52A8CCB2}" name="Damage Transformation Search If Active" dataDxfId="518">
      <calculatedColumnFormula array="1">SUBSTITUTE(IF($V4,IF($I4="","",","&amp;SanitizeInput($I4)),""),"&gt;",",")</calculatedColumnFormula>
    </tableColumn>
    <tableColumn id="28" xr3:uid="{466B6048-DFC4-4822-9CB8-08D92CE2A503}" name="Active Assumption ID" dataDxfId="517">
      <calculatedColumnFormula array="1">IF(ROW()=ROW($AG$3)+1,0,INDEX($AG:$AG,ROW()-1))+IF(OR($U4,$V4),1,0)</calculatedColumnFormula>
    </tableColumn>
    <tableColumn id="30" xr3:uid="{D4259439-30A9-4254-B20F-778C3EA5CCFA}" name="Active Assumption Annex I Search" dataDxfId="516">
      <calculatedColumnFormula array="1">IF(OR($U4,$V4),IF($Q4="","",","&amp;SanitizeInput($Q4)),"")</calculatedColumnFormula>
    </tableColumn>
    <tableColumn id="32" xr3:uid="{65E8CA65-2FFF-4555-A73E-0FDDA7BABC5F}" name="Annex I Text" dataDxfId="515">
      <calculatedColumnFormula>$B4&amp;" ["&amp;$E4&amp;"]"</calculatedColumnFormula>
    </tableColumn>
    <tableColumn id="34" xr3:uid="{BCD16270-0DD7-4752-A239-8534E7AE0D96}" name="Triggering Answer IDs" dataDxfId="514">
      <calculatedColumnFormula array="1">IF($F4="*","",InverseLookupList(SanitizeInput($F4),Questionnaire!$AA$3,Questionnaire!$A$3,Helper!$B$12,","))</calculatedColumnFormula>
    </tableColumn>
    <tableColumn id="33" xr3:uid="{6C9B7F8B-69B7-4A26-985B-AA0B2401602B}" name="Triggering Answers and Their Comments" dataDxfId="513">
      <calculatedColumnFormula array="1">RemoveDelimiter(GetValues($AJ4,Questionnaire!$A:$G," ",CHAR(10)&amp;CHAR(10),TRUE),CHAR(10)&amp;CHAR(10))</calculatedColumnFormula>
    </tableColumn>
    <tableColumn id="35" xr3:uid="{8C64B6F0-FEE2-490C-8D6F-0DF95C62509C}" name="Triggering Answer Search" dataDxfId="512">
      <calculatedColumnFormula array="1">CreateSearchString($AJ4)</calculatedColumnFormula>
    </tableColumn>
    <tableColumn id="36" xr3:uid="{8A313254-48C2-4623-B05E-65706CB24FFD}" name="Mitigated Attack Steps" dataDxfId="511">
      <calculatedColumnFormula array="1">InverseLookup($A4,Mitigation!$AD$2,Mitigation!$A$2,1,Helper!$B$5,",")</calculatedColumnFormula>
    </tableColumn>
    <tableColumn id="37" xr3:uid="{8A94AFC7-8E42-4103-AE30-19941715259E}" name="Mitigated Attack Steps Mapped to Annex Search" dataDxfId="510">
      <calculatedColumnFormula array="1">CreateSearchString(GetValues($AM4,'Attack Steps'!$A:$O,"",",",FALSE))</calculatedColumnFormula>
    </tableColumn>
    <tableColumn id="40" xr3:uid="{54448978-8B4C-483E-BF1A-4DB61E63360D}" name="Own ID for Catalog Lookup" dataDxfId="509">
      <calculatedColumnFormula>IF($A4="","",$A4)</calculatedColumnFormula>
    </tableColumn>
  </tableColumns>
  <tableStyleInfo name="Dark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E7CA1BD-7906-4BD4-A896-77F6E3F01628}" name="Table267818" displayName="Table267818" ref="A2:AR66" totalsRowShown="0" headerRowDxfId="508" dataDxfId="507">
  <autoFilter ref="A2:AR66" xr:uid="{45D5F579-B153-490D-8DA5-723313A84BC5}"/>
  <tableColumns count="44">
    <tableColumn id="1" xr3:uid="{0868707C-82DC-4B79-9F2D-1463D9BCB81C}" name="ID" dataDxfId="506"/>
    <tableColumn id="2" xr3:uid="{2B74D419-D98E-4010-94A7-B12D2CB6D5B0}" name="Countermeasure" dataDxfId="505"/>
    <tableColumn id="8" xr3:uid="{59994B44-BFD0-40BC-9A83-79392C2555E9}" name="Description" dataDxfId="504"/>
    <tableColumn id="35" xr3:uid="{DA30C0FF-8943-454E-90D2-9EB7FE85DA73}" name="Answers" dataDxfId="503"/>
    <tableColumn id="4" xr3:uid="{A04A0603-07CF-4F20-85DE-E65A6B39E8E4}" name="Attack Step IDs" dataDxfId="502"/>
    <tableColumn id="20" xr3:uid="{78434455-F3CB-481F-BFA5-C9932F971150}" name="Mitigated Attack Step Names" dataDxfId="501">
      <calculatedColumnFormula array="1">LookupNames(SanitizeInput($E3),'Attack Steps'!$A:$B)</calculatedColumnFormula>
    </tableColumn>
    <tableColumn id="23" xr3:uid="{AFE16DBA-82B8-4F4F-A553-333924EE0BBD}" name="PR IDs" dataDxfId="500"/>
    <tableColumn id="24" xr3:uid="{0534C527-55E9-4186-8E5B-56C3CFF0FCA3}" name="Prerequisites" dataDxfId="499">
      <calculatedColumnFormula array="1">RemoveDelimiter(GetValuesWithFallback(SanitizeInput($G3),$A:$B,Assumptions!$A:$B," ",","&amp;CHAR(10),TRUE),","&amp;CHAR(10))</calculatedColumnFormula>
    </tableColumn>
    <tableColumn id="25" xr3:uid="{6D1077A9-EFB1-44B4-AE24-79C3132B5C73}" name="DSTs" dataDxfId="498"/>
    <tableColumn id="26" xr3:uid="{A9473169-ABC2-4DC5-BEA3-7E10880DAF1B}" name="Damage Scenario Transformation" dataDxfId="497">
      <calculatedColumnFormula array="1">IF($I3="","",SUBSTITUTE(SUBSTITUTE(SUBSTITUTE(SUBSTITUTE(SUBSTITUTE(SUBSTITUTE(SUBSTITUTE(SUBSTITUTE(SUBSTITUTE(
GetTransformation(SanitizeInput($I3),'Damage Scenarios'!$A:$J,COLUMNS('Damage Scenarios'!$A:$J),CHAR(10),"[#0][#1][#2]")&amp;"§",
"[#1][#2]",""),
"[#2]",""),
"[#0][#1]","[#1]"),
"[#0]","Removes:"&amp;CHAR(10)),
"[#1]","Transforms:"&amp;CHAR(10)),
CHAR(10)&amp;"§",""),
"§",""),
CHAR(10),CHAR(10)&amp;"   "),
"   "&amp;"Transforms:","Transforms:"))</calculatedColumnFormula>
    </tableColumn>
    <tableColumn id="11" xr3:uid="{FFF97CB1-8D59-4A55-98F5-B681285C47C3}" name="Elapsed Time" dataDxfId="496"/>
    <tableColumn id="12" xr3:uid="{C518660F-0664-4ADE-B00B-DC52F476EBF1}" name="Expertise" dataDxfId="495"/>
    <tableColumn id="13" xr3:uid="{6670F752-C437-435F-9DE8-5EC7069B62FA}" name="Knowledge of TOE" dataDxfId="494"/>
    <tableColumn id="14" xr3:uid="{27C6358D-1F7C-4F30-9F5E-5D81E84C7DB3}" name="Window of Opportunity" dataDxfId="493"/>
    <tableColumn id="10" xr3:uid="{1E7B42CD-D38C-4A38-B0C9-439655FC6CB5}" name="Equipment" dataDxfId="492"/>
    <tableColumn id="21" xr3:uid="{64E2DB5B-D9FE-46A6-B9EC-4155FE48F62C}" name="RAP" dataDxfId="491">
      <calculatedColumnFormula>IF($A3="","",IFERROR(VLOOKUP($AD3,Definitions!$V:$W,COLUMNS(Definitions!$V:$W),TRUE),""))</calculatedColumnFormula>
    </tableColumn>
    <tableColumn id="34" xr3:uid="{7C72FBC0-6FE2-4651-8FAA-07A3990DFC79}" name="Mapping to CRA, Annex I (1.2)" dataDxfId="490"/>
    <tableColumn id="42" xr3:uid="{568A7E39-794F-4860-B925-6A19C126E5AE}" name="Reference" dataDxfId="489"/>
    <tableColumn id="5" xr3:uid="{C121419B-07B4-453B-9FEF-2B1F57C7A733}" name="Comment" dataDxfId="488"/>
    <tableColumn id="3" xr3:uid="{E4171181-874B-4424-BFC9-229EC4DC8230}" name="Shadow ID" dataDxfId="487">
      <calculatedColumnFormula array="1">IF(ROW()=ROW($T$2)+1,0,INDEX($T:$T,ROW()-1))+IF($A3="",0,1)</calculatedColumnFormula>
    </tableColumn>
    <tableColumn id="6" xr3:uid="{0A33B27F-48A7-4F80-B89F-FADC4233DAEA}" name="Active for Proposal?" dataDxfId="486">
      <calculatedColumnFormula array="1">CheckRelevance(SanitizeInput(E3),Questionnaire!$I:$I)</calculatedColumnFormula>
    </tableColumn>
    <tableColumn id="29" xr3:uid="{D8060DC2-6939-49F7-8394-4AE30AC2E902}" name="Active in Risk Treatment?" dataDxfId="485">
      <calculatedColumnFormula>IFERROR(_xlfn.XMATCH("*,"&amp;$A3&amp;",*",Mitigation!$X:$X,2)&gt;0,FALSE)</calculatedColumnFormula>
    </tableColumn>
    <tableColumn id="7" xr3:uid="{996E21A4-5432-462B-96B3-CD6C57F2DD38}" name="Task ID" dataDxfId="484">
      <calculatedColumnFormula array="1">CreateTaskID($W$2,$W:$W,Tasks!$B$17,$S3)</calculatedColumnFormula>
    </tableColumn>
    <tableColumn id="9" xr3:uid="{FC4353CD-3674-4284-A668-819C7528376D}" name="Attack Step Search" dataDxfId="483">
      <calculatedColumnFormula array="1">IF($E3="","",","&amp;SanitizeInput($E3))</calculatedColumnFormula>
    </tableColumn>
    <tableColumn id="15" xr3:uid="{BD936DC6-E953-4754-933D-D00181947785}" name="ET" dataDxfId="482">
      <calculatedColumnFormula>IF(K3="",0,VLOOKUP(K3,Definitions!$Z:$AA,COLUMNS(Definitions!$Z:$AA),FALSE))</calculatedColumnFormula>
    </tableColumn>
    <tableColumn id="16" xr3:uid="{68F5181D-FA88-4FC8-8904-99B938117956}" name="EX" dataDxfId="481">
      <calculatedColumnFormula>IF(L3="",0,VLOOKUP(L3,Definitions!$Z:$AA,COLUMNS(Definitions!$Z:$AA),FALSE))</calculatedColumnFormula>
    </tableColumn>
    <tableColumn id="17" xr3:uid="{5343E771-A02F-4284-B421-B3A48DB2A045}" name="KT" dataDxfId="480">
      <calculatedColumnFormula>IF(M3="",0,VLOOKUP(M3,Definitions!$Z:$AA,COLUMNS(Definitions!$Z:$AA),FALSE))</calculatedColumnFormula>
    </tableColumn>
    <tableColumn id="18" xr3:uid="{D5DE84DD-C277-4E03-B9D8-29A3DA5D30D7}" name="WO" dataDxfId="479">
      <calculatedColumnFormula>IF(N3="",0,VLOOKUP(N3,Definitions!$Z:$AA,COLUMNS(Definitions!$Z:$AA),FALSE))</calculatedColumnFormula>
    </tableColumn>
    <tableColumn id="19" xr3:uid="{2F5DF9DD-890D-41FB-83B4-9F85B97E398F}" name="EQ" dataDxfId="478">
      <calculatedColumnFormula>IF(O3="",0,VLOOKUP(O3,Definitions!$Z:$AA,COLUMNS(Definitions!$Z:$AA),FALSE))</calculatedColumnFormula>
    </tableColumn>
    <tableColumn id="22" xr3:uid="{AC55C0CB-C186-40DE-AC12-67B2C58D10C4}" name="SUM" dataDxfId="477">
      <calculatedColumnFormula>SUM(OFFSET($Y3,0,0,1,COLUMNS($Y:$AC)))</calculatedColumnFormula>
    </tableColumn>
    <tableColumn id="32" xr3:uid="{B6A54317-F7C8-4AB4-8B6C-E923B022F9B1}" name="Dependency Search" dataDxfId="476">
      <calculatedColumnFormula array="1">IF($G3="","",","&amp;SanitizeInput($G3))</calculatedColumnFormula>
    </tableColumn>
    <tableColumn id="31" xr3:uid="{DDA14D9D-D940-4652-A0C6-81FFDC36AE3F}" name="Active Or Transitively Active as Dependency" dataDxfId="475">
      <calculatedColumnFormula array="1">OR($AK3,_xlfn.LAMBDA(_xlpm._ownID,_xlpm._searchHeader,_xlpm._resultHeader,_xlpm._elementCount,_xlpm._delimiter,_xlpm._activeInTreatmentRange,_xlpm._activeByAnswersRange,_xlpm._dependencies,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InverseLookup(_xlpm._ownID,_xlpm._searchHeader,_xlpm._resultHeader,1,_xlpm._elementCount,_xlpm._delimiter))))))($A3,$AE$2,$A$2,Helper!$B$4,",",$A:$V,$A:$AK,InverseLookup($A3,$AE$2,$A$2,1,Helper!$B$4,",")))</calculatedColumnFormula>
    </tableColumn>
    <tableColumn id="27" xr3:uid="{9C2806A4-6B13-4670-9A46-1F6A28B6B6FF}" name="Dependency Search If Active" dataDxfId="474">
      <calculatedColumnFormula array="1">IF(OR($V3,$AF3,$AK3),IF($G3="","",","&amp;SanitizeInput($G3)),"")</calculatedColumnFormula>
    </tableColumn>
    <tableColumn id="28" xr3:uid="{415853A5-ACDF-4308-9BFC-4ED8434E22D3}" name="Damage Scenario Search If Active" dataDxfId="473">
      <calculatedColumnFormula array="1">SUBSTITUTE(IF($V3,IF($I3="","",","&amp;SanitizeInput($I3)),""),"&gt;",",")</calculatedColumnFormula>
    </tableColumn>
    <tableColumn id="30" xr3:uid="{2910946F-B050-4A12-8918-5E95E88A11F8}" name="Active Countermeasure ID" dataDxfId="472">
      <calculatedColumnFormula array="1">IF(ROW()=ROW($AI$2)+1,0,INDEX($AI:$AI,ROW()-1))+IF($AF3,1,0)</calculatedColumnFormula>
    </tableColumn>
    <tableColumn id="33" xr3:uid="{70B0EDC3-F75A-4815-914C-E4A6C63706A5}" name="Annex I Active Countermeasure Search" dataDxfId="471">
      <calculatedColumnFormula array="1">IF($AF3,IF($Q3="","",","&amp;SanitizeInput($Q3)),"")</calculatedColumnFormula>
    </tableColumn>
    <tableColumn id="36" xr3:uid="{13CB50D3-3AEA-4D19-9B53-B42F0C92D210}" name="Active Based on Answers" dataDxfId="470">
      <calculatedColumnFormula>OR(CheckRelevance(SanitizeInput($D3),Questionnaire!$I:$I),CheckRelevance(SanitizeInput($D3),Questionnaire!$J:$J))</calculatedColumnFormula>
    </tableColumn>
    <tableColumn id="44" xr3:uid="{F1C1DE6F-44D1-405C-ADDB-E61A3745CF55}" name="Filtered Preconditions" dataDxfId="469">
      <calculatedColumnFormula array="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FilterPreconditionCandidates(RemoveFirstElement(_xlpm._preconditionCandidates),_xlpm._searchColumn,_xlpm._delimiter))))(SanitizeInput($D3),Questionnaire!$AA:$AA,",")</calculatedColumnFormula>
    </tableColumn>
    <tableColumn id="37" xr3:uid="{DCA15EC8-10C1-43A2-A29A-2E7EE05EE1D0}" name="Triggering Answer IDs" dataDxfId="468">
      <calculatedColumnFormula array="1">IF($D3="*","",InverseLookupList($AL3,Questionnaire!$AA$3,Questionnaire!$A$3,Helper!$B$12,","))</calculatedColumnFormula>
    </tableColumn>
    <tableColumn id="38" xr3:uid="{F8022849-8EA0-4C3C-B559-33ADE1AAE7EF}" name="Triggering Answers and Their Comments" dataDxfId="467">
      <calculatedColumnFormula array="1">RemoveDelimiter(GetValues($AM3,Questionnaire!$A:$G," ",CHAR(10)&amp;CHAR(10),TRUE),CHAR(10)&amp;CHAR(10))</calculatedColumnFormula>
    </tableColumn>
    <tableColumn id="39" xr3:uid="{23F29541-A31D-4145-8BEF-0E4A46A7D2AB}" name="Triggering Answer Search" dataDxfId="466">
      <calculatedColumnFormula array="1">CreateSearchString($AM3)</calculatedColumnFormula>
    </tableColumn>
    <tableColumn id="40" xr3:uid="{E4656E51-6CBC-482C-9FD1-DBD968847E44}" name="Mitigates Attack Steps" dataDxfId="465">
      <calculatedColumnFormula array="1">InverseLookup($A3,Mitigation!$AD$2,Mitigation!$A$2,1,Helper!$B$5,",")</calculatedColumnFormula>
    </tableColumn>
    <tableColumn id="41" xr3:uid="{C7220B0F-F48F-4BBB-87E6-31FD4F002430}" name="Mitigated Attack Steps Mapped to Annex Search" dataDxfId="464">
      <calculatedColumnFormula array="1">CreateSearchString(GetValues($AP3,'Attack Steps'!$A:$O,"",",",FALSE))</calculatedColumnFormula>
    </tableColumn>
    <tableColumn id="43" xr3:uid="{99A91787-A506-4399-92D5-C81A4124AF07}" name="Own ID for Catalog Lookup" dataDxfId="463">
      <calculatedColumnFormula>IF($A3="","",$A3)</calculatedColumnFormula>
    </tableColumn>
  </tableColumns>
  <tableStyleInfo name="DarkCustom"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2A8DF20-FCED-41FD-B2B6-B902244DA4F6}" name="Table13" displayName="Table13" ref="B17:E22" totalsRowShown="0" headerRowDxfId="462" dataDxfId="461">
  <autoFilter ref="B17:E22" xr:uid="{72A8DF20-FCED-41FD-B2B6-B902244DA4F6}"/>
  <tableColumns count="4">
    <tableColumn id="1" xr3:uid="{7B6C0243-8CDF-4F77-9B83-EAFDF9E4ECA1}" name="Date" dataDxfId="460"/>
    <tableColumn id="2" xr3:uid="{8AA3445C-6982-4091-BE24-D0FB9CA6EAEA}" name="Changes" dataDxfId="459"/>
    <tableColumn id="3" xr3:uid="{BA53443B-EB4D-477E-8638-726D7A7EE698}" name="Author" dataDxfId="458"/>
    <tableColumn id="4" xr3:uid="{ACD3B489-C076-4DD2-9048-4E1490E80223}" name="Release" dataDxfId="457"/>
  </tableColumns>
  <tableStyleInfo name="DarkCustom"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11023E5-AD11-498B-BA81-8045C7A9764D}" name="Table3" displayName="Table3" ref="I3:AO103" totalsRowShown="0" headerRowDxfId="456" dataDxfId="455">
  <autoFilter ref="I3:AO103" xr:uid="{B11023E5-AD11-498B-BA81-8045C7A9764D}"/>
  <tableColumns count="33">
    <tableColumn id="9" xr3:uid="{7D16C425-DCC0-4DA1-8048-CD221E48C20C}" name="Answer Search" dataDxfId="454">
      <calculatedColumnFormula>IF($AC4,SUBSTITUTE(IF($A4="","",$A4&amp;"["&amp;$C4&amp;IF($E4="","","|"&amp;$E4)&amp;"]")," ",""),"")</calculatedColumnFormula>
    </tableColumn>
    <tableColumn id="11" xr3:uid="{14D5236D-45BB-4071-9197-60FE5EA53E42}" name="Answer Search for First Answer Only" dataDxfId="453">
      <calculatedColumnFormula>IF($AC4,SUBSTITUTE(IF($A4="","",$A4&amp;"["&amp;$C4&amp;IF($E4="","]","|*]"))," ",""),"")</calculatedColumnFormula>
    </tableColumn>
    <tableColumn id="32" xr3:uid="{97FBEE2D-D4AA-47A4-B4E3-4918C9E0A7F7}" name="Question Text" dataDxfId="452">
      <calculatedColumnFormula array="1">SimpleLookup($A4,Questions!$A:$B)</calculatedColumnFormula>
    </tableColumn>
    <tableColumn id="20" xr3:uid="{5754AF1B-0BBA-4567-94E3-E2D50387C066}" name="Shadow ID" dataDxfId="451">
      <calculatedColumnFormula array="1">CreateID($L$3,$L:$L,AND($A4&lt;&gt;"",$AC4))</calculatedColumnFormula>
    </tableColumn>
    <tableColumn id="1" xr3:uid="{A39615A6-CD0D-436A-AB6A-A34E79C47F48}" name="Task ID" dataDxfId="450">
      <calculatedColumnFormula array="1">CreateTaskID($M$3,$M:$M,Tasks!$B$17,$G4)</calculatedColumnFormula>
    </tableColumn>
    <tableColumn id="2" xr3:uid="{AEF51C19-FC76-4069-B2A7-9D9661CCA83A}" name="QI Text Question Not Answered" dataDxfId="449">
      <calculatedColumnFormula>IF($AC4,IF(AND($A4&lt;&gt;"",$C4="",$AK4=FALSE),$A4&amp;" "&amp;$K4,""),"")</calculatedColumnFormula>
    </tableColumn>
    <tableColumn id="3" xr3:uid="{A2C56E8D-9311-4039-A84A-D276D35A3EAD}" name="QI ID Question Not Answered" dataDxfId="448">
      <calculatedColumnFormula array="1">CreateID($O$3,$O:$O,$N4&lt;&gt;"")</calculatedColumnFormula>
    </tableColumn>
    <tableColumn id="4" xr3:uid="{9358086F-C28D-4CD8-AD34-F75363C81623}" name="QI Text Missing Details" dataDxfId="447">
      <calculatedColumnFormula>IF(AND($D4&lt;&gt;"",$E4=""),$A4&amp;" "&amp;$K4,"")</calculatedColumnFormula>
    </tableColumn>
    <tableColumn id="5" xr3:uid="{785C1F8D-7B1D-4596-BF70-445F2776D208}" name="QI ID Missing Details" dataDxfId="446">
      <calculatedColumnFormula array="1">CreateID($Q$3,$Q:$Q,$P4&lt;&gt;"")</calculatedColumnFormula>
    </tableColumn>
    <tableColumn id="6" xr3:uid="{88EC4A0B-048C-43EC-B6EA-BFEE09BA020D}" name="QI Text Missing Rationale" dataDxfId="445">
      <calculatedColumnFormula>IF(AND($F4&lt;&gt;"",$G4=""),$A4&amp;" "&amp;$K4,"")</calculatedColumnFormula>
    </tableColumn>
    <tableColumn id="7" xr3:uid="{C9E02FE4-2981-4729-A9D1-CCE0280662C5}" name="QI ID Missing Rationale" dataDxfId="444">
      <calculatedColumnFormula array="1">CreateID($S$3,$S:$S,$R4&lt;&gt;"")</calculatedColumnFormula>
    </tableColumn>
    <tableColumn id="8" xr3:uid="{706A725C-F738-42A9-AB87-57B5DE44519E}" name="QI Text Inconsistent Answers" dataDxfId="443">
      <calculatedColumnFormula>IF($A4="","",IF(AND(NOT($AG4),$E4&lt;&gt;""),$A4&amp;" "&amp;$K4,""))</calculatedColumnFormula>
    </tableColumn>
    <tableColumn id="10" xr3:uid="{E58523EC-AEF9-4CA8-B090-74F78F4E48AF}" name="QI ID Inconsistent Answers" dataDxfId="442">
      <calculatedColumnFormula array="1">CreateID($U$3,$U:$U,$T4&lt;&gt;"")</calculatedColumnFormula>
    </tableColumn>
    <tableColumn id="12" xr3:uid="{2D2A3481-66E2-4B57-AC97-42507B11224E}" name="Additional Assumption ID" dataDxfId="441">
      <calculatedColumnFormula array="1">CreateID($V$3,$V:$V,IFERROR(FIND(Definitions!$AR$4,$G4)&gt;0,FALSE))</calculatedColumnFormula>
    </tableColumn>
    <tableColumn id="13" xr3:uid="{E5E3A475-AD75-40B2-8E39-9F062225BFCE}" name="# Additional Assumptions" dataDxfId="440">
      <calculatedColumnFormula>_xlfn.LET(
_xlpm._comment,$G4,
_xlpm._keyWord,Definitions!$AR$4,
_xlpm._diffLen,LEN(_xlpm._comment)-LEN(SUBSTITUTE(_xlpm._comment,_xlpm._keyWord,"")),
_xlpm._diffLen/LEN(_xlpm._keyWord))</calculatedColumnFormula>
    </tableColumn>
    <tableColumn id="14" xr3:uid="{F9D8E569-1C99-48BD-B7C7-C9F5C98B1BDA}" name="Additional Countermeasure ID" dataDxfId="439">
      <calculatedColumnFormula array="1">CreateID($X$3,$X:$X,IFERROR(FIND(Definitions!$AR$5,$G4)&gt;0,FALSE))</calculatedColumnFormula>
    </tableColumn>
    <tableColumn id="15" xr3:uid="{7437199D-3C4C-403F-98AE-2B87A2AB3D00}" name="# Additional Countermeasures" dataDxfId="438">
      <calculatedColumnFormula>_xlfn.LET(
_xlpm._comment,$G4,
_xlpm._keyWord,Definitions!$AR$5,
_xlpm._diffLen,LEN(_xlpm._comment)-LEN(SUBSTITUTE(_xlpm._comment,_xlpm._keyWord,"")),
_xlpm._diffLen/LEN(_xlpm._keyWord))</calculatedColumnFormula>
    </tableColumn>
    <tableColumn id="16" xr3:uid="{205659BD-48B1-4BA2-8D91-DE63A5F0A30D}" name="Activates Assumption or Countermeasure" dataDxfId="437">
      <calculatedColumnFormula>OR(IFERROR(_xlfn.XMATCH("*,"&amp;$A4&amp;",*",Assumptions!$AL:$AL,2)&gt;0,FALSE),
IFERROR(_xlfn.XMATCH("*,"&amp;$A4&amp;",*",Countermeasures!$AO:$AO,2)&gt;0,FALSE))</calculatedColumnFormula>
    </tableColumn>
    <tableColumn id="17" xr3:uid="{736BDEE3-2CE4-442D-A87B-49DCE98426A6}" name="Answer Search Field" dataDxfId="436">
      <calculatedColumnFormula array="1">CreateSearchString($I4)</calculatedColumnFormula>
    </tableColumn>
    <tableColumn id="21" xr3:uid="{D81C64E5-0BE4-49A6-8241-B00937E5DB46}" name="Damage Level" dataDxfId="435">
      <calculatedColumnFormula>IF($E4="","",IFERROR(VLOOKUP($E4,Definitions!$H:$J,COLUMNS(Definitions!$H:$J),FALSE),""))</calculatedColumnFormula>
    </tableColumn>
    <tableColumn id="22" xr3:uid="{B8DE8332-F761-474B-997F-F6FA2CC2FCA1}" name="Is a Question" dataDxfId="434">
      <calculatedColumnFormula array="1">IF($A4="",FALSE,SimpleLookup($A4,Questions!$A:$D)="x")</calculatedColumnFormula>
    </tableColumn>
    <tableColumn id="23" xr3:uid="{057C4510-01CE-4C78-91FB-D7B3CA0EC516}" name="A1 Options Header" dataDxfId="433">
      <calculatedColumnFormula array="1">IF(OR($A4="",NOT($AC4)),"",SimpleLookup($A4,Questions!$A:$E))</calculatedColumnFormula>
    </tableColumn>
    <tableColumn id="24" xr3:uid="{82D61C83-78F7-4F7F-A021-F3F130810932}" name="A1 Height" dataDxfId="432">
      <calculatedColumnFormula array="1">IF(OR($A4="",NOT($AC4)),"",SimpleLookup($A4,Questions!$A:$F))</calculatedColumnFormula>
    </tableColumn>
    <tableColumn id="27" xr3:uid="{2822CCF2-0C1D-4EB4-9F9A-D917FC0D2AA3}" name="A1 Info Text" dataDxfId="431">
      <calculatedColumnFormula array="1">_xlfn.LET(
_xlpm._answer,$C4,
_xlpm._infoTextFull,IF($AC4,CHAR(10)&amp;SimpleLookup($A4,Questions!$A:$H)&amp;CHAR(10),""),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calculatedColumnFormula>
    </tableColumn>
    <tableColumn id="30" xr3:uid="{0BE9127A-B589-4FFB-A499-519AE2423016}" name="Second Answer Required" dataDxfId="430">
      <calculatedColumnFormula array="1">IF(OR($A4="",NOT($AC4)),FALSE,_xlfn.LET(
_xlpm._secondAnswerRequiredOn,SimpleLookup($A4,Questions!$A:$I),
_xlpm._firstAnwer,$C4,
IFERROR(FIND(CHAR(10)&amp;_xlpm._firstAnwer&amp;":",CHAR(10)&amp;_xlpm._secondAnswerRequiredOn)&gt;0,FALSE)))</calculatedColumnFormula>
    </tableColumn>
    <tableColumn id="25" xr3:uid="{4A6BA62D-7BDC-4657-B490-1C3448D3D873}" name="A2 Options Header" dataDxfId="429">
      <calculatedColumnFormula array="1">IF(OR($A4="",NOT($AC4)),"",_xlfn.LET(
_xlpm._id,$A4,
_xlpm._firstAnswer,$C4,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calculatedColumnFormula>
    </tableColumn>
    <tableColumn id="26" xr3:uid="{ADCA1C7C-73E3-45BE-9DB8-59A644409E28}" name="A2 Height" dataDxfId="428">
      <calculatedColumnFormula array="1">IF(OR($A4="",NOT($AC4)),"",_xlfn.LET(
_xlpm._id,$A4,
_xlpm._firstAnswer,$C4,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calculatedColumnFormula>
    </tableColumn>
    <tableColumn id="28" xr3:uid="{25A17FAD-E9A7-4E8D-8A30-8D9DA9540B95}" name="A2 Info Text" dataDxfId="427">
      <calculatedColumnFormula array="1">IF($AG4,_xlfn.LET(
_xlpm._answer,$E4,
_xlpm._infoTextFull,IF($AC4,CHAR(10)&amp;SimpleLookup($A4,Questions!$A:$L)&amp;CHAR(10),""),
_xlpm._startSelectedByAnswerOne,IF(_xlpm._infoTextFull="",0,FIND("___"&amp;$C4&amp;"___",_xlpm._infoTextFull)+LEN("___"&amp;$C4&amp;"___")),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calculatedColumnFormula>
    </tableColumn>
    <tableColumn id="29" xr3:uid="{970FBE0C-8474-4F6B-831A-577602629B86}" name="Inactive" dataDxfId="426">
      <calculatedColumnFormula array="1">IF(OR($A4="",NOT($AC4)),FALSE,SimpleLookup($A4,Questions!$A:$Q))</calculatedColumnFormula>
    </tableColumn>
    <tableColumn id="18" xr3:uid="{620C040A-86BF-4936-812F-EE3721BC82D8}" name="QI Text Mismatch QA2 and QA6" dataDxfId="425">
      <calculatedColumnFormula array="1">IF(AND($A4=Questions!$A$41,IFERROR(SimpleLookup(Questions!$A$36,$A:$E)=Definitions!$O$5,FALSE),$C4=Definitions!$A$5),
Questions!$A$36&amp;" "&amp;Questions!$B$36&amp;CHAR(10)&amp;CHAR(187)&amp;" "&amp;SimpleLookup(Questions!$A$36,$A:$C)&amp;CHAR(10)&amp;SimpleLookup(Questions!$A$36,$A:$D)&amp;CHAR(10)&amp;CHAR(187)&amp;" "&amp;Definitions!$O$5&amp;CHAR(10)&amp;CHAR(10)&amp;
"is incosistent with"&amp;CHAR(10)&amp;CHAR(10)&amp;
$A4&amp;" "&amp;SimpleLookup($A4,Questions!$A:$B)&amp;CHAR(10)&amp;CHAR(187)&amp;" "&amp;$C4,
"")</calculatedColumnFormula>
    </tableColumn>
    <tableColumn id="19" xr3:uid="{9B418FBA-9FA0-497D-BFE3-9B886227A715}" name="QI ID Mismatch QA2 and QA62" dataDxfId="424">
      <calculatedColumnFormula array="1">CreateID($AM$3,$AM:$AM,$AL4&lt;&gt;"")</calculatedColumnFormula>
    </tableColumn>
    <tableColumn id="31" xr3:uid="{24C8A91A-C1A8-48AB-B2F0-91C8F851FCBD}" name="QI Text Support Time Too Short" dataDxfId="423">
      <calculatedColumnFormula array="1">IF(OR($C4="",OFFSET($C4,1,0)=""),"",
IF(AND($A4=Questions!$A$59,OFFSET($A4,1,0)=Questions!$A$60,SimpleLookup(Questions!$A$49,$A:$C)=Definitions!$A$4),
IF(MATCH($C4,Definitions!$AW:$AW,0)&gt;MATCH(OFFSET($C4,1,0),Definitions!AW:AW,0),$A4&amp;" "&amp;$K4&amp;": "&amp;$C4&amp;CHAR(10)&amp;"&lt;---&gt;"&amp;CHAR(10)&amp;OFFSET($A4,1,0)&amp;" "&amp;OFFSET($K4,1,0)&amp;": "&amp;OFFSET($C4,1,0),""),
""))</calculatedColumnFormula>
    </tableColumn>
    <tableColumn id="33" xr3:uid="{F9F42103-231E-403B-B090-9988657CB6D5}" name="QI ID Support Time Too Short" dataDxfId="422">
      <calculatedColumnFormula array="1">CreateID($AO$3,$AO:$AO,$AN4&lt;&gt;"")</calculatedColumnFormula>
    </tableColumn>
  </tableColumns>
  <tableStyleInfo name="TableStyleDark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E832E2-F38B-4731-B2D0-153CD57B346E}" name="Table26710" displayName="Table26710" ref="A2:H20" totalsRowShown="0" headerRowDxfId="421" dataDxfId="420">
  <autoFilter ref="A2:H20" xr:uid="{45D5F579-B153-490D-8DA5-723313A84BC5}"/>
  <tableColumns count="8">
    <tableColumn id="1" xr3:uid="{5A082914-8DA8-4256-9320-39126C20D47E}" name="ID" dataDxfId="419">
      <calculatedColumnFormula array="1">IF($G3="","",INDEX('Damage Scenarios'!A:A,$G3))</calculatedColumnFormula>
    </tableColumn>
    <tableColumn id="2" xr3:uid="{EED7A269-11B5-46C4-83EE-AA169C52A137}" name="Damage Scenario" dataDxfId="418">
      <calculatedColumnFormula array="1">IF($G3="","",INDEX('Damage Scenarios'!J:J,$G3))</calculatedColumnFormula>
    </tableColumn>
    <tableColumn id="8" xr3:uid="{69BC9B5A-1ECB-4AF7-91FA-195F7E3D7E1D}" name="Damage Level" dataDxfId="417">
      <calculatedColumnFormula array="1">IF($G3="","",INDEX('Damage Scenarios'!M:M,$G3))</calculatedColumnFormula>
    </tableColumn>
    <tableColumn id="5" xr3:uid="{0A33E33C-5803-43FF-94AB-16FC4A2C6859}" name="Related Questions and Answers / Explanation" dataDxfId="416">
      <calculatedColumnFormula array="1">IF($G3="","",INDEX('Damage Scenarios'!$O:$O,$G3))</calculatedColumnFormula>
    </tableColumn>
    <tableColumn id="7" xr3:uid="{2483CD7B-CB21-4AFB-BA7D-08C42993AD27}" name="Comment" dataDxfId="415"/>
    <tableColumn id="3" xr3:uid="{95F62DF1-3A6F-497F-A779-60C4499F88E4}" name="Shadow ID" dataDxfId="414">
      <calculatedColumnFormula array="1">IF(ROW()=ROW($F$2)+1,0,INDEX($F:$F,ROW()-1))+IF($A3="",0,1)</calculatedColumnFormula>
    </tableColumn>
    <tableColumn id="4" xr3:uid="{CB723C27-8BD6-4469-A17D-2DE83A80930D}" name="Row" dataDxfId="413">
      <calculatedColumnFormula>IFERROR(MATCH(ROW()-ROW($G$2),'Damage Scenarios'!$S:$S,0),"")</calculatedColumnFormula>
    </tableColumn>
    <tableColumn id="6" xr3:uid="{A14713C8-BFB1-4E57-A932-35CAC06F80C3}" name="Task ID" dataDxfId="412">
      <calculatedColumnFormula array="1">CreateTaskID($H$2,$H:$H,Tasks!$B$17,$E3)</calculatedColumnFormula>
    </tableColumn>
  </tableColumns>
  <tableStyleInfo name="DarkCustom"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C5E483-9DAD-4F95-838F-1C5204C03D30}" name="Table8" displayName="Table8" ref="A2:CU77" totalsRowShown="0" headerRowDxfId="411" dataDxfId="410">
  <autoFilter ref="A2:CU77" xr:uid="{6EC5E483-9DAD-4F95-838F-1C5204C03D30}"/>
  <tableColumns count="99">
    <tableColumn id="1" xr3:uid="{45247A1E-DA07-4728-8802-AE28F8CC79A7}" name="R ID" dataDxfId="409">
      <calculatedColumnFormula array="1">IF($B3="","","R"&amp;RemoveDelimiter(SUBSTITUTE(SUBSTITUTE($K3,"AS",""),",","-"),"-"))</calculatedColumnFormula>
    </tableColumn>
    <tableColumn id="2" xr3:uid="{A4C5AF19-60B7-4F6F-A92F-5957A247E9F3}" name="Attack Path" dataDxfId="408">
      <calculatedColumnFormula array="1">IF($L3="","",_xlfn.LET(
_xlpm._finalAttackStep,$L3,
_xlpm._prepAttacks,RemoveFirstElement(_xlpm._finalAttackStep&amp;","&amp;$K3),
_xlpm._prepAttackNames,IFERROR(LookupNames(_xlpm._prepAttacks,'Attack Steps'!$A:$B),""),
_xlpm._delimiter,REPT(CHAR(150),55),
$L3&amp;" "&amp;SimpleLookup($L3,'Attack Steps'!$A:$B)&amp;
IF(_xlpm._prepAttackNames="","",CHAR(10)&amp;_xlpm._delimiter&amp;CHAR(10)&amp;_xlpm._prepAttackNames)))</calculatedColumnFormula>
    </tableColumn>
    <tableColumn id="10" xr3:uid="{89B547F6-4042-4819-908B-B63367DECAEA}" name="Damage Scenarios" dataDxfId="407">
      <calculatedColumnFormula array="1">IFERROR(LookupNames($M3,'Damage Scenarios'!$A:$V),"")</calculatedColumnFormula>
    </tableColumn>
    <tableColumn id="12" xr3:uid="{F8A4FE99-BC9F-4F21-9F77-B92A4CAC6BF4}" name="Damage Level" dataDxfId="406">
      <calculatedColumnFormula>IFERROR(IF($T3=0,"",INDEX(Definitions!$Q:$Q,MATCH($T3,Definitions!$R:$R,0))),"")</calculatedColumnFormula>
    </tableColumn>
    <tableColumn id="100" xr3:uid="{BE64A4FE-88A9-46FE-8B19-CE40F8B16FCD}" name="Factor Explanation " dataDxfId="405">
      <calculatedColumnFormula array="1">IF($A3="","",_xlfn.LET(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_xlpm._factorFunction($A3,$A:W,Definitions!$Y:$Y,Definitions!$AB:$AB,1)&amp;CHAR(10)&amp;
_xlpm._factorFunction($A3,$A:X,Definitions!$Y:$Y,Definitions!$AB:$AB,2)&amp;CHAR(10)&amp;
_xlpm._factorFunction($A3,$A:Y,Definitions!$Y:$Y,Definitions!$AB:$AB,3)&amp;CHAR(10)&amp;
_xlpm._factorFunction($A3,$A:Z,Definitions!$Y:$Y,Definitions!$AB:$AB,4)&amp;CHAR(10)&amp;
_xlpm._factorFunction($A3,$A:AA,Definitions!$Y:$Y,Definitions!$AB:$AB,5)))</calculatedColumnFormula>
    </tableColumn>
    <tableColumn id="13" xr3:uid="{6EB8A93B-03C3-43B4-B6EF-A98078DF236D}" name="RAP" dataDxfId="404">
      <calculatedColumnFormula>IF($A3="","",IFERROR(VLOOKUP($AG3,Definitions!$V:$W,COLUMNS(Definitions!$V:$W),TRUE),""))</calculatedColumnFormula>
    </tableColumn>
    <tableColumn id="14" xr3:uid="{1E814807-B485-4D45-9CDF-133565C67FF3}" name="Risk Level" dataDxfId="403">
      <calculatedColumnFormula>IFERROR(IF(OR($D3="",$F3=""),
"",
VLOOKUP($D3,Definitions!$AH:$AM,MATCH($F3,Definitions!$AH$3:$AM$3,0),FALSE)),
"")</calculatedColumnFormula>
    </tableColumn>
    <tableColumn id="22" xr3:uid="{86A53339-9271-4A07-90BF-BA25D53150C9}" name="Shadow ID" dataDxfId="402">
      <calculatedColumnFormula array="1">IF(ROW()=ROW($H$2)+1,0,INDEX($H:$H,ROW()-1))+IF($A3="",0,1)</calculatedColumnFormula>
    </tableColumn>
    <tableColumn id="3" xr3:uid="{14A15C01-1071-4C8B-A12B-CD523A41165C}" name="AP Shadow ID" dataDxfId="401">
      <calculatedColumnFormula array="1">IF(ROW()=ROW($I$2)+1,
1,
INDEX($I:$I,ROW()-1)+IF(INDEX($S:$S,ROW()-1),1,0))</calculatedColumnFormula>
    </tableColumn>
    <tableColumn id="4" xr3:uid="{BC592AE6-1D66-454D-86DD-CD7402F6AB74}" name="Active AP #" dataDxfId="400">
      <calculatedColumnFormula>COUNTIF(OFFSET($I$2,1,0,ROW()-ROW($I$2),1),$I3)</calculatedColumnFormula>
    </tableColumn>
    <tableColumn id="9" xr3:uid="{192ADA88-C54D-42FA-A6AA-2B7273C32D96}" name="Active AP" dataDxfId="399">
      <calculatedColumnFormula>IF($Q3="","",_xlfn.LET(
_xlpm._aps,$Q3,
_xlpm._firstPos,FIND("$",SUBSTITUTE(_xlpm._aps,"§","$",$J3))+1,
_xlpm._lastPos,FIND("$",SUBSTITUTE(_xlpm._aps,"§","$",$J3+1)),
MID(_xlpm._aps,_xlpm._firstPos,_xlpm._lastPos-_xlpm._firstPos)))</calculatedColumnFormula>
    </tableColumn>
    <tableColumn id="23" xr3:uid="{2DF67DE2-445B-44FB-9B75-E90D1A295396}" name="Attack Step Causing Damages" dataDxfId="398">
      <calculatedColumnFormula array="1">IF($P3="","",INDEX('Attack Steps'!$A:$A,$P3))</calculatedColumnFormula>
    </tableColumn>
    <tableColumn id="11" xr3:uid="{3C13B548-3A10-477E-88EF-E7E90C6B5699}" name="DS IDs" dataDxfId="397">
      <calculatedColumnFormula array="1">IF($P3="","",INDEX('Attack Steps'!$T:$T,$P3))</calculatedColumnFormula>
    </tableColumn>
    <tableColumn id="58" xr3:uid="{C3EB2B31-AC19-4746-80B1-B1CB9AD2910E}" name="Damage Transformation" dataDxfId="396">
      <calculatedColumnFormula array="1">_xlfn.LET(_xlpm._dm,SanitizeInput(GetValuesWithFallback(SanitizeInput($AK3),Assumptions!$A:$I,Countermeasures!$A:$I,"",",",FALSE)),
IF(_xlpm._dm="","",","&amp;_xlpm._dm))</calculatedColumnFormula>
    </tableColumn>
    <tableColumn id="57" xr3:uid="{FBAAE969-2441-4705-96B2-DA17BCF39A3F}" name="Transformed DS IDs" dataDxfId="395">
      <calculatedColumnFormula array="1">ApplyDamageMitigation($M3,$N3,"")</calculatedColumnFormula>
    </tableColumn>
    <tableColumn id="5" xr3:uid="{A04EA2FA-4162-44A1-945A-555EFDEC825F}" name="Attack Paths Row" dataDxfId="394">
      <calculatedColumnFormula>IFERROR(MATCH($I3,'Attack Steps'!$V:$V,0),"")</calculatedColumnFormula>
    </tableColumn>
    <tableColumn id="6" xr3:uid="{71BA7FB6-C7BE-4D6B-BDFC-457CD35445DF}" name="Attack Paths String" dataDxfId="393">
      <calculatedColumnFormula array="1">IF($P3="","","§"&amp;INDEX('Attack Steps'!$S:$S,$P3))</calculatedColumnFormula>
    </tableColumn>
    <tableColumn id="7" xr3:uid="{4C60EBF5-2649-4F55-8EDF-814E335731B5}" name="# APs" dataDxfId="392">
      <calculatedColumnFormula array="1">IF($P3="","",INDEX('Attack Steps'!$W:$W,$P3))</calculatedColumnFormula>
    </tableColumn>
    <tableColumn id="8" xr3:uid="{EDDCA556-C663-42DB-B596-26F2CF6FC1C6}" name="Last AP?" dataDxfId="391">
      <calculatedColumnFormula>$J3=$R3</calculatedColumnFormula>
    </tableColumn>
    <tableColumn id="15" xr3:uid="{6743D925-2725-4C91-9E26-4C62B286C566}" name="DL" dataDxfId="390">
      <calculatedColumnFormula array="1">_xlfn.LAMBDA(_xlpm._in,_xlpm._val,_xlpm._range,
IF(_xlpm._in="",_xlpm._val,_xlfn.LET(
_xlpm._id,LEFT(_xlpm._in,FIND(",",_xlpm._in)-1),
CalculateMaxFromList(RemoveFirstElement(_xlpm._in),MAX(_xlpm._val,VLOOKUP(_xlpm._id,_xlpm._range,COLUMNS(_xlpm._range),FALSE)),_xlpm._range))))($M3,0,'Damage Scenarios'!$A:$U)</calculatedColumnFormula>
    </tableColumn>
    <tableColumn id="59" xr3:uid="{6BF14F1F-E081-4537-9959-AB42DFF35E55}" name="DL after transformation" dataDxfId="389">
      <calculatedColumnFormula array="1">CalculateMaxFromList($O3,0,'Damage Scenarios'!$A:$U)</calculatedColumnFormula>
    </tableColumn>
    <tableColumn id="60" xr3:uid="{FE59068E-4236-43A8-8183-54014D737FC3}" name="New Damage Level" dataDxfId="388">
      <calculatedColumnFormula>IF($U3=0,"",INDEX(Definitions!$Q:$Q,MATCH($U3,Definitions!$R:$R,0)))</calculatedColumnFormula>
    </tableColumn>
    <tableColumn id="30" xr3:uid="{40AF51B6-AC93-48E0-BBAB-8C6D68087F88}" name="ET" dataDxfId="387">
      <calculatedColumnFormula array="1">CalculateMaxAndElements($K3,0,"",'Attack Steps'!$A:X)</calculatedColumnFormula>
    </tableColumn>
    <tableColumn id="31" xr3:uid="{F35FD2EC-204D-4876-82BD-6BB6EDD760CF}" name="EX" dataDxfId="386">
      <calculatedColumnFormula array="1">CalculateMaxAndElements($K3,0,"",'Attack Steps'!$A:Y)</calculatedColumnFormula>
    </tableColumn>
    <tableColumn id="32" xr3:uid="{FD5B2560-9C56-456C-A8FE-2DFE993C6F69}" name="KT" dataDxfId="385">
      <calculatedColumnFormula array="1">CalculateMaxAndElements($K3,0,"",'Attack Steps'!$A:Z)</calculatedColumnFormula>
    </tableColumn>
    <tableColumn id="33" xr3:uid="{901524F6-A94D-44E0-912C-B7268054DEA7}" name="WO" dataDxfId="384">
      <calculatedColumnFormula array="1">CalculateMaxAndElements($K3,0,"",'Attack Steps'!$A:AA)</calculatedColumnFormula>
    </tableColumn>
    <tableColumn id="34" xr3:uid="{B9090C4C-F252-4AFD-9F10-90C854846F1C}" name="EQ" dataDxfId="383">
      <calculatedColumnFormula array="1">CalculateMaxAndElements($K3,0,"",'Attack Steps'!$A:AB)</calculatedColumnFormula>
    </tableColumn>
    <tableColumn id="16" xr3:uid="{CB18EBC0-0F2C-44CF-B3B4-2FEF79DD4858}" name="ET-val" dataDxfId="382">
      <calculatedColumnFormula>IF(W3="","",VALUE(LEFT(W3,FIND(":",W3)-1)))</calculatedColumnFormula>
    </tableColumn>
    <tableColumn id="17" xr3:uid="{CD2EECDA-C98F-4CC2-AFC8-C41E3268BB5B}" name="EX-val" dataDxfId="381">
      <calculatedColumnFormula>IF(X3="","",VALUE(LEFT(X3,FIND(":",X3)-1)))</calculatedColumnFormula>
    </tableColumn>
    <tableColumn id="18" xr3:uid="{1C0160B3-3D23-4B28-A623-C465BE89C827}" name="KT-val" dataDxfId="380">
      <calculatedColumnFormula>IF(Y3="","",VALUE(LEFT(Y3,FIND(":",Y3)-1)))</calculatedColumnFormula>
    </tableColumn>
    <tableColumn id="19" xr3:uid="{D931013B-83D9-49B0-B994-A1AB47D3EEBB}" name="WO-val" dataDxfId="379">
      <calculatedColumnFormula>IF(Z3="","",VALUE(LEFT(Z3,FIND(":",Z3)-1)))</calculatedColumnFormula>
    </tableColumn>
    <tableColumn id="20" xr3:uid="{3BD1B944-E6DB-4824-829E-FCFF30C439C3}" name="EQ-val" dataDxfId="378">
      <calculatedColumnFormula>IF(AA3="","",VALUE(LEFT(AA3,FIND(":",AA3)-1)))</calculatedColumnFormula>
    </tableColumn>
    <tableColumn id="21" xr3:uid="{93BB1209-DA93-4717-8B36-3DD233594C5C}" name="SUM" dataDxfId="377">
      <calculatedColumnFormula>SUM(OFFSET($AB3,0,0,1,COLUMNS($AB:$AF)))</calculatedColumnFormula>
    </tableColumn>
    <tableColumn id="24" xr3:uid="{3E0B0474-545F-44B7-9F33-C071C0BEF776}" name="All IDs" dataDxfId="376">
      <calculatedColumnFormula array="1">IF(ROW()=ROW($AH$2)+1,"",INDEX($AH:$AH,ROW()-1))&amp;IF($A3="","",$A3&amp;",")</calculatedColumnFormula>
    </tableColumn>
    <tableColumn id="25" xr3:uid="{C921547D-B964-4649-B3E3-8596018BC439}" name="AP Search" dataDxfId="375">
      <calculatedColumnFormula>IF($K3="","",","&amp;$K3)</calculatedColumnFormula>
    </tableColumn>
    <tableColumn id="26" xr3:uid="{A0229379-D857-468E-A652-B43397495503}" name="Risk Level Value" dataDxfId="374">
      <calculatedColumnFormula array="1">IF($G3="",0,SimpleLookup($G3,Definitions!$AE:$AF))</calculatedColumnFormula>
    </tableColumn>
    <tableColumn id="27" xr3:uid="{8D2E60C5-B639-4D42-9474-BC05F999BC32}" name="Selected Countermeasures" dataDxfId="373">
      <calculatedColumnFormula array="1">InverseLookup($A3,Mitigation!$U$2,Mitigation!$J$2,1,Helper!$B$5,",")</calculatedColumnFormula>
    </tableColumn>
    <tableColumn id="28" xr3:uid="{1209DA8A-7117-46D2-8F07-7FFADF0E0668}" name="C-ET" dataDxfId="372">
      <calculatedColumnFormula array="1">CalculateMaxAndElementsWithFallback(SanitizeInput($AK3),0,"",Countermeasures!$A:Y,Assumptions!$A:Z)</calculatedColumnFormula>
    </tableColumn>
    <tableColumn id="29" xr3:uid="{43B448E9-C8CE-4353-980E-89CAF1BBCBBF}" name="C-EX" dataDxfId="371">
      <calculatedColumnFormula array="1">CalculateMaxAndElementsWithFallback(SanitizeInput($AK3),0,"",Countermeasures!$A:Z,Assumptions!$A:AA)</calculatedColumnFormula>
    </tableColumn>
    <tableColumn id="35" xr3:uid="{A2EB1C99-B524-4766-9936-B608CE748A54}" name="C-KT" dataDxfId="370">
      <calculatedColumnFormula array="1">CalculateMaxAndElementsWithFallback(SanitizeInput($AK3),0,"",Countermeasures!$A:AA,Assumptions!$A:AB)</calculatedColumnFormula>
    </tableColumn>
    <tableColumn id="36" xr3:uid="{F6A0F37A-BC5B-4058-9E8A-D9BC41944AFF}" name="C-WO" dataDxfId="369">
      <calculatedColumnFormula array="1">CalculateMaxAndElementsWithFallback(SanitizeInput($AK3),0,"",Countermeasures!$A:AB,Assumptions!$A:AC)</calculatedColumnFormula>
    </tableColumn>
    <tableColumn id="37" xr3:uid="{B1808B87-BA47-4944-8BF5-25E120397E14}" name="C-EQ" dataDxfId="368">
      <calculatedColumnFormula array="1">CalculateMaxAndElementsWithFallback(SanitizeInput($AK3),0,"",Countermeasures!$A:AC,Assumptions!$A:AD)</calculatedColumnFormula>
    </tableColumn>
    <tableColumn id="38" xr3:uid="{A1532C83-EC92-436B-B3CC-70ECBAB2BF1A}" name="C-ET-val" dataDxfId="367">
      <calculatedColumnFormula>IF(AL3="","",VALUE(LEFT(AL3,FIND(":",AL3)-1)))</calculatedColumnFormula>
    </tableColumn>
    <tableColumn id="39" xr3:uid="{4A5573D7-C673-4178-920A-BFAA43955D70}" name="C-EX-val" dataDxfId="366">
      <calculatedColumnFormula>IF(AM3="","",VALUE(LEFT(AM3,FIND(":",AM3)-1)))</calculatedColumnFormula>
    </tableColumn>
    <tableColumn id="40" xr3:uid="{699DA4A1-7C1E-4CA4-8B6A-BDA81266E8BE}" name="C-KT-val" dataDxfId="365">
      <calculatedColumnFormula>IF(AN3="","",VALUE(LEFT(AN3,FIND(":",AN3)-1)))</calculatedColumnFormula>
    </tableColumn>
    <tableColumn id="41" xr3:uid="{573BD524-227E-4D97-8C18-AC8398640CED}" name="C-WO-val" dataDxfId="364">
      <calculatedColumnFormula>IF(AO3="","",VALUE(LEFT(AO3,FIND(":",AO3)-1)))</calculatedColumnFormula>
    </tableColumn>
    <tableColumn id="42" xr3:uid="{A0AD041C-0B93-4918-9953-39AEDA4B5192}" name="C-EQ-val" dataDxfId="363">
      <calculatedColumnFormula>IF(AP3="","",VALUE(LEFT(AP3,FIND(":",AP3)-1)))</calculatedColumnFormula>
    </tableColumn>
    <tableColumn id="43" xr3:uid="{7D35E621-EA06-4E58-A31D-53759777E4DD}" name="N-ET" dataDxfId="362">
      <calculatedColumnFormula>IF(AB3=AQ3,W3&amp;RIGHT(AL3,LEN(AL3)-FIND(":",AL3)),
IF(AB3&gt;AQ3,W3,AL3))</calculatedColumnFormula>
    </tableColumn>
    <tableColumn id="44" xr3:uid="{B5E48669-B644-417B-972A-36CB69351786}" name="N-EX" dataDxfId="361">
      <calculatedColumnFormula>IF(AC3=AR3,X3&amp;RIGHT(AM3,LEN(AM3)-FIND(":",AM3)),
IF(AC3&gt;AR3,X3,AM3))</calculatedColumnFormula>
    </tableColumn>
    <tableColumn id="45" xr3:uid="{991DAF94-AF4D-4E5D-B9D5-B7C9F1D73126}" name="N-KT" dataDxfId="360">
      <calculatedColumnFormula>IF(AD3=AS3,Y3&amp;RIGHT(AN3,LEN(AN3)-FIND(":",AN3)),
IF(AD3&gt;AS3,Y3,AN3))</calculatedColumnFormula>
    </tableColumn>
    <tableColumn id="46" xr3:uid="{34C7FD11-9921-44B1-A284-105C2AB05295}" name="N-WO" dataDxfId="359">
      <calculatedColumnFormula>IF(AE3=AT3,Z3&amp;RIGHT(AO3,LEN(AO3)-FIND(":",AO3)),
IF(AE3&gt;AT3,Z3,AO3))</calculatedColumnFormula>
    </tableColumn>
    <tableColumn id="47" xr3:uid="{C6B9A7BF-4358-4178-8C7E-3D6B005863BE}" name="N-EQ" dataDxfId="358">
      <calculatedColumnFormula>IF(AF3=AU3,AA3&amp;RIGHT(AP3,LEN(AP3)-FIND(":",AP3)),
IF(AF3&gt;AU3,AA3,AP3))</calculatedColumnFormula>
    </tableColumn>
    <tableColumn id="48" xr3:uid="{F7960328-54F3-46C8-ADAA-DF16AFA315B1}" name="N-ET-val" dataDxfId="357">
      <calculatedColumnFormula>MAX(AB3,AQ3)</calculatedColumnFormula>
    </tableColumn>
    <tableColumn id="49" xr3:uid="{CEF70A3A-4C03-4916-B849-84212B31C0BE}" name="N-EX-val" dataDxfId="356">
      <calculatedColumnFormula>MAX(AC3,AR3)</calculatedColumnFormula>
    </tableColumn>
    <tableColumn id="50" xr3:uid="{EC33BA31-E8C6-42BC-BCB7-79D5E2196FB4}" name="N-KT-val" dataDxfId="355">
      <calculatedColumnFormula>MAX(AD3,AS3)</calculatedColumnFormula>
    </tableColumn>
    <tableColumn id="51" xr3:uid="{558966A9-CC0D-497B-8A26-FFE86DE3BF65}" name="N-WO-val" dataDxfId="354">
      <calculatedColumnFormula>MAX(AE3,AT3)</calculatedColumnFormula>
    </tableColumn>
    <tableColumn id="52" xr3:uid="{45437507-6A7E-4F6C-A214-865556F60D56}" name="N-EQ-val" dataDxfId="353">
      <calculatedColumnFormula>MAX(AF3,AU3)</calculatedColumnFormula>
    </tableColumn>
    <tableColumn id="53" xr3:uid="{BF20D7CE-F66C-494A-B87E-A7C4A5E4DDAB}" name="N-SUM" dataDxfId="352">
      <calculatedColumnFormula>SUM(OFFSET($BA3,0,0,1,COLUMNS($BA:$BE)))</calculatedColumnFormula>
    </tableColumn>
    <tableColumn id="64" xr3:uid="{455335F7-CCF6-4A87-937D-28764FC2948F}" name="N-RAP-Calculated" dataDxfId="351">
      <calculatedColumnFormula>IFERROR(VLOOKUP($BF3,Definitions!$V:$W,COLUMNS(Definitions!$V:$W),TRUE),"")</calculatedColumnFormula>
    </tableColumn>
    <tableColumn id="65" xr3:uid="{DFF8548A-A08E-4065-A9CB-B33CDC90D2DC}" name="N-RAP-Inline" dataDxfId="350">
      <calculatedColumnFormula>_xlfn.LET(
_xlpm._comments,GetValues($K3,Mitigation!$A:$O,"","",FALSE),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calculatedColumnFormula>
    </tableColumn>
    <tableColumn id="54" xr3:uid="{7360A2B6-1EC1-4F7E-947B-C5F9D36F43A3}" name="N-RAP" dataDxfId="349">
      <calculatedColumnFormula array="1">_xlfn.LET(
_xlpm._rapRange,Definitions!$W:$W,
_xlpm._calculatedRAP,$BG3,
_xlpm._inlineRAP,$BH3,
_xlpm._calculatedRAPValue,IF(_xlpm._calculatedRAP="",0,MATCH(_xlpm._calculatedRAP,_xlpm._rapRange,0)),
_xlpm._inlineRAPValue,IF(_xlpm._inlineRAP="",0,MATCH(_xlpm._inlineRAP,_xlpm._rapRange,0)),
_xlpm._maxRAP,MAX(_xlpm._calculatedRAPValue,_xlpm._inlineRAPValue),
IF(_xlpm._maxRAP=0,"",INDEX(_xlpm._rapRange,_xlpm._maxRAP)))</calculatedColumnFormula>
    </tableColumn>
    <tableColumn id="55" xr3:uid="{EBFC4F2E-9F9A-4755-9263-17A98EC98285}" name="N-Risk Level" dataDxfId="348">
      <calculatedColumnFormula>IFERROR(IF(OR($V3="",$BI3=""),
Definitions!$AE$4,
VLOOKUP($V3,Definitions!$AH:$AM,MATCH($BI3,Definitions!$AH$3:$AM$3,0),FALSE)),
"")</calculatedColumnFormula>
    </tableColumn>
    <tableColumn id="56" xr3:uid="{BCB7B7FD-BF16-45B3-BED4-B82AE7CEF8AA}" name="N-Risk Value" dataDxfId="347">
      <calculatedColumnFormula array="1">IF($BJ3="",0,SimpleLookup($BJ3,Definitions!$AE:$AF))</calculatedColumnFormula>
    </tableColumn>
    <tableColumn id="84" xr3:uid="{E57CECBA-93CC-4075-84E3-B02B463DA809}" name="Confirmed Countermeasures in Tracing" dataDxfId="346">
      <calculatedColumnFormula array="1">IFERROR(SimpleLookup($A3,Tracing!$B:$Z),"")</calculatedColumnFormula>
    </tableColumn>
    <tableColumn id="97" xr3:uid="{D0569ACE-3DD8-473C-A7BF-CB86254E8363}" name="CT-Damage Transformation" dataDxfId="345">
      <calculatedColumnFormula array="1">_xlfn.LET(_xlpm._dm,SanitizeInput(GetValuesWithFallback(SanitizeInput($BL3),Assumptions!$A:$I,Countermeasures!$A:$I,"",",",FALSE)),
IF(_xlpm._dm="","",","&amp;_xlpm._dm))</calculatedColumnFormula>
    </tableColumn>
    <tableColumn id="98" xr3:uid="{103343C1-5DA7-446B-B0E4-88F5944268D0}" name="CT-Transformed DS IDs" dataDxfId="344">
      <calculatedColumnFormula array="1">ApplyDamageMitigation($M3,$BM3,"")</calculatedColumnFormula>
    </tableColumn>
    <tableColumn id="95" xr3:uid="{C5EA4097-03EF-4D06-8D42-077EC77892D8}" name="CT-DL after transformation" dataDxfId="343">
      <calculatedColumnFormula array="1">CalculateMaxFromList($BN3,0,'Damage Scenarios'!$A:$U)</calculatedColumnFormula>
    </tableColumn>
    <tableColumn id="96" xr3:uid="{AFCF8EE4-FE38-440D-8DC2-6CDD90158D76}" name="CT-New Damage Level" dataDxfId="342">
      <calculatedColumnFormula>IF($BO3=0,"",INDEX(Definitions!$Q:$Q,MATCH($BO3,Definitions!$R:$R,0)))</calculatedColumnFormula>
    </tableColumn>
    <tableColumn id="85" xr3:uid="{84607046-6396-407B-B3B8-A39DD5A8A279}" name="CT-ET" dataDxfId="341">
      <calculatedColumnFormula array="1">CalculateMaxAndElementsWithFallback(SanitizeInput($BL3),0,"",Countermeasures!$A:Y,Assumptions!$A:Z)</calculatedColumnFormula>
    </tableColumn>
    <tableColumn id="86" xr3:uid="{9E214B3C-E885-40AC-9A58-91099AE1135F}" name="CT-EX" dataDxfId="340">
      <calculatedColumnFormula array="1">CalculateMaxAndElementsWithFallback(SanitizeInput($BL3),0,"",Countermeasures!$A:Z,Assumptions!$A:AA)</calculatedColumnFormula>
    </tableColumn>
    <tableColumn id="87" xr3:uid="{F33CEB4A-493B-4C00-AC91-7E4124EF15BD}" name="CT-KT" dataDxfId="339">
      <calculatedColumnFormula array="1">CalculateMaxAndElementsWithFallback(SanitizeInput($BL3),0,"",Countermeasures!$A:AA,Assumptions!$A:AB)</calculatedColumnFormula>
    </tableColumn>
    <tableColumn id="88" xr3:uid="{128A79A5-D6C4-47D9-AD88-3BD31A85F7F6}" name="CT-WO" dataDxfId="338">
      <calculatedColumnFormula array="1">CalculateMaxAndElementsWithFallback(SanitizeInput($BL3),0,"",Countermeasures!$A:AB,Assumptions!$A:AC)</calculatedColumnFormula>
    </tableColumn>
    <tableColumn id="89" xr3:uid="{407A39B5-FED7-46B1-AE6B-0E6DDBC8412E}" name="CT-EQ" dataDxfId="337">
      <calculatedColumnFormula array="1">CalculateMaxAndElementsWithFallback(SanitizeInput($BL3),0,"",Countermeasures!$A:AC,Assumptions!$A:AD)</calculatedColumnFormula>
    </tableColumn>
    <tableColumn id="90" xr3:uid="{06332387-C530-4575-BF7C-B6D48FAD7B72}" name="CT-ET-val" dataDxfId="336">
      <calculatedColumnFormula>IF(BQ3="","",VALUE(LEFT(BQ3,FIND(":",BQ3)-1)))</calculatedColumnFormula>
    </tableColumn>
    <tableColumn id="91" xr3:uid="{3DAE5525-6C96-4C4C-914A-2892975040B7}" name="CT-EX-val" dataDxfId="335">
      <calculatedColumnFormula>IF(BR3="","",VALUE(LEFT(BR3,FIND(":",BR3)-1)))</calculatedColumnFormula>
    </tableColumn>
    <tableColumn id="92" xr3:uid="{3B3D0B5E-D692-410D-8E5A-4D1AA25AEB51}" name="CT-KT-val" dataDxfId="334">
      <calculatedColumnFormula>IF(BS3="","",VALUE(LEFT(BS3,FIND(":",BS3)-1)))</calculatedColumnFormula>
    </tableColumn>
    <tableColumn id="93" xr3:uid="{BC621A08-EE7A-4E62-B76C-4AB8D8425DE0}" name="CT-WO-val" dataDxfId="333">
      <calculatedColumnFormula>IF(BT3="","",VALUE(LEFT(BT3,FIND(":",BT3)-1)))</calculatedColumnFormula>
    </tableColumn>
    <tableColumn id="94" xr3:uid="{EF232188-E2A5-486F-B373-6501C13F2CAF}" name="CT-EQ-val" dataDxfId="332">
      <calculatedColumnFormula>IF(BU3="","",VALUE(LEFT(BU3,FIND(":",BU3)-1)))</calculatedColumnFormula>
    </tableColumn>
    <tableColumn id="68" xr3:uid="{4E0BCD05-8BBE-41FA-AA88-95D531A93B63}" name="T-ET" dataDxfId="331">
      <calculatedColumnFormula>IF(AB3=BV3,W3&amp;RIGHT(BQ3,LEN(BQ3)-FIND(":",BQ3)),
IF(AB3&gt;BV3,W3,BQ3))</calculatedColumnFormula>
    </tableColumn>
    <tableColumn id="69" xr3:uid="{9DDC3337-1EF5-4B87-876D-C653AC9847D0}" name="T-EX" dataDxfId="330">
      <calculatedColumnFormula>IF(AC3=BW3,X3&amp;RIGHT(BR3,LEN(BR3)-FIND(":",BR3)),
IF(AC3&gt;BW3,X3,BR3))</calculatedColumnFormula>
    </tableColumn>
    <tableColumn id="70" xr3:uid="{1C1D031E-50D8-4A13-A491-2F559FC9FB40}" name="T-KT" dataDxfId="329">
      <calculatedColumnFormula>IF(AD3=BX3,Y3&amp;RIGHT(BS3,LEN(BS3)-FIND(":",BS3)),
IF(AD3&gt;BX3,Y3,BS3))</calculatedColumnFormula>
    </tableColumn>
    <tableColumn id="71" xr3:uid="{019A404E-B947-4E1D-8474-303763C98E43}" name="T-WO" dataDxfId="328">
      <calculatedColumnFormula>IF(AE3=BY3,Z3&amp;RIGHT(BT3,LEN(BT3)-FIND(":",BT3)),
IF(AE3&gt;BY3,Z3,BT3))</calculatedColumnFormula>
    </tableColumn>
    <tableColumn id="72" xr3:uid="{1634ECA3-508A-403F-A04E-C5A6717CB73B}" name="T-EQ" dataDxfId="327">
      <calculatedColumnFormula>IF(AF3=BZ3,AA3&amp;RIGHT(BU3,LEN(BU3)-FIND(":",BU3)),
IF(AF3&gt;BZ3,AA3,BU3))</calculatedColumnFormula>
    </tableColumn>
    <tableColumn id="73" xr3:uid="{9C559D47-5493-4206-B62C-18904A5B97B2}" name="T-ET-val" dataDxfId="326">
      <calculatedColumnFormula>MAX(AB3,BV3)</calculatedColumnFormula>
    </tableColumn>
    <tableColumn id="74" xr3:uid="{3061BB5A-9AEF-4764-B3F7-CD81B87E556B}" name="T-EX-val" dataDxfId="325">
      <calculatedColumnFormula>MAX(AC3,BW3)</calculatedColumnFormula>
    </tableColumn>
    <tableColumn id="75" xr3:uid="{5DFF10D4-11C5-4CDA-90E6-1D059DE5FB44}" name="T-KT-val" dataDxfId="324">
      <calculatedColumnFormula>MAX(AD3,BX3)</calculatedColumnFormula>
    </tableColumn>
    <tableColumn id="76" xr3:uid="{C48AAAFB-A01A-490F-9F02-30BD9CC7B561}" name="T-WO-val" dataDxfId="323">
      <calculatedColumnFormula>MAX(AE3,BY3)</calculatedColumnFormula>
    </tableColumn>
    <tableColumn id="77" xr3:uid="{0E8583F4-3566-488E-BBC7-F1E1EBEA6982}" name="T-EQ-val" dataDxfId="322">
      <calculatedColumnFormula>MAX(AF3,BZ3)</calculatedColumnFormula>
    </tableColumn>
    <tableColumn id="78" xr3:uid="{AA714F0B-02F4-40CA-AFC9-31E73860D4DA}" name="T-SUM" dataDxfId="321">
      <calculatedColumnFormula>SUM(OFFSET($CF3,0,0,1,COLUMNS($CF:$CJ)))</calculatedColumnFormula>
    </tableColumn>
    <tableColumn id="79" xr3:uid="{7A2E11C0-A825-4157-B4DE-AC91FC0FC82F}" name="T-RAP-Calculated" dataDxfId="320">
      <calculatedColumnFormula>IFERROR(VLOOKUP($CK3,Definitions!$V:$W,COLUMNS(Definitions!$V:$W),TRUE),"")</calculatedColumnFormula>
    </tableColumn>
    <tableColumn id="80" xr3:uid="{618C35E8-4432-4D29-8EC6-9FE08280DDC4}" name="T-RAP-Inline" dataDxfId="319">
      <calculatedColumnFormula>_xlfn.LET(
_xlpm._comments,SimpleLookup($A3,Tracing!$B:$AB),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calculatedColumnFormula>
    </tableColumn>
    <tableColumn id="81" xr3:uid="{64E03F34-0971-45F5-934B-27260EFD52EC}" name="T-RAP" dataDxfId="318">
      <calculatedColumnFormula array="1">_xlfn.LET(
_xlpm._rapRange,Definitions!$W:$W,
_xlpm._calculatedRAP,$CL3,
_xlpm._inlineRAP,$CM3,
_xlpm._calculatedRAPValue,IF(_xlpm._calculatedRAP="",0,MATCH(_xlpm._calculatedRAP,_xlpm._rapRange,0)),
_xlpm._inlineRAPValue,IF(_xlpm._inlineRAP="",0,MATCH(_xlpm._inlineRAP,_xlpm._rapRange,0)),
_xlpm._maxRAP,MAX(_xlpm._calculatedRAPValue,_xlpm._inlineRAPValue),
IF(_xlpm._maxRAP=0,"",INDEX(_xlpm._rapRange,_xlpm._maxRAP)))</calculatedColumnFormula>
    </tableColumn>
    <tableColumn id="82" xr3:uid="{0A8A6516-871C-4583-84CC-37DBB8DD01A1}" name="T-Risk Level" dataDxfId="317">
      <calculatedColumnFormula>IFERROR(IF(OR($BP3="",$CN3=""),
Definitions!$AE$4,
VLOOKUP($BP3,Definitions!$AH:$AM,MATCH($CN3,Definitions!$AH$3:$AM$3,0),FALSE)),
"")</calculatedColumnFormula>
    </tableColumn>
    <tableColumn id="83" xr3:uid="{E177740E-F574-44DA-950E-4B0F3876B6D9}" name="T-Risk Value" dataDxfId="316">
      <calculatedColumnFormula array="1">IF($CO3="",0,SimpleLookup($CO3,Definitions!$AE:$AF))</calculatedColumnFormula>
    </tableColumn>
    <tableColumn id="61" xr3:uid="{E92BA750-A6E4-4E39-87F5-AD27FDBB2574}" name="Is last risk?" dataDxfId="315">
      <calculatedColumnFormula>OR(AND($S3,$I3=Helper!$B$7),$I3&gt;Helper!$B$7)</calculatedColumnFormula>
    </tableColumn>
    <tableColumn id="62" xr3:uid="{0D6342D4-9C6D-40E4-B328-27DECD3112DA}" name="QI Text Table Too Small" dataDxfId="314">
      <calculatedColumnFormula>IF(NOT(OR($CQ3,AND(NOT($CQ3),OFFSET($CQ3,1,0)&lt;&gt;""))),"Please enlarge the table!","")</calculatedColumnFormula>
    </tableColumn>
    <tableColumn id="63" xr3:uid="{D10C34BF-39A0-4119-B990-3D5660D476DD}" name="QI ID Table Too Small" dataDxfId="313">
      <calculatedColumnFormula array="1">CreateID($CS$2,$CV:$CV,$CR3&lt;&gt;"")</calculatedColumnFormula>
    </tableColumn>
    <tableColumn id="66" xr3:uid="{F32A3731-951F-4D6A-92DF-D0A075E191B9}" name="QI Missing Risk Text" dataDxfId="312">
      <calculatedColumnFormula>IF(IFERROR(MATCH(","&amp;A3&amp;",",'Risk Treatment'!$AT:$AT,0)&gt;0,FALSE),"",$A3)</calculatedColumnFormula>
    </tableColumn>
    <tableColumn id="67" xr3:uid="{751B4DE1-8EC1-4FB1-AF0E-C08F1ED5F05F}" name="QI Missing Risk ID" dataDxfId="311">
      <calculatedColumnFormula array="1">CreateID($CU$2,$CU:$CU,$CT3&lt;&gt;"")</calculatedColumnFormula>
    </tableColumn>
  </tableColumns>
  <tableStyleInfo name="DarkCustom"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1586E8-292F-4B21-8FC9-0C6683106FD9}" name="Table18" displayName="Table18" ref="A2:AN43" totalsRowShown="0" headerRowDxfId="310" dataDxfId="309">
  <autoFilter ref="A2:AN43" xr:uid="{1E1586E8-292F-4B21-8FC9-0C6683106FD9}"/>
  <tableColumns count="40">
    <tableColumn id="1" xr3:uid="{0D605A5B-CCB9-47B6-B402-765C0FAFA0BC}" name="AS ID" dataDxfId="308">
      <calculatedColumnFormula array="1">IF($R3=0,"",INDEX('Attack Steps'!A:A,$R3))</calculatedColumnFormula>
    </tableColumn>
    <tableColumn id="4" xr3:uid="{6ECB78E3-DA2C-41AE-9296-A1F5A92AFFC7}" name="Attack Step" dataDxfId="307">
      <calculatedColumnFormula array="1">IF($R3=0,"",INDEX('Attack Steps'!B:B,$R3))</calculatedColumnFormula>
    </tableColumn>
    <tableColumn id="21" xr3:uid="{B2CCEC3F-BD8F-498C-B0AE-8F3544A97C7A}" name="Diplay at most # APs (empty = all)" dataDxfId="306">
      <calculatedColumnFormula>3</calculatedColumnFormula>
    </tableColumn>
    <tableColumn id="38" xr3:uid="{0A7F3D51-20C1-4008-8492-E083DF62BC20}" name="Dominating Attack Paths " dataDxfId="305">
      <calculatedColumnFormula array="1">_xlfn.LET(
_xlpm._displayLimit,$C3,
_xlpm._risks,$S3,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calculatedColumnFormula>
    </tableColumn>
    <tableColumn id="6" xr3:uid="{E1E19956-44A2-47D4-B868-6767784A9CCE}" name="Highest Risk with this_x000a_Attack Step" dataDxfId="304">
      <calculatedColumnFormula array="1">_xlfn.LET(_xlpm._riskValue,CalculateMaxFromList($T3,0,Risks!$A:$AJ),
INDEX(Definitions!$AE:$AE,MATCH(_xlpm._riskValue,Definitions!$AF:$AF,0)))</calculatedColumnFormula>
    </tableColumn>
    <tableColumn id="7" xr3:uid="{9FCB3063-4002-4ABA-948A-44CB74A5913A}" name="Proposed Counter-measures" dataDxfId="303">
      <calculatedColumnFormula array="1">IF($A3="","",SUBSTITUTE(RemoveDelimiter(SanitizeInput(SimpleLookup($A3,'Attack Steps'!$A:$AE)),","),",",", "))</calculatedColumnFormula>
    </tableColumn>
    <tableColumn id="19" xr3:uid="{79E6C916-11DD-4DC7-9169-5830E302AE20}" name="Proposed Active Assumptions" dataDxfId="302">
      <calculatedColumnFormula array="1">IF($A3="","",SUBSTITUTE(RemoveDelimiter(SanitizeInput(SimpleLookup($A3,'Attack Steps'!$A:$AF)),","),",",", "))</calculatedColumnFormula>
    </tableColumn>
    <tableColumn id="20" xr3:uid="{8286EE9F-450E-4937-BEFE-A2D72F200224}" name="Potential Additional Assumptions" dataDxfId="301">
      <calculatedColumnFormula array="1">IF($A3="","",_xlfn.LET(
_xlpm._proposedActive,SanitizeInput($G3),
_xlpm._proposedAll,SimpleLookup($A3,'Attack Steps'!$A:$AG),
_xlpm._proposedDiff,FilterElementsFromList(_xlpm._proposedAll,_xlpm._proposedActive,FALSE,","),
SUBSTITUTE(RemoveDelimiter(SanitizeInput(_xlpm._proposedDiff),","),",",", ")))</calculatedColumnFormula>
    </tableColumn>
    <tableColumn id="11" xr3:uid="{3C1941C6-C4BE-4B93-969B-4B9AB5601130}" name="Proposed Countermeasures and Assumptions" dataDxfId="300">
      <calculatedColumnFormula array="1">RemoveDelimiter(GetValuesWithFallback(SanitizeInput($F3)&amp;SanitizeInput($G3)&amp;SanitizeInput($H3),Countermeasures!$A:$B,Assumptions!$A:$B," ",","&amp;CHAR(10),TRUE),","&amp;CHAR(10))</calculatedColumnFormula>
    </tableColumn>
    <tableColumn id="9" xr3:uid="{3CDC5C25-AA0F-479F-A232-7A035304EB6F}" name="C and A IDs" dataDxfId="299"/>
    <tableColumn id="10" xr3:uid="{9CF4BC42-A908-4ADF-AF1F-90EDCC731E46}" name="Countermeasures and Assumptions" dataDxfId="298">
      <calculatedColumnFormula array="1">RemoveDelimiter(GetValuesWithFallback(SanitizeInput($J3),Countermeasures!$A:$B,Assumptions!$A:$B," ",","&amp;CHAR(10),TRUE),","&amp;CHAR(10))</calculatedColumnFormula>
    </tableColumn>
    <tableColumn id="22" xr3:uid="{648A62A9-2384-4389-8020-BD8A7F723064}" name="Diplay at most # APs_x000a_(empty = all) " dataDxfId="297">
      <calculatedColumnFormula>3</calculatedColumnFormula>
    </tableColumn>
    <tableColumn id="37" xr3:uid="{3ABA6933-2CEF-43DD-8B0E-56D93C7FA8BC}" name="Dominating Attack Paths" dataDxfId="296">
      <calculatedColumnFormula array="1">_xlfn.LET(
_xlpm._displayLimit,$L3,
_xlpm._risks,$V3,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calculatedColumnFormula>
    </tableColumn>
    <tableColumn id="12" xr3:uid="{98708134-3FCB-4F27-B7C5-85B3493A07A8}" name="Highest Remaining Risk with this_x000a_Attack Step" dataDxfId="295">
      <calculatedColumnFormula>INDEX(Definitions!$AE:$AE,MATCH($W3,Definitions!$AF:$AF,0))</calculatedColumnFormula>
    </tableColumn>
    <tableColumn id="5" xr3:uid="{BA083CCE-F5FD-4CF3-BD9D-0589066ED612}" name="Comment_x000a_To add a control or assumption:_x000a_{&lt;C or A&gt; &lt;Name&gt;[: &lt;RAP&gt;]}_x000a_RAP Options: Basic, Enhanced-Basic, Moderate, High, Beyond High" dataDxfId="294"/>
    <tableColumn id="2" xr3:uid="{E4478E06-B838-44E0-8AFF-20D2E158BEFD}" name="Shadow ID" dataDxfId="293">
      <calculatedColumnFormula array="1">GenerateShadowID(ROW(),$P$2,$P:$P,0,$A3&lt;&gt;"")</calculatedColumnFormula>
    </tableColumn>
    <tableColumn id="40" xr3:uid="{D40AF293-F869-40E0-ACDC-E6FCF75D5BB7}" name="Task ID" dataDxfId="292">
      <calculatedColumnFormula array="1">CreateTaskID($Q$2,$Q:$Q,Tasks!$B$17,$O3)</calculatedColumnFormula>
    </tableColumn>
    <tableColumn id="3" xr3:uid="{95E41F55-0CC3-4E1F-85DE-1BD39A593340}" name="Row" dataDxfId="291">
      <calculatedColumnFormula>IFERROR(MATCH(ROW()-ROW($R$2),'Attack Steps'!$Q:$Q,0),0)</calculatedColumnFormula>
    </tableColumn>
    <tableColumn id="39" xr3:uid="{451CF008-6D64-4978-ACAF-3BCD86D30656}" name="Dominating Risks Initial" dataDxfId="290">
      <calculatedColumnFormula array="1">CalculateMaxAndElements($T3,0,"",Risks!$A:$AJ)</calculatedColumnFormula>
    </tableColumn>
    <tableColumn id="23" xr3:uid="{BE568EBE-06C8-4016-B9B1-EC784F30068B}" name="Risks" dataDxfId="289">
      <calculatedColumnFormula array="1">InverseLookup($A3,Risks!$AI$2,Risks!$A$2,1,Helper!$B$1,",")</calculatedColumnFormula>
    </tableColumn>
    <tableColumn id="34" xr3:uid="{38BE368E-1B48-4579-915E-8F88F528B460}" name="C&amp;A Search" dataDxfId="288">
      <calculatedColumnFormula>IF($T3="","",","&amp;$T3)</calculatedColumnFormula>
    </tableColumn>
    <tableColumn id="35" xr3:uid="{9E3D8A3B-19C5-4120-84BC-A19E0FDD8DD4}" name="N-Risk" dataDxfId="287">
      <calculatedColumnFormula array="1">CalculateMaxAndElements($T3,0,"",Risks!$A:$BK)</calculatedColumnFormula>
    </tableColumn>
    <tableColumn id="36" xr3:uid="{F1101795-8FE5-405A-8F90-14675CA203B9}" name="N-Risk Value" dataDxfId="286">
      <calculatedColumnFormula>IF($V3="","",VALUE(LEFT($V3,FIND(":",$V3)-1)))</calculatedColumnFormula>
    </tableColumn>
    <tableColumn id="8" xr3:uid="{2670F1D6-D29A-4D1B-B3AF-4919D2598310}" name="Mitigation Search" dataDxfId="285">
      <calculatedColumnFormula array="1">IF($J3="","",","&amp;SanitizeInput($J3))</calculatedColumnFormula>
    </tableColumn>
    <tableColumn id="13" xr3:uid="{8EA693EF-B6A7-4AB0-8711-11723A107127}" name="Active Attack Step" dataDxfId="284">
      <calculatedColumnFormula array="1">INDEX('Attack Steps'!$AI:$AI,$R3)</calculatedColumnFormula>
    </tableColumn>
    <tableColumn id="14" xr3:uid="{843AF9F8-0254-4C7F-B3F6-7ADAB9341C93}" name="Additional Assumption ID" dataDxfId="283">
      <calculatedColumnFormula array="1">CreateID($Z$2,$Z:$Z,IFERROR(FIND(Definitions!$AR$4,$O3)&gt;0,FALSE))</calculatedColumnFormula>
    </tableColumn>
    <tableColumn id="15" xr3:uid="{01568FAC-25D1-48AF-9C19-B358F618276F}" name="# Additional Assumptions" dataDxfId="282">
      <calculatedColumnFormula>_xlfn.LET(
_xlpm._comment,$O3,
_xlpm._keyWord,Definitions!$AR$4,
_xlpm._diffLen,LEN(_xlpm._comment)-LEN(SUBSTITUTE(_xlpm._comment,_xlpm._keyWord,"")),
_xlpm._diffLen/LEN(_xlpm._keyWord))</calculatedColumnFormula>
    </tableColumn>
    <tableColumn id="16" xr3:uid="{DB228F7E-13C4-4EA8-82CF-9D75DBB2B363}" name="Additional Countermeasure ID" dataDxfId="281">
      <calculatedColumnFormula array="1">CreateID($AB$2,$AB:$AB,IFERROR(FIND(Definitions!$AR$5,$O3)&gt;0,FALSE))</calculatedColumnFormula>
    </tableColumn>
    <tableColumn id="17" xr3:uid="{BB7733EF-5D91-4124-A440-20EFAD29C47C}" name="# Additional Countermeasures" dataDxfId="280">
      <calculatedColumnFormula>_xlfn.LET(
_xlpm._comment,$O3,
_xlpm._keyWord,Definitions!$AR$5,
_xlpm._diffLen,LEN(_xlpm._comment)-LEN(SUBSTITUTE(_xlpm._comment,_xlpm._keyWord,"")),
_xlpm._diffLen/LEN(_xlpm._keyWord))</calculatedColumnFormula>
    </tableColumn>
    <tableColumn id="18" xr3:uid="{D5F76828-7345-437F-8A5C-D1E39D10987A}" name="Assigned C&amp;A Search" dataDxfId="279">
      <calculatedColumnFormula array="1">CreateSearchString($J3)</calculatedColumnFormula>
    </tableColumn>
    <tableColumn id="24" xr3:uid="{435F8DED-FC9E-4ED0-B0B6-94E7A3675990}" name="QI Mitigation and Proposal Do Not Match Text" dataDxfId="278">
      <calculatedColumnFormula array="1">_xlfn.LET(
_xlpm._selected,SanitizeInput($J3),
_xlpm._catalogOptions,SanitizeInput($F3)&amp;SanitizeInput($G3)&amp;SanitizeInput($H3),
_xlpm._selectedNotInOptions,FilterElementsFromList(_xlpm._selected,_xlpm._catalogOptions,FALSE,","),
IF(_xlpm._selectedNotInOptions="","",$A3&amp;" "&amp;$B3&amp;": "&amp;SUBSTITUTE(RemoveDelimiter(_xlpm._selectedNotInOptions,","),",",", ")))</calculatedColumnFormula>
    </tableColumn>
    <tableColumn id="25" xr3:uid="{55757DDE-A459-4B6C-9C3D-8DF27361D0E1}" name="QI Mitigation ID" dataDxfId="277">
      <calculatedColumnFormula array="1">CreateID($AF$2,$AF:$AF,$AE3&lt;&gt;"")</calculatedColumnFormula>
    </tableColumn>
    <tableColumn id="26" xr3:uid="{138DED28-E7E7-48B0-85FD-BD60A410D08D}" name="Additional Mitigations" dataDxfId="276">
      <calculatedColumnFormula array="1">_xlfn.LET(
_xlpm._delimiter,","&amp;CHAR(10),
_xlpm._assumptions,ParseAllMitigationsFromComment($A3,"-","A",$O3,Definitions!$AR$4,Definitions!$AS$4,Definitions!$AR$6,_xlpm._delimiter,1),
_xlpm._countermeasures,ParseAllMitigationsFromComment($A3,"-","C",$O3,Definitions!$AR$5,Definitions!$AS$5,Definitions!$AR$6,_xlpm._delimiter,1),
IF(_xlpm._countermeasures="",RemoveDelimiter(_xlpm._assumptions,_xlpm._delimiter),_xlpm._assumptions&amp;RemoveDelimiter(_xlpm._countermeasures,_xlpm._delimiter)))</calculatedColumnFormula>
    </tableColumn>
    <tableColumn id="29" xr3:uid="{0CB93791-F47A-407E-BCDE-A29B79376474}" name="C27 Search" dataDxfId="275">
      <calculatedColumnFormula array="1">CreateSearchString(SanitizeInput($J3)&amp;GetValuesIgnoreErrors(SanitizeInput($J3),Countermeasures!$A:$G,"",",",FALSE))</calculatedColumnFormula>
    </tableColumn>
    <tableColumn id="27" xr3:uid="{85DD36FE-DF47-4FB1-84E4-FD8EA358ADEE}" name="QI QA11 and C27 inconsistent Text" dataDxfId="274">
      <calculatedColumnFormula array="1">IF(AND(IFERROR(FIND(","&amp;Countermeasures!$A$30&amp;",",$AH3)&gt;0,FALSE),Countermeasures!$AF$30=TRUE,SimpleLookup(Questions!$A$48,Questionnaire!$A:$C)=Definitions!$A$5),$A3&amp;" "&amp;$B3,"")</calculatedColumnFormula>
    </tableColumn>
    <tableColumn id="28" xr3:uid="{969ADB02-D011-4BB2-B9B5-4BD36C6567E3}" name="QI QA11 and C27 inconsistent ID" dataDxfId="273">
      <calculatedColumnFormula array="1">CreateID($AJ$2,$AJ:$AJ,$AI3&lt;&gt;"")</calculatedColumnFormula>
    </tableColumn>
    <tableColumn id="30" xr3:uid="{53E897AD-E0D1-494F-99C6-528DB95384CF}" name="QI Mitigation Assigned to Inactive AS Text" dataDxfId="272">
      <calculatedColumnFormula>IF(AND($Y3=FALSE,$J3&lt;&gt;""),$A3&amp;" "&amp;$B3,"")</calculatedColumnFormula>
    </tableColumn>
    <tableColumn id="31" xr3:uid="{0E74F3CD-953A-4E59-B97E-42706070FBA2}" name="QI Mitigation Assigned to Inactive AS ID" dataDxfId="271">
      <calculatedColumnFormula array="1">CreateID($AL$2,$AL:$AL,$AK3&lt;&gt;"")</calculatedColumnFormula>
    </tableColumn>
    <tableColumn id="32" xr3:uid="{2E64D96E-E3DA-4A7F-86BA-E722C3E1B579}" name="QI ID Error Text" dataDxfId="270">
      <calculatedColumnFormula>IF(IFERROR(FIND("ERROR:",$K3)&gt;0,FALSE),$A3&amp;" "&amp;$B3,"")</calculatedColumnFormula>
    </tableColumn>
    <tableColumn id="33" xr3:uid="{41A08AD0-AA4D-4403-96D3-14882B000BD2}" name="QI ID Error ID" dataDxfId="269">
      <calculatedColumnFormula array="1">CreateID($AN$2,$AN:$AN,$AM3&lt;&gt;"")</calculatedColumnFormula>
    </tableColumn>
  </tableColumns>
  <tableStyleInfo name="DarkCustom"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5FAF794-7F53-49AE-A371-226F75A2D420}" name="Table14" displayName="Table14" ref="C4:AW5" totalsRowShown="0" headerRowDxfId="268" dataDxfId="267">
  <autoFilter ref="C4:AW5" xr:uid="{25FAF794-7F53-49AE-A371-226F75A2D420}"/>
  <tableColumns count="47">
    <tableColumn id="1" xr3:uid="{20F6A696-D529-41E4-AB51-4842D042A777}" name="R ID" dataDxfId="266"/>
    <tableColumn id="2" xr3:uid="{2F3B36F2-2F94-4B77-94A1-B54A216E5704}" name="Attack Path" dataDxfId="265">
      <calculatedColumnFormula array="1">IF($C5="","",IF($W5=-1,"ERROR: Unknown ID: "&amp;$C5,INDEX(Risks!B:B,$W5)))</calculatedColumnFormula>
    </tableColumn>
    <tableColumn id="3" xr3:uid="{2F28C638-E55B-4563-A07D-6A6851770A3F}" name="Damage Scenarios" dataDxfId="264">
      <calculatedColumnFormula array="1">IF($W5=-1,"",INDEX(Risks!C:C,$W5))</calculatedColumnFormula>
    </tableColumn>
    <tableColumn id="4" xr3:uid="{D64577D3-05B5-4DF3-9F8E-74AA9EEC826C}" name="Damage Level" dataDxfId="263">
      <calculatedColumnFormula array="1">IF($W5=-1,"",INDEX(Risks!D:D,$W5))</calculatedColumnFormula>
    </tableColumn>
    <tableColumn id="29" xr3:uid="{914AE4ED-9083-4D2C-88C0-96B297B125EE}" name="Factor Explanation " dataDxfId="262">
      <calculatedColumnFormula array="1">IF($C5="","",_xlfn.LET(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_xlpm._factorFunction($C5,Risks!$A:W,Definitions!$Y:$Y,Definitions!$AB:$AB,1)&amp;CHAR(10)&amp;
_xlpm._factorFunction($C5,Risks!$A:X,Definitions!$Y:$Y,Definitions!$AB:$AB,2)&amp;CHAR(10)&amp;
_xlpm._factorFunction($C5,Risks!$A:Y,Definitions!$Y:$Y,Definitions!$AB:$AB,3)&amp;CHAR(10)&amp;
_xlpm._factorFunction($C5,Risks!$A:Z,Definitions!$Y:$Y,Definitions!$AB:$AB,4)&amp;CHAR(10)&amp;
_xlpm._factorFunction($C5,Risks!$A:AA,Definitions!$Y:$Y,Definitions!$AB:$AB,5)))</calculatedColumnFormula>
    </tableColumn>
    <tableColumn id="5" xr3:uid="{2CD66465-88F6-4B6E-B0B9-DF6216CC16C8}" name="RAP" dataDxfId="261">
      <calculatedColumnFormula array="1">IF($W5=-1,"",INDEX(Risks!F:F,$W5))</calculatedColumnFormula>
    </tableColumn>
    <tableColumn id="6" xr3:uid="{E62E7A7A-A455-446F-A7CE-6087A7EA4898}" name="Risk Level" dataDxfId="260">
      <calculatedColumnFormula array="1">IF($W5=-1,"",INDEX(Risks!G:G,$W5))</calculatedColumnFormula>
    </tableColumn>
    <tableColumn id="15" xr3:uid="{29B54699-5336-45BA-BFD7-F97D0F8DE470}" name="Countermeasures and Assumptions" dataDxfId="259">
      <calculatedColumnFormula array="1">_xlfn.LET(
_xlpm._assignedMitigations,IF($C5="","",IFERROR(RemoveDelimiter(GetValuesWithFallback($AW5,Countermeasures!$A:$B,Assumptions!$A:$B," ",","&amp;CHAR(10),TRUE),","&amp;CHAR(10)),"Error: Unknown risk ID "&amp;$C5)),
_xlpm._inlineMitigations,$AQ5,
_xlpm._assignedMitigations&amp;
IF(OR(_xlpm._assignedMitigations="",_xlpm._inlineMitigations=""),"",","&amp;CHAR(10))&amp;
_xlpm._inlineMitigations)</calculatedColumnFormula>
    </tableColumn>
    <tableColumn id="18" xr3:uid="{5B1BF5B6-12D1-482B-B500-FEF3A9CA3E4B}" name="Damage Scenarios " dataDxfId="258">
      <calculatedColumnFormula array="1">IF($W5=-1,"",RemoveDelimiter(GetValues(INDEX(Risks!O:O,$W5),'DS Overview'!$A:$B," ",","&amp;CHAR(10),TRUE),","&amp;CHAR(10)))</calculatedColumnFormula>
    </tableColumn>
    <tableColumn id="12" xr3:uid="{239ED527-2A65-4C55-B9B0-9B785C646C83}" name="Damage Level " dataDxfId="257">
      <calculatedColumnFormula array="1">IF($C5="","",SimpleLookup($C5,Risks!$A:$V))</calculatedColumnFormula>
    </tableColumn>
    <tableColumn id="28" xr3:uid="{44A1E103-0C59-4654-AF0D-C07CA4149DCE}" name="Factor Explanation" dataDxfId="256">
      <calculatedColumnFormula array="1">_xlfn.LET(
_xlpm._calculatedRAP,IFERROR(SimpleLookup($C5,Risks!$A:$BG),""),
_xlpm._inlineRAP,IFERROR(SimpleLookup($C5,Risks!$A:$BH),""),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IF(_xlpm._calculatedValue&gt;=_xlpm._inlineValue,$AP5,
_xlpm._mitigationSheetName&amp;" sheet "&amp;_xlfn.UNICHAR(8702)&amp;" Comment column:"&amp;CHAR(10)&amp;$AQ5)))</calculatedColumnFormula>
    </tableColumn>
    <tableColumn id="13" xr3:uid="{55B97DF0-0709-489E-BC3E-F36D7676D9D4}" name="RAP " dataDxfId="255">
      <calculatedColumnFormula array="1">IF($C5="","",SimpleLookup($C5,Risks!$A:$BI))</calculatedColumnFormula>
    </tableColumn>
    <tableColumn id="14" xr3:uid="{4C9C6200-B8DD-436A-970D-49A5C22966A9}" name="Remaining Risk Level " dataDxfId="254">
      <calculatedColumnFormula array="1">IF($C5="","",SimpleLookup($C5,Risks!$A:$BJ))</calculatedColumnFormula>
    </tableColumn>
    <tableColumn id="21" xr3:uid="{30AF35FA-68EC-45D4-9A8B-3E8C5B20C1CE}" name="Risk Treatment Proposal" dataDxfId="253">
      <calculatedColumnFormula>IF($C5="","",IF($AA5&lt;=Definitions!$AF$6,Definitions!$M$4,""))</calculatedColumnFormula>
    </tableColumn>
    <tableColumn id="20" xr3:uid="{37ACC67B-C880-4988-B0A8-AC173A594185}" name="Manual Risk Treatment" dataDxfId="252"/>
    <tableColumn id="19" xr3:uid="{3E586777-F2E9-4038-A053-146F8F5DC9B5}" name="Risk Treatment Decision" dataDxfId="251">
      <calculatedColumnFormula>IF($Q5="",$P5,$Q5)</calculatedColumnFormula>
    </tableColumn>
    <tableColumn id="22" xr3:uid="{28EF1F57-DD63-4C6B-B73E-5D2CF9C30D8E}" name="Risk Treatment Rationale / Explanation" dataDxfId="250"/>
    <tableColumn id="7" xr3:uid="{F75CB738-9372-4E88-885C-BDC3B7549286}" name="Comment" dataDxfId="249"/>
    <tableColumn id="8" xr3:uid="{DBCEA39E-8965-48DF-8A73-821479E2D20A}" name="Shadow ID" dataDxfId="248">
      <calculatedColumnFormula array="1">GenerateShadowID(ROW(),$U$4,$U:$U,0,C5&lt;&gt;"")</calculatedColumnFormula>
    </tableColumn>
    <tableColumn id="9" xr3:uid="{59668012-AC49-4722-B0DF-1A72D8D04F9A}" name="Task ID" dataDxfId="247">
      <calculatedColumnFormula array="1">CreateTaskID($V$4,$V:$V,Tasks!$B$17,$T5)</calculatedColumnFormula>
    </tableColumn>
    <tableColumn id="10" xr3:uid="{96739635-D4E0-42D7-A9F4-2FDF55213656}" name="Row" dataDxfId="246">
      <calculatedColumnFormula>IFERROR(MATCH($C5,Risks!$A:$A,0),-1)</calculatedColumnFormula>
    </tableColumn>
    <tableColumn id="11" xr3:uid="{C4B8A31F-9D65-4A6F-A18C-0B5103084FC9}" name="All IDs" dataDxfId="245">
      <calculatedColumnFormula array="1">IF(ROW()=ROW($X$4)+1,"",INDEX($X:$X,ROW()-1))&amp;IF($C5="","",$C5&amp;",")</calculatedColumnFormula>
    </tableColumn>
    <tableColumn id="16" xr3:uid="{62815361-8DEC-408E-ABFB-C3901E14934C}" name="AS IDs" dataDxfId="244">
      <calculatedColumnFormula array="1">IF($W5=-1,"",INDEX(Risks!K:K,$W5))</calculatedColumnFormula>
    </tableColumn>
    <tableColumn id="17" xr3:uid="{BC88EBE8-E6DB-4CCE-A706-98AD23C4027E}" name="Countermeasure IDs" dataDxfId="243">
      <calculatedColumnFormula array="1">GetValues($Y5,'Attack Steps'!$A:$AE,"","",FALSE)</calculatedColumnFormula>
    </tableColumn>
    <tableColumn id="23" xr3:uid="{6265DBCA-27CC-4BC4-BAF6-8F23F56C20C5}" name="RL Value" dataDxfId="242">
      <calculatedColumnFormula array="1">IF($O5="",0,SimpleLookup($O5,Definitions!$AE:$AF))</calculatedColumnFormula>
    </tableColumn>
    <tableColumn id="26" xr3:uid="{52BCB431-2571-4D6B-BA49-F3A8138968D5}" name="[QI Text] Missing Rationale" dataDxfId="241">
      <calculatedColumnFormula>IF(AND($Q5&lt;&gt;"",$S5=""),$C5&amp;" "&amp;$D5,"")</calculatedColumnFormula>
    </tableColumn>
    <tableColumn id="24" xr3:uid="{81C0E997-E091-4207-8F30-A9D4DA35D730}" name="[QI ID] Missing Rationale" dataDxfId="240">
      <calculatedColumnFormula array="1">CreateID($AC$4,$AC:$AC,AND($C5&lt;&gt;"",$AB5&lt;&gt;""))</calculatedColumnFormula>
    </tableColumn>
    <tableColumn id="25" xr3:uid="{32B4B0A7-5E74-4307-AC3E-0A9D23094048}" name="QI Text No Risk Treatment" dataDxfId="239">
      <calculatedColumnFormula>IF(AND($P5="",$Q5=""),$C5&amp;" "&amp;$D5,"")</calculatedColumnFormula>
    </tableColumn>
    <tableColumn id="27" xr3:uid="{A078A2A6-D457-44D4-9BC9-0B13CD28D34E}" name="QI ID No Risk Treatment" dataDxfId="238">
      <calculatedColumnFormula array="1">CreateID($AE$4,$AE:$AE,AND($C5&lt;&gt;"",$AD5&lt;&gt;""))</calculatedColumnFormula>
    </tableColumn>
    <tableColumn id="30" xr3:uid="{8295C635-DE2C-4D9D-86B4-68A3CA16B7A9}" name="Annex I 1.3 Search (Treatment not Accept)" dataDxfId="237">
      <calculatedColumnFormula array="1">_xlfn.LET(
_xlpm._letters,IF(AND($R5&lt;&gt;"",$R5&lt;&gt;Definitions!$M$4),SimpleLookup(SimpleLookup($C5,Risks!$A:$L),'Attack Steps'!$A:$O),""),
IF(_xlpm._letters="","",","&amp;SanitizeInput(_xlpm._letters)))</calculatedColumnFormula>
    </tableColumn>
    <tableColumn id="31" xr3:uid="{60406E9B-3040-41FD-8F48-781987570BC4}" name="Annex I 1.3 Text" dataDxfId="236">
      <calculatedColumnFormula>IF($AF5="","",$C5&amp;" ["&amp;$R5&amp;"]: "&amp;$S5)</calculatedColumnFormula>
    </tableColumn>
    <tableColumn id="32" xr3:uid="{906A9AC2-DBAD-4085-8C9E-AC05C0B8F91C}" name="Additional Assumption ID (Rationale)" dataDxfId="235">
      <calculatedColumnFormula array="1">CreateID($AH$4,$AH:$AH,IFERROR(FIND(Definitions!$AR$4,$S5)&gt;0,FALSE))</calculatedColumnFormula>
    </tableColumn>
    <tableColumn id="33" xr3:uid="{73199F9C-BB60-4D47-B3AD-AFA628A956C7}" name="# Additional Assumptions (Rationale)" dataDxfId="234">
      <calculatedColumnFormula>_xlfn.LET(
_xlpm._comment,$S5,
_xlpm._keyWord,Definitions!$AR$4,
_xlpm._diffLen,LEN(_xlpm._comment)-LEN(SUBSTITUTE(_xlpm._comment,_xlpm._keyWord,"")),
_xlpm._diffLen/LEN(_xlpm._keyWord))</calculatedColumnFormula>
    </tableColumn>
    <tableColumn id="34" xr3:uid="{64A09D42-EC7B-40BD-B055-30B8970F27E3}" name="Additional Assumption ID (Comment)" dataDxfId="233">
      <calculatedColumnFormula array="1">CreateID($AJ$4,$AJ:$AJ,IFERROR(FIND(Definitions!$AR$4,$T5)&gt;0,FALSE))</calculatedColumnFormula>
    </tableColumn>
    <tableColumn id="35" xr3:uid="{C8DB4F97-8596-4191-90D1-1D1075E4434A}" name="# Additional Assumptions (Comment)" dataDxfId="232">
      <calculatedColumnFormula>_xlfn.LET(
_xlpm._comment,$T5,
_xlpm._keyWord,Definitions!$AR$4,
_xlpm._diffLen,LEN(_xlpm._comment)-LEN(SUBSTITUTE(_xlpm._comment,_xlpm._keyWord,"")),
_xlpm._diffLen/LEN(_xlpm._keyWord))</calculatedColumnFormula>
    </tableColumn>
    <tableColumn id="36" xr3:uid="{B591F16C-7B08-4440-AE01-05F938635236}" name="Additional Countermeasure ID (Rationale)" dataDxfId="231">
      <calculatedColumnFormula array="1">CreateID($AL$4,$AL:$AL,IFERROR(FIND(Definitions!$AR$5,$S5)&gt;0,FALSE))</calculatedColumnFormula>
    </tableColumn>
    <tableColumn id="37" xr3:uid="{6731AEE6-8E00-4C20-A8AF-0E3D5A844A01}" name="# Additional Countermeasure (Rationale)" dataDxfId="230">
      <calculatedColumnFormula>_xlfn.LET(
_xlpm._comment,$S5,
_xlpm._keyWord,Definitions!$AR$5,
_xlpm._diffLen,LEN(_xlpm._comment)-LEN(SUBSTITUTE(_xlpm._comment,_xlpm._keyWord,"")),
_xlpm._diffLen/LEN(_xlpm._keyWord))</calculatedColumnFormula>
    </tableColumn>
    <tableColumn id="38" xr3:uid="{308EDA64-D714-4E49-8CBE-C322C20D6835}" name="Additional Countermeasure ID (Comment)" dataDxfId="229">
      <calculatedColumnFormula array="1">CreateID($AN$4,$AN:$AN,IFERROR(FIND(Definitions!$AR$5,$T5)&gt;0,FALSE))</calculatedColumnFormula>
    </tableColumn>
    <tableColumn id="39" xr3:uid="{15CC3AB6-2608-4AF4-B7AC-8889445C2B7F}" name="# Additional Countermeasure (Comment)" dataDxfId="228">
      <calculatedColumnFormula>_xlfn.LET(
_xlpm._comment,$T5,
_xlpm._keyWord,Definitions!$AR$5,
_xlpm._diffLen,LEN(_xlpm._comment)-LEN(SUBSTITUTE(_xlpm._comment,_xlpm._keyWord,"")),
_xlpm._diffLen/LEN(_xlpm._keyWord))</calculatedColumnFormula>
    </tableColumn>
    <tableColumn id="40" xr3:uid="{0A9AA3F9-A71E-438B-9C7A-4C02DDD66DC3}" name="Remaining Risk Factor Explanation" dataDxfId="227">
      <calculatedColumnFormula array="1">IF($C5="","",_xlfn.LET(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_xlpm._factorFunction($C5,Risks!$A:AV,Definitions!$Y:$Y,Definitions!$AB:$AB,1)&amp;CHAR(10)&amp;
_xlpm._factorFunction($C5,Risks!$A:AW,Definitions!$Y:$Y,Definitions!$AB:$AB,2)&amp;CHAR(10)&amp;
_xlpm._factorFunction($C5,Risks!$A:AX,Definitions!$Y:$Y,Definitions!$AB:$AB,3)&amp;CHAR(10)&amp;
_xlpm._factorFunction($C5,Risks!$A:AY,Definitions!$Y:$Y,Definitions!$AB:$AB,4)&amp;CHAR(10)&amp;
_xlpm._factorFunction($C5,Risks!$A:AZ,Definitions!$Y:$Y,Definitions!$AB:$AB,5)))</calculatedColumnFormula>
    </tableColumn>
    <tableColumn id="41" xr3:uid="{C477A5FF-3193-4700-BC1D-5C131DBF3251}" name="Inline Mitigations" dataDxfId="226">
      <calculatedColumnFormula array="1">RemoveDelimiter(GetValues($Y5,Mitigation!$A:$AG,"",","&amp;CHAR(10),FALSE),","&amp;CHAR(10))</calculatedColumnFormula>
    </tableColumn>
    <tableColumn id="42" xr3:uid="{4A7F3279-BE62-4863-9F53-55936AAA4B9B}" name="QI Incorrect Risk ID Text" dataDxfId="225">
      <calculatedColumnFormula array="1">IF($C5="","",IF(ISERROR(SimpleLookup($C5,Risks!$A:$A)),$C5,""))</calculatedColumnFormula>
    </tableColumn>
    <tableColumn id="43" xr3:uid="{57874AB1-FC3D-4C12-9207-D90A3969A7DB}" name="QI Incorrect Risk ID ID" dataDxfId="224">
      <calculatedColumnFormula array="1">CreateID($AS$4,$AS:$AS,$AR5&lt;&gt;"")</calculatedColumnFormula>
    </tableColumn>
    <tableColumn id="47" xr3:uid="{40342AE8-E634-4973-990A-FB344CC2E65F}" name="Risk ID Search" dataDxfId="223">
      <calculatedColumnFormula array="1">CreateSearchString($C5)</calculatedColumnFormula>
    </tableColumn>
    <tableColumn id="44" xr3:uid="{D68EF1DB-8247-4B0B-9CEA-161BBFC1DFD5}" name="QI Duplicate Risk ID Text" dataDxfId="222">
      <calculatedColumnFormula>IF($C5="","",IF(MATCH($C5,$C:$C,0)=ROW($C5),"",$C5))</calculatedColumnFormula>
    </tableColumn>
    <tableColumn id="45" xr3:uid="{640455FE-86FB-41C2-BDB7-2121E8E1DD71}" name="QI Duplicate Risk ID" dataDxfId="221">
      <calculatedColumnFormula array="1">CreateID($AV$4,$AV:$AV,$AU5&lt;&gt;"")</calculatedColumnFormula>
    </tableColumn>
    <tableColumn id="46" xr3:uid="{E10DE7BD-AF4D-4795-B8F0-EC9F66D26AF0}" name="Assigned Mitigations" dataDxfId="220">
      <calculatedColumnFormula array="1">IF($C5="","",
_xlfn.LET(_xlpm._ids,SanitizeInput(SimpleLookup($C5,Risks!$A:$AK)),
_xlpm._assumptionIDs,SortList(_xlpm._ids,Assumptions!$A:$T,Helper!$B$6,"",",",TRUE),
_xlpm._countermeasureIDs,SortList(_xlpm._ids,Countermeasures!$A:$T,Helper!$B$4,"",",",TRUE),
_xlpm._sortedIDs,_xlpm._assumptionIDs&amp;_xlpm._countermeasureIDs,
_xlpm._sortedIDs))</calculatedColumnFormula>
    </tableColumn>
  </tableColumns>
  <tableStyleInfo name="DarkCustom"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022DC-48BF-4E06-921E-2393FB49372E}" name="Table267103" displayName="Table267103" ref="A17:AJ101" totalsRowShown="0" headerRowDxfId="219" dataDxfId="218">
  <autoFilter ref="A17:AJ101" xr:uid="{45D5F579-B153-490D-8DA5-723313A84BC5}"/>
  <tableColumns count="36">
    <tableColumn id="1" xr3:uid="{9BDAC4D6-D41B-4936-BE4D-37CE32075F44}" name="ID" dataDxfId="217">
      <calculatedColumnFormula>_xlfn.LET(
_xlpm._isAssumption,$J18,
_xlpm._row,$K18,
_xlpm._numActiveAssumptions,Helper!$B$8,
_xlpm._numActiveCountermeasures,Helper!$B$9,
_xlpm._numAdditionalAssumptions,Helper!$B$10,
_xlpm._numAdditionalCountermeasures,Helper!$B$11,
IF(_xlpm._isAssumption,
IF(_xlpm._row&gt;_xlpm._numActiveAssumptions,
$V18&amp;"-A"&amp;$Q18,
INDEX(Assumptions!A:A,MATCH(_xlpm._row,Assumptions!$AG:$AG,0))),
IF(_xlpm._row&gt;_xlpm._numActiveCountermeasures+_xlpm._numAdditionalCountermeasures,"",
IF(_xlpm._row&gt;_xlpm._numActiveCountermeasures,
$V18&amp;"-C"&amp;$Q18,
INDEX(Countermeasures!$A:$A,MATCH(_xlpm._row,Countermeasures!$AI:$AI,0))))))</calculatedColumnFormula>
    </tableColumn>
    <tableColumn id="2" xr3:uid="{06E79E11-4C55-4433-8B5A-EBB9D087C9F8}" name="Name" dataDxfId="216">
      <calculatedColumnFormula array="1">IF($A18="","",
_xlfn.LET(
_xlpm._isAssumption,$J18,
_xlpm._isAdditionalElement,$L18,
IF(_xlpm._isAdditionalElement,
IF(_xlpm._isAssumption,
ParseElementsFromComment($U18,Definitions!$AR$4,Definitions!$AS$4,Definitions!$AR$6,$Q18),
ParseElementsFromComment($U18,Definitions!$AR$5,Definitions!$AS$5,Definitions!$AR$6,$Q18)),
 _xlfn.LET(_xlpm._value,IF($A18="","",IF($J18,SimpleLookup($A18,Assumptions!$A:$B),SimpleLookup($A18,Countermeasures!$A:$B))),IF(_xlpm._value="","",_xlpm._value)))))</calculatedColumnFormula>
    </tableColumn>
    <tableColumn id="4" xr3:uid="{D351B706-6712-49D2-961F-5E30BE87334D}" name="Stakeholder" dataDxfId="215">
      <calculatedColumnFormula array="1">IF($A18="","",IF($J18,IFERROR(SimpleLookup($A18,Assumptions!$A:$E),""),Definitions!$AO$4))</calculatedColumnFormula>
    </tableColumn>
    <tableColumn id="18" xr3:uid="{318B475C-84BD-42A1-8DA1-EF6C664ECC82}" name="Additional Information" dataDxfId="214">
      <calculatedColumnFormula>_xlfn.LET(
_xlpm._dividerTop,REPT(_xlfn.UNICHAR(9552),63)&amp;CHAR(10),
_xlpm._dividerHeader,CHAR(10)&amp;REPT(CHAR(150),84)&amp;CHAR(10),
_xlpm._relatedQuestions,IF($AA18="","",_xlpm._dividerTop&amp;"Comments of related questions / answers:"&amp;_xlpm._dividerHeader&amp;$AA18),
_xlpm._assignedToAttackSteps,IF($AB18="","",_xlpm._dividerTop&amp;"Assigned to attack steps:"&amp;_xlpm._dividerHeader&amp;$AB18),
_xlpm._definedInContextOfElement,IF($AC18="","",_xlpm._dividerTop&amp;"Defined in the context of:"&amp;_xlpm._dividerHeader&amp;$AC18),
_xlpm._dependantCountermeasures,IF($AD18="","",_xlpm._dividerTop&amp;"Dependency of countermeasures:"&amp;_xlpm._dividerHeader&amp;$AD18),
_xlpm._defaultElementText,IF($AF18="","",_xlpm._dividerTop&amp;"Default "&amp;IF($J18,"assumption","countermeasure")&amp;":"&amp;_xlpm._dividerHeader&amp;$AF18),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calculatedColumnFormula>
    </tableColumn>
    <tableColumn id="24" xr3:uid="{AF7286E0-04A8-42B3-9C28-3FCEC86504AF}" name="Go to ID" dataDxfId="213"/>
    <tableColumn id="29" xr3:uid="{68E197BC-4A89-4C41-A236-0E5AA76BBBF2}" name="Link" dataDxfId="212" dataCellStyle="Hyperlink">
      <calculatedColumnFormula>IF(AND($E18&lt;&gt;"",$AE18=""),"Error: Unknown ID: "&amp;$E18,
IF($A18="","",HYPERLINK("#"&amp;IF($AE18="",$Z18,$AE18),"click me")))</calculatedColumnFormula>
    </tableColumn>
    <tableColumn id="32" xr3:uid="{53304C70-69C1-4AC9-84AC-13B9D228D698}" name="Reference" dataDxfId="211" dataCellStyle="Hyperlink">
      <calculatedColumnFormula array="1">_xlfn.LET(_xlpm._val,IFERROR(SimpleLookup($A18,Countermeasures!$A:$R),IFERROR(SimpleLookup($A18,Assumptions!$A:$R),"")),IF(_xlpm._val="","",_xlpm._val))</calculatedColumnFormula>
    </tableColumn>
    <tableColumn id="7" xr3:uid="{14CCFF67-A935-4604-B91C-8AF4703E4753}" name="Comment" dataDxfId="210">
      <calculatedColumnFormula array="1">_xlfn.LET(_xlpm._value,IF($A18="","",IFERROR(IF($J18,SimpleLookup($A18,Assumptions!$A:$S),SimpleLookup($A18,Countermeasures!$A:$S)),"")),
IF(_xlpm._value="","",_xlpm._value))</calculatedColumnFormula>
    </tableColumn>
    <tableColumn id="3" xr3:uid="{D6100916-7785-4443-8D6C-0FF78B3BBC0B}" name="Shadow ID" dataDxfId="209">
      <calculatedColumnFormula array="1">IF(ROW()=ROW($I$17)+1,0,INDEX($I:$I,ROW()-1))+IF($A18="",0,1)</calculatedColumnFormula>
    </tableColumn>
    <tableColumn id="10" xr3:uid="{A9F86B2A-3922-4542-ADB7-16B49AB470C7}" name="Is Assumption" dataDxfId="208">
      <calculatedColumnFormula>_xlfn.LET(_xlpm._row,ROW()-ROW($K$17),
_xlpm._numActiveAssumptions,Helper!$B$8,
_xlpm._numAdditionalAssumptions,SUM(Table24['# Elements]),
_xlpm._row&lt;=_xlpm._numActiveAssumptions+_xlpm._numAdditionalAssumptions)</calculatedColumnFormula>
    </tableColumn>
    <tableColumn id="9" xr3:uid="{1A218F1B-969E-4AF3-9322-13DC10544CF5}" name="Row" dataDxfId="207">
      <calculatedColumnFormula>_xlfn.LET(_xlpm._row,ROW()-ROW($K$17),
_xlpm._numActiveAssumptions,Helper!$B$8,
_xlpm._numAdditionalAssumptions,Helper!$B$10,
_xlpm._isAssumption,$J18,
_xlpm._elementID,IF(_xlpm._isAssumption,_xlpm._row,_xlpm._row-_xlpm._numActiveAssumptions-_xlpm._numAdditionalAssumptions),
_xlpm._elementID)</calculatedColumnFormula>
    </tableColumn>
    <tableColumn id="5" xr3:uid="{59C4CD10-5FAD-422A-A6A1-F6B1430096E9}" name="Is Additional Element" dataDxfId="206">
      <calculatedColumnFormula>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calculatedColumnFormula>
    </tableColumn>
    <tableColumn id="6" xr3:uid="{FEDE7A8A-A1BC-44D8-B832-156642565607}" name="Additional Sheet ID" dataDxfId="205">
      <calculatedColumnFormula array="1">IF($L18,
IF(ROW()=ROW($M$17)+1,1,INDEX($M:$M,ROW()-1)+IF(INDEX($T:$T,ROW()-1),1,0)),
1)</calculatedColumnFormula>
    </tableColumn>
    <tableColumn id="8" xr3:uid="{95106E64-FCCF-44F2-BFE7-962C312A0186}" name="Number of Elements For This Sheet" dataDxfId="204">
      <calculatedColumnFormula array="1">IF($L18=TRUE,
_xlfn.LET(
_xlpm._isAssumption,$J18,
_xlpm._indexRange,IF(_xlpm._isAssumption,Table24['# Elements],Table25['# Elements]),
_xlpm._lookupRow,$W18,
INDEX(_xlpm._indexRange,_xlpm._lookupRow)),
"")</calculatedColumnFormula>
    </tableColumn>
    <tableColumn id="11" xr3:uid="{52BE6782-B571-452F-AC3F-D0791CBB393A}" name="Comment ID" dataDxfId="203">
      <calculatedColumnFormula array="1">IF($N18="","",_xlfn.LET(
_xlpm._prevRow,ROW()-1,
IF(OR(INDEX($N:$N,_xlpm._prevRow)&lt;&gt;$N18,INDEX($M:$M,_xlpm._prevRow)&lt;&gt;$M18),
1,
INDEX($O:$O,_xlpm._prevRow)+IF(INDEX($S:$S,_xlpm._prevRow),1,0))))</calculatedColumnFormula>
    </tableColumn>
    <tableColumn id="12" xr3:uid="{3FF4D859-33D3-47E4-8A8A-783D02816BED}" name="Number of Elements for this ID" dataDxfId="202">
      <calculatedColumnFormula array="1">IF($O18="","",_xlfn.LET(
_xlpm._isAssumption,$J18,
_xlpm._sheetRow,$W18,
_xlpm._sheetName,$X18,
_xlpm._elementIDRange,IF(_xlpm._isAssumption,Table24[Element ID Column],Table25[Element ID Column]),
_xlpm._numberOfElementsRange,IF(_xlpm._isAssumption,Table24[Number of Elements Column],Table25[Number of Elements Column]),
SimpleLookup($O18,INDIRECT("'"&amp;_xlpm._sheetName&amp;"'!"&amp;INDEX(_xlpm._elementIDRange,_xlpm._sheetRow)&amp;":"&amp;INDEX(_xlpm._numberOfElementsRange,_xlpm._sheetRow)))))</calculatedColumnFormula>
    </tableColumn>
    <tableColumn id="13" xr3:uid="{6F0F927A-F741-452A-9F00-D0EA20C18D69}" name="Element Within Comment ID" dataDxfId="201">
      <calculatedColumnFormula array="1">IF($O18="","",IF(OR(INDEX($O:$O,ROW()-1)&lt;&gt;$O18,INDEX($M:$M,ROW()-1)&lt;&gt;$M18),1,INDEX($Q:$Q,ROW()-1)+1))</calculatedColumnFormula>
    </tableColumn>
    <tableColumn id="33" xr3:uid="{7C61F2E2-B961-4EDA-A39C-4BA869570D31}" name="Accumulated Elements for This Sheet" dataDxfId="200">
      <calculatedColumnFormula>COUNTIFS(
OFFSET($L$17,1,0,ROW()-ROW($L$17),1),TRUE,
OFFSET($M$17,1,0,ROW()-ROW($M$17),1),$M18,
OFFSET($J$17,1,0,ROW()-ROW($J$17),1),$J18)</calculatedColumnFormula>
    </tableColumn>
    <tableColumn id="14" xr3:uid="{0008E350-B429-4C61-B873-1BAAB08A35BE}" name="Is Last Element for the Comment" dataDxfId="199">
      <calculatedColumnFormula>IF($L18,$P18=$Q18,"")</calculatedColumnFormula>
    </tableColumn>
    <tableColumn id="17" xr3:uid="{61BD81E6-4643-402C-B8CE-5EF72B623600}" name="Last Element for the Sheet" dataDxfId="198">
      <calculatedColumnFormula>_xlfn.LET(
_xlpm._isAssumption,$J18,
_xlpm._numberOfElementsRange,IF(_xlpm._isAssumption,Table24['# Elements],Table25['# Elements]),
_xlpm._sheetRow,$W18,
IF($L18,AND($S18,$R18=$N18),FALSE))</calculatedColumnFormula>
    </tableColumn>
    <tableColumn id="15" xr3:uid="{46AF7F47-D64C-4C70-BFA5-8558C00B8306}" name="Comment Content" dataDxfId="197">
      <calculatedColumnFormula array="1">IF($L18,
_xlfn.LET(
_xlpm._elementID,$O18,
_xlpm._isAssumption,$J18,
_xlpm._sheetRow,$W18,
_xlpm._sheetName,$X18,
_xlpm._elementRow,$Y18,
_xlpm._resultColumnLetter,IF(_xlpm._isAssumption,INDEX(Table24[Comment Column],_xlpm._sheetRow),INDEX(Table25[Comment Column],_xlpm._sheetRow)),
INDEX(INDIRECT("'"&amp;_xlpm._sheetName&amp;"'!"&amp;_xlpm._resultColumnLetter&amp;":"&amp;_xlpm._resultColumnLetter),_xlpm._elementRow)),
"")</calculatedColumnFormula>
    </tableColumn>
    <tableColumn id="16" xr3:uid="{6B805C75-7948-4DA7-BEE2-307217C24F57}" name="ID for Additional Element" dataDxfId="196">
      <calculatedColumnFormula array="1">IF($L18,
_xlfn.LET(
_xlpm._elementID,$O18,
_xlpm._isAssumption,$J18,
_xlpm._sheetRow,$W18,
_xlpm._sheetName,$X18,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calculatedColumnFormula>
    </tableColumn>
    <tableColumn id="21" xr3:uid="{534012BB-7031-4283-8DAB-4363E4E1C152}" name="Row in Lookup Tables" dataDxfId="195">
      <calculatedColumnFormula>IF($L18=TRUE,
_xlfn.LET(
_xlpm._isAssumption,$J18,
_xlpm._searchRange,IF(_xlpm._isAssumption,Table24[Task Sheet Shadow ID],Table25[Task Sheet Shadow ID]),
MATCH($M18,_xlpm._searchRange,0)),
"")</calculatedColumnFormula>
    </tableColumn>
    <tableColumn id="22" xr3:uid="{6A6FCF54-EAD9-45C8-A6EF-932BBEF829D2}" name="Sheet Name" dataDxfId="194">
      <calculatedColumnFormula array="1">IF($L18,
_xlfn.LET(
_xlpm._isAssumption,$J18,
_xlpm._sheetRow,$W18,
IF(_xlpm._isAssumption,INDEX(Table24[Sheet Name],_xlpm._sheetRow),INDEX(Table25[Sheet Name],_xlpm._sheetRow))),
"")</calculatedColumnFormula>
    </tableColumn>
    <tableColumn id="20" xr3:uid="{65D5713C-DB88-47AA-BEBE-DFB6A8EA99A9}" name="Row Within Sheet" dataDxfId="193">
      <calculatedColumnFormula array="1">IF($L18,
_xlfn.LET(
_xlpm._elementID,$O18,
_xlpm._isAssumption,$J18,
_xlpm._sheetRow,$W18,
_xlpm._sheetName,$X18,
_xlpm._elementIDColumnLetter,IF(_xlpm._isAssumption,INDEX(Table24[Element ID Column],_xlpm._sheetRow),INDEX(Table25[Element ID Column],_xlpm._sheetRow)),
MATCH(_xlpm._elementID,INDIRECT("'"&amp;_xlpm._sheetName&amp;"'!"&amp;_xlpm._elementIDColumnLetter&amp;":"&amp;_xlpm._elementIDColumnLetter),0)),
"")</calculatedColumnFormula>
    </tableColumn>
    <tableColumn id="19" xr3:uid="{5DF15F45-667B-46FE-AA46-EDF2013CA7A4}" name="Link Text Implicit" dataDxfId="192">
      <calculatedColumnFormula array="1">IF($A18="","",_xlfn.LET(
_xlpm._isAssumption,$J18,
_xlpm._isAdditionalElement,$L18,
_xlpm._sheetRow,$W18,
_xlpm._sheetName,$X18,
_xlpm._columnLetter,INDEX(IF(_xlpm._isAdditionalElement,Table24[Comment Column],Table25[Comment Column]),_xlpm._sheetRow),
_xlpm._sheetReference,IF(_xlpm._isAssumption,IF(_xlpm._isAdditionalElement,
CELL("address",INDEX(INDIRECT("'"&amp;_xlpm._sheetName&amp;"'!"&amp;_xlpm._columnLetter&amp;":"&amp;_xlpm._columnLetter),$Y18)),
CELL("address",INDEX(Assumptions!$A:$A,MATCH($A18,Assumptions!$A:$A,0),1))),
IF(_xlpm._isAdditionalElement,
CELL("address",INDEX(INDIRECT("'"&amp;_xlpm._sheetName&amp;"'!"&amp;_xlpm._columnLetter&amp;":"&amp;_xlpm._columnLetter),$Y18)),
CELL("address",INDEX(Countermeasures!$A:$A,MATCH($A18,Countermeasures!$A:$A,0),1)))),
_xlpm._start,FIND("]",_xlpm._sheetReference),
"'"&amp;SUBSTITUTE(SUBSTITUTE(RIGHT(_xlpm._sheetReference,LEN(_xlpm._sheetReference)-_xlpm._start),"'",""),"!","'!")))</calculatedColumnFormula>
    </tableColumn>
    <tableColumn id="23" xr3:uid="{4B7E02AF-E6DA-4C1F-BE6A-FFB9088919C7}" name="Comments of Related Elements" dataDxfId="191">
      <calculatedColumnFormula array="1">IF(NOT($L18),
_xlfn.LET(_xlpm._value,IF($A18="","",IF($J18,SimpleLookup($A18,Assumptions!$A:$AK),SimpleLookup($A18,Countermeasures!$A:$AN))),
IF(_xlpm._value="","",_xlpm._value)),
"")</calculatedColumnFormula>
    </tableColumn>
    <tableColumn id="26" xr3:uid="{F269089C-5F70-4BC1-9AC0-11844A2D7C69}" name="Assigned to Attack Steps" dataDxfId="190">
      <calculatedColumnFormula array="1">LookupNames(InverseLookup($A18,Mitigation!$AD$2,Mitigation!$A$2,1,Helper!$B$5,","),'Attack Steps'!$A:$B)</calculatedColumnFormula>
    </tableColumn>
    <tableColumn id="27" xr3:uid="{10E7C7C2-DF0D-48B0-9E9E-23CE81B6B19F}" name="Defined in the Context of Element" dataDxfId="189">
      <calculatedColumnFormula array="1">IF($L18,
_xlfn.LET(
_xlpm._in,$A18,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calculatedColumnFormula>
    </tableColumn>
    <tableColumn id="28" xr3:uid="{7FFB1342-3373-4045-B704-1EF6100B0B5E}" name="Dependant Elements" dataDxfId="188">
      <calculatedColumnFormula array="1">_xlfn.LET(
_xlpm._countermeasures,InverseLookup($A18,Countermeasures!$AG$2,Countermeasures!$A$2,1,Helper!$B$4,","),
LookupNames(_xlpm._countermeasures,Countermeasures!$A:$B))</calculatedColumnFormula>
    </tableColumn>
    <tableColumn id="25" xr3:uid="{2E170806-75A5-4B13-B71F-09286CC59C38}" name="Link Text Explicit" dataDxfId="187">
      <calculatedColumnFormula array="1">IF($E18="","",_xlfn.LET(
_xlpm._id,$E18,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calculatedColumnFormula>
    </tableColumn>
    <tableColumn id="30" xr3:uid="{9B329A66-FB3E-4E93-856E-B9F5E66B9033}" name="Text for Default Elements" dataDxfId="186">
      <calculatedColumnFormula array="1">IF(OR($A18="",$L18),"",_xlfn.LET(
_xlpm._answers,IF($J18,SimpleLookup($A18,Assumptions!$A:$F),SimpleLookup($A18,Countermeasures!$A:$D)),
IF(_xlpm._answers="*",IF($J18,SimpleLookup($A18,Assumptions!$A:$C),SimpleLookup($A18,Countermeasures!$A:$C)),"")))</calculatedColumnFormula>
    </tableColumn>
    <tableColumn id="31" xr3:uid="{BA05F0FC-8ACD-49B9-A201-7AB170F506C8}" name="Additional Element - Mapping to Annex I 1.3 Search (currently not used)" dataDxfId="185">
      <calculatedColumnFormula array="1">IF(NOT($L18),"",_xlfn.LET(
_xlpm._mappedInMitigation,IFERROR(VLOOKUP($V18,'Attack Steps'!$A:$O,COLUMNS('Attack Steps'!$A:$O),FALSE),""),
CreateSearchString(_xlpm._mappedInMitigation)))</calculatedColumnFormula>
    </tableColumn>
    <tableColumn id="34" xr3:uid="{1891CFAE-8FF9-42C8-8358-55FC50477821}" name="Is Last?" dataDxfId="184">
      <calculatedColumnFormula>ROW()-ROW($AH$17)=Helper!$B$15</calculatedColumnFormula>
    </tableColumn>
    <tableColumn id="35" xr3:uid="{A14EC6E9-5BBD-4781-B961-CA3E448624D6}" name="QI Text Table Too Small" dataDxfId="183">
      <calculatedColumnFormula>IF(IFERROR(MATCH(TRUE,$AH:$AH,0)&gt;0,FALSE),"",IF(OFFSET($AH18,1,0)="","Please enlarge the table!",""))</calculatedColumnFormula>
    </tableColumn>
    <tableColumn id="36" xr3:uid="{F9123B28-0CA7-403B-8985-21AC44178F34}" name="QI ID Table Too Small" dataDxfId="182">
      <calculatedColumnFormula array="1">CreateID($AJ$17,$AJ:$AJ,$AI18&lt;&gt;"")</calculatedColumnFormula>
    </tableColumn>
  </tableColumns>
  <tableStyleInfo name="DarkCustom"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C18B8116-DFCB-4C79-97B3-4212039E7E3A}" name="Table24" displayName="Table24" ref="I2:Q7" totalsRowShown="0" headerRowDxfId="181" dataDxfId="180">
  <autoFilter ref="I2:Q7" xr:uid="{C18B8116-DFCB-4C79-97B3-4212039E7E3A}"/>
  <tableColumns count="9">
    <tableColumn id="1" xr3:uid="{4B792EA9-40FD-4C95-B543-CE730C0DB3E2}" name="Sheet Name" dataDxfId="179">
      <calculatedColumnFormula>IF(B3="","",_xlfn.LET(
_xlpm._in,B3,
_xlpm._start,FIND("]",_xlpm._in)+1,
SUBSTITUTE(MID(_xlpm._in,_xlpm._start,FIND("!",_xlpm._in)-_xlpm._start),"'","")))</calculatedColumnFormula>
    </tableColumn>
    <tableColumn id="2" xr3:uid="{359C19C3-94AB-4BAE-B21A-7514F2A6F70C}" name="Comment Column" dataDxfId="178">
      <calculatedColumnFormula>IF($I3="","",_xlfn.LET(
_xlpm._in,B3,
_xlpm._start,FIND("$",_xlpm._in)+1,
MID(_xlpm._in,_xlpm._start,FIND("$",SUBSTITUTE(_xlpm._in,"$","§",1))-_xlpm._start)))</calculatedColumnFormula>
    </tableColumn>
    <tableColumn id="3" xr3:uid="{03EB1276-AD4A-46D0-9F70-CA79E8054823}" name="Element ID Column" dataDxfId="177">
      <calculatedColumnFormula>IF($I3="","",_xlfn.LET(
_xlpm._in,C3,
_xlpm._start,FIND("$",_xlpm._in)+1,
MID(_xlpm._in,_xlpm._start,FIND("$",SUBSTITUTE(_xlpm._in,"$","§",1))-_xlpm._start)))</calculatedColumnFormula>
    </tableColumn>
    <tableColumn id="4" xr3:uid="{1BFD18E5-582D-487C-9214-C935BD8E44F9}" name="Number of Comments with Elements" dataDxfId="176">
      <calculatedColumnFormula>IF($I3="","",MAX(INDIRECT("'"&amp;$I3&amp;"'!"&amp;$K3&amp;":"&amp;$K3)))</calculatedColumnFormula>
    </tableColumn>
    <tableColumn id="7" xr3:uid="{3E8867BB-9864-4A39-9DBD-DB323236A31D}" name="Number of Elements Column" dataDxfId="175">
      <calculatedColumnFormula>IF($I3="","",_xlfn.LET(
_xlpm._in,D3,
_xlpm._start,FIND("$",_xlpm._in)+1,
MID(_xlpm._in,_xlpm._start,FIND("$",SUBSTITUTE(_xlpm._in,"$","§",1))-_xlpm._start)))</calculatedColumnFormula>
    </tableColumn>
    <tableColumn id="8" xr3:uid="{2ACBE34D-D1CD-4D59-AEC5-52CAE4E3A629}" name="# Elements" dataDxfId="174">
      <calculatedColumnFormula>IF($I3="","",SUM(INDIRECT("'"&amp;$I3&amp;"'!"&amp;$M3&amp;":"&amp;$M3)))</calculatedColumnFormula>
    </tableColumn>
    <tableColumn id="5" xr3:uid="{878CC9D5-EBD8-4E2F-B092-58E4D2CD6E40}" name="Task Sheet Shadow ID" dataDxfId="173">
      <calculatedColumnFormula array="1">CreateID($O$2,$O:$O,AND($N3&lt;&gt;0,$N3&lt;&gt;""))</calculatedColumnFormula>
    </tableColumn>
    <tableColumn id="6" xr3:uid="{A8E4FEA8-1DAD-4D25-9389-7CC0D3E65E06}" name="Header Row" dataDxfId="172">
      <calculatedColumnFormula>IF($B3="","",RIGHT($B3,LEN($B3)-FIND("$",SUBSTITUTE($B3,"$","§",1))))</calculatedColumnFormula>
    </tableColumn>
    <tableColumn id="9" xr3:uid="{D4392BF7-1A53-4721-8B8A-EF858FA06731}" name="Sheet ID Column" dataDxfId="171">
      <calculatedColumnFormula>IF($I3="","",_xlfn.LET(
_xlpm._in,F3,
_xlpm._start,FIND("$",_xlpm._in)+1,
MID(_xlpm._in,_xlpm._start,FIND("$",SUBSTITUTE(_xlpm._in,"$","§",1))-_xlpm._start)))</calculatedColumnFormula>
    </tableColumn>
  </tableColumns>
  <tableStyleInfo name="DarkCustom"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83228E2-7077-48F0-81D5-644013C0D48F}" name="Table25" displayName="Table25" ref="I9:Q14" totalsRowShown="0" headerRowDxfId="170" dataDxfId="169">
  <autoFilter ref="I9:Q14" xr:uid="{983228E2-7077-48F0-81D5-644013C0D48F}"/>
  <tableColumns count="9">
    <tableColumn id="1" xr3:uid="{4B432976-635E-4B00-A358-5C0A44116765}" name="Sheet Name" dataDxfId="168">
      <calculatedColumnFormula>IF(B10="","",_xlfn.LET(
_xlpm._in,B10,
_xlpm._start,FIND("]",_xlpm._in)+1,
SUBSTITUTE(MID(_xlpm._in,_xlpm._start,FIND("!",_xlpm._in)-_xlpm._start),"'","")))</calculatedColumnFormula>
    </tableColumn>
    <tableColumn id="2" xr3:uid="{13CEBF34-53E5-4BA4-BA72-2B44929D110A}" name="Comment Column" dataDxfId="167">
      <calculatedColumnFormula>IF($I10="","",_xlfn.LET(
_xlpm._in,B10,
_xlpm._start,FIND("$",_xlpm._in)+1,
MID(_xlpm._in,_xlpm._start,FIND("$",SUBSTITUTE(_xlpm._in,"$","§",1))-_xlpm._start)))</calculatedColumnFormula>
    </tableColumn>
    <tableColumn id="3" xr3:uid="{4035C742-8887-4F13-827F-8AB31E089090}" name="Element ID Column" dataDxfId="166">
      <calculatedColumnFormula>IF($I10="","",_xlfn.LET(
_xlpm._in,C10,
_xlpm._start,FIND("$",_xlpm._in)+1,
MID(_xlpm._in,_xlpm._start,FIND("$",SUBSTITUTE(_xlpm._in,"$","§",1))-_xlpm._start)))</calculatedColumnFormula>
    </tableColumn>
    <tableColumn id="4" xr3:uid="{87C06AAA-AA68-487B-9D4C-E08AC8FB6C6A}" name="Number of Comments with Elements" dataDxfId="165">
      <calculatedColumnFormula>IF($I10="","",MAX(INDIRECT("'"&amp;$I10&amp;"'!"&amp;$K10&amp;":"&amp;$K10)))</calculatedColumnFormula>
    </tableColumn>
    <tableColumn id="5" xr3:uid="{B710DAC6-76E6-46C6-B1B4-0E643E10B85E}" name="Number of Elements Column" dataDxfId="164">
      <calculatedColumnFormula>IF($I10="","",_xlfn.LET(
_xlpm._in,D10,
_xlpm._start,FIND("$",_xlpm._in)+1,
MID(_xlpm._in,_xlpm._start,FIND("$",SUBSTITUTE(_xlpm._in,"$","§",1))-_xlpm._start)))</calculatedColumnFormula>
    </tableColumn>
    <tableColumn id="6" xr3:uid="{DAFE4950-B547-4E69-8108-4C12FCD873A3}" name="# Elements" dataDxfId="163">
      <calculatedColumnFormula>IF($I10="","",SUM(INDIRECT("'"&amp;$I10&amp;"'!"&amp;$M10&amp;":"&amp;$M10)))</calculatedColumnFormula>
    </tableColumn>
    <tableColumn id="7" xr3:uid="{F4F71BAA-AEEA-4BFD-92AA-497C0DEDC74F}" name="Task Sheet Shadow ID" dataDxfId="162">
      <calculatedColumnFormula array="1">CreateID($O$9,$O:$O,AND($N10&lt;&gt;0,$N10&lt;&gt;""))</calculatedColumnFormula>
    </tableColumn>
    <tableColumn id="8" xr3:uid="{A96F48E5-437A-4DE8-BB44-FFB928A39707}" name="Header Row" dataDxfId="161">
      <calculatedColumnFormula>IF($B10="","",RIGHT($B10,LEN($B10)-FIND("$",SUBSTITUTE($B10,"$","§",1))))</calculatedColumnFormula>
    </tableColumn>
    <tableColumn id="9" xr3:uid="{4F46FEB7-DC72-4D75-87CC-324B71252806}" name="Sheet ID Column" dataDxfId="160">
      <calculatedColumnFormula>IF($I10="","",_xlfn.LET(
_xlpm._in,F10,
_xlpm._start,FIND("$",_xlpm._in)+1,
MID(_xlpm._in,_xlpm._start,FIND("$",SUBSTITUTE(_xlpm._in,"$","§",1))-_xlpm._start)))</calculatedColumnFormula>
    </tableColumn>
  </tableColumns>
  <tableStyleInfo name="DarkCustom"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332443C-90AC-48AF-860A-BFA2A798C195}" name="Table16" displayName="Table16" ref="A2:H15" totalsRowShown="0" headerRowDxfId="159" dataDxfId="158">
  <autoFilter ref="A2:H15" xr:uid="{A332443C-90AC-48AF-860A-BFA2A798C195}"/>
  <tableColumns count="8">
    <tableColumn id="1" xr3:uid="{81A831B3-E67E-41E4-BEF1-A290078D23EA}" name="Letter" dataDxfId="157"/>
    <tableColumn id="3" xr3:uid="{0AE8F6A0-D2E9-4168-BC89-E96EC030A4C8}" name="Products with digital elements shall…" dataDxfId="156"/>
    <tableColumn id="2" xr3:uid="{FCC00931-303C-4932-81E6-50CE752B2EB6}" name="Implemented by" dataDxfId="155">
      <calculatedColumnFormula array="1">_xlfn.LET(
_xlpm._countermeasures,InverseLookup($A3,Countermeasures!$AJ$2,Countermeasures!$A$2,1,Helper!$B$4,","),
_xlpm._assumptions,InverseLookup($A3,Assumptions!$AH$3,Assumptions!$A$3,1,Helper!$B$6,","),
_xlpm._indirectCountermeasures,InverseLookup($A3,Countermeasures!$AQ$2,Countermeasures!$A$2,1,Helper!$B$4,","),
_xlpm._indirectAssumptions,InverseLookup($A3,Assumptions!$AN$3,Assumptions!$A$3,1,Helper!$B$6,","),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calculatedColumnFormula>
    </tableColumn>
    <tableColumn id="4" xr3:uid="{7AE1A964-5BAB-4F02-8260-69703579FFA0}" name="Countermeasure / Assumption Names" dataDxfId="154">
      <calculatedColumnFormula array="1">_xlfn.LET(
_xlpm._countermeasures,RemoveDelimiter(GetValuesIgnoreErrors(SanitizeInput($C3),Countermeasures!$A:$B," ",","&amp;CHAR(10),TRUE),","&amp;CHAR(10)),
_xlpm._assumptions,RemoveDelimiter(GetValuesIgnoreErrors(SanitizeInput($C3),Assumptions!$A:$AI," ",","&amp;CHAR(10),TRUE),","&amp;CHAR(10)),
_xlpm._delimiter,CHAR(10)&amp;REPT(CHAR(150),65)&amp;CHAR(10),
_xlpm._countermeasures&amp;IF(OR(_xlpm._countermeasures="",_xlpm._assumptions=""),"",_xlpm._delimiter)&amp;_xlpm._assumptions)</calculatedColumnFormula>
    </tableColumn>
    <tableColumn id="5" xr3:uid="{7E7E1539-B7C2-4323-B9DB-B445F2074AB6}" name="Explicit Risk Treatment" dataDxfId="153">
      <calculatedColumnFormula array="1">RemoveDelimiter(InverseLookup($A3,'Risk Treatment'!$AF$4,'Risk Treatment'!$AG$4,1,10000,","&amp;CHAR(10)),","&amp;CHAR(10))</calculatedColumnFormula>
    </tableColumn>
    <tableColumn id="6" xr3:uid="{786300E3-EC4B-4B69-A3B5-D86606024279}" name="Comment" dataDxfId="152"/>
    <tableColumn id="7" xr3:uid="{F74077DC-8CFC-47DD-B97C-B410F9858021}" name="Shadow ID" dataDxfId="151">
      <calculatedColumnFormula array="1">CreateID($G$2,$G:$G,$A3&lt;&gt;"")</calculatedColumnFormula>
    </tableColumn>
    <tableColumn id="8" xr3:uid="{159F03C0-F36A-490D-9FD3-CB1F3B9F4D0E}" name="Task ID" dataDxfId="150">
      <calculatedColumnFormula array="1">CreateTaskID($H$2,$H:$H,Tasks!$B$17,$F3)</calculatedColumnFormula>
    </tableColumn>
  </tableColumns>
  <tableStyleInfo name="DarkCustom"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3666D3A-95F2-412A-A1B8-5399A73D9B1B}" name="Table1413" displayName="Table1413" ref="B5:AF72" totalsRowShown="0" headerRowDxfId="149" dataDxfId="148">
  <autoFilter ref="B5:AF72" xr:uid="{25FAF794-7F53-49AE-A371-226F75A2D420}"/>
  <tableColumns count="31">
    <tableColumn id="1" xr3:uid="{795716F9-2863-415E-9B48-4EB4A476E0C1}" name="R ID" dataDxfId="147">
      <calculatedColumnFormula>OFFSET(Risks!$A$2,ROW()-ROW($B$5),0)</calculatedColumnFormula>
    </tableColumn>
    <tableColumn id="2" xr3:uid="{20FE046F-66CA-4EA0-A9C7-7E209A4258C8}" name="Attack Path" dataDxfId="146">
      <calculatedColumnFormula array="1">IF($B6="","",IFERROR(SimpleLookup($B6,'Risk Treatment'!$C:D),"Please ensure that all risks are covered in the "&amp;Helper!$G$14&amp;" sheet. Currently, these risks are not covered: "&amp;'Risk Treatment'!$D$2&amp;"."))</calculatedColumnFormula>
    </tableColumn>
    <tableColumn id="3" xr3:uid="{EADACF54-96BA-4EB4-BE98-315889A48725}" name="Damage Scenarios" dataDxfId="145">
      <calculatedColumnFormula array="1">IF($B6="","",IFERROR(SimpleLookup($B6,'Risk Treatment'!$C:K),"Please ensure that all risks are covered in the "&amp;Helper!$G$14&amp;" sheet. Currently, these risks are not covered: "&amp;'Risk Treatment'!$D$2&amp;"."))</calculatedColumnFormula>
    </tableColumn>
    <tableColumn id="4" xr3:uid="{DBD11729-2751-4660-841F-5598C81103E8}" name="Damage Level" dataDxfId="144">
      <calculatedColumnFormula array="1">IF($B6="","",IFERROR(SimpleLookup($B6,'Risk Treatment'!$C:L),"Please ensure that all risks are covered in the "&amp;Helper!$G$14&amp;" sheet. Currently, these risks are not covered: "&amp;'Risk Treatment'!$D$2&amp;"."))</calculatedColumnFormula>
    </tableColumn>
    <tableColumn id="29" xr3:uid="{64258BB7-3B13-4A1E-8CA6-71AAF8B60FE3}" name="Factor Explanation " dataDxfId="143">
      <calculatedColumnFormula array="1">IF($B6="","",IFERROR(SimpleLookup($B6,'Risk Treatment'!$C:M),"Please ensure that all risks are covered in the "&amp;Helper!$G$14&amp;" sheet. Currently, these risks are not covered: "&amp;'Risk Treatment'!$D$2&amp;"."))</calculatedColumnFormula>
    </tableColumn>
    <tableColumn id="5" xr3:uid="{E6CEA315-FAC9-4127-837D-CF0FCBA97A50}" name="RAP" dataDxfId="142">
      <calculatedColumnFormula array="1">IF($B6="","",IFERROR(SimpleLookup($B6,'Risk Treatment'!$C:N),"Please ensure that all risks are covered in the "&amp;Helper!$G$14&amp;" sheet. Currently, these risks are not covered: "&amp;'Risk Treatment'!$D$2&amp;"."))</calculatedColumnFormula>
    </tableColumn>
    <tableColumn id="46" xr3:uid="{6AA5E5F7-81D3-4E4E-992D-0C69756A4A2B}" name="Planned Countermeasures and Assumptions" dataDxfId="141">
      <calculatedColumnFormula array="1">IF($B6="","",IFERROR(SimpleLookup($B6,'Risk Treatment'!$C:J),"Please ensure that all risks are covered in the "&amp;Helper!$G$14&amp;" sheet. Currently, these risks are not covered: "&amp;'Risk Treatment'!$D$2&amp;"."))</calculatedColumnFormula>
    </tableColumn>
    <tableColumn id="6" xr3:uid="{9E4F4FCA-FD3E-442A-A462-58BF2889D483}" name="Risk Level_x000a_(Planned)" dataDxfId="140">
      <calculatedColumnFormula array="1">IF($B6="","",IFERROR(SimpleLookup($B6,'Risk Treatment'!$C:O),"Please ensure that all risks are covered in the "&amp;Helper!$G$14&amp;" sheet. Currently, these risks are not covered: "&amp;'Risk Treatment'!$D$2&amp;"."))</calculatedColumnFormula>
    </tableColumn>
    <tableColumn id="15" xr3:uid="{42F93DAF-897E-4647-A4B3-E8122FA95D8D}" name="Confirmed Countermeasures and Assumptions" dataDxfId="139">
      <calculatedColumnFormula array="1">_xlfn.LET(
_xlpm._assignedMitigations,IF($B6="","",IFERROR(RemoveDelimiter(GetValuesWithFallback($Z6,Countermeasures!$A:$B,Assumptions!$A:$B," ",","&amp;CHAR(10),TRUE),","&amp;CHAR(10)),"Error: Unknown risk ID "&amp;$B6)),
_xlpm._inlineMitigations,$AE6,
_xlpm._assignedMitigations&amp;
IF(OR(_xlpm._assignedMitigations="",_xlpm._inlineMitigations=""),"",","&amp;CHAR(10))&amp;
_xlpm._inlineMitigations)</calculatedColumnFormula>
    </tableColumn>
    <tableColumn id="18" xr3:uid="{37BAB6CC-62E6-45E9-8065-24C045AA16F1}" name="Damage Scenarios " dataDxfId="138">
      <calculatedColumnFormula array="1">IF($AC6=-1,"",RemoveDelimiter(GetValues(INDEX(Risks!BN:BN,$AC6),'DS Overview'!$A:$B," ",","&amp;CHAR(10),TRUE),","&amp;CHAR(10)))</calculatedColumnFormula>
    </tableColumn>
    <tableColumn id="12" xr3:uid="{7A7FCC37-2AE3-4ACD-9F6F-57B186899DBC}" name="Damage Level " dataDxfId="137">
      <calculatedColumnFormula array="1">IF($AC6=-1,"",INDEX(Risks!BP:BP,$AC6))</calculatedColumnFormula>
    </tableColumn>
    <tableColumn id="28" xr3:uid="{A7C3B488-6A93-42DC-A918-41FCFDCCE571}" name="Factor Explanation" dataDxfId="136">
      <calculatedColumnFormula array="1">_xlfn.LET(
_xlpm._calculatedRAP,IFERROR(SimpleLookup($B6,Risks!$A:$BG),""),
_xlpm._inlineRAP,IFERROR(SimpleLookup($B6,Risks!$A:$BH),""),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
_xlpm._mitigationSheetName&amp;" sheet "&amp;_xlfn.UNICHAR(8702)&amp;" Comment column:"&amp;CHAR(10)&amp;$AE6)))</calculatedColumnFormula>
    </tableColumn>
    <tableColumn id="13" xr3:uid="{20FB0F0A-9B26-4957-BF04-CA7136919679}" name="RAP " dataDxfId="135">
      <calculatedColumnFormula array="1">IF($AC6=-1,"",INDEX(Risks!CN:CN,$AC6))</calculatedColumnFormula>
    </tableColumn>
    <tableColumn id="14" xr3:uid="{22F57FA3-D28A-42B6-B901-73CB09CEA1ED}" name="Remaining Risk Level " dataDxfId="134">
      <calculatedColumnFormula array="1">IF($AC6=-1,"",INDEX(Risks!CO:CO,$AC6))</calculatedColumnFormula>
    </tableColumn>
    <tableColumn id="21" xr3:uid="{3687041B-9435-424E-B40E-2CBD91DDF122}" name="Risk Treatment Proposal" dataDxfId="133">
      <calculatedColumnFormula>IF($C6="","",IF($AF6&lt;=Definitions!$AF$6,Definitions!$M$4,""))</calculatedColumnFormula>
    </tableColumn>
    <tableColumn id="20" xr3:uid="{208FEA1D-4DF1-4A56-B3C8-9691E1766808}" name="Manual Risk Treatment" dataDxfId="132"/>
    <tableColumn id="19" xr3:uid="{835F2F37-13F0-4D5E-86C3-73A7944CAF1C}" name="Risk Treatment Decision" dataDxfId="131">
      <calculatedColumnFormula>IF($Q6="",$P6,$Q6)</calculatedColumnFormula>
    </tableColumn>
    <tableColumn id="22" xr3:uid="{2ACE89B8-9FB4-4763-BFB6-2AE9AB84E9D0}" name="Risk Treatment Rationale / Explanation" dataDxfId="130"/>
    <tableColumn id="7" xr3:uid="{D2667FC5-E359-4215-B5BB-06329BDEE694}" name="Comment" dataDxfId="129"/>
    <tableColumn id="8" xr3:uid="{6EAA8E9D-E04D-4794-B043-979D4450371D}" name="Shadow ID" dataDxfId="128">
      <calculatedColumnFormula array="1">GenerateShadowID(ROW(),$U$5,$U:$U,0,B6&lt;&gt;"")</calculatedColumnFormula>
    </tableColumn>
    <tableColumn id="9" xr3:uid="{0D681C1E-0BEE-4126-B70B-84448BF470BB}" name="Task ID" dataDxfId="127">
      <calculatedColumnFormula array="1">CreateTaskID($V$5,$V:$V,Tasks!$B$17,$T6)</calculatedColumnFormula>
    </tableColumn>
    <tableColumn id="47" xr3:uid="{95A7040E-7A72-43D3-ABDC-4ECEE409FFAE}" name="Planned C&amp;A" dataDxfId="126">
      <calculatedColumnFormula array="1">IF($B6="","",SimpleLookup($B6,'Risk Treatment'!$C:$AW))</calculatedColumnFormula>
    </tableColumn>
    <tableColumn id="51" xr3:uid="{9BC31122-C207-41D8-8648-838EBEE4962C}" name="Planned Inline C&amp;A Full" dataDxfId="125">
      <calculatedColumnFormula array="1">IF($B6="","",_xlfn.LET(_xlpm._attackSteps,SimpleLookup($B6,'Risk Treatment'!$C:$Y),GetValues(_xlpm._attackSteps,Mitigation!$A:$AG,"",CHAR(1),FALSE)))</calculatedColumnFormula>
    </tableColumn>
    <tableColumn id="48" xr3:uid="{8F6DA137-AB10-4E21-AC53-43A0C8461DF5}" name="Planned Inline C&amp;A" dataDxfId="124">
      <calculatedColumnFormula array="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ParseInlineMitigationString(_xlpm._remainingString,_xlpm._delimiter))))($X6,CHAR(1))</calculatedColumnFormula>
    </tableColumn>
    <tableColumn id="49" xr3:uid="{1E24C2D6-E30D-4B2F-B36F-A02034B8477F}" name="Confirmed C&amp;A" dataDxfId="123">
      <calculatedColumnFormula array="1">FilterElementsFromList($W6,Helper!$J$4,TRUE,",")</calculatedColumnFormula>
    </tableColumn>
    <tableColumn id="50" xr3:uid="{CE0CF2B2-486A-4B85-B050-F70C835055B1}" name="Confirmed Inline C&amp;A" dataDxfId="122">
      <calculatedColumnFormula array="1">FilterElementsFromList($Y6,Helper!$J$4,TRUE,",")</calculatedColumnFormula>
    </tableColumn>
    <tableColumn id="52" xr3:uid="{4998B1E4-9E75-4471-BE02-70A7EA8387AA}" name="Confirmed Inline C&amp;A Full" dataDxfId="121">
      <calculatedColumnFormula array="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CreateConfirmedInlineMitigations(_xlpm._remainingString,_xlpm._confirmedCandAIDs,_xlpm._delimiterSearchString,_xlpm._delimiterResultString))))($X6,CreateSearchString($AA6),CHAR(1),","&amp;CHAR(10))</calculatedColumnFormula>
    </tableColumn>
    <tableColumn id="54" xr3:uid="{3FA456C9-7E5B-40FD-B3DE-F67B23C3F9D9}" name="Row" dataDxfId="120">
      <calculatedColumnFormula>IFERROR(MATCH($B6,Risks!$A:$A,0),-1)</calculatedColumnFormula>
    </tableColumn>
    <tableColumn id="55" xr3:uid="{DE15309B-5624-4836-A051-26C7FF56579F}" name="Remaining Risk Factor Explanation" dataDxfId="119">
      <calculatedColumnFormula array="1">IF($B6="","",_xlfn.LET(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_xlpm._factorFunction($B6,Risks!$A:CA,Definitions!$Y:$Y,Definitions!$AB:$AB,1)&amp;CHAR(10)&amp;
_xlpm._factorFunction($B6,Risks!$A:CB,Definitions!$Y:$Y,Definitions!$AB:$AB,2)&amp;CHAR(10)&amp;
_xlpm._factorFunction($B6,Risks!$A:CC,Definitions!$Y:$Y,Definitions!$AB:$AB,3)&amp;CHAR(10)&amp;
_xlpm._factorFunction($B6,Risks!$A:CD,Definitions!$Y:$Y,Definitions!$AB:$AB,4)&amp;CHAR(10)&amp;
_xlpm._factorFunction($B6,Risks!$A:CE,Definitions!$Y:$Y,Definitions!$AB:$AB,5)))</calculatedColumnFormula>
    </tableColumn>
    <tableColumn id="56" xr3:uid="{45FAEAEE-D9E9-4D70-BC02-E3C22FB2B96B}" name="Inline Mitigations" dataDxfId="118">
      <calculatedColumnFormula array="1">RemoveDelimiter(SUBSTITUTE(SUBSTITUTE($AB6,"{",""),"}",""),","&amp;CHAR(10))</calculatedColumnFormula>
    </tableColumn>
    <tableColumn id="10" xr3:uid="{15F2E99C-6BFF-43EF-9B94-5A6E558A1953}" name="RL Value" dataDxfId="117">
      <calculatedColumnFormula array="1">IF($O6="",0,SimpleLookup($O6,Definitions!$AE:$AF))</calculatedColumnFormula>
    </tableColumn>
  </tableColumns>
  <tableStyleInfo name="DarkCustom"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A7D003C-5EFA-43D8-A426-AE288738CF16}" name="Table10" displayName="Table10" ref="A19:I68" totalsRowShown="0" headerRowDxfId="116" dataDxfId="115">
  <autoFilter ref="A19:I68" xr:uid="{7A7D003C-5EFA-43D8-A426-AE288738CF16}"/>
  <tableColumns count="9">
    <tableColumn id="1" xr3:uid="{1AC9F569-582D-424E-B97C-594E53A7FF04}" name="Element" dataDxfId="114">
      <calculatedColumnFormula array="1">IF($E20="","",
HYPERLINK("#'"&amp;INDEX(Table11[Sheet Name],$F20)&amp;"'!"&amp;INDEX(Table11[ID Column],$F20)&amp;$G20,
IF(LEN(H20)&gt;255,LEFT(H20,250)&amp;" …",H20)))</calculatedColumnFormula>
    </tableColumn>
    <tableColumn id="2" xr3:uid="{080D287F-4962-4A52-BE17-6034EC2BB54E}" name="Comment (click to follow the link)" dataDxfId="113">
      <calculatedColumnFormula array="1">IF($E20="","",HYPERLINK("#'"&amp;INDEX(Table11[Sheet Name],$F20)&amp;"'!"&amp;INDEX(Table11[Comment Column],$F20)&amp;$G20,
IF(LEN(I20)&gt;255,LEFT(I20,250)&amp;" …",I20)))</calculatedColumnFormula>
    </tableColumn>
    <tableColumn id="3" xr3:uid="{E5AD00A6-9BE4-4DE2-830C-D59A24D8526C}" name="Task Sheet ID" dataDxfId="112">
      <calculatedColumnFormula array="1">IFERROR(IF(ROW()=ROW($C$19)+1,1,INDEX($C:$C,ROW()-1))+
IF(INDEX($E:$E,ROW()-1)=TRUE,1,0),"")</calculatedColumnFormula>
    </tableColumn>
    <tableColumn id="4" xr3:uid="{B29EB7E0-2838-4072-9242-5CC8327FB903}" name="Task #" dataDxfId="111">
      <calculatedColumnFormula>COUNTIF(OFFSET($C$19,1,0,ROW()-ROW($D$19),1),$C20)</calculatedColumnFormula>
    </tableColumn>
    <tableColumn id="5" xr3:uid="{521C90F2-944B-4111-AABB-53753346E238}" name="Final Entry?" dataDxfId="110">
      <calculatedColumnFormula array="1">IFERROR(INDEX(Table11[Number of Tasks],$F20)=$D20,"")</calculatedColumnFormula>
    </tableColumn>
    <tableColumn id="6" xr3:uid="{874D8738-BE21-4724-B439-76A1ED990986}" name="Row" dataDxfId="109">
      <calculatedColumnFormula>IFERROR(MATCH($C20,Table11[Task Sheet Shadow ID],0),"")</calculatedColumnFormula>
    </tableColumn>
    <tableColumn id="7" xr3:uid="{66F3B6A0-A988-401D-9BEF-A0785C8B042E}" name="Element Row" dataDxfId="108">
      <calculatedColumnFormula array="1">IFERROR(_xlfn.LET(
_xlpm._column,INDEX(Table11[Task ID Column],$F20),
MATCH($D20,INDIRECT("'"&amp;INDEX(Table11[Sheet Name],$F20)&amp;"'!"&amp;_xlpm._column&amp;":"&amp;_xlpm._column),0)),"")</calculatedColumnFormula>
    </tableColumn>
    <tableColumn id="8" xr3:uid="{FE5E70A6-94E5-41F7-AB55-F5884495DFC6}" name="Element Text" dataDxfId="107">
      <calculatedColumnFormula array="1">IF($G20="","",(_xlfn.LET(
_xlpm._columnID,INDEX(Table11[ID Column],$F20),
_xlpm._columnName,INDEX(Table11[Name Column],$F20),
INDEX(INDIRECT("'"&amp;INDEX(Table11[Sheet Name],$F20)&amp;"'!"&amp;_xlpm._columnID&amp;":"&amp;_xlpm._columnID),$G20)&amp;" "&amp;
INDEX(INDIRECT("'"&amp;INDEX(Table11[Sheet Name],$F20)&amp;"'!"&amp;_xlpm._columnName&amp;":"&amp;_xlpm._columnName),$G20))))</calculatedColumnFormula>
    </tableColumn>
    <tableColumn id="9" xr3:uid="{4ADB7E1A-4352-4354-9707-213CA6CCA691}" name="Comment Text" dataDxfId="106">
      <calculatedColumnFormula array="1">IF($G20="","",(_xlfn.LET(
_xlpm._columnID,INDEX(Table11[Comment Column],$F20),
INDEX(INDIRECT("'"&amp;INDEX(Table11[Sheet Name],$F20)&amp;"'!"&amp;_xlpm._columnID&amp;":"&amp;_xlpm._columnID),$G20))))</calculatedColumnFormula>
    </tableColumn>
  </tableColumns>
  <tableStyleInfo name="DarkCustom"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1641CE4-5A0B-4302-8B19-5F8671F14BC4}" name="Table11" displayName="Table11" ref="E1:L15" totalsRowShown="0" headerRowDxfId="105" dataDxfId="104">
  <autoFilter ref="E1:L15" xr:uid="{01641CE4-5A0B-4302-8B19-5F8671F14BC4}"/>
  <tableColumns count="8">
    <tableColumn id="1" xr3:uid="{5B3E3612-5C1C-4B3F-89BF-093F5D00AEB1}" name="Sheet Name" dataDxfId="103">
      <calculatedColumnFormula>IF(A2="","",_xlfn.LET(
_xlpm._in,A2,
_xlpm._start,FIND("]",_xlpm._in)+1,
SUBSTITUTE(MID(_xlpm._in,_xlpm._start,FIND("!",_xlpm._in)-_xlpm._start),"'","")))</calculatedColumnFormula>
    </tableColumn>
    <tableColumn id="2" xr3:uid="{50173C6F-F0F8-417E-8ED5-83423E9B9329}" name="ID Column" dataDxfId="102">
      <calculatedColumnFormula>IF($E2="","",_xlfn.LET(
_xlpm._in,A2,
_xlpm._start,FIND("$",_xlpm._in)+1,
MID(_xlpm._in,_xlpm._start,FIND("$",SUBSTITUTE(_xlpm._in,"$","§",1))-_xlpm._start)))</calculatedColumnFormula>
    </tableColumn>
    <tableColumn id="3" xr3:uid="{733E5B04-E975-4E65-9B2C-6FAC1F649539}" name="Name Column" dataDxfId="101">
      <calculatedColumnFormula>IF($E2="","",_xlfn.LET(
_xlpm._in,B2,
_xlpm._start,FIND("$",_xlpm._in)+1,
MID(_xlpm._in,_xlpm._start,FIND("$",SUBSTITUTE(_xlpm._in,"$","§",1))-_xlpm._start)))</calculatedColumnFormula>
    </tableColumn>
    <tableColumn id="4" xr3:uid="{26118C0A-570C-4ED7-AA84-777ECBAD1B9E}" name="Comment Column" dataDxfId="100">
      <calculatedColumnFormula>IF($E2="","",_xlfn.LET(
_xlpm._in,C2,
_xlpm._start,FIND("$",_xlpm._in)+1,
MID(_xlpm._in,_xlpm._start,FIND("$",SUBSTITUTE(_xlpm._in,"$","§",1))-_xlpm._start)))</calculatedColumnFormula>
    </tableColumn>
    <tableColumn id="5" xr3:uid="{43B83268-1E12-41A0-9D08-6D333790FD49}" name="Task ID Column" dataDxfId="99">
      <calculatedColumnFormula>IF($E2="","",_xlfn.LET(
_xlpm._in,D2,
_xlpm._start,FIND("$",_xlpm._in)+1,
MID(_xlpm._in,_xlpm._start,FIND("$",SUBSTITUTE(_xlpm._in,"$","§",1))-_xlpm._start)))</calculatedColumnFormula>
    </tableColumn>
    <tableColumn id="6" xr3:uid="{E9C3566E-CD0A-410A-BAA2-F2C040D0D412}" name="Number of Tasks" dataDxfId="98">
      <calculatedColumnFormula>IF($E2="","",MAX(INDIRECT("'"&amp;$E2&amp;"'!"&amp;$I2&amp;":"&amp;$I2)))</calculatedColumnFormula>
    </tableColumn>
    <tableColumn id="7" xr3:uid="{9ACC561B-3500-4567-B218-E7537558EEAD}" name="Task Sheet Shadow ID" dataDxfId="97">
      <calculatedColumnFormula array="1">IF(ROW()=ROW($K$1)+1,0,INDEX($K:$K,ROW()-1))+IF($J2="",0,IF($J2&gt;0,1,0))</calculatedColumnFormula>
    </tableColumn>
    <tableColumn id="8" xr3:uid="{B1C2EB65-71EA-41B4-A283-C86FDB54F51F}" name="Header Row" dataDxfId="96">
      <calculatedColumnFormula>IF($A2="","",RIGHT($A2,LEN($A2)-FIND("$",SUBSTITUTE($A2,"$","§",1))))</calculatedColumnFormula>
    </tableColumn>
  </tableColumns>
  <tableStyleInfo name="DarkCustom"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DFD8D6A-628F-4A09-A7E5-2081D420ABE6}" name="Table5" displayName="Table5" ref="L2:Q22" totalsRowShown="0" headerRowDxfId="95" dataDxfId="94">
  <autoFilter ref="L2:Q22" xr:uid="{EDFD8D6A-628F-4A09-A7E5-2081D420ABE6}"/>
  <tableColumns count="6">
    <tableColumn id="1" xr3:uid="{36A370E7-3FD2-4943-AC9B-1F37A4389456}" name="Sheet" dataDxfId="93">
      <calculatedColumnFormula>IF($I3="","",_xlfn.LET(_xlpm._in,$I3,_xlpm._start,FIND("]",_xlpm._in)+1,
"'"&amp;SUBSTITUTE(MID(_xlpm._in,_xlpm._start,FIND("!",_xlpm._in)-_xlpm._start),"'","")&amp;"'!"))</calculatedColumnFormula>
    </tableColumn>
    <tableColumn id="7" xr3:uid="{DC74CA79-8083-41DB-93D6-42280AF05214}" name="Element ID Letter" dataDxfId="92">
      <calculatedColumnFormula>IF(K3="","",
_xlfn.LET(_xlpm._in,K3,
_xlpm._start,FIND("$",_xlpm._in)+1,
_xlpm._column,SUBSTITUTE(MID(_xlpm._in,_xlpm._start,FIND("$",SUBSTITUTE(_xlpm._in,"$","§",1))-_xlpm._start),"'",""),
_xlpm._column))</calculatedColumnFormula>
    </tableColumn>
    <tableColumn id="2" xr3:uid="{9AC93903-C81E-4784-B5C1-FCBD1C9C5435}" name="Text Range" dataDxfId="91">
      <calculatedColumnFormula>IF(I3="","",
_xlfn.LET(_xlpm._in,I3,
_xlpm._start,FIND("$",_xlpm._in)+1,
_xlpm._column,SUBSTITUTE(MID(_xlpm._in,_xlpm._start,FIND("$",SUBSTITUTE(_xlpm._in,"$","§",1))-_xlpm._start),"'",""),
$M3&amp;":"&amp;_xlpm._column))</calculatedColumnFormula>
    </tableColumn>
    <tableColumn id="3" xr3:uid="{282FCC1A-3B5C-4801-8615-E01F0D43F77E}" name="ID Column" dataDxfId="90">
      <calculatedColumnFormula>IF(J3="","",
_xlfn.LET(_xlpm._in,J3,
_xlpm._start,FIND("$",_xlpm._in)+1,
_xlpm._column,SUBSTITUTE(MID(_xlpm._in,_xlpm._start,FIND("$",SUBSTITUTE(_xlpm._in,"$","§",1))-_xlpm._start),"'",""),
_xlpm._column&amp;":"&amp;_xlpm._column))</calculatedColumnFormula>
    </tableColumn>
    <tableColumn id="4" xr3:uid="{AB9D9354-0367-482B-9F53-269884D45201}" name="Element ID Column" dataDxfId="89">
      <calculatedColumnFormula>IF($L3="","",$M3&amp;":"&amp;$M3)</calculatedColumnFormula>
    </tableColumn>
    <tableColumn id="5" xr3:uid="{9A5E191C-E479-44FC-860A-D7E685C07217}" name="Triggering IDs" dataDxfId="88">
      <calculatedColumnFormula array="1">GetQualityIssues($L3,$P3,$O3,1,",")</calculatedColumnFormula>
    </tableColumn>
  </tableColumns>
  <tableStyleInfo name="DarkCustom"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54E45B1-9F2B-4819-8301-8CAAF3F82D04}" name="Table27" displayName="Table27" ref="B6:C30" totalsRowShown="0" headerRowDxfId="87" dataDxfId="86">
  <autoFilter ref="B6:C30" xr:uid="{E54E45B1-9F2B-4819-8301-8CAAF3F82D04}"/>
  <tableColumns count="2">
    <tableColumn id="1" xr3:uid="{565604F4-3440-499C-B9AA-3DF54671F385}" name="Sheet" dataDxfId="85">
      <calculatedColumnFormula>_xlfn.LET(
_xlpm._sheetName,OFFSET(Definitions!$BA$3,ROW()-ROW($B$6),0),
IF(_xlpm._sheetName="","",_xlpm._sheetName))</calculatedColumnFormula>
    </tableColumn>
    <tableColumn id="2" xr3:uid="{F2A8457D-3E0E-478E-8798-F92134BDCB9B}" name="Export String (copy to MS Word)" dataDxfId="84">
      <calculatedColumnFormula array="1">_xlfn.LET(
_xlpm._delimiter,","&amp;CHAR(10),
_xlpm._isLast,AND($B7&lt;&gt;"",OFFSET($B7,1,0)=""),
_xlpm._result,JSONParseSheets(ROW()-ROW($C$6),Definitions!$BA$3,Definitions!$BB$3,Definitions!$BC$3,Definitions!$BD$3,$B$1,$B$2,$B$3,_xlpm._delimiter),
SUBSTITUTE(IF(_xlpm._isLast,RemoveDelimiter(_xlpm._result,_xlpm._delimiter),_xlpm._result),","&amp;CHAR(10)&amp;CHAR(10)&amp;"]",CHAR(10)&amp;"]"))</calculatedColumnFormula>
    </tableColumn>
  </tableColumns>
  <tableStyleInfo name="DarkCustom"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15.bin"/><Relationship Id="rId4" Type="http://schemas.openxmlformats.org/officeDocument/2006/relationships/table" Target="../tables/table22.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05E5D-8FB6-475C-974E-43E3F0F58F03}">
  <sheetPr>
    <tabColor theme="1"/>
  </sheetPr>
  <dimension ref="A2"/>
  <sheetViews>
    <sheetView workbookViewId="0">
      <selection activeCell="A2" sqref="A2"/>
    </sheetView>
  </sheetViews>
  <sheetFormatPr defaultColWidth="9.140625" defaultRowHeight="15" x14ac:dyDescent="0.25"/>
  <cols>
    <col min="1" max="16384" width="9.140625" style="2"/>
  </cols>
  <sheetData>
    <row r="2" spans="1:1" x14ac:dyDescent="0.25">
      <c r="A2" s="12" t="s">
        <v>1783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AB078-A124-42A9-882E-4001CB207088}">
  <sheetPr>
    <tabColor theme="1"/>
    <outlinePr summaryBelow="0"/>
  </sheetPr>
  <dimension ref="A1:M258"/>
  <sheetViews>
    <sheetView tabSelected="1" workbookViewId="0">
      <selection activeCell="A2" sqref="A2"/>
    </sheetView>
  </sheetViews>
  <sheetFormatPr defaultColWidth="9.140625" defaultRowHeight="15" outlineLevelRow="1" x14ac:dyDescent="0.25"/>
  <cols>
    <col min="1" max="1" width="20.7109375" style="4" customWidth="1"/>
    <col min="2" max="2" width="60.7109375" style="4" customWidth="1"/>
    <col min="3" max="4" width="60.7109375" style="2" customWidth="1"/>
    <col min="5" max="5" width="14.5703125" style="12" hidden="1" customWidth="1"/>
    <col min="6" max="6" width="16" style="12" hidden="1" customWidth="1"/>
    <col min="7" max="7" width="14.5703125" style="12" hidden="1" customWidth="1"/>
    <col min="8" max="8" width="9.85546875" style="12" hidden="1" customWidth="1"/>
    <col min="9" max="9" width="23.7109375" style="12" hidden="1" customWidth="1"/>
    <col min="10" max="10" width="9.140625" style="2"/>
    <col min="11" max="11" width="34.5703125" style="2" hidden="1" customWidth="1"/>
    <col min="12" max="12" width="36.7109375" style="2" hidden="1" customWidth="1"/>
    <col min="13" max="13" width="21.7109375" style="2" hidden="1" customWidth="1"/>
    <col min="14" max="16384" width="9.140625" style="2"/>
  </cols>
  <sheetData>
    <row r="1" spans="1:9" s="108" customFormat="1" ht="18.75" x14ac:dyDescent="0.3">
      <c r="A1" s="104" t="s">
        <v>1263</v>
      </c>
      <c r="B1" s="105"/>
      <c r="C1" s="106"/>
      <c r="D1" s="106"/>
      <c r="E1" s="107"/>
      <c r="F1" s="107"/>
      <c r="G1" s="107"/>
      <c r="H1" s="107"/>
      <c r="I1" s="107"/>
    </row>
    <row r="2" spans="1:9" s="108" customFormat="1" ht="15" customHeight="1" x14ac:dyDescent="0.3">
      <c r="A2" s="138"/>
      <c r="B2" s="101" t="str" cm="1">
        <f t="array" aca="1" ref="B2" ca="1">HYPERLINK("#"&amp;GetReferenceText(Definitions!$C$4),"(0) Tailor the assessment model and the catalogs.")</f>
        <v>(0) Tailor the assessment model and the catalogs.</v>
      </c>
      <c r="C2" s="139"/>
      <c r="D2" s="139"/>
      <c r="E2" s="107"/>
      <c r="F2" s="107"/>
      <c r="G2" s="107"/>
      <c r="H2" s="107"/>
      <c r="I2" s="107"/>
    </row>
    <row r="3" spans="1:9" s="108" customFormat="1" ht="30" customHeight="1" x14ac:dyDescent="0.3">
      <c r="A3" s="138"/>
      <c r="B3" s="140" t="s">
        <v>1779</v>
      </c>
      <c r="C3" s="140"/>
      <c r="D3" s="140"/>
      <c r="E3" s="107"/>
      <c r="F3" s="107"/>
      <c r="G3" s="107"/>
      <c r="H3" s="107"/>
      <c r="I3" s="107"/>
    </row>
    <row r="4" spans="1:9" x14ac:dyDescent="0.25">
      <c r="A4" s="63"/>
      <c r="B4" s="101" t="str" cm="1">
        <f t="array" aca="1" ref="B4" ca="1">HYPERLINK("#"&amp;GetReferenceText(Documentation!$C$2),"(1) Provide basic information in the Documentation sheet.")</f>
        <v>(1) Provide basic information in the Documentation sheet.</v>
      </c>
    </row>
    <row r="5" spans="1:9" x14ac:dyDescent="0.25">
      <c r="A5" s="63"/>
      <c r="B5" s="101" t="str" cm="1">
        <f t="array" aca="1" ref="B5" ca="1">HYPERLINK("#"&amp;GetReferenceText(Questionnaire!$C$6),"(2) Answer the questions in the Questionnaire sheet. Fill all marked boxes.")</f>
        <v>(2) Answer the questions in the Questionnaire sheet. Fill all marked boxes.</v>
      </c>
    </row>
    <row r="6" spans="1:9" ht="14.45" customHeight="1" x14ac:dyDescent="0.25">
      <c r="A6" s="63"/>
      <c r="B6" s="101" t="str" cm="1">
        <f t="array" aca="1" ref="B6" ca="1">HYPERLINK("#"&amp;GetReferenceText(Risks!$A$2),"(3) Ensure that the table in the Risks sheet is large enough to calculate all attack paths.")</f>
        <v>(3) Ensure that the table in the Risks sheet is large enough to calculate all attack paths.</v>
      </c>
    </row>
    <row r="7" spans="1:9" ht="45" customHeight="1" x14ac:dyDescent="0.25">
      <c r="A7" s="63"/>
      <c r="B7" s="140" t="s">
        <v>1262</v>
      </c>
      <c r="C7" s="140"/>
      <c r="D7" s="140"/>
    </row>
    <row r="8" spans="1:9" x14ac:dyDescent="0.25">
      <c r="A8" s="63"/>
      <c r="B8" s="101" t="str" cm="1">
        <f t="array" aca="1" ref="B8" ca="1">HYPERLINK("#"&amp;GetReferenceText(Mitigation!$J$3),"(4) Assign assumptions and countermeasures mitigating specific attack steps in the Mitigation sheet.")</f>
        <v>(4) Assign assumptions and countermeasures mitigating specific attack steps in the Mitigation sheet.</v>
      </c>
    </row>
    <row r="9" spans="1:9" ht="30" customHeight="1" x14ac:dyDescent="0.25">
      <c r="A9" s="63"/>
      <c r="B9" s="140" t="s">
        <v>1260</v>
      </c>
      <c r="C9" s="140"/>
      <c r="D9" s="140"/>
    </row>
    <row r="10" spans="1:9" x14ac:dyDescent="0.25">
      <c r="A10" s="63"/>
      <c r="B10" s="101" t="str" cm="1">
        <f t="array" aca="1" ref="B10" ca="1">HYPERLINK("#"&amp;GetReferenceText('Risk Treatment'!$A$5),"(5) Make risk treatment decisions in the Risk Treatment sheet.")</f>
        <v>(5) Make risk treatment decisions in the Risk Treatment sheet.</v>
      </c>
    </row>
    <row r="11" spans="1:9" x14ac:dyDescent="0.25">
      <c r="A11" s="63"/>
      <c r="B11" s="12"/>
    </row>
    <row r="12" spans="1:9" s="108" customFormat="1" ht="37.5" x14ac:dyDescent="0.3">
      <c r="A12" s="109" t="s">
        <v>842</v>
      </c>
      <c r="B12" s="105"/>
      <c r="C12" s="106"/>
      <c r="D12" s="106"/>
      <c r="E12" s="107"/>
      <c r="F12" s="107"/>
      <c r="G12" s="107"/>
      <c r="H12" s="107"/>
      <c r="I12" s="107"/>
    </row>
    <row r="13" spans="1:9" x14ac:dyDescent="0.25">
      <c r="A13" s="63"/>
      <c r="B13" s="12" t="s">
        <v>952</v>
      </c>
    </row>
    <row r="14" spans="1:9" x14ac:dyDescent="0.25">
      <c r="A14" s="63"/>
      <c r="B14" s="12" t="s">
        <v>845</v>
      </c>
    </row>
    <row r="15" spans="1:9" x14ac:dyDescent="0.25">
      <c r="A15" s="63"/>
      <c r="B15" s="12" t="s">
        <v>896</v>
      </c>
    </row>
    <row r="16" spans="1:9" x14ac:dyDescent="0.25">
      <c r="A16" s="63"/>
      <c r="B16" s="60" t="s">
        <v>843</v>
      </c>
    </row>
    <row r="17" spans="1:4" x14ac:dyDescent="0.25">
      <c r="A17" s="63"/>
      <c r="B17" s="12" t="s">
        <v>1270</v>
      </c>
    </row>
    <row r="18" spans="1:4" x14ac:dyDescent="0.25">
      <c r="A18" s="63"/>
      <c r="B18" s="12" t="s">
        <v>1271</v>
      </c>
    </row>
    <row r="19" spans="1:4" x14ac:dyDescent="0.25">
      <c r="A19" s="63"/>
      <c r="B19" s="12" t="s">
        <v>1760</v>
      </c>
    </row>
    <row r="20" spans="1:4" x14ac:dyDescent="0.25">
      <c r="A20" s="18"/>
    </row>
    <row r="21" spans="1:4" x14ac:dyDescent="0.25">
      <c r="A21" s="67" t="s">
        <v>786</v>
      </c>
      <c r="B21" s="68" t="s">
        <v>779</v>
      </c>
      <c r="C21" s="74"/>
      <c r="D21" s="74"/>
    </row>
    <row r="22" spans="1:4" x14ac:dyDescent="0.25">
      <c r="A22" s="64" t="s">
        <v>787</v>
      </c>
      <c r="B22" s="4" t="s">
        <v>789</v>
      </c>
    </row>
    <row r="23" spans="1:4" x14ac:dyDescent="0.25">
      <c r="A23" s="65" t="s">
        <v>911</v>
      </c>
      <c r="B23" s="12" t="s">
        <v>927</v>
      </c>
    </row>
    <row r="24" spans="1:4" x14ac:dyDescent="0.25">
      <c r="A24" s="62" t="s">
        <v>910</v>
      </c>
      <c r="B24" s="12" t="s">
        <v>909</v>
      </c>
    </row>
    <row r="25" spans="1:4" x14ac:dyDescent="0.25">
      <c r="A25" s="66" t="s">
        <v>788</v>
      </c>
      <c r="B25" s="4" t="s">
        <v>790</v>
      </c>
    </row>
    <row r="26" spans="1:4" x14ac:dyDescent="0.25">
      <c r="A26" s="131" t="s">
        <v>793</v>
      </c>
      <c r="B26" s="12" t="s">
        <v>1701</v>
      </c>
    </row>
    <row r="27" spans="1:4" x14ac:dyDescent="0.25">
      <c r="A27" s="62"/>
    </row>
    <row r="28" spans="1:4" x14ac:dyDescent="0.25">
      <c r="A28" s="67" t="s">
        <v>907</v>
      </c>
      <c r="B28" s="68" t="s">
        <v>779</v>
      </c>
      <c r="C28" s="74"/>
      <c r="D28" s="74"/>
    </row>
    <row r="29" spans="1:4" x14ac:dyDescent="0.25">
      <c r="A29" s="62" t="s">
        <v>792</v>
      </c>
      <c r="B29" s="12" t="s">
        <v>945</v>
      </c>
    </row>
    <row r="30" spans="1:4" x14ac:dyDescent="0.25">
      <c r="A30" s="69" t="s">
        <v>793</v>
      </c>
      <c r="B30" s="12" t="s">
        <v>926</v>
      </c>
    </row>
    <row r="31" spans="1:4" x14ac:dyDescent="0.25">
      <c r="A31" s="75" t="s">
        <v>906</v>
      </c>
      <c r="B31" s="4" t="s">
        <v>908</v>
      </c>
    </row>
    <row r="32" spans="1:4" x14ac:dyDescent="0.25">
      <c r="A32" s="70" t="s">
        <v>906</v>
      </c>
      <c r="B32" s="4" t="s">
        <v>794</v>
      </c>
    </row>
    <row r="33" spans="1:13" x14ac:dyDescent="0.25">
      <c r="A33" s="103" t="s">
        <v>1264</v>
      </c>
      <c r="B33" s="4" t="s">
        <v>1265</v>
      </c>
    </row>
    <row r="35" spans="1:13" s="108" customFormat="1" ht="18.75" x14ac:dyDescent="0.3">
      <c r="A35" s="104" t="s">
        <v>1266</v>
      </c>
      <c r="B35" s="104"/>
      <c r="C35" s="104"/>
      <c r="D35" s="104"/>
      <c r="E35" s="107"/>
      <c r="F35" s="107"/>
      <c r="G35" s="107"/>
      <c r="H35" s="107"/>
      <c r="I35" s="107"/>
    </row>
    <row r="36" spans="1:13" x14ac:dyDescent="0.25">
      <c r="A36" s="13" t="s">
        <v>540</v>
      </c>
      <c r="B36" s="13" t="s">
        <v>784</v>
      </c>
      <c r="C36" s="10" t="s">
        <v>779</v>
      </c>
      <c r="D36" s="2" t="s">
        <v>3</v>
      </c>
      <c r="E36" s="12" t="s">
        <v>783</v>
      </c>
      <c r="F36" s="12" t="s">
        <v>785</v>
      </c>
      <c r="G36" s="12" t="s">
        <v>248</v>
      </c>
      <c r="H36" s="12" t="s">
        <v>781</v>
      </c>
      <c r="I36" s="12" t="s">
        <v>1331</v>
      </c>
      <c r="K36" s="1" t="s">
        <v>782</v>
      </c>
      <c r="L36" s="2" t="s">
        <v>841</v>
      </c>
      <c r="M36" s="2" t="s">
        <v>1208</v>
      </c>
    </row>
    <row r="37" spans="1:13" ht="30" outlineLevel="1" x14ac:dyDescent="0.25">
      <c r="A37" s="23" t="str" cm="1">
        <f t="array" aca="1" ref="A37" ca="1">IF(INDEX($H:$H,ROW()-1)&lt;&gt;$H37,$E37,"")</f>
        <v>Version History</v>
      </c>
      <c r="B37" s="71" t="str" cm="1">
        <f t="array" aca="1" ref="B37" ca="1">IF($K37="","",_xlfn.LET(
_xlpm._fullName,IF($L37="",SUBSTITUTE(SUBSTITUTE(INDIRECT($K37),CHAR(10)," "),"  "," "),$L37),
_xlpm._truncatedName,IF(LEN(_xlpm._fullName)&gt;250,LEFT(_xlpm._fullName,250)&amp;"[…]",_xlpm._fullName),
HYPERLINK("#'"&amp;$E37&amp;"'!"&amp;$F37&amp;$G37,
_xlpm._truncatedName)))</f>
        <v>Template Version History</v>
      </c>
      <c r="C37" s="13" t="s">
        <v>833</v>
      </c>
      <c r="D37" s="13"/>
      <c r="E37" s="61" t="str">
        <f t="shared" ref="E37:E41" ca="1" si="0">IF($K37="","",_xlfn.LET(
_xlpm._in,$K37,
_xlpm._start,FIND("]",_xlpm._in)+1,
SUBSTITUTE(MID(_xlpm._in,_xlpm._start,FIND("!",_xlpm._in)-_xlpm._start),"'","")))</f>
        <v>Version History</v>
      </c>
      <c r="F37" s="61" t="str">
        <f t="shared" ref="F37:F41" ca="1" si="1">IF($K37="","",_xlfn.LET(
_xlpm._in,SUBSTITUTE($K37,"$","§",1),
_xlpm._start,FIND("§",_xlpm._in)+1,
SUBSTITUTE(MID(_xlpm._in,_xlpm._start,FIND("$",_xlpm._in)-_xlpm._start),"'","")))</f>
        <v>B</v>
      </c>
      <c r="G37" s="61" t="str">
        <f t="shared" ref="G37:G41" ca="1" si="2">IF($K37="","",RIGHT($K37,LEN($K37)-FIND("$",SUBSTITUTE($K37,"$","§",1))))</f>
        <v>1</v>
      </c>
      <c r="H37" s="61" cm="1">
        <f t="array" aca="1" ref="H37" ca="1">CreateID($H$36,$H:$H,$E37&lt;&gt;INDEX($E:$E,ROW()-1))</f>
        <v>1</v>
      </c>
      <c r="I37" s="61" t="str" cm="1">
        <f t="array" aca="1" ref="I37" ca="1">INDIRECT($K37)</f>
        <v>Template Version History</v>
      </c>
      <c r="K37" s="1" t="str" cm="1">
        <f t="array" aca="1" ref="K37" ca="1">CELL("address",'Version History'!$B$1)</f>
        <v>'[2025-07-30_QuBA_libre.xlsx]Version History'!$B$1</v>
      </c>
    </row>
    <row r="38" spans="1:13" ht="30" outlineLevel="1" x14ac:dyDescent="0.25">
      <c r="A38" s="23" t="str" cm="1">
        <f t="array" aca="1" ref="A38" ca="1">IF(INDEX($H:$H,ROW()-1)&lt;&gt;$H38,$E38,"")</f>
        <v/>
      </c>
      <c r="B38" s="71" t="str" cm="1">
        <f t="array" aca="1" ref="B38" ca="1">IF($K38="","",_xlfn.LET(
_xlpm._fullName,IF($L38="",SUBSTITUTE(SUBSTITUTE(INDIRECT($K38),CHAR(10)," "),"  "," "),$L38),
_xlpm._truncatedName,IF(LEN(_xlpm._fullName)&gt;250,LEFT(_xlpm._fullName,250)&amp;"[…]",_xlpm._fullName),
HYPERLINK("#'"&amp;$E38&amp;"'!"&amp;$F38&amp;$G38,
_xlpm._truncatedName)))</f>
        <v>Definitions and Damage Scenarios Version History</v>
      </c>
      <c r="C38" s="13" t="s">
        <v>1368</v>
      </c>
      <c r="D38" s="13"/>
      <c r="E38" s="61" t="str">
        <f t="shared" ca="1" si="0"/>
        <v>Version History</v>
      </c>
      <c r="F38" s="61" t="str">
        <f t="shared" ca="1" si="1"/>
        <v>B</v>
      </c>
      <c r="G38" s="61" t="str">
        <f t="shared" ca="1" si="2"/>
        <v>5</v>
      </c>
      <c r="H38" s="61" cm="1">
        <f t="array" aca="1" ref="H38" ca="1">CreateID($H$36,$H:$H,$E38&lt;&gt;INDEX($E:$E,ROW()-1))</f>
        <v>1</v>
      </c>
      <c r="I38" s="61" t="str" cm="1">
        <f t="array" aca="1" ref="I38" ca="1">INDIRECT($K38)</f>
        <v>Definitions and Damage Scenarios Version History</v>
      </c>
      <c r="K38" s="1" t="str" cm="1">
        <f t="array" aca="1" ref="K38" ca="1">CELL("address",'Version History'!$B$5)</f>
        <v>'[2025-07-30_QuBA_libre.xlsx]Version History'!$B$5</v>
      </c>
    </row>
    <row r="39" spans="1:13" outlineLevel="1" x14ac:dyDescent="0.25">
      <c r="A39" s="23" t="str" cm="1">
        <f t="array" aca="1" ref="A39" ca="1">IF(INDEX($H:$H,ROW()-1)&lt;&gt;$H39,$E39,"")</f>
        <v/>
      </c>
      <c r="B39" s="71" t="str" cm="1">
        <f t="array" aca="1" ref="B39" ca="1">IF($K39="","",_xlfn.LET(
_xlpm._fullName,IF($L39="",SUBSTITUTE(SUBSTITUTE(INDIRECT($K39),CHAR(10)," "),"  "," "),$L39),
_xlpm._truncatedName,IF(LEN(_xlpm._fullName)&gt;250,LEFT(_xlpm._fullName,250)&amp;"[…]",_xlpm._fullName),
HYPERLINK("#'"&amp;$E39&amp;"'!"&amp;$F39&amp;$G39,
_xlpm._truncatedName)))</f>
        <v>Attack Steps Version History</v>
      </c>
      <c r="C39" s="13" t="s">
        <v>834</v>
      </c>
      <c r="D39" s="13"/>
      <c r="E39" s="61" t="str">
        <f t="shared" ca="1" si="0"/>
        <v>Version History</v>
      </c>
      <c r="F39" s="61" t="str">
        <f t="shared" ca="1" si="1"/>
        <v>B</v>
      </c>
      <c r="G39" s="61" t="str">
        <f t="shared" ca="1" si="2"/>
        <v>9</v>
      </c>
      <c r="H39" s="61" cm="1">
        <f t="array" aca="1" ref="H39" ca="1">CreateID($H$36,$H:$H,$E39&lt;&gt;INDEX($E:$E,ROW()-1))</f>
        <v>1</v>
      </c>
      <c r="I39" s="61" t="str" cm="1">
        <f t="array" aca="1" ref="I39" ca="1">INDIRECT($K39)</f>
        <v>Attack Steps Version History</v>
      </c>
      <c r="K39" s="1" t="str" cm="1">
        <f t="array" aca="1" ref="K39" ca="1">CELL("address",'Version History'!$B$9)</f>
        <v>'[2025-07-30_QuBA_libre.xlsx]Version History'!$B$9</v>
      </c>
    </row>
    <row r="40" spans="1:13" outlineLevel="1" x14ac:dyDescent="0.25">
      <c r="A40" s="23" t="str" cm="1">
        <f t="array" aca="1" ref="A40" ca="1">IF(INDEX($H:$H,ROW()-1)&lt;&gt;$H40,$E40,"")</f>
        <v/>
      </c>
      <c r="B40" s="71" t="str" cm="1">
        <f t="array" aca="1" ref="B40" ca="1">IF($K40="","",_xlfn.LET(
_xlpm._fullName,IF($L40="",SUBSTITUTE(SUBSTITUTE(INDIRECT($K40),CHAR(10)," "),"  "," "),$L40),
_xlpm._truncatedName,IF(LEN(_xlpm._fullName)&gt;250,LEFT(_xlpm._fullName,250)&amp;"[…]",_xlpm._fullName),
HYPERLINK("#'"&amp;$E40&amp;"'!"&amp;$F40&amp;$G40,
_xlpm._truncatedName)))</f>
        <v>Assumptions Version History</v>
      </c>
      <c r="C40" s="13" t="s">
        <v>835</v>
      </c>
      <c r="D40" s="13"/>
      <c r="E40" s="61" t="str">
        <f t="shared" ca="1" si="0"/>
        <v>Version History</v>
      </c>
      <c r="F40" s="61" t="str">
        <f t="shared" ca="1" si="1"/>
        <v>B</v>
      </c>
      <c r="G40" s="61" t="str">
        <f t="shared" ca="1" si="2"/>
        <v>13</v>
      </c>
      <c r="H40" s="61" cm="1">
        <f t="array" aca="1" ref="H40" ca="1">CreateID($H$36,$H:$H,$E40&lt;&gt;INDEX($E:$E,ROW()-1))</f>
        <v>1</v>
      </c>
      <c r="I40" s="61" t="str" cm="1">
        <f t="array" aca="1" ref="I40" ca="1">INDIRECT($K40)</f>
        <v>Assumptions Version History</v>
      </c>
      <c r="K40" s="1" t="str" cm="1">
        <f t="array" aca="1" ref="K40" ca="1">CELL("address",'Version History'!$B$13)</f>
        <v>'[2025-07-30_QuBA_libre.xlsx]Version History'!$B$13</v>
      </c>
    </row>
    <row r="41" spans="1:13" outlineLevel="1" x14ac:dyDescent="0.25">
      <c r="A41" s="23" t="str" cm="1">
        <f t="array" aca="1" ref="A41" ca="1">IF(INDEX($H:$H,ROW()-1)&lt;&gt;$H41,$E41,"")</f>
        <v/>
      </c>
      <c r="B41" s="71" t="str" cm="1">
        <f t="array" aca="1" ref="B41" ca="1">IF($K41="","",_xlfn.LET(
_xlpm._fullName,IF($L41="",SUBSTITUTE(SUBSTITUTE(INDIRECT($K41),CHAR(10)," "),"  "," "),$L41),
_xlpm._truncatedName,IF(LEN(_xlpm._fullName)&gt;250,LEFT(_xlpm._fullName,250)&amp;"[…]",_xlpm._fullName),
HYPERLINK("#'"&amp;$E41&amp;"'!"&amp;$F41&amp;$G41,
_xlpm._truncatedName)))</f>
        <v>Countermeasures Version History</v>
      </c>
      <c r="C41" s="13" t="s">
        <v>836</v>
      </c>
      <c r="D41" s="13"/>
      <c r="E41" s="61" t="str">
        <f t="shared" ca="1" si="0"/>
        <v>Version History</v>
      </c>
      <c r="F41" s="61" t="str">
        <f t="shared" ca="1" si="1"/>
        <v>B</v>
      </c>
      <c r="G41" s="61" t="str">
        <f t="shared" ca="1" si="2"/>
        <v>17</v>
      </c>
      <c r="H41" s="61" cm="1">
        <f t="array" aca="1" ref="H41" ca="1">CreateID($H$36,$H:$H,$E41&lt;&gt;INDEX($E:$E,ROW()-1))</f>
        <v>1</v>
      </c>
      <c r="I41" s="61" t="str" cm="1">
        <f t="array" aca="1" ref="I41" ca="1">INDIRECT($K41)</f>
        <v>Countermeasures Version History</v>
      </c>
      <c r="K41" s="1" t="str" cm="1">
        <f t="array" aca="1" ref="K41" ca="1">CELL("address",'Version History'!$B$17)</f>
        <v>'[2025-07-30_QuBA_libre.xlsx]Version History'!$B$17</v>
      </c>
    </row>
    <row r="42" spans="1:13" x14ac:dyDescent="0.25">
      <c r="A42" s="13" t="str" cm="1">
        <f t="array" aca="1" ref="A42" ca="1">IF(INDEX($H:$H,ROW()-1)&lt;&gt;$H42,$E42,"")</f>
        <v>Definitions</v>
      </c>
      <c r="B42" s="71" t="str" cm="1">
        <f t="array" aca="1" ref="B42" ca="1">IF($K42="","",_xlfn.LET(
_xlpm._fullName,IF($L42="",SUBSTITUTE(SUBSTITUTE(INDIRECT($K42),CHAR(10)," "),"  "," "),$L42),
_xlpm._truncatedName,IF(LEN(_xlpm._fullName)&gt;250,LEFT(_xlpm._fullName,250)&amp;"[…]",_xlpm._fullName),
HYPERLINK("#'"&amp;$E42&amp;"'!"&amp;$F42&amp;$G42,
_xlpm._truncatedName)))</f>
        <v>Yes / No</v>
      </c>
      <c r="C42" s="13" t="s">
        <v>780</v>
      </c>
      <c r="D42" s="13"/>
      <c r="E42" s="22" t="str">
        <f t="shared" ref="E42:E50" ca="1" si="3">IF($K42="","",_xlfn.LET(
_xlpm._in,$K42,
_xlpm._start,FIND("]",_xlpm._in)+1,
SUBSTITUTE(MID(_xlpm._in,_xlpm._start,FIND("!",_xlpm._in)-_xlpm._start),"'","")))</f>
        <v>Definitions</v>
      </c>
      <c r="F42" s="22" t="str">
        <f t="shared" ref="F42:F56" ca="1" si="4">IF($K42="","",_xlfn.LET(
_xlpm._in,SUBSTITUTE($K42,"$","§",1),
_xlpm._start,FIND("§",_xlpm._in)+1,
SUBSTITUTE(MID(_xlpm._in,_xlpm._start,FIND("$",_xlpm._in)-_xlpm._start),"'","")))</f>
        <v>A</v>
      </c>
      <c r="G42" s="22" t="str">
        <f t="shared" ref="G42:G56" ca="1" si="5">IF($K42="","",RIGHT($K42,LEN($K42)-FIND("$",SUBSTITUTE($K42,"$","§",1))))</f>
        <v>2</v>
      </c>
      <c r="H42" s="22" cm="1">
        <f t="array" aca="1" ref="H42" ca="1">CreateID($H$36,$H:$H,$E42&lt;&gt;INDEX($E:$E,ROW()-1))</f>
        <v>2</v>
      </c>
      <c r="I42" s="61" t="str" cm="1">
        <f t="array" aca="1" ref="I42" ca="1">INDIRECT($K42)</f>
        <v>Yes / No</v>
      </c>
      <c r="K42" s="2" t="str" cm="1">
        <f t="array" aca="1" ref="K42" ca="1">CELL("address",Definitions!$A$2)</f>
        <v>'[2025-07-30_QuBA_libre.xlsx]Definitions'!$A$2</v>
      </c>
    </row>
    <row r="43" spans="1:13" x14ac:dyDescent="0.25">
      <c r="A43" s="23" t="str" cm="1">
        <f t="array" aca="1" ref="A43" ca="1">IF(INDEX($H:$H,ROW()-1)&lt;&gt;$H43,$E43,"")</f>
        <v/>
      </c>
      <c r="B43" s="71" t="str" cm="1">
        <f t="array" aca="1" ref="B43" ca="1">IF($K43="","",_xlfn.LET(
_xlpm._fullName,IF($L43="",SUBSTITUTE(SUBSTITUTE(INDIRECT($K43),CHAR(10)," "),"  "," "),$L43),
_xlpm._truncatedName,IF(LEN(_xlpm._fullName)&gt;250,LEFT(_xlpm._fullName,250)&amp;"[…]",_xlpm._fullName),
HYPERLINK("#'"&amp;$E43&amp;"'!"&amp;$F43&amp;$G43,
_xlpm._truncatedName)))</f>
        <v>Company Name</v>
      </c>
      <c r="C43" s="13" t="s">
        <v>1326</v>
      </c>
      <c r="D43" s="13"/>
      <c r="E43" s="61" t="str">
        <f ca="1">IF($K43="","",_xlfn.LET(
_xlpm._in,$K43,
_xlpm._start,FIND("]",_xlpm._in)+1,
SUBSTITUTE(MID(_xlpm._in,_xlpm._start,FIND("!",_xlpm._in)-_xlpm._start),"'","")))</f>
        <v>Definitions</v>
      </c>
      <c r="F43" s="61" t="str">
        <f ca="1">IF($K43="","",_xlfn.LET(
_xlpm._in,SUBSTITUTE($K43,"$","§",1),
_xlpm._start,FIND("§",_xlpm._in)+1,
SUBSTITUTE(MID(_xlpm._in,_xlpm._start,FIND("$",_xlpm._in)-_xlpm._start),"'","")))</f>
        <v>C</v>
      </c>
      <c r="G43" s="61" t="str">
        <f ca="1">IF($K43="","",RIGHT($K43,LEN($K43)-FIND("$",SUBSTITUTE($K43,"$","§",1))))</f>
        <v>2</v>
      </c>
      <c r="H43" s="61" cm="1">
        <f t="array" aca="1" ref="H43" ca="1">CreateID($H$36,$H:$H,$E43&lt;&gt;INDEX($E:$E,ROW()-1))</f>
        <v>2</v>
      </c>
      <c r="I43" s="61" t="str" cm="1">
        <f t="array" aca="1" ref="I43" ca="1">INDIRECT($K43)</f>
        <v>Company Name</v>
      </c>
      <c r="K43" s="2" t="str" cm="1">
        <f t="array" aca="1" ref="K43" ca="1">CELL("address",Definitions!$C$2)</f>
        <v>'[2025-07-30_QuBA_libre.xlsx]Definitions'!$C$2</v>
      </c>
    </row>
    <row r="44" spans="1:13" ht="30" outlineLevel="1" x14ac:dyDescent="0.25">
      <c r="A44" s="13" t="str" cm="1">
        <f t="array" aca="1" ref="A44" ca="1">IF(INDEX($H:$H,ROW()-1)&lt;&gt;$H44,$E44,"")</f>
        <v/>
      </c>
      <c r="B44" s="71" t="str" cm="1">
        <f t="array" aca="1" ref="B44" ca="1">IF($K44="","",_xlfn.LET(
_xlpm._fullName,IF($L44="",SUBSTITUTE(SUBSTITUTE(INDIRECT($K44),CHAR(10)," "),"  "," "),$L44),
_xlpm._truncatedName,IF(LEN(_xlpm._fullName)&gt;250,LEFT(_xlpm._fullName,250)&amp;"[…]",_xlpm._fullName),
HYPERLINK("#'"&amp;$E44&amp;"'!"&amp;$F44&amp;$G44,
_xlpm._truncatedName)))</f>
        <v>Damage Categories</v>
      </c>
      <c r="C44" s="13" t="s">
        <v>1724</v>
      </c>
      <c r="D44" s="13"/>
      <c r="E44" s="22" t="str">
        <f t="shared" ca="1" si="3"/>
        <v>Definitions</v>
      </c>
      <c r="F44" s="22" t="str">
        <f t="shared" ca="1" si="4"/>
        <v>E</v>
      </c>
      <c r="G44" s="22" t="str">
        <f t="shared" ca="1" si="5"/>
        <v>2</v>
      </c>
      <c r="H44" s="22" cm="1">
        <f t="array" aca="1" ref="H44" ca="1">CreateID($H$36,$H:$H,$E44&lt;&gt;INDEX($E:$E,ROW()-1))</f>
        <v>2</v>
      </c>
      <c r="I44" s="61" t="str" cm="1">
        <f t="array" aca="1" ref="I44" ca="1">INDIRECT($K44)</f>
        <v>Damage Categories</v>
      </c>
      <c r="K44" s="2" t="str" cm="1">
        <f t="array" aca="1" ref="K44" ca="1">CELL("address",Definitions!$E$2)</f>
        <v>'[2025-07-30_QuBA_libre.xlsx]Definitions'!$E$2</v>
      </c>
    </row>
    <row r="45" spans="1:13" ht="30" outlineLevel="1" x14ac:dyDescent="0.25">
      <c r="A45" s="13" t="str" cm="1">
        <f t="array" aca="1" ref="A45" ca="1">IF(INDEX($H:$H,ROW()-1)&lt;&gt;$H45,$E45,"")</f>
        <v/>
      </c>
      <c r="B45" s="71" t="str" cm="1">
        <f t="array" aca="1" ref="B45" ca="1">IF($K45="","",_xlfn.LET(
_xlpm._fullName,IF($L45="",SUBSTITUTE(SUBSTITUTE(INDIRECT($K45),CHAR(10)," "),"  "," "),$L45),
_xlpm._truncatedName,IF(LEN(_xlpm._fullName)&gt;250,LEFT(_xlpm._fullName,250)&amp;"[…]",_xlpm._fullName),
HYPERLINK("#'"&amp;$E45&amp;"'!"&amp;$F45&amp;$G45,
_xlpm._truncatedName)))</f>
        <v>Damage Criteria</v>
      </c>
      <c r="C45" s="13" t="s">
        <v>1725</v>
      </c>
      <c r="D45" s="13"/>
      <c r="E45" s="22" t="str">
        <f t="shared" ca="1" si="3"/>
        <v>Definitions</v>
      </c>
      <c r="F45" s="22" t="str">
        <f t="shared" ca="1" si="4"/>
        <v>G</v>
      </c>
      <c r="G45" s="22" t="str">
        <f t="shared" ca="1" si="5"/>
        <v>2</v>
      </c>
      <c r="H45" s="22" cm="1">
        <f t="array" aca="1" ref="H45" ca="1">CreateID($H$36,$H:$H,$E45&lt;&gt;INDEX($E:$E,ROW()-1))</f>
        <v>2</v>
      </c>
      <c r="I45" s="61" t="str" cm="1">
        <f t="array" aca="1" ref="I45" ca="1">INDIRECT($K45)</f>
        <v>Damage Criteria</v>
      </c>
      <c r="K45" s="2" t="str" cm="1">
        <f t="array" aca="1" ref="K45" ca="1">CELL("address",Definitions!$G$2)</f>
        <v>'[2025-07-30_QuBA_libre.xlsx]Definitions'!$G$2</v>
      </c>
    </row>
    <row r="46" spans="1:13" outlineLevel="1" x14ac:dyDescent="0.25">
      <c r="A46" s="13" t="str" cm="1">
        <f t="array" aca="1" ref="A46" ca="1">IF(INDEX($H:$H,ROW()-1)&lt;&gt;$H46,$E46,"")</f>
        <v/>
      </c>
      <c r="B46" s="71" t="str" cm="1">
        <f t="array" aca="1" ref="B46" ca="1">IF($K46="","",_xlfn.LET(
_xlpm._fullName,IF($L46="",SUBSTITUTE(SUBSTITUTE(INDIRECT($K46),CHAR(10)," "),"  "," "),$L46),
_xlpm._truncatedName,IF(LEN(_xlpm._fullName)&gt;250,LEFT(_xlpm._fullName,250)&amp;"[…]",_xlpm._fullName),
HYPERLINK("#'"&amp;$E46&amp;"'!"&amp;$F46&amp;$G46,
_xlpm._truncatedName)))</f>
        <v>Risk Treatment</v>
      </c>
      <c r="C46" s="13" t="s">
        <v>1299</v>
      </c>
      <c r="D46" s="13"/>
      <c r="E46" s="22" t="str">
        <f t="shared" ca="1" si="3"/>
        <v>Definitions</v>
      </c>
      <c r="F46" s="22" t="str">
        <f t="shared" ca="1" si="4"/>
        <v>M</v>
      </c>
      <c r="G46" s="22" t="str">
        <f t="shared" ca="1" si="5"/>
        <v>2</v>
      </c>
      <c r="H46" s="22" cm="1">
        <f t="array" aca="1" ref="H46" ca="1">CreateID($H$36,$H:$H,$E46&lt;&gt;INDEX($E:$E,ROW()-1))</f>
        <v>2</v>
      </c>
      <c r="I46" s="61" t="str" cm="1">
        <f t="array" aca="1" ref="I46" ca="1">INDIRECT($K46)</f>
        <v>Risk Treatment</v>
      </c>
      <c r="K46" s="2" t="str" cm="1">
        <f t="array" aca="1" ref="K46" ca="1">CELL("address",Definitions!$M$2)</f>
        <v>'[2025-07-30_QuBA_libre.xlsx]Definitions'!$M$2</v>
      </c>
    </row>
    <row r="47" spans="1:13" ht="30" outlineLevel="1" x14ac:dyDescent="0.25">
      <c r="A47" s="13" t="str" cm="1">
        <f t="array" aca="1" ref="A47" ca="1">IF(INDEX($H:$H,ROW()-1)&lt;&gt;$H47,$E47,"")</f>
        <v/>
      </c>
      <c r="B47" s="71" t="str" cm="1">
        <f t="array" aca="1" ref="B47" ca="1">IF($K47="","",_xlfn.LET(
_xlpm._fullName,IF($L47="",SUBSTITUTE(SUBSTITUTE(INDIRECT($K47),CHAR(10)," "),"  "," "),$L47),
_xlpm._truncatedName,IF(LEN(_xlpm._fullName)&gt;250,LEFT(_xlpm._fullName,250)&amp;"[…]",_xlpm._fullName),
HYPERLINK("#'"&amp;$E47&amp;"'!"&amp;$F47&amp;$G47,
_xlpm._truncatedName)))</f>
        <v>Type of gateway</v>
      </c>
      <c r="C47" s="13" t="s">
        <v>1300</v>
      </c>
      <c r="D47" s="13"/>
      <c r="E47" s="22" t="str">
        <f t="shared" ca="1" si="3"/>
        <v>Definitions</v>
      </c>
      <c r="F47" s="22" t="str">
        <f t="shared" ca="1" si="4"/>
        <v>O</v>
      </c>
      <c r="G47" s="22" t="str">
        <f t="shared" ca="1" si="5"/>
        <v>2</v>
      </c>
      <c r="H47" s="22" cm="1">
        <f t="array" aca="1" ref="H47" ca="1">CreateID($H$36,$H:$H,$E47&lt;&gt;INDEX($E:$E,ROW()-1))</f>
        <v>2</v>
      </c>
      <c r="I47" s="61" t="str" cm="1">
        <f t="array" aca="1" ref="I47" ca="1">INDIRECT($K47)</f>
        <v>Type of gateway</v>
      </c>
      <c r="K47" s="2" t="str" cm="1">
        <f t="array" aca="1" ref="K47" ca="1">CELL("address",Definitions!$O$2)</f>
        <v>'[2025-07-30_QuBA_libre.xlsx]Definitions'!$O$2</v>
      </c>
    </row>
    <row r="48" spans="1:13" ht="45" outlineLevel="1" x14ac:dyDescent="0.25">
      <c r="A48" s="13" t="str" cm="1">
        <f t="array" aca="1" ref="A48" ca="1">IF(INDEX($H:$H,ROW()-1)&lt;&gt;$H48,$E48,"")</f>
        <v/>
      </c>
      <c r="B48" s="71" t="str" cm="1">
        <f t="array" aca="1" ref="B48" ca="1">IF($K48="","",_xlfn.LET(
_xlpm._fullName,IF($L48="",SUBSTITUTE(SUBSTITUTE(INDIRECT($K48),CHAR(10)," "),"  "," "),$L48),
_xlpm._truncatedName,IF(LEN(_xlpm._fullName)&gt;250,LEFT(_xlpm._fullName,250)&amp;"[…]",_xlpm._fullName),
HYPERLINK("#'"&amp;$E48&amp;"'!"&amp;$F48&amp;$G48,
_xlpm._truncatedName)))</f>
        <v>Damage Levels</v>
      </c>
      <c r="C48" s="13" t="s">
        <v>1726</v>
      </c>
      <c r="D48" s="13"/>
      <c r="E48" s="22" t="str">
        <f t="shared" ca="1" si="3"/>
        <v>Definitions</v>
      </c>
      <c r="F48" s="22" t="str">
        <f t="shared" ca="1" si="4"/>
        <v>Q</v>
      </c>
      <c r="G48" s="22" t="str">
        <f t="shared" ca="1" si="5"/>
        <v>2</v>
      </c>
      <c r="H48" s="22" cm="1">
        <f t="array" aca="1" ref="H48" ca="1">CreateID($H$36,$H:$H,$E48&lt;&gt;INDEX($E:$E,ROW()-1))</f>
        <v>2</v>
      </c>
      <c r="I48" s="61" t="str" cm="1">
        <f t="array" aca="1" ref="I48" ca="1">INDIRECT($K48)</f>
        <v>Damage Levels</v>
      </c>
      <c r="K48" s="2" t="str" cm="1">
        <f t="array" aca="1" ref="K48" ca="1">CELL("address",Definitions!$Q$2)</f>
        <v>'[2025-07-30_QuBA_libre.xlsx]Definitions'!$Q$2</v>
      </c>
    </row>
    <row r="49" spans="1:11" ht="30" outlineLevel="1" x14ac:dyDescent="0.25">
      <c r="A49" s="13" t="str" cm="1">
        <f t="array" aca="1" ref="A49" ca="1">IF(INDEX($H:$H,ROW()-1)&lt;&gt;$H49,$E49,"")</f>
        <v/>
      </c>
      <c r="B49" s="71" t="str" cm="1">
        <f t="array" aca="1" ref="B49" ca="1">IF($K49="","",_xlfn.LET(
_xlpm._fullName,IF($L49="",SUBSTITUTE(SUBSTITUTE(INDIRECT($K49),CHAR(10)," "),"  "," "),$L49),
_xlpm._truncatedName,IF(LEN(_xlpm._fullName)&gt;250,LEFT(_xlpm._fullName,250)&amp;"[…]",_xlpm._fullName),
HYPERLINK("#'"&amp;$E49&amp;"'!"&amp;$F49&amp;$G49,
_xlpm._truncatedName)))</f>
        <v>Line Width</v>
      </c>
      <c r="C49" s="13" t="s">
        <v>1301</v>
      </c>
      <c r="D49" s="13"/>
      <c r="E49" s="22" t="str">
        <f t="shared" ca="1" si="3"/>
        <v>Definitions</v>
      </c>
      <c r="F49" s="22" t="str">
        <f t="shared" ca="1" si="4"/>
        <v>T</v>
      </c>
      <c r="G49" s="22" t="str">
        <f t="shared" ca="1" si="5"/>
        <v>2</v>
      </c>
      <c r="H49" s="22" cm="1">
        <f t="array" aca="1" ref="H49" ca="1">CreateID($H$36,$H:$H,$E49&lt;&gt;INDEX($E:$E,ROW()-1))</f>
        <v>2</v>
      </c>
      <c r="I49" s="61" t="str" cm="1">
        <f t="array" aca="1" ref="I49" ca="1">INDIRECT($K49)</f>
        <v>Line Width</v>
      </c>
      <c r="K49" s="2" t="str" cm="1">
        <f t="array" aca="1" ref="K49" ca="1">CELL("address",Definitions!$T$2)</f>
        <v>'[2025-07-30_QuBA_libre.xlsx]Definitions'!$T$2</v>
      </c>
    </row>
    <row r="50" spans="1:11" ht="45" outlineLevel="1" x14ac:dyDescent="0.25">
      <c r="A50" s="13" t="str" cm="1">
        <f t="array" aca="1" ref="A50" ca="1">IF(INDEX($H:$H,ROW()-1)&lt;&gt;$H50,$E50,"")</f>
        <v/>
      </c>
      <c r="B50" s="71" t="str" cm="1">
        <f t="array" aca="1" ref="B50" ca="1">IF($K50="","",_xlfn.LET(
_xlpm._fullName,IF($L50="",SUBSTITUTE(SUBSTITUTE(INDIRECT($K50),CHAR(10)," "),"  "," "),$L50),
_xlpm._truncatedName,IF(LEN(_xlpm._fullName)&gt;250,LEFT(_xlpm._fullName,250)&amp;"[…]",_xlpm._fullName),
HYPERLINK("#'"&amp;$E50&amp;"'!"&amp;$F50&amp;$G50,
_xlpm._truncatedName)))</f>
        <v>Required Attack Potential</v>
      </c>
      <c r="C50" s="13" t="s">
        <v>1727</v>
      </c>
      <c r="D50" s="13"/>
      <c r="E50" s="22" t="str">
        <f t="shared" ca="1" si="3"/>
        <v>Definitions</v>
      </c>
      <c r="F50" s="22" t="str">
        <f t="shared" ca="1" si="4"/>
        <v>V</v>
      </c>
      <c r="G50" s="22" t="str">
        <f t="shared" ca="1" si="5"/>
        <v>2</v>
      </c>
      <c r="H50" s="22" cm="1">
        <f t="array" aca="1" ref="H50" ca="1">CreateID($H$36,$H:$H,$E50&lt;&gt;INDEX($E:$E,ROW()-1))</f>
        <v>2</v>
      </c>
      <c r="I50" s="61" t="str" cm="1">
        <f t="array" aca="1" ref="I50" ca="1">INDIRECT($K50)</f>
        <v>Required Attack Potential</v>
      </c>
      <c r="K50" s="2" t="str" cm="1">
        <f t="array" aca="1" ref="K50" ca="1">CELL("address",Definitions!$V$2)</f>
        <v>'[2025-07-30_QuBA_libre.xlsx]Definitions'!$V$2</v>
      </c>
    </row>
    <row r="51" spans="1:11" ht="45" outlineLevel="1" x14ac:dyDescent="0.25">
      <c r="A51" s="23" t="str" cm="1">
        <f t="array" aca="1" ref="A51" ca="1">IF(INDEX($H:$H,ROW()-1)&lt;&gt;$H51,$E51,"")</f>
        <v/>
      </c>
      <c r="B51" s="71" t="str" cm="1">
        <f t="array" aca="1" ref="B51" ca="1">IF($K51="","",_xlfn.LET(
_xlpm._fullName,IF($L51="",SUBSTITUTE(SUBSTITUTE(INDIRECT($K51),CHAR(10)," "),"  "," "),$L51),
_xlpm._truncatedName,IF(LEN(_xlpm._fullName)&gt;250,LEFT(_xlpm._fullName,250)&amp;"[…]",_xlpm._fullName),
HYPERLINK("#'"&amp;$E51&amp;"'!"&amp;$F51&amp;$G51,
_xlpm._truncatedName)))</f>
        <v>Required Attack Potential - Factors</v>
      </c>
      <c r="C51" s="13" t="s">
        <v>1728</v>
      </c>
      <c r="D51" s="13"/>
      <c r="E51" s="61" t="str">
        <f t="shared" ref="E51:E56" ca="1" si="6">IF($K51="","",_xlfn.LET(
_xlpm._in,$K51,
_xlpm._start,FIND("]",_xlpm._in)+1,
SUBSTITUTE(MID(_xlpm._in,_xlpm._start,FIND("!",_xlpm._in)-_xlpm._start),"'","")))</f>
        <v>Definitions</v>
      </c>
      <c r="F51" s="61" t="str">
        <f t="shared" ca="1" si="4"/>
        <v>Y</v>
      </c>
      <c r="G51" s="61" t="str">
        <f t="shared" ca="1" si="5"/>
        <v>2</v>
      </c>
      <c r="H51" s="61" cm="1">
        <f t="array" aca="1" ref="H51" ca="1">CreateID($H$36,$H:$H,$E51&lt;&gt;INDEX($E:$E,ROW()-1))</f>
        <v>2</v>
      </c>
      <c r="I51" s="61" t="str" cm="1">
        <f t="array" aca="1" ref="I51" ca="1">INDIRECT($K51)</f>
        <v>Required Attack Potential - Factors</v>
      </c>
      <c r="K51" s="2" t="str" cm="1">
        <f t="array" aca="1" ref="K51" ca="1">CELL("address",Definitions!$Y$2)</f>
        <v>'[2025-07-30_QuBA_libre.xlsx]Definitions'!$Y$2</v>
      </c>
    </row>
    <row r="52" spans="1:11" ht="45" outlineLevel="1" x14ac:dyDescent="0.25">
      <c r="A52" s="23" t="str" cm="1">
        <f t="array" aca="1" ref="A52" ca="1">IF(INDEX($H:$H,ROW()-1)&lt;&gt;$H52,$E52,"")</f>
        <v/>
      </c>
      <c r="B52" s="71" t="str" cm="1">
        <f t="array" aca="1" ref="B52" ca="1">IF($K52="","",_xlfn.LET(
_xlpm._fullName,IF($L52="",SUBSTITUTE(SUBSTITUTE(INDIRECT($K52),CHAR(10)," "),"  "," "),$L52),
_xlpm._truncatedName,IF(LEN(_xlpm._fullName)&gt;250,LEFT(_xlpm._fullName,250)&amp;"[…]",_xlpm._fullName),
HYPERLINK("#'"&amp;$E52&amp;"'!"&amp;$F52&amp;$G52,
_xlpm._truncatedName)))</f>
        <v>Risk Values</v>
      </c>
      <c r="C52" s="13" t="s">
        <v>1729</v>
      </c>
      <c r="D52" s="13"/>
      <c r="E52" s="61" t="str">
        <f t="shared" ca="1" si="6"/>
        <v>Definitions</v>
      </c>
      <c r="F52" s="61" t="str">
        <f t="shared" ca="1" si="4"/>
        <v>AE</v>
      </c>
      <c r="G52" s="61" t="str">
        <f t="shared" ca="1" si="5"/>
        <v>2</v>
      </c>
      <c r="H52" s="61" cm="1">
        <f t="array" aca="1" ref="H52" ca="1">CreateID($H$36,$H:$H,$E52&lt;&gt;INDEX($E:$E,ROW()-1))</f>
        <v>2</v>
      </c>
      <c r="I52" s="61" t="str" cm="1">
        <f t="array" aca="1" ref="I52" ca="1">INDIRECT($K52)</f>
        <v>Risk Values</v>
      </c>
      <c r="K52" s="2" t="str" cm="1">
        <f t="array" aca="1" ref="K52" ca="1">CELL("address",Definitions!$AE$2)</f>
        <v>'[2025-07-30_QuBA_libre.xlsx]Definitions'!$AE$2</v>
      </c>
    </row>
    <row r="53" spans="1:11" ht="45" outlineLevel="1" x14ac:dyDescent="0.25">
      <c r="A53" s="23" t="str" cm="1">
        <f t="array" aca="1" ref="A53" ca="1">IF(INDEX($H:$H,ROW()-1)&lt;&gt;$H53,$E53,"")</f>
        <v/>
      </c>
      <c r="B53" s="71" t="str" cm="1">
        <f t="array" aca="1" ref="B53" ca="1">IF($K53="","",_xlfn.LET(
_xlpm._fullName,IF($L53="",SUBSTITUTE(SUBSTITUTE(INDIRECT($K53),CHAR(10)," "),"  "," "),$L53),
_xlpm._truncatedName,IF(LEN(_xlpm._fullName)&gt;250,LEFT(_xlpm._fullName,250)&amp;"[…]",_xlpm._fullName),
HYPERLINK("#'"&amp;$E53&amp;"'!"&amp;$F53&amp;$G53,
_xlpm._truncatedName)))</f>
        <v>Risk Matrix</v>
      </c>
      <c r="C53" s="13" t="s">
        <v>1730</v>
      </c>
      <c r="D53" s="13"/>
      <c r="E53" s="61" t="str">
        <f t="shared" ca="1" si="6"/>
        <v>Definitions</v>
      </c>
      <c r="F53" s="61" t="str">
        <f t="shared" ca="1" si="4"/>
        <v>AH</v>
      </c>
      <c r="G53" s="61" t="str">
        <f t="shared" ca="1" si="5"/>
        <v>2</v>
      </c>
      <c r="H53" s="61" cm="1">
        <f t="array" aca="1" ref="H53" ca="1">CreateID($H$36,$H:$H,$E53&lt;&gt;INDEX($E:$E,ROW()-1))</f>
        <v>2</v>
      </c>
      <c r="I53" s="61" t="str" cm="1">
        <f t="array" aca="1" ref="I53" ca="1">INDIRECT($K53)</f>
        <v>Risk Matrix</v>
      </c>
      <c r="K53" s="2" t="str" cm="1">
        <f t="array" aca="1" ref="K53" ca="1">CELL("address",Definitions!$AH$2)</f>
        <v>'[2025-07-30_QuBA_libre.xlsx]Definitions'!$AH$2</v>
      </c>
    </row>
    <row r="54" spans="1:11" ht="75" outlineLevel="1" x14ac:dyDescent="0.25">
      <c r="A54" s="23" t="str" cm="1">
        <f t="array" aca="1" ref="A54" ca="1">IF(INDEX($H:$H,ROW()-1)&lt;&gt;$H54,$E54,"")</f>
        <v/>
      </c>
      <c r="B54" s="71" t="str" cm="1">
        <f t="array" aca="1" ref="B54" ca="1">IF($K54="","",_xlfn.LET(
_xlpm._fullName,IF($L54="",SUBSTITUTE(SUBSTITUTE(INDIRECT($K54),CHAR(10)," "),"  "," "),$L54),
_xlpm._truncatedName,IF(LEN(_xlpm._fullName)&gt;250,LEFT(_xlpm._fullName,250)&amp;"[…]",_xlpm._fullName),
HYPERLINK("#'"&amp;$E54&amp;"'!"&amp;$F54&amp;$G54,
_xlpm._truncatedName)))</f>
        <v>Stakeholders</v>
      </c>
      <c r="C54" s="13" t="s">
        <v>1302</v>
      </c>
      <c r="D54" s="13"/>
      <c r="E54" s="61" t="str">
        <f t="shared" ca="1" si="6"/>
        <v>Definitions</v>
      </c>
      <c r="F54" s="61" t="str">
        <f t="shared" ca="1" si="4"/>
        <v>AO</v>
      </c>
      <c r="G54" s="61" t="str">
        <f t="shared" ca="1" si="5"/>
        <v>2</v>
      </c>
      <c r="H54" s="61" cm="1">
        <f t="array" aca="1" ref="H54" ca="1">CreateID($H$36,$H:$H,$E54&lt;&gt;INDEX($E:$E,ROW()-1))</f>
        <v>2</v>
      </c>
      <c r="I54" s="61" t="str" cm="1">
        <f t="array" aca="1" ref="I54" ca="1">INDIRECT($K54)</f>
        <v>Stakeholders</v>
      </c>
      <c r="K54" s="2" t="str" cm="1">
        <f t="array" aca="1" ref="K54" ca="1">CELL("address",Definitions!$AO$2)</f>
        <v>'[2025-07-30_QuBA_libre.xlsx]Definitions'!$AO$2</v>
      </c>
    </row>
    <row r="55" spans="1:11" ht="60" outlineLevel="1" x14ac:dyDescent="0.25">
      <c r="A55" s="23" t="str" cm="1">
        <f t="array" aca="1" ref="A55" ca="1">IF(INDEX($H:$H,ROW()-1)&lt;&gt;$H55,$E55,"")</f>
        <v/>
      </c>
      <c r="B55" s="71" t="str" cm="1">
        <f t="array" aca="1" ref="B55" ca="1">IF($K55="","",_xlfn.LET(
_xlpm._fullName,IF($L55="",SUBSTITUTE(SUBSTITUTE(INDIRECT($K55),CHAR(10)," "),"  "," "),$L55),
_xlpm._truncatedName,IF(LEN(_xlpm._fullName)&gt;250,LEFT(_xlpm._fullName,250)&amp;"[…]",_xlpm._fullName),
HYPERLINK("#'"&amp;$E55&amp;"'!"&amp;$F55&amp;$G55,
_xlpm._truncatedName)))</f>
        <v>Additional assumptions / countermeasures</v>
      </c>
      <c r="C55" s="13" t="s">
        <v>1303</v>
      </c>
      <c r="D55" s="13"/>
      <c r="E55" s="61" t="str">
        <f t="shared" ca="1" si="6"/>
        <v>Definitions</v>
      </c>
      <c r="F55" s="61" t="str">
        <f t="shared" ca="1" si="4"/>
        <v>AQ</v>
      </c>
      <c r="G55" s="61" t="str">
        <f t="shared" ca="1" si="5"/>
        <v>2</v>
      </c>
      <c r="H55" s="61" cm="1">
        <f t="array" aca="1" ref="H55" ca="1">CreateID($H$36,$H:$H,$E55&lt;&gt;INDEX($E:$E,ROW()-1))</f>
        <v>2</v>
      </c>
      <c r="I55" s="61" t="str" cm="1">
        <f t="array" aca="1" ref="I55" ca="1">INDIRECT($K55)</f>
        <v>Additional assumptions / countermeasures</v>
      </c>
      <c r="K55" s="2" t="str" cm="1">
        <f t="array" aca="1" ref="K55" ca="1">CELL("address",Definitions!$AQ$2)</f>
        <v>'[2025-07-30_QuBA_libre.xlsx]Definitions'!$AQ$2</v>
      </c>
    </row>
    <row r="56" spans="1:11" ht="120" outlineLevel="1" x14ac:dyDescent="0.25">
      <c r="A56" s="23" t="str" cm="1">
        <f t="array" aca="1" ref="A56" ca="1">IF(INDEX($H:$H,ROW()-1)&lt;&gt;$H56,$E56,"")</f>
        <v/>
      </c>
      <c r="B56" s="71" t="str" cm="1">
        <f t="array" aca="1" ref="B56" ca="1">IF($K56="","",_xlfn.LET(
_xlpm._fullName,IF($L56="",SUBSTITUTE(SUBSTITUTE(INDIRECT($K56),CHAR(10)," "),"  "," "),$L56),
_xlpm._truncatedName,IF(LEN(_xlpm._fullName)&gt;250,LEFT(_xlpm._fullName,250)&amp;"[…]",_xlpm._fullName),
HYPERLINK("#'"&amp;$E56&amp;"'!"&amp;$F56&amp;$G56,
_xlpm._truncatedName)))</f>
        <v>Display Blue Box</v>
      </c>
      <c r="C56" s="13" t="s">
        <v>1304</v>
      </c>
      <c r="D56" s="13"/>
      <c r="E56" s="61" t="str">
        <f t="shared" ca="1" si="6"/>
        <v>Definitions</v>
      </c>
      <c r="F56" s="61" t="str">
        <f t="shared" ca="1" si="4"/>
        <v>AU</v>
      </c>
      <c r="G56" s="61" t="str">
        <f t="shared" ca="1" si="5"/>
        <v>2</v>
      </c>
      <c r="H56" s="61" cm="1">
        <f t="array" aca="1" ref="H56" ca="1">CreateID($H$36,$H:$H,$E56&lt;&gt;INDEX($E:$E,ROW()-1))</f>
        <v>2</v>
      </c>
      <c r="I56" s="61" t="str" cm="1">
        <f t="array" aca="1" ref="I56" ca="1">INDIRECT($K56)</f>
        <v>Display Blue Box</v>
      </c>
      <c r="K56" s="2" t="str" cm="1">
        <f t="array" aca="1" ref="K56" ca="1">CELL("address",Definitions!$AU$2)</f>
        <v>'[2025-07-30_QuBA_libre.xlsx]Definitions'!$AU$2</v>
      </c>
    </row>
    <row r="57" spans="1:11" ht="30" outlineLevel="1" x14ac:dyDescent="0.25">
      <c r="A57" s="23" t="str" cm="1">
        <f t="array" aca="1" ref="A57" ca="1">IF(INDEX($H:$H,ROW()-1)&lt;&gt;$H57,$E57,"")</f>
        <v/>
      </c>
      <c r="B57" s="71" t="str" cm="1">
        <f t="array" aca="1" ref="B57" ca="1">IF($K57="","",_xlfn.LET(
_xlpm._fullName,IF($L57="",SUBSTITUTE(SUBSTITUTE(INDIRECT($K57),CHAR(10)," "),"  "," "),$L57),
_xlpm._truncatedName,IF(LEN(_xlpm._fullName)&gt;250,LEFT(_xlpm._fullName,250)&amp;"[…]",_xlpm._fullName),
HYPERLINK("#'"&amp;$E57&amp;"'!"&amp;$F57&amp;$G57,
_xlpm._truncatedName)))</f>
        <v>Product Life Time / Support Duration</v>
      </c>
      <c r="C57" s="13" t="s">
        <v>1485</v>
      </c>
      <c r="D57" s="13"/>
      <c r="E57" s="61" t="str">
        <f t="shared" ref="E57:E58" ca="1" si="7">IF($K57="","",_xlfn.LET(
_xlpm._in,$K57,
_xlpm._start,FIND("]",_xlpm._in)+1,
SUBSTITUTE(MID(_xlpm._in,_xlpm._start,FIND("!",_xlpm._in)-_xlpm._start),"'","")))</f>
        <v>Definitions</v>
      </c>
      <c r="F57" s="61" t="str">
        <f t="shared" ref="F57:F58" ca="1" si="8">IF($K57="","",_xlfn.LET(
_xlpm._in,SUBSTITUTE($K57,"$","§",1),
_xlpm._start,FIND("§",_xlpm._in)+1,
SUBSTITUTE(MID(_xlpm._in,_xlpm._start,FIND("$",_xlpm._in)-_xlpm._start),"'","")))</f>
        <v>AW</v>
      </c>
      <c r="G57" s="61" t="str">
        <f t="shared" ref="G57:G58" ca="1" si="9">IF($K57="","",RIGHT($K57,LEN($K57)-FIND("$",SUBSTITUTE($K57,"$","§",1))))</f>
        <v>2</v>
      </c>
      <c r="H57" s="61" cm="1">
        <f t="array" aca="1" ref="H57" ca="1">CreateID($H$36,$H:$H,$E57&lt;&gt;INDEX($E:$E,ROW()-1))</f>
        <v>2</v>
      </c>
      <c r="I57" s="61" t="str" cm="1">
        <f t="array" aca="1" ref="I57" ca="1">INDIRECT($K57)</f>
        <v>Product Life Time / Support Duration</v>
      </c>
      <c r="K57" s="2" t="str" cm="1">
        <f t="array" aca="1" ref="K57" ca="1">CELL("address",Definitions!$AW$2)</f>
        <v>'[2025-07-30_QuBA_libre.xlsx]Definitions'!$AW$2</v>
      </c>
    </row>
    <row r="58" spans="1:11" outlineLevel="1" x14ac:dyDescent="0.25">
      <c r="A58" s="23" t="str" cm="1">
        <f t="array" aca="1" ref="A58" ca="1">IF(INDEX($H:$H,ROW()-1)&lt;&gt;$H58,$E58,"")</f>
        <v/>
      </c>
      <c r="B58" s="71" t="str" cm="1">
        <f t="array" aca="1" ref="B58" ca="1">IF($K58="","",_xlfn.LET(
_xlpm._fullName,IF($L58="",SUBSTITUTE(SUBSTITUTE(INDIRECT($K58),CHAR(10)," "),"  "," "),$L58),
_xlpm._truncatedName,IF(LEN(_xlpm._fullName)&gt;250,LEFT(_xlpm._fullName,250)&amp;"[…]",_xlpm._fullName),
HYPERLINK("#'"&amp;$E58&amp;"'!"&amp;$F58&amp;$G58,
_xlpm._truncatedName)))</f>
        <v>Helper Link</v>
      </c>
      <c r="C58" s="13" t="s">
        <v>1325</v>
      </c>
      <c r="D58" s="13"/>
      <c r="E58" s="61" t="str">
        <f t="shared" ca="1" si="7"/>
        <v>Definitions</v>
      </c>
      <c r="F58" s="61" t="str">
        <f t="shared" ca="1" si="8"/>
        <v>AY</v>
      </c>
      <c r="G58" s="61" t="str">
        <f t="shared" ca="1" si="9"/>
        <v>2</v>
      </c>
      <c r="H58" s="61" cm="1">
        <f t="array" aca="1" ref="H58" ca="1">CreateID($H$36,$H:$H,$E58&lt;&gt;INDEX($E:$E,ROW()-1))</f>
        <v>2</v>
      </c>
      <c r="I58" s="61" t="str" cm="1">
        <f t="array" aca="1" ref="I58" ca="1">INDIRECT($K58)</f>
        <v>Helper Link</v>
      </c>
      <c r="K58" s="2" t="str" cm="1">
        <f t="array" aca="1" ref="K58" ca="1">CELL("address",Definitions!$AY$2)</f>
        <v>'[2025-07-30_QuBA_libre.xlsx]Definitions'!$AY$2</v>
      </c>
    </row>
    <row r="59" spans="1:11" ht="165" outlineLevel="1" x14ac:dyDescent="0.25">
      <c r="A59" s="23" t="str" cm="1">
        <f t="array" aca="1" ref="A59" ca="1">IF(INDEX($H:$H,ROW()-1)&lt;&gt;$H59,$E59,"")</f>
        <v/>
      </c>
      <c r="B59" s="71" t="str" cm="1">
        <f t="array" aca="1" ref="B59" ca="1">IF($K59="","",_xlfn.LET(
_xlpm._fullName,IF($L59="",SUBSTITUTE(SUBSTITUTE(INDIRECT($K59),CHAR(10)," "),"  "," "),$L59),
_xlpm._truncatedName,IF(LEN(_xlpm._fullName)&gt;250,LEFT(_xlpm._fullName,250)&amp;"[…]",_xlpm._fullName),
HYPERLINK("#'"&amp;$E59&amp;"'!"&amp;$F59&amp;$G59,
_xlpm._truncatedName)))</f>
        <v>JSON Export</v>
      </c>
      <c r="C59" s="13" t="s">
        <v>1350</v>
      </c>
      <c r="D59" s="13" t="s">
        <v>1351</v>
      </c>
      <c r="E59" s="61" t="str">
        <f ca="1">IF($K59="","",_xlfn.LET(
_xlpm._in,$K59,
_xlpm._start,FIND("]",_xlpm._in)+1,
SUBSTITUTE(MID(_xlpm._in,_xlpm._start,FIND("!",_xlpm._in)-_xlpm._start),"'","")))</f>
        <v>Definitions</v>
      </c>
      <c r="F59" s="61" t="str">
        <f ca="1">IF($K59="","",_xlfn.LET(
_xlpm._in,SUBSTITUTE($K59,"$","§",1),
_xlpm._start,FIND("§",_xlpm._in)+1,
SUBSTITUTE(MID(_xlpm._in,_xlpm._start,FIND("$",_xlpm._in)-_xlpm._start),"'","")))</f>
        <v>BA</v>
      </c>
      <c r="G59" s="61" t="str">
        <f ca="1">IF($K59="","",RIGHT($K59,LEN($K59)-FIND("$",SUBSTITUTE($K59,"$","§",1))))</f>
        <v>2</v>
      </c>
      <c r="H59" s="61" cm="1">
        <f t="array" aca="1" ref="H59" ca="1">CreateID($H$36,$H:$H,$E59&lt;&gt;INDEX($E:$E,ROW()-1))</f>
        <v>2</v>
      </c>
      <c r="I59" s="61" t="str" cm="1">
        <f t="array" aca="1" ref="I59" ca="1">INDIRECT($K59)</f>
        <v>JSON Export</v>
      </c>
      <c r="K59" s="2" t="str" cm="1">
        <f t="array" aca="1" ref="K59" ca="1">CELL("address",Definitions!$BA$2)</f>
        <v>'[2025-07-30_QuBA_libre.xlsx]Definitions'!$BA$2</v>
      </c>
    </row>
    <row r="60" spans="1:11" ht="30" outlineLevel="1" x14ac:dyDescent="0.25">
      <c r="A60" s="23" t="str" cm="1">
        <f t="array" aca="1" ref="A60" ca="1">IF(INDEX($H:$H,ROW()-1)&lt;&gt;$H60,$E60,"")</f>
        <v/>
      </c>
      <c r="B60" s="71" t="str" cm="1">
        <f t="array" aca="1" ref="B60" ca="1">IF($K60="","",_xlfn.LET(
_xlpm._fullName,IF($L60="",SUBSTITUTE(SUBSTITUTE(INDIRECT($K60),CHAR(10)," "),"  "," "),$L60),
_xlpm._truncatedName,IF(LEN(_xlpm._fullName)&gt;250,LEFT(_xlpm._fullName,250)&amp;"[…]",_xlpm._fullName),
HYPERLINK("#'"&amp;$E60&amp;"'!"&amp;$F60&amp;$G60,
_xlpm._truncatedName)))</f>
        <v>Supply Chain Answers</v>
      </c>
      <c r="C60" s="13" t="s">
        <v>1681</v>
      </c>
      <c r="D60" s="13"/>
      <c r="E60" s="61" t="str">
        <f ca="1">IF($K60="","",_xlfn.LET(
_xlpm._in,$K60,
_xlpm._start,FIND("]",_xlpm._in)+1,
SUBSTITUTE(MID(_xlpm._in,_xlpm._start,FIND("!",_xlpm._in)-_xlpm._start),"'","")))</f>
        <v>Definitions</v>
      </c>
      <c r="F60" s="61" t="str">
        <f ca="1">IF($K60="","",_xlfn.LET(
_xlpm._in,SUBSTITUTE($K60,"$","§",1),
_xlpm._start,FIND("§",_xlpm._in)+1,
SUBSTITUTE(MID(_xlpm._in,_xlpm._start,FIND("$",_xlpm._in)-_xlpm._start),"'","")))</f>
        <v>BF</v>
      </c>
      <c r="G60" s="61" t="str">
        <f ca="1">IF($K60="","",RIGHT($K60,LEN($K60)-FIND("$",SUBSTITUTE($K60,"$","§",1))))</f>
        <v>2</v>
      </c>
      <c r="H60" s="61" cm="1">
        <f t="array" aca="1" ref="H60" ca="1">CreateID($H$36,$H:$H,$E60&lt;&gt;INDEX($E:$E,ROW()-1))</f>
        <v>2</v>
      </c>
      <c r="I60" s="61" t="str" cm="1">
        <f t="array" aca="1" ref="I60" ca="1">INDIRECT($K60)</f>
        <v>Supply Chain Answers</v>
      </c>
      <c r="K60" s="2" t="str" cm="1">
        <f t="array" aca="1" ref="K60" ca="1">CELL("address",Definitions!$BF$2)</f>
        <v>'[2025-07-30_QuBA_libre.xlsx]Definitions'!$BF$2</v>
      </c>
    </row>
    <row r="61" spans="1:11" ht="30" outlineLevel="1" x14ac:dyDescent="0.25">
      <c r="A61" s="23" t="str" cm="1">
        <f t="array" aca="1" ref="A61" ca="1">IF(INDEX($H:$H,ROW()-1)&lt;&gt;$H61,$E61,"")</f>
        <v/>
      </c>
      <c r="B61" s="71" t="str" cm="1">
        <f t="array" aca="1" ref="B61" ca="1">IF($K61="","",_xlfn.LET(
_xlpm._fullName,IF($L61="",SUBSTITUTE(SUBSTITUTE(INDIRECT($K61),CHAR(10)," "),"  "," "),$L61),
_xlpm._truncatedName,IF(LEN(_xlpm._fullName)&gt;250,LEFT(_xlpm._fullName,250)&amp;"[…]",_xlpm._fullName),
HYPERLINK("#'"&amp;$E61&amp;"'!"&amp;$F61&amp;$G61,
_xlpm._truncatedName)))</f>
        <v>Secure Production</v>
      </c>
      <c r="C61" s="13" t="s">
        <v>1678</v>
      </c>
      <c r="D61" s="13" t="s">
        <v>1374</v>
      </c>
      <c r="E61" s="61" t="str">
        <f t="shared" ref="E61:E62" ca="1" si="10">IF($K61="","",_xlfn.LET(
_xlpm._in,$K61,
_xlpm._start,FIND("]",_xlpm._in)+1,
SUBSTITUTE(MID(_xlpm._in,_xlpm._start,FIND("!",_xlpm._in)-_xlpm._start),"'","")))</f>
        <v>Definitions</v>
      </c>
      <c r="F61" s="61" t="str">
        <f t="shared" ref="F61:F62" ca="1" si="11">IF($K61="","",_xlfn.LET(
_xlpm._in,SUBSTITUTE($K61,"$","§",1),
_xlpm._start,FIND("§",_xlpm._in)+1,
SUBSTITUTE(MID(_xlpm._in,_xlpm._start,FIND("$",_xlpm._in)-_xlpm._start),"'","")))</f>
        <v>BI</v>
      </c>
      <c r="G61" s="61" t="str">
        <f t="shared" ref="G61:G62" ca="1" si="12">IF($K61="","",RIGHT($K61,LEN($K61)-FIND("$",SUBSTITUTE($K61,"$","§",1))))</f>
        <v>2</v>
      </c>
      <c r="H61" s="61" cm="1">
        <f t="array" aca="1" ref="H61" ca="1">CreateID($H$36,$H:$H,$E61&lt;&gt;INDEX($E:$E,ROW()-1))</f>
        <v>2</v>
      </c>
      <c r="I61" s="61" t="str" cm="1">
        <f t="array" aca="1" ref="I61" ca="1">INDIRECT($K61)</f>
        <v>Secure Production</v>
      </c>
      <c r="K61" s="2" t="str" cm="1">
        <f t="array" aca="1" ref="K61" ca="1">CELL("address",Definitions!$BI$2)</f>
        <v>'[2025-07-30_QuBA_libre.xlsx]Definitions'!$BI$2</v>
      </c>
    </row>
    <row r="62" spans="1:11" ht="30" outlineLevel="1" x14ac:dyDescent="0.25">
      <c r="A62" s="23" t="str" cm="1">
        <f t="array" aca="1" ref="A62" ca="1">IF(INDEX($H:$H,ROW()-1)&lt;&gt;$H62,$E62,"")</f>
        <v/>
      </c>
      <c r="B62" s="71" t="str" cm="1">
        <f t="array" aca="1" ref="B62" ca="1">IF($K62="","",_xlfn.LET(
_xlpm._fullName,IF($L62="",SUBSTITUTE(SUBSTITUTE(INDIRECT($K62),CHAR(10)," "),"  "," "),$L62),
_xlpm._truncatedName,IF(LEN(_xlpm._fullName)&gt;250,LEFT(_xlpm._fullName,250)&amp;"[…]",_xlpm._fullName),
HYPERLINK("#'"&amp;$E62&amp;"'!"&amp;$F62&amp;$G62,
_xlpm._truncatedName)))</f>
        <v>Supply Chain Security</v>
      </c>
      <c r="C62" s="13" t="s">
        <v>1678</v>
      </c>
      <c r="D62" s="13" t="s">
        <v>1375</v>
      </c>
      <c r="E62" s="61" t="str">
        <f t="shared" ca="1" si="10"/>
        <v>Definitions</v>
      </c>
      <c r="F62" s="61" t="str">
        <f t="shared" ca="1" si="11"/>
        <v>BK</v>
      </c>
      <c r="G62" s="61" t="str">
        <f t="shared" ca="1" si="12"/>
        <v>2</v>
      </c>
      <c r="H62" s="61" cm="1">
        <f t="array" aca="1" ref="H62" ca="1">CreateID($H$36,$H:$H,$E62&lt;&gt;INDEX($E:$E,ROW()-1))</f>
        <v>2</v>
      </c>
      <c r="I62" s="61" t="str" cm="1">
        <f t="array" aca="1" ref="I62" ca="1">INDIRECT($K62)</f>
        <v>Supply Chain Security</v>
      </c>
      <c r="K62" s="2" t="str" cm="1">
        <f t="array" aca="1" ref="K62" ca="1">CELL("address",Definitions!$BK$2)</f>
        <v>'[2025-07-30_QuBA_libre.xlsx]Definitions'!$BK$2</v>
      </c>
    </row>
    <row r="63" spans="1:11" ht="30" x14ac:dyDescent="0.25">
      <c r="A63" s="23" t="str" cm="1">
        <f t="array" aca="1" ref="A63" ca="1">IF(INDEX($H:$H,ROW()-1)&lt;&gt;$H63,$E63,"")</f>
        <v>Questions</v>
      </c>
      <c r="B63" s="71" t="str" cm="1">
        <f t="array" aca="1" ref="B63" ca="1">IF($K63="","",_xlfn.LET(
_xlpm._fullName,IF($L63="",SUBSTITUTE(SUBSTITUTE(INDIRECT($K63),CHAR(10)," "),"  "," "),$L63),
_xlpm._truncatedName,IF(LEN(_xlpm._fullName)&gt;250,LEFT(_xlpm._fullName,250)&amp;"[…]",_xlpm._fullName),
HYPERLINK("#'"&amp;$E63&amp;"'!"&amp;$F63&amp;$G63,
_xlpm._truncatedName)))</f>
        <v>ID</v>
      </c>
      <c r="C63" s="13" t="s">
        <v>1201</v>
      </c>
      <c r="D63" s="13" t="s">
        <v>1202</v>
      </c>
      <c r="E63" s="61" t="str">
        <f t="shared" ref="E63:E75" ca="1" si="13">IF($K63="","",_xlfn.LET(
_xlpm._in,$K63,
_xlpm._start,FIND("]",_xlpm._in)+1,
SUBSTITUTE(MID(_xlpm._in,_xlpm._start,FIND("!",_xlpm._in)-_xlpm._start),"'","")))</f>
        <v>Questions</v>
      </c>
      <c r="F63" s="61" t="str">
        <f t="shared" ref="F63:F75" ca="1" si="14">IF($K63="","",_xlfn.LET(
_xlpm._in,SUBSTITUTE($K63,"$","§",1),
_xlpm._start,FIND("§",_xlpm._in)+1,
SUBSTITUTE(MID(_xlpm._in,_xlpm._start,FIND("$",_xlpm._in)-_xlpm._start),"'","")))</f>
        <v>A</v>
      </c>
      <c r="G63" s="61" t="str">
        <f t="shared" ref="G63:G75" ca="1" si="15">IF($K63="","",RIGHT($K63,LEN($K63)-FIND("$",SUBSTITUTE($K63,"$","§",1))))</f>
        <v>3</v>
      </c>
      <c r="H63" s="61" cm="1">
        <f t="array" aca="1" ref="H63" ca="1">CreateID($H$36,$H:$H,$E63&lt;&gt;INDEX($E:$E,ROW()-1))</f>
        <v>3</v>
      </c>
      <c r="I63" s="61" t="str" cm="1">
        <f t="array" aca="1" ref="I63" ca="1">INDIRECT($K63)</f>
        <v>ID</v>
      </c>
      <c r="K63" s="2" t="str" cm="1">
        <f t="array" aca="1" ref="K63" ca="1">CELL("address",Questions!$A$3)</f>
        <v>'[2025-07-30_QuBA_libre.xlsx]Questions'!$A$3</v>
      </c>
    </row>
    <row r="64" spans="1:11" outlineLevel="1" x14ac:dyDescent="0.25">
      <c r="A64" s="23" t="str" cm="1">
        <f t="array" aca="1" ref="A64" ca="1">IF(INDEX($H:$H,ROW()-1)&lt;&gt;$H64,$E64,"")</f>
        <v/>
      </c>
      <c r="B64" s="71" t="str" cm="1">
        <f t="array" aca="1" ref="B64" ca="1">IF($K64="","",_xlfn.LET(
_xlpm._fullName,IF($L64="",SUBSTITUTE(SUBSTITUTE(INDIRECT($K64),CHAR(10)," "),"  "," "),$L64),
_xlpm._truncatedName,IF(LEN(_xlpm._fullName)&gt;250,LEFT(_xlpm._fullName,250)&amp;"[…]",_xlpm._fullName),
HYPERLINK("#'"&amp;$E64&amp;"'!"&amp;$F64&amp;$G64,
_xlpm._truncatedName)))</f>
        <v>Text</v>
      </c>
      <c r="C64" s="13" t="s">
        <v>1305</v>
      </c>
      <c r="D64" s="13"/>
      <c r="E64" s="61" t="str">
        <f t="shared" ca="1" si="13"/>
        <v>Questions</v>
      </c>
      <c r="F64" s="61" t="str">
        <f t="shared" ca="1" si="14"/>
        <v>B</v>
      </c>
      <c r="G64" s="61" t="str">
        <f t="shared" ca="1" si="15"/>
        <v>3</v>
      </c>
      <c r="H64" s="61" cm="1">
        <f t="array" aca="1" ref="H64" ca="1">CreateID($H$36,$H:$H,$E64&lt;&gt;INDEX($E:$E,ROW()-1))</f>
        <v>3</v>
      </c>
      <c r="I64" s="61" t="str" cm="1">
        <f t="array" aca="1" ref="I64" ca="1">INDIRECT($K64)</f>
        <v>Text</v>
      </c>
      <c r="K64" s="2" t="str" cm="1">
        <f t="array" aca="1" ref="K64" ca="1">CELL("address",Questions!$B$3)</f>
        <v>'[2025-07-30_QuBA_libre.xlsx]Questions'!$B$3</v>
      </c>
    </row>
    <row r="65" spans="1:13" ht="30" outlineLevel="1" x14ac:dyDescent="0.25">
      <c r="A65" s="23" t="str" cm="1">
        <f t="array" aca="1" ref="A65" ca="1">IF(INDEX($H:$H,ROW()-1)&lt;&gt;$H65,$E65,"")</f>
        <v/>
      </c>
      <c r="B65" s="71" t="str" cm="1">
        <f t="array" aca="1" ref="B65" ca="1">IF($K65="","",_xlfn.LET(
_xlpm._fullName,IF($L65="",SUBSTITUTE(SUBSTITUTE(INDIRECT($K65),CHAR(10)," "),"  "," "),$L65),
_xlpm._truncatedName,IF(LEN(_xlpm._fullName)&gt;250,LEFT(_xlpm._fullName,250)&amp;"[…]",_xlpm._fullName),
HYPERLINK("#'"&amp;$E65&amp;"'!"&amp;$F65&amp;$G65,
_xlpm._truncatedName)))</f>
        <v>Indentation</v>
      </c>
      <c r="C65" s="13" t="s">
        <v>1204</v>
      </c>
      <c r="D65" s="13" t="s">
        <v>1205</v>
      </c>
      <c r="E65" s="61" t="str">
        <f t="shared" ca="1" si="13"/>
        <v>Questions</v>
      </c>
      <c r="F65" s="61" t="str">
        <f t="shared" ca="1" si="14"/>
        <v>C</v>
      </c>
      <c r="G65" s="61" t="str">
        <f t="shared" ca="1" si="15"/>
        <v>3</v>
      </c>
      <c r="H65" s="61" cm="1">
        <f t="array" aca="1" ref="H65" ca="1">CreateID($H$36,$H:$H,$E65&lt;&gt;INDEX($E:$E,ROW()-1))</f>
        <v>3</v>
      </c>
      <c r="I65" s="61" t="str" cm="1">
        <f t="array" aca="1" ref="I65" ca="1">INDIRECT($K65)</f>
        <v>Indentation</v>
      </c>
      <c r="K65" s="2" t="str" cm="1">
        <f t="array" aca="1" ref="K65" ca="1">CELL("address",Questions!$C$3)</f>
        <v>'[2025-07-30_QuBA_libre.xlsx]Questions'!$C$3</v>
      </c>
    </row>
    <row r="66" spans="1:13" ht="30" outlineLevel="1" x14ac:dyDescent="0.25">
      <c r="A66" s="23" t="str" cm="1">
        <f t="array" aca="1" ref="A66" ca="1">IF(INDEX($H:$H,ROW()-1)&lt;&gt;$H66,$E66,"")</f>
        <v/>
      </c>
      <c r="B66" s="71" t="str" cm="1">
        <f t="array" aca="1" ref="B66" ca="1">IF($K66="","",_xlfn.LET(
_xlpm._fullName,IF($L66="",SUBSTITUTE(SUBSTITUTE(INDIRECT($K66),CHAR(10)," "),"  "," "),$L66),
_xlpm._truncatedName,IF(LEN(_xlpm._fullName)&gt;250,LEFT(_xlpm._fullName,250)&amp;"[…]",_xlpm._fullName),
HYPERLINK("#'"&amp;$E66&amp;"'!"&amp;$F66&amp;$G66,
_xlpm._truncatedName)))</f>
        <v>Is a Question</v>
      </c>
      <c r="C66" s="13" t="s">
        <v>1207</v>
      </c>
      <c r="D66" s="13" t="s">
        <v>1206</v>
      </c>
      <c r="E66" s="61" t="str">
        <f t="shared" ca="1" si="13"/>
        <v>Questions</v>
      </c>
      <c r="F66" s="61" t="str">
        <f t="shared" ca="1" si="14"/>
        <v>D</v>
      </c>
      <c r="G66" s="61" t="str">
        <f t="shared" ca="1" si="15"/>
        <v>3</v>
      </c>
      <c r="H66" s="61" cm="1">
        <f t="array" aca="1" ref="H66" ca="1">CreateID($H$36,$H:$H,$E66&lt;&gt;INDEX($E:$E,ROW()-1))</f>
        <v>3</v>
      </c>
      <c r="I66" s="61" t="str" cm="1">
        <f t="array" aca="1" ref="I66" ca="1">INDIRECT($K66)</f>
        <v>Is a Question</v>
      </c>
      <c r="K66" s="2" t="str" cm="1">
        <f t="array" aca="1" ref="K66" ca="1">CELL("address",Questions!$D$3)</f>
        <v>'[2025-07-30_QuBA_libre.xlsx]Questions'!$D$3</v>
      </c>
    </row>
    <row r="67" spans="1:13" ht="45" outlineLevel="1" x14ac:dyDescent="0.25">
      <c r="A67" s="23" t="str" cm="1">
        <f t="array" aca="1" ref="A67" ca="1">IF(INDEX($H:$H,ROW()-1)&lt;&gt;$H67,$E67,"")</f>
        <v/>
      </c>
      <c r="B67" s="71" t="str" cm="1">
        <f t="array" aca="1" ref="B67" ca="1">IF($K67="","",_xlfn.LET(
_xlpm._fullName,IF($L67="",SUBSTITUTE(SUBSTITUTE(INDIRECT($K67),CHAR(10)," "),"  "," "),$L67),
_xlpm._truncatedName,IF(LEN(_xlpm._fullName)&gt;250,LEFT(_xlpm._fullName,250)&amp;"[…]",_xlpm._fullName),
HYPERLINK("#'"&amp;$E67&amp;"'!"&amp;$F67&amp;$G67,
_xlpm._truncatedName)))</f>
        <v>Options Range Header</v>
      </c>
      <c r="C67" s="13" t="s">
        <v>1210</v>
      </c>
      <c r="D67" s="13" t="str">
        <f ca="1">"Use this formula (replace A1 with the correct value): "&amp;_xlfn.FORMULATEXT(M67)</f>
        <v>Use this formula (replace A1 with the correct value): =CELL("address";A1)</v>
      </c>
      <c r="E67" s="61" t="str">
        <f t="shared" ca="1" si="13"/>
        <v>Questions</v>
      </c>
      <c r="F67" s="61" t="str">
        <f t="shared" ca="1" si="14"/>
        <v>E</v>
      </c>
      <c r="G67" s="61" t="str">
        <f t="shared" ca="1" si="15"/>
        <v>3</v>
      </c>
      <c r="H67" s="61" cm="1">
        <f t="array" aca="1" ref="H67" ca="1">CreateID($H$36,$H:$H,$E67&lt;&gt;INDEX($E:$E,ROW()-1))</f>
        <v>3</v>
      </c>
      <c r="I67" s="61" t="str" cm="1">
        <f t="array" aca="1" ref="I67" ca="1">INDIRECT($K67)</f>
        <v>Options Range Header</v>
      </c>
      <c r="K67" s="2" t="str" cm="1">
        <f t="array" aca="1" ref="K67" ca="1">CELL("address",Questions!$E$3)</f>
        <v>'[2025-07-30_QuBA_libre.xlsx]Questions'!$E$3</v>
      </c>
      <c r="M67" s="2" t="str" cm="1">
        <f t="array" aca="1" ref="M67" ca="1">CELL("address",A1)</f>
        <v>$A$1</v>
      </c>
    </row>
    <row r="68" spans="1:13" ht="30" outlineLevel="1" x14ac:dyDescent="0.25">
      <c r="A68" s="23" t="str" cm="1">
        <f t="array" aca="1" ref="A68" ca="1">IF(INDEX($H:$H,ROW()-1)&lt;&gt;$H68,$E68,"")</f>
        <v/>
      </c>
      <c r="B68" s="71" t="str" cm="1">
        <f t="array" aca="1" ref="B68" ca="1">IF($K68="","",_xlfn.LET(
_xlpm._fullName,IF($L68="",SUBSTITUTE(SUBSTITUTE(INDIRECT($K68),CHAR(10)," "),"  "," "),$L68),
_xlpm._truncatedName,IF(LEN(_xlpm._fullName)&gt;250,LEFT(_xlpm._fullName,250)&amp;"[…]",_xlpm._fullName),
HYPERLINK("#'"&amp;$E68&amp;"'!"&amp;$F68&amp;$G68,
_xlpm._truncatedName)))</f>
        <v>Height</v>
      </c>
      <c r="C68" s="13" t="s">
        <v>1209</v>
      </c>
      <c r="D68" s="13" t="str">
        <f ca="1">"Use this formula (replace A1 with the correct values): "&amp;_xlfn.FORMULATEXT(M68)</f>
        <v>Use this formula (replace A1 with the correct values): =ROWS(A1:A1)</v>
      </c>
      <c r="E68" s="61" t="str">
        <f t="shared" ca="1" si="13"/>
        <v>Questions</v>
      </c>
      <c r="F68" s="61" t="str">
        <f t="shared" ca="1" si="14"/>
        <v>F</v>
      </c>
      <c r="G68" s="61" t="str">
        <f t="shared" ca="1" si="15"/>
        <v>3</v>
      </c>
      <c r="H68" s="61" cm="1">
        <f t="array" aca="1" ref="H68" ca="1">CreateID($H$36,$H:$H,$E68&lt;&gt;INDEX($E:$E,ROW()-1))</f>
        <v>3</v>
      </c>
      <c r="I68" s="61" t="str" cm="1">
        <f t="array" aca="1" ref="I68" ca="1">INDIRECT($K68)</f>
        <v>Height</v>
      </c>
      <c r="K68" s="2" t="str" cm="1">
        <f t="array" aca="1" ref="K68" ca="1">CELL("address",Questions!$F$3)</f>
        <v>'[2025-07-30_QuBA_libre.xlsx]Questions'!$F$3</v>
      </c>
      <c r="M68" s="2">
        <f>ROWS(A1:A1)</f>
        <v>1</v>
      </c>
    </row>
    <row r="69" spans="1:13" ht="30" outlineLevel="1" x14ac:dyDescent="0.25">
      <c r="A69" s="23" t="str" cm="1">
        <f t="array" aca="1" ref="A69" ca="1">IF(INDEX($H:$H,ROW()-1)&lt;&gt;$H69,$E69,"")</f>
        <v/>
      </c>
      <c r="B69" s="71" t="str" cm="1">
        <f t="array" aca="1" ref="B69" ca="1">IF($K69="","",_xlfn.LET(
_xlpm._fullName,IF($L69="",SUBSTITUTE(SUBSTITUTE(INDIRECT($K69),CHAR(10)," "),"  "," "),$L69),
_xlpm._truncatedName,IF(LEN(_xlpm._fullName)&gt;250,LEFT(_xlpm._fullName,250)&amp;"[…]",_xlpm._fullName),
HYPERLINK("#'"&amp;$E69&amp;"'!"&amp;$F69&amp;$G69,
_xlpm._truncatedName)))</f>
        <v>Resulting Options</v>
      </c>
      <c r="C69" s="13" t="s">
        <v>1211</v>
      </c>
      <c r="D69" s="13"/>
      <c r="E69" s="61" t="str">
        <f t="shared" ca="1" si="13"/>
        <v>Questions</v>
      </c>
      <c r="F69" s="61" t="str">
        <f t="shared" ca="1" si="14"/>
        <v>G</v>
      </c>
      <c r="G69" s="61" t="str">
        <f t="shared" ca="1" si="15"/>
        <v>3</v>
      </c>
      <c r="H69" s="61" cm="1">
        <f t="array" aca="1" ref="H69" ca="1">CreateID($H$36,$H:$H,$E69&lt;&gt;INDEX($E:$E,ROW()-1))</f>
        <v>3</v>
      </c>
      <c r="I69" s="61" t="str" cm="1">
        <f t="array" aca="1" ref="I69" ca="1">INDIRECT($K69)</f>
        <v>Resulting Options</v>
      </c>
      <c r="K69" s="2" t="str" cm="1">
        <f t="array" aca="1" ref="K69" ca="1">CELL("address",Questions!$G$3)</f>
        <v>'[2025-07-30_QuBA_libre.xlsx]Questions'!$G$3</v>
      </c>
    </row>
    <row r="70" spans="1:13" ht="60" outlineLevel="1" x14ac:dyDescent="0.25">
      <c r="A70" s="23" t="str" cm="1">
        <f t="array" aca="1" ref="A70" ca="1">IF(INDEX($H:$H,ROW()-1)&lt;&gt;$H70,$E70,"")</f>
        <v/>
      </c>
      <c r="B70" s="71" t="str" cm="1">
        <f t="array" aca="1" ref="B70" ca="1">IF($K70="","",_xlfn.LET(
_xlpm._fullName,IF($L70="",SUBSTITUTE(SUBSTITUTE(INDIRECT($K70),CHAR(10)," "),"  "," "),$L70),
_xlpm._truncatedName,IF(LEN(_xlpm._fullName)&gt;250,LEFT(_xlpm._fullName,250)&amp;"[…]",_xlpm._fullName),
HYPERLINK("#'"&amp;$E70&amp;"'!"&amp;$F70&amp;$G70,
_xlpm._truncatedName)))</f>
        <v>Info Text</v>
      </c>
      <c r="C70" s="13" t="s">
        <v>1212</v>
      </c>
      <c r="D70" s="13" t="s">
        <v>1214</v>
      </c>
      <c r="E70" s="61" t="str">
        <f t="shared" ca="1" si="13"/>
        <v>Questions</v>
      </c>
      <c r="F70" s="61" t="str">
        <f t="shared" ca="1" si="14"/>
        <v>H</v>
      </c>
      <c r="G70" s="61" t="str">
        <f t="shared" ca="1" si="15"/>
        <v>3</v>
      </c>
      <c r="H70" s="61" cm="1">
        <f t="array" aca="1" ref="H70" ca="1">CreateID($H$36,$H:$H,$E70&lt;&gt;INDEX($E:$E,ROW()-1))</f>
        <v>3</v>
      </c>
      <c r="I70" s="61" t="str" cm="1">
        <f t="array" aca="1" ref="I70" ca="1">INDIRECT($K70)</f>
        <v>Info Text</v>
      </c>
      <c r="K70" s="2" t="str" cm="1">
        <f t="array" aca="1" ref="K70" ca="1">CELL("address",Questions!$H$3)</f>
        <v>'[2025-07-30_QuBA_libre.xlsx]Questions'!$H$3</v>
      </c>
    </row>
    <row r="71" spans="1:13" ht="150" outlineLevel="1" x14ac:dyDescent="0.25">
      <c r="A71" s="23" t="str" cm="1">
        <f t="array" aca="1" ref="A71" ca="1">IF(INDEX($H:$H,ROW()-1)&lt;&gt;$H71,$E71,"")</f>
        <v/>
      </c>
      <c r="B71" s="71" t="str" cm="1">
        <f t="array" aca="1" ref="B71" ca="1">IF($K71="","",_xlfn.LET(
_xlpm._fullName,IF($L71="",SUBSTITUTE(SUBSTITUTE(INDIRECT($K71),CHAR(10)," "),"  "," "),$L71),
_xlpm._truncatedName,IF(LEN(_xlpm._fullName)&gt;250,LEFT(_xlpm._fullName,250)&amp;"[…]",_xlpm._fullName),
HYPERLINK("#'"&amp;$E71&amp;"'!"&amp;$F71&amp;$G71,
_xlpm._truncatedName)))</f>
        <v xml:space="preserve">Options Range Header </v>
      </c>
      <c r="C71" s="13" t="s">
        <v>1711</v>
      </c>
      <c r="D71" s="13" t="str">
        <f ca="1">"Use this formula (replace A1 with the correct value) to reference the topmost cell: "&amp;_xlfn.FORMULATEXT(M71)&amp;"
Example:
Yes:
&lt;Reference&gt;
No:"</f>
        <v>Use this formula (replace A1 with the correct value) to reference the topmost cell: =CELL("address";A1)
Example:
Yes:
&lt;Reference&gt;
No:</v>
      </c>
      <c r="E71" s="61" t="str">
        <f t="shared" ca="1" si="13"/>
        <v>Questions</v>
      </c>
      <c r="F71" s="61" t="str">
        <f t="shared" ca="1" si="14"/>
        <v>I</v>
      </c>
      <c r="G71" s="61" t="str">
        <f t="shared" ca="1" si="15"/>
        <v>3</v>
      </c>
      <c r="H71" s="61" cm="1">
        <f t="array" aca="1" ref="H71" ca="1">CreateID($H$36,$H:$H,$E71&lt;&gt;INDEX($E:$E,ROW()-1))</f>
        <v>3</v>
      </c>
      <c r="I71" s="61" t="str" cm="1">
        <f t="array" aca="1" ref="I71" ca="1">INDIRECT($K71)</f>
        <v xml:space="preserve">Options Range Header </v>
      </c>
      <c r="K71" s="2" t="str" cm="1">
        <f t="array" aca="1" ref="K71" ca="1">CELL("address",Questions!$I$3)</f>
        <v>'[2025-07-30_QuBA_libre.xlsx]Questions'!$I$3</v>
      </c>
      <c r="M71" s="2" t="str" cm="1">
        <f t="array" aca="1" ref="M71" ca="1">CELL("address",A1)</f>
        <v>$A$1</v>
      </c>
    </row>
    <row r="72" spans="1:13" ht="90" outlineLevel="1" x14ac:dyDescent="0.25">
      <c r="A72" s="23" t="str" cm="1">
        <f t="array" aca="1" ref="A72" ca="1">IF(INDEX($H:$H,ROW()-1)&lt;&gt;$H72,$E72,"")</f>
        <v/>
      </c>
      <c r="B72" s="71" t="str" cm="1">
        <f t="array" aca="1" ref="B72" ca="1">IF($K72="","",_xlfn.LET(
_xlpm._fullName,IF($L72="",SUBSTITUTE(SUBSTITUTE(INDIRECT($K72),CHAR(10)," "),"  "," "),$L72),
_xlpm._truncatedName,IF(LEN(_xlpm._fullName)&gt;250,LEFT(_xlpm._fullName,250)&amp;"[…]",_xlpm._fullName),
HYPERLINK("#'"&amp;$E72&amp;"'!"&amp;$F72&amp;$G72,
_xlpm._truncatedName)))</f>
        <v xml:space="preserve">Height </v>
      </c>
      <c r="C72" s="13" t="s">
        <v>1712</v>
      </c>
      <c r="D72" s="13" t="str">
        <f ca="1">"Use this formula (replace A1 with the correct values) to calculate the height: "&amp;_xlfn.FORMULATEXT(M72)&amp;"
Example:
Yes: 2
No: 0"</f>
        <v>Use this formula (replace A1 with the correct values) to calculate the height: =ROWS(A1:A1)
Example:
Yes: 2
No: 0</v>
      </c>
      <c r="E72" s="61" t="str">
        <f t="shared" ca="1" si="13"/>
        <v>Questions</v>
      </c>
      <c r="F72" s="61" t="str">
        <f t="shared" ca="1" si="14"/>
        <v>J</v>
      </c>
      <c r="G72" s="61" t="str">
        <f t="shared" ca="1" si="15"/>
        <v>3</v>
      </c>
      <c r="H72" s="61" cm="1">
        <f t="array" aca="1" ref="H72" ca="1">CreateID($H$36,$H:$H,$E72&lt;&gt;INDEX($E:$E,ROW()-1))</f>
        <v>3</v>
      </c>
      <c r="I72" s="61" t="str" cm="1">
        <f t="array" aca="1" ref="I72" ca="1">INDIRECT($K72)</f>
        <v xml:space="preserve">Height </v>
      </c>
      <c r="K72" s="2" t="str" cm="1">
        <f t="array" aca="1" ref="K72" ca="1">CELL("address",Questions!$J$3)</f>
        <v>'[2025-07-30_QuBA_libre.xlsx]Questions'!$J$3</v>
      </c>
      <c r="M72" s="2">
        <f>ROWS(A1:A1)</f>
        <v>1</v>
      </c>
    </row>
    <row r="73" spans="1:13" ht="30" outlineLevel="1" x14ac:dyDescent="0.25">
      <c r="A73" s="23" t="str" cm="1">
        <f t="array" aca="1" ref="A73" ca="1">IF(INDEX($H:$H,ROW()-1)&lt;&gt;$H73,$E73,"")</f>
        <v/>
      </c>
      <c r="B73" s="71" t="str" cm="1">
        <f t="array" aca="1" ref="B73" ca="1">IF($K73="","",_xlfn.LET(
_xlpm._fullName,IF($L73="",SUBSTITUTE(SUBSTITUTE(INDIRECT($K73),CHAR(10)," "),"  "," "),$L73),
_xlpm._truncatedName,IF(LEN(_xlpm._fullName)&gt;250,LEFT(_xlpm._fullName,250)&amp;"[…]",_xlpm._fullName),
HYPERLINK("#'"&amp;$E73&amp;"'!"&amp;$F73&amp;$G73,
_xlpm._truncatedName)))</f>
        <v xml:space="preserve">Resulting Options </v>
      </c>
      <c r="C73" s="13" t="s">
        <v>1211</v>
      </c>
      <c r="D73" s="13"/>
      <c r="E73" s="61" t="str">
        <f t="shared" ca="1" si="13"/>
        <v>Questions</v>
      </c>
      <c r="F73" s="61" t="str">
        <f t="shared" ca="1" si="14"/>
        <v>K</v>
      </c>
      <c r="G73" s="61" t="str">
        <f t="shared" ca="1" si="15"/>
        <v>3</v>
      </c>
      <c r="H73" s="61" cm="1">
        <f t="array" aca="1" ref="H73" ca="1">CreateID($H$36,$H:$H,$E73&lt;&gt;INDEX($E:$E,ROW()-1))</f>
        <v>3</v>
      </c>
      <c r="I73" s="61" t="str" cm="1">
        <f t="array" aca="1" ref="I73" ca="1">INDIRECT($K73)</f>
        <v xml:space="preserve">Resulting Options </v>
      </c>
      <c r="K73" s="2" t="str" cm="1">
        <f t="array" aca="1" ref="K73" ca="1">CELL("address",Questions!$K$3)</f>
        <v>'[2025-07-30_QuBA_libre.xlsx]Questions'!$K$3</v>
      </c>
    </row>
    <row r="74" spans="1:13" ht="210" outlineLevel="1" x14ac:dyDescent="0.25">
      <c r="A74" s="23" t="str" cm="1">
        <f t="array" aca="1" ref="A74" ca="1">IF(INDEX($H:$H,ROW()-1)&lt;&gt;$H74,$E74,"")</f>
        <v/>
      </c>
      <c r="B74" s="71" t="str" cm="1">
        <f t="array" aca="1" ref="B74" ca="1">IF($K74="","",_xlfn.LET(
_xlpm._fullName,IF($L74="",SUBSTITUTE(SUBSTITUTE(INDIRECT($K74),CHAR(10)," "),"  "," "),$L74),
_xlpm._truncatedName,IF(LEN(_xlpm._fullName)&gt;250,LEFT(_xlpm._fullName,250)&amp;"[…]",_xlpm._fullName),
HYPERLINK("#'"&amp;$E74&amp;"'!"&amp;$F74&amp;$G74,
_xlpm._truncatedName)))</f>
        <v xml:space="preserve">Info Text </v>
      </c>
      <c r="C74" s="13" t="s">
        <v>1713</v>
      </c>
      <c r="D74" s="13" t="s">
        <v>1714</v>
      </c>
      <c r="E74" s="61" t="str">
        <f t="shared" ca="1" si="13"/>
        <v>Questions</v>
      </c>
      <c r="F74" s="61" t="str">
        <f t="shared" ca="1" si="14"/>
        <v>L</v>
      </c>
      <c r="G74" s="61" t="str">
        <f t="shared" ca="1" si="15"/>
        <v>3</v>
      </c>
      <c r="H74" s="61" cm="1">
        <f t="array" aca="1" ref="H74" ca="1">CreateID($H$36,$H:$H,$E74&lt;&gt;INDEX($E:$E,ROW()-1))</f>
        <v>3</v>
      </c>
      <c r="I74" s="61" t="str" cm="1">
        <f t="array" aca="1" ref="I74" ca="1">INDIRECT($K74)</f>
        <v xml:space="preserve">Info Text </v>
      </c>
      <c r="K74" s="2" t="str" cm="1">
        <f t="array" aca="1" ref="K74" ca="1">CELL("address",Questions!$L$3)</f>
        <v>'[2025-07-30_QuBA_libre.xlsx]Questions'!$L$3</v>
      </c>
    </row>
    <row r="75" spans="1:13" ht="75" outlineLevel="1" x14ac:dyDescent="0.25">
      <c r="A75" s="23" t="str" cm="1">
        <f t="array" aca="1" ref="A75" ca="1">IF(INDEX($H:$H,ROW()-1)&lt;&gt;$H75,$E75,"")</f>
        <v/>
      </c>
      <c r="B75" s="71" t="str" cm="1">
        <f t="array" aca="1" ref="B75" ca="1">IF($K75="","",_xlfn.LET(
_xlpm._fullName,IF($L75="",SUBSTITUTE(SUBSTITUTE(INDIRECT($K75),CHAR(10)," "),"  "," "),$L75),
_xlpm._truncatedName,IF(LEN(_xlpm._fullName)&gt;250,LEFT(_xlpm._fullName,250)&amp;"[…]",_xlpm._fullName),
HYPERLINK("#'"&amp;$E75&amp;"'!"&amp;$F75&amp;$G75,
_xlpm._truncatedName)))</f>
        <v>Inactive On</v>
      </c>
      <c r="C75" s="13" t="s">
        <v>1213</v>
      </c>
      <c r="D75" s="13" t="s">
        <v>1215</v>
      </c>
      <c r="E75" s="61" t="str">
        <f t="shared" ca="1" si="13"/>
        <v>Questions</v>
      </c>
      <c r="F75" s="61" t="str">
        <f t="shared" ca="1" si="14"/>
        <v>M</v>
      </c>
      <c r="G75" s="61" t="str">
        <f t="shared" ca="1" si="15"/>
        <v>3</v>
      </c>
      <c r="H75" s="61" cm="1">
        <f t="array" aca="1" ref="H75" ca="1">CreateID($H$36,$H:$H,$E75&lt;&gt;INDEX($E:$E,ROW()-1))</f>
        <v>3</v>
      </c>
      <c r="I75" s="61" t="str" cm="1">
        <f t="array" aca="1" ref="I75" ca="1">INDIRECT($K75)</f>
        <v>Inactive On</v>
      </c>
      <c r="K75" s="2" t="str" cm="1">
        <f t="array" aca="1" ref="K75" ca="1">CELL("address",Questions!$M$3)</f>
        <v>'[2025-07-30_QuBA_libre.xlsx]Questions'!$M$3</v>
      </c>
    </row>
    <row r="76" spans="1:13" outlineLevel="1" x14ac:dyDescent="0.25">
      <c r="A76" s="23" t="str" cm="1">
        <f t="array" aca="1" ref="A76" ca="1">IF(INDEX($H:$H,ROW()-1)&lt;&gt;$H76,$E76,"")</f>
        <v/>
      </c>
      <c r="B76" s="71" t="str" cm="1">
        <f t="array" aca="1" ref="B76" ca="1">IF($K76="","",_xlfn.LET(
_xlpm._fullName,IF($L76="",SUBSTITUTE(SUBSTITUTE(INDIRECT($K76),CHAR(10)," "),"  "," "),$L76),
_xlpm._truncatedName,IF(LEN(_xlpm._fullName)&gt;250,LEFT(_xlpm._fullName,250)&amp;"[…]",_xlpm._fullName),
HYPERLINK("#'"&amp;$E76&amp;"'!"&amp;$F76&amp;$G76,
_xlpm._truncatedName)))</f>
        <v>Comment</v>
      </c>
      <c r="C76" s="13" t="s">
        <v>809</v>
      </c>
      <c r="D76" s="13"/>
      <c r="E76" s="61" t="str">
        <f ca="1">IF($K76="","",_xlfn.LET(
_xlpm._in,$K76,
_xlpm._start,FIND("]",_xlpm._in)+1,
SUBSTITUTE(MID(_xlpm._in,_xlpm._start,FIND("!",_xlpm._in)-_xlpm._start),"'","")))</f>
        <v>Questions</v>
      </c>
      <c r="F76" s="61" t="str">
        <f ca="1">IF($K76="","",_xlfn.LET(
_xlpm._in,SUBSTITUTE($K76,"$","§",1),
_xlpm._start,FIND("§",_xlpm._in)+1,
SUBSTITUTE(MID(_xlpm._in,_xlpm._start,FIND("$",_xlpm._in)-_xlpm._start),"'","")))</f>
        <v>N</v>
      </c>
      <c r="G76" s="61" t="str">
        <f ca="1">IF($K76="","",RIGHT($K76,LEN($K76)-FIND("$",SUBSTITUTE($K76,"$","§",1))))</f>
        <v>3</v>
      </c>
      <c r="H76" s="61" cm="1">
        <f t="array" aca="1" ref="H76" ca="1">CreateID($H$36,$H:$H,$E76&lt;&gt;INDEX($E:$E,ROW()-1))</f>
        <v>3</v>
      </c>
      <c r="I76" s="61" t="str" cm="1">
        <f t="array" aca="1" ref="I76" ca="1">INDIRECT($K76)</f>
        <v>Comment</v>
      </c>
      <c r="K76" s="2" t="str" cm="1">
        <f t="array" aca="1" ref="K76" ca="1">CELL("address",Questions!$N$3)</f>
        <v>'[2025-07-30_QuBA_libre.xlsx]Questions'!$N$3</v>
      </c>
    </row>
    <row r="77" spans="1:13" x14ac:dyDescent="0.25">
      <c r="A77" s="23" t="str" cm="1">
        <f t="array" aca="1" ref="A77" ca="1">IF(INDEX($H:$H,ROW()-1)&lt;&gt;$H77,$E77,"")</f>
        <v>Damage Scenarios</v>
      </c>
      <c r="B77" s="71" t="str" cm="1">
        <f t="array" aca="1" ref="B77" ca="1">IF($K77="","",_xlfn.LET(
_xlpm._fullName,IF($L77="",SUBSTITUTE(SUBSTITUTE(INDIRECT($K77),CHAR(10)," "),"  "," "),$L77),
_xlpm._truncatedName,IF(LEN(_xlpm._fullName)&gt;250,LEFT(_xlpm._fullName,250)&amp;"[…]",_xlpm._fullName),
HYPERLINK("#'"&amp;$E77&amp;"'!"&amp;$F77&amp;$G77,
_xlpm._truncatedName)))</f>
        <v>ID</v>
      </c>
      <c r="C77" s="13" t="s">
        <v>846</v>
      </c>
      <c r="D77" s="13"/>
      <c r="E77" s="61" t="str">
        <f t="shared" ref="E77:E92" ca="1" si="16">IF($K77="","",_xlfn.LET(
_xlpm._in,$K77,
_xlpm._start,FIND("]",_xlpm._in)+1,
SUBSTITUTE(MID(_xlpm._in,_xlpm._start,FIND("!",_xlpm._in)-_xlpm._start),"'","")))</f>
        <v>Damage Scenarios</v>
      </c>
      <c r="F77" s="61" t="str">
        <f t="shared" ref="F77:F92" ca="1" si="17">IF($K77="","",_xlfn.LET(
_xlpm._in,SUBSTITUTE($K77,"$","§",1),
_xlpm._start,FIND("§",_xlpm._in)+1,
SUBSTITUTE(MID(_xlpm._in,_xlpm._start,FIND("$",_xlpm._in)-_xlpm._start),"'","")))</f>
        <v>A</v>
      </c>
      <c r="G77" s="61" t="str">
        <f t="shared" ref="G77:G92" ca="1" si="18">IF($K77="","",RIGHT($K77,LEN($K77)-FIND("$",SUBSTITUTE($K77,"$","§",1))))</f>
        <v>2</v>
      </c>
      <c r="H77" s="61" cm="1">
        <f t="array" aca="1" ref="H77" ca="1">CreateID($H$36,$H:$H,$E77&lt;&gt;INDEX($E:$E,ROW()-1))</f>
        <v>4</v>
      </c>
      <c r="I77" s="61" t="str" cm="1">
        <f t="array" aca="1" ref="I77" ca="1">INDIRECT($K77)</f>
        <v>ID</v>
      </c>
      <c r="K77" s="2" t="str" cm="1">
        <f t="array" aca="1" ref="K77" ca="1">CELL("address",OFFSET('Damage Scenarios'!$A$2,0,ROW()-ROW($K$77)))</f>
        <v>'[2025-07-30_QuBA_libre.xlsx]Damage Scenarios'!$A$2</v>
      </c>
    </row>
    <row r="78" spans="1:13" ht="30" outlineLevel="1" x14ac:dyDescent="0.25">
      <c r="A78" s="23" t="str" cm="1">
        <f t="array" aca="1" ref="A78" ca="1">IF(INDEX($H:$H,ROW()-1)&lt;&gt;$H78,$E78,"")</f>
        <v/>
      </c>
      <c r="B78" s="71" t="str" cm="1">
        <f t="array" aca="1" ref="B78" ca="1">IF($K78="","",_xlfn.LET(
_xlpm._fullName,IF($L78="",SUBSTITUTE(SUBSTITUTE(INDIRECT($K78),CHAR(10)," "),"  "," "),$L78),
_xlpm._truncatedName,IF(LEN(_xlpm._fullName)&gt;250,LEFT(_xlpm._fullName,250)&amp;"[…]",_xlpm._fullName),
HYPERLINK("#'"&amp;$E78&amp;"'!"&amp;$F78&amp;$G78,
_xlpm._truncatedName)))</f>
        <v>Q ID</v>
      </c>
      <c r="C78" s="13" t="s">
        <v>791</v>
      </c>
      <c r="D78" s="13"/>
      <c r="E78" s="61" t="str">
        <f t="shared" ca="1" si="16"/>
        <v>Damage Scenarios</v>
      </c>
      <c r="F78" s="61" t="str">
        <f t="shared" ca="1" si="17"/>
        <v>B</v>
      </c>
      <c r="G78" s="61" t="str">
        <f t="shared" ca="1" si="18"/>
        <v>2</v>
      </c>
      <c r="H78" s="61" cm="1">
        <f t="array" aca="1" ref="H78" ca="1">CreateID($H$36,$H:$H,$E78&lt;&gt;INDEX($E:$E,ROW()-1))</f>
        <v>4</v>
      </c>
      <c r="I78" s="61" t="str" cm="1">
        <f t="array" aca="1" ref="I78" ca="1">INDIRECT($K78)</f>
        <v>Q ID</v>
      </c>
      <c r="K78" s="2" t="str" cm="1">
        <f t="array" aca="1" ref="K78" ca="1">CELL("address",OFFSET('Damage Scenarios'!$A$2,0,ROW()-ROW($K$77)))</f>
        <v>'[2025-07-30_QuBA_libre.xlsx]Damage Scenarios'!$B$2</v>
      </c>
    </row>
    <row r="79" spans="1:13" ht="30" outlineLevel="1" x14ac:dyDescent="0.25">
      <c r="A79" s="23" t="str" cm="1">
        <f t="array" aca="1" ref="A79" ca="1">IF(INDEX($H:$H,ROW()-1)&lt;&gt;$H79,$E79,"")</f>
        <v/>
      </c>
      <c r="B79" s="71" t="str" cm="1">
        <f t="array" aca="1" ref="B79" ca="1">IF($K79="","",_xlfn.LET(
_xlpm._fullName,IF($L79="",SUBSTITUTE(SUBSTITUTE(INDIRECT($K79),CHAR(10)," "),"  "," "),$L79),
_xlpm._truncatedName,IF(LEN(_xlpm._fullName)&gt;250,LEFT(_xlpm._fullName,250)&amp;"[…]",_xlpm._fullName),
HYPERLINK("#'"&amp;$E79&amp;"'!"&amp;$F79&amp;$G79,
_xlpm._truncatedName)))</f>
        <v>Question</v>
      </c>
      <c r="C79" s="13" t="s">
        <v>795</v>
      </c>
      <c r="D79" s="13"/>
      <c r="E79" s="61" t="str">
        <f t="shared" ca="1" si="16"/>
        <v>Damage Scenarios</v>
      </c>
      <c r="F79" s="61" t="str">
        <f t="shared" ca="1" si="17"/>
        <v>C</v>
      </c>
      <c r="G79" s="61" t="str">
        <f t="shared" ca="1" si="18"/>
        <v>2</v>
      </c>
      <c r="H79" s="61" cm="1">
        <f t="array" aca="1" ref="H79" ca="1">CreateID($H$36,$H:$H,$E79&lt;&gt;INDEX($E:$E,ROW()-1))</f>
        <v>4</v>
      </c>
      <c r="I79" s="61" t="str" cm="1">
        <f t="array" aca="1" ref="I79" ca="1">INDIRECT($K79)</f>
        <v>Question</v>
      </c>
      <c r="K79" s="2" t="str" cm="1">
        <f t="array" aca="1" ref="K79" ca="1">CELL("address",OFFSET('Damage Scenarios'!$A$2,0,ROW()-ROW($K$77)))</f>
        <v>'[2025-07-30_QuBA_libre.xlsx]Damage Scenarios'!$C$2</v>
      </c>
    </row>
    <row r="80" spans="1:13" ht="30" outlineLevel="1" x14ac:dyDescent="0.25">
      <c r="A80" s="23" t="str" cm="1">
        <f t="array" aca="1" ref="A80" ca="1">IF(INDEX($H:$H,ROW()-1)&lt;&gt;$H80,$E80,"")</f>
        <v/>
      </c>
      <c r="B80" s="71" t="str" cm="1">
        <f t="array" aca="1" ref="B80" ca="1">IF($K80="","",_xlfn.LET(
_xlpm._fullName,IF($L80="",SUBSTITUTE(SUBSTITUTE(INDIRECT($K80),CHAR(10)," "),"  "," "),$L80),
_xlpm._truncatedName,IF(LEN(_xlpm._fullName)&gt;250,LEFT(_xlpm._fullName,250)&amp;"[…]",_xlpm._fullName),
HYPERLINK("#'"&amp;$E80&amp;"'!"&amp;$F80&amp;$G80,
_xlpm._truncatedName)))</f>
        <v>Is Active?</v>
      </c>
      <c r="C80" s="13" t="s">
        <v>925</v>
      </c>
      <c r="D80" s="13"/>
      <c r="E80" s="61" t="str">
        <f t="shared" ca="1" si="16"/>
        <v>Damage Scenarios</v>
      </c>
      <c r="F80" s="61" t="str">
        <f t="shared" ca="1" si="17"/>
        <v>D</v>
      </c>
      <c r="G80" s="61" t="str">
        <f t="shared" ca="1" si="18"/>
        <v>2</v>
      </c>
      <c r="H80" s="61" cm="1">
        <f t="array" aca="1" ref="H80" ca="1">CreateID($H$36,$H:$H,$E80&lt;&gt;INDEX($E:$E,ROW()-1))</f>
        <v>4</v>
      </c>
      <c r="I80" s="61" t="str" cm="1">
        <f t="array" aca="1" ref="I80" ca="1">INDIRECT($K80)</f>
        <v>Is Active?</v>
      </c>
      <c r="K80" s="2" t="str" cm="1">
        <f t="array" aca="1" ref="K80" ca="1">CELL("address",OFFSET('Damage Scenarios'!$A$2,0,ROW()-ROW($K$77)))</f>
        <v>'[2025-07-30_QuBA_libre.xlsx]Damage Scenarios'!$D$2</v>
      </c>
    </row>
    <row r="81" spans="1:11" ht="45" outlineLevel="1" x14ac:dyDescent="0.25">
      <c r="A81" s="23" t="str" cm="1">
        <f t="array" aca="1" ref="A81" ca="1">IF(INDEX($H:$H,ROW()-1)&lt;&gt;$H81,$E81,"")</f>
        <v/>
      </c>
      <c r="B81" s="71" t="str" cm="1">
        <f t="array" aca="1" ref="B81" ca="1">IF($K81="","",_xlfn.LET(
_xlpm._fullName,IF($L81="",SUBSTITUTE(SUBSTITUTE(INDIRECT($K81),CHAR(10)," "),"  "," "),$L81),
_xlpm._truncatedName,IF(LEN(_xlpm._fullName)&gt;250,LEFT(_xlpm._fullName,250)&amp;"[…]",_xlpm._fullName),
HYPERLINK("#'"&amp;$E81&amp;"'!"&amp;$F81&amp;$G81,
_xlpm._truncatedName)))</f>
        <v>Damage Scenario Static Text Prefix</v>
      </c>
      <c r="C81" s="13" t="s">
        <v>797</v>
      </c>
      <c r="D81" s="13"/>
      <c r="E81" s="61" t="str">
        <f t="shared" ca="1" si="16"/>
        <v>Damage Scenarios</v>
      </c>
      <c r="F81" s="61" t="str">
        <f t="shared" ca="1" si="17"/>
        <v>E</v>
      </c>
      <c r="G81" s="61" t="str">
        <f t="shared" ca="1" si="18"/>
        <v>2</v>
      </c>
      <c r="H81" s="61" cm="1">
        <f t="array" aca="1" ref="H81" ca="1">CreateID($H$36,$H:$H,$E81&lt;&gt;INDEX($E:$E,ROW()-1))</f>
        <v>4</v>
      </c>
      <c r="I81" s="61" t="str" cm="1">
        <f t="array" aca="1" ref="I81" ca="1">INDIRECT($K81)</f>
        <v>Damage Scenario Static Text Prefix</v>
      </c>
      <c r="K81" s="2" t="str" cm="1">
        <f t="array" aca="1" ref="K81" ca="1">CELL("address",OFFSET('Damage Scenarios'!$A$2,0,ROW()-ROW($K$77)))</f>
        <v>'[2025-07-30_QuBA_libre.xlsx]Damage Scenarios'!$E$2</v>
      </c>
    </row>
    <row r="82" spans="1:11" ht="30" outlineLevel="1" x14ac:dyDescent="0.25">
      <c r="A82" s="23" t="str" cm="1">
        <f t="array" aca="1" ref="A82" ca="1">IF(INDEX($H:$H,ROW()-1)&lt;&gt;$H82,$E82,"")</f>
        <v/>
      </c>
      <c r="B82" s="71" t="str" cm="1">
        <f t="array" aca="1" ref="B82" ca="1">IF($K82="","",_xlfn.LET(
_xlpm._fullName,IF($L82="",SUBSTITUTE(SUBSTITUTE(INDIRECT($K82),CHAR(10)," "),"  "," "),$L82),
_xlpm._truncatedName,IF(LEN(_xlpm._fullName)&gt;250,LEFT(_xlpm._fullName,250)&amp;"[…]",_xlpm._fullName),
HYPERLINK("#'"&amp;$E82&amp;"'!"&amp;$F82&amp;$G82,
_xlpm._truncatedName)))</f>
        <v>Questionnaire Provides Damage Criterion?</v>
      </c>
      <c r="C82" s="13" t="s">
        <v>958</v>
      </c>
      <c r="D82" s="13"/>
      <c r="E82" s="61" t="str">
        <f t="shared" ca="1" si="16"/>
        <v>Damage Scenarios</v>
      </c>
      <c r="F82" s="61" t="str">
        <f t="shared" ca="1" si="17"/>
        <v>F</v>
      </c>
      <c r="G82" s="61" t="str">
        <f t="shared" ca="1" si="18"/>
        <v>2</v>
      </c>
      <c r="H82" s="61" cm="1">
        <f t="array" aca="1" ref="H82" ca="1">CreateID($H$36,$H:$H,$E82&lt;&gt;INDEX($E:$E,ROW()-1))</f>
        <v>4</v>
      </c>
      <c r="I82" s="61" t="str" cm="1">
        <f t="array" aca="1" ref="I82" ca="1">INDIRECT($K82)</f>
        <v>Questionnaire Provides Damage Criterion?</v>
      </c>
      <c r="K82" s="2" t="str" cm="1">
        <f t="array" aca="1" ref="K82" ca="1">CELL("address",OFFSET('Damage Scenarios'!$A$2,0,ROW()-ROW($K$77)))</f>
        <v>'[2025-07-30_QuBA_libre.xlsx]Damage Scenarios'!$F$2</v>
      </c>
    </row>
    <row r="83" spans="1:11" outlineLevel="1" x14ac:dyDescent="0.25">
      <c r="A83" s="23" t="str" cm="1">
        <f t="array" aca="1" ref="A83" ca="1">IF(INDEX($H:$H,ROW()-1)&lt;&gt;$H83,$E83,"")</f>
        <v/>
      </c>
      <c r="B83" s="71" t="str" cm="1">
        <f t="array" aca="1" ref="B83" ca="1">IF($K83="","",_xlfn.LET(
_xlpm._fullName,IF($L83="",SUBSTITUTE(SUBSTITUTE(INDIRECT($K83),CHAR(10)," "),"  "," "),$L83),
_xlpm._truncatedName,IF(LEN(_xlpm._fullName)&gt;250,LEFT(_xlpm._fullName,250)&amp;"[…]",_xlpm._fullName),
HYPERLINK("#'"&amp;$E83&amp;"'!"&amp;$F83&amp;$G83,
_xlpm._truncatedName)))</f>
        <v>Damage Scenario Static Text Suffix</v>
      </c>
      <c r="C83" s="13" t="s">
        <v>798</v>
      </c>
      <c r="D83" s="13"/>
      <c r="E83" s="61" t="str">
        <f t="shared" ca="1" si="16"/>
        <v>Damage Scenarios</v>
      </c>
      <c r="F83" s="61" t="str">
        <f t="shared" ca="1" si="17"/>
        <v>G</v>
      </c>
      <c r="G83" s="61" t="str">
        <f t="shared" ca="1" si="18"/>
        <v>2</v>
      </c>
      <c r="H83" s="61" cm="1">
        <f t="array" aca="1" ref="H83" ca="1">CreateID($H$36,$H:$H,$E83&lt;&gt;INDEX($E:$E,ROW()-1))</f>
        <v>4</v>
      </c>
      <c r="I83" s="61" t="str" cm="1">
        <f t="array" aca="1" ref="I83" ca="1">INDIRECT($K83)</f>
        <v>Damage Scenario Static Text Suffix</v>
      </c>
      <c r="K83" s="2" t="str" cm="1">
        <f t="array" aca="1" ref="K83" ca="1">CELL("address",OFFSET('Damage Scenarios'!$A$2,0,ROW()-ROW($K$77)))</f>
        <v>'[2025-07-30_QuBA_libre.xlsx]Damage Scenarios'!$G$2</v>
      </c>
    </row>
    <row r="84" spans="1:11" ht="30" outlineLevel="1" x14ac:dyDescent="0.25">
      <c r="A84" s="23" t="str" cm="1">
        <f t="array" aca="1" ref="A84" ca="1">IF(INDEX($H:$H,ROW()-1)&lt;&gt;$H84,$E84,"")</f>
        <v/>
      </c>
      <c r="B84" s="71" t="str" cm="1">
        <f t="array" aca="1" ref="B84" ca="1">IF($K84="","",_xlfn.LET(
_xlpm._fullName,IF($L84="",SUBSTITUTE(SUBSTITUTE(INDIRECT($K84),CHAR(10)," "),"  "," "),$L84),
_xlpm._truncatedName,IF(LEN(_xlpm._fullName)&gt;250,LEFT(_xlpm._fullName,250)&amp;"[…]",_xlpm._fullName),
HYPERLINK("#'"&amp;$E84&amp;"'!"&amp;$F84&amp;$G84,
_xlpm._truncatedName)))</f>
        <v>Answer 1</v>
      </c>
      <c r="C84" s="13" t="s">
        <v>1306</v>
      </c>
      <c r="D84" s="13"/>
      <c r="E84" s="61" t="str">
        <f t="shared" ca="1" si="16"/>
        <v>Damage Scenarios</v>
      </c>
      <c r="F84" s="61" t="str">
        <f t="shared" ca="1" si="17"/>
        <v>H</v>
      </c>
      <c r="G84" s="61" t="str">
        <f t="shared" ca="1" si="18"/>
        <v>2</v>
      </c>
      <c r="H84" s="61" cm="1">
        <f t="array" aca="1" ref="H84" ca="1">CreateID($H$36,$H:$H,$E84&lt;&gt;INDEX($E:$E,ROW()-1))</f>
        <v>4</v>
      </c>
      <c r="I84" s="61" t="str" cm="1">
        <f t="array" aca="1" ref="I84" ca="1">INDIRECT($K84)</f>
        <v>Answer 1</v>
      </c>
      <c r="K84" s="2" t="str" cm="1">
        <f t="array" aca="1" ref="K84" ca="1">CELL("address",OFFSET('Damage Scenarios'!$A$2,0,ROW()-ROW($K$77)))</f>
        <v>'[2025-07-30_QuBA_libre.xlsx]Damage Scenarios'!$H$2</v>
      </c>
    </row>
    <row r="85" spans="1:11" ht="30" outlineLevel="1" x14ac:dyDescent="0.25">
      <c r="A85" s="23" t="str" cm="1">
        <f t="array" aca="1" ref="A85" ca="1">IF(INDEX($H:$H,ROW()-1)&lt;&gt;$H85,$E85,"")</f>
        <v/>
      </c>
      <c r="B85" s="71" t="str" cm="1">
        <f t="array" aca="1" ref="B85" ca="1">IF($K85="","",_xlfn.LET(
_xlpm._fullName,IF($L85="",SUBSTITUTE(SUBSTITUTE(INDIRECT($K85),CHAR(10)," "),"  "," "),$L85),
_xlpm._truncatedName,IF(LEN(_xlpm._fullName)&gt;250,LEFT(_xlpm._fullName,250)&amp;"[…]",_xlpm._fullName),
HYPERLINK("#'"&amp;$E85&amp;"'!"&amp;$F85&amp;$G85,
_xlpm._truncatedName)))</f>
        <v>Answer 2</v>
      </c>
      <c r="C85" s="13" t="s">
        <v>1307</v>
      </c>
      <c r="D85" s="13"/>
      <c r="E85" s="61" t="str">
        <f t="shared" ca="1" si="16"/>
        <v>Damage Scenarios</v>
      </c>
      <c r="F85" s="61" t="str">
        <f t="shared" ca="1" si="17"/>
        <v>I</v>
      </c>
      <c r="G85" s="61" t="str">
        <f t="shared" ca="1" si="18"/>
        <v>2</v>
      </c>
      <c r="H85" s="61" cm="1">
        <f t="array" aca="1" ref="H85" ca="1">CreateID($H$36,$H:$H,$E85&lt;&gt;INDEX($E:$E,ROW()-1))</f>
        <v>4</v>
      </c>
      <c r="I85" s="61" t="str" cm="1">
        <f t="array" aca="1" ref="I85" ca="1">INDIRECT($K85)</f>
        <v>Answer 2</v>
      </c>
      <c r="K85" s="2" t="str" cm="1">
        <f t="array" aca="1" ref="K85" ca="1">CELL("address",OFFSET('Damage Scenarios'!$A$2,0,ROW()-ROW($K$77)))</f>
        <v>'[2025-07-30_QuBA_libre.xlsx]Damage Scenarios'!$I$2</v>
      </c>
    </row>
    <row r="86" spans="1:11" outlineLevel="1" x14ac:dyDescent="0.25">
      <c r="A86" s="23" t="str" cm="1">
        <f t="array" aca="1" ref="A86" ca="1">IF(INDEX($H:$H,ROW()-1)&lt;&gt;$H86,$E86,"")</f>
        <v/>
      </c>
      <c r="B86" s="71" t="str" cm="1">
        <f t="array" aca="1" ref="B86" ca="1">IF($K86="","",_xlfn.LET(
_xlpm._fullName,IF($L86="",SUBSTITUTE(SUBSTITUTE(INDIRECT($K86),CHAR(10)," "),"  "," "),$L86),
_xlpm._truncatedName,IF(LEN(_xlpm._fullName)&gt;250,LEFT(_xlpm._fullName,250)&amp;"[…]",_xlpm._fullName),
HYPERLINK("#'"&amp;$E86&amp;"'!"&amp;$F86&amp;$G86,
_xlpm._truncatedName)))</f>
        <v>Damage Scenario Text (depends on answers to questionnaire)</v>
      </c>
      <c r="C86" s="13" t="s">
        <v>796</v>
      </c>
      <c r="D86" s="13"/>
      <c r="E86" s="61" t="str">
        <f t="shared" ca="1" si="16"/>
        <v>Damage Scenarios</v>
      </c>
      <c r="F86" s="61" t="str">
        <f t="shared" ca="1" si="17"/>
        <v>J</v>
      </c>
      <c r="G86" s="61" t="str">
        <f t="shared" ca="1" si="18"/>
        <v>2</v>
      </c>
      <c r="H86" s="61" cm="1">
        <f t="array" aca="1" ref="H86" ca="1">CreateID($H$36,$H:$H,$E86&lt;&gt;INDEX($E:$E,ROW()-1))</f>
        <v>4</v>
      </c>
      <c r="I86" s="61" t="str" cm="1">
        <f t="array" aca="1" ref="I86" ca="1">INDIRECT($K86)</f>
        <v>Damage Scenario Text (depends on answers to questionnaire)</v>
      </c>
      <c r="K86" s="2" t="str" cm="1">
        <f t="array" aca="1" ref="K86" ca="1">CELL("address",OFFSET('Damage Scenarios'!$A$2,0,ROW()-ROW($K$77)))</f>
        <v>'[2025-07-30_QuBA_libre.xlsx]Damage Scenarios'!$J$2</v>
      </c>
    </row>
    <row r="87" spans="1:11" ht="30" outlineLevel="1" x14ac:dyDescent="0.25">
      <c r="A87" s="23" t="str" cm="1">
        <f t="array" aca="1" ref="A87" ca="1">IF(INDEX($H:$H,ROW()-1)&lt;&gt;$H87,$E87,"")</f>
        <v/>
      </c>
      <c r="B87" s="71" t="str" cm="1">
        <f t="array" aca="1" ref="B87" ca="1">IF($K87="","",_xlfn.LET(
_xlpm._fullName,IF($L87="",SUBSTITUTE(SUBSTITUTE(INDIRECT($K87),CHAR(10)," "),"  "," "),$L87),
_xlpm._truncatedName,IF(LEN(_xlpm._fullName)&gt;250,LEFT(_xlpm._fullName,250)&amp;"[…]",_xlpm._fullName),
HYPERLINK("#'"&amp;$E87&amp;"'!"&amp;$F87&amp;$G87,
_xlpm._truncatedName)))</f>
        <v>Explicit Damage Criterion</v>
      </c>
      <c r="C87" s="13" t="s">
        <v>969</v>
      </c>
      <c r="D87" s="13"/>
      <c r="E87" s="61" t="str">
        <f ca="1">IF($K87="","",_xlfn.LET(
_xlpm._in,$K87,
_xlpm._start,FIND("]",_xlpm._in)+1,
SUBSTITUTE(MID(_xlpm._in,_xlpm._start,FIND("!",_xlpm._in)-_xlpm._start),"'","")))</f>
        <v>Damage Scenarios</v>
      </c>
      <c r="F87" s="61" t="str">
        <f ca="1">IF($K87="","",_xlfn.LET(
_xlpm._in,SUBSTITUTE($K87,"$","§",1),
_xlpm._start,FIND("§",_xlpm._in)+1,
SUBSTITUTE(MID(_xlpm._in,_xlpm._start,FIND("$",_xlpm._in)-_xlpm._start),"'","")))</f>
        <v>K</v>
      </c>
      <c r="G87" s="61" t="str">
        <f ca="1">IF($K87="","",RIGHT($K87,LEN($K87)-FIND("$",SUBSTITUTE($K87,"$","§",1))))</f>
        <v>2</v>
      </c>
      <c r="H87" s="61" cm="1">
        <f t="array" aca="1" ref="H87" ca="1">CreateID($H$36,$H:$H,$E87&lt;&gt;INDEX($E:$E,ROW()-1))</f>
        <v>4</v>
      </c>
      <c r="I87" s="61" t="str" cm="1">
        <f t="array" aca="1" ref="I87" ca="1">INDIRECT($K87)</f>
        <v>Explicit Damage Criterion</v>
      </c>
      <c r="K87" s="2" t="str" cm="1">
        <f t="array" aca="1" ref="K87" ca="1">CELL("address",OFFSET('Damage Scenarios'!$A$2,0,ROW()-ROW($K$77)))</f>
        <v>'[2025-07-30_QuBA_libre.xlsx]Damage Scenarios'!$K$2</v>
      </c>
    </row>
    <row r="88" spans="1:11" ht="60" outlineLevel="1" x14ac:dyDescent="0.25">
      <c r="A88" s="23" t="str" cm="1">
        <f t="array" aca="1" ref="A88" ca="1">IF(INDEX($H:$H,ROW()-1)&lt;&gt;$H88,$E88,"")</f>
        <v/>
      </c>
      <c r="B88" s="71" t="str" cm="1">
        <f t="array" aca="1" ref="B88" ca="1">IF($K88="","",_xlfn.LET(
_xlpm._fullName,IF($L88="",SUBSTITUTE(SUBSTITUTE(INDIRECT($K88),CHAR(10)," "),"  "," "),$L88),
_xlpm._truncatedName,IF(LEN(_xlpm._fullName)&gt;250,LEFT(_xlpm._fullName,250)&amp;"[…]",_xlpm._fullName),
HYPERLINK("#'"&amp;$E88&amp;"'!"&amp;$F88&amp;$G88,
_xlpm._truncatedName)))</f>
        <v>Active Damage Criterion</v>
      </c>
      <c r="C88" s="13" t="s">
        <v>960</v>
      </c>
      <c r="D88" s="13"/>
      <c r="E88" s="61" t="str">
        <f ca="1">IF($K88="","",_xlfn.LET(
_xlpm._in,$K88,
_xlpm._start,FIND("]",_xlpm._in)+1,
SUBSTITUTE(MID(_xlpm._in,_xlpm._start,FIND("!",_xlpm._in)-_xlpm._start),"'","")))</f>
        <v>Damage Scenarios</v>
      </c>
      <c r="F88" s="61" t="str">
        <f ca="1">IF($K88="","",_xlfn.LET(
_xlpm._in,SUBSTITUTE($K88,"$","§",1),
_xlpm._start,FIND("§",_xlpm._in)+1,
SUBSTITUTE(MID(_xlpm._in,_xlpm._start,FIND("$",_xlpm._in)-_xlpm._start),"'","")))</f>
        <v>L</v>
      </c>
      <c r="G88" s="61" t="str">
        <f ca="1">IF($K88="","",RIGHT($K88,LEN($K88)-FIND("$",SUBSTITUTE($K88,"$","§",1))))</f>
        <v>2</v>
      </c>
      <c r="H88" s="61" cm="1">
        <f t="array" aca="1" ref="H88" ca="1">CreateID($H$36,$H:$H,$E88&lt;&gt;INDEX($E:$E,ROW()-1))</f>
        <v>4</v>
      </c>
      <c r="I88" s="61" t="str" cm="1">
        <f t="array" aca="1" ref="I88" ca="1">INDIRECT($K88)</f>
        <v>Active Damage Criterion</v>
      </c>
      <c r="K88" s="2" t="str" cm="1">
        <f t="array" aca="1" ref="K88" ca="1">CELL("address",OFFSET('Damage Scenarios'!$A$2,0,ROW()-ROW($K$77)))</f>
        <v>'[2025-07-30_QuBA_libre.xlsx]Damage Scenarios'!$L$2</v>
      </c>
    </row>
    <row r="89" spans="1:11" ht="30" outlineLevel="1" x14ac:dyDescent="0.25">
      <c r="A89" s="23" t="str" cm="1">
        <f t="array" aca="1" ref="A89" ca="1">IF(INDEX($H:$H,ROW()-1)&lt;&gt;$H89,$E89,"")</f>
        <v/>
      </c>
      <c r="B89" s="71" t="str" cm="1">
        <f t="array" aca="1" ref="B89" ca="1">IF($K89="","",_xlfn.LET(
_xlpm._fullName,IF($L89="",SUBSTITUTE(SUBSTITUTE(INDIRECT($K89),CHAR(10)," "),"  "," "),$L89),
_xlpm._truncatedName,IF(LEN(_xlpm._fullName)&gt;250,LEFT(_xlpm._fullName,250)&amp;"[…]",_xlpm._fullName),
HYPERLINK("#'"&amp;$E89&amp;"'!"&amp;$F89&amp;$G89,
_xlpm._truncatedName)))</f>
        <v>Damage Level</v>
      </c>
      <c r="C89" s="13" t="s">
        <v>932</v>
      </c>
      <c r="D89" s="13"/>
      <c r="E89" s="61" t="str">
        <f ca="1">IF($K89="","",_xlfn.LET(
_xlpm._in,$K89,
_xlpm._start,FIND("]",_xlpm._in)+1,
SUBSTITUTE(MID(_xlpm._in,_xlpm._start,FIND("!",_xlpm._in)-_xlpm._start),"'","")))</f>
        <v>Damage Scenarios</v>
      </c>
      <c r="F89" s="61" t="str">
        <f ca="1">IF($K89="","",_xlfn.LET(
_xlpm._in,SUBSTITUTE($K89,"$","§",1),
_xlpm._start,FIND("§",_xlpm._in)+1,
SUBSTITUTE(MID(_xlpm._in,_xlpm._start,FIND("$",_xlpm._in)-_xlpm._start),"'","")))</f>
        <v>M</v>
      </c>
      <c r="G89" s="61" t="str">
        <f ca="1">IF($K89="","",RIGHT($K89,LEN($K89)-FIND("$",SUBSTITUTE($K89,"$","§",1))))</f>
        <v>2</v>
      </c>
      <c r="H89" s="61" cm="1">
        <f t="array" aca="1" ref="H89" ca="1">CreateID($H$36,$H:$H,$E89&lt;&gt;INDEX($E:$E,ROW()-1))</f>
        <v>4</v>
      </c>
      <c r="I89" s="61" t="str" cm="1">
        <f t="array" aca="1" ref="I89" ca="1">INDIRECT($K89)</f>
        <v>Damage Level</v>
      </c>
      <c r="K89" s="2" t="str" cm="1">
        <f t="array" aca="1" ref="K89" ca="1">CELL("address",OFFSET('Damage Scenarios'!$A$2,0,ROW()-ROW($K$77)))</f>
        <v>'[2025-07-30_QuBA_libre.xlsx]Damage Scenarios'!$M$2</v>
      </c>
    </row>
    <row r="90" spans="1:11" ht="30" outlineLevel="1" x14ac:dyDescent="0.25">
      <c r="A90" s="23" t="str" cm="1">
        <f t="array" aca="1" ref="A90" ca="1">IF(INDEX($H:$H,ROW()-1)&lt;&gt;$H90,$E90,"")</f>
        <v/>
      </c>
      <c r="B90" s="71" t="str" cm="1">
        <f t="array" aca="1" ref="B90" ca="1">IF($K90="","",_xlfn.LET(
_xlpm._fullName,IF($L90="",SUBSTITUTE(SUBSTITUTE(INDIRECT($K90),CHAR(10)," "),"  "," "),$L90),
_xlpm._truncatedName,IF(LEN(_xlpm._fullName)&gt;250,LEFT(_xlpm._fullName,250)&amp;"[…]",_xlpm._fullName),
HYPERLINK("#'"&amp;$E90&amp;"'!"&amp;$F90&amp;$G90,
_xlpm._truncatedName)))</f>
        <v>Explicit Explanation Text</v>
      </c>
      <c r="C90" s="13" t="s">
        <v>962</v>
      </c>
      <c r="D90" s="13"/>
      <c r="E90" s="61" t="str">
        <f ca="1">IF($K90="","",_xlfn.LET(
_xlpm._in,$K90,
_xlpm._start,FIND("]",_xlpm._in)+1,
SUBSTITUTE(MID(_xlpm._in,_xlpm._start,FIND("!",_xlpm._in)-_xlpm._start),"'","")))</f>
        <v>Damage Scenarios</v>
      </c>
      <c r="F90" s="61" t="str">
        <f ca="1">IF($K90="","",_xlfn.LET(
_xlpm._in,SUBSTITUTE($K90,"$","§",1),
_xlpm._start,FIND("§",_xlpm._in)+1,
SUBSTITUTE(MID(_xlpm._in,_xlpm._start,FIND("$",_xlpm._in)-_xlpm._start),"'","")))</f>
        <v>N</v>
      </c>
      <c r="G90" s="61" t="str">
        <f ca="1">IF($K90="","",RIGHT($K90,LEN($K90)-FIND("$",SUBSTITUTE($K90,"$","§",1))))</f>
        <v>2</v>
      </c>
      <c r="H90" s="61" cm="1">
        <f t="array" aca="1" ref="H90" ca="1">CreateID($H$36,$H:$H,$E90&lt;&gt;INDEX($E:$E,ROW()-1))</f>
        <v>4</v>
      </c>
      <c r="I90" s="61" t="str" cm="1">
        <f t="array" aca="1" ref="I90" ca="1">INDIRECT($K90)</f>
        <v>Explicit Explanation Text</v>
      </c>
      <c r="K90" s="2" t="str" cm="1">
        <f t="array" aca="1" ref="K90" ca="1">CELL("address",OFFSET('Damage Scenarios'!$A$2,0,ROW()-ROW($K$77)))</f>
        <v>'[2025-07-30_QuBA_libre.xlsx]Damage Scenarios'!$N$2</v>
      </c>
    </row>
    <row r="91" spans="1:11" ht="45" outlineLevel="1" x14ac:dyDescent="0.25">
      <c r="A91" s="23" t="str" cm="1">
        <f t="array" aca="1" ref="A91" ca="1">IF(INDEX($H:$H,ROW()-1)&lt;&gt;$H91,$E91,"")</f>
        <v/>
      </c>
      <c r="B91" s="71" t="str" cm="1">
        <f t="array" aca="1" ref="B91" ca="1">IF($K91="","",_xlfn.LET(
_xlpm._fullName,IF($L91="",SUBSTITUTE(SUBSTITUTE(INDIRECT($K91),CHAR(10)," "),"  "," "),$L91),
_xlpm._truncatedName,IF(LEN(_xlpm._fullName)&gt;250,LEFT(_xlpm._fullName,250)&amp;"[…]",_xlpm._fullName),
HYPERLINK("#'"&amp;$E91&amp;"'!"&amp;$F91&amp;$G91,
_xlpm._truncatedName)))</f>
        <v>Explanation Text</v>
      </c>
      <c r="C91" s="13" t="s">
        <v>963</v>
      </c>
      <c r="D91" s="13"/>
      <c r="E91" s="61" t="str">
        <f ca="1">IF($K91="","",_xlfn.LET(
_xlpm._in,$K91,
_xlpm._start,FIND("]",_xlpm._in)+1,
SUBSTITUTE(MID(_xlpm._in,_xlpm._start,FIND("!",_xlpm._in)-_xlpm._start),"'","")))</f>
        <v>Damage Scenarios</v>
      </c>
      <c r="F91" s="61" t="str">
        <f ca="1">IF($K91="","",_xlfn.LET(
_xlpm._in,SUBSTITUTE($K91,"$","§",1),
_xlpm._start,FIND("§",_xlpm._in)+1,
SUBSTITUTE(MID(_xlpm._in,_xlpm._start,FIND("$",_xlpm._in)-_xlpm._start),"'","")))</f>
        <v>O</v>
      </c>
      <c r="G91" s="61" t="str">
        <f ca="1">IF($K91="","",RIGHT($K91,LEN($K91)-FIND("$",SUBSTITUTE($K91,"$","§",1))))</f>
        <v>2</v>
      </c>
      <c r="H91" s="61" cm="1">
        <f t="array" aca="1" ref="H91" ca="1">CreateID($H$36,$H:$H,$E91&lt;&gt;INDEX($E:$E,ROW()-1))</f>
        <v>4</v>
      </c>
      <c r="I91" s="61" t="str" cm="1">
        <f t="array" aca="1" ref="I91" ca="1">INDIRECT($K91)</f>
        <v>Explanation Text</v>
      </c>
      <c r="K91" s="2" t="str" cm="1">
        <f t="array" aca="1" ref="K91" ca="1">CELL("address",OFFSET('Damage Scenarios'!$A$2,0,ROW()-ROW($K$77)))</f>
        <v>'[2025-07-30_QuBA_libre.xlsx]Damage Scenarios'!$O$2</v>
      </c>
    </row>
    <row r="92" spans="1:11" outlineLevel="1" x14ac:dyDescent="0.25">
      <c r="A92" s="23" t="str" cm="1">
        <f t="array" aca="1" ref="A92" ca="1">IF(INDEX($H:$H,ROW()-1)&lt;&gt;$H92,$E92,"")</f>
        <v/>
      </c>
      <c r="B92" s="71" t="str" cm="1">
        <f t="array" aca="1" ref="B92" ca="1">IF($K92="","",_xlfn.LET(
_xlpm._fullName,IF($L92="",SUBSTITUTE(SUBSTITUTE(INDIRECT($K92),CHAR(10)," "),"  "," "),$L92),
_xlpm._truncatedName,IF(LEN(_xlpm._fullName)&gt;250,LEFT(_xlpm._fullName,250)&amp;"[…]",_xlpm._fullName),
HYPERLINK("#'"&amp;$E92&amp;"'!"&amp;$F92&amp;$G92,
_xlpm._truncatedName)))</f>
        <v>Comment</v>
      </c>
      <c r="C92" s="13" t="s">
        <v>809</v>
      </c>
      <c r="D92" s="13"/>
      <c r="E92" s="61" t="str">
        <f t="shared" ca="1" si="16"/>
        <v>Damage Scenarios</v>
      </c>
      <c r="F92" s="61" t="str">
        <f t="shared" ca="1" si="17"/>
        <v>P</v>
      </c>
      <c r="G92" s="61" t="str">
        <f t="shared" ca="1" si="18"/>
        <v>2</v>
      </c>
      <c r="H92" s="61" cm="1">
        <f t="array" aca="1" ref="H92" ca="1">CreateID($H$36,$H:$H,$E92&lt;&gt;INDEX($E:$E,ROW()-1))</f>
        <v>4</v>
      </c>
      <c r="I92" s="61" t="str" cm="1">
        <f t="array" aca="1" ref="I92" ca="1">INDIRECT($K92)</f>
        <v>Comment</v>
      </c>
      <c r="K92" s="2" t="str" cm="1">
        <f t="array" aca="1" ref="K92" ca="1">CELL("address",OFFSET('Damage Scenarios'!$A$2,0,ROW()-ROW($K$77)))</f>
        <v>'[2025-07-30_QuBA_libre.xlsx]Damage Scenarios'!$P$2</v>
      </c>
    </row>
    <row r="93" spans="1:11" x14ac:dyDescent="0.25">
      <c r="A93" s="23" t="str" cm="1">
        <f t="array" aca="1" ref="A93" ca="1">IF(INDEX($H:$H,ROW()-1)&lt;&gt;$H93,$E93,"")</f>
        <v>Attack Steps</v>
      </c>
      <c r="B93" s="71" t="str" cm="1">
        <f t="array" aca="1" ref="B93" ca="1">IF($K93="","",_xlfn.LET(
_xlpm._fullName,IF($L93="",SUBSTITUTE(SUBSTITUTE(INDIRECT($K93),CHAR(10)," "),"  "," "),$L93),
_xlpm._truncatedName,IF(LEN(_xlpm._fullName)&gt;250,LEFT(_xlpm._fullName,250)&amp;"[…]",_xlpm._fullName),
HYPERLINK("#'"&amp;$E93&amp;"'!"&amp;$F93&amp;$G93,
_xlpm._truncatedName)))</f>
        <v>ID</v>
      </c>
      <c r="C93" s="13" t="s">
        <v>847</v>
      </c>
      <c r="D93" s="13"/>
      <c r="E93" s="61" t="str">
        <f t="shared" ref="E93:E107" ca="1" si="19">IF($K93="","",_xlfn.LET(
_xlpm._in,$K93,
_xlpm._start,FIND("]",_xlpm._in)+1,
SUBSTITUTE(MID(_xlpm._in,_xlpm._start,FIND("!",_xlpm._in)-_xlpm._start),"'","")))</f>
        <v>Attack Steps</v>
      </c>
      <c r="F93" s="61" t="str">
        <f t="shared" ref="F93:F107" ca="1" si="20">IF($K93="","",_xlfn.LET(
_xlpm._in,SUBSTITUTE($K93,"$","§",1),
_xlpm._start,FIND("§",_xlpm._in)+1,
SUBSTITUTE(MID(_xlpm._in,_xlpm._start,FIND("$",_xlpm._in)-_xlpm._start),"'","")))</f>
        <v>A</v>
      </c>
      <c r="G93" s="61" t="str">
        <f t="shared" ref="G93:G107" ca="1" si="21">IF($K93="","",RIGHT($K93,LEN($K93)-FIND("$",SUBSTITUTE($K93,"$","§",1))))</f>
        <v>2</v>
      </c>
      <c r="H93" s="61" cm="1">
        <f t="array" aca="1" ref="H93" ca="1">CreateID($H$36,$H:$H,$E93&lt;&gt;INDEX($E:$E,ROW()-1))</f>
        <v>5</v>
      </c>
      <c r="I93" s="61" t="str" cm="1">
        <f t="array" aca="1" ref="I93" ca="1">INDIRECT($K93)</f>
        <v>ID</v>
      </c>
      <c r="K93" s="2" t="str" cm="1">
        <f t="array" aca="1" ref="K93" ca="1">CELL("address",OFFSET('Attack Steps'!$A$2,0,ROW()-ROW($K$93)))</f>
        <v>'[2025-07-30_QuBA_libre.xlsx]Attack Steps'!$A$2</v>
      </c>
    </row>
    <row r="94" spans="1:11" outlineLevel="1" x14ac:dyDescent="0.25">
      <c r="A94" s="23" t="str" cm="1">
        <f t="array" aca="1" ref="A94" ca="1">IF(INDEX($H:$H,ROW()-1)&lt;&gt;$H94,$E94,"")</f>
        <v/>
      </c>
      <c r="B94" s="71" t="str" cm="1">
        <f t="array" aca="1" ref="B94" ca="1">IF($K94="","",_xlfn.LET(
_xlpm._fullName,IF($L94="",SUBSTITUTE(SUBSTITUTE(INDIRECT($K94),CHAR(10)," "),"  "," "),$L94),
_xlpm._truncatedName,IF(LEN(_xlpm._fullName)&gt;250,LEFT(_xlpm._fullName,250)&amp;"[…]",_xlpm._fullName),
HYPERLINK("#'"&amp;$E94&amp;"'!"&amp;$F94&amp;$G94,
_xlpm._truncatedName)))</f>
        <v>Attack Step</v>
      </c>
      <c r="C94" s="13" t="s">
        <v>799</v>
      </c>
      <c r="D94" s="13"/>
      <c r="E94" s="61" t="str">
        <f t="shared" ca="1" si="19"/>
        <v>Attack Steps</v>
      </c>
      <c r="F94" s="61" t="str">
        <f t="shared" ca="1" si="20"/>
        <v>B</v>
      </c>
      <c r="G94" s="61" t="str">
        <f t="shared" ca="1" si="21"/>
        <v>2</v>
      </c>
      <c r="H94" s="61" cm="1">
        <f t="array" aca="1" ref="H94" ca="1">CreateID($H$36,$H:$H,$E94&lt;&gt;INDEX($E:$E,ROW()-1))</f>
        <v>5</v>
      </c>
      <c r="I94" s="61" t="str" cm="1">
        <f t="array" aca="1" ref="I94" ca="1">INDIRECT($K94)</f>
        <v>Attack Step</v>
      </c>
      <c r="K94" s="2" t="str" cm="1">
        <f t="array" aca="1" ref="K94" ca="1">CELL("address",OFFSET('Attack Steps'!$A$2,0,ROW()-ROW($K$93)))</f>
        <v>'[2025-07-30_QuBA_libre.xlsx]Attack Steps'!$B$2</v>
      </c>
    </row>
    <row r="95" spans="1:11" ht="75" outlineLevel="1" x14ac:dyDescent="0.25">
      <c r="A95" s="23" t="str" cm="1">
        <f t="array" aca="1" ref="A95" ca="1">IF(INDEX($H:$H,ROW()-1)&lt;&gt;$H95,$E95,"")</f>
        <v/>
      </c>
      <c r="B95" s="71" t="str" cm="1">
        <f t="array" aca="1" ref="B95" ca="1">IF($K95="","",_xlfn.LET(
_xlpm._fullName,IF($L95="",SUBSTITUTE(SUBSTITUTE(INDIRECT($K95),CHAR(10)," "),"  "," "),$L95),
_xlpm._truncatedName,IF(LEN(_xlpm._fullName)&gt;250,LEFT(_xlpm._fullName,250)&amp;"[…]",_xlpm._fullName),
HYPERLINK("#'"&amp;$E95&amp;"'!"&amp;$F95&amp;$G95,
_xlpm._truncatedName)))</f>
        <v>Prep IDs</v>
      </c>
      <c r="C95" s="13" t="s">
        <v>808</v>
      </c>
      <c r="D95" s="13"/>
      <c r="E95" s="61" t="str">
        <f t="shared" ca="1" si="19"/>
        <v>Attack Steps</v>
      </c>
      <c r="F95" s="61" t="str">
        <f t="shared" ca="1" si="20"/>
        <v>C</v>
      </c>
      <c r="G95" s="61" t="str">
        <f t="shared" ca="1" si="21"/>
        <v>2</v>
      </c>
      <c r="H95" s="61" cm="1">
        <f t="array" aca="1" ref="H95" ca="1">CreateID($H$36,$H:$H,$E95&lt;&gt;INDEX($E:$E,ROW()-1))</f>
        <v>5</v>
      </c>
      <c r="I95" s="61" t="str" cm="1">
        <f t="array" aca="1" ref="I95" ca="1">INDIRECT($K95)</f>
        <v>Prep IDs</v>
      </c>
      <c r="K95" s="2" t="str" cm="1">
        <f t="array" aca="1" ref="K95" ca="1">CELL("address",OFFSET('Attack Steps'!$A$2,0,ROW()-ROW($K$93)))</f>
        <v>'[2025-07-30_QuBA_libre.xlsx]Attack Steps'!$C$2</v>
      </c>
    </row>
    <row r="96" spans="1:11" ht="30" outlineLevel="1" x14ac:dyDescent="0.25">
      <c r="A96" s="23" t="str" cm="1">
        <f t="array" aca="1" ref="A96" ca="1">IF(INDEX($H:$H,ROW()-1)&lt;&gt;$H96,$E96,"")</f>
        <v/>
      </c>
      <c r="B96" s="71" t="str" cm="1">
        <f t="array" aca="1" ref="B96" ca="1">IF($K96="","",_xlfn.LET(
_xlpm._fullName,IF($L96="",SUBSTITUTE(SUBSTITUTE(INDIRECT($K96),CHAR(10)," "),"  "," "),$L96),
_xlpm._truncatedName,IF(LEN(_xlpm._fullName)&gt;250,LEFT(_xlpm._fullName,250)&amp;"[…]",_xlpm._fullName),
HYPERLINK("#'"&amp;$E96&amp;"'!"&amp;$F96&amp;$G96,
_xlpm._truncatedName)))</f>
        <v>Prerequisite Attack Steps</v>
      </c>
      <c r="C96" s="13" t="s">
        <v>802</v>
      </c>
      <c r="D96" s="13"/>
      <c r="E96" s="61" t="str">
        <f t="shared" ca="1" si="19"/>
        <v>Attack Steps</v>
      </c>
      <c r="F96" s="61" t="str">
        <f t="shared" ca="1" si="20"/>
        <v>D</v>
      </c>
      <c r="G96" s="61" t="str">
        <f t="shared" ca="1" si="21"/>
        <v>2</v>
      </c>
      <c r="H96" s="61" cm="1">
        <f t="array" aca="1" ref="H96" ca="1">CreateID($H$36,$H:$H,$E96&lt;&gt;INDEX($E:$E,ROW()-1))</f>
        <v>5</v>
      </c>
      <c r="I96" s="61" t="str" cm="1">
        <f t="array" aca="1" ref="I96" ca="1">INDIRECT($K96)</f>
        <v>Prerequisite Attack Steps</v>
      </c>
      <c r="K96" s="2" t="str" cm="1">
        <f t="array" aca="1" ref="K96" ca="1">CELL("address",OFFSET('Attack Steps'!$A$2,0,ROW()-ROW($K$93)))</f>
        <v>'[2025-07-30_QuBA_libre.xlsx]Attack Steps'!$D$2</v>
      </c>
    </row>
    <row r="97" spans="1:11" ht="45" outlineLevel="1" x14ac:dyDescent="0.25">
      <c r="A97" s="23" t="str" cm="1">
        <f t="array" aca="1" ref="A97" ca="1">IF(INDEX($H:$H,ROW()-1)&lt;&gt;$H97,$E97,"")</f>
        <v/>
      </c>
      <c r="B97" s="71" t="str" cm="1">
        <f t="array" aca="1" ref="B97" ca="1">IF($K97="","",_xlfn.LET(
_xlpm._fullName,IF($L97="",SUBSTITUTE(SUBSTITUTE(INDIRECT($K97),CHAR(10)," "),"  "," "),$L97),
_xlpm._truncatedName,IF(LEN(_xlpm._fullName)&gt;250,LEFT(_xlpm._fullName,250)&amp;"[…]",_xlpm._fullName),
HYPERLINK("#'"&amp;$E97&amp;"'!"&amp;$F97&amp;$G97,
_xlpm._truncatedName)))</f>
        <v>Q IDs</v>
      </c>
      <c r="C97" s="13" t="s">
        <v>1309</v>
      </c>
      <c r="D97" s="13" t="s">
        <v>1310</v>
      </c>
      <c r="E97" s="61" t="str">
        <f t="shared" ca="1" si="19"/>
        <v>Attack Steps</v>
      </c>
      <c r="F97" s="61" t="str">
        <f t="shared" ca="1" si="20"/>
        <v>E</v>
      </c>
      <c r="G97" s="61" t="str">
        <f t="shared" ca="1" si="21"/>
        <v>2</v>
      </c>
      <c r="H97" s="61" cm="1">
        <f t="array" aca="1" ref="H97" ca="1">CreateID($H$36,$H:$H,$E97&lt;&gt;INDEX($E:$E,ROW()-1))</f>
        <v>5</v>
      </c>
      <c r="I97" s="61" t="str" cm="1">
        <f t="array" aca="1" ref="I97" ca="1">INDIRECT($K97)</f>
        <v>Q IDs</v>
      </c>
      <c r="K97" s="2" t="str" cm="1">
        <f t="array" aca="1" ref="K97" ca="1">CELL("address",OFFSET('Attack Steps'!$A$2,0,ROW()-ROW($K$93)))</f>
        <v>'[2025-07-30_QuBA_libre.xlsx]Attack Steps'!$E$2</v>
      </c>
    </row>
    <row r="98" spans="1:11" outlineLevel="1" x14ac:dyDescent="0.25">
      <c r="A98" s="23" t="str" cm="1">
        <f t="array" aca="1" ref="A98" ca="1">IF(INDEX($H:$H,ROW()-1)&lt;&gt;$H98,$E98,"")</f>
        <v/>
      </c>
      <c r="B98" s="71" t="str" cm="1">
        <f t="array" aca="1" ref="B98" ca="1">IF($K98="","",_xlfn.LET(
_xlpm._fullName,IF($L98="",SUBSTITUTE(SUBSTITUTE(INDIRECT($K98),CHAR(10)," "),"  "," "),$L98),
_xlpm._truncatedName,IF(LEN(_xlpm._fullName)&gt;250,LEFT(_xlpm._fullName,250)&amp;"[…]",_xlpm._fullName),
HYPERLINK("#'"&amp;$E98&amp;"'!"&amp;$F98&amp;$G98,
_xlpm._truncatedName)))</f>
        <v>Related Question (for damage scenarios)</v>
      </c>
      <c r="C98" s="13" t="s">
        <v>801</v>
      </c>
      <c r="D98" s="13"/>
      <c r="E98" s="61" t="str">
        <f t="shared" ca="1" si="19"/>
        <v>Attack Steps</v>
      </c>
      <c r="F98" s="61" t="str">
        <f t="shared" ca="1" si="20"/>
        <v>F</v>
      </c>
      <c r="G98" s="61" t="str">
        <f t="shared" ca="1" si="21"/>
        <v>2</v>
      </c>
      <c r="H98" s="61" cm="1">
        <f t="array" aca="1" ref="H98" ca="1">CreateID($H$36,$H:$H,$E98&lt;&gt;INDEX($E:$E,ROW()-1))</f>
        <v>5</v>
      </c>
      <c r="I98" s="61" t="str" cm="1">
        <f t="array" aca="1" ref="I98" ca="1">INDIRECT($K98)</f>
        <v>Related Question (for damage scenarios)</v>
      </c>
      <c r="K98" s="2" t="str" cm="1">
        <f t="array" aca="1" ref="K98" ca="1">CELL("address",OFFSET('Attack Steps'!$A$2,0,ROW()-ROW($K$93)))</f>
        <v>'[2025-07-30_QuBA_libre.xlsx]Attack Steps'!$F$2</v>
      </c>
    </row>
    <row r="99" spans="1:11" ht="30" outlineLevel="1" x14ac:dyDescent="0.25">
      <c r="A99" s="23" t="str" cm="1">
        <f t="array" aca="1" ref="A99" ca="1">IF(INDEX($H:$H,ROW()-1)&lt;&gt;$H99,$E99,"")</f>
        <v/>
      </c>
      <c r="B99" s="71" t="str" cm="1">
        <f t="array" aca="1" ref="B99" ca="1">IF($K99="","",_xlfn.LET(
_xlpm._fullName,IF($L99="",SUBSTITUTE(SUBSTITUTE(INDIRECT($K99),CHAR(10)," "),"  "," "),$L99),
_xlpm._truncatedName,IF(LEN(_xlpm._fullName)&gt;250,LEFT(_xlpm._fullName,250)&amp;"[…]",_xlpm._fullName),
HYPERLINK("#'"&amp;$E99&amp;"'!"&amp;$F99&amp;$G99,
_xlpm._truncatedName)))</f>
        <v>Active Damage Scenarios</v>
      </c>
      <c r="C99" s="13" t="s">
        <v>800</v>
      </c>
      <c r="D99" s="13"/>
      <c r="E99" s="61" t="str">
        <f t="shared" ca="1" si="19"/>
        <v>Attack Steps</v>
      </c>
      <c r="F99" s="61" t="str">
        <f t="shared" ca="1" si="20"/>
        <v>G</v>
      </c>
      <c r="G99" s="61" t="str">
        <f t="shared" ca="1" si="21"/>
        <v>2</v>
      </c>
      <c r="H99" s="61" cm="1">
        <f t="array" aca="1" ref="H99" ca="1">CreateID($H$36,$H:$H,$E99&lt;&gt;INDEX($E:$E,ROW()-1))</f>
        <v>5</v>
      </c>
      <c r="I99" s="61" t="str" cm="1">
        <f t="array" aca="1" ref="I99" ca="1">INDIRECT($K99)</f>
        <v>Active Damage Scenarios</v>
      </c>
      <c r="K99" s="2" t="str" cm="1">
        <f t="array" aca="1" ref="K99" ca="1">CELL("address",OFFSET('Attack Steps'!$A$2,0,ROW()-ROW($K$93)))</f>
        <v>'[2025-07-30_QuBA_libre.xlsx]Attack Steps'!$G$2</v>
      </c>
    </row>
    <row r="100" spans="1:11" outlineLevel="1" x14ac:dyDescent="0.25">
      <c r="A100" s="23" t="str" cm="1">
        <f t="array" aca="1" ref="A100" ca="1">IF(INDEX($H:$H,ROW()-1)&lt;&gt;$H100,$E100,"")</f>
        <v/>
      </c>
      <c r="B100" s="71" t="str" cm="1">
        <f t="array" aca="1" ref="B100" ca="1">IF($K100="","",_xlfn.LET(
_xlpm._fullName,IF($L100="",SUBSTITUTE(SUBSTITUTE(INDIRECT($K100),CHAR(10)," "),"  "," "),$L100),
_xlpm._truncatedName,IF(LEN(_xlpm._fullName)&gt;250,LEFT(_xlpm._fullName,250)&amp;"[…]",_xlpm._fullName),
HYPERLINK("#'"&amp;$E100&amp;"'!"&amp;$F100&amp;$G100,
_xlpm._truncatedName)))</f>
        <v>Elapsed Time</v>
      </c>
      <c r="C100" s="13" t="s">
        <v>803</v>
      </c>
      <c r="D100" s="13"/>
      <c r="E100" s="61" t="str">
        <f t="shared" ca="1" si="19"/>
        <v>Attack Steps</v>
      </c>
      <c r="F100" s="61" t="str">
        <f t="shared" ca="1" si="20"/>
        <v>H</v>
      </c>
      <c r="G100" s="61" t="str">
        <f t="shared" ca="1" si="21"/>
        <v>2</v>
      </c>
      <c r="H100" s="61" cm="1">
        <f t="array" aca="1" ref="H100" ca="1">CreateID($H$36,$H:$H,$E100&lt;&gt;INDEX($E:$E,ROW()-1))</f>
        <v>5</v>
      </c>
      <c r="I100" s="61" t="str" cm="1">
        <f t="array" aca="1" ref="I100" ca="1">INDIRECT($K100)</f>
        <v>Elapsed Time</v>
      </c>
      <c r="K100" s="2" t="str" cm="1">
        <f t="array" aca="1" ref="K100" ca="1">CELL("address",OFFSET('Attack Steps'!$A$2,0,ROW()-ROW($K$93)))</f>
        <v>'[2025-07-30_QuBA_libre.xlsx]Attack Steps'!$H$2</v>
      </c>
    </row>
    <row r="101" spans="1:11" outlineLevel="1" x14ac:dyDescent="0.25">
      <c r="A101" s="23" t="str" cm="1">
        <f t="array" aca="1" ref="A101" ca="1">IF(INDEX($H:$H,ROW()-1)&lt;&gt;$H101,$E101,"")</f>
        <v/>
      </c>
      <c r="B101" s="71" t="str" cm="1">
        <f t="array" aca="1" ref="B101" ca="1">IF($K101="","",_xlfn.LET(
_xlpm._fullName,IF($L101="",SUBSTITUTE(SUBSTITUTE(INDIRECT($K101),CHAR(10)," "),"  "," "),$L101),
_xlpm._truncatedName,IF(LEN(_xlpm._fullName)&gt;250,LEFT(_xlpm._fullName,250)&amp;"[…]",_xlpm._fullName),
HYPERLINK("#'"&amp;$E101&amp;"'!"&amp;$F101&amp;$G101,
_xlpm._truncatedName)))</f>
        <v>Expertise</v>
      </c>
      <c r="C101" s="13" t="s">
        <v>804</v>
      </c>
      <c r="D101" s="13"/>
      <c r="E101" s="61" t="str">
        <f t="shared" ca="1" si="19"/>
        <v>Attack Steps</v>
      </c>
      <c r="F101" s="61" t="str">
        <f t="shared" ca="1" si="20"/>
        <v>I</v>
      </c>
      <c r="G101" s="61" t="str">
        <f t="shared" ca="1" si="21"/>
        <v>2</v>
      </c>
      <c r="H101" s="61" cm="1">
        <f t="array" aca="1" ref="H101" ca="1">CreateID($H$36,$H:$H,$E101&lt;&gt;INDEX($E:$E,ROW()-1))</f>
        <v>5</v>
      </c>
      <c r="I101" s="61" t="str" cm="1">
        <f t="array" aca="1" ref="I101" ca="1">INDIRECT($K101)</f>
        <v>Expertise</v>
      </c>
      <c r="K101" s="2" t="str" cm="1">
        <f t="array" aca="1" ref="K101" ca="1">CELL("address",OFFSET('Attack Steps'!$A$2,0,ROW()-ROW($K$93)))</f>
        <v>'[2025-07-30_QuBA_libre.xlsx]Attack Steps'!$I$2</v>
      </c>
    </row>
    <row r="102" spans="1:11" outlineLevel="1" x14ac:dyDescent="0.25">
      <c r="A102" s="23" t="str" cm="1">
        <f t="array" aca="1" ref="A102" ca="1">IF(INDEX($H:$H,ROW()-1)&lt;&gt;$H102,$E102,"")</f>
        <v/>
      </c>
      <c r="B102" s="71" t="str" cm="1">
        <f t="array" aca="1" ref="B102" ca="1">IF($K102="","",_xlfn.LET(
_xlpm._fullName,IF($L102="",SUBSTITUTE(SUBSTITUTE(INDIRECT($K102),CHAR(10)," "),"  "," "),$L102),
_xlpm._truncatedName,IF(LEN(_xlpm._fullName)&gt;250,LEFT(_xlpm._fullName,250)&amp;"[…]",_xlpm._fullName),
HYPERLINK("#'"&amp;$E102&amp;"'!"&amp;$F102&amp;$G102,
_xlpm._truncatedName)))</f>
        <v>Knowledge of TOE</v>
      </c>
      <c r="C102" s="13" t="s">
        <v>805</v>
      </c>
      <c r="D102" s="13"/>
      <c r="E102" s="61" t="str">
        <f t="shared" ca="1" si="19"/>
        <v>Attack Steps</v>
      </c>
      <c r="F102" s="61" t="str">
        <f t="shared" ca="1" si="20"/>
        <v>J</v>
      </c>
      <c r="G102" s="61" t="str">
        <f t="shared" ca="1" si="21"/>
        <v>2</v>
      </c>
      <c r="H102" s="61" cm="1">
        <f t="array" aca="1" ref="H102" ca="1">CreateID($H$36,$H:$H,$E102&lt;&gt;INDEX($E:$E,ROW()-1))</f>
        <v>5</v>
      </c>
      <c r="I102" s="61" t="str" cm="1">
        <f t="array" aca="1" ref="I102" ca="1">INDIRECT($K102)</f>
        <v>Knowledge of TOE</v>
      </c>
      <c r="K102" s="2" t="str" cm="1">
        <f t="array" aca="1" ref="K102" ca="1">CELL("address",OFFSET('Attack Steps'!$A$2,0,ROW()-ROW($K$93)))</f>
        <v>'[2025-07-30_QuBA_libre.xlsx]Attack Steps'!$J$2</v>
      </c>
    </row>
    <row r="103" spans="1:11" outlineLevel="1" x14ac:dyDescent="0.25">
      <c r="A103" s="23" t="str" cm="1">
        <f t="array" aca="1" ref="A103" ca="1">IF(INDEX($H:$H,ROW()-1)&lt;&gt;$H103,$E103,"")</f>
        <v/>
      </c>
      <c r="B103" s="71" t="str" cm="1">
        <f t="array" aca="1" ref="B103" ca="1">IF($K103="","",_xlfn.LET(
_xlpm._fullName,IF($L103="",SUBSTITUTE(SUBSTITUTE(INDIRECT($K103),CHAR(10)," "),"  "," "),$L103),
_xlpm._truncatedName,IF(LEN(_xlpm._fullName)&gt;250,LEFT(_xlpm._fullName,250)&amp;"[…]",_xlpm._fullName),
HYPERLINK("#'"&amp;$E103&amp;"'!"&amp;$F103&amp;$G103,
_xlpm._truncatedName)))</f>
        <v>Window of Opportunity</v>
      </c>
      <c r="C103" s="13" t="s">
        <v>806</v>
      </c>
      <c r="D103" s="13"/>
      <c r="E103" s="61" t="str">
        <f t="shared" ca="1" si="19"/>
        <v>Attack Steps</v>
      </c>
      <c r="F103" s="61" t="str">
        <f t="shared" ca="1" si="20"/>
        <v>K</v>
      </c>
      <c r="G103" s="61" t="str">
        <f t="shared" ca="1" si="21"/>
        <v>2</v>
      </c>
      <c r="H103" s="61" cm="1">
        <f t="array" aca="1" ref="H103" ca="1">CreateID($H$36,$H:$H,$E103&lt;&gt;INDEX($E:$E,ROW()-1))</f>
        <v>5</v>
      </c>
      <c r="I103" s="61" t="str" cm="1">
        <f t="array" aca="1" ref="I103" ca="1">INDIRECT($K103)</f>
        <v>Window of Opportunity</v>
      </c>
      <c r="K103" s="2" t="str" cm="1">
        <f t="array" aca="1" ref="K103" ca="1">CELL("address",OFFSET('Attack Steps'!$A$2,0,ROW()-ROW($K$93)))</f>
        <v>'[2025-07-30_QuBA_libre.xlsx]Attack Steps'!$K$2</v>
      </c>
    </row>
    <row r="104" spans="1:11" outlineLevel="1" x14ac:dyDescent="0.25">
      <c r="A104" s="23" t="str" cm="1">
        <f t="array" aca="1" ref="A104" ca="1">IF(INDEX($H:$H,ROW()-1)&lt;&gt;$H104,$E104,"")</f>
        <v/>
      </c>
      <c r="B104" s="71" t="str" cm="1">
        <f t="array" aca="1" ref="B104" ca="1">IF($K104="","",_xlfn.LET(
_xlpm._fullName,IF($L104="",SUBSTITUTE(SUBSTITUTE(INDIRECT($K104),CHAR(10)," "),"  "," "),$L104),
_xlpm._truncatedName,IF(LEN(_xlpm._fullName)&gt;250,LEFT(_xlpm._fullName,250)&amp;"[…]",_xlpm._fullName),
HYPERLINK("#'"&amp;$E104&amp;"'!"&amp;$F104&amp;$G104,
_xlpm._truncatedName)))</f>
        <v>Equipment</v>
      </c>
      <c r="C104" s="13" t="s">
        <v>807</v>
      </c>
      <c r="D104" s="13"/>
      <c r="E104" s="61" t="str">
        <f t="shared" ca="1" si="19"/>
        <v>Attack Steps</v>
      </c>
      <c r="F104" s="61" t="str">
        <f t="shared" ca="1" si="20"/>
        <v>L</v>
      </c>
      <c r="G104" s="61" t="str">
        <f t="shared" ca="1" si="21"/>
        <v>2</v>
      </c>
      <c r="H104" s="61" cm="1">
        <f t="array" aca="1" ref="H104" ca="1">CreateID($H$36,$H:$H,$E104&lt;&gt;INDEX($E:$E,ROW()-1))</f>
        <v>5</v>
      </c>
      <c r="I104" s="61" t="str" cm="1">
        <f t="array" aca="1" ref="I104" ca="1">INDIRECT($K104)</f>
        <v>Equipment</v>
      </c>
      <c r="K104" s="2" t="str" cm="1">
        <f t="array" aca="1" ref="K104" ca="1">CELL("address",OFFSET('Attack Steps'!$A$2,0,ROW()-ROW($K$93)))</f>
        <v>'[2025-07-30_QuBA_libre.xlsx]Attack Steps'!$L$2</v>
      </c>
    </row>
    <row r="105" spans="1:11" outlineLevel="1" x14ac:dyDescent="0.25">
      <c r="A105" s="23" t="str" cm="1">
        <f t="array" aca="1" ref="A105" ca="1">IF(INDEX($H:$H,ROW()-1)&lt;&gt;$H105,$E105,"")</f>
        <v/>
      </c>
      <c r="B105" s="71" t="str" cm="1">
        <f t="array" aca="1" ref="B105" ca="1">IF($K105="","",_xlfn.LET(
_xlpm._fullName,IF($L105="",SUBSTITUTE(SUBSTITUTE(INDIRECT($K105),CHAR(10)," "),"  "," "),$L105),
_xlpm._truncatedName,IF(LEN(_xlpm._fullName)&gt;250,LEFT(_xlpm._fullName,250)&amp;"[…]",_xlpm._fullName),
HYPERLINK("#'"&amp;$E105&amp;"'!"&amp;$F105&amp;$G105,
_xlpm._truncatedName)))</f>
        <v>RAP</v>
      </c>
      <c r="C105" s="13" t="s">
        <v>819</v>
      </c>
      <c r="D105" s="13"/>
      <c r="E105" s="61" t="str">
        <f t="shared" ca="1" si="19"/>
        <v>Attack Steps</v>
      </c>
      <c r="F105" s="61" t="str">
        <f t="shared" ca="1" si="20"/>
        <v>M</v>
      </c>
      <c r="G105" s="61" t="str">
        <f t="shared" ca="1" si="21"/>
        <v>2</v>
      </c>
      <c r="H105" s="61" cm="1">
        <f t="array" aca="1" ref="H105" ca="1">CreateID($H$36,$H:$H,$E105&lt;&gt;INDEX($E:$E,ROW()-1))</f>
        <v>5</v>
      </c>
      <c r="I105" s="61" t="str" cm="1">
        <f t="array" aca="1" ref="I105" ca="1">INDIRECT($K105)</f>
        <v>RAP</v>
      </c>
      <c r="K105" s="2" t="str" cm="1">
        <f t="array" aca="1" ref="K105" ca="1">CELL("address",OFFSET('Attack Steps'!$A$2,0,ROW()-ROW($K$93)))</f>
        <v>'[2025-07-30_QuBA_libre.xlsx]Attack Steps'!$M$2</v>
      </c>
    </row>
    <row r="106" spans="1:11" ht="45" outlineLevel="1" x14ac:dyDescent="0.25">
      <c r="A106" s="23" t="str" cm="1">
        <f t="array" aca="1" ref="A106" ca="1">IF(INDEX($H:$H,ROW()-1)&lt;&gt;$H106,$E106,"")</f>
        <v/>
      </c>
      <c r="B106" s="71" t="str" cm="1">
        <f t="array" aca="1" ref="B106" ca="1">IF($K106="","",_xlfn.LET(
_xlpm._fullName,IF($L106="",SUBSTITUTE(SUBSTITUTE(INDIRECT($K106),CHAR(10)," "),"  "," "),$L106),
_xlpm._truncatedName,IF(LEN(_xlpm._fullName)&gt;250,LEFT(_xlpm._fullName,250)&amp;"[…]",_xlpm._fullName),
HYPERLINK("#'"&amp;$E106&amp;"'!"&amp;$F106&amp;$G106,
_xlpm._truncatedName)))</f>
        <v>Required answers for this attack step</v>
      </c>
      <c r="C106" s="13" t="s">
        <v>1670</v>
      </c>
      <c r="D106" s="13" t="s">
        <v>1308</v>
      </c>
      <c r="E106" s="61" t="str">
        <f t="shared" ca="1" si="19"/>
        <v>Attack Steps</v>
      </c>
      <c r="F106" s="61" t="str">
        <f t="shared" ca="1" si="20"/>
        <v>N</v>
      </c>
      <c r="G106" s="61" t="str">
        <f t="shared" ca="1" si="21"/>
        <v>2</v>
      </c>
      <c r="H106" s="61" cm="1">
        <f t="array" aca="1" ref="H106" ca="1">CreateID($H$36,$H:$H,$E106&lt;&gt;INDEX($E:$E,ROW()-1))</f>
        <v>5</v>
      </c>
      <c r="I106" s="61" t="str" cm="1">
        <f t="array" aca="1" ref="I106" ca="1">INDIRECT($K106)</f>
        <v>Required answers for this attack step</v>
      </c>
      <c r="K106" s="2" t="str" cm="1">
        <f t="array" aca="1" ref="K106" ca="1">CELL("address",OFFSET('Attack Steps'!$A$2,0,ROW()-ROW($K$93)))</f>
        <v>'[2025-07-30_QuBA_libre.xlsx]Attack Steps'!$N$2</v>
      </c>
    </row>
    <row r="107" spans="1:11" ht="30" outlineLevel="1" x14ac:dyDescent="0.25">
      <c r="A107" s="23" t="str" cm="1">
        <f t="array" aca="1" ref="A107" ca="1">IF(INDEX($H:$H,ROW()-1)&lt;&gt;$H107,$E107,"")</f>
        <v/>
      </c>
      <c r="B107" s="71" t="str" cm="1">
        <f t="array" aca="1" ref="B107" ca="1">IF($K107="","",_xlfn.LET(
_xlpm._fullName,IF($L107="",SUBSTITUTE(SUBSTITUTE(INDIRECT($K107),CHAR(10)," "),"  "," "),$L107),
_xlpm._truncatedName,IF(LEN(_xlpm._fullName)&gt;250,LEFT(_xlpm._fullName,250)&amp;"[…]",_xlpm._fullName),
HYPERLINK("#'"&amp;$E107&amp;"'!"&amp;$F107&amp;$G107,
_xlpm._truncatedName)))</f>
        <v>Mapping to CRA, Annex I (1.2)</v>
      </c>
      <c r="C107" s="13" t="s">
        <v>1686</v>
      </c>
      <c r="D107" s="13"/>
      <c r="E107" s="61" t="str">
        <f t="shared" ca="1" si="19"/>
        <v>Attack Steps</v>
      </c>
      <c r="F107" s="61" t="str">
        <f t="shared" ca="1" si="20"/>
        <v>O</v>
      </c>
      <c r="G107" s="61" t="str">
        <f t="shared" ca="1" si="21"/>
        <v>2</v>
      </c>
      <c r="H107" s="61" cm="1">
        <f t="array" aca="1" ref="H107" ca="1">CreateID($H$36,$H:$H,$E107&lt;&gt;INDEX($E:$E,ROW()-1))</f>
        <v>5</v>
      </c>
      <c r="I107" s="61" t="str" cm="1">
        <f t="array" aca="1" ref="I107" ca="1">INDIRECT($K107)</f>
        <v>Mapping to CRA, Annex I (1.2)</v>
      </c>
      <c r="K107" s="2" t="str" cm="1">
        <f t="array" aca="1" ref="K107" ca="1">CELL("address",OFFSET('Attack Steps'!$A$2,0,ROW()-ROW($K$93)))</f>
        <v>'[2025-07-30_QuBA_libre.xlsx]Attack Steps'!$O$2</v>
      </c>
    </row>
    <row r="108" spans="1:11" outlineLevel="1" x14ac:dyDescent="0.25">
      <c r="A108" s="23" t="str" cm="1">
        <f t="array" aca="1" ref="A108" ca="1">IF(INDEX($H:$H,ROW()-1)&lt;&gt;$H108,$E108,"")</f>
        <v/>
      </c>
      <c r="B108" s="71" t="str" cm="1">
        <f t="array" aca="1" ref="B108" ca="1">IF($K108="","",_xlfn.LET(
_xlpm._fullName,IF($L108="",SUBSTITUTE(SUBSTITUTE(INDIRECT($K108),CHAR(10)," "),"  "," "),$L108),
_xlpm._truncatedName,IF(LEN(_xlpm._fullName)&gt;250,LEFT(_xlpm._fullName,250)&amp;"[…]",_xlpm._fullName),
HYPERLINK("#'"&amp;$E108&amp;"'!"&amp;$F108&amp;$G108,
_xlpm._truncatedName)))</f>
        <v>Comment</v>
      </c>
      <c r="C108" s="13" t="s">
        <v>809</v>
      </c>
      <c r="D108" s="13"/>
      <c r="E108" s="61" t="str">
        <f ca="1">IF($K108="","",_xlfn.LET(
_xlpm._in,$K108,
_xlpm._start,FIND("]",_xlpm._in)+1,
SUBSTITUTE(MID(_xlpm._in,_xlpm._start,FIND("!",_xlpm._in)-_xlpm._start),"'","")))</f>
        <v>Attack Steps</v>
      </c>
      <c r="F108" s="61" t="str">
        <f ca="1">IF($K108="","",_xlfn.LET(
_xlpm._in,SUBSTITUTE($K108,"$","§",1),
_xlpm._start,FIND("§",_xlpm._in)+1,
SUBSTITUTE(MID(_xlpm._in,_xlpm._start,FIND("$",_xlpm._in)-_xlpm._start),"'","")))</f>
        <v>P</v>
      </c>
      <c r="G108" s="61" t="str">
        <f ca="1">IF($K108="","",RIGHT($K108,LEN($K108)-FIND("$",SUBSTITUTE($K108,"$","§",1))))</f>
        <v>2</v>
      </c>
      <c r="H108" s="61" cm="1">
        <f t="array" aca="1" ref="H108" ca="1">CreateID($H$36,$H:$H,$E108&lt;&gt;INDEX($E:$E,ROW()-1))</f>
        <v>5</v>
      </c>
      <c r="I108" s="61" t="str" cm="1">
        <f t="array" aca="1" ref="I108" ca="1">INDIRECT($K108)</f>
        <v>Comment</v>
      </c>
      <c r="K108" s="2" t="str" cm="1">
        <f t="array" aca="1" ref="K108" ca="1">CELL("address",OFFSET('Attack Steps'!$A$2,0,ROW()-ROW($K$93)))</f>
        <v>'[2025-07-30_QuBA_libre.xlsx]Attack Steps'!$P$2</v>
      </c>
    </row>
    <row r="109" spans="1:11" x14ac:dyDescent="0.25">
      <c r="A109" s="23" t="str" cm="1">
        <f t="array" aca="1" ref="A109" ca="1">IF(INDEX($H:$H,ROW()-1)&lt;&gt;$H109,$E109,"")</f>
        <v>Assumptions</v>
      </c>
      <c r="B109" s="71" t="str" cm="1">
        <f t="array" aca="1" ref="B109" ca="1">IF($K109="","",_xlfn.LET(
_xlpm._fullName,IF($L109="",SUBSTITUTE(SUBSTITUTE(INDIRECT($K109),CHAR(10)," "),"  "," "),$L109),
_xlpm._truncatedName,IF(LEN(_xlpm._fullName)&gt;250,LEFT(_xlpm._fullName,250)&amp;"[…]",_xlpm._fullName),
HYPERLINK("#'"&amp;$E109&amp;"'!"&amp;$F109&amp;$G109,
_xlpm._truncatedName)))</f>
        <v>ID</v>
      </c>
      <c r="C109" s="13" t="s">
        <v>848</v>
      </c>
      <c r="D109" s="13"/>
      <c r="E109" s="61" t="str">
        <f t="shared" ref="E109:E126" ca="1" si="22">IF($K109="","",_xlfn.LET(
_xlpm._in,$K109,
_xlpm._start,FIND("]",_xlpm._in)+1,
SUBSTITUTE(MID(_xlpm._in,_xlpm._start,FIND("!",_xlpm._in)-_xlpm._start),"'","")))</f>
        <v>Assumptions</v>
      </c>
      <c r="F109" s="61" t="str">
        <f t="shared" ref="F109:F126" ca="1" si="23">IF($K109="","",_xlfn.LET(
_xlpm._in,SUBSTITUTE($K109,"$","§",1),
_xlpm._start,FIND("§",_xlpm._in)+1,
SUBSTITUTE(MID(_xlpm._in,_xlpm._start,FIND("$",_xlpm._in)-_xlpm._start),"'","")))</f>
        <v>A</v>
      </c>
      <c r="G109" s="61" t="str">
        <f t="shared" ref="G109:G126" ca="1" si="24">IF($K109="","",RIGHT($K109,LEN($K109)-FIND("$",SUBSTITUTE($K109,"$","§",1))))</f>
        <v>3</v>
      </c>
      <c r="H109" s="61" cm="1">
        <f t="array" aca="1" ref="H109" ca="1">CreateID($H$36,$H:$H,$E109&lt;&gt;INDEX($E:$E,ROW()-1))</f>
        <v>6</v>
      </c>
      <c r="I109" s="61" t="str" cm="1">
        <f t="array" aca="1" ref="I109" ca="1">INDIRECT($K109)</f>
        <v>ID</v>
      </c>
      <c r="K109" s="2" t="str" cm="1">
        <f t="array" aca="1" ref="K109" ca="1">CELL("address",OFFSET(Assumptions!$A$3,0,ROW()-ROW($K$109)))</f>
        <v>'[2025-07-30_QuBA_libre.xlsx]Assumptions'!$A$3</v>
      </c>
    </row>
    <row r="110" spans="1:11" ht="45" outlineLevel="1" x14ac:dyDescent="0.25">
      <c r="A110" s="23" t="str" cm="1">
        <f t="array" aca="1" ref="A110" ca="1">IF(INDEX($H:$H,ROW()-1)&lt;&gt;$H110,$E110,"")</f>
        <v/>
      </c>
      <c r="B110" s="71" t="str" cm="1">
        <f t="array" aca="1" ref="B110" ca="1">IF($K110="","",_xlfn.LET(
_xlpm._fullName,IF($L110="",SUBSTITUTE(SUBSTITUTE(INDIRECT($K110),CHAR(10)," "),"  "," "),$L110),
_xlpm._truncatedName,IF(LEN(_xlpm._fullName)&gt;250,LEFT(_xlpm._fullName,250)&amp;"[…]",_xlpm._fullName),
HYPERLINK("#'"&amp;$E110&amp;"'!"&amp;$F110&amp;$G110,
_xlpm._truncatedName)))</f>
        <v>Assumption</v>
      </c>
      <c r="C110" s="13" t="s">
        <v>1780</v>
      </c>
      <c r="D110" s="13"/>
      <c r="E110" s="61" t="str">
        <f t="shared" ca="1" si="22"/>
        <v>Assumptions</v>
      </c>
      <c r="F110" s="61" t="str">
        <f t="shared" ca="1" si="23"/>
        <v>B</v>
      </c>
      <c r="G110" s="61" t="str">
        <f t="shared" ca="1" si="24"/>
        <v>3</v>
      </c>
      <c r="H110" s="61" cm="1">
        <f t="array" aca="1" ref="H110" ca="1">CreateID($H$36,$H:$H,$E110&lt;&gt;INDEX($E:$E,ROW()-1))</f>
        <v>6</v>
      </c>
      <c r="I110" s="61" t="str" cm="1">
        <f t="array" aca="1" ref="I110" ca="1">INDIRECT($K110)</f>
        <v>Assumption</v>
      </c>
      <c r="K110" s="2" t="str" cm="1">
        <f t="array" aca="1" ref="K110" ca="1">CELL("address",OFFSET(Assumptions!$A$3,0,ROW()-ROW($K$109)))</f>
        <v>'[2025-07-30_QuBA_libre.xlsx]Assumptions'!$B$3</v>
      </c>
    </row>
    <row r="111" spans="1:11" outlineLevel="1" x14ac:dyDescent="0.25">
      <c r="A111" s="23" t="str" cm="1">
        <f t="array" aca="1" ref="A111" ca="1">IF(INDEX($H:$H,ROW()-1)&lt;&gt;$H111,$E111,"")</f>
        <v/>
      </c>
      <c r="B111" s="71" t="str" cm="1">
        <f t="array" aca="1" ref="B111" ca="1">IF($K111="","",_xlfn.LET(
_xlpm._fullName,IF($L111="",SUBSTITUTE(SUBSTITUTE(INDIRECT($K111),CHAR(10)," "),"  "," "),$L111),
_xlpm._truncatedName,IF(LEN(_xlpm._fullName)&gt;250,LEFT(_xlpm._fullName,250)&amp;"[…]",_xlpm._fullName),
HYPERLINK("#'"&amp;$E111&amp;"'!"&amp;$F111&amp;$G111,
_xlpm._truncatedName)))</f>
        <v>Description</v>
      </c>
      <c r="C111" s="13" t="s">
        <v>810</v>
      </c>
      <c r="D111" s="13"/>
      <c r="E111" s="61" t="str">
        <f t="shared" ca="1" si="22"/>
        <v>Assumptions</v>
      </c>
      <c r="F111" s="61" t="str">
        <f t="shared" ca="1" si="23"/>
        <v>C</v>
      </c>
      <c r="G111" s="61" t="str">
        <f t="shared" ca="1" si="24"/>
        <v>3</v>
      </c>
      <c r="H111" s="61" cm="1">
        <f t="array" aca="1" ref="H111" ca="1">CreateID($H$36,$H:$H,$E111&lt;&gt;INDEX($E:$E,ROW()-1))</f>
        <v>6</v>
      </c>
      <c r="I111" s="61" t="str" cm="1">
        <f t="array" aca="1" ref="I111" ca="1">INDIRECT($K111)</f>
        <v>Description</v>
      </c>
      <c r="K111" s="2" t="str" cm="1">
        <f t="array" aca="1" ref="K111" ca="1">CELL("address",OFFSET(Assumptions!$A$3,0,ROW()-ROW($K$109)))</f>
        <v>'[2025-07-30_QuBA_libre.xlsx]Assumptions'!$C$3</v>
      </c>
    </row>
    <row r="112" spans="1:11" ht="30" outlineLevel="1" x14ac:dyDescent="0.25">
      <c r="A112" s="23" t="str" cm="1">
        <f t="array" aca="1" ref="A112" ca="1">IF(INDEX($H:$H,ROW()-1)&lt;&gt;$H112,$E112,"")</f>
        <v/>
      </c>
      <c r="B112" s="71" t="str" cm="1">
        <f t="array" aca="1" ref="B112" ca="1">IF($K112="","",_xlfn.LET(
_xlpm._fullName,IF($L112="",SUBSTITUTE(SUBSTITUTE(INDIRECT($K112),CHAR(10)," "),"  "," "),$L112),
_xlpm._truncatedName,IF(LEN(_xlpm._fullName)&gt;250,LEFT(_xlpm._fullName,250)&amp;"[…]",_xlpm._fullName),
HYPERLINK("#'"&amp;$E112&amp;"'!"&amp;$F112&amp;$G112,
_xlpm._truncatedName)))</f>
        <v>Requirements</v>
      </c>
      <c r="C112" s="13" t="s">
        <v>1544</v>
      </c>
      <c r="D112" s="13"/>
      <c r="E112" s="61" t="str">
        <f ca="1">IF($K112="","",_xlfn.LET(
_xlpm._in,$K112,
_xlpm._start,FIND("]",_xlpm._in)+1,
SUBSTITUTE(MID(_xlpm._in,_xlpm._start,FIND("!",_xlpm._in)-_xlpm._start),"'","")))</f>
        <v>Assumptions</v>
      </c>
      <c r="F112" s="61" t="str">
        <f ca="1">IF($K112="","",_xlfn.LET(
_xlpm._in,SUBSTITUTE($K112,"$","§",1),
_xlpm._start,FIND("§",_xlpm._in)+1,
SUBSTITUTE(MID(_xlpm._in,_xlpm._start,FIND("$",_xlpm._in)-_xlpm._start),"'","")))</f>
        <v>D</v>
      </c>
      <c r="G112" s="61" t="str">
        <f ca="1">IF($K112="","",RIGHT($K112,LEN($K112)-FIND("$",SUBSTITUTE($K112,"$","§",1))))</f>
        <v>3</v>
      </c>
      <c r="H112" s="61" cm="1">
        <f t="array" aca="1" ref="H112" ca="1">CreateID($H$36,$H:$H,$E112&lt;&gt;INDEX($E:$E,ROW()-1))</f>
        <v>6</v>
      </c>
      <c r="I112" s="61" t="str" cm="1">
        <f t="array" aca="1" ref="I112" ca="1">INDIRECT($K112)</f>
        <v>Requirements</v>
      </c>
      <c r="K112" s="2" t="str" cm="1">
        <f t="array" aca="1" ref="K112" ca="1">CELL("address",OFFSET(Assumptions!$A$3,0,ROW()-ROW($K$109)))</f>
        <v>'[2025-07-30_QuBA_libre.xlsx]Assumptions'!$D$3</v>
      </c>
    </row>
    <row r="113" spans="1:11" ht="45" outlineLevel="1" x14ac:dyDescent="0.25">
      <c r="A113" s="23" t="str" cm="1">
        <f t="array" aca="1" ref="A113" ca="1">IF(INDEX($H:$H,ROW()-1)&lt;&gt;$H113,$E113,"")</f>
        <v/>
      </c>
      <c r="B113" s="71" t="str" cm="1">
        <f t="array" aca="1" ref="B113" ca="1">IF($K113="","",_xlfn.LET(
_xlpm._fullName,IF($L113="",SUBSTITUTE(SUBSTITUTE(INDIRECT($K113),CHAR(10)," "),"  "," "),$L113),
_xlpm._truncatedName,IF(LEN(_xlpm._fullName)&gt;250,LEFT(_xlpm._fullName,250)&amp;"[…]",_xlpm._fullName),
HYPERLINK("#'"&amp;$E113&amp;"'!"&amp;$F113&amp;$G113,
_xlpm._truncatedName)))</f>
        <v>Stakeholder</v>
      </c>
      <c r="C113" s="13" t="s">
        <v>811</v>
      </c>
      <c r="D113" s="13"/>
      <c r="E113" s="61" t="str">
        <f t="shared" ca="1" si="22"/>
        <v>Assumptions</v>
      </c>
      <c r="F113" s="61" t="str">
        <f t="shared" ca="1" si="23"/>
        <v>E</v>
      </c>
      <c r="G113" s="61" t="str">
        <f t="shared" ca="1" si="24"/>
        <v>3</v>
      </c>
      <c r="H113" s="61" cm="1">
        <f t="array" aca="1" ref="H113" ca="1">CreateID($H$36,$H:$H,$E113&lt;&gt;INDEX($E:$E,ROW()-1))</f>
        <v>6</v>
      </c>
      <c r="I113" s="61" t="str" cm="1">
        <f t="array" aca="1" ref="I113" ca="1">INDIRECT($K113)</f>
        <v>Stakeholder</v>
      </c>
      <c r="K113" s="2" t="str" cm="1">
        <f t="array" aca="1" ref="K113" ca="1">CELL("address",OFFSET(Assumptions!$A$3,0,ROW()-ROW($K$109)))</f>
        <v>'[2025-07-30_QuBA_libre.xlsx]Assumptions'!$E$3</v>
      </c>
    </row>
    <row r="114" spans="1:11" ht="45" outlineLevel="1" x14ac:dyDescent="0.25">
      <c r="A114" s="23" t="str" cm="1">
        <f t="array" aca="1" ref="A114" ca="1">IF(INDEX($H:$H,ROW()-1)&lt;&gt;$H114,$E114,"")</f>
        <v/>
      </c>
      <c r="B114" s="71" t="str" cm="1">
        <f t="array" aca="1" ref="B114" ca="1">IF($K114="","",_xlfn.LET(
_xlpm._fullName,IF($L114="",SUBSTITUTE(SUBSTITUTE(INDIRECT($K114),CHAR(10)," "),"  "," "),$L114),
_xlpm._truncatedName,IF(LEN(_xlpm._fullName)&gt;250,LEFT(_xlpm._fullName,250)&amp;"[…]",_xlpm._fullName),
HYPERLINK("#'"&amp;$E114&amp;"'!"&amp;$F114&amp;$G114,
_xlpm._truncatedName)))</f>
        <v>Answers</v>
      </c>
      <c r="C114" s="13" t="s">
        <v>1311</v>
      </c>
      <c r="D114" s="13" t="s">
        <v>1312</v>
      </c>
      <c r="E114" s="61" t="str">
        <f t="shared" ca="1" si="22"/>
        <v>Assumptions</v>
      </c>
      <c r="F114" s="61" t="str">
        <f t="shared" ca="1" si="23"/>
        <v>F</v>
      </c>
      <c r="G114" s="61" t="str">
        <f t="shared" ca="1" si="24"/>
        <v>3</v>
      </c>
      <c r="H114" s="61" cm="1">
        <f t="array" aca="1" ref="H114" ca="1">CreateID($H$36,$H:$H,$E114&lt;&gt;INDEX($E:$E,ROW()-1))</f>
        <v>6</v>
      </c>
      <c r="I114" s="61" t="str" cm="1">
        <f t="array" aca="1" ref="I114" ca="1">INDIRECT($K114)</f>
        <v>Answers</v>
      </c>
      <c r="K114" s="2" t="str" cm="1">
        <f t="array" aca="1" ref="K114" ca="1">CELL("address",OFFSET(Assumptions!$A$3,0,ROW()-ROW($K$109)))</f>
        <v>'[2025-07-30_QuBA_libre.xlsx]Assumptions'!$F$3</v>
      </c>
    </row>
    <row r="115" spans="1:11" ht="60" outlineLevel="1" x14ac:dyDescent="0.25">
      <c r="A115" s="23" t="str" cm="1">
        <f t="array" aca="1" ref="A115" ca="1">IF(INDEX($H:$H,ROW()-1)&lt;&gt;$H115,$E115,"")</f>
        <v/>
      </c>
      <c r="B115" s="71" t="str" cm="1">
        <f t="array" aca="1" ref="B115" ca="1">IF($K115="","",_xlfn.LET(
_xlpm._fullName,IF($L115="",SUBSTITUTE(SUBSTITUTE(INDIRECT($K115),CHAR(10)," "),"  "," "),$L115),
_xlpm._truncatedName,IF(LEN(_xlpm._fullName)&gt;250,LEFT(_xlpm._fullName,250)&amp;"[…]",_xlpm._fullName),
HYPERLINK("#'"&amp;$E115&amp;"'!"&amp;$F115&amp;$G115,
_xlpm._truncatedName)))</f>
        <v>AS IDs</v>
      </c>
      <c r="C115" s="13" t="s">
        <v>813</v>
      </c>
      <c r="D115" s="13"/>
      <c r="E115" s="61" t="str">
        <f t="shared" ca="1" si="22"/>
        <v>Assumptions</v>
      </c>
      <c r="F115" s="61" t="str">
        <f t="shared" ca="1" si="23"/>
        <v>G</v>
      </c>
      <c r="G115" s="61" t="str">
        <f t="shared" ca="1" si="24"/>
        <v>3</v>
      </c>
      <c r="H115" s="61" cm="1">
        <f t="array" aca="1" ref="H115" ca="1">CreateID($H$36,$H:$H,$E115&lt;&gt;INDEX($E:$E,ROW()-1))</f>
        <v>6</v>
      </c>
      <c r="I115" s="61" t="str" cm="1">
        <f t="array" aca="1" ref="I115" ca="1">INDIRECT($K115)</f>
        <v>AS IDs</v>
      </c>
      <c r="K115" s="2" t="str" cm="1">
        <f t="array" aca="1" ref="K115" ca="1">CELL("address",OFFSET(Assumptions!$A$3,0,ROW()-ROW($K$109)))</f>
        <v>'[2025-07-30_QuBA_libre.xlsx]Assumptions'!$G$3</v>
      </c>
    </row>
    <row r="116" spans="1:11" outlineLevel="1" x14ac:dyDescent="0.25">
      <c r="A116" s="23" t="str" cm="1">
        <f t="array" aca="1" ref="A116" ca="1">IF(INDEX($H:$H,ROW()-1)&lt;&gt;$H116,$E116,"")</f>
        <v/>
      </c>
      <c r="B116" s="71" t="str" cm="1">
        <f t="array" aca="1" ref="B116" ca="1">IF($K116="","",_xlfn.LET(
_xlpm._fullName,IF($L116="",SUBSTITUTE(SUBSTITUTE(INDIRECT($K116),CHAR(10)," "),"  "," "),$L116),
_xlpm._truncatedName,IF(LEN(_xlpm._fullName)&gt;250,LEFT(_xlpm._fullName,250)&amp;"[…]",_xlpm._fullName),
HYPERLINK("#'"&amp;$E116&amp;"'!"&amp;$F116&amp;$G116,
_xlpm._truncatedName)))</f>
        <v>Attack Steps</v>
      </c>
      <c r="C116" s="13" t="s">
        <v>812</v>
      </c>
      <c r="D116" s="13"/>
      <c r="E116" s="61" t="str">
        <f t="shared" ca="1" si="22"/>
        <v>Assumptions</v>
      </c>
      <c r="F116" s="61" t="str">
        <f t="shared" ca="1" si="23"/>
        <v>H</v>
      </c>
      <c r="G116" s="61" t="str">
        <f t="shared" ca="1" si="24"/>
        <v>3</v>
      </c>
      <c r="H116" s="61" cm="1">
        <f t="array" aca="1" ref="H116" ca="1">CreateID($H$36,$H:$H,$E116&lt;&gt;INDEX($E:$E,ROW()-1))</f>
        <v>6</v>
      </c>
      <c r="I116" s="61" t="str" cm="1">
        <f t="array" aca="1" ref="I116" ca="1">INDIRECT($K116)</f>
        <v>Attack Steps</v>
      </c>
      <c r="K116" s="2" t="str" cm="1">
        <f t="array" aca="1" ref="K116" ca="1">CELL("address",OFFSET(Assumptions!$A$3,0,ROW()-ROW($K$109)))</f>
        <v>'[2025-07-30_QuBA_libre.xlsx]Assumptions'!$H$3</v>
      </c>
    </row>
    <row r="117" spans="1:11" ht="60" outlineLevel="1" x14ac:dyDescent="0.25">
      <c r="A117" s="23" t="str" cm="1">
        <f t="array" aca="1" ref="A117" ca="1">IF(INDEX($H:$H,ROW()-1)&lt;&gt;$H117,$E117,"")</f>
        <v/>
      </c>
      <c r="B117" s="71" t="str" cm="1">
        <f t="array" aca="1" ref="B117" ca="1">IF($K117="","",_xlfn.LET(
_xlpm._fullName,IF($L117="",SUBSTITUTE(SUBSTITUTE(INDIRECT($K117),CHAR(10)," "),"  "," "),$L117),
_xlpm._truncatedName,IF(LEN(_xlpm._fullName)&gt;250,LEFT(_xlpm._fullName,250)&amp;"[…]",_xlpm._fullName),
HYPERLINK("#'"&amp;$E117&amp;"'!"&amp;$F117&amp;$G117,
_xlpm._truncatedName)))</f>
        <v>DSTs</v>
      </c>
      <c r="C117" s="13" t="s">
        <v>1313</v>
      </c>
      <c r="D117" s="13" t="s">
        <v>1314</v>
      </c>
      <c r="E117" s="61" t="str">
        <f t="shared" ca="1" si="22"/>
        <v>Assumptions</v>
      </c>
      <c r="F117" s="61" t="str">
        <f t="shared" ca="1" si="23"/>
        <v>I</v>
      </c>
      <c r="G117" s="61" t="str">
        <f t="shared" ca="1" si="24"/>
        <v>3</v>
      </c>
      <c r="H117" s="61" cm="1">
        <f t="array" aca="1" ref="H117" ca="1">CreateID($H$36,$H:$H,$E117&lt;&gt;INDEX($E:$E,ROW()-1))</f>
        <v>6</v>
      </c>
      <c r="I117" s="61" t="str" cm="1">
        <f t="array" aca="1" ref="I117" ca="1">INDIRECT($K117)</f>
        <v>DSTs</v>
      </c>
      <c r="K117" s="2" t="str" cm="1">
        <f t="array" aca="1" ref="K117" ca="1">CELL("address",OFFSET(Assumptions!$A$3,0,ROW()-ROW($K$109)))</f>
        <v>'[2025-07-30_QuBA_libre.xlsx]Assumptions'!$I$3</v>
      </c>
    </row>
    <row r="118" spans="1:11" ht="75" outlineLevel="1" x14ac:dyDescent="0.25">
      <c r="A118" s="23" t="str" cm="1">
        <f t="array" aca="1" ref="A118" ca="1">IF(INDEX($H:$H,ROW()-1)&lt;&gt;$H118,$E118,"")</f>
        <v/>
      </c>
      <c r="B118" s="71" t="str" cm="1">
        <f t="array" aca="1" ref="B118" ca="1">IF($K118="","",_xlfn.LET(
_xlpm._fullName,IF($L118="",SUBSTITUTE(SUBSTITUTE(INDIRECT($K118),CHAR(10)," "),"  "," "),$L118),
_xlpm._truncatedName,IF(LEN(_xlpm._fullName)&gt;250,LEFT(_xlpm._fullName,250)&amp;"[…]",_xlpm._fullName),
HYPERLINK("#'"&amp;$E118&amp;"'!"&amp;$F118&amp;$G118,
_xlpm._truncatedName)))</f>
        <v>Damage Scenario Transformation</v>
      </c>
      <c r="C118" s="13" t="s">
        <v>829</v>
      </c>
      <c r="D118" s="13"/>
      <c r="E118" s="61" t="str">
        <f t="shared" ca="1" si="22"/>
        <v>Assumptions</v>
      </c>
      <c r="F118" s="61" t="str">
        <f t="shared" ca="1" si="23"/>
        <v>J</v>
      </c>
      <c r="G118" s="61" t="str">
        <f t="shared" ca="1" si="24"/>
        <v>3</v>
      </c>
      <c r="H118" s="61" cm="1">
        <f t="array" aca="1" ref="H118" ca="1">CreateID($H$36,$H:$H,$E118&lt;&gt;INDEX($E:$E,ROW()-1))</f>
        <v>6</v>
      </c>
      <c r="I118" s="61" t="str" cm="1">
        <f t="array" aca="1" ref="I118" ca="1">INDIRECT($K118)</f>
        <v>Damage Scenario Transformation</v>
      </c>
      <c r="K118" s="2" t="str" cm="1">
        <f t="array" aca="1" ref="K118" ca="1">CELL("address",OFFSET(Assumptions!$A$3,0,ROW()-ROW($K$109)))</f>
        <v>'[2025-07-30_QuBA_libre.xlsx]Assumptions'!$J$3</v>
      </c>
    </row>
    <row r="119" spans="1:11" outlineLevel="1" x14ac:dyDescent="0.25">
      <c r="A119" s="23" t="str" cm="1">
        <f t="array" aca="1" ref="A119" ca="1">IF(INDEX($H:$H,ROW()-1)&lt;&gt;$H119,$E119,"")</f>
        <v/>
      </c>
      <c r="B119" s="71" t="str" cm="1">
        <f t="array" aca="1" ref="B119" ca="1">IF($K119="","",_xlfn.LET(
_xlpm._fullName,IF($L119="",SUBSTITUTE(SUBSTITUTE(INDIRECT($K119),CHAR(10)," "),"  "," "),$L119),
_xlpm._truncatedName,IF(LEN(_xlpm._fullName)&gt;250,LEFT(_xlpm._fullName,250)&amp;"[…]",_xlpm._fullName),
HYPERLINK("#'"&amp;$E119&amp;"'!"&amp;$F119&amp;$G119,
_xlpm._truncatedName)))</f>
        <v>Elapsed Time</v>
      </c>
      <c r="C119" s="13" t="s">
        <v>814</v>
      </c>
      <c r="D119" s="13"/>
      <c r="E119" s="61" t="str">
        <f t="shared" ca="1" si="22"/>
        <v>Assumptions</v>
      </c>
      <c r="F119" s="61" t="str">
        <f t="shared" ca="1" si="23"/>
        <v>K</v>
      </c>
      <c r="G119" s="61" t="str">
        <f t="shared" ca="1" si="24"/>
        <v>3</v>
      </c>
      <c r="H119" s="61" cm="1">
        <f t="array" aca="1" ref="H119" ca="1">CreateID($H$36,$H:$H,$E119&lt;&gt;INDEX($E:$E,ROW()-1))</f>
        <v>6</v>
      </c>
      <c r="I119" s="61" t="str" cm="1">
        <f t="array" aca="1" ref="I119" ca="1">INDIRECT($K119)</f>
        <v>Elapsed Time</v>
      </c>
      <c r="K119" s="2" t="str" cm="1">
        <f t="array" aca="1" ref="K119" ca="1">CELL("address",OFFSET(Assumptions!$A$3,0,ROW()-ROW($K$109)))</f>
        <v>'[2025-07-30_QuBA_libre.xlsx]Assumptions'!$K$3</v>
      </c>
    </row>
    <row r="120" spans="1:11" outlineLevel="1" x14ac:dyDescent="0.25">
      <c r="A120" s="23" t="str" cm="1">
        <f t="array" aca="1" ref="A120" ca="1">IF(INDEX($H:$H,ROW()-1)&lt;&gt;$H120,$E120,"")</f>
        <v/>
      </c>
      <c r="B120" s="71" t="str" cm="1">
        <f t="array" aca="1" ref="B120" ca="1">IF($K120="","",_xlfn.LET(
_xlpm._fullName,IF($L120="",SUBSTITUTE(SUBSTITUTE(INDIRECT($K120),CHAR(10)," "),"  "," "),$L120),
_xlpm._truncatedName,IF(LEN(_xlpm._fullName)&gt;250,LEFT(_xlpm._fullName,250)&amp;"[…]",_xlpm._fullName),
HYPERLINK("#'"&amp;$E120&amp;"'!"&amp;$F120&amp;$G120,
_xlpm._truncatedName)))</f>
        <v>Expertise</v>
      </c>
      <c r="C120" s="13" t="s">
        <v>815</v>
      </c>
      <c r="D120" s="13"/>
      <c r="E120" s="61" t="str">
        <f t="shared" ca="1" si="22"/>
        <v>Assumptions</v>
      </c>
      <c r="F120" s="61" t="str">
        <f t="shared" ca="1" si="23"/>
        <v>L</v>
      </c>
      <c r="G120" s="61" t="str">
        <f t="shared" ca="1" si="24"/>
        <v>3</v>
      </c>
      <c r="H120" s="61" cm="1">
        <f t="array" aca="1" ref="H120" ca="1">CreateID($H$36,$H:$H,$E120&lt;&gt;INDEX($E:$E,ROW()-1))</f>
        <v>6</v>
      </c>
      <c r="I120" s="61" t="str" cm="1">
        <f t="array" aca="1" ref="I120" ca="1">INDIRECT($K120)</f>
        <v>Expertise</v>
      </c>
      <c r="K120" s="2" t="str" cm="1">
        <f t="array" aca="1" ref="K120" ca="1">CELL("address",OFFSET(Assumptions!$A$3,0,ROW()-ROW($K$109)))</f>
        <v>'[2025-07-30_QuBA_libre.xlsx]Assumptions'!$L$3</v>
      </c>
    </row>
    <row r="121" spans="1:11" outlineLevel="1" x14ac:dyDescent="0.25">
      <c r="A121" s="23" t="str" cm="1">
        <f t="array" aca="1" ref="A121" ca="1">IF(INDEX($H:$H,ROW()-1)&lt;&gt;$H121,$E121,"")</f>
        <v/>
      </c>
      <c r="B121" s="71" t="str" cm="1">
        <f t="array" aca="1" ref="B121" ca="1">IF($K121="","",_xlfn.LET(
_xlpm._fullName,IF($L121="",SUBSTITUTE(SUBSTITUTE(INDIRECT($K121),CHAR(10)," "),"  "," "),$L121),
_xlpm._truncatedName,IF(LEN(_xlpm._fullName)&gt;250,LEFT(_xlpm._fullName,250)&amp;"[…]",_xlpm._fullName),
HYPERLINK("#'"&amp;$E121&amp;"'!"&amp;$F121&amp;$G121,
_xlpm._truncatedName)))</f>
        <v>Knowledge of TOE</v>
      </c>
      <c r="C121" s="13" t="s">
        <v>816</v>
      </c>
      <c r="D121" s="13"/>
      <c r="E121" s="61" t="str">
        <f t="shared" ca="1" si="22"/>
        <v>Assumptions</v>
      </c>
      <c r="F121" s="61" t="str">
        <f t="shared" ca="1" si="23"/>
        <v>M</v>
      </c>
      <c r="G121" s="61" t="str">
        <f t="shared" ca="1" si="24"/>
        <v>3</v>
      </c>
      <c r="H121" s="61" cm="1">
        <f t="array" aca="1" ref="H121" ca="1">CreateID($H$36,$H:$H,$E121&lt;&gt;INDEX($E:$E,ROW()-1))</f>
        <v>6</v>
      </c>
      <c r="I121" s="61" t="str" cm="1">
        <f t="array" aca="1" ref="I121" ca="1">INDIRECT($K121)</f>
        <v>Knowledge of TOE</v>
      </c>
      <c r="K121" s="2" t="str" cm="1">
        <f t="array" aca="1" ref="K121" ca="1">CELL("address",OFFSET(Assumptions!$A$3,0,ROW()-ROW($K$109)))</f>
        <v>'[2025-07-30_QuBA_libre.xlsx]Assumptions'!$M$3</v>
      </c>
    </row>
    <row r="122" spans="1:11" outlineLevel="1" x14ac:dyDescent="0.25">
      <c r="A122" s="23" t="str" cm="1">
        <f t="array" aca="1" ref="A122" ca="1">IF(INDEX($H:$H,ROW()-1)&lt;&gt;$H122,$E122,"")</f>
        <v/>
      </c>
      <c r="B122" s="71" t="str" cm="1">
        <f t="array" aca="1" ref="B122" ca="1">IF($K122="","",_xlfn.LET(
_xlpm._fullName,IF($L122="",SUBSTITUTE(SUBSTITUTE(INDIRECT($K122),CHAR(10)," "),"  "," "),$L122),
_xlpm._truncatedName,IF(LEN(_xlpm._fullName)&gt;250,LEFT(_xlpm._fullName,250)&amp;"[…]",_xlpm._fullName),
HYPERLINK("#'"&amp;$E122&amp;"'!"&amp;$F122&amp;$G122,
_xlpm._truncatedName)))</f>
        <v>Window of Opportunity</v>
      </c>
      <c r="C122" s="13" t="s">
        <v>817</v>
      </c>
      <c r="D122" s="13"/>
      <c r="E122" s="61" t="str">
        <f t="shared" ca="1" si="22"/>
        <v>Assumptions</v>
      </c>
      <c r="F122" s="61" t="str">
        <f t="shared" ca="1" si="23"/>
        <v>N</v>
      </c>
      <c r="G122" s="61" t="str">
        <f t="shared" ca="1" si="24"/>
        <v>3</v>
      </c>
      <c r="H122" s="61" cm="1">
        <f t="array" aca="1" ref="H122" ca="1">CreateID($H$36,$H:$H,$E122&lt;&gt;INDEX($E:$E,ROW()-1))</f>
        <v>6</v>
      </c>
      <c r="I122" s="61" t="str" cm="1">
        <f t="array" aca="1" ref="I122" ca="1">INDIRECT($K122)</f>
        <v>Window of Opportunity</v>
      </c>
      <c r="K122" s="2" t="str" cm="1">
        <f t="array" aca="1" ref="K122" ca="1">CELL("address",OFFSET(Assumptions!$A$3,0,ROW()-ROW($K$109)))</f>
        <v>'[2025-07-30_QuBA_libre.xlsx]Assumptions'!$N$3</v>
      </c>
    </row>
    <row r="123" spans="1:11" outlineLevel="1" x14ac:dyDescent="0.25">
      <c r="A123" s="23" t="str" cm="1">
        <f t="array" aca="1" ref="A123" ca="1">IF(INDEX($H:$H,ROW()-1)&lt;&gt;$H123,$E123,"")</f>
        <v/>
      </c>
      <c r="B123" s="71" t="str" cm="1">
        <f t="array" aca="1" ref="B123" ca="1">IF($K123="","",_xlfn.LET(
_xlpm._fullName,IF($L123="",SUBSTITUTE(SUBSTITUTE(INDIRECT($K123),CHAR(10)," "),"  "," "),$L123),
_xlpm._truncatedName,IF(LEN(_xlpm._fullName)&gt;250,LEFT(_xlpm._fullName,250)&amp;"[…]",_xlpm._fullName),
HYPERLINK("#'"&amp;$E123&amp;"'!"&amp;$F123&amp;$G123,
_xlpm._truncatedName)))</f>
        <v>Equipment</v>
      </c>
      <c r="C123" s="13" t="s">
        <v>818</v>
      </c>
      <c r="D123" s="13"/>
      <c r="E123" s="61" t="str">
        <f t="shared" ca="1" si="22"/>
        <v>Assumptions</v>
      </c>
      <c r="F123" s="61" t="str">
        <f t="shared" ca="1" si="23"/>
        <v>O</v>
      </c>
      <c r="G123" s="61" t="str">
        <f t="shared" ca="1" si="24"/>
        <v>3</v>
      </c>
      <c r="H123" s="61" cm="1">
        <f t="array" aca="1" ref="H123" ca="1">CreateID($H$36,$H:$H,$E123&lt;&gt;INDEX($E:$E,ROW()-1))</f>
        <v>6</v>
      </c>
      <c r="I123" s="61" t="str" cm="1">
        <f t="array" aca="1" ref="I123" ca="1">INDIRECT($K123)</f>
        <v>Equipment</v>
      </c>
      <c r="K123" s="2" t="str" cm="1">
        <f t="array" aca="1" ref="K123" ca="1">CELL("address",OFFSET(Assumptions!$A$3,0,ROW()-ROW($K$109)))</f>
        <v>'[2025-07-30_QuBA_libre.xlsx]Assumptions'!$O$3</v>
      </c>
    </row>
    <row r="124" spans="1:11" outlineLevel="1" x14ac:dyDescent="0.25">
      <c r="A124" s="23" t="str" cm="1">
        <f t="array" aca="1" ref="A124" ca="1">IF(INDEX($H:$H,ROW()-1)&lt;&gt;$H124,$E124,"")</f>
        <v/>
      </c>
      <c r="B124" s="71" t="str" cm="1">
        <f t="array" aca="1" ref="B124" ca="1">IF($K124="","",_xlfn.LET(
_xlpm._fullName,IF($L124="",SUBSTITUTE(SUBSTITUTE(INDIRECT($K124),CHAR(10)," "),"  "," "),$L124),
_xlpm._truncatedName,IF(LEN(_xlpm._fullName)&gt;250,LEFT(_xlpm._fullName,250)&amp;"[…]",_xlpm._fullName),
HYPERLINK("#'"&amp;$E124&amp;"'!"&amp;$F124&amp;$G124,
_xlpm._truncatedName)))</f>
        <v>RAP</v>
      </c>
      <c r="C124" s="13" t="s">
        <v>819</v>
      </c>
      <c r="D124" s="13"/>
      <c r="E124" s="61" t="str">
        <f t="shared" ca="1" si="22"/>
        <v>Assumptions</v>
      </c>
      <c r="F124" s="61" t="str">
        <f t="shared" ca="1" si="23"/>
        <v>P</v>
      </c>
      <c r="G124" s="61" t="str">
        <f t="shared" ca="1" si="24"/>
        <v>3</v>
      </c>
      <c r="H124" s="61" cm="1">
        <f t="array" aca="1" ref="H124" ca="1">CreateID($H$36,$H:$H,$E124&lt;&gt;INDEX($E:$E,ROW()-1))</f>
        <v>6</v>
      </c>
      <c r="I124" s="61" t="str" cm="1">
        <f t="array" aca="1" ref="I124" ca="1">INDIRECT($K124)</f>
        <v>RAP</v>
      </c>
      <c r="K124" s="2" t="str" cm="1">
        <f t="array" aca="1" ref="K124" ca="1">CELL("address",OFFSET(Assumptions!$A$3,0,ROW()-ROW($K$109)))</f>
        <v>'[2025-07-30_QuBA_libre.xlsx]Assumptions'!$P$3</v>
      </c>
    </row>
    <row r="125" spans="1:11" ht="30" outlineLevel="1" x14ac:dyDescent="0.25">
      <c r="A125" s="23" t="str" cm="1">
        <f t="array" aca="1" ref="A125" ca="1">IF(INDEX($H:$H,ROW()-1)&lt;&gt;$H125,$E125,"")</f>
        <v/>
      </c>
      <c r="B125" s="71" t="str" cm="1">
        <f t="array" aca="1" ref="B125" ca="1">IF($K125="","",_xlfn.LET(
_xlpm._fullName,IF($L125="",SUBSTITUTE(SUBSTITUTE(INDIRECT($K125),CHAR(10)," "),"  "," "),$L125),
_xlpm._truncatedName,IF(LEN(_xlpm._fullName)&gt;250,LEFT(_xlpm._fullName,250)&amp;"[…]",_xlpm._fullName),
HYPERLINK("#'"&amp;$E125&amp;"'!"&amp;$F125&amp;$G125,
_xlpm._truncatedName)))</f>
        <v>Mapping to CRA, Annex I (1.2)</v>
      </c>
      <c r="C125" s="13" t="s">
        <v>1687</v>
      </c>
      <c r="D125" s="13"/>
      <c r="E125" s="61" t="str">
        <f t="shared" ca="1" si="22"/>
        <v>Assumptions</v>
      </c>
      <c r="F125" s="61" t="str">
        <f t="shared" ca="1" si="23"/>
        <v>Q</v>
      </c>
      <c r="G125" s="61" t="str">
        <f t="shared" ca="1" si="24"/>
        <v>3</v>
      </c>
      <c r="H125" s="61" cm="1">
        <f t="array" aca="1" ref="H125" ca="1">CreateID($H$36,$H:$H,$E125&lt;&gt;INDEX($E:$E,ROW()-1))</f>
        <v>6</v>
      </c>
      <c r="I125" s="61" t="str" cm="1">
        <f t="array" aca="1" ref="I125" ca="1">INDIRECT($K125)</f>
        <v>Mapping to CRA, Annex I (1.2)</v>
      </c>
      <c r="K125" s="2" t="str" cm="1">
        <f t="array" aca="1" ref="K125" ca="1">CELL("address",OFFSET(Assumptions!$A$3,0,ROW()-ROW($K$109)))</f>
        <v>'[2025-07-30_QuBA_libre.xlsx]Assumptions'!$Q$3</v>
      </c>
    </row>
    <row r="126" spans="1:11" ht="30" outlineLevel="1" x14ac:dyDescent="0.25">
      <c r="A126" s="23" t="str" cm="1">
        <f t="array" aca="1" ref="A126" ca="1">IF(INDEX($H:$H,ROW()-1)&lt;&gt;$H126,$E126,"")</f>
        <v/>
      </c>
      <c r="B126" s="71" t="str" cm="1">
        <f t="array" aca="1" ref="B126" ca="1">IF($K126="","",_xlfn.LET(
_xlpm._fullName,IF($L126="",SUBSTITUTE(SUBSTITUTE(INDIRECT($K126),CHAR(10)," "),"  "," "),$L126),
_xlpm._truncatedName,IF(LEN(_xlpm._fullName)&gt;250,LEFT(_xlpm._fullName,250)&amp;"[…]",_xlpm._fullName),
HYPERLINK("#'"&amp;$E126&amp;"'!"&amp;$F126&amp;$G126,
_xlpm._truncatedName)))</f>
        <v>Reference</v>
      </c>
      <c r="C126" s="13" t="s">
        <v>1716</v>
      </c>
      <c r="D126" s="13"/>
      <c r="E126" s="61" t="str">
        <f t="shared" ca="1" si="22"/>
        <v>Assumptions</v>
      </c>
      <c r="F126" s="61" t="str">
        <f t="shared" ca="1" si="23"/>
        <v>R</v>
      </c>
      <c r="G126" s="61" t="str">
        <f t="shared" ca="1" si="24"/>
        <v>3</v>
      </c>
      <c r="H126" s="61" cm="1">
        <f t="array" aca="1" ref="H126" ca="1">CreateID($H$36,$H:$H,$E126&lt;&gt;INDEX($E:$E,ROW()-1))</f>
        <v>6</v>
      </c>
      <c r="I126" s="61" t="str" cm="1">
        <f t="array" aca="1" ref="I126" ca="1">INDIRECT($K126)</f>
        <v>Reference</v>
      </c>
      <c r="K126" s="2" t="str" cm="1">
        <f t="array" aca="1" ref="K126" ca="1">CELL("address",OFFSET(Assumptions!$A$3,0,ROW()-ROW($K$109)))</f>
        <v>'[2025-07-30_QuBA_libre.xlsx]Assumptions'!$R$3</v>
      </c>
    </row>
    <row r="127" spans="1:11" outlineLevel="1" x14ac:dyDescent="0.25">
      <c r="A127" s="23" t="str" cm="1">
        <f t="array" aca="1" ref="A127" ca="1">IF(INDEX($H:$H,ROW()-1)&lt;&gt;$H127,$E127,"")</f>
        <v/>
      </c>
      <c r="B127" s="71" t="str" cm="1">
        <f t="array" aca="1" ref="B127" ca="1">IF($K127="","",_xlfn.LET(
_xlpm._fullName,IF($L127="",SUBSTITUTE(SUBSTITUTE(INDIRECT($K127),CHAR(10)," "),"  "," "),$L127),
_xlpm._truncatedName,IF(LEN(_xlpm._fullName)&gt;250,LEFT(_xlpm._fullName,250)&amp;"[…]",_xlpm._fullName),
HYPERLINK("#'"&amp;$E127&amp;"'!"&amp;$F127&amp;$G127,
_xlpm._truncatedName)))</f>
        <v>Comment</v>
      </c>
      <c r="C127" s="13" t="s">
        <v>809</v>
      </c>
      <c r="D127" s="13"/>
      <c r="E127" s="61" t="str">
        <f ca="1">IF($K127="","",_xlfn.LET(
_xlpm._in,$K127,
_xlpm._start,FIND("]",_xlpm._in)+1,
SUBSTITUTE(MID(_xlpm._in,_xlpm._start,FIND("!",_xlpm._in)-_xlpm._start),"'","")))</f>
        <v>Assumptions</v>
      </c>
      <c r="F127" s="61" t="str">
        <f ca="1">IF($K127="","",_xlfn.LET(
_xlpm._in,SUBSTITUTE($K127,"$","§",1),
_xlpm._start,FIND("§",_xlpm._in)+1,
SUBSTITUTE(MID(_xlpm._in,_xlpm._start,FIND("$",_xlpm._in)-_xlpm._start),"'","")))</f>
        <v>S</v>
      </c>
      <c r="G127" s="61" t="str">
        <f ca="1">IF($K127="","",RIGHT($K127,LEN($K127)-FIND("$",SUBSTITUTE($K127,"$","§",1))))</f>
        <v>3</v>
      </c>
      <c r="H127" s="61" cm="1">
        <f t="array" aca="1" ref="H127" ca="1">CreateID($H$36,$H:$H,$E127&lt;&gt;INDEX($E:$E,ROW()-1))</f>
        <v>6</v>
      </c>
      <c r="I127" s="61" t="str" cm="1">
        <f t="array" aca="1" ref="I127" ca="1">INDIRECT($K127)</f>
        <v>Comment</v>
      </c>
      <c r="K127" s="2" t="str" cm="1">
        <f t="array" aca="1" ref="K127" ca="1">CELL("address",OFFSET(Assumptions!$A$3,0,ROW()-ROW($K$109)))</f>
        <v>'[2025-07-30_QuBA_libre.xlsx]Assumptions'!$S$3</v>
      </c>
    </row>
    <row r="128" spans="1:11" ht="60" x14ac:dyDescent="0.25">
      <c r="A128" s="23" t="str" cm="1">
        <f t="array" aca="1" ref="A128" ca="1">IF(INDEX($H:$H,ROW()-1)&lt;&gt;$H128,$E128,"")</f>
        <v>Countermeasures</v>
      </c>
      <c r="B128" s="71" t="str" cm="1">
        <f t="array" aca="1" ref="B128" ca="1">IF($K128="","",_xlfn.LET(
_xlpm._fullName,IF($L128="",SUBSTITUTE(SUBSTITUTE(INDIRECT($K128),CHAR(10)," "),"  "," "),$L128),
_xlpm._truncatedName,IF(LEN(_xlpm._fullName)&gt;250,LEFT(_xlpm._fullName,250)&amp;"[…]",_xlpm._fullName),
HYPERLINK("#'"&amp;$E128&amp;"'!"&amp;$F128&amp;$G128,
_xlpm._truncatedName)))</f>
        <v>ID</v>
      </c>
      <c r="C128" s="13" t="s">
        <v>1776</v>
      </c>
      <c r="D128" s="13"/>
      <c r="E128" s="61" t="str">
        <f t="shared" ref="E128:E146" ca="1" si="25">IF($K128="","",_xlfn.LET(
_xlpm._in,$K128,
_xlpm._start,FIND("]",_xlpm._in)+1,
SUBSTITUTE(MID(_xlpm._in,_xlpm._start,FIND("!",_xlpm._in)-_xlpm._start),"'","")))</f>
        <v>Countermeasures</v>
      </c>
      <c r="F128" s="61" t="str">
        <f t="shared" ref="F128:F146" ca="1" si="26">IF($K128="","",_xlfn.LET(
_xlpm._in,SUBSTITUTE($K128,"$","§",1),
_xlpm._start,FIND("§",_xlpm._in)+1,
SUBSTITUTE(MID(_xlpm._in,_xlpm._start,FIND("$",_xlpm._in)-_xlpm._start),"'","")))</f>
        <v>A</v>
      </c>
      <c r="G128" s="61" t="str">
        <f t="shared" ref="G128:G146" ca="1" si="27">IF($K128="","",RIGHT($K128,LEN($K128)-FIND("$",SUBSTITUTE($K128,"$","§",1))))</f>
        <v>2</v>
      </c>
      <c r="H128" s="61" cm="1">
        <f t="array" aca="1" ref="H128" ca="1">CreateID($H$36,$H:$H,$E128&lt;&gt;INDEX($E:$E,ROW()-1))</f>
        <v>7</v>
      </c>
      <c r="I128" s="61" t="str" cm="1">
        <f t="array" aca="1" ref="I128" ca="1">INDIRECT($K128)</f>
        <v>ID</v>
      </c>
      <c r="K128" s="2" t="str" cm="1">
        <f t="array" aca="1" ref="K128" ca="1">CELL("address",OFFSET(Countermeasures!$A$2,0,ROW()-ROW($K$128)))</f>
        <v>'[2025-07-30_QuBA_libre.xlsx]Countermeasures'!$A$2</v>
      </c>
    </row>
    <row r="129" spans="1:11" ht="45" outlineLevel="1" x14ac:dyDescent="0.25">
      <c r="A129" s="23" t="str" cm="1">
        <f t="array" aca="1" ref="A129" ca="1">IF(INDEX($H:$H,ROW()-1)&lt;&gt;$H129,$E129,"")</f>
        <v/>
      </c>
      <c r="B129" s="71" t="str" cm="1">
        <f t="array" aca="1" ref="B129" ca="1">IF($K129="","",_xlfn.LET(
_xlpm._fullName,IF($L129="",SUBSTITUTE(SUBSTITUTE(INDIRECT($K129),CHAR(10)," "),"  "," "),$L129),
_xlpm._truncatedName,IF(LEN(_xlpm._fullName)&gt;250,LEFT(_xlpm._fullName,250)&amp;"[…]",_xlpm._fullName),
HYPERLINK("#'"&amp;$E129&amp;"'!"&amp;$F129&amp;$G129,
_xlpm._truncatedName)))</f>
        <v>Countermeasure</v>
      </c>
      <c r="C129" s="13" t="s">
        <v>1777</v>
      </c>
      <c r="D129" s="13"/>
      <c r="E129" s="61" t="str">
        <f t="shared" ca="1" si="25"/>
        <v>Countermeasures</v>
      </c>
      <c r="F129" s="61" t="str">
        <f t="shared" ca="1" si="26"/>
        <v>B</v>
      </c>
      <c r="G129" s="61" t="str">
        <f t="shared" ca="1" si="27"/>
        <v>2</v>
      </c>
      <c r="H129" s="61" cm="1">
        <f t="array" aca="1" ref="H129" ca="1">CreateID($H$36,$H:$H,$E129&lt;&gt;INDEX($E:$E,ROW()-1))</f>
        <v>7</v>
      </c>
      <c r="I129" s="61" t="str" cm="1">
        <f t="array" aca="1" ref="I129" ca="1">INDIRECT($K129)</f>
        <v>Countermeasure</v>
      </c>
      <c r="K129" s="2" t="str" cm="1">
        <f t="array" aca="1" ref="K129" ca="1">CELL("address",OFFSET(Countermeasures!$A$2,0,ROW()-ROW($K$128)))</f>
        <v>'[2025-07-30_QuBA_libre.xlsx]Countermeasures'!$B$2</v>
      </c>
    </row>
    <row r="130" spans="1:11" outlineLevel="1" x14ac:dyDescent="0.25">
      <c r="A130" s="23" t="str" cm="1">
        <f t="array" aca="1" ref="A130" ca="1">IF(INDEX($H:$H,ROW()-1)&lt;&gt;$H130,$E130,"")</f>
        <v/>
      </c>
      <c r="B130" s="71" t="str" cm="1">
        <f t="array" aca="1" ref="B130" ca="1">IF($K130="","",_xlfn.LET(
_xlpm._fullName,IF($L130="",SUBSTITUTE(SUBSTITUTE(INDIRECT($K130),CHAR(10)," "),"  "," "),$L130),
_xlpm._truncatedName,IF(LEN(_xlpm._fullName)&gt;250,LEFT(_xlpm._fullName,250)&amp;"[…]",_xlpm._fullName),
HYPERLINK("#'"&amp;$E130&amp;"'!"&amp;$F130&amp;$G130,
_xlpm._truncatedName)))</f>
        <v>Description</v>
      </c>
      <c r="C130" s="13" t="s">
        <v>820</v>
      </c>
      <c r="D130" s="13"/>
      <c r="E130" s="61" t="str">
        <f t="shared" ca="1" si="25"/>
        <v>Countermeasures</v>
      </c>
      <c r="F130" s="61" t="str">
        <f t="shared" ca="1" si="26"/>
        <v>C</v>
      </c>
      <c r="G130" s="61" t="str">
        <f t="shared" ca="1" si="27"/>
        <v>2</v>
      </c>
      <c r="H130" s="61" cm="1">
        <f t="array" aca="1" ref="H130" ca="1">CreateID($H$36,$H:$H,$E130&lt;&gt;INDEX($E:$E,ROW()-1))</f>
        <v>7</v>
      </c>
      <c r="I130" s="61" t="str" cm="1">
        <f t="array" aca="1" ref="I130" ca="1">INDIRECT($K130)</f>
        <v>Description</v>
      </c>
      <c r="K130" s="2" t="str" cm="1">
        <f t="array" aca="1" ref="K130" ca="1">CELL("address",OFFSET(Countermeasures!$A$2,0,ROW()-ROW($K$128)))</f>
        <v>'[2025-07-30_QuBA_libre.xlsx]Countermeasures'!$C$2</v>
      </c>
    </row>
    <row r="131" spans="1:11" ht="45" outlineLevel="1" x14ac:dyDescent="0.25">
      <c r="A131" s="23" t="str" cm="1">
        <f t="array" aca="1" ref="A131" ca="1">IF(INDEX($H:$H,ROW()-1)&lt;&gt;$H131,$E131,"")</f>
        <v/>
      </c>
      <c r="B131" s="71" t="str" cm="1">
        <f t="array" aca="1" ref="B131" ca="1">IF($K131="","",_xlfn.LET(
_xlpm._fullName,IF($L131="",SUBSTITUTE(SUBSTITUTE(INDIRECT($K131),CHAR(10)," "),"  "," "),$L131),
_xlpm._truncatedName,IF(LEN(_xlpm._fullName)&gt;250,LEFT(_xlpm._fullName,250)&amp;"[…]",_xlpm._fullName),
HYPERLINK("#'"&amp;$E131&amp;"'!"&amp;$F131&amp;$G131,
_xlpm._truncatedName)))</f>
        <v>Answers</v>
      </c>
      <c r="C131" s="13" t="s">
        <v>1315</v>
      </c>
      <c r="D131" s="13" t="s">
        <v>1316</v>
      </c>
      <c r="E131" s="61" t="str">
        <f t="shared" ca="1" si="25"/>
        <v>Countermeasures</v>
      </c>
      <c r="F131" s="61" t="str">
        <f t="shared" ca="1" si="26"/>
        <v>D</v>
      </c>
      <c r="G131" s="61" t="str">
        <f t="shared" ca="1" si="27"/>
        <v>2</v>
      </c>
      <c r="H131" s="61" cm="1">
        <f t="array" aca="1" ref="H131" ca="1">CreateID($H$36,$H:$H,$E131&lt;&gt;INDEX($E:$E,ROW()-1))</f>
        <v>7</v>
      </c>
      <c r="I131" s="61" t="str" cm="1">
        <f t="array" aca="1" ref="I131" ca="1">INDIRECT($K131)</f>
        <v>Answers</v>
      </c>
      <c r="K131" s="2" t="str" cm="1">
        <f t="array" aca="1" ref="K131" ca="1">CELL("address",OFFSET(Countermeasures!$A$2,0,ROW()-ROW($K$128)))</f>
        <v>'[2025-07-30_QuBA_libre.xlsx]Countermeasures'!$D$2</v>
      </c>
    </row>
    <row r="132" spans="1:11" ht="60" outlineLevel="1" x14ac:dyDescent="0.25">
      <c r="A132" s="23" t="str" cm="1">
        <f t="array" aca="1" ref="A132" ca="1">IF(INDEX($H:$H,ROW()-1)&lt;&gt;$H132,$E132,"")</f>
        <v/>
      </c>
      <c r="B132" s="71" t="str" cm="1">
        <f t="array" aca="1" ref="B132" ca="1">IF($K132="","",_xlfn.LET(
_xlpm._fullName,IF($L132="",SUBSTITUTE(SUBSTITUTE(INDIRECT($K132),CHAR(10)," "),"  "," "),$L132),
_xlpm._truncatedName,IF(LEN(_xlpm._fullName)&gt;250,LEFT(_xlpm._fullName,250)&amp;"[…]",_xlpm._fullName),
HYPERLINK("#'"&amp;$E132&amp;"'!"&amp;$F132&amp;$G132,
_xlpm._truncatedName)))</f>
        <v>Attack Step IDs</v>
      </c>
      <c r="C132" s="13" t="s">
        <v>821</v>
      </c>
      <c r="D132" s="13"/>
      <c r="E132" s="61" t="str">
        <f t="shared" ca="1" si="25"/>
        <v>Countermeasures</v>
      </c>
      <c r="F132" s="61" t="str">
        <f t="shared" ca="1" si="26"/>
        <v>E</v>
      </c>
      <c r="G132" s="61" t="str">
        <f t="shared" ca="1" si="27"/>
        <v>2</v>
      </c>
      <c r="H132" s="61" cm="1">
        <f t="array" aca="1" ref="H132" ca="1">CreateID($H$36,$H:$H,$E132&lt;&gt;INDEX($E:$E,ROW()-1))</f>
        <v>7</v>
      </c>
      <c r="I132" s="61" t="str" cm="1">
        <f t="array" aca="1" ref="I132" ca="1">INDIRECT($K132)</f>
        <v>Attack Step IDs</v>
      </c>
      <c r="K132" s="2" t="str" cm="1">
        <f t="array" aca="1" ref="K132" ca="1">CELL("address",OFFSET(Countermeasures!$A$2,0,ROW()-ROW($K$128)))</f>
        <v>'[2025-07-30_QuBA_libre.xlsx]Countermeasures'!$E$2</v>
      </c>
    </row>
    <row r="133" spans="1:11" outlineLevel="1" x14ac:dyDescent="0.25">
      <c r="A133" s="23" t="str" cm="1">
        <f t="array" aca="1" ref="A133" ca="1">IF(INDEX($H:$H,ROW()-1)&lt;&gt;$H133,$E133,"")</f>
        <v/>
      </c>
      <c r="B133" s="71" t="str" cm="1">
        <f t="array" aca="1" ref="B133" ca="1">IF($K133="","",_xlfn.LET(
_xlpm._fullName,IF($L133="",SUBSTITUTE(SUBSTITUTE(INDIRECT($K133),CHAR(10)," "),"  "," "),$L133),
_xlpm._truncatedName,IF(LEN(_xlpm._fullName)&gt;250,LEFT(_xlpm._fullName,250)&amp;"[…]",_xlpm._fullName),
HYPERLINK("#'"&amp;$E133&amp;"'!"&amp;$F133&amp;$G133,
_xlpm._truncatedName)))</f>
        <v>Mitigated Attack Step Names</v>
      </c>
      <c r="C133" s="13" t="s">
        <v>812</v>
      </c>
      <c r="D133" s="13"/>
      <c r="E133" s="61" t="str">
        <f t="shared" ca="1" si="25"/>
        <v>Countermeasures</v>
      </c>
      <c r="F133" s="61" t="str">
        <f t="shared" ca="1" si="26"/>
        <v>F</v>
      </c>
      <c r="G133" s="61" t="str">
        <f t="shared" ca="1" si="27"/>
        <v>2</v>
      </c>
      <c r="H133" s="61" cm="1">
        <f t="array" aca="1" ref="H133" ca="1">CreateID($H$36,$H:$H,$E133&lt;&gt;INDEX($E:$E,ROW()-1))</f>
        <v>7</v>
      </c>
      <c r="I133" s="61" t="str" cm="1">
        <f t="array" aca="1" ref="I133" ca="1">INDIRECT($K133)</f>
        <v>Mitigated Attack Step Names</v>
      </c>
      <c r="K133" s="2" t="str" cm="1">
        <f t="array" aca="1" ref="K133" ca="1">CELL("address",OFFSET(Countermeasures!$A$2,0,ROW()-ROW($K$128)))</f>
        <v>'[2025-07-30_QuBA_libre.xlsx]Countermeasures'!$F$2</v>
      </c>
    </row>
    <row r="134" spans="1:11" ht="30" outlineLevel="1" x14ac:dyDescent="0.25">
      <c r="A134" s="23" t="str" cm="1">
        <f t="array" aca="1" ref="A134" ca="1">IF(INDEX($H:$H,ROW()-1)&lt;&gt;$H134,$E134,"")</f>
        <v/>
      </c>
      <c r="B134" s="71" t="str" cm="1">
        <f t="array" aca="1" ref="B134" ca="1">IF($K134="","",_xlfn.LET(
_xlpm._fullName,IF($L134="",SUBSTITUTE(SUBSTITUTE(INDIRECT($K134),CHAR(10)," "),"  "," "),$L134),
_xlpm._truncatedName,IF(LEN(_xlpm._fullName)&gt;250,LEFT(_xlpm._fullName,250)&amp;"[…]",_xlpm._fullName),
HYPERLINK("#'"&amp;$E134&amp;"'!"&amp;$F134&amp;$G134,
_xlpm._truncatedName)))</f>
        <v>PR IDs</v>
      </c>
      <c r="C134" s="13" t="s">
        <v>822</v>
      </c>
      <c r="D134" s="13"/>
      <c r="E134" s="61" t="str">
        <f t="shared" ca="1" si="25"/>
        <v>Countermeasures</v>
      </c>
      <c r="F134" s="61" t="str">
        <f t="shared" ca="1" si="26"/>
        <v>G</v>
      </c>
      <c r="G134" s="61" t="str">
        <f t="shared" ca="1" si="27"/>
        <v>2</v>
      </c>
      <c r="H134" s="61" cm="1">
        <f t="array" aca="1" ref="H134" ca="1">CreateID($H$36,$H:$H,$E134&lt;&gt;INDEX($E:$E,ROW()-1))</f>
        <v>7</v>
      </c>
      <c r="I134" s="61" t="str" cm="1">
        <f t="array" aca="1" ref="I134" ca="1">INDIRECT($K134)</f>
        <v>PR IDs</v>
      </c>
      <c r="K134" s="2" t="str" cm="1">
        <f t="array" aca="1" ref="K134" ca="1">CELL("address",OFFSET(Countermeasures!$A$2,0,ROW()-ROW($K$128)))</f>
        <v>'[2025-07-30_QuBA_libre.xlsx]Countermeasures'!$G$2</v>
      </c>
    </row>
    <row r="135" spans="1:11" ht="30" outlineLevel="1" x14ac:dyDescent="0.25">
      <c r="A135" s="23" t="str" cm="1">
        <f t="array" aca="1" ref="A135" ca="1">IF(INDEX($H:$H,ROW()-1)&lt;&gt;$H135,$E135,"")</f>
        <v/>
      </c>
      <c r="B135" s="71" t="str" cm="1">
        <f t="array" aca="1" ref="B135" ca="1">IF($K135="","",_xlfn.LET(
_xlpm._fullName,IF($L135="",SUBSTITUTE(SUBSTITUTE(INDIRECT($K135),CHAR(10)," "),"  "," "),$L135),
_xlpm._truncatedName,IF(LEN(_xlpm._fullName)&gt;250,LEFT(_xlpm._fullName,250)&amp;"[…]",_xlpm._fullName),
HYPERLINK("#'"&amp;$E135&amp;"'!"&amp;$F135&amp;$G135,
_xlpm._truncatedName)))</f>
        <v>Prerequisites</v>
      </c>
      <c r="C135" s="13" t="s">
        <v>823</v>
      </c>
      <c r="D135" s="13"/>
      <c r="E135" s="61" t="str">
        <f t="shared" ca="1" si="25"/>
        <v>Countermeasures</v>
      </c>
      <c r="F135" s="61" t="str">
        <f t="shared" ca="1" si="26"/>
        <v>H</v>
      </c>
      <c r="G135" s="61" t="str">
        <f t="shared" ca="1" si="27"/>
        <v>2</v>
      </c>
      <c r="H135" s="61" cm="1">
        <f t="array" aca="1" ref="H135" ca="1">CreateID($H$36,$H:$H,$E135&lt;&gt;INDEX($E:$E,ROW()-1))</f>
        <v>7</v>
      </c>
      <c r="I135" s="61" t="str" cm="1">
        <f t="array" aca="1" ref="I135" ca="1">INDIRECT($K135)</f>
        <v>Prerequisites</v>
      </c>
      <c r="K135" s="2" t="str" cm="1">
        <f t="array" aca="1" ref="K135" ca="1">CELL("address",OFFSET(Countermeasures!$A$2,0,ROW()-ROW($K$128)))</f>
        <v>'[2025-07-30_QuBA_libre.xlsx]Countermeasures'!$H$2</v>
      </c>
    </row>
    <row r="136" spans="1:11" ht="60" outlineLevel="1" x14ac:dyDescent="0.25">
      <c r="A136" s="23" t="str" cm="1">
        <f t="array" aca="1" ref="A136" ca="1">IF(INDEX($H:$H,ROW()-1)&lt;&gt;$H136,$E136,"")</f>
        <v/>
      </c>
      <c r="B136" s="71" t="str" cm="1">
        <f t="array" aca="1" ref="B136" ca="1">IF($K136="","",_xlfn.LET(
_xlpm._fullName,IF($L136="",SUBSTITUTE(SUBSTITUTE(INDIRECT($K136),CHAR(10)," "),"  "," "),$L136),
_xlpm._truncatedName,IF(LEN(_xlpm._fullName)&gt;250,LEFT(_xlpm._fullName,250)&amp;"[…]",_xlpm._fullName),
HYPERLINK("#'"&amp;$E136&amp;"'!"&amp;$F136&amp;$G136,
_xlpm._truncatedName)))</f>
        <v>DSTs</v>
      </c>
      <c r="C136" s="13" t="s">
        <v>1313</v>
      </c>
      <c r="D136" s="13" t="s">
        <v>1314</v>
      </c>
      <c r="E136" s="61" t="str">
        <f t="shared" ca="1" si="25"/>
        <v>Countermeasures</v>
      </c>
      <c r="F136" s="61" t="str">
        <f t="shared" ca="1" si="26"/>
        <v>I</v>
      </c>
      <c r="G136" s="61" t="str">
        <f t="shared" ca="1" si="27"/>
        <v>2</v>
      </c>
      <c r="H136" s="61" cm="1">
        <f t="array" aca="1" ref="H136" ca="1">CreateID($H$36,$H:$H,$E136&lt;&gt;INDEX($E:$E,ROW()-1))</f>
        <v>7</v>
      </c>
      <c r="I136" s="61" t="str" cm="1">
        <f t="array" aca="1" ref="I136" ca="1">INDIRECT($K136)</f>
        <v>DSTs</v>
      </c>
      <c r="K136" s="2" t="str" cm="1">
        <f t="array" aca="1" ref="K136" ca="1">CELL("address",OFFSET(Countermeasures!$A$2,0,ROW()-ROW($K$128)))</f>
        <v>'[2025-07-30_QuBA_libre.xlsx]Countermeasures'!$I$2</v>
      </c>
    </row>
    <row r="137" spans="1:11" ht="75" outlineLevel="1" x14ac:dyDescent="0.25">
      <c r="A137" s="23" t="str" cm="1">
        <f t="array" aca="1" ref="A137" ca="1">IF(INDEX($H:$H,ROW()-1)&lt;&gt;$H137,$E137,"")</f>
        <v/>
      </c>
      <c r="B137" s="71" t="str" cm="1">
        <f t="array" aca="1" ref="B137" ca="1">IF($K137="","",_xlfn.LET(
_xlpm._fullName,IF($L137="",SUBSTITUTE(SUBSTITUTE(INDIRECT($K137),CHAR(10)," "),"  "," "),$L137),
_xlpm._truncatedName,IF(LEN(_xlpm._fullName)&gt;250,LEFT(_xlpm._fullName,250)&amp;"[…]",_xlpm._fullName),
HYPERLINK("#'"&amp;$E137&amp;"'!"&amp;$F137&amp;$G137,
_xlpm._truncatedName)))</f>
        <v>Damage Scenario Transformation</v>
      </c>
      <c r="C137" s="13" t="s">
        <v>1317</v>
      </c>
      <c r="D137" s="13"/>
      <c r="E137" s="61" t="str">
        <f t="shared" ca="1" si="25"/>
        <v>Countermeasures</v>
      </c>
      <c r="F137" s="61" t="str">
        <f t="shared" ca="1" si="26"/>
        <v>J</v>
      </c>
      <c r="G137" s="61" t="str">
        <f t="shared" ca="1" si="27"/>
        <v>2</v>
      </c>
      <c r="H137" s="61" cm="1">
        <f t="array" aca="1" ref="H137" ca="1">CreateID($H$36,$H:$H,$E137&lt;&gt;INDEX($E:$E,ROW()-1))</f>
        <v>7</v>
      </c>
      <c r="I137" s="61" t="str" cm="1">
        <f t="array" aca="1" ref="I137" ca="1">INDIRECT($K137)</f>
        <v>Damage Scenario Transformation</v>
      </c>
      <c r="K137" s="2" t="str" cm="1">
        <f t="array" aca="1" ref="K137" ca="1">CELL("address",OFFSET(Countermeasures!$A$2,0,ROW()-ROW($K$128)))</f>
        <v>'[2025-07-30_QuBA_libre.xlsx]Countermeasures'!$J$2</v>
      </c>
    </row>
    <row r="138" spans="1:11" outlineLevel="1" x14ac:dyDescent="0.25">
      <c r="A138" s="23" t="str" cm="1">
        <f t="array" aca="1" ref="A138" ca="1">IF(INDEX($H:$H,ROW()-1)&lt;&gt;$H138,$E138,"")</f>
        <v/>
      </c>
      <c r="B138" s="71" t="str" cm="1">
        <f t="array" aca="1" ref="B138" ca="1">IF($K138="","",_xlfn.LET(
_xlpm._fullName,IF($L138="",SUBSTITUTE(SUBSTITUTE(INDIRECT($K138),CHAR(10)," "),"  "," "),$L138),
_xlpm._truncatedName,IF(LEN(_xlpm._fullName)&gt;250,LEFT(_xlpm._fullName,250)&amp;"[…]",_xlpm._fullName),
HYPERLINK("#'"&amp;$E138&amp;"'!"&amp;$F138&amp;$G138,
_xlpm._truncatedName)))</f>
        <v>Elapsed Time</v>
      </c>
      <c r="C138" s="13" t="s">
        <v>824</v>
      </c>
      <c r="D138" s="13"/>
      <c r="E138" s="61" t="str">
        <f t="shared" ca="1" si="25"/>
        <v>Countermeasures</v>
      </c>
      <c r="F138" s="61" t="str">
        <f t="shared" ca="1" si="26"/>
        <v>K</v>
      </c>
      <c r="G138" s="61" t="str">
        <f t="shared" ca="1" si="27"/>
        <v>2</v>
      </c>
      <c r="H138" s="61" cm="1">
        <f t="array" aca="1" ref="H138" ca="1">CreateID($H$36,$H:$H,$E138&lt;&gt;INDEX($E:$E,ROW()-1))</f>
        <v>7</v>
      </c>
      <c r="I138" s="61" t="str" cm="1">
        <f t="array" aca="1" ref="I138" ca="1">INDIRECT($K138)</f>
        <v>Elapsed Time</v>
      </c>
      <c r="K138" s="2" t="str" cm="1">
        <f t="array" aca="1" ref="K138" ca="1">CELL("address",OFFSET(Countermeasures!$A$2,0,ROW()-ROW($K$128)))</f>
        <v>'[2025-07-30_QuBA_libre.xlsx]Countermeasures'!$K$2</v>
      </c>
    </row>
    <row r="139" spans="1:11" outlineLevel="1" x14ac:dyDescent="0.25">
      <c r="A139" s="23" t="str" cm="1">
        <f t="array" aca="1" ref="A139" ca="1">IF(INDEX($H:$H,ROW()-1)&lt;&gt;$H139,$E139,"")</f>
        <v/>
      </c>
      <c r="B139" s="71" t="str" cm="1">
        <f t="array" aca="1" ref="B139" ca="1">IF($K139="","",_xlfn.LET(
_xlpm._fullName,IF($L139="",SUBSTITUTE(SUBSTITUTE(INDIRECT($K139),CHAR(10)," "),"  "," "),$L139),
_xlpm._truncatedName,IF(LEN(_xlpm._fullName)&gt;250,LEFT(_xlpm._fullName,250)&amp;"[…]",_xlpm._fullName),
HYPERLINK("#'"&amp;$E139&amp;"'!"&amp;$F139&amp;$G139,
_xlpm._truncatedName)))</f>
        <v>Expertise</v>
      </c>
      <c r="C139" s="13" t="s">
        <v>825</v>
      </c>
      <c r="D139" s="13"/>
      <c r="E139" s="61" t="str">
        <f t="shared" ca="1" si="25"/>
        <v>Countermeasures</v>
      </c>
      <c r="F139" s="61" t="str">
        <f t="shared" ca="1" si="26"/>
        <v>L</v>
      </c>
      <c r="G139" s="61" t="str">
        <f t="shared" ca="1" si="27"/>
        <v>2</v>
      </c>
      <c r="H139" s="61" cm="1">
        <f t="array" aca="1" ref="H139" ca="1">CreateID($H$36,$H:$H,$E139&lt;&gt;INDEX($E:$E,ROW()-1))</f>
        <v>7</v>
      </c>
      <c r="I139" s="61" t="str" cm="1">
        <f t="array" aca="1" ref="I139" ca="1">INDIRECT($K139)</f>
        <v>Expertise</v>
      </c>
      <c r="K139" s="2" t="str" cm="1">
        <f t="array" aca="1" ref="K139" ca="1">CELL("address",OFFSET(Countermeasures!$A$2,0,ROW()-ROW($K$128)))</f>
        <v>'[2025-07-30_QuBA_libre.xlsx]Countermeasures'!$L$2</v>
      </c>
    </row>
    <row r="140" spans="1:11" outlineLevel="1" x14ac:dyDescent="0.25">
      <c r="A140" s="23" t="str" cm="1">
        <f t="array" aca="1" ref="A140" ca="1">IF(INDEX($H:$H,ROW()-1)&lt;&gt;$H140,$E140,"")</f>
        <v/>
      </c>
      <c r="B140" s="71" t="str" cm="1">
        <f t="array" aca="1" ref="B140" ca="1">IF($K140="","",_xlfn.LET(
_xlpm._fullName,IF($L140="",SUBSTITUTE(SUBSTITUTE(INDIRECT($K140),CHAR(10)," "),"  "," "),$L140),
_xlpm._truncatedName,IF(LEN(_xlpm._fullName)&gt;250,LEFT(_xlpm._fullName,250)&amp;"[…]",_xlpm._fullName),
HYPERLINK("#'"&amp;$E140&amp;"'!"&amp;$F140&amp;$G140,
_xlpm._truncatedName)))</f>
        <v>Knowledge of TOE</v>
      </c>
      <c r="C140" s="13" t="s">
        <v>826</v>
      </c>
      <c r="D140" s="13"/>
      <c r="E140" s="61" t="str">
        <f t="shared" ca="1" si="25"/>
        <v>Countermeasures</v>
      </c>
      <c r="F140" s="61" t="str">
        <f t="shared" ca="1" si="26"/>
        <v>M</v>
      </c>
      <c r="G140" s="61" t="str">
        <f t="shared" ca="1" si="27"/>
        <v>2</v>
      </c>
      <c r="H140" s="61" cm="1">
        <f t="array" aca="1" ref="H140" ca="1">CreateID($H$36,$H:$H,$E140&lt;&gt;INDEX($E:$E,ROW()-1))</f>
        <v>7</v>
      </c>
      <c r="I140" s="61" t="str" cm="1">
        <f t="array" aca="1" ref="I140" ca="1">INDIRECT($K140)</f>
        <v>Knowledge of TOE</v>
      </c>
      <c r="K140" s="2" t="str" cm="1">
        <f t="array" aca="1" ref="K140" ca="1">CELL("address",OFFSET(Countermeasures!$A$2,0,ROW()-ROW($K$128)))</f>
        <v>'[2025-07-30_QuBA_libre.xlsx]Countermeasures'!$M$2</v>
      </c>
    </row>
    <row r="141" spans="1:11" ht="30" outlineLevel="1" x14ac:dyDescent="0.25">
      <c r="A141" s="23" t="str" cm="1">
        <f t="array" aca="1" ref="A141" ca="1">IF(INDEX($H:$H,ROW()-1)&lt;&gt;$H141,$E141,"")</f>
        <v/>
      </c>
      <c r="B141" s="71" t="str" cm="1">
        <f t="array" aca="1" ref="B141" ca="1">IF($K141="","",_xlfn.LET(
_xlpm._fullName,IF($L141="",SUBSTITUTE(SUBSTITUTE(INDIRECT($K141),CHAR(10)," "),"  "," "),$L141),
_xlpm._truncatedName,IF(LEN(_xlpm._fullName)&gt;250,LEFT(_xlpm._fullName,250)&amp;"[…]",_xlpm._fullName),
HYPERLINK("#'"&amp;$E141&amp;"'!"&amp;$F141&amp;$G141,
_xlpm._truncatedName)))</f>
        <v>Window of Opportunity</v>
      </c>
      <c r="C141" s="13" t="s">
        <v>827</v>
      </c>
      <c r="D141" s="13"/>
      <c r="E141" s="61" t="str">
        <f t="shared" ca="1" si="25"/>
        <v>Countermeasures</v>
      </c>
      <c r="F141" s="61" t="str">
        <f t="shared" ca="1" si="26"/>
        <v>N</v>
      </c>
      <c r="G141" s="61" t="str">
        <f t="shared" ca="1" si="27"/>
        <v>2</v>
      </c>
      <c r="H141" s="61" cm="1">
        <f t="array" aca="1" ref="H141" ca="1">CreateID($H$36,$H:$H,$E141&lt;&gt;INDEX($E:$E,ROW()-1))</f>
        <v>7</v>
      </c>
      <c r="I141" s="61" t="str" cm="1">
        <f t="array" aca="1" ref="I141" ca="1">INDIRECT($K141)</f>
        <v>Window of Opportunity</v>
      </c>
      <c r="K141" s="2" t="str" cm="1">
        <f t="array" aca="1" ref="K141" ca="1">CELL("address",OFFSET(Countermeasures!$A$2,0,ROW()-ROW($K$128)))</f>
        <v>'[2025-07-30_QuBA_libre.xlsx]Countermeasures'!$N$2</v>
      </c>
    </row>
    <row r="142" spans="1:11" outlineLevel="1" x14ac:dyDescent="0.25">
      <c r="A142" s="23" t="str" cm="1">
        <f t="array" aca="1" ref="A142" ca="1">IF(INDEX($H:$H,ROW()-1)&lt;&gt;$H142,$E142,"")</f>
        <v/>
      </c>
      <c r="B142" s="71" t="str" cm="1">
        <f t="array" aca="1" ref="B142" ca="1">IF($K142="","",_xlfn.LET(
_xlpm._fullName,IF($L142="",SUBSTITUTE(SUBSTITUTE(INDIRECT($K142),CHAR(10)," "),"  "," "),$L142),
_xlpm._truncatedName,IF(LEN(_xlpm._fullName)&gt;250,LEFT(_xlpm._fullName,250)&amp;"[…]",_xlpm._fullName),
HYPERLINK("#'"&amp;$E142&amp;"'!"&amp;$F142&amp;$G142,
_xlpm._truncatedName)))</f>
        <v>Equipment</v>
      </c>
      <c r="C142" s="13" t="s">
        <v>828</v>
      </c>
      <c r="D142" s="13"/>
      <c r="E142" s="61" t="str">
        <f t="shared" ca="1" si="25"/>
        <v>Countermeasures</v>
      </c>
      <c r="F142" s="61" t="str">
        <f t="shared" ca="1" si="26"/>
        <v>O</v>
      </c>
      <c r="G142" s="61" t="str">
        <f t="shared" ca="1" si="27"/>
        <v>2</v>
      </c>
      <c r="H142" s="61" cm="1">
        <f t="array" aca="1" ref="H142" ca="1">CreateID($H$36,$H:$H,$E142&lt;&gt;INDEX($E:$E,ROW()-1))</f>
        <v>7</v>
      </c>
      <c r="I142" s="61" t="str" cm="1">
        <f t="array" aca="1" ref="I142" ca="1">INDIRECT($K142)</f>
        <v>Equipment</v>
      </c>
      <c r="K142" s="2" t="str" cm="1">
        <f t="array" aca="1" ref="K142" ca="1">CELL("address",OFFSET(Countermeasures!$A$2,0,ROW()-ROW($K$128)))</f>
        <v>'[2025-07-30_QuBA_libre.xlsx]Countermeasures'!$O$2</v>
      </c>
    </row>
    <row r="143" spans="1:11" outlineLevel="1" x14ac:dyDescent="0.25">
      <c r="A143" s="23" t="str" cm="1">
        <f t="array" aca="1" ref="A143" ca="1">IF(INDEX($H:$H,ROW()-1)&lt;&gt;$H143,$E143,"")</f>
        <v/>
      </c>
      <c r="B143" s="71" t="str" cm="1">
        <f t="array" aca="1" ref="B143" ca="1">IF($K143="","",_xlfn.LET(
_xlpm._fullName,IF($L143="",SUBSTITUTE(SUBSTITUTE(INDIRECT($K143),CHAR(10)," "),"  "," "),$L143),
_xlpm._truncatedName,IF(LEN(_xlpm._fullName)&gt;250,LEFT(_xlpm._fullName,250)&amp;"[…]",_xlpm._fullName),
HYPERLINK("#'"&amp;$E143&amp;"'!"&amp;$F143&amp;$G143,
_xlpm._truncatedName)))</f>
        <v>RAP</v>
      </c>
      <c r="C143" s="13" t="s">
        <v>819</v>
      </c>
      <c r="D143" s="13"/>
      <c r="E143" s="61" t="str">
        <f t="shared" ca="1" si="25"/>
        <v>Countermeasures</v>
      </c>
      <c r="F143" s="61" t="str">
        <f t="shared" ca="1" si="26"/>
        <v>P</v>
      </c>
      <c r="G143" s="61" t="str">
        <f t="shared" ca="1" si="27"/>
        <v>2</v>
      </c>
      <c r="H143" s="61" cm="1">
        <f t="array" aca="1" ref="H143" ca="1">CreateID($H$36,$H:$H,$E143&lt;&gt;INDEX($E:$E,ROW()-1))</f>
        <v>7</v>
      </c>
      <c r="I143" s="61" t="str" cm="1">
        <f t="array" aca="1" ref="I143" ca="1">INDIRECT($K143)</f>
        <v>RAP</v>
      </c>
      <c r="K143" s="2" t="str" cm="1">
        <f t="array" aca="1" ref="K143" ca="1">CELL("address",OFFSET(Countermeasures!$A$2,0,ROW()-ROW($K$128)))</f>
        <v>'[2025-07-30_QuBA_libre.xlsx]Countermeasures'!$P$2</v>
      </c>
    </row>
    <row r="144" spans="1:11" ht="30" outlineLevel="1" x14ac:dyDescent="0.25">
      <c r="A144" s="23" t="str" cm="1">
        <f t="array" aca="1" ref="A144" ca="1">IF(INDEX($H:$H,ROW()-1)&lt;&gt;$H144,$E144,"")</f>
        <v/>
      </c>
      <c r="B144" s="71" t="str" cm="1">
        <f t="array" aca="1" ref="B144" ca="1">IF($K144="","",_xlfn.LET(
_xlpm._fullName,IF($L144="",SUBSTITUTE(SUBSTITUTE(INDIRECT($K144),CHAR(10)," "),"  "," "),$L144),
_xlpm._truncatedName,IF(LEN(_xlpm._fullName)&gt;250,LEFT(_xlpm._fullName,250)&amp;"[…]",_xlpm._fullName),
HYPERLINK("#'"&amp;$E144&amp;"'!"&amp;$F144&amp;$G144,
_xlpm._truncatedName)))</f>
        <v>Mapping to CRA, Annex I (1.2)</v>
      </c>
      <c r="C144" s="13" t="s">
        <v>1688</v>
      </c>
      <c r="D144" s="13"/>
      <c r="E144" s="61" t="str">
        <f t="shared" ca="1" si="25"/>
        <v>Countermeasures</v>
      </c>
      <c r="F144" s="61" t="str">
        <f t="shared" ca="1" si="26"/>
        <v>Q</v>
      </c>
      <c r="G144" s="61" t="str">
        <f t="shared" ca="1" si="27"/>
        <v>2</v>
      </c>
      <c r="H144" s="61" cm="1">
        <f t="array" aca="1" ref="H144" ca="1">CreateID($H$36,$H:$H,$E144&lt;&gt;INDEX($E:$E,ROW()-1))</f>
        <v>7</v>
      </c>
      <c r="I144" s="61" t="str" cm="1">
        <f t="array" aca="1" ref="I144" ca="1">INDIRECT($K144)</f>
        <v>Mapping to CRA, Annex I (1.2)</v>
      </c>
      <c r="K144" s="2" t="str" cm="1">
        <f t="array" aca="1" ref="K144" ca="1">CELL("address",OFFSET(Countermeasures!$A$2,0,ROW()-ROW($K$128)))</f>
        <v>'[2025-07-30_QuBA_libre.xlsx]Countermeasures'!$Q$2</v>
      </c>
    </row>
    <row r="145" spans="1:11" ht="30" outlineLevel="1" x14ac:dyDescent="0.25">
      <c r="A145" s="23" t="str" cm="1">
        <f t="array" aca="1" ref="A145" ca="1">IF(INDEX($H:$H,ROW()-1)&lt;&gt;$H145,$E145,"")</f>
        <v/>
      </c>
      <c r="B145" s="71" t="str" cm="1">
        <f t="array" aca="1" ref="B145" ca="1">IF($K145="","",_xlfn.LET(
_xlpm._fullName,IF($L145="",SUBSTITUTE(SUBSTITUTE(INDIRECT($K145),CHAR(10)," "),"  "," "),$L145),
_xlpm._truncatedName,IF(LEN(_xlpm._fullName)&gt;250,LEFT(_xlpm._fullName,250)&amp;"[…]",_xlpm._fullName),
HYPERLINK("#'"&amp;$E145&amp;"'!"&amp;$F145&amp;$G145,
_xlpm._truncatedName)))</f>
        <v>Reference</v>
      </c>
      <c r="C145" s="13" t="s">
        <v>1717</v>
      </c>
      <c r="D145" s="13"/>
      <c r="E145" s="61" t="str">
        <f t="shared" ca="1" si="25"/>
        <v>Countermeasures</v>
      </c>
      <c r="F145" s="61" t="str">
        <f t="shared" ca="1" si="26"/>
        <v>R</v>
      </c>
      <c r="G145" s="61" t="str">
        <f t="shared" ca="1" si="27"/>
        <v>2</v>
      </c>
      <c r="H145" s="61" cm="1">
        <f t="array" aca="1" ref="H145" ca="1">CreateID($H$36,$H:$H,$E145&lt;&gt;INDEX($E:$E,ROW()-1))</f>
        <v>7</v>
      </c>
      <c r="I145" s="61" t="str" cm="1">
        <f t="array" aca="1" ref="I145" ca="1">INDIRECT($K145)</f>
        <v>Reference</v>
      </c>
      <c r="K145" s="2" t="str" cm="1">
        <f t="array" aca="1" ref="K145" ca="1">CELL("address",OFFSET(Countermeasures!$A$2,0,ROW()-ROW($K$128)))</f>
        <v>'[2025-07-30_QuBA_libre.xlsx]Countermeasures'!$R$2</v>
      </c>
    </row>
    <row r="146" spans="1:11" outlineLevel="1" x14ac:dyDescent="0.25">
      <c r="A146" s="23" t="str" cm="1">
        <f t="array" aca="1" ref="A146" ca="1">IF(INDEX($H:$H,ROW()-1)&lt;&gt;$H146,$E146,"")</f>
        <v/>
      </c>
      <c r="B146" s="71" t="str" cm="1">
        <f t="array" aca="1" ref="B146" ca="1">IF($K146="","",_xlfn.LET(
_xlpm._fullName,IF($L146="",SUBSTITUTE(SUBSTITUTE(INDIRECT($K146),CHAR(10)," "),"  "," "),$L146),
_xlpm._truncatedName,IF(LEN(_xlpm._fullName)&gt;250,LEFT(_xlpm._fullName,250)&amp;"[…]",_xlpm._fullName),
HYPERLINK("#'"&amp;$E146&amp;"'!"&amp;$F146&amp;$G146,
_xlpm._truncatedName)))</f>
        <v>Comment</v>
      </c>
      <c r="C146" s="13" t="s">
        <v>809</v>
      </c>
      <c r="D146" s="13"/>
      <c r="E146" s="61" t="str">
        <f t="shared" ca="1" si="25"/>
        <v>Countermeasures</v>
      </c>
      <c r="F146" s="61" t="str">
        <f t="shared" ca="1" si="26"/>
        <v>S</v>
      </c>
      <c r="G146" s="61" t="str">
        <f t="shared" ca="1" si="27"/>
        <v>2</v>
      </c>
      <c r="H146" s="61" cm="1">
        <f t="array" aca="1" ref="H146" ca="1">CreateID($H$36,$H:$H,$E146&lt;&gt;INDEX($E:$E,ROW()-1))</f>
        <v>7</v>
      </c>
      <c r="I146" s="61" t="str" cm="1">
        <f t="array" aca="1" ref="I146" ca="1">INDIRECT($K146)</f>
        <v>Comment</v>
      </c>
      <c r="K146" s="2" t="str" cm="1">
        <f t="array" aca="1" ref="K146" ca="1">CELL("address",OFFSET(Countermeasures!$A$2,0,ROW()-ROW($K$128)))</f>
        <v>'[2025-07-30_QuBA_libre.xlsx]Countermeasures'!$S$2</v>
      </c>
    </row>
    <row r="147" spans="1:11" x14ac:dyDescent="0.25">
      <c r="A147" s="102" t="str" cm="1">
        <f t="array" aca="1" ref="A147" ca="1">IF(INDEX($H:$H,ROW()-1)&lt;&gt;$H147,$E147,"")</f>
        <v>Documentation</v>
      </c>
      <c r="B147" s="71" t="str" cm="1">
        <f t="array" aca="1" ref="B147" ca="1">IF($K147="","",_xlfn.LET(
_xlpm._fullName,IF($L147="",SUBSTITUTE(SUBSTITUTE(INDIRECT($K147),CHAR(10)," "),"  "," "),$L147),
_xlpm._truncatedName,IF(LEN(_xlpm._fullName)&gt;250,LEFT(_xlpm._fullName,250)&amp;"[…]",_xlpm._fullName),
HYPERLINK("#'"&amp;$E147&amp;"'!"&amp;$F147&amp;$G147,
_xlpm._truncatedName)))</f>
        <v>Target of Evaluation</v>
      </c>
      <c r="C147" s="13" t="s">
        <v>830</v>
      </c>
      <c r="D147" s="13"/>
      <c r="E147" s="61" t="str">
        <f t="shared" ref="E147:E169" ca="1" si="28">IF($K147="","",_xlfn.LET(
_xlpm._in,$K147,
_xlpm._start,FIND("]",_xlpm._in)+1,
SUBSTITUTE(MID(_xlpm._in,_xlpm._start,FIND("!",_xlpm._in)-_xlpm._start),"'","")))</f>
        <v>Documentation</v>
      </c>
      <c r="F147" s="61" t="str">
        <f t="shared" ref="F147:F169" ca="1" si="29">IF($K147="","",_xlfn.LET(
_xlpm._in,SUBSTITUTE($K147,"$","§",1),
_xlpm._start,FIND("§",_xlpm._in)+1,
SUBSTITUTE(MID(_xlpm._in,_xlpm._start,FIND("$",_xlpm._in)-_xlpm._start),"'","")))</f>
        <v>B</v>
      </c>
      <c r="G147" s="61" t="str">
        <f t="shared" ref="G147:G169" ca="1" si="30">IF($K147="","",RIGHT($K147,LEN($K147)-FIND("$",SUBSTITUTE($K147,"$","§",1))))</f>
        <v>2</v>
      </c>
      <c r="H147" s="61" cm="1">
        <f t="array" aca="1" ref="H147" ca="1">CreateID($H$36,$H:$H,$E147&lt;&gt;INDEX($E:$E,ROW()-1))</f>
        <v>8</v>
      </c>
      <c r="I147" s="61" t="str" cm="1">
        <f t="array" aca="1" ref="I147" ca="1">INDIRECT($K147)</f>
        <v>Target of Evaluation</v>
      </c>
      <c r="K147" s="2" t="str" cm="1">
        <f t="array" aca="1" ref="K147" ca="1">CELL("address",Documentation!B2)</f>
        <v>'[2025-07-30_QuBA_libre.xlsx]Documentation'!$B$2</v>
      </c>
    </row>
    <row r="148" spans="1:11" outlineLevel="1" x14ac:dyDescent="0.25">
      <c r="A148" s="23" t="str" cm="1">
        <f t="array" aca="1" ref="A148" ca="1">IF(INDEX($H:$H,ROW()-1)&lt;&gt;$H148,$E148,"")</f>
        <v/>
      </c>
      <c r="B148" s="71" t="str" cm="1">
        <f t="array" aca="1" ref="B148" ca="1">IF($K148="","",_xlfn.LET(
_xlpm._fullName,IF($L148="",SUBSTITUTE(SUBSTITUTE(INDIRECT($K148),CHAR(10)," "),"  "," "),$L148),
_xlpm._truncatedName,IF(LEN(_xlpm._fullName)&gt;250,LEFT(_xlpm._fullName,250)&amp;"[…]",_xlpm._fullName),
HYPERLINK("#'"&amp;$E148&amp;"'!"&amp;$F148&amp;$G148,
_xlpm._truncatedName)))</f>
        <v>Author</v>
      </c>
      <c r="C148" s="13" t="s">
        <v>831</v>
      </c>
      <c r="D148" s="13"/>
      <c r="E148" s="61" t="str">
        <f t="shared" ca="1" si="28"/>
        <v>Documentation</v>
      </c>
      <c r="F148" s="61" t="str">
        <f t="shared" ca="1" si="29"/>
        <v>B</v>
      </c>
      <c r="G148" s="61" t="str">
        <f t="shared" ca="1" si="30"/>
        <v>4</v>
      </c>
      <c r="H148" s="61" cm="1">
        <f t="array" aca="1" ref="H148" ca="1">CreateID($H$36,$H:$H,$E148&lt;&gt;INDEX($E:$E,ROW()-1))</f>
        <v>8</v>
      </c>
      <c r="I148" s="61" t="str" cm="1">
        <f t="array" aca="1" ref="I148" ca="1">INDIRECT($K148)</f>
        <v>Author</v>
      </c>
      <c r="K148" s="2" t="str" cm="1">
        <f t="array" aca="1" ref="K148" ca="1">CELL("address",Documentation!B4)</f>
        <v>'[2025-07-30_QuBA_libre.xlsx]Documentation'!$B$4</v>
      </c>
    </row>
    <row r="149" spans="1:11" outlineLevel="1" x14ac:dyDescent="0.25">
      <c r="A149" s="23" t="str" cm="1">
        <f t="array" aca="1" ref="A149" ca="1">IF(INDEX($H:$H,ROW()-1)&lt;&gt;$H149,$E149,"")</f>
        <v/>
      </c>
      <c r="B149" s="71" t="str" cm="1">
        <f t="array" aca="1" ref="B149" ca="1">IF($K149="","",_xlfn.LET(
_xlpm._fullName,IF($L149="",SUBSTITUTE(SUBSTITUTE(INDIRECT($K149),CHAR(10)," "),"  "," "),$L149),
_xlpm._truncatedName,IF(LEN(_xlpm._fullName)&gt;250,LEFT(_xlpm._fullName,250)&amp;"[…]",_xlpm._fullName),
HYPERLINK("#'"&amp;$E149&amp;"'!"&amp;$F149&amp;$G149,
_xlpm._truncatedName)))</f>
        <v>PM Contact</v>
      </c>
      <c r="C149" s="13" t="s">
        <v>1754</v>
      </c>
      <c r="D149" s="13"/>
      <c r="E149" s="61" t="str">
        <f t="shared" ca="1" si="28"/>
        <v>Documentation</v>
      </c>
      <c r="F149" s="61" t="str">
        <f t="shared" ca="1" si="29"/>
        <v>B</v>
      </c>
      <c r="G149" s="61" t="str">
        <f t="shared" ca="1" si="30"/>
        <v>6</v>
      </c>
      <c r="H149" s="61" cm="1">
        <f t="array" aca="1" ref="H149" ca="1">CreateID($H$36,$H:$H,$E149&lt;&gt;INDEX($E:$E,ROW()-1))</f>
        <v>8</v>
      </c>
      <c r="I149" s="61" t="str" cm="1">
        <f t="array" aca="1" ref="I149" ca="1">INDIRECT($K149)</f>
        <v>PM Contact</v>
      </c>
      <c r="K149" s="2" t="str" cm="1">
        <f t="array" aca="1" ref="K149" ca="1">CELL("address",Documentation!B6)</f>
        <v>'[2025-07-30_QuBA_libre.xlsx]Documentation'!$B$6</v>
      </c>
    </row>
    <row r="150" spans="1:11" outlineLevel="1" x14ac:dyDescent="0.25">
      <c r="A150" s="23" t="str" cm="1">
        <f t="array" aca="1" ref="A150" ca="1">IF(INDEX($H:$H,ROW()-1)&lt;&gt;$H150,$E150,"")</f>
        <v/>
      </c>
      <c r="B150" s="71" t="str" cm="1">
        <f t="array" aca="1" ref="B150" ca="1">IF($K150="","",_xlfn.LET(
_xlpm._fullName,IF($L150="",SUBSTITUTE(SUBSTITUTE(INDIRECT($K150),CHAR(10)," "),"  "," "),$L150),
_xlpm._truncatedName,IF(LEN(_xlpm._fullName)&gt;250,LEFT(_xlpm._fullName,250)&amp;"[…]",_xlpm._fullName),
HYPERLINK("#'"&amp;$E150&amp;"'!"&amp;$F150&amp;$G150,
_xlpm._truncatedName)))</f>
        <v>RD Contact</v>
      </c>
      <c r="C150" s="13" t="s">
        <v>1755</v>
      </c>
      <c r="D150" s="13"/>
      <c r="E150" s="61" t="str">
        <f t="shared" ref="E150:E152" ca="1" si="31">IF($K150="","",_xlfn.LET(
_xlpm._in,$K150,
_xlpm._start,FIND("]",_xlpm._in)+1,
SUBSTITUTE(MID(_xlpm._in,_xlpm._start,FIND("!",_xlpm._in)-_xlpm._start),"'","")))</f>
        <v>Documentation</v>
      </c>
      <c r="F150" s="61" t="str">
        <f t="shared" ref="F150:F152" ca="1" si="32">IF($K150="","",_xlfn.LET(
_xlpm._in,SUBSTITUTE($K150,"$","§",1),
_xlpm._start,FIND("§",_xlpm._in)+1,
SUBSTITUTE(MID(_xlpm._in,_xlpm._start,FIND("$",_xlpm._in)-_xlpm._start),"'","")))</f>
        <v>B</v>
      </c>
      <c r="G150" s="61" t="str">
        <f t="shared" ref="G150:G152" ca="1" si="33">IF($K150="","",RIGHT($K150,LEN($K150)-FIND("$",SUBSTITUTE($K150,"$","§",1))))</f>
        <v>8</v>
      </c>
      <c r="H150" s="61" cm="1">
        <f t="array" aca="1" ref="H150" ca="1">CreateID($H$36,$H:$H,$E150&lt;&gt;INDEX($E:$E,ROW()-1))</f>
        <v>8</v>
      </c>
      <c r="I150" s="61" t="str" cm="1">
        <f t="array" aca="1" ref="I150" ca="1">INDIRECT($K150)</f>
        <v>RD Contact</v>
      </c>
      <c r="K150" s="2" t="str" cm="1">
        <f t="array" aca="1" ref="K150" ca="1">CELL("address",Documentation!B8)</f>
        <v>'[2025-07-30_QuBA_libre.xlsx]Documentation'!$B$8</v>
      </c>
    </row>
    <row r="151" spans="1:11" outlineLevel="1" x14ac:dyDescent="0.25">
      <c r="A151" s="23" t="str" cm="1">
        <f t="array" aca="1" ref="A151" ca="1">IF(INDEX($H:$H,ROW()-1)&lt;&gt;$H151,$E151,"")</f>
        <v/>
      </c>
      <c r="B151" s="71" t="str" cm="1">
        <f t="array" aca="1" ref="B151" ca="1">IF($K151="","",_xlfn.LET(
_xlpm._fullName,IF($L151="",SUBSTITUTE(SUBSTITUTE(INDIRECT($K151),CHAR(10)," "),"  "," "),$L151),
_xlpm._truncatedName,IF(LEN(_xlpm._fullName)&gt;250,LEFT(_xlpm._fullName,250)&amp;"[…]",_xlpm._fullName),
HYPERLINK("#'"&amp;$E151&amp;"'!"&amp;$F151&amp;$G151,
_xlpm._truncatedName)))</f>
        <v>CSS</v>
      </c>
      <c r="C151" s="13" t="s">
        <v>1756</v>
      </c>
      <c r="D151" s="13"/>
      <c r="E151" s="61" t="str">
        <f t="shared" ca="1" si="31"/>
        <v>Documentation</v>
      </c>
      <c r="F151" s="61" t="str">
        <f t="shared" ca="1" si="32"/>
        <v>B</v>
      </c>
      <c r="G151" s="61" t="str">
        <f t="shared" ca="1" si="33"/>
        <v>10</v>
      </c>
      <c r="H151" s="61" cm="1">
        <f t="array" aca="1" ref="H151" ca="1">CreateID($H$36,$H:$H,$E151&lt;&gt;INDEX($E:$E,ROW()-1))</f>
        <v>8</v>
      </c>
      <c r="I151" s="61" t="str" cm="1">
        <f t="array" aca="1" ref="I151" ca="1">INDIRECT($K151)</f>
        <v>CSS</v>
      </c>
      <c r="K151" s="2" t="str" cm="1">
        <f t="array" aca="1" ref="K151" ca="1">CELL("address",Documentation!B10)</f>
        <v>'[2025-07-30_QuBA_libre.xlsx]Documentation'!$B$10</v>
      </c>
    </row>
    <row r="152" spans="1:11" ht="30" outlineLevel="1" x14ac:dyDescent="0.25">
      <c r="A152" s="23" t="str" cm="1">
        <f t="array" aca="1" ref="A152" ca="1">IF(INDEX($H:$H,ROW()-1)&lt;&gt;$H152,$E152,"")</f>
        <v/>
      </c>
      <c r="B152" s="71" t="str" cm="1">
        <f t="array" aca="1" ref="B152" ca="1">IF($K152="","",_xlfn.LET(
_xlpm._fullName,IF($L152="",SUBSTITUTE(SUBSTITUTE(INDIRECT($K152),CHAR(10)," "),"  "," "),$L152),
_xlpm._truncatedName,IF(LEN(_xlpm._fullName)&gt;250,LEFT(_xlpm._fullName,250)&amp;"[…]",_xlpm._fullName),
HYPERLINK("#'"&amp;$E152&amp;"'!"&amp;$F152&amp;$G152,
_xlpm._truncatedName)))</f>
        <v>CSTS</v>
      </c>
      <c r="C152" s="13" t="s">
        <v>1757</v>
      </c>
      <c r="D152" s="13"/>
      <c r="E152" s="61" t="str">
        <f t="shared" ca="1" si="31"/>
        <v>Documentation</v>
      </c>
      <c r="F152" s="61" t="str">
        <f t="shared" ca="1" si="32"/>
        <v>B</v>
      </c>
      <c r="G152" s="61" t="str">
        <f t="shared" ca="1" si="33"/>
        <v>12</v>
      </c>
      <c r="H152" s="61" cm="1">
        <f t="array" aca="1" ref="H152" ca="1">CreateID($H$36,$H:$H,$E152&lt;&gt;INDEX($E:$E,ROW()-1))</f>
        <v>8</v>
      </c>
      <c r="I152" s="61" t="str" cm="1">
        <f t="array" aca="1" ref="I152" ca="1">INDIRECT($K152)</f>
        <v>CSTS</v>
      </c>
      <c r="K152" s="2" t="str" cm="1">
        <f t="array" aca="1" ref="K152" ca="1">CELL("address",Documentation!B12)</f>
        <v>'[2025-07-30_QuBA_libre.xlsx]Documentation'!$B$12</v>
      </c>
    </row>
    <row r="153" spans="1:11" outlineLevel="1" x14ac:dyDescent="0.25">
      <c r="A153" s="23" t="str" cm="1">
        <f t="array" aca="1" ref="A153" ca="1">IF(INDEX($H:$H,ROW()-1)&lt;&gt;$H153,$E153,"")</f>
        <v/>
      </c>
      <c r="B153" s="71" t="str" cm="1">
        <f t="array" aca="1" ref="B153" ca="1">IF($K153="","",_xlfn.LET(
_xlpm._fullName,IF($L153="",SUBSTITUTE(SUBSTITUTE(INDIRECT($K153),CHAR(10)," "),"  "," "),$L153),
_xlpm._truncatedName,IF(LEN(_xlpm._fullName)&gt;250,LEFT(_xlpm._fullName,250)&amp;"[…]",_xlpm._fullName),
HYPERLINK("#'"&amp;$E153&amp;"'!"&amp;$F153&amp;$G153,
_xlpm._truncatedName)))</f>
        <v>Template Release</v>
      </c>
      <c r="C153" s="13" t="s">
        <v>1392</v>
      </c>
      <c r="D153" s="13"/>
      <c r="E153" s="61" t="str">
        <f ca="1">IF($K153="","",_xlfn.LET(
_xlpm._in,$K153,
_xlpm._start,FIND("]",_xlpm._in)+1,
SUBSTITUTE(MID(_xlpm._in,_xlpm._start,FIND("!",_xlpm._in)-_xlpm._start),"'","")))</f>
        <v>Documentation</v>
      </c>
      <c r="F153" s="61" t="str">
        <f ca="1">IF($K153="","",_xlfn.LET(
_xlpm._in,SUBSTITUTE($K153,"$","§",1),
_xlpm._start,FIND("§",_xlpm._in)+1,
SUBSTITUTE(MID(_xlpm._in,_xlpm._start,FIND("$",_xlpm._in)-_xlpm._start),"'","")))</f>
        <v>B</v>
      </c>
      <c r="G153" s="61" t="str">
        <f ca="1">IF($K153="","",RIGHT($K153,LEN($K153)-FIND("$",SUBSTITUTE($K153,"$","§",1))))</f>
        <v>14</v>
      </c>
      <c r="H153" s="61" cm="1">
        <f t="array" aca="1" ref="H153" ca="1">CreateID($H$36,$H:$H,$E153&lt;&gt;INDEX($E:$E,ROW()-1))</f>
        <v>8</v>
      </c>
      <c r="I153" s="61" t="str" cm="1">
        <f t="array" aca="1" ref="I153" ca="1">INDIRECT($K153)</f>
        <v>Template Release</v>
      </c>
      <c r="K153" s="2" t="str" cm="1">
        <f t="array" aca="1" ref="K153" ca="1">CELL("address",Documentation!B14)</f>
        <v>'[2025-07-30_QuBA_libre.xlsx]Documentation'!$B$14</v>
      </c>
    </row>
    <row r="154" spans="1:11" ht="45" outlineLevel="1" x14ac:dyDescent="0.25">
      <c r="A154" s="23" t="str" cm="1">
        <f t="array" aca="1" ref="A154" ca="1">IF(INDEX($H:$H,ROW()-1)&lt;&gt;$H154,$E154,"")</f>
        <v/>
      </c>
      <c r="B154" s="71" t="str" cm="1">
        <f t="array" aca="1" ref="B154" ca="1">IF($K154="","",_xlfn.LET(
_xlpm._fullName,IF($L154="",SUBSTITUTE(SUBSTITUTE(INDIRECT($K154),CHAR(10)," "),"  "," "),$L154),
_xlpm._truncatedName,IF(LEN(_xlpm._fullName)&gt;250,LEFT(_xlpm._fullName,250)&amp;"[…]",_xlpm._fullName),
HYPERLINK("#'"&amp;$E154&amp;"'!"&amp;$F154&amp;$G154,
_xlpm._truncatedName)))</f>
        <v>QuBA Change History</v>
      </c>
      <c r="C154" s="13" t="s">
        <v>832</v>
      </c>
      <c r="D154" s="13" t="s">
        <v>1393</v>
      </c>
      <c r="E154" s="61" t="str">
        <f t="shared" ca="1" si="28"/>
        <v>Documentation</v>
      </c>
      <c r="F154" s="61" t="str">
        <f t="shared" ca="1" si="29"/>
        <v>B</v>
      </c>
      <c r="G154" s="61" t="str">
        <f t="shared" ca="1" si="30"/>
        <v>16</v>
      </c>
      <c r="H154" s="61" cm="1">
        <f t="array" aca="1" ref="H154" ca="1">CreateID($H$36,$H:$H,$E154&lt;&gt;INDEX($E:$E,ROW()-1))</f>
        <v>8</v>
      </c>
      <c r="I154" s="61" t="str" cm="1">
        <f t="array" aca="1" ref="I154" ca="1">INDIRECT($K154)</f>
        <v>QuBA Change History</v>
      </c>
      <c r="K154" s="2" t="str" cm="1">
        <f t="array" aca="1" ref="K154" ca="1">CELL("address",Documentation!B16)</f>
        <v>'[2025-07-30_QuBA_libre.xlsx]Documentation'!$B$16</v>
      </c>
    </row>
    <row r="155" spans="1:11" ht="30" outlineLevel="1" x14ac:dyDescent="0.25">
      <c r="A155" s="23" t="str" cm="1">
        <f t="array" aca="1" ref="A155" ca="1">IF(INDEX($H:$H,ROW()-1)&lt;&gt;$H155,$E155,"")</f>
        <v/>
      </c>
      <c r="B155" s="71" t="str" cm="1">
        <f t="array" aca="1" ref="B155" ca="1">IF($K155="","",_xlfn.LET(
_xlpm._fullName,IF($L155="",SUBSTITUTE(SUBSTITUTE(INDIRECT($K155),CHAR(10)," "),"  "," "),$L155),
_xlpm._truncatedName,IF(LEN(_xlpm._fullName)&gt;250,LEFT(_xlpm._fullName,250)&amp;"[…]",_xlpm._fullName),
HYPERLINK("#'"&amp;$E155&amp;"'!"&amp;$F155&amp;$G155,
_xlpm._truncatedName)))</f>
        <v>Illustration / photos of the product, including component / data flow / sequence diagrams, if available.</v>
      </c>
      <c r="C155" s="13" t="s">
        <v>1709</v>
      </c>
      <c r="D155" s="13"/>
      <c r="E155" s="61" t="str">
        <f ca="1">IF($K155="","",_xlfn.LET(
_xlpm._in,$K155,
_xlpm._start,FIND("]",_xlpm._in)+1,
SUBSTITUTE(MID(_xlpm._in,_xlpm._start,FIND("!",_xlpm._in)-_xlpm._start),"'","")))</f>
        <v>Documentation</v>
      </c>
      <c r="F155" s="61" t="str">
        <f ca="1">IF($K155="","",_xlfn.LET(
_xlpm._in,SUBSTITUTE($K155,"$","§",1),
_xlpm._start,FIND("§",_xlpm._in)+1,
SUBSTITUTE(MID(_xlpm._in,_xlpm._start,FIND("$",_xlpm._in)-_xlpm._start),"'","")))</f>
        <v>B</v>
      </c>
      <c r="G155" s="61" t="str">
        <f ca="1">IF($K155="","",RIGHT($K155,LEN($K155)-FIND("$",SUBSTITUTE($K155,"$","§",1))))</f>
        <v>25</v>
      </c>
      <c r="H155" s="61" cm="1">
        <f t="array" aca="1" ref="H155" ca="1">CreateID($H$36,$H:$H,$E155&lt;&gt;INDEX($E:$E,ROW()-1))</f>
        <v>8</v>
      </c>
      <c r="I155" s="61" t="str" cm="1">
        <f t="array" aca="1" ref="I155" ca="1">INDIRECT($K155)</f>
        <v>Illustration / photos of the product, including component / data flow / sequence diagrams, if available.</v>
      </c>
      <c r="K155" s="2" t="str" cm="1">
        <f t="array" aca="1" ref="K155" ca="1">CELL("address",Documentation!B25)</f>
        <v>'[2025-07-30_QuBA_libre.xlsx]Documentation'!$B$25</v>
      </c>
    </row>
    <row r="156" spans="1:11" ht="394.5" outlineLevel="1" x14ac:dyDescent="0.25">
      <c r="A156" s="23" t="str" cm="1">
        <f t="array" aca="1" ref="A156" ca="1">IF(INDEX($H:$H,ROW()-1)&lt;&gt;$H156,$E156,"")</f>
        <v/>
      </c>
      <c r="B156" s="71" t="str" cm="1">
        <f t="array" aca="1" ref="B156" ca="1">IF($K156="","",_xlfn.LET(
_xlpm._fullName,IF($L156="",SUBSTITUTE(SUBSTITUTE(INDIRECT($K156),CHAR(10)," "),"  "," "),$L156),
_xlpm._truncatedName,IF(LEN(_xlpm._fullName)&gt;250,LEFT(_xlpm._fullName,250)&amp;"[…]",_xlpm._fullName),
HYPERLINK("#'"&amp;$E156&amp;"'!"&amp;$F156&amp;$G156,
_xlpm._truncatedName)))</f>
        <v>Description of the TOE (Target of Evaluation)</v>
      </c>
      <c r="C156" s="13" t="s">
        <v>1328</v>
      </c>
      <c r="D156" s="117" t="s">
        <v>1782</v>
      </c>
      <c r="E156" s="61" t="str">
        <f ca="1">IF($K156="","",_xlfn.LET(
_xlpm._in,$K156,
_xlpm._start,FIND("]",_xlpm._in)+1,
SUBSTITUTE(MID(_xlpm._in,_xlpm._start,FIND("!",_xlpm._in)-_xlpm._start),"'","")))</f>
        <v>Documentation</v>
      </c>
      <c r="F156" s="61" t="str">
        <f ca="1">IF($K156="","",_xlfn.LET(
_xlpm._in,SUBSTITUTE($K156,"$","§",1),
_xlpm._start,FIND("§",_xlpm._in)+1,
SUBSTITUTE(MID(_xlpm._in,_xlpm._start,FIND("$",_xlpm._in)-_xlpm._start),"'","")))</f>
        <v>G</v>
      </c>
      <c r="G156" s="61" t="str">
        <f ca="1">IF($K156="","",RIGHT($K156,LEN($K156)-FIND("$",SUBSTITUTE($K156,"$","§",1))))</f>
        <v>2</v>
      </c>
      <c r="H156" s="61" cm="1">
        <f t="array" aca="1" ref="H156" ca="1">CreateID($H$36,$H:$H,$E156&lt;&gt;INDEX($E:$E,ROW()-1))</f>
        <v>8</v>
      </c>
      <c r="I156" s="61" t="str" cm="1">
        <f t="array" aca="1" ref="I156" ca="1">INDIRECT($K156)</f>
        <v>Description of the TOE (Target of Evaluation)</v>
      </c>
      <c r="K156" s="2" t="str" cm="1">
        <f t="array" aca="1" ref="K156" ca="1">CELL("address",Documentation!G2)</f>
        <v>'[2025-07-30_QuBA_libre.xlsx]Documentation'!$G$2</v>
      </c>
    </row>
    <row r="157" spans="1:11" ht="30" x14ac:dyDescent="0.25">
      <c r="A157" s="102" t="str" cm="1">
        <f t="array" aca="1" ref="A157" ca="1">IF(INDEX($H:$H,ROW()-1)&lt;&gt;$H157,$E157,"")</f>
        <v>Questionnaire</v>
      </c>
      <c r="B157" s="71" t="str" cm="1">
        <f t="array" aca="1" ref="B157" ca="1">IF($K157="","",_xlfn.LET(
_xlpm._fullName,IF($L157="",SUBSTITUTE(SUBSTITUTE(INDIRECT($K157),CHAR(10)," "),"  "," "),$L157),
_xlpm._truncatedName,IF(LEN(_xlpm._fullName)&gt;250,LEFT(_xlpm._fullName,250)&amp;"[…]",_xlpm._fullName),
HYPERLINK("#'"&amp;$E157&amp;"'!"&amp;$F157&amp;$G157,
_xlpm._truncatedName)))</f>
        <v>ID</v>
      </c>
      <c r="C157" s="13" t="s">
        <v>1203</v>
      </c>
      <c r="D157" s="13"/>
      <c r="E157" s="61" t="str">
        <f t="shared" ca="1" si="28"/>
        <v>Questionnaire</v>
      </c>
      <c r="F157" s="61" t="str">
        <f t="shared" ca="1" si="29"/>
        <v>A</v>
      </c>
      <c r="G157" s="61" t="str">
        <f t="shared" ca="1" si="30"/>
        <v>2</v>
      </c>
      <c r="H157" s="61" cm="1">
        <f t="array" aca="1" ref="H157" ca="1">CreateID($H$36,$H:$H,$E157&lt;&gt;INDEX($E:$E,ROW()-1))</f>
        <v>9</v>
      </c>
      <c r="I157" s="61" t="str" cm="1">
        <f t="array" aca="1" ref="I157" ca="1">INDIRECT($K157)</f>
        <v>ID</v>
      </c>
      <c r="K157" s="2" t="str" cm="1">
        <f t="array" aca="1" ref="K157" ca="1">CELL("address",OFFSET(Questionnaire!$A$2,0,ROW()-ROW($K$157)))</f>
        <v>'[2025-07-30_QuBA_libre.xlsx]Questionnaire'!$A$2</v>
      </c>
    </row>
    <row r="158" spans="1:11" ht="75" outlineLevel="1" x14ac:dyDescent="0.25">
      <c r="A158" s="23" t="str" cm="1">
        <f t="array" aca="1" ref="A158" ca="1">IF(INDEX($H:$H,ROW()-1)&lt;&gt;$H158,$E158,"")</f>
        <v/>
      </c>
      <c r="B158" s="71" t="str" cm="1">
        <f t="array" aca="1" ref="B158" ca="1">IF($K158="","",_xlfn.LET(
_xlpm._fullName,IF($L158="",SUBSTITUTE(SUBSTITUTE(INDIRECT($K158),CHAR(10)," "),"  "," "),$L158),
_xlpm._truncatedName,IF(LEN(_xlpm._fullName)&gt;250,LEFT(_xlpm._fullName,250)&amp;"[…]",_xlpm._fullName),
HYPERLINK("#'"&amp;$E158&amp;"'!"&amp;$F158&amp;$G158,
_xlpm._truncatedName)))</f>
        <v>Question</v>
      </c>
      <c r="C158" s="13" t="s">
        <v>1318</v>
      </c>
      <c r="D158" s="13" t="s">
        <v>1319</v>
      </c>
      <c r="E158" s="61" t="str">
        <f t="shared" ca="1" si="28"/>
        <v>Questionnaire</v>
      </c>
      <c r="F158" s="61" t="str">
        <f t="shared" ca="1" si="29"/>
        <v>B</v>
      </c>
      <c r="G158" s="61" t="str">
        <f t="shared" ca="1" si="30"/>
        <v>2</v>
      </c>
      <c r="H158" s="61" cm="1">
        <f t="array" aca="1" ref="H158" ca="1">CreateID($H$36,$H:$H,$E158&lt;&gt;INDEX($E:$E,ROW()-1))</f>
        <v>9</v>
      </c>
      <c r="I158" s="61" t="str" cm="1">
        <f t="array" aca="1" ref="I158" ca="1">INDIRECT($K158)</f>
        <v>Question</v>
      </c>
      <c r="K158" s="2" t="str" cm="1">
        <f t="array" aca="1" ref="K158" ca="1">CELL("address",OFFSET(Questionnaire!$A$2,0,ROW()-ROW($K$157)))</f>
        <v>'[2025-07-30_QuBA_libre.xlsx]Questionnaire'!$B$2</v>
      </c>
    </row>
    <row r="159" spans="1:11" ht="30" outlineLevel="1" x14ac:dyDescent="0.25">
      <c r="A159" s="23" t="str" cm="1">
        <f t="array" aca="1" ref="A159" ca="1">IF(INDEX($H:$H,ROW()-1)&lt;&gt;$H159,$E159,"")</f>
        <v/>
      </c>
      <c r="B159" s="71" t="str" cm="1">
        <f t="array" aca="1" ref="B159" ca="1">IF($K159="","",_xlfn.LET(
_xlpm._fullName,IF($L159="",SUBSTITUTE(SUBSTITUTE(INDIRECT($K159),CHAR(10)," "),"  "," "),$L159),
_xlpm._truncatedName,IF(LEN(_xlpm._fullName)&gt;250,LEFT(_xlpm._fullName,250)&amp;"[…]",_xlpm._fullName),
HYPERLINK("#'"&amp;$E159&amp;"'!"&amp;$F159&amp;$G159,
_xlpm._truncatedName)))</f>
        <v>Answer 1</v>
      </c>
      <c r="C159" s="13" t="s">
        <v>844</v>
      </c>
      <c r="D159" s="13"/>
      <c r="E159" s="61" t="str">
        <f t="shared" ca="1" si="28"/>
        <v>Questionnaire</v>
      </c>
      <c r="F159" s="61" t="str">
        <f t="shared" ca="1" si="29"/>
        <v>C</v>
      </c>
      <c r="G159" s="61" t="str">
        <f t="shared" ca="1" si="30"/>
        <v>2</v>
      </c>
      <c r="H159" s="61" cm="1">
        <f t="array" aca="1" ref="H159" ca="1">CreateID($H$36,$H:$H,$E159&lt;&gt;INDEX($E:$E,ROW()-1))</f>
        <v>9</v>
      </c>
      <c r="I159" s="61" t="str" cm="1">
        <f t="array" aca="1" ref="I159" ca="1">INDIRECT($K159)</f>
        <v>Answer 1</v>
      </c>
      <c r="K159" s="2" t="str" cm="1">
        <f t="array" aca="1" ref="K159" ca="1">CELL("address",OFFSET(Questionnaire!$A$2,0,ROW()-ROW($K$157)))</f>
        <v>'[2025-07-30_QuBA_libre.xlsx]Questionnaire'!$C$2</v>
      </c>
    </row>
    <row r="160" spans="1:11" ht="30" outlineLevel="1" x14ac:dyDescent="0.25">
      <c r="A160" s="23" t="str" cm="1">
        <f t="array" aca="1" ref="A160" ca="1">IF(INDEX($H:$H,ROW()-1)&lt;&gt;$H160,$E160,"")</f>
        <v/>
      </c>
      <c r="B160" s="71" t="str" cm="1">
        <f t="array" aca="1" ref="B160" ca="1">IF($K160="","",_xlfn.LET(
_xlpm._fullName,IF($L160="",SUBSTITUTE(SUBSTITUTE(INDIRECT($K160),CHAR(10)," "),"  "," "),$L160),
_xlpm._truncatedName,IF(LEN(_xlpm._fullName)&gt;250,LEFT(_xlpm._fullName,250)&amp;"[…]",_xlpm._fullName),
HYPERLINK("#'"&amp;$E160&amp;"'!"&amp;$F160&amp;$G160,
_xlpm._truncatedName)))</f>
        <v>Additonal Question</v>
      </c>
      <c r="C160" s="13" t="s">
        <v>837</v>
      </c>
      <c r="D160" s="13"/>
      <c r="E160" s="61" t="str">
        <f t="shared" ca="1" si="28"/>
        <v>Questionnaire</v>
      </c>
      <c r="F160" s="61" t="str">
        <f t="shared" ca="1" si="29"/>
        <v>D</v>
      </c>
      <c r="G160" s="61" t="str">
        <f t="shared" ca="1" si="30"/>
        <v>2</v>
      </c>
      <c r="H160" s="61" cm="1">
        <f t="array" aca="1" ref="H160" ca="1">CreateID($H$36,$H:$H,$E160&lt;&gt;INDEX($E:$E,ROW()-1))</f>
        <v>9</v>
      </c>
      <c r="I160" s="61" t="str" cm="1">
        <f t="array" aca="1" ref="I160" ca="1">INDIRECT($K160)</f>
        <v>Additonal Question</v>
      </c>
      <c r="K160" s="2" t="str" cm="1">
        <f t="array" aca="1" ref="K160" ca="1">CELL("address",OFFSET(Questionnaire!$A$2,0,ROW()-ROW($K$157)))</f>
        <v>'[2025-07-30_QuBA_libre.xlsx]Questionnaire'!$D$2</v>
      </c>
    </row>
    <row r="161" spans="1:11" ht="45" outlineLevel="1" x14ac:dyDescent="0.25">
      <c r="A161" s="23" t="str" cm="1">
        <f t="array" aca="1" ref="A161" ca="1">IF(INDEX($H:$H,ROW()-1)&lt;&gt;$H161,$E161,"")</f>
        <v/>
      </c>
      <c r="B161" s="71" t="str" cm="1">
        <f t="array" aca="1" ref="B161" ca="1">IF($K161="","",_xlfn.LET(
_xlpm._fullName,IF($L161="",SUBSTITUTE(SUBSTITUTE(INDIRECT($K161),CHAR(10)," "),"  "," "),$L161),
_xlpm._truncatedName,IF(LEN(_xlpm._fullName)&gt;250,LEFT(_xlpm._fullName,250)&amp;"[…]",_xlpm._fullName),
HYPERLINK("#'"&amp;$E161&amp;"'!"&amp;$F161&amp;$G161,
_xlpm._truncatedName)))</f>
        <v>Answer 2</v>
      </c>
      <c r="C161" s="13" t="s">
        <v>838</v>
      </c>
      <c r="D161" s="13"/>
      <c r="E161" s="61" t="str">
        <f t="shared" ca="1" si="28"/>
        <v>Questionnaire</v>
      </c>
      <c r="F161" s="61" t="str">
        <f t="shared" ca="1" si="29"/>
        <v>E</v>
      </c>
      <c r="G161" s="61" t="str">
        <f t="shared" ca="1" si="30"/>
        <v>2</v>
      </c>
      <c r="H161" s="61" cm="1">
        <f t="array" aca="1" ref="H161" ca="1">CreateID($H$36,$H:$H,$E161&lt;&gt;INDEX($E:$E,ROW()-1))</f>
        <v>9</v>
      </c>
      <c r="I161" s="61" t="str" cm="1">
        <f t="array" aca="1" ref="I161" ca="1">INDIRECT($K161)</f>
        <v>Answer 2</v>
      </c>
      <c r="K161" s="2" t="str" cm="1">
        <f t="array" aca="1" ref="K161" ca="1">CELL("address",OFFSET(Questionnaire!$A$2,0,ROW()-ROW($K$157)))</f>
        <v>'[2025-07-30_QuBA_libre.xlsx]Questionnaire'!$E$2</v>
      </c>
    </row>
    <row r="162" spans="1:11" ht="75" outlineLevel="1" x14ac:dyDescent="0.25">
      <c r="A162" s="23" t="str" cm="1">
        <f t="array" aca="1" ref="A162" ca="1">IF(INDEX($H:$H,ROW()-1)&lt;&gt;$H162,$E162,"")</f>
        <v/>
      </c>
      <c r="B162" s="71" t="str" cm="1">
        <f t="array" aca="1" ref="B162" ca="1">IF($K162="","",_xlfn.LET(
_xlpm._fullName,IF($L162="",SUBSTITUTE(SUBSTITUTE(INDIRECT($K162),CHAR(10)," "),"  "," "),$L162),
_xlpm._truncatedName,IF(LEN(_xlpm._fullName)&gt;250,LEFT(_xlpm._fullName,250)&amp;"[…]",_xlpm._fullName),
HYPERLINK("#'"&amp;$E162&amp;"'!"&amp;$F162&amp;$G162,
_xlpm._truncatedName)))</f>
        <v>Additional information and instructions</v>
      </c>
      <c r="C162" s="13" t="s">
        <v>839</v>
      </c>
      <c r="D162" s="13"/>
      <c r="E162" s="61" t="str">
        <f t="shared" ca="1" si="28"/>
        <v>Questionnaire</v>
      </c>
      <c r="F162" s="61" t="str">
        <f t="shared" ca="1" si="29"/>
        <v>F</v>
      </c>
      <c r="G162" s="61" t="str">
        <f t="shared" ca="1" si="30"/>
        <v>2</v>
      </c>
      <c r="H162" s="61" cm="1">
        <f t="array" aca="1" ref="H162" ca="1">CreateID($H$36,$H:$H,$E162&lt;&gt;INDEX($E:$E,ROW()-1))</f>
        <v>9</v>
      </c>
      <c r="I162" s="61" t="str" cm="1">
        <f t="array" aca="1" ref="I162" ca="1">INDIRECT($K162)</f>
        <v>Additional information and instructions</v>
      </c>
      <c r="K162" s="2" t="str" cm="1">
        <f t="array" aca="1" ref="K162" ca="1">CELL("address",OFFSET(Questionnaire!$A$2,0,ROW()-ROW($K$157)))</f>
        <v>'[2025-07-30_QuBA_libre.xlsx]Questionnaire'!$F$2</v>
      </c>
    </row>
    <row r="163" spans="1:11" ht="105" outlineLevel="1" x14ac:dyDescent="0.25">
      <c r="A163" s="23" t="str" cm="1">
        <f t="array" aca="1" ref="A163" ca="1">IF(INDEX($H:$H,ROW()-1)&lt;&gt;$H163,$E163,"")</f>
        <v/>
      </c>
      <c r="B163" s="71" t="str" cm="1">
        <f t="array" aca="1" ref="B163" ca="1">IF($K163="","",_xlfn.LET(
_xlpm._fullName,IF($L163="",SUBSTITUTE(SUBSTITUTE(INDIRECT($K163),CHAR(10)," "),"  "," "),$L163),
_xlpm._truncatedName,IF(LEN(_xlpm._fullName)&gt;250,LEFT(_xlpm._fullName,250)&amp;"[…]",_xlpm._fullName),
HYPERLINK("#'"&amp;$E163&amp;"'!"&amp;$F163&amp;$G163,
_xlpm._truncatedName)))</f>
        <v>Rationale / provide details on the processed data</v>
      </c>
      <c r="C163" s="13" t="s">
        <v>1320</v>
      </c>
      <c r="D163" s="13" t="s">
        <v>1321</v>
      </c>
      <c r="E163" s="61" t="str">
        <f t="shared" ca="1" si="28"/>
        <v>Questionnaire</v>
      </c>
      <c r="F163" s="61" t="str">
        <f t="shared" ca="1" si="29"/>
        <v>G</v>
      </c>
      <c r="G163" s="61" t="str">
        <f t="shared" ca="1" si="30"/>
        <v>3</v>
      </c>
      <c r="H163" s="61" cm="1">
        <f t="array" aca="1" ref="H163" ca="1">CreateID($H$36,$H:$H,$E163&lt;&gt;INDEX($E:$E,ROW()-1))</f>
        <v>9</v>
      </c>
      <c r="I163" s="61" t="str" cm="1">
        <f t="array" aca="1" ref="I163" ca="1">INDIRECT($K163)</f>
        <v>Rationale / provide details on the processed data</v>
      </c>
      <c r="K163" s="2" t="str" cm="1">
        <f t="array" aca="1" ref="K163" ca="1">CELL("address",OFFSET(Questionnaire!$A$3,0,ROW()-ROW($K$157)))</f>
        <v>'[2025-07-30_QuBA_libre.xlsx]Questionnaire'!$G$3</v>
      </c>
    </row>
    <row r="164" spans="1:11" ht="30" x14ac:dyDescent="0.25">
      <c r="A164" s="23" t="str" cm="1">
        <f t="array" aca="1" ref="A164" ca="1">IF(INDEX($H:$H,ROW()-1)&lt;&gt;$H164,$E164,"")</f>
        <v>DS Overview</v>
      </c>
      <c r="B164" s="71" t="str" cm="1">
        <f t="array" aca="1" ref="B164" ca="1">IF($K164="","",_xlfn.LET(
_xlpm._fullName,IF($L164="",SUBSTITUTE(SUBSTITUTE(INDIRECT($K164),CHAR(10)," "),"  "," "),$L164),
_xlpm._truncatedName,IF(LEN(_xlpm._fullName)&gt;250,LEFT(_xlpm._fullName,250)&amp;"[…]",_xlpm._fullName),
HYPERLINK("#'"&amp;$E164&amp;"'!"&amp;$F164&amp;$G164,
_xlpm._truncatedName)))</f>
        <v>ID</v>
      </c>
      <c r="C164" s="13" t="s">
        <v>850</v>
      </c>
      <c r="D164" s="13"/>
      <c r="E164" s="61" t="str">
        <f t="shared" ca="1" si="28"/>
        <v>DS Overview</v>
      </c>
      <c r="F164" s="61" t="str">
        <f t="shared" ca="1" si="29"/>
        <v>A</v>
      </c>
      <c r="G164" s="61" t="str">
        <f t="shared" ca="1" si="30"/>
        <v>2</v>
      </c>
      <c r="H164" s="61" cm="1">
        <f t="array" aca="1" ref="H164" ca="1">CreateID($H$36,$H:$H,$E164&lt;&gt;INDEX($E:$E,ROW()-1))</f>
        <v>10</v>
      </c>
      <c r="I164" s="61" t="str" cm="1">
        <f t="array" aca="1" ref="I164" ca="1">INDIRECT($K164)</f>
        <v>ID</v>
      </c>
      <c r="K164" s="2" t="str" cm="1">
        <f t="array" aca="1" ref="K164" ca="1">CELL("address",OFFSET('DS Overview'!$A$2,0,ROW()-ROW($K$164)))</f>
        <v>'[2025-07-30_QuBA_libre.xlsx]DS Overview'!$A$2</v>
      </c>
    </row>
    <row r="165" spans="1:11" outlineLevel="1" x14ac:dyDescent="0.25">
      <c r="A165" s="23" t="str" cm="1">
        <f t="array" aca="1" ref="A165" ca="1">IF(INDEX($H:$H,ROW()-1)&lt;&gt;$H165,$E165,"")</f>
        <v/>
      </c>
      <c r="B165" s="71" t="str" cm="1">
        <f t="array" aca="1" ref="B165" ca="1">IF($K165="","",_xlfn.LET(
_xlpm._fullName,IF($L165="",SUBSTITUTE(SUBSTITUTE(INDIRECT($K165),CHAR(10)," "),"  "," "),$L165),
_xlpm._truncatedName,IF(LEN(_xlpm._fullName)&gt;250,LEFT(_xlpm._fullName,250)&amp;"[…]",_xlpm._fullName),
HYPERLINK("#'"&amp;$E165&amp;"'!"&amp;$F165&amp;$G165,
_xlpm._truncatedName)))</f>
        <v>Damage Scenario</v>
      </c>
      <c r="C165" s="13" t="s">
        <v>849</v>
      </c>
      <c r="D165" s="13"/>
      <c r="E165" s="61" t="str">
        <f t="shared" ca="1" si="28"/>
        <v>DS Overview</v>
      </c>
      <c r="F165" s="61" t="str">
        <f t="shared" ca="1" si="29"/>
        <v>B</v>
      </c>
      <c r="G165" s="61" t="str">
        <f t="shared" ca="1" si="30"/>
        <v>2</v>
      </c>
      <c r="H165" s="61" cm="1">
        <f t="array" aca="1" ref="H165" ca="1">CreateID($H$36,$H:$H,$E165&lt;&gt;INDEX($E:$E,ROW()-1))</f>
        <v>10</v>
      </c>
      <c r="I165" s="61" t="str" cm="1">
        <f t="array" aca="1" ref="I165" ca="1">INDIRECT($K165)</f>
        <v>Damage Scenario</v>
      </c>
      <c r="K165" s="2" t="str" cm="1">
        <f t="array" aca="1" ref="K165" ca="1">CELL("address",OFFSET('DS Overview'!$A$2,0,ROW()-ROW($K$164)))</f>
        <v>'[2025-07-30_QuBA_libre.xlsx]DS Overview'!$B$2</v>
      </c>
    </row>
    <row r="166" spans="1:11" ht="45" outlineLevel="1" x14ac:dyDescent="0.25">
      <c r="A166" s="23" t="str" cm="1">
        <f t="array" aca="1" ref="A166" ca="1">IF(INDEX($H:$H,ROW()-1)&lt;&gt;$H166,$E166,"")</f>
        <v/>
      </c>
      <c r="B166" s="71" t="str" cm="1">
        <f t="array" aca="1" ref="B166" ca="1">IF($K166="","",_xlfn.LET(
_xlpm._fullName,IF($L166="",SUBSTITUTE(SUBSTITUTE(INDIRECT($K166),CHAR(10)," "),"  "," "),$L166),
_xlpm._truncatedName,IF(LEN(_xlpm._fullName)&gt;250,LEFT(_xlpm._fullName,250)&amp;"[…]",_xlpm._fullName),
HYPERLINK("#'"&amp;$E166&amp;"'!"&amp;$F166&amp;$G166,
_xlpm._truncatedName)))</f>
        <v>Damage Level</v>
      </c>
      <c r="C166" s="13" t="s">
        <v>851</v>
      </c>
      <c r="D166" s="13"/>
      <c r="E166" s="61" t="str">
        <f t="shared" ca="1" si="28"/>
        <v>DS Overview</v>
      </c>
      <c r="F166" s="61" t="str">
        <f t="shared" ca="1" si="29"/>
        <v>C</v>
      </c>
      <c r="G166" s="61" t="str">
        <f t="shared" ca="1" si="30"/>
        <v>2</v>
      </c>
      <c r="H166" s="61" cm="1">
        <f t="array" aca="1" ref="H166" ca="1">CreateID($H$36,$H:$H,$E166&lt;&gt;INDEX($E:$E,ROW()-1))</f>
        <v>10</v>
      </c>
      <c r="I166" s="61" t="str" cm="1">
        <f t="array" aca="1" ref="I166" ca="1">INDIRECT($K166)</f>
        <v>Damage Level</v>
      </c>
      <c r="K166" s="2" t="str" cm="1">
        <f t="array" aca="1" ref="K166" ca="1">CELL("address",OFFSET('DS Overview'!$A$2,0,ROW()-ROW($K$164)))</f>
        <v>'[2025-07-30_QuBA_libre.xlsx]DS Overview'!$C$2</v>
      </c>
    </row>
    <row r="167" spans="1:11" ht="30" outlineLevel="1" x14ac:dyDescent="0.25">
      <c r="A167" s="23" t="str" cm="1">
        <f t="array" aca="1" ref="A167" ca="1">IF(INDEX($H:$H,ROW()-1)&lt;&gt;$H167,$E167,"")</f>
        <v/>
      </c>
      <c r="B167" s="71" t="str" cm="1">
        <f t="array" aca="1" ref="B167" ca="1">IF($K167="","",_xlfn.LET(
_xlpm._fullName,IF($L167="",SUBSTITUTE(SUBSTITUTE(INDIRECT($K167),CHAR(10)," "),"  "," "),$L167),
_xlpm._truncatedName,IF(LEN(_xlpm._fullName)&gt;250,LEFT(_xlpm._fullName,250)&amp;"[…]",_xlpm._fullName),
HYPERLINK("#'"&amp;$E167&amp;"'!"&amp;$F167&amp;$G167,
_xlpm._truncatedName)))</f>
        <v>Related Questions and Answers / Explanation</v>
      </c>
      <c r="C167" s="13" t="s">
        <v>852</v>
      </c>
      <c r="D167" s="13"/>
      <c r="E167" s="61" t="str">
        <f t="shared" ca="1" si="28"/>
        <v>DS Overview</v>
      </c>
      <c r="F167" s="61" t="str">
        <f t="shared" ca="1" si="29"/>
        <v>D</v>
      </c>
      <c r="G167" s="61" t="str">
        <f t="shared" ca="1" si="30"/>
        <v>2</v>
      </c>
      <c r="H167" s="61" cm="1">
        <f t="array" aca="1" ref="H167" ca="1">CreateID($H$36,$H:$H,$E167&lt;&gt;INDEX($E:$E,ROW()-1))</f>
        <v>10</v>
      </c>
      <c r="I167" s="61" t="str" cm="1">
        <f t="array" aca="1" ref="I167" ca="1">INDIRECT($K167)</f>
        <v>Related Questions and Answers / Explanation</v>
      </c>
      <c r="K167" s="2" t="str" cm="1">
        <f t="array" aca="1" ref="K167" ca="1">CELL("address",OFFSET('DS Overview'!$A$2,0,ROW()-ROW($K$164)))</f>
        <v>'[2025-07-30_QuBA_libre.xlsx]DS Overview'!$D$2</v>
      </c>
    </row>
    <row r="168" spans="1:11" ht="30" x14ac:dyDescent="0.25">
      <c r="A168" s="23" t="str" cm="1">
        <f t="array" aca="1" ref="A168" ca="1">IF(INDEX($H:$H,ROW()-1)&lt;&gt;$H168,$E168,"")</f>
        <v>Risks</v>
      </c>
      <c r="B168" s="71" t="str" cm="1">
        <f t="array" aca="1" ref="B168" ca="1">IF($K168="","",_xlfn.LET(
_xlpm._fullName,IF($L168="",SUBSTITUTE(SUBSTITUTE(INDIRECT($K168),CHAR(10)," "),"  "," "),$L168),
_xlpm._truncatedName,IF(LEN(_xlpm._fullName)&gt;250,LEFT(_xlpm._fullName,250)&amp;"[…]",_xlpm._fullName),
HYPERLINK("#'"&amp;$E168&amp;"'!"&amp;$F168&amp;$G168,
_xlpm._truncatedName)))</f>
        <v>R ID</v>
      </c>
      <c r="C168" s="13" t="s">
        <v>853</v>
      </c>
      <c r="D168" s="13"/>
      <c r="E168" s="61" t="str">
        <f t="shared" ca="1" si="28"/>
        <v>Risks</v>
      </c>
      <c r="F168" s="61" t="str">
        <f t="shared" ca="1" si="29"/>
        <v>A</v>
      </c>
      <c r="G168" s="61" t="str">
        <f t="shared" ca="1" si="30"/>
        <v>2</v>
      </c>
      <c r="H168" s="61" cm="1">
        <f t="array" aca="1" ref="H168" ca="1">CreateID($H$36,$H:$H,$E168&lt;&gt;INDEX($E:$E,ROW()-1))</f>
        <v>11</v>
      </c>
      <c r="I168" s="61" t="str" cm="1">
        <f t="array" aca="1" ref="I168" ca="1">INDIRECT($K168)</f>
        <v>R ID</v>
      </c>
      <c r="K168" s="2" t="str" cm="1">
        <f t="array" aca="1" ref="K168" ca="1">CELL("address",OFFSET(Risks!$A$2,0,ROW()-ROW($K$168)))</f>
        <v>'[2025-07-30_QuBA_libre.xlsx]Risks'!$A$2</v>
      </c>
    </row>
    <row r="169" spans="1:11" ht="30" outlineLevel="1" x14ac:dyDescent="0.25">
      <c r="A169" s="23" t="str" cm="1">
        <f t="array" aca="1" ref="A169" ca="1">IF(INDEX($H:$H,ROW()-1)&lt;&gt;$H169,$E169,"")</f>
        <v/>
      </c>
      <c r="B169" s="71" t="str" cm="1">
        <f t="array" aca="1" ref="B169" ca="1">IF($K169="","",_xlfn.LET(
_xlpm._fullName,IF($L169="",SUBSTITUTE(SUBSTITUTE(INDIRECT($K169),CHAR(10)," "),"  "," "),$L169),
_xlpm._truncatedName,IF(LEN(_xlpm._fullName)&gt;250,LEFT(_xlpm._fullName,250)&amp;"[…]",_xlpm._fullName),
HYPERLINK("#'"&amp;$E169&amp;"'!"&amp;$F169&amp;$G169,
_xlpm._truncatedName)))</f>
        <v>Attack Path</v>
      </c>
      <c r="C169" s="13" t="s">
        <v>854</v>
      </c>
      <c r="D169" s="13"/>
      <c r="E169" s="61" t="str">
        <f t="shared" ca="1" si="28"/>
        <v>Risks</v>
      </c>
      <c r="F169" s="61" t="str">
        <f t="shared" ca="1" si="29"/>
        <v>B</v>
      </c>
      <c r="G169" s="61" t="str">
        <f t="shared" ca="1" si="30"/>
        <v>2</v>
      </c>
      <c r="H169" s="61" cm="1">
        <f t="array" aca="1" ref="H169" ca="1">CreateID($H$36,$H:$H,$E169&lt;&gt;INDEX($E:$E,ROW()-1))</f>
        <v>11</v>
      </c>
      <c r="I169" s="61" t="str" cm="1">
        <f t="array" aca="1" ref="I169" ca="1">INDIRECT($K169)</f>
        <v>Attack Path</v>
      </c>
      <c r="K169" s="2" t="str" cm="1">
        <f t="array" aca="1" ref="K169" ca="1">CELL("address",OFFSET(Risks!$A$2,0,ROW()-ROW($K$168)))</f>
        <v>'[2025-07-30_QuBA_libre.xlsx]Risks'!$B$2</v>
      </c>
    </row>
    <row r="170" spans="1:11" ht="30" outlineLevel="1" x14ac:dyDescent="0.25">
      <c r="A170" s="23" t="str" cm="1">
        <f t="array" aca="1" ref="A170" ca="1">IF(INDEX($H:$H,ROW()-1)&lt;&gt;$H170,$E170,"")</f>
        <v/>
      </c>
      <c r="B170" s="71" t="str" cm="1">
        <f t="array" aca="1" ref="B170" ca="1">IF($K170="","",_xlfn.LET(
_xlpm._fullName,IF($L170="",SUBSTITUTE(SUBSTITUTE(INDIRECT($K170),CHAR(10)," "),"  "," "),$L170),
_xlpm._truncatedName,IF(LEN(_xlpm._fullName)&gt;250,LEFT(_xlpm._fullName,250)&amp;"[…]",_xlpm._fullName),
HYPERLINK("#'"&amp;$E170&amp;"'!"&amp;$F170&amp;$G170,
_xlpm._truncatedName)))</f>
        <v>Damage Scenarios</v>
      </c>
      <c r="C170" s="13" t="s">
        <v>855</v>
      </c>
      <c r="D170" s="13"/>
      <c r="E170" s="61" t="str">
        <f ca="1">IF($K170="","",_xlfn.LET(
_xlpm._in,$K170,
_xlpm._start,FIND("]",_xlpm._in)+1,
SUBSTITUTE(MID(_xlpm._in,_xlpm._start,FIND("!",_xlpm._in)-_xlpm._start),"'","")))</f>
        <v>Risks</v>
      </c>
      <c r="F170" s="61" t="str">
        <f ca="1">IF($K170="","",_xlfn.LET(
_xlpm._in,SUBSTITUTE($K170,"$","§",1),
_xlpm._start,FIND("§",_xlpm._in)+1,
SUBSTITUTE(MID(_xlpm._in,_xlpm._start,FIND("$",_xlpm._in)-_xlpm._start),"'","")))</f>
        <v>C</v>
      </c>
      <c r="G170" s="61" t="str">
        <f ca="1">IF($K170="","",RIGHT($K170,LEN($K170)-FIND("$",SUBSTITUTE($K170,"$","§",1))))</f>
        <v>2</v>
      </c>
      <c r="H170" s="61" cm="1">
        <f t="array" aca="1" ref="H170" ca="1">CreateID($H$36,$H:$H,$E170&lt;&gt;INDEX($E:$E,ROW()-1))</f>
        <v>11</v>
      </c>
      <c r="I170" s="61" t="str" cm="1">
        <f t="array" aca="1" ref="I170" ca="1">INDIRECT($K170)</f>
        <v>Damage Scenarios</v>
      </c>
      <c r="K170" s="2" t="str" cm="1">
        <f t="array" aca="1" ref="K170" ca="1">CELL("address",OFFSET(Risks!$A$2,0,ROW()-ROW($K$168)))</f>
        <v>'[2025-07-30_QuBA_libre.xlsx]Risks'!$C$2</v>
      </c>
    </row>
    <row r="171" spans="1:11" outlineLevel="1" x14ac:dyDescent="0.25">
      <c r="A171" s="23" t="str" cm="1">
        <f t="array" aca="1" ref="A171" ca="1">IF(INDEX($H:$H,ROW()-1)&lt;&gt;$H171,$E171,"")</f>
        <v/>
      </c>
      <c r="B171" s="71" t="str" cm="1">
        <f t="array" aca="1" ref="B171" ca="1">IF($K171="","",_xlfn.LET(
_xlpm._fullName,IF($L171="",SUBSTITUTE(SUBSTITUTE(INDIRECT($K171),CHAR(10)," "),"  "," "),$L171),
_xlpm._truncatedName,IF(LEN(_xlpm._fullName)&gt;250,LEFT(_xlpm._fullName,250)&amp;"[…]",_xlpm._fullName),
HYPERLINK("#'"&amp;$E171&amp;"'!"&amp;$F171&amp;$G171,
_xlpm._truncatedName)))</f>
        <v>Damage Level</v>
      </c>
      <c r="C171" s="13" t="s">
        <v>856</v>
      </c>
      <c r="D171" s="13"/>
      <c r="E171" s="61" t="str">
        <f ca="1">IF($K171="","",_xlfn.LET(
_xlpm._in,$K171,
_xlpm._start,FIND("]",_xlpm._in)+1,
SUBSTITUTE(MID(_xlpm._in,_xlpm._start,FIND("!",_xlpm._in)-_xlpm._start),"'","")))</f>
        <v>Risks</v>
      </c>
      <c r="F171" s="61" t="str">
        <f ca="1">IF($K171="","",_xlfn.LET(
_xlpm._in,SUBSTITUTE($K171,"$","§",1),
_xlpm._start,FIND("§",_xlpm._in)+1,
SUBSTITUTE(MID(_xlpm._in,_xlpm._start,FIND("$",_xlpm._in)-_xlpm._start),"'","")))</f>
        <v>D</v>
      </c>
      <c r="G171" s="61" t="str">
        <f ca="1">IF($K171="","",RIGHT($K171,LEN($K171)-FIND("$",SUBSTITUTE($K171,"$","§",1))))</f>
        <v>2</v>
      </c>
      <c r="H171" s="61" cm="1">
        <f t="array" aca="1" ref="H171" ca="1">CreateID($H$36,$H:$H,$E171&lt;&gt;INDEX($E:$E,ROW()-1))</f>
        <v>11</v>
      </c>
      <c r="I171" s="61" t="str" cm="1">
        <f t="array" aca="1" ref="I171" ca="1">INDIRECT($K171)</f>
        <v>Damage Level</v>
      </c>
      <c r="K171" s="2" t="str" cm="1">
        <f t="array" aca="1" ref="K171" ca="1">CELL("address",OFFSET(Risks!$A$2,0,ROW()-ROW($K$168)))</f>
        <v>'[2025-07-30_QuBA_libre.xlsx]Risks'!$D$2</v>
      </c>
    </row>
    <row r="172" spans="1:11" ht="45" outlineLevel="1" x14ac:dyDescent="0.25">
      <c r="A172" s="23" t="str" cm="1">
        <f t="array" aca="1" ref="A172" ca="1">IF(INDEX($H:$H,ROW()-1)&lt;&gt;$H172,$E172,"")</f>
        <v/>
      </c>
      <c r="B172" s="71" t="str" cm="1">
        <f t="array" aca="1" ref="B172" ca="1">IF($K172="","",_xlfn.LET(
_xlpm._fullName,IF($L172="",SUBSTITUTE(SUBSTITUTE(INDIRECT($K172),CHAR(10)," "),"  "," "),$L172),
_xlpm._truncatedName,IF(LEN(_xlpm._fullName)&gt;250,LEFT(_xlpm._fullName,250)&amp;"[…]",_xlpm._fullName),
HYPERLINK("#'"&amp;$E172&amp;"'!"&amp;$F172&amp;$G172,
_xlpm._truncatedName)))</f>
        <v xml:space="preserve">Factor Explanation </v>
      </c>
      <c r="C172" s="13" t="s">
        <v>870</v>
      </c>
      <c r="D172" s="13"/>
      <c r="E172" s="61" t="str">
        <f ca="1">IF($K172="","",_xlfn.LET(
_xlpm._in,$K172,
_xlpm._start,FIND("]",_xlpm._in)+1,
SUBSTITUTE(MID(_xlpm._in,_xlpm._start,FIND("!",_xlpm._in)-_xlpm._start),"'","")))</f>
        <v>Risks</v>
      </c>
      <c r="F172" s="61" t="str">
        <f ca="1">IF($K172="","",_xlfn.LET(
_xlpm._in,SUBSTITUTE($K172,"$","§",1),
_xlpm._start,FIND("§",_xlpm._in)+1,
SUBSTITUTE(MID(_xlpm._in,_xlpm._start,FIND("$",_xlpm._in)-_xlpm._start),"'","")))</f>
        <v>E</v>
      </c>
      <c r="G172" s="61" t="str">
        <f ca="1">IF($K172="","",RIGHT($K172,LEN($K172)-FIND("$",SUBSTITUTE($K172,"$","§",1))))</f>
        <v>2</v>
      </c>
      <c r="H172" s="61" cm="1">
        <f t="array" aca="1" ref="H172" ca="1">CreateID($H$36,$H:$H,$E172&lt;&gt;INDEX($E:$E,ROW()-1))</f>
        <v>11</v>
      </c>
      <c r="I172" s="61" t="str" cm="1">
        <f t="array" aca="1" ref="I172" ca="1">INDIRECT($K172)</f>
        <v xml:space="preserve">Factor Explanation </v>
      </c>
      <c r="K172" s="2" t="str" cm="1">
        <f t="array" aca="1" ref="K172" ca="1">CELL("address",OFFSET(Risks!$A$2,0,ROW()-ROW($K$168)))</f>
        <v>'[2025-07-30_QuBA_libre.xlsx]Risks'!$E$2</v>
      </c>
    </row>
    <row r="173" spans="1:11" ht="45" outlineLevel="1" x14ac:dyDescent="0.25">
      <c r="A173" s="23" t="str" cm="1">
        <f t="array" aca="1" ref="A173" ca="1">IF(INDEX($H:$H,ROW()-1)&lt;&gt;$H173,$E173,"")</f>
        <v/>
      </c>
      <c r="B173" s="71" t="str" cm="1">
        <f t="array" aca="1" ref="B173" ca="1">IF($K173="","",_xlfn.LET(
_xlpm._fullName,IF($L173="",SUBSTITUTE(SUBSTITUTE(INDIRECT($K173),CHAR(10)," "),"  "," "),$L173),
_xlpm._truncatedName,IF(LEN(_xlpm._fullName)&gt;250,LEFT(_xlpm._fullName,250)&amp;"[…]",_xlpm._fullName),
HYPERLINK("#'"&amp;$E173&amp;"'!"&amp;$F173&amp;$G173,
_xlpm._truncatedName)))</f>
        <v>RAP</v>
      </c>
      <c r="C173" s="13" t="s">
        <v>857</v>
      </c>
      <c r="D173" s="13"/>
      <c r="E173" s="61" t="str">
        <f ca="1">IF($K173="","",_xlfn.LET(
_xlpm._in,$K173,
_xlpm._start,FIND("]",_xlpm._in)+1,
SUBSTITUTE(MID(_xlpm._in,_xlpm._start,FIND("!",_xlpm._in)-_xlpm._start),"'","")))</f>
        <v>Risks</v>
      </c>
      <c r="F173" s="61" t="str">
        <f ca="1">IF($K173="","",_xlfn.LET(
_xlpm._in,SUBSTITUTE($K173,"$","§",1),
_xlpm._start,FIND("§",_xlpm._in)+1,
SUBSTITUTE(MID(_xlpm._in,_xlpm._start,FIND("$",_xlpm._in)-_xlpm._start),"'","")))</f>
        <v>F</v>
      </c>
      <c r="G173" s="61" t="str">
        <f ca="1">IF($K173="","",RIGHT($K173,LEN($K173)-FIND("$",SUBSTITUTE($K173,"$","§",1))))</f>
        <v>2</v>
      </c>
      <c r="H173" s="61" cm="1">
        <f t="array" aca="1" ref="H173" ca="1">CreateID($H$36,$H:$H,$E173&lt;&gt;INDEX($E:$E,ROW()-1))</f>
        <v>11</v>
      </c>
      <c r="I173" s="61" t="str" cm="1">
        <f t="array" aca="1" ref="I173" ca="1">INDIRECT($K173)</f>
        <v>RAP</v>
      </c>
      <c r="K173" s="2" t="str" cm="1">
        <f t="array" aca="1" ref="K173" ca="1">CELL("address",OFFSET(Risks!$A$2,0,ROW()-ROW($K$168)))</f>
        <v>'[2025-07-30_QuBA_libre.xlsx]Risks'!$F$2</v>
      </c>
    </row>
    <row r="174" spans="1:11" ht="30" outlineLevel="1" x14ac:dyDescent="0.25">
      <c r="A174" s="23" t="str" cm="1">
        <f t="array" aca="1" ref="A174" ca="1">IF(INDEX($H:$H,ROW()-1)&lt;&gt;$H174,$E174,"")</f>
        <v/>
      </c>
      <c r="B174" s="71" t="str" cm="1">
        <f t="array" aca="1" ref="B174" ca="1">IF($K174="","",_xlfn.LET(
_xlpm._fullName,IF($L174="",SUBSTITUTE(SUBSTITUTE(INDIRECT($K174),CHAR(10)," "),"  "," "),$L174),
_xlpm._truncatedName,IF(LEN(_xlpm._fullName)&gt;250,LEFT(_xlpm._fullName,250)&amp;"[…]",_xlpm._fullName),
HYPERLINK("#'"&amp;$E174&amp;"'!"&amp;$F174&amp;$G174,
_xlpm._truncatedName)))</f>
        <v>Risk Level</v>
      </c>
      <c r="C174" s="13" t="s">
        <v>880</v>
      </c>
      <c r="D174" s="13"/>
      <c r="E174" s="61" t="str">
        <f ca="1">IF($K174="","",_xlfn.LET(
_xlpm._in,$K174,
_xlpm._start,FIND("]",_xlpm._in)+1,
SUBSTITUTE(MID(_xlpm._in,_xlpm._start,FIND("!",_xlpm._in)-_xlpm._start),"'","")))</f>
        <v>Risks</v>
      </c>
      <c r="F174" s="61" t="str">
        <f ca="1">IF($K174="","",_xlfn.LET(
_xlpm._in,SUBSTITUTE($K174,"$","§",1),
_xlpm._start,FIND("§",_xlpm._in)+1,
SUBSTITUTE(MID(_xlpm._in,_xlpm._start,FIND("$",_xlpm._in)-_xlpm._start),"'","")))</f>
        <v>G</v>
      </c>
      <c r="G174" s="61" t="str">
        <f ca="1">IF($K174="","",RIGHT($K174,LEN($K174)-FIND("$",SUBSTITUTE($K174,"$","§",1))))</f>
        <v>2</v>
      </c>
      <c r="H174" s="61" cm="1">
        <f t="array" aca="1" ref="H174" ca="1">CreateID($H$36,$H:$H,$E174&lt;&gt;INDEX($E:$E,ROW()-1))</f>
        <v>11</v>
      </c>
      <c r="I174" s="61" t="str" cm="1">
        <f t="array" aca="1" ref="I174" ca="1">INDIRECT($K174)</f>
        <v>Risk Level</v>
      </c>
      <c r="K174" s="2" t="str" cm="1">
        <f t="array" aca="1" ref="K174" ca="1">CELL("address",OFFSET(Risks!$A$2,0,ROW()-ROW($K$168)))</f>
        <v>'[2025-07-30_QuBA_libre.xlsx]Risks'!$G$2</v>
      </c>
    </row>
    <row r="175" spans="1:11" ht="30" x14ac:dyDescent="0.25">
      <c r="A175" s="102" t="str" cm="1">
        <f t="array" aca="1" ref="A175" ca="1">IF(INDEX($H:$H,ROW()-1)&lt;&gt;$H175,$E175,"")</f>
        <v>Mitigation</v>
      </c>
      <c r="B175" s="71" t="str" cm="1">
        <f t="array" aca="1" ref="B175" ca="1">IF($K175="","",_xlfn.LET(
_xlpm._fullName,IF($L175="",SUBSTITUTE(SUBSTITUTE(INDIRECT($K175),CHAR(10)," "),"  "," "),$L175),
_xlpm._truncatedName,IF(LEN(_xlpm._fullName)&gt;250,LEFT(_xlpm._fullName,250)&amp;"[…]",_xlpm._fullName),
HYPERLINK("#'"&amp;$E175&amp;"'!"&amp;$F175&amp;$G175,
_xlpm._truncatedName)))</f>
        <v>AS ID</v>
      </c>
      <c r="C175" s="13" t="s">
        <v>858</v>
      </c>
      <c r="D175" s="13"/>
      <c r="E175" s="61" t="str">
        <f t="shared" ref="E175:E189" ca="1" si="34">IF($K175="","",_xlfn.LET(
_xlpm._in,$K175,
_xlpm._start,FIND("]",_xlpm._in)+1,
SUBSTITUTE(MID(_xlpm._in,_xlpm._start,FIND("!",_xlpm._in)-_xlpm._start),"'","")))</f>
        <v>Mitigation</v>
      </c>
      <c r="F175" s="61" t="str">
        <f t="shared" ref="F175:F189" ca="1" si="35">IF($K175="","",_xlfn.LET(
_xlpm._in,SUBSTITUTE($K175,"$","§",1),
_xlpm._start,FIND("§",_xlpm._in)+1,
SUBSTITUTE(MID(_xlpm._in,_xlpm._start,FIND("$",_xlpm._in)-_xlpm._start),"'","")))</f>
        <v>A</v>
      </c>
      <c r="G175" s="61" t="str">
        <f t="shared" ref="G175:G189" ca="1" si="36">IF($K175="","",RIGHT($K175,LEN($K175)-FIND("$",SUBSTITUTE($K175,"$","§",1))))</f>
        <v>2</v>
      </c>
      <c r="H175" s="61" cm="1">
        <f t="array" aca="1" ref="H175" ca="1">CreateID($H$36,$H:$H,$E175&lt;&gt;INDEX($E:$E,ROW()-1))</f>
        <v>12</v>
      </c>
      <c r="I175" s="61" t="str" cm="1">
        <f t="array" aca="1" ref="I175" ca="1">INDIRECT($K175)</f>
        <v>AS ID</v>
      </c>
      <c r="K175" s="2" t="str" cm="1">
        <f t="array" aca="1" ref="K175" ca="1">CELL("address",OFFSET(Mitigation!$A$2,0,ROW()-ROW($K$175)))</f>
        <v>'[2025-07-30_QuBA_libre.xlsx]Mitigation'!$A$2</v>
      </c>
    </row>
    <row r="176" spans="1:11" outlineLevel="1" x14ac:dyDescent="0.25">
      <c r="A176" s="23" t="str" cm="1">
        <f t="array" aca="1" ref="A176" ca="1">IF(INDEX($H:$H,ROW()-1)&lt;&gt;$H176,$E176,"")</f>
        <v/>
      </c>
      <c r="B176" s="71" t="str" cm="1">
        <f t="array" aca="1" ref="B176" ca="1">IF($K176="","",_xlfn.LET(
_xlpm._fullName,IF($L176="",SUBSTITUTE(SUBSTITUTE(INDIRECT($K176),CHAR(10)," "),"  "," "),$L176),
_xlpm._truncatedName,IF(LEN(_xlpm._fullName)&gt;250,LEFT(_xlpm._fullName,250)&amp;"[…]",_xlpm._fullName),
HYPERLINK("#'"&amp;$E176&amp;"'!"&amp;$F176&amp;$G176,
_xlpm._truncatedName)))</f>
        <v>Attack Step</v>
      </c>
      <c r="C176" s="13" t="s">
        <v>859</v>
      </c>
      <c r="D176" s="13"/>
      <c r="E176" s="61" t="str">
        <f t="shared" ca="1" si="34"/>
        <v>Mitigation</v>
      </c>
      <c r="F176" s="61" t="str">
        <f t="shared" ca="1" si="35"/>
        <v>B</v>
      </c>
      <c r="G176" s="61" t="str">
        <f t="shared" ca="1" si="36"/>
        <v>2</v>
      </c>
      <c r="H176" s="61" cm="1">
        <f t="array" aca="1" ref="H176" ca="1">CreateID($H$36,$H:$H,$E176&lt;&gt;INDEX($E:$E,ROW()-1))</f>
        <v>12</v>
      </c>
      <c r="I176" s="61" t="str" cm="1">
        <f t="array" aca="1" ref="I176" ca="1">INDIRECT($K176)</f>
        <v>Attack Step</v>
      </c>
      <c r="K176" s="2" t="str" cm="1">
        <f t="array" aca="1" ref="K176" ca="1">CELL("address",OFFSET(Mitigation!$A$2,0,ROW()-ROW($K$175)))</f>
        <v>'[2025-07-30_QuBA_libre.xlsx]Mitigation'!$B$2</v>
      </c>
    </row>
    <row r="177" spans="1:12" ht="45" outlineLevel="1" x14ac:dyDescent="0.25">
      <c r="A177" s="23" t="str" cm="1">
        <f t="array" aca="1" ref="A177" ca="1">IF(INDEX($H:$H,ROW()-1)&lt;&gt;$H177,$E177,"")</f>
        <v/>
      </c>
      <c r="B177" s="71" t="str" cm="1">
        <f t="array" aca="1" ref="B177" ca="1">IF($K177="","",_xlfn.LET(
_xlpm._fullName,IF($L177="",SUBSTITUTE(SUBSTITUTE(INDIRECT($K177),CHAR(10)," "),"  "," "),$L177),
_xlpm._truncatedName,IF(LEN(_xlpm._fullName)&gt;250,LEFT(_xlpm._fullName,250)&amp;"[…]",_xlpm._fullName),
HYPERLINK("#'"&amp;$E177&amp;"'!"&amp;$F177&amp;$G177,
_xlpm._truncatedName)))</f>
        <v>Diplay at most # APs (empty = all)</v>
      </c>
      <c r="C177" s="13" t="s">
        <v>968</v>
      </c>
      <c r="D177" s="13"/>
      <c r="E177" s="61" t="str">
        <f ca="1">IF($K177="","",_xlfn.LET(
_xlpm._in,$K177,
_xlpm._start,FIND("]",_xlpm._in)+1,
SUBSTITUTE(MID(_xlpm._in,_xlpm._start,FIND("!",_xlpm._in)-_xlpm._start),"'","")))</f>
        <v>Mitigation</v>
      </c>
      <c r="F177" s="61" t="str">
        <f ca="1">IF($K177="","",_xlfn.LET(
_xlpm._in,SUBSTITUTE($K177,"$","§",1),
_xlpm._start,FIND("§",_xlpm._in)+1,
SUBSTITUTE(MID(_xlpm._in,_xlpm._start,FIND("$",_xlpm._in)-_xlpm._start),"'","")))</f>
        <v>C</v>
      </c>
      <c r="G177" s="61" t="str">
        <f ca="1">IF($K177="","",RIGHT($K177,LEN($K177)-FIND("$",SUBSTITUTE($K177,"$","§",1))))</f>
        <v>2</v>
      </c>
      <c r="H177" s="61" cm="1">
        <f t="array" aca="1" ref="H177" ca="1">CreateID($H$36,$H:$H,$E177&lt;&gt;INDEX($E:$E,ROW()-1))</f>
        <v>12</v>
      </c>
      <c r="I177" s="61" t="str" cm="1">
        <f t="array" aca="1" ref="I177" ca="1">INDIRECT($K177)</f>
        <v>Diplay at most # APs (empty = all)</v>
      </c>
      <c r="K177" s="2" t="str" cm="1">
        <f t="array" aca="1" ref="K177" ca="1">CELL("address",OFFSET(Mitigation!$A$2,0,ROW()-ROW($K$175)))</f>
        <v>'[2025-07-30_QuBA_libre.xlsx]Mitigation'!$C$2</v>
      </c>
    </row>
    <row r="178" spans="1:12" ht="30" outlineLevel="1" x14ac:dyDescent="0.25">
      <c r="A178" s="23" t="str" cm="1">
        <f t="array" aca="1" ref="A178" ca="1">IF(INDEX($H:$H,ROW()-1)&lt;&gt;$H178,$E178,"")</f>
        <v/>
      </c>
      <c r="B178" s="71" t="str" cm="1">
        <f t="array" aca="1" ref="B178" ca="1">IF($K178="","",_xlfn.LET(
_xlpm._fullName,IF($L178="",SUBSTITUTE(SUBSTITUTE(INDIRECT($K178),CHAR(10)," "),"  "," "),$L178),
_xlpm._truncatedName,IF(LEN(_xlpm._fullName)&gt;250,LEFT(_xlpm._fullName,250)&amp;"[…]",_xlpm._fullName),
HYPERLINK("#'"&amp;$E178&amp;"'!"&amp;$F178&amp;$G178,
_xlpm._truncatedName)))</f>
        <v xml:space="preserve">Dominating Attack Paths </v>
      </c>
      <c r="C178" s="13" t="s">
        <v>860</v>
      </c>
      <c r="D178" s="13"/>
      <c r="E178" s="61" t="str">
        <f t="shared" ca="1" si="34"/>
        <v>Mitigation</v>
      </c>
      <c r="F178" s="61" t="str">
        <f t="shared" ca="1" si="35"/>
        <v>D</v>
      </c>
      <c r="G178" s="61" t="str">
        <f t="shared" ca="1" si="36"/>
        <v>2</v>
      </c>
      <c r="H178" s="61" cm="1">
        <f t="array" aca="1" ref="H178" ca="1">CreateID($H$36,$H:$H,$E178&lt;&gt;INDEX($E:$E,ROW()-1))</f>
        <v>12</v>
      </c>
      <c r="I178" s="61" t="str" cm="1">
        <f t="array" aca="1" ref="I178" ca="1">INDIRECT($K178)</f>
        <v xml:space="preserve">Dominating Attack Paths </v>
      </c>
      <c r="K178" s="2" t="str" cm="1">
        <f t="array" aca="1" ref="K178" ca="1">CELL("address",OFFSET(Mitigation!$A$2,0,ROW()-ROW($K$175)))</f>
        <v>'[2025-07-30_QuBA_libre.xlsx]Mitigation'!$D$2</v>
      </c>
    </row>
    <row r="179" spans="1:12" ht="30" outlineLevel="1" x14ac:dyDescent="0.25">
      <c r="A179" s="23" t="str" cm="1">
        <f t="array" aca="1" ref="A179" ca="1">IF(INDEX($H:$H,ROW()-1)&lt;&gt;$H179,$E179,"")</f>
        <v/>
      </c>
      <c r="B179" s="71" t="str" cm="1">
        <f t="array" aca="1" ref="B179" ca="1">IF($K179="","",_xlfn.LET(
_xlpm._fullName,IF($L179="",SUBSTITUTE(SUBSTITUTE(INDIRECT($K179),CHAR(10)," "),"  "," "),$L179),
_xlpm._truncatedName,IF(LEN(_xlpm._fullName)&gt;250,LEFT(_xlpm._fullName,250)&amp;"[…]",_xlpm._fullName),
HYPERLINK("#'"&amp;$E179&amp;"'!"&amp;$F179&amp;$G179,
_xlpm._truncatedName)))</f>
        <v>Highest Risk with this Attack Step</v>
      </c>
      <c r="C179" s="13" t="s">
        <v>861</v>
      </c>
      <c r="D179" s="13"/>
      <c r="E179" s="61" t="str">
        <f t="shared" ca="1" si="34"/>
        <v>Mitigation</v>
      </c>
      <c r="F179" s="61" t="str">
        <f t="shared" ca="1" si="35"/>
        <v>E</v>
      </c>
      <c r="G179" s="61" t="str">
        <f t="shared" ca="1" si="36"/>
        <v>2</v>
      </c>
      <c r="H179" s="61" cm="1">
        <f t="array" aca="1" ref="H179" ca="1">CreateID($H$36,$H:$H,$E179&lt;&gt;INDEX($E:$E,ROW()-1))</f>
        <v>12</v>
      </c>
      <c r="I179" s="61" t="str" cm="1">
        <f t="array" aca="1" ref="I179" ca="1">INDIRECT($K179)</f>
        <v>Highest Risk with this
Attack Step</v>
      </c>
      <c r="K179" s="2" t="str" cm="1">
        <f t="array" aca="1" ref="K179" ca="1">CELL("address",OFFSET(Mitigation!$A$2,0,ROW()-ROW($K$175)))</f>
        <v>'[2025-07-30_QuBA_libre.xlsx]Mitigation'!$E$2</v>
      </c>
    </row>
    <row r="180" spans="1:12" ht="45" outlineLevel="1" x14ac:dyDescent="0.25">
      <c r="A180" s="23" t="str" cm="1">
        <f t="array" aca="1" ref="A180" ca="1">IF(INDEX($H:$H,ROW()-1)&lt;&gt;$H180,$E180,"")</f>
        <v/>
      </c>
      <c r="B180" s="71" t="str" cm="1">
        <f t="array" aca="1" ref="B180" ca="1">IF($K180="","",_xlfn.LET(
_xlpm._fullName,IF($L180="",SUBSTITUTE(SUBSTITUTE(INDIRECT($K180),CHAR(10)," "),"  "," "),$L180),
_xlpm._truncatedName,IF(LEN(_xlpm._fullName)&gt;250,LEFT(_xlpm._fullName,250)&amp;"[…]",_xlpm._fullName),
HYPERLINK("#'"&amp;$E180&amp;"'!"&amp;$F180&amp;$G180,
_xlpm._truncatedName)))</f>
        <v>Proposed Countermeasures</v>
      </c>
      <c r="C180" s="13" t="s">
        <v>938</v>
      </c>
      <c r="D180" s="13"/>
      <c r="E180" s="61" t="str">
        <f t="shared" ca="1" si="34"/>
        <v>Mitigation</v>
      </c>
      <c r="F180" s="61" t="str">
        <f t="shared" ca="1" si="35"/>
        <v>F</v>
      </c>
      <c r="G180" s="61" t="str">
        <f t="shared" ca="1" si="36"/>
        <v>2</v>
      </c>
      <c r="H180" s="61" cm="1">
        <f t="array" aca="1" ref="H180" ca="1">CreateID($H$36,$H:$H,$E180&lt;&gt;INDEX($E:$E,ROW()-1))</f>
        <v>12</v>
      </c>
      <c r="I180" s="61" t="str" cm="1">
        <f t="array" aca="1" ref="I180" ca="1">INDIRECT($K180)</f>
        <v>Proposed Counter-measures</v>
      </c>
      <c r="K180" s="2" t="str" cm="1">
        <f t="array" aca="1" ref="K180" ca="1">CELL("address",OFFSET(Mitigation!$A$2,0,ROW()-ROW($K$175)))</f>
        <v>'[2025-07-30_QuBA_libre.xlsx]Mitigation'!$F$2</v>
      </c>
      <c r="L180" s="2" t="str" cm="1">
        <f t="array" aca="1" ref="L180" ca="1">SUBSTITUTE(INDIRECT($K180),"-","")</f>
        <v>Proposed Countermeasures</v>
      </c>
    </row>
    <row r="181" spans="1:12" ht="120" outlineLevel="1" x14ac:dyDescent="0.25">
      <c r="A181" s="23" t="str" cm="1">
        <f t="array" aca="1" ref="A181" ca="1">IF(INDEX($H:$H,ROW()-1)&lt;&gt;$H181,$E181,"")</f>
        <v/>
      </c>
      <c r="B181" s="71" t="str" cm="1">
        <f t="array" aca="1" ref="B181" ca="1">IF($K181="","",_xlfn.LET(
_xlpm._fullName,IF($L181="",SUBSTITUTE(SUBSTITUTE(INDIRECT($K181),CHAR(10)," "),"  "," "),$L181),
_xlpm._truncatedName,IF(LEN(_xlpm._fullName)&gt;250,LEFT(_xlpm._fullName,250)&amp;"[…]",_xlpm._fullName),
HYPERLINK("#'"&amp;$E181&amp;"'!"&amp;$F181&amp;$G181,
_xlpm._truncatedName)))</f>
        <v>Proposed Active Assumptions</v>
      </c>
      <c r="C181" s="13" t="s">
        <v>939</v>
      </c>
      <c r="D181" s="13" t="s">
        <v>1261</v>
      </c>
      <c r="E181" s="61" t="str">
        <f ca="1">IF($K181="","",_xlfn.LET(
_xlpm._in,$K181,
_xlpm._start,FIND("]",_xlpm._in)+1,
SUBSTITUTE(MID(_xlpm._in,_xlpm._start,FIND("!",_xlpm._in)-_xlpm._start),"'","")))</f>
        <v>Mitigation</v>
      </c>
      <c r="F181" s="61" t="str">
        <f ca="1">IF($K181="","",_xlfn.LET(
_xlpm._in,SUBSTITUTE($K181,"$","§",1),
_xlpm._start,FIND("§",_xlpm._in)+1,
SUBSTITUTE(MID(_xlpm._in,_xlpm._start,FIND("$",_xlpm._in)-_xlpm._start),"'","")))</f>
        <v>G</v>
      </c>
      <c r="G181" s="61" t="str">
        <f ca="1">IF($K181="","",RIGHT($K181,LEN($K181)-FIND("$",SUBSTITUTE($K181,"$","§",1))))</f>
        <v>2</v>
      </c>
      <c r="H181" s="61" cm="1">
        <f t="array" aca="1" ref="H181" ca="1">CreateID($H$36,$H:$H,$E181&lt;&gt;INDEX($E:$E,ROW()-1))</f>
        <v>12</v>
      </c>
      <c r="I181" s="61" t="str" cm="1">
        <f t="array" aca="1" ref="I181" ca="1">INDIRECT($K181)</f>
        <v>Proposed Active Assumptions</v>
      </c>
      <c r="K181" s="2" t="str" cm="1">
        <f t="array" aca="1" ref="K181" ca="1">CELL("address",OFFSET(Mitigation!$A$2,0,ROW()-ROW($K$175)))</f>
        <v>'[2025-07-30_QuBA_libre.xlsx]Mitigation'!$G$2</v>
      </c>
    </row>
    <row r="182" spans="1:12" ht="60" outlineLevel="1" x14ac:dyDescent="0.25">
      <c r="A182" s="23" t="str" cm="1">
        <f t="array" aca="1" ref="A182" ca="1">IF(INDEX($H:$H,ROW()-1)&lt;&gt;$H182,$E182,"")</f>
        <v/>
      </c>
      <c r="B182" s="71" t="str" cm="1">
        <f t="array" aca="1" ref="B182" ca="1">IF($K182="","",_xlfn.LET(
_xlpm._fullName,IF($L182="",SUBSTITUTE(SUBSTITUTE(INDIRECT($K182),CHAR(10)," "),"  "," "),$L182),
_xlpm._truncatedName,IF(LEN(_xlpm._fullName)&gt;250,LEFT(_xlpm._fullName,250)&amp;"[…]",_xlpm._fullName),
HYPERLINK("#'"&amp;$E182&amp;"'!"&amp;$F182&amp;$G182,
_xlpm._truncatedName)))</f>
        <v>Potential Additional Assumptions</v>
      </c>
      <c r="C182" s="13" t="s">
        <v>940</v>
      </c>
      <c r="D182" s="13"/>
      <c r="E182" s="61" t="str">
        <f ca="1">IF($K182="","",_xlfn.LET(
_xlpm._in,$K182,
_xlpm._start,FIND("]",_xlpm._in)+1,
SUBSTITUTE(MID(_xlpm._in,_xlpm._start,FIND("!",_xlpm._in)-_xlpm._start),"'","")))</f>
        <v>Mitigation</v>
      </c>
      <c r="F182" s="61" t="str">
        <f ca="1">IF($K182="","",_xlfn.LET(
_xlpm._in,SUBSTITUTE($K182,"$","§",1),
_xlpm._start,FIND("§",_xlpm._in)+1,
SUBSTITUTE(MID(_xlpm._in,_xlpm._start,FIND("$",_xlpm._in)-_xlpm._start),"'","")))</f>
        <v>H</v>
      </c>
      <c r="G182" s="61" t="str">
        <f ca="1">IF($K182="","",RIGHT($K182,LEN($K182)-FIND("$",SUBSTITUTE($K182,"$","§",1))))</f>
        <v>2</v>
      </c>
      <c r="H182" s="61" cm="1">
        <f t="array" aca="1" ref="H182" ca="1">CreateID($H$36,$H:$H,$E182&lt;&gt;INDEX($E:$E,ROW()-1))</f>
        <v>12</v>
      </c>
      <c r="I182" s="61" t="str" cm="1">
        <f t="array" aca="1" ref="I182" ca="1">INDIRECT($K182)</f>
        <v>Potential Additional Assumptions</v>
      </c>
      <c r="K182" s="2" t="str" cm="1">
        <f t="array" aca="1" ref="K182" ca="1">CELL("address",OFFSET(Mitigation!$A$2,0,ROW()-ROW($K$175)))</f>
        <v>'[2025-07-30_QuBA_libre.xlsx]Mitigation'!$H$2</v>
      </c>
    </row>
    <row r="183" spans="1:12" outlineLevel="1" x14ac:dyDescent="0.25">
      <c r="A183" s="23" t="str" cm="1">
        <f t="array" aca="1" ref="A183" ca="1">IF(INDEX($H:$H,ROW()-1)&lt;&gt;$H183,$E183,"")</f>
        <v/>
      </c>
      <c r="B183" s="71" t="str" cm="1">
        <f t="array" aca="1" ref="B183" ca="1">IF($K183="","",_xlfn.LET(
_xlpm._fullName,IF($L183="",SUBSTITUTE(SUBSTITUTE(INDIRECT($K183),CHAR(10)," "),"  "," "),$L183),
_xlpm._truncatedName,IF(LEN(_xlpm._fullName)&gt;250,LEFT(_xlpm._fullName,250)&amp;"[…]",_xlpm._fullName),
HYPERLINK("#'"&amp;$E183&amp;"'!"&amp;$F183&amp;$G183,
_xlpm._truncatedName)))</f>
        <v>Proposed Countermeasures and Assumptions</v>
      </c>
      <c r="C183" s="13" t="s">
        <v>862</v>
      </c>
      <c r="D183" s="13"/>
      <c r="E183" s="61" t="str">
        <f t="shared" ca="1" si="34"/>
        <v>Mitigation</v>
      </c>
      <c r="F183" s="61" t="str">
        <f t="shared" ca="1" si="35"/>
        <v>I</v>
      </c>
      <c r="G183" s="61" t="str">
        <f t="shared" ca="1" si="36"/>
        <v>2</v>
      </c>
      <c r="H183" s="61" cm="1">
        <f t="array" aca="1" ref="H183" ca="1">CreateID($H$36,$H:$H,$E183&lt;&gt;INDEX($E:$E,ROW()-1))</f>
        <v>12</v>
      </c>
      <c r="I183" s="61" t="str" cm="1">
        <f t="array" aca="1" ref="I183" ca="1">INDIRECT($K183)</f>
        <v>Proposed Countermeasures and Assumptions</v>
      </c>
      <c r="K183" s="2" t="str" cm="1">
        <f t="array" aca="1" ref="K183" ca="1">CELL("address",OFFSET(Mitigation!$A$2,0,ROW()-ROW($K$175)))</f>
        <v>'[2025-07-30_QuBA_libre.xlsx]Mitigation'!$I$2</v>
      </c>
    </row>
    <row r="184" spans="1:12" ht="120" outlineLevel="1" x14ac:dyDescent="0.25">
      <c r="A184" s="23" t="str" cm="1">
        <f t="array" aca="1" ref="A184" ca="1">IF(INDEX($H:$H,ROW()-1)&lt;&gt;$H184,$E184,"")</f>
        <v/>
      </c>
      <c r="B184" s="71" t="str" cm="1">
        <f t="array" aca="1" ref="B184" ca="1">IF($K184="","",_xlfn.LET(
_xlpm._fullName,IF($L184="",SUBSTITUTE(SUBSTITUTE(INDIRECT($K184),CHAR(10)," "),"  "," "),$L184),
_xlpm._truncatedName,IF(LEN(_xlpm._fullName)&gt;250,LEFT(_xlpm._fullName,250)&amp;"[…]",_xlpm._fullName),
HYPERLINK("#'"&amp;$E184&amp;"'!"&amp;$F184&amp;$G184,
_xlpm._truncatedName)))</f>
        <v>C and A IDs</v>
      </c>
      <c r="C184" s="13" t="s">
        <v>863</v>
      </c>
      <c r="D184" s="13"/>
      <c r="E184" s="61" t="str">
        <f t="shared" ca="1" si="34"/>
        <v>Mitigation</v>
      </c>
      <c r="F184" s="61" t="str">
        <f t="shared" ca="1" si="35"/>
        <v>J</v>
      </c>
      <c r="G184" s="61" t="str">
        <f t="shared" ca="1" si="36"/>
        <v>2</v>
      </c>
      <c r="H184" s="61" cm="1">
        <f t="array" aca="1" ref="H184" ca="1">CreateID($H$36,$H:$H,$E184&lt;&gt;INDEX($E:$E,ROW()-1))</f>
        <v>12</v>
      </c>
      <c r="I184" s="61" t="str" cm="1">
        <f t="array" aca="1" ref="I184" ca="1">INDIRECT($K184)</f>
        <v>C and A IDs</v>
      </c>
      <c r="K184" s="2" t="str" cm="1">
        <f t="array" aca="1" ref="K184" ca="1">CELL("address",OFFSET(Mitigation!$A$2,0,ROW()-ROW($K$175)))</f>
        <v>'[2025-07-30_QuBA_libre.xlsx]Mitigation'!$J$2</v>
      </c>
    </row>
    <row r="185" spans="1:12" outlineLevel="1" x14ac:dyDescent="0.25">
      <c r="A185" s="23" t="str" cm="1">
        <f t="array" aca="1" ref="A185" ca="1">IF(INDEX($H:$H,ROW()-1)&lt;&gt;$H185,$E185,"")</f>
        <v/>
      </c>
      <c r="B185" s="71" t="str" cm="1">
        <f t="array" aca="1" ref="B185" ca="1">IF($K185="","",_xlfn.LET(
_xlpm._fullName,IF($L185="",SUBSTITUTE(SUBSTITUTE(INDIRECT($K185),CHAR(10)," "),"  "," "),$L185),
_xlpm._truncatedName,IF(LEN(_xlpm._fullName)&gt;250,LEFT(_xlpm._fullName,250)&amp;"[…]",_xlpm._fullName),
HYPERLINK("#'"&amp;$E185&amp;"'!"&amp;$F185&amp;$G185,
_xlpm._truncatedName)))</f>
        <v>Countermeasures and Assumptions</v>
      </c>
      <c r="C185" s="13" t="s">
        <v>864</v>
      </c>
      <c r="D185" s="13"/>
      <c r="E185" s="61" t="str">
        <f t="shared" ca="1" si="34"/>
        <v>Mitigation</v>
      </c>
      <c r="F185" s="61" t="str">
        <f t="shared" ca="1" si="35"/>
        <v>K</v>
      </c>
      <c r="G185" s="61" t="str">
        <f t="shared" ca="1" si="36"/>
        <v>2</v>
      </c>
      <c r="H185" s="61" cm="1">
        <f t="array" aca="1" ref="H185" ca="1">CreateID($H$36,$H:$H,$E185&lt;&gt;INDEX($E:$E,ROW()-1))</f>
        <v>12</v>
      </c>
      <c r="I185" s="61" t="str" cm="1">
        <f t="array" aca="1" ref="I185" ca="1">INDIRECT($K185)</f>
        <v>Countermeasures and Assumptions</v>
      </c>
      <c r="K185" s="2" t="str" cm="1">
        <f t="array" aca="1" ref="K185" ca="1">CELL("address",OFFSET(Mitigation!$A$2,0,ROW()-ROW($K$175)))</f>
        <v>'[2025-07-30_QuBA_libre.xlsx]Mitigation'!$K$2</v>
      </c>
    </row>
    <row r="186" spans="1:12" ht="45" outlineLevel="1" x14ac:dyDescent="0.25">
      <c r="A186" s="23" t="str" cm="1">
        <f t="array" aca="1" ref="A186" ca="1">IF(INDEX($H:$H,ROW()-1)&lt;&gt;$H186,$E186,"")</f>
        <v/>
      </c>
      <c r="B186" s="71" t="str" cm="1">
        <f t="array" aca="1" ref="B186" ca="1">IF($K186="","",_xlfn.LET(
_xlpm._fullName,IF($L186="",SUBSTITUTE(SUBSTITUTE(INDIRECT($K186),CHAR(10)," "),"  "," "),$L186),
_xlpm._truncatedName,IF(LEN(_xlpm._fullName)&gt;250,LEFT(_xlpm._fullName,250)&amp;"[…]",_xlpm._fullName),
HYPERLINK("#'"&amp;$E186&amp;"'!"&amp;$F186&amp;$G186,
_xlpm._truncatedName)))</f>
        <v xml:space="preserve">Diplay at most # APs (empty = all) </v>
      </c>
      <c r="C186" s="13" t="s">
        <v>968</v>
      </c>
      <c r="D186" s="13"/>
      <c r="E186" s="61" t="str">
        <f ca="1">IF($K186="","",_xlfn.LET(
_xlpm._in,$K186,
_xlpm._start,FIND("]",_xlpm._in)+1,
SUBSTITUTE(MID(_xlpm._in,_xlpm._start,FIND("!",_xlpm._in)-_xlpm._start),"'","")))</f>
        <v>Mitigation</v>
      </c>
      <c r="F186" s="61" t="str">
        <f ca="1">IF($K186="","",_xlfn.LET(
_xlpm._in,SUBSTITUTE($K186,"$","§",1),
_xlpm._start,FIND("§",_xlpm._in)+1,
SUBSTITUTE(MID(_xlpm._in,_xlpm._start,FIND("$",_xlpm._in)-_xlpm._start),"'","")))</f>
        <v>L</v>
      </c>
      <c r="G186" s="61" t="str">
        <f ca="1">IF($K186="","",RIGHT($K186,LEN($K186)-FIND("$",SUBSTITUTE($K186,"$","§",1))))</f>
        <v>2</v>
      </c>
      <c r="H186" s="61" cm="1">
        <f t="array" aca="1" ref="H186" ca="1">CreateID($H$36,$H:$H,$E186&lt;&gt;INDEX($E:$E,ROW()-1))</f>
        <v>12</v>
      </c>
      <c r="I186" s="61" t="str" cm="1">
        <f t="array" aca="1" ref="I186" ca="1">INDIRECT($K186)</f>
        <v xml:space="preserve">Diplay at most # APs
(empty = all) </v>
      </c>
      <c r="K186" s="2" t="str" cm="1">
        <f t="array" aca="1" ref="K186" ca="1">CELL("address",OFFSET(Mitigation!$A$2,0,ROW()-ROW($K$175)))</f>
        <v>'[2025-07-30_QuBA_libre.xlsx]Mitigation'!$L$2</v>
      </c>
    </row>
    <row r="187" spans="1:12" ht="45" outlineLevel="1" x14ac:dyDescent="0.25">
      <c r="A187" s="23" t="str" cm="1">
        <f t="array" aca="1" ref="A187" ca="1">IF(INDEX($H:$H,ROW()-1)&lt;&gt;$H187,$E187,"")</f>
        <v/>
      </c>
      <c r="B187" s="71" t="str" cm="1">
        <f t="array" aca="1" ref="B187" ca="1">IF($K187="","",_xlfn.LET(
_xlpm._fullName,IF($L187="",SUBSTITUTE(SUBSTITUTE(INDIRECT($K187),CHAR(10)," "),"  "," "),$L187),
_xlpm._truncatedName,IF(LEN(_xlpm._fullName)&gt;250,LEFT(_xlpm._fullName,250)&amp;"[…]",_xlpm._fullName),
HYPERLINK("#'"&amp;$E187&amp;"'!"&amp;$F187&amp;$G187,
_xlpm._truncatedName)))</f>
        <v>Dominating Attack Paths</v>
      </c>
      <c r="C187" s="13" t="s">
        <v>881</v>
      </c>
      <c r="D187" s="13"/>
      <c r="E187" s="61" t="str">
        <f t="shared" ca="1" si="34"/>
        <v>Mitigation</v>
      </c>
      <c r="F187" s="61" t="str">
        <f t="shared" ca="1" si="35"/>
        <v>M</v>
      </c>
      <c r="G187" s="61" t="str">
        <f t="shared" ca="1" si="36"/>
        <v>2</v>
      </c>
      <c r="H187" s="61" cm="1">
        <f t="array" aca="1" ref="H187" ca="1">CreateID($H$36,$H:$H,$E187&lt;&gt;INDEX($E:$E,ROW()-1))</f>
        <v>12</v>
      </c>
      <c r="I187" s="61" t="str" cm="1">
        <f t="array" aca="1" ref="I187" ca="1">INDIRECT($K187)</f>
        <v>Dominating Attack Paths</v>
      </c>
      <c r="K187" s="2" t="str" cm="1">
        <f t="array" aca="1" ref="K187" ca="1">CELL("address",OFFSET(Mitigation!$A$2,0,ROW()-ROW($K$175)))</f>
        <v>'[2025-07-30_QuBA_libre.xlsx]Mitigation'!$M$2</v>
      </c>
    </row>
    <row r="188" spans="1:12" ht="45" outlineLevel="1" x14ac:dyDescent="0.25">
      <c r="A188" s="23" t="str" cm="1">
        <f t="array" aca="1" ref="A188" ca="1">IF(INDEX($H:$H,ROW()-1)&lt;&gt;$H188,$E188,"")</f>
        <v/>
      </c>
      <c r="B188" s="71" t="str" cm="1">
        <f t="array" aca="1" ref="B188" ca="1">IF($K188="","",_xlfn.LET(
_xlpm._fullName,IF($L188="",SUBSTITUTE(SUBSTITUTE(INDIRECT($K188),CHAR(10)," "),"  "," "),$L188),
_xlpm._truncatedName,IF(LEN(_xlpm._fullName)&gt;250,LEFT(_xlpm._fullName,250)&amp;"[…]",_xlpm._fullName),
HYPERLINK("#'"&amp;$E188&amp;"'!"&amp;$F188&amp;$G188,
_xlpm._truncatedName)))</f>
        <v>Highest Remaining Risk with this Attack Step</v>
      </c>
      <c r="C188" s="13" t="s">
        <v>865</v>
      </c>
      <c r="D188" s="13"/>
      <c r="E188" s="61" t="str">
        <f t="shared" ca="1" si="34"/>
        <v>Mitigation</v>
      </c>
      <c r="F188" s="61" t="str">
        <f t="shared" ca="1" si="35"/>
        <v>N</v>
      </c>
      <c r="G188" s="61" t="str">
        <f t="shared" ca="1" si="36"/>
        <v>2</v>
      </c>
      <c r="H188" s="61" cm="1">
        <f t="array" aca="1" ref="H188" ca="1">CreateID($H$36,$H:$H,$E188&lt;&gt;INDEX($E:$E,ROW()-1))</f>
        <v>12</v>
      </c>
      <c r="I188" s="61" t="str" cm="1">
        <f t="array" aca="1" ref="I188" ca="1">INDIRECT($K188)</f>
        <v>Highest Remaining Risk with this
Attack Step</v>
      </c>
      <c r="K188" s="2" t="str" cm="1">
        <f t="array" aca="1" ref="K188" ca="1">CELL("address",OFFSET(Mitigation!$A$2,0,ROW()-ROW($K$175)))</f>
        <v>'[2025-07-30_QuBA_libre.xlsx]Mitigation'!$N$2</v>
      </c>
    </row>
    <row r="189" spans="1:12" ht="60" outlineLevel="1" x14ac:dyDescent="0.25">
      <c r="A189" s="23" t="str" cm="1">
        <f t="array" aca="1" ref="A189" ca="1">IF(INDEX($H:$H,ROW()-1)&lt;&gt;$H189,$E189,"")</f>
        <v/>
      </c>
      <c r="B189" s="71" t="str" cm="1">
        <f t="array" aca="1" ref="B189" ca="1">IF($K189="","",_xlfn.LET(
_xlpm._fullName,IF($L189="",SUBSTITUTE(SUBSTITUTE(INDIRECT($K189),CHAR(10)," "),"  "," "),$L189),
_xlpm._truncatedName,IF(LEN(_xlpm._fullName)&gt;250,LEFT(_xlpm._fullName,250)&amp;"[…]",_xlpm._fullName),
HYPERLINK("#'"&amp;$E189&amp;"'!"&amp;$F189&amp;$G189,
_xlpm._truncatedName)))</f>
        <v>Comment To add a control or assumption: {&lt;C or A&gt; &lt;Name&gt;[: &lt;RAP&gt;]} RAP Options: Basic, Enhanced-Basic, Moderate, High, Beyond High</v>
      </c>
      <c r="C189" s="13" t="s">
        <v>882</v>
      </c>
      <c r="D189" s="13" t="s">
        <v>1332</v>
      </c>
      <c r="E189" s="61" t="str">
        <f t="shared" ca="1" si="34"/>
        <v>Mitigation</v>
      </c>
      <c r="F189" s="61" t="str">
        <f t="shared" ca="1" si="35"/>
        <v>O</v>
      </c>
      <c r="G189" s="61" t="str">
        <f t="shared" ca="1" si="36"/>
        <v>2</v>
      </c>
      <c r="H189" s="61" cm="1">
        <f t="array" aca="1" ref="H189" ca="1">CreateID($H$36,$H:$H,$E189&lt;&gt;INDEX($E:$E,ROW()-1))</f>
        <v>12</v>
      </c>
      <c r="I189" s="61" t="str" cm="1">
        <f t="array" aca="1" ref="I189" ca="1">INDIRECT($K189)</f>
        <v>Comment
To add a control or assumption:
{&lt;C or A&gt; &lt;Name&gt;[: &lt;RAP&gt;]}
RAP Options: Basic, Enhanced-Basic, Moderate, High, Beyond High</v>
      </c>
      <c r="K189" s="2" t="str" cm="1">
        <f t="array" aca="1" ref="K189" ca="1">CELL("address",OFFSET(Mitigation!$A$2,0,ROW()-ROW($K$175)))</f>
        <v>'[2025-07-30_QuBA_libre.xlsx]Mitigation'!$O$2</v>
      </c>
    </row>
    <row r="190" spans="1:12" ht="45" x14ac:dyDescent="0.25">
      <c r="A190" s="102" t="str" cm="1">
        <f t="array" aca="1" ref="A190" ca="1">IF(INDEX($H:$H,ROW()-1)&lt;&gt;$H190,$E190,"")</f>
        <v>Risk Treatment</v>
      </c>
      <c r="B190" s="71" t="str" cm="1">
        <f t="array" aca="1" ref="B190" ca="1">IF($K190="","",_xlfn.LET(
_xlpm._fullName,IF($L190="",SUBSTITUTE(SUBSTITUTE(INDIRECT($K190),CHAR(10)," "),"  "," "),$L190),
_xlpm._truncatedName,IF(LEN(_xlpm._fullName)&gt;250,LEFT(_xlpm._fullName,250)&amp;"[…]",_xlpm._fullName),
HYPERLINK("#'"&amp;$E190&amp;"'!"&amp;$F190&amp;$G190,
_xlpm._truncatedName)))</f>
        <v>Helper: All IDs</v>
      </c>
      <c r="C190" s="13" t="s">
        <v>979</v>
      </c>
      <c r="D190" s="13"/>
      <c r="E190" s="61" t="str">
        <f t="shared" ref="E190:E210" ca="1" si="37">IF($K190="","",_xlfn.LET(
_xlpm._in,$K190,
_xlpm._start,FIND("]",_xlpm._in)+1,
SUBSTITUTE(MID(_xlpm._in,_xlpm._start,FIND("!",_xlpm._in)-_xlpm._start),"'","")))</f>
        <v>Risk Treatment</v>
      </c>
      <c r="F190" s="61" t="str">
        <f t="shared" ref="F190:F210" ca="1" si="38">IF($K190="","",_xlfn.LET(
_xlpm._in,SUBSTITUTE($K190,"$","§",1),
_xlpm._start,FIND("§",_xlpm._in)+1,
SUBSTITUTE(MID(_xlpm._in,_xlpm._start,FIND("$",_xlpm._in)-_xlpm._start),"'","")))</f>
        <v>A</v>
      </c>
      <c r="G190" s="61" t="str">
        <f t="shared" ref="G190:G210" ca="1" si="39">IF($K190="","",RIGHT($K190,LEN($K190)-FIND("$",SUBSTITUTE($K190,"$","§",1))))</f>
        <v>4</v>
      </c>
      <c r="H190" s="61" cm="1">
        <f t="array" aca="1" ref="H190" ca="1">CreateID($H$36,$H:$H,$E190&lt;&gt;INDEX($E:$E,ROW()-1))</f>
        <v>13</v>
      </c>
      <c r="I190" s="61" t="str" cm="1">
        <f t="array" aca="1" ref="I190" ca="1">INDIRECT($K190)</f>
        <v>Helper: All IDs</v>
      </c>
      <c r="K190" s="2" t="str" cm="1">
        <f t="array" aca="1" ref="K190" ca="1">CELL("address",OFFSET('Risk Treatment'!$A$4,0,ROW()-ROW($K$190)))</f>
        <v>'[2025-07-30_QuBA_libre.xlsx]Risk Treatment'!$A$4</v>
      </c>
    </row>
    <row r="191" spans="1:12" ht="60" x14ac:dyDescent="0.25">
      <c r="A191" s="23" t="str" cm="1">
        <f t="array" aca="1" ref="A191" ca="1">IF(INDEX($H:$H,ROW()-1)&lt;&gt;$H191,$E191,"")</f>
        <v/>
      </c>
      <c r="B191" s="71" t="str" cm="1">
        <f t="array" aca="1" ref="B191" ca="1">IF($K191="","",_xlfn.LET(
_xlpm._fullName,IF($L191="",SUBSTITUTE(SUBSTITUTE(INDIRECT($K191),CHAR(10)," "),"  "," "),$L191),
_xlpm._truncatedName,IF(LEN(_xlpm._fullName)&gt;250,LEFT(_xlpm._fullName,250)&amp;"[…]",_xlpm._fullName),
HYPERLINK("#'"&amp;$E191&amp;"'!"&amp;$F191&amp;$G191,
_xlpm._truncatedName)))</f>
        <v>Open IDs:</v>
      </c>
      <c r="C191" s="13" t="s">
        <v>1333</v>
      </c>
      <c r="D191" s="13"/>
      <c r="E191" s="61" t="str">
        <f ca="1">IF($K191="","",_xlfn.LET(
_xlpm._in,$K191,
_xlpm._start,FIND("]",_xlpm._in)+1,
SUBSTITUTE(MID(_xlpm._in,_xlpm._start,FIND("!",_xlpm._in)-_xlpm._start),"'","")))</f>
        <v>Risk Treatment</v>
      </c>
      <c r="F191" s="61" t="str">
        <f ca="1">IF($K191="","",_xlfn.LET(
_xlpm._in,SUBSTITUTE($K191,"$","§",1),
_xlpm._start,FIND("§",_xlpm._in)+1,
SUBSTITUTE(MID(_xlpm._in,_xlpm._start,FIND("$",_xlpm._in)-_xlpm._start),"'","")))</f>
        <v>C</v>
      </c>
      <c r="G191" s="61" t="str">
        <f ca="1">IF($K191="","",RIGHT($K191,LEN($K191)-FIND("$",SUBSTITUTE($K191,"$","§",1))))</f>
        <v>2</v>
      </c>
      <c r="H191" s="61" cm="1">
        <f t="array" aca="1" ref="H191" ca="1">CreateID($H$36,$H:$H,$E191&lt;&gt;INDEX($E:$E,ROW()-1))</f>
        <v>13</v>
      </c>
      <c r="I191" s="61" t="str" cm="1">
        <f t="array" aca="1" ref="I191" ca="1">INDIRECT($K191)</f>
        <v>Open IDs:</v>
      </c>
      <c r="K191" s="2" t="str" cm="1">
        <f t="array" aca="1" ref="K191" ca="1">CELL("address",'Risk Treatment'!$C$2)</f>
        <v>'[2025-07-30_QuBA_libre.xlsx]Risk Treatment'!$C$2</v>
      </c>
    </row>
    <row r="192" spans="1:12" ht="45" outlineLevel="1" x14ac:dyDescent="0.25">
      <c r="A192" s="23" t="str" cm="1">
        <f t="array" aca="1" ref="A192" ca="1">IF(INDEX($H:$H,ROW()-1)&lt;&gt;$H192,$E192,"")</f>
        <v/>
      </c>
      <c r="B192" s="71" t="str" cm="1">
        <f t="array" aca="1" ref="B192" ca="1">IF($K192="","",_xlfn.LET(
_xlpm._fullName,IF($L192="",SUBSTITUTE(SUBSTITUTE(INDIRECT($K192),CHAR(10)," "),"  "," "),$L192),
_xlpm._truncatedName,IF(LEN(_xlpm._fullName)&gt;250,LEFT(_xlpm._fullName,250)&amp;"[…]",_xlpm._fullName),
HYPERLINK("#'"&amp;$E192&amp;"'!"&amp;$F192&amp;$G192,
_xlpm._truncatedName)))</f>
        <v>R ID</v>
      </c>
      <c r="C192" s="13" t="s">
        <v>866</v>
      </c>
      <c r="D192" s="13"/>
      <c r="E192" s="61" t="str">
        <f t="shared" ca="1" si="37"/>
        <v>Risk Treatment</v>
      </c>
      <c r="F192" s="61" t="str">
        <f t="shared" ca="1" si="38"/>
        <v>C</v>
      </c>
      <c r="G192" s="61" t="str">
        <f t="shared" ca="1" si="39"/>
        <v>4</v>
      </c>
      <c r="H192" s="61" cm="1">
        <f t="array" aca="1" ref="H192" ca="1">CreateID($H$36,$H:$H,$E192&lt;&gt;INDEX($E:$E,ROW()-1))</f>
        <v>13</v>
      </c>
      <c r="I192" s="61" t="str" cm="1">
        <f t="array" aca="1" ref="I192" ca="1">INDIRECT($K192)</f>
        <v>R ID</v>
      </c>
      <c r="K192" s="2" t="str" cm="1">
        <f t="array" aca="1" ref="K192" ca="1">CELL("address",OFFSET('Risk Treatment'!$C$4,0,ROW()-ROW($K$192)))</f>
        <v>'[2025-07-30_QuBA_libre.xlsx]Risk Treatment'!$C$4</v>
      </c>
    </row>
    <row r="193" spans="1:11" ht="30" outlineLevel="1" x14ac:dyDescent="0.25">
      <c r="A193" s="23" t="str" cm="1">
        <f t="array" aca="1" ref="A193" ca="1">IF(INDEX($H:$H,ROW()-1)&lt;&gt;$H193,$E193,"")</f>
        <v/>
      </c>
      <c r="B193" s="71" t="str" cm="1">
        <f t="array" aca="1" ref="B193" ca="1">IF($K193="","",_xlfn.LET(
_xlpm._fullName,IF($L193="",SUBSTITUTE(SUBSTITUTE(INDIRECT($K193),CHAR(10)," "),"  "," "),$L193),
_xlpm._truncatedName,IF(LEN(_xlpm._fullName)&gt;250,LEFT(_xlpm._fullName,250)&amp;"[…]",_xlpm._fullName),
HYPERLINK("#'"&amp;$E193&amp;"'!"&amp;$F193&amp;$G193,
_xlpm._truncatedName)))</f>
        <v>Attack Path</v>
      </c>
      <c r="C193" s="13" t="s">
        <v>867</v>
      </c>
      <c r="D193" s="13"/>
      <c r="E193" s="61" t="str">
        <f t="shared" ca="1" si="37"/>
        <v>Risk Treatment</v>
      </c>
      <c r="F193" s="61" t="str">
        <f t="shared" ca="1" si="38"/>
        <v>D</v>
      </c>
      <c r="G193" s="61" t="str">
        <f t="shared" ca="1" si="39"/>
        <v>4</v>
      </c>
      <c r="H193" s="61" cm="1">
        <f t="array" aca="1" ref="H193" ca="1">CreateID($H$36,$H:$H,$E193&lt;&gt;INDEX($E:$E,ROW()-1))</f>
        <v>13</v>
      </c>
      <c r="I193" s="61" t="str" cm="1">
        <f t="array" aca="1" ref="I193" ca="1">INDIRECT($K193)</f>
        <v>Attack Path</v>
      </c>
      <c r="K193" s="2" t="str" cm="1">
        <f t="array" aca="1" ref="K193" ca="1">CELL("address",OFFSET('Risk Treatment'!$C$4,0,ROW()-ROW($K$192)))</f>
        <v>'[2025-07-30_QuBA_libre.xlsx]Risk Treatment'!$D$4</v>
      </c>
    </row>
    <row r="194" spans="1:11" ht="30" outlineLevel="1" x14ac:dyDescent="0.25">
      <c r="A194" s="23" t="str" cm="1">
        <f t="array" aca="1" ref="A194" ca="1">IF(INDEX($H:$H,ROW()-1)&lt;&gt;$H194,$E194,"")</f>
        <v/>
      </c>
      <c r="B194" s="71" t="str" cm="1">
        <f t="array" aca="1" ref="B194" ca="1">IF($K194="","",_xlfn.LET(
_xlpm._fullName,IF($L194="",SUBSTITUTE(SUBSTITUTE(INDIRECT($K194),CHAR(10)," "),"  "," "),$L194),
_xlpm._truncatedName,IF(LEN(_xlpm._fullName)&gt;250,LEFT(_xlpm._fullName,250)&amp;"[…]",_xlpm._fullName),
HYPERLINK("#'"&amp;$E194&amp;"'!"&amp;$F194&amp;$G194,
_xlpm._truncatedName)))</f>
        <v>Damage Scenarios</v>
      </c>
      <c r="C194" s="13" t="s">
        <v>868</v>
      </c>
      <c r="D194" s="13"/>
      <c r="E194" s="61" t="str">
        <f t="shared" ca="1" si="37"/>
        <v>Risk Treatment</v>
      </c>
      <c r="F194" s="61" t="str">
        <f t="shared" ca="1" si="38"/>
        <v>E</v>
      </c>
      <c r="G194" s="61" t="str">
        <f t="shared" ca="1" si="39"/>
        <v>4</v>
      </c>
      <c r="H194" s="61" cm="1">
        <f t="array" aca="1" ref="H194" ca="1">CreateID($H$36,$H:$H,$E194&lt;&gt;INDEX($E:$E,ROW()-1))</f>
        <v>13</v>
      </c>
      <c r="I194" s="61" t="str" cm="1">
        <f t="array" aca="1" ref="I194" ca="1">INDIRECT($K194)</f>
        <v>Damage Scenarios</v>
      </c>
      <c r="K194" s="2" t="str" cm="1">
        <f t="array" aca="1" ref="K194" ca="1">CELL("address",OFFSET('Risk Treatment'!$C$4,0,ROW()-ROW($K$192)))</f>
        <v>'[2025-07-30_QuBA_libre.xlsx]Risk Treatment'!$E$4</v>
      </c>
    </row>
    <row r="195" spans="1:11" ht="30" outlineLevel="1" x14ac:dyDescent="0.25">
      <c r="A195" s="23" t="str" cm="1">
        <f t="array" aca="1" ref="A195" ca="1">IF(INDEX($H:$H,ROW()-1)&lt;&gt;$H195,$E195,"")</f>
        <v/>
      </c>
      <c r="B195" s="71" t="str" cm="1">
        <f t="array" aca="1" ref="B195" ca="1">IF($K195="","",_xlfn.LET(
_xlpm._fullName,IF($L195="",SUBSTITUTE(SUBSTITUTE(INDIRECT($K195),CHAR(10)," "),"  "," "),$L195),
_xlpm._truncatedName,IF(LEN(_xlpm._fullName)&gt;250,LEFT(_xlpm._fullName,250)&amp;"[…]",_xlpm._fullName),
HYPERLINK("#'"&amp;$E195&amp;"'!"&amp;$F195&amp;$G195,
_xlpm._truncatedName)))</f>
        <v>Damage Level</v>
      </c>
      <c r="C195" s="13" t="s">
        <v>869</v>
      </c>
      <c r="D195" s="13"/>
      <c r="E195" s="61" t="str">
        <f t="shared" ca="1" si="37"/>
        <v>Risk Treatment</v>
      </c>
      <c r="F195" s="61" t="str">
        <f t="shared" ca="1" si="38"/>
        <v>F</v>
      </c>
      <c r="G195" s="61" t="str">
        <f t="shared" ca="1" si="39"/>
        <v>4</v>
      </c>
      <c r="H195" s="61" cm="1">
        <f t="array" aca="1" ref="H195" ca="1">CreateID($H$36,$H:$H,$E195&lt;&gt;INDEX($E:$E,ROW()-1))</f>
        <v>13</v>
      </c>
      <c r="I195" s="61" t="str" cm="1">
        <f t="array" aca="1" ref="I195" ca="1">INDIRECT($K195)</f>
        <v>Damage Level</v>
      </c>
      <c r="K195" s="2" t="str" cm="1">
        <f t="array" aca="1" ref="K195" ca="1">CELL("address",OFFSET('Risk Treatment'!$C$4,0,ROW()-ROW($K$192)))</f>
        <v>'[2025-07-30_QuBA_libre.xlsx]Risk Treatment'!$F$4</v>
      </c>
    </row>
    <row r="196" spans="1:11" ht="45" outlineLevel="1" x14ac:dyDescent="0.25">
      <c r="A196" s="23" t="str" cm="1">
        <f t="array" aca="1" ref="A196" ca="1">IF(INDEX($H:$H,ROW()-1)&lt;&gt;$H196,$E196,"")</f>
        <v/>
      </c>
      <c r="B196" s="71" t="str" cm="1">
        <f t="array" aca="1" ref="B196" ca="1">IF($K196="","",_xlfn.LET(
_xlpm._fullName,IF($L196="",SUBSTITUTE(SUBSTITUTE(INDIRECT($K196),CHAR(10)," "),"  "," "),$L196),
_xlpm._truncatedName,IF(LEN(_xlpm._fullName)&gt;250,LEFT(_xlpm._fullName,250)&amp;"[…]",_xlpm._fullName),
HYPERLINK("#'"&amp;$E196&amp;"'!"&amp;$F196&amp;$G196,
_xlpm._truncatedName)))</f>
        <v xml:space="preserve">Factor Explanation </v>
      </c>
      <c r="C196" s="13" t="s">
        <v>870</v>
      </c>
      <c r="D196" s="13"/>
      <c r="E196" s="61" t="str">
        <f t="shared" ca="1" si="37"/>
        <v>Risk Treatment</v>
      </c>
      <c r="F196" s="61" t="str">
        <f t="shared" ca="1" si="38"/>
        <v>G</v>
      </c>
      <c r="G196" s="61" t="str">
        <f t="shared" ca="1" si="39"/>
        <v>4</v>
      </c>
      <c r="H196" s="61" cm="1">
        <f t="array" aca="1" ref="H196" ca="1">CreateID($H$36,$H:$H,$E196&lt;&gt;INDEX($E:$E,ROW()-1))</f>
        <v>13</v>
      </c>
      <c r="I196" s="61" t="str" cm="1">
        <f t="array" aca="1" ref="I196" ca="1">INDIRECT($K196)</f>
        <v xml:space="preserve">Factor Explanation </v>
      </c>
      <c r="K196" s="2" t="str" cm="1">
        <f t="array" aca="1" ref="K196" ca="1">CELL("address",OFFSET('Risk Treatment'!$C$4,0,ROW()-ROW($K$192)))</f>
        <v>'[2025-07-30_QuBA_libre.xlsx]Risk Treatment'!$G$4</v>
      </c>
    </row>
    <row r="197" spans="1:11" ht="30" outlineLevel="1" x14ac:dyDescent="0.25">
      <c r="A197" s="23" t="str" cm="1">
        <f t="array" aca="1" ref="A197" ca="1">IF(INDEX($H:$H,ROW()-1)&lt;&gt;$H197,$E197,"")</f>
        <v/>
      </c>
      <c r="B197" s="71" t="str" cm="1">
        <f t="array" aca="1" ref="B197" ca="1">IF($K197="","",_xlfn.LET(
_xlpm._fullName,IF($L197="",SUBSTITUTE(SUBSTITUTE(INDIRECT($K197),CHAR(10)," "),"  "," "),$L197),
_xlpm._truncatedName,IF(LEN(_xlpm._fullName)&gt;250,LEFT(_xlpm._fullName,250)&amp;"[…]",_xlpm._fullName),
HYPERLINK("#'"&amp;$E197&amp;"'!"&amp;$F197&amp;$G197,
_xlpm._truncatedName)))</f>
        <v>RAP</v>
      </c>
      <c r="C197" s="13" t="s">
        <v>871</v>
      </c>
      <c r="D197" s="13"/>
      <c r="E197" s="61" t="str">
        <f t="shared" ca="1" si="37"/>
        <v>Risk Treatment</v>
      </c>
      <c r="F197" s="61" t="str">
        <f t="shared" ca="1" si="38"/>
        <v>H</v>
      </c>
      <c r="G197" s="61" t="str">
        <f t="shared" ca="1" si="39"/>
        <v>4</v>
      </c>
      <c r="H197" s="61" cm="1">
        <f t="array" aca="1" ref="H197" ca="1">CreateID($H$36,$H:$H,$E197&lt;&gt;INDEX($E:$E,ROW()-1))</f>
        <v>13</v>
      </c>
      <c r="I197" s="61" t="str" cm="1">
        <f t="array" aca="1" ref="I197" ca="1">INDIRECT($K197)</f>
        <v>RAP</v>
      </c>
      <c r="K197" s="2" t="str" cm="1">
        <f t="array" aca="1" ref="K197" ca="1">CELL("address",OFFSET('Risk Treatment'!$C$4,0,ROW()-ROW($K$192)))</f>
        <v>'[2025-07-30_QuBA_libre.xlsx]Risk Treatment'!$H$4</v>
      </c>
    </row>
    <row r="198" spans="1:11" ht="30" outlineLevel="1" x14ac:dyDescent="0.25">
      <c r="A198" s="23" t="str" cm="1">
        <f t="array" aca="1" ref="A198" ca="1">IF(INDEX($H:$H,ROW()-1)&lt;&gt;$H198,$E198,"")</f>
        <v/>
      </c>
      <c r="B198" s="71" t="str" cm="1">
        <f t="array" aca="1" ref="B198" ca="1">IF($K198="","",_xlfn.LET(
_xlpm._fullName,IF($L198="",SUBSTITUTE(SUBSTITUTE(INDIRECT($K198),CHAR(10)," "),"  "," "),$L198),
_xlpm._truncatedName,IF(LEN(_xlpm._fullName)&gt;250,LEFT(_xlpm._fullName,250)&amp;"[…]",_xlpm._fullName),
HYPERLINK("#'"&amp;$E198&amp;"'!"&amp;$F198&amp;$G198,
_xlpm._truncatedName)))</f>
        <v>Risk Level</v>
      </c>
      <c r="C198" s="13" t="s">
        <v>872</v>
      </c>
      <c r="D198" s="13"/>
      <c r="E198" s="61" t="str">
        <f t="shared" ca="1" si="37"/>
        <v>Risk Treatment</v>
      </c>
      <c r="F198" s="61" t="str">
        <f t="shared" ca="1" si="38"/>
        <v>I</v>
      </c>
      <c r="G198" s="61" t="str">
        <f t="shared" ca="1" si="39"/>
        <v>4</v>
      </c>
      <c r="H198" s="61" cm="1">
        <f t="array" aca="1" ref="H198" ca="1">CreateID($H$36,$H:$H,$E198&lt;&gt;INDEX($E:$E,ROW()-1))</f>
        <v>13</v>
      </c>
      <c r="I198" s="61" t="str" cm="1">
        <f t="array" aca="1" ref="I198" ca="1">INDIRECT($K198)</f>
        <v>Risk Level</v>
      </c>
      <c r="K198" s="2" t="str" cm="1">
        <f t="array" aca="1" ref="K198" ca="1">CELL("address",OFFSET('Risk Treatment'!$C$4,0,ROW()-ROW($K$192)))</f>
        <v>'[2025-07-30_QuBA_libre.xlsx]Risk Treatment'!$I$4</v>
      </c>
    </row>
    <row r="199" spans="1:11" ht="30" outlineLevel="1" x14ac:dyDescent="0.25">
      <c r="A199" s="23" t="str" cm="1">
        <f t="array" aca="1" ref="A199" ca="1">IF(INDEX($H:$H,ROW()-1)&lt;&gt;$H199,$E199,"")</f>
        <v/>
      </c>
      <c r="B199" s="71" t="str" cm="1">
        <f t="array" aca="1" ref="B199" ca="1">IF($K199="","",_xlfn.LET(
_xlpm._fullName,IF($L199="",SUBSTITUTE(SUBSTITUTE(INDIRECT($K199),CHAR(10)," "),"  "," "),$L199),
_xlpm._truncatedName,IF(LEN(_xlpm._fullName)&gt;250,LEFT(_xlpm._fullName,250)&amp;"[…]",_xlpm._fullName),
HYPERLINK("#'"&amp;$E199&amp;"'!"&amp;$F199&amp;$G199,
_xlpm._truncatedName)))</f>
        <v>Countermeasures and Assumptions</v>
      </c>
      <c r="C199" s="13" t="s">
        <v>873</v>
      </c>
      <c r="D199" s="13"/>
      <c r="E199" s="61" t="str">
        <f t="shared" ca="1" si="37"/>
        <v>Risk Treatment</v>
      </c>
      <c r="F199" s="61" t="str">
        <f t="shared" ca="1" si="38"/>
        <v>J</v>
      </c>
      <c r="G199" s="61" t="str">
        <f t="shared" ca="1" si="39"/>
        <v>4</v>
      </c>
      <c r="H199" s="61" cm="1">
        <f t="array" aca="1" ref="H199" ca="1">CreateID($H$36,$H:$H,$E199&lt;&gt;INDEX($E:$E,ROW()-1))</f>
        <v>13</v>
      </c>
      <c r="I199" s="61" t="str" cm="1">
        <f t="array" aca="1" ref="I199" ca="1">INDIRECT($K199)</f>
        <v>Countermeasures and Assumptions</v>
      </c>
      <c r="K199" s="2" t="str" cm="1">
        <f t="array" aca="1" ref="K199" ca="1">CELL("address",OFFSET('Risk Treatment'!$C$4,0,ROW()-ROW($K$192)))</f>
        <v>'[2025-07-30_QuBA_libre.xlsx]Risk Treatment'!$J$4</v>
      </c>
    </row>
    <row r="200" spans="1:11" ht="45" outlineLevel="1" x14ac:dyDescent="0.25">
      <c r="A200" s="23" t="str" cm="1">
        <f t="array" aca="1" ref="A200" ca="1">IF(INDEX($H:$H,ROW()-1)&lt;&gt;$H200,$E200,"")</f>
        <v/>
      </c>
      <c r="B200" s="71" t="str" cm="1">
        <f t="array" aca="1" ref="B200" ca="1">IF($K200="","",_xlfn.LET(
_xlpm._fullName,IF($L200="",SUBSTITUTE(SUBSTITUTE(INDIRECT($K200),CHAR(10)," "),"  "," "),$L200),
_xlpm._truncatedName,IF(LEN(_xlpm._fullName)&gt;250,LEFT(_xlpm._fullName,250)&amp;"[…]",_xlpm._fullName),
HYPERLINK("#'"&amp;$E200&amp;"'!"&amp;$F200&amp;$G200,
_xlpm._truncatedName)))</f>
        <v xml:space="preserve">Damage Scenarios </v>
      </c>
      <c r="C200" s="13" t="s">
        <v>874</v>
      </c>
      <c r="D200" s="13"/>
      <c r="E200" s="61" t="str">
        <f t="shared" ca="1" si="37"/>
        <v>Risk Treatment</v>
      </c>
      <c r="F200" s="61" t="str">
        <f t="shared" ca="1" si="38"/>
        <v>K</v>
      </c>
      <c r="G200" s="61" t="str">
        <f t="shared" ca="1" si="39"/>
        <v>4</v>
      </c>
      <c r="H200" s="61" cm="1">
        <f t="array" aca="1" ref="H200" ca="1">CreateID($H$36,$H:$H,$E200&lt;&gt;INDEX($E:$E,ROW()-1))</f>
        <v>13</v>
      </c>
      <c r="I200" s="61" t="str" cm="1">
        <f t="array" aca="1" ref="I200" ca="1">INDIRECT($K200)</f>
        <v xml:space="preserve">Damage Scenarios </v>
      </c>
      <c r="K200" s="2" t="str" cm="1">
        <f t="array" aca="1" ref="K200" ca="1">CELL("address",OFFSET('Risk Treatment'!$C$4,0,ROW()-ROW($K$192)))</f>
        <v>'[2025-07-30_QuBA_libre.xlsx]Risk Treatment'!$K$4</v>
      </c>
    </row>
    <row r="201" spans="1:11" ht="30" outlineLevel="1" x14ac:dyDescent="0.25">
      <c r="A201" s="23" t="str" cm="1">
        <f t="array" aca="1" ref="A201" ca="1">IF(INDEX($H:$H,ROW()-1)&lt;&gt;$H201,$E201,"")</f>
        <v/>
      </c>
      <c r="B201" s="71" t="str" cm="1">
        <f t="array" aca="1" ref="B201" ca="1">IF($K201="","",_xlfn.LET(
_xlpm._fullName,IF($L201="",SUBSTITUTE(SUBSTITUTE(INDIRECT($K201),CHAR(10)," "),"  "," "),$L201),
_xlpm._truncatedName,IF(LEN(_xlpm._fullName)&gt;250,LEFT(_xlpm._fullName,250)&amp;"[…]",_xlpm._fullName),
HYPERLINK("#'"&amp;$E201&amp;"'!"&amp;$F201&amp;$G201,
_xlpm._truncatedName)))</f>
        <v xml:space="preserve">Damage Level </v>
      </c>
      <c r="C201" s="13" t="s">
        <v>875</v>
      </c>
      <c r="D201" s="13"/>
      <c r="E201" s="61" t="str">
        <f t="shared" ca="1" si="37"/>
        <v>Risk Treatment</v>
      </c>
      <c r="F201" s="61" t="str">
        <f t="shared" ca="1" si="38"/>
        <v>L</v>
      </c>
      <c r="G201" s="61" t="str">
        <f t="shared" ca="1" si="39"/>
        <v>4</v>
      </c>
      <c r="H201" s="61" cm="1">
        <f t="array" aca="1" ref="H201" ca="1">CreateID($H$36,$H:$H,$E201&lt;&gt;INDEX($E:$E,ROW()-1))</f>
        <v>13</v>
      </c>
      <c r="I201" s="61" t="str" cm="1">
        <f t="array" aca="1" ref="I201" ca="1">INDIRECT($K201)</f>
        <v xml:space="preserve">Damage Level </v>
      </c>
      <c r="K201" s="2" t="str" cm="1">
        <f t="array" aca="1" ref="K201" ca="1">CELL("address",OFFSET('Risk Treatment'!$C$4,0,ROW()-ROW($K$192)))</f>
        <v>'[2025-07-30_QuBA_libre.xlsx]Risk Treatment'!$L$4</v>
      </c>
    </row>
    <row r="202" spans="1:11" ht="30" outlineLevel="1" x14ac:dyDescent="0.25">
      <c r="A202" s="23" t="str" cm="1">
        <f t="array" aca="1" ref="A202" ca="1">IF(INDEX($H:$H,ROW()-1)&lt;&gt;$H202,$E202,"")</f>
        <v/>
      </c>
      <c r="B202" s="71" t="str" cm="1">
        <f t="array" aca="1" ref="B202" ca="1">IF($K202="","",_xlfn.LET(
_xlpm._fullName,IF($L202="",SUBSTITUTE(SUBSTITUTE(INDIRECT($K202),CHAR(10)," "),"  "," "),$L202),
_xlpm._truncatedName,IF(LEN(_xlpm._fullName)&gt;250,LEFT(_xlpm._fullName,250)&amp;"[…]",_xlpm._fullName),
HYPERLINK("#'"&amp;$E202&amp;"'!"&amp;$F202&amp;$G202,
_xlpm._truncatedName)))</f>
        <v>Factor Explanation</v>
      </c>
      <c r="C202" s="13" t="s">
        <v>876</v>
      </c>
      <c r="D202" s="13"/>
      <c r="E202" s="61" t="str">
        <f t="shared" ca="1" si="37"/>
        <v>Risk Treatment</v>
      </c>
      <c r="F202" s="61" t="str">
        <f t="shared" ca="1" si="38"/>
        <v>M</v>
      </c>
      <c r="G202" s="61" t="str">
        <f t="shared" ca="1" si="39"/>
        <v>4</v>
      </c>
      <c r="H202" s="61" cm="1">
        <f t="array" aca="1" ref="H202" ca="1">CreateID($H$36,$H:$H,$E202&lt;&gt;INDEX($E:$E,ROW()-1))</f>
        <v>13</v>
      </c>
      <c r="I202" s="61" t="str" cm="1">
        <f t="array" aca="1" ref="I202" ca="1">INDIRECT($K202)</f>
        <v>Factor Explanation</v>
      </c>
      <c r="K202" s="2" t="str" cm="1">
        <f t="array" aca="1" ref="K202" ca="1">CELL("address",OFFSET('Risk Treatment'!$C$4,0,ROW()-ROW($K$192)))</f>
        <v>'[2025-07-30_QuBA_libre.xlsx]Risk Treatment'!$M$4</v>
      </c>
    </row>
    <row r="203" spans="1:11" outlineLevel="1" x14ac:dyDescent="0.25">
      <c r="A203" s="23" t="str" cm="1">
        <f t="array" aca="1" ref="A203" ca="1">IF(INDEX($H:$H,ROW()-1)&lt;&gt;$H203,$E203,"")</f>
        <v/>
      </c>
      <c r="B203" s="71" t="str" cm="1">
        <f t="array" aca="1" ref="B203" ca="1">IF($K203="","",_xlfn.LET(
_xlpm._fullName,IF($L203="",SUBSTITUTE(SUBSTITUTE(INDIRECT($K203),CHAR(10)," "),"  "," "),$L203),
_xlpm._truncatedName,IF(LEN(_xlpm._fullName)&gt;250,LEFT(_xlpm._fullName,250)&amp;"[…]",_xlpm._fullName),
HYPERLINK("#'"&amp;$E203&amp;"'!"&amp;$F203&amp;$G203,
_xlpm._truncatedName)))</f>
        <v xml:space="preserve">RAP </v>
      </c>
      <c r="C203" s="13" t="s">
        <v>877</v>
      </c>
      <c r="D203" s="13"/>
      <c r="E203" s="61" t="str">
        <f t="shared" ca="1" si="37"/>
        <v>Risk Treatment</v>
      </c>
      <c r="F203" s="61" t="str">
        <f t="shared" ca="1" si="38"/>
        <v>N</v>
      </c>
      <c r="G203" s="61" t="str">
        <f t="shared" ca="1" si="39"/>
        <v>4</v>
      </c>
      <c r="H203" s="61" cm="1">
        <f t="array" aca="1" ref="H203" ca="1">CreateID($H$36,$H:$H,$E203&lt;&gt;INDEX($E:$E,ROW()-1))</f>
        <v>13</v>
      </c>
      <c r="I203" s="61" t="str" cm="1">
        <f t="array" aca="1" ref="I203" ca="1">INDIRECT($K203)</f>
        <v xml:space="preserve">RAP </v>
      </c>
      <c r="K203" s="2" t="str" cm="1">
        <f t="array" aca="1" ref="K203" ca="1">CELL("address",OFFSET('Risk Treatment'!$C$4,0,ROW()-ROW($K$192)))</f>
        <v>'[2025-07-30_QuBA_libre.xlsx]Risk Treatment'!$N$4</v>
      </c>
    </row>
    <row r="204" spans="1:11" ht="30" outlineLevel="1" x14ac:dyDescent="0.25">
      <c r="A204" s="23" t="str" cm="1">
        <f t="array" aca="1" ref="A204" ca="1">IF(INDEX($H:$H,ROW()-1)&lt;&gt;$H204,$E204,"")</f>
        <v/>
      </c>
      <c r="B204" s="71" t="str" cm="1">
        <f t="array" aca="1" ref="B204" ca="1">IF($K204="","",_xlfn.LET(
_xlpm._fullName,IF($L204="",SUBSTITUTE(SUBSTITUTE(INDIRECT($K204),CHAR(10)," "),"  "," "),$L204),
_xlpm._truncatedName,IF(LEN(_xlpm._fullName)&gt;250,LEFT(_xlpm._fullName,250)&amp;"[…]",_xlpm._fullName),
HYPERLINK("#'"&amp;$E204&amp;"'!"&amp;$F204&amp;$G204,
_xlpm._truncatedName)))</f>
        <v xml:space="preserve">Remaining Risk Level </v>
      </c>
      <c r="C204" s="13" t="s">
        <v>953</v>
      </c>
      <c r="D204" s="13"/>
      <c r="E204" s="61" t="str">
        <f t="shared" ca="1" si="37"/>
        <v>Risk Treatment</v>
      </c>
      <c r="F204" s="61" t="str">
        <f t="shared" ca="1" si="38"/>
        <v>O</v>
      </c>
      <c r="G204" s="61" t="str">
        <f t="shared" ca="1" si="39"/>
        <v>4</v>
      </c>
      <c r="H204" s="61" cm="1">
        <f t="array" aca="1" ref="H204" ca="1">CreateID($H$36,$H:$H,$E204&lt;&gt;INDEX($E:$E,ROW()-1))</f>
        <v>13</v>
      </c>
      <c r="I204" s="61" t="str" cm="1">
        <f t="array" aca="1" ref="I204" ca="1">INDIRECT($K204)</f>
        <v xml:space="preserve">Remaining Risk Level </v>
      </c>
      <c r="K204" s="2" t="str" cm="1">
        <f t="array" aca="1" ref="K204" ca="1">CELL("address",OFFSET('Risk Treatment'!$C$4,0,ROW()-ROW($K$192)))</f>
        <v>'[2025-07-30_QuBA_libre.xlsx]Risk Treatment'!$O$4</v>
      </c>
    </row>
    <row r="205" spans="1:11" ht="30" outlineLevel="1" x14ac:dyDescent="0.25">
      <c r="A205" s="23" t="str" cm="1">
        <f t="array" aca="1" ref="A205" ca="1">IF(INDEX($H:$H,ROW()-1)&lt;&gt;$H205,$E205,"")</f>
        <v/>
      </c>
      <c r="B205" s="71" t="str" cm="1">
        <f t="array" aca="1" ref="B205" ca="1">IF($K205="","",_xlfn.LET(
_xlpm._fullName,IF($L205="",SUBSTITUTE(SUBSTITUTE(INDIRECT($K205),CHAR(10)," "),"  "," "),$L205),
_xlpm._truncatedName,IF(LEN(_xlpm._fullName)&gt;250,LEFT(_xlpm._fullName,250)&amp;"[…]",_xlpm._fullName),
HYPERLINK("#'"&amp;$E205&amp;"'!"&amp;$F205&amp;$G205,
_xlpm._truncatedName)))</f>
        <v>Risk Treatment Proposal</v>
      </c>
      <c r="C205" s="13" t="s">
        <v>878</v>
      </c>
      <c r="D205" s="13"/>
      <c r="E205" s="61" t="str">
        <f t="shared" ca="1" si="37"/>
        <v>Risk Treatment</v>
      </c>
      <c r="F205" s="61" t="str">
        <f t="shared" ca="1" si="38"/>
        <v>P</v>
      </c>
      <c r="G205" s="61" t="str">
        <f t="shared" ca="1" si="39"/>
        <v>4</v>
      </c>
      <c r="H205" s="61" cm="1">
        <f t="array" aca="1" ref="H205" ca="1">CreateID($H$36,$H:$H,$E205&lt;&gt;INDEX($E:$E,ROW()-1))</f>
        <v>13</v>
      </c>
      <c r="I205" s="61" t="str" cm="1">
        <f t="array" aca="1" ref="I205" ca="1">INDIRECT($K205)</f>
        <v>Risk Treatment Proposal</v>
      </c>
      <c r="K205" s="2" t="str" cm="1">
        <f t="array" aca="1" ref="K205" ca="1">CELL("address",OFFSET('Risk Treatment'!$C$4,0,ROW()-ROW($K$192)))</f>
        <v>'[2025-07-30_QuBA_libre.xlsx]Risk Treatment'!$P$4</v>
      </c>
    </row>
    <row r="206" spans="1:11" ht="60" outlineLevel="1" x14ac:dyDescent="0.25">
      <c r="A206" s="23" t="str" cm="1">
        <f t="array" aca="1" ref="A206" ca="1">IF(INDEX($H:$H,ROW()-1)&lt;&gt;$H206,$E206,"")</f>
        <v/>
      </c>
      <c r="B206" s="71" t="str" cm="1">
        <f t="array" aca="1" ref="B206" ca="1">IF($K206="","",_xlfn.LET(
_xlpm._fullName,IF($L206="",SUBSTITUTE(SUBSTITUTE(INDIRECT($K206),CHAR(10)," "),"  "," "),$L206),
_xlpm._truncatedName,IF(LEN(_xlpm._fullName)&gt;250,LEFT(_xlpm._fullName,250)&amp;"[…]",_xlpm._fullName),
HYPERLINK("#'"&amp;$E206&amp;"'!"&amp;$F206&amp;$G206,
_xlpm._truncatedName)))</f>
        <v>Manual Risk Treatment</v>
      </c>
      <c r="C206" s="13" t="s">
        <v>879</v>
      </c>
      <c r="D206" s="13"/>
      <c r="E206" s="61" t="str">
        <f t="shared" ca="1" si="37"/>
        <v>Risk Treatment</v>
      </c>
      <c r="F206" s="61" t="str">
        <f t="shared" ca="1" si="38"/>
        <v>Q</v>
      </c>
      <c r="G206" s="61" t="str">
        <f t="shared" ca="1" si="39"/>
        <v>4</v>
      </c>
      <c r="H206" s="61" cm="1">
        <f t="array" aca="1" ref="H206" ca="1">CreateID($H$36,$H:$H,$E206&lt;&gt;INDEX($E:$E,ROW()-1))</f>
        <v>13</v>
      </c>
      <c r="I206" s="61" t="str" cm="1">
        <f t="array" aca="1" ref="I206" ca="1">INDIRECT($K206)</f>
        <v>Manual Risk Treatment</v>
      </c>
      <c r="K206" s="2" t="str" cm="1">
        <f t="array" aca="1" ref="K206" ca="1">CELL("address",OFFSET('Risk Treatment'!$C$4,0,ROW()-ROW($K$192)))</f>
        <v>'[2025-07-30_QuBA_libre.xlsx]Risk Treatment'!$Q$4</v>
      </c>
    </row>
    <row r="207" spans="1:11" ht="75" outlineLevel="1" x14ac:dyDescent="0.25">
      <c r="A207" s="23" t="str" cm="1">
        <f t="array" aca="1" ref="A207" ca="1">IF(INDEX($H:$H,ROW()-1)&lt;&gt;$H207,$E207,"")</f>
        <v/>
      </c>
      <c r="B207" s="71" t="str" cm="1">
        <f t="array" aca="1" ref="B207" ca="1">IF($K207="","",_xlfn.LET(
_xlpm._fullName,IF($L207="",SUBSTITUTE(SUBSTITUTE(INDIRECT($K207),CHAR(10)," "),"  "," "),$L207),
_xlpm._truncatedName,IF(LEN(_xlpm._fullName)&gt;250,LEFT(_xlpm._fullName,250)&amp;"[…]",_xlpm._fullName),
HYPERLINK("#'"&amp;$E207&amp;"'!"&amp;$F207&amp;$G207,
_xlpm._truncatedName)))</f>
        <v>Risk Treatment Decision</v>
      </c>
      <c r="C207" s="13" t="s">
        <v>884</v>
      </c>
      <c r="D207" s="13"/>
      <c r="E207" s="61" t="str">
        <f t="shared" ca="1" si="37"/>
        <v>Risk Treatment</v>
      </c>
      <c r="F207" s="61" t="str">
        <f t="shared" ca="1" si="38"/>
        <v>R</v>
      </c>
      <c r="G207" s="61" t="str">
        <f t="shared" ca="1" si="39"/>
        <v>4</v>
      </c>
      <c r="H207" s="61" cm="1">
        <f t="array" aca="1" ref="H207" ca="1">CreateID($H$36,$H:$H,$E207&lt;&gt;INDEX($E:$E,ROW()-1))</f>
        <v>13</v>
      </c>
      <c r="I207" s="61" t="str" cm="1">
        <f t="array" aca="1" ref="I207" ca="1">INDIRECT($K207)</f>
        <v>Risk Treatment Decision</v>
      </c>
      <c r="K207" s="2" t="str" cm="1">
        <f t="array" aca="1" ref="K207" ca="1">CELL("address",OFFSET('Risk Treatment'!$C$4,0,ROW()-ROW($K$192)))</f>
        <v>'[2025-07-30_QuBA_libre.xlsx]Risk Treatment'!$R$4</v>
      </c>
    </row>
    <row r="208" spans="1:11" ht="45" outlineLevel="1" x14ac:dyDescent="0.25">
      <c r="A208" s="23" t="str" cm="1">
        <f t="array" aca="1" ref="A208" ca="1">IF(INDEX($H:$H,ROW()-1)&lt;&gt;$H208,$E208,"")</f>
        <v/>
      </c>
      <c r="B208" s="71" t="str" cm="1">
        <f t="array" aca="1" ref="B208" ca="1">IF($K208="","",_xlfn.LET(
_xlpm._fullName,IF($L208="",SUBSTITUTE(SUBSTITUTE(INDIRECT($K208),CHAR(10)," "),"  "," "),$L208),
_xlpm._truncatedName,IF(LEN(_xlpm._fullName)&gt;250,LEFT(_xlpm._fullName,250)&amp;"[…]",_xlpm._fullName),
HYPERLINK("#'"&amp;$E208&amp;"'!"&amp;$F208&amp;$G208,
_xlpm._truncatedName)))</f>
        <v>Risk Treatment Rationale / Explanation</v>
      </c>
      <c r="C208" s="13" t="s">
        <v>883</v>
      </c>
      <c r="D208" s="13"/>
      <c r="E208" s="61" t="str">
        <f t="shared" ca="1" si="37"/>
        <v>Risk Treatment</v>
      </c>
      <c r="F208" s="61" t="str">
        <f t="shared" ca="1" si="38"/>
        <v>S</v>
      </c>
      <c r="G208" s="61" t="str">
        <f t="shared" ca="1" si="39"/>
        <v>4</v>
      </c>
      <c r="H208" s="61" cm="1">
        <f t="array" aca="1" ref="H208" ca="1">CreateID($H$36,$H:$H,$E208&lt;&gt;INDEX($E:$E,ROW()-1))</f>
        <v>13</v>
      </c>
      <c r="I208" s="61" t="str" cm="1">
        <f t="array" aca="1" ref="I208" ca="1">INDIRECT($K208)</f>
        <v>Risk Treatment Rationale / Explanation</v>
      </c>
      <c r="K208" s="2" t="str" cm="1">
        <f t="array" aca="1" ref="K208" ca="1">CELL("address",OFFSET('Risk Treatment'!$C$4,0,ROW()-ROW($K$192)))</f>
        <v>'[2025-07-30_QuBA_libre.xlsx]Risk Treatment'!$S$4</v>
      </c>
    </row>
    <row r="209" spans="1:12" outlineLevel="1" x14ac:dyDescent="0.25">
      <c r="A209" s="23" t="str" cm="1">
        <f t="array" aca="1" ref="A209" ca="1">IF(INDEX($H:$H,ROW()-1)&lt;&gt;$H209,$E209,"")</f>
        <v/>
      </c>
      <c r="B209" s="71" t="str" cm="1">
        <f t="array" aca="1" ref="B209" ca="1">IF($K209="","",_xlfn.LET(
_xlpm._fullName,IF($L209="",SUBSTITUTE(SUBSTITUTE(INDIRECT($K209),CHAR(10)," "),"  "," "),$L209),
_xlpm._truncatedName,IF(LEN(_xlpm._fullName)&gt;250,LEFT(_xlpm._fullName,250)&amp;"[…]",_xlpm._fullName),
HYPERLINK("#'"&amp;$E209&amp;"'!"&amp;$F209&amp;$G209,
_xlpm._truncatedName)))</f>
        <v>Comment</v>
      </c>
      <c r="C209" s="13" t="s">
        <v>809</v>
      </c>
      <c r="D209" s="13"/>
      <c r="E209" s="61" t="str">
        <f t="shared" ca="1" si="37"/>
        <v>Risk Treatment</v>
      </c>
      <c r="F209" s="61" t="str">
        <f t="shared" ca="1" si="38"/>
        <v>T</v>
      </c>
      <c r="G209" s="61" t="str">
        <f t="shared" ca="1" si="39"/>
        <v>4</v>
      </c>
      <c r="H209" s="61" cm="1">
        <f t="array" aca="1" ref="H209" ca="1">CreateID($H$36,$H:$H,$E209&lt;&gt;INDEX($E:$E,ROW()-1))</f>
        <v>13</v>
      </c>
      <c r="I209" s="61" t="str" cm="1">
        <f t="array" aca="1" ref="I209" ca="1">INDIRECT($K209)</f>
        <v>Comment</v>
      </c>
      <c r="K209" s="2" t="str" cm="1">
        <f t="array" aca="1" ref="K209" ca="1">CELL("address",OFFSET('Risk Treatment'!$C$4,0,ROW()-ROW($K$192)))</f>
        <v>'[2025-07-30_QuBA_libre.xlsx]Risk Treatment'!$T$4</v>
      </c>
    </row>
    <row r="210" spans="1:12" ht="45" outlineLevel="1" x14ac:dyDescent="0.25">
      <c r="A210" s="23" t="str" cm="1">
        <f t="array" aca="1" ref="A210" ca="1">IF(INDEX($H:$H,ROW()-1)&lt;&gt;$H210,$E210,"")</f>
        <v/>
      </c>
      <c r="B210" s="71" t="str" cm="1">
        <f t="array" aca="1" ref="B210" ca="1">IF($K210="","",_xlfn.LET(
_xlpm._fullName,IF($L210="",SUBSTITUTE(SUBSTITUTE(INDIRECT($K210),CHAR(10)," "),"  "," "),$L210),
_xlpm._truncatedName,IF(LEN(_xlpm._fullName)&gt;250,LEFT(_xlpm._fullName,250)&amp;"[…]",_xlpm._fullName),
HYPERLINK("#'"&amp;$E210&amp;"'!"&amp;$F210&amp;$G210,
_xlpm._truncatedName)))</f>
        <v>Open IDs</v>
      </c>
      <c r="C210" s="13" t="s">
        <v>885</v>
      </c>
      <c r="D210" s="13"/>
      <c r="E210" s="61" t="str">
        <f t="shared" ca="1" si="37"/>
        <v>Risk Treatment</v>
      </c>
      <c r="F210" s="61" t="str">
        <f t="shared" ca="1" si="38"/>
        <v>D</v>
      </c>
      <c r="G210" s="61" t="str">
        <f t="shared" ca="1" si="39"/>
        <v>2</v>
      </c>
      <c r="H210" s="61" cm="1">
        <f t="array" aca="1" ref="H210" ca="1">CreateID($H$36,$H:$H,$E210&lt;&gt;INDEX($E:$E,ROW()-1))</f>
        <v>13</v>
      </c>
      <c r="I210" s="61" t="str" cm="1">
        <f t="array" aca="1" ref="I210" ca="1">INDIRECT($K210)</f>
        <v/>
      </c>
      <c r="K210" s="2" t="str" cm="1">
        <f t="array" aca="1" ref="K210" ca="1">CELL("address",OFFSET('Risk Treatment'!$D$2,0,ROW()-ROW($K$210)))</f>
        <v>'[2025-07-30_QuBA_libre.xlsx]Risk Treatment'!$D$2</v>
      </c>
      <c r="L210" s="2" t="s">
        <v>549</v>
      </c>
    </row>
    <row r="211" spans="1:12" ht="45" x14ac:dyDescent="0.25">
      <c r="A211" s="23" t="str" cm="1">
        <f t="array" aca="1" ref="A211" ca="1">IF(INDEX($H:$H,ROW()-1)&lt;&gt;$H211,$E211,"")</f>
        <v>Result Summary</v>
      </c>
      <c r="B211" s="71" t="str" cm="1">
        <f t="array" aca="1" ref="B211" ca="1">IF($K211="","",_xlfn.LET(
_xlpm._fullName,IF($L211="",SUBSTITUTE(SUBSTITUTE(INDIRECT($K211),CHAR(10)," "),"  "," "),$L211),
_xlpm._truncatedName,IF(LEN(_xlpm._fullName)&gt;250,LEFT(_xlpm._fullName,250)&amp;"[…]",_xlpm._fullName),
HYPERLINK("#'"&amp;$E211&amp;"'!"&amp;$F211&amp;$G211,
_xlpm._truncatedName)))</f>
        <v>ID</v>
      </c>
      <c r="C211" s="13" t="s">
        <v>887</v>
      </c>
      <c r="D211" s="13"/>
      <c r="E211" s="61" t="str">
        <f ca="1">IF($K211="","",_xlfn.LET(
_xlpm._in,$K211,
_xlpm._start,FIND("]",_xlpm._in)+1,
SUBSTITUTE(MID(_xlpm._in,_xlpm._start,FIND("!",_xlpm._in)-_xlpm._start),"'","")))</f>
        <v>Result Summary</v>
      </c>
      <c r="F211" s="61" t="str">
        <f ca="1">IF($K211="","",_xlfn.LET(
_xlpm._in,SUBSTITUTE($K211,"$","§",1),
_xlpm._start,FIND("§",_xlpm._in)+1,
SUBSTITUTE(MID(_xlpm._in,_xlpm._start,FIND("$",_xlpm._in)-_xlpm._start),"'","")))</f>
        <v>A</v>
      </c>
      <c r="G211" s="61" t="str">
        <f ca="1">IF($K211="","",RIGHT($K211,LEN($K211)-FIND("$",SUBSTITUTE($K211,"$","§",1))))</f>
        <v>17</v>
      </c>
      <c r="H211" s="61" cm="1">
        <f t="array" aca="1" ref="H211" ca="1">CreateID($H$36,$H:$H,$E211&lt;&gt;INDEX($E:$E,ROW()-1))</f>
        <v>14</v>
      </c>
      <c r="I211" s="61" t="str" cm="1">
        <f t="array" aca="1" ref="I211" ca="1">INDIRECT($K211)</f>
        <v>ID</v>
      </c>
      <c r="K211" s="2" t="str" cm="1">
        <f t="array" aca="1" ref="K211" ca="1">CELL("address",OFFSET('Result Summary'!$A$17,0,ROW()-ROW($K$211)))</f>
        <v>'[2025-07-30_QuBA_libre.xlsx]Result Summary'!$A$17</v>
      </c>
    </row>
    <row r="212" spans="1:12" ht="30" outlineLevel="1" x14ac:dyDescent="0.25">
      <c r="A212" s="23" t="str" cm="1">
        <f t="array" aca="1" ref="A212" ca="1">IF(INDEX($H:$H,ROW()-1)&lt;&gt;$H212,$E212,"")</f>
        <v/>
      </c>
      <c r="B212" s="71" t="str" cm="1">
        <f t="array" aca="1" ref="B212" ca="1">IF($K212="","",_xlfn.LET(
_xlpm._fullName,IF($L212="",SUBSTITUTE(SUBSTITUTE(INDIRECT($K212),CHAR(10)," "),"  "," "),$L212),
_xlpm._truncatedName,IF(LEN(_xlpm._fullName)&gt;250,LEFT(_xlpm._fullName,250)&amp;"[…]",_xlpm._fullName),
HYPERLINK("#'"&amp;$E212&amp;"'!"&amp;$F212&amp;$G212,
_xlpm._truncatedName)))</f>
        <v>Name</v>
      </c>
      <c r="C212" s="13" t="s">
        <v>886</v>
      </c>
      <c r="D212" s="13"/>
      <c r="E212" s="61" t="str">
        <f t="shared" ref="E212:E256" ca="1" si="40">IF($K212="","",_xlfn.LET(
_xlpm._in,$K212,
_xlpm._start,FIND("]",_xlpm._in)+1,
SUBSTITUTE(MID(_xlpm._in,_xlpm._start,FIND("!",_xlpm._in)-_xlpm._start),"'","")))</f>
        <v>Result Summary</v>
      </c>
      <c r="F212" s="61" t="str">
        <f t="shared" ref="F212:F256" ca="1" si="41">IF($K212="","",_xlfn.LET(
_xlpm._in,SUBSTITUTE($K212,"$","§",1),
_xlpm._start,FIND("§",_xlpm._in)+1,
SUBSTITUTE(MID(_xlpm._in,_xlpm._start,FIND("$",_xlpm._in)-_xlpm._start),"'","")))</f>
        <v>B</v>
      </c>
      <c r="G212" s="61" t="str">
        <f t="shared" ref="G212:G256" ca="1" si="42">IF($K212="","",RIGHT($K212,LEN($K212)-FIND("$",SUBSTITUTE($K212,"$","§",1))))</f>
        <v>17</v>
      </c>
      <c r="H212" s="61" cm="1">
        <f t="array" aca="1" ref="H212" ca="1">CreateID($H$36,$H:$H,$E212&lt;&gt;INDEX($E:$E,ROW()-1))</f>
        <v>14</v>
      </c>
      <c r="I212" s="61" t="str" cm="1">
        <f t="array" aca="1" ref="I212" ca="1">INDIRECT($K212)</f>
        <v>Name</v>
      </c>
      <c r="K212" s="2" t="str" cm="1">
        <f t="array" aca="1" ref="K212" ca="1">CELL("address",OFFSET('Result Summary'!$A$17,0,ROW()-ROW($K$211)))</f>
        <v>'[2025-07-30_QuBA_libre.xlsx]Result Summary'!$B$17</v>
      </c>
    </row>
    <row r="213" spans="1:12" ht="60" outlineLevel="1" x14ac:dyDescent="0.25">
      <c r="A213" s="23" t="str" cm="1">
        <f t="array" aca="1" ref="A213" ca="1">IF(INDEX($H:$H,ROW()-1)&lt;&gt;$H213,$E213,"")</f>
        <v/>
      </c>
      <c r="B213" s="71" t="str" cm="1">
        <f t="array" aca="1" ref="B213" ca="1">IF($K213="","",_xlfn.LET(
_xlpm._fullName,IF($L213="",SUBSTITUTE(SUBSTITUTE(INDIRECT($K213),CHAR(10)," "),"  "," "),$L213),
_xlpm._truncatedName,IF(LEN(_xlpm._fullName)&gt;250,LEFT(_xlpm._fullName,250)&amp;"[…]",_xlpm._fullName),
HYPERLINK("#'"&amp;$E213&amp;"'!"&amp;$F213&amp;$G213,
_xlpm._truncatedName)))</f>
        <v>Stakeholder</v>
      </c>
      <c r="C213" s="13" t="s">
        <v>888</v>
      </c>
      <c r="D213" s="13"/>
      <c r="E213" s="61" t="str">
        <f t="shared" ca="1" si="40"/>
        <v>Result Summary</v>
      </c>
      <c r="F213" s="61" t="str">
        <f t="shared" ca="1" si="41"/>
        <v>C</v>
      </c>
      <c r="G213" s="61" t="str">
        <f t="shared" ca="1" si="42"/>
        <v>17</v>
      </c>
      <c r="H213" s="61" cm="1">
        <f t="array" aca="1" ref="H213" ca="1">CreateID($H$36,$H:$H,$E213&lt;&gt;INDEX($E:$E,ROW()-1))</f>
        <v>14</v>
      </c>
      <c r="I213" s="61" t="str" cm="1">
        <f t="array" aca="1" ref="I213" ca="1">INDIRECT($K213)</f>
        <v>Stakeholder</v>
      </c>
      <c r="K213" s="2" t="str" cm="1">
        <f t="array" aca="1" ref="K213" ca="1">CELL("address",OFFSET('Result Summary'!$A$17,0,ROW()-ROW($K$211)))</f>
        <v>'[2025-07-30_QuBA_libre.xlsx]Result Summary'!$C$17</v>
      </c>
    </row>
    <row r="214" spans="1:12" ht="165" outlineLevel="1" x14ac:dyDescent="0.25">
      <c r="A214" s="23" t="str" cm="1">
        <f t="array" aca="1" ref="A214" ca="1">IF(INDEX($H:$H,ROW()-1)&lt;&gt;$H214,$E214,"")</f>
        <v/>
      </c>
      <c r="B214" s="71" t="str" cm="1">
        <f t="array" aca="1" ref="B214" ca="1">IF($K214="","",_xlfn.LET(
_xlpm._fullName,IF($L214="",SUBSTITUTE(SUBSTITUTE(INDIRECT($K214),CHAR(10)," "),"  "," "),$L214),
_xlpm._truncatedName,IF(LEN(_xlpm._fullName)&gt;250,LEFT(_xlpm._fullName,250)&amp;"[…]",_xlpm._fullName),
HYPERLINK("#'"&amp;$E214&amp;"'!"&amp;$F214&amp;$G214,
_xlpm._truncatedName)))</f>
        <v>Additional Information</v>
      </c>
      <c r="C214" s="13" t="s">
        <v>889</v>
      </c>
      <c r="D214" s="13"/>
      <c r="E214" s="61" t="str">
        <f t="shared" ca="1" si="40"/>
        <v>Result Summary</v>
      </c>
      <c r="F214" s="61" t="str">
        <f t="shared" ca="1" si="41"/>
        <v>D</v>
      </c>
      <c r="G214" s="61" t="str">
        <f t="shared" ca="1" si="42"/>
        <v>17</v>
      </c>
      <c r="H214" s="61" cm="1">
        <f t="array" aca="1" ref="H214" ca="1">CreateID($H$36,$H:$H,$E214&lt;&gt;INDEX($E:$E,ROW()-1))</f>
        <v>14</v>
      </c>
      <c r="I214" s="61" t="str" cm="1">
        <f t="array" aca="1" ref="I214" ca="1">INDIRECT($K214)</f>
        <v>Additional Information</v>
      </c>
      <c r="K214" s="2" t="str" cm="1">
        <f t="array" aca="1" ref="K214" ca="1">CELL("address",OFFSET('Result Summary'!$A$17,0,ROW()-ROW($K$211)))</f>
        <v>'[2025-07-30_QuBA_libre.xlsx]Result Summary'!$D$17</v>
      </c>
    </row>
    <row r="215" spans="1:12" ht="30" outlineLevel="1" x14ac:dyDescent="0.25">
      <c r="A215" s="23" t="str" cm="1">
        <f t="array" aca="1" ref="A215" ca="1">IF(INDEX($H:$H,ROW()-1)&lt;&gt;$H215,$E215,"")</f>
        <v/>
      </c>
      <c r="B215" s="71" t="str" cm="1">
        <f t="array" aca="1" ref="B215" ca="1">IF($K215="","",_xlfn.LET(
_xlpm._fullName,IF($L215="",SUBSTITUTE(SUBSTITUTE(INDIRECT($K215),CHAR(10)," "),"  "," "),$L215),
_xlpm._truncatedName,IF(LEN(_xlpm._fullName)&gt;250,LEFT(_xlpm._fullName,250)&amp;"[…]",_xlpm._fullName),
HYPERLINK("#'"&amp;$E215&amp;"'!"&amp;$F215&amp;$G215,
_xlpm._truncatedName)))</f>
        <v>Go to ID</v>
      </c>
      <c r="C215" s="13" t="s">
        <v>890</v>
      </c>
      <c r="D215" s="13"/>
      <c r="E215" s="61" t="str">
        <f t="shared" ca="1" si="40"/>
        <v>Result Summary</v>
      </c>
      <c r="F215" s="61" t="str">
        <f t="shared" ca="1" si="41"/>
        <v>E</v>
      </c>
      <c r="G215" s="61" t="str">
        <f t="shared" ca="1" si="42"/>
        <v>17</v>
      </c>
      <c r="H215" s="61" cm="1">
        <f t="array" aca="1" ref="H215" ca="1">CreateID($H$36,$H:$H,$E215&lt;&gt;INDEX($E:$E,ROW()-1))</f>
        <v>14</v>
      </c>
      <c r="I215" s="61" t="str" cm="1">
        <f t="array" aca="1" ref="I215" ca="1">INDIRECT($K215)</f>
        <v>Go to ID</v>
      </c>
      <c r="K215" s="2" t="str" cm="1">
        <f t="array" aca="1" ref="K215" ca="1">CELL("address",OFFSET('Result Summary'!$A$17,0,ROW()-ROW($K$211)))</f>
        <v>'[2025-07-30_QuBA_libre.xlsx]Result Summary'!$E$17</v>
      </c>
    </row>
    <row r="216" spans="1:12" ht="105" outlineLevel="1" x14ac:dyDescent="0.25">
      <c r="A216" s="23" t="str" cm="1">
        <f t="array" aca="1" ref="A216" ca="1">IF(INDEX($H:$H,ROW()-1)&lt;&gt;$H216,$E216,"")</f>
        <v/>
      </c>
      <c r="B216" s="71" t="str" cm="1">
        <f t="array" aca="1" ref="B216" ca="1">IF($K216="","",_xlfn.LET(
_xlpm._fullName,IF($L216="",SUBSTITUTE(SUBSTITUTE(INDIRECT($K216),CHAR(10)," "),"  "," "),$L216),
_xlpm._truncatedName,IF(LEN(_xlpm._fullName)&gt;250,LEFT(_xlpm._fullName,250)&amp;"[…]",_xlpm._fullName),
HYPERLINK("#'"&amp;$E216&amp;"'!"&amp;$F216&amp;$G216,
_xlpm._truncatedName)))</f>
        <v>Link</v>
      </c>
      <c r="C216" s="13" t="s">
        <v>891</v>
      </c>
      <c r="D216" s="13"/>
      <c r="E216" s="61" t="str">
        <f t="shared" ca="1" si="40"/>
        <v>Result Summary</v>
      </c>
      <c r="F216" s="61" t="str">
        <f t="shared" ca="1" si="41"/>
        <v>F</v>
      </c>
      <c r="G216" s="61" t="str">
        <f t="shared" ca="1" si="42"/>
        <v>17</v>
      </c>
      <c r="H216" s="61" cm="1">
        <f t="array" aca="1" ref="H216" ca="1">CreateID($H$36,$H:$H,$E216&lt;&gt;INDEX($E:$E,ROW()-1))</f>
        <v>14</v>
      </c>
      <c r="I216" s="61" t="str" cm="1">
        <f t="array" aca="1" ref="I216" ca="1">INDIRECT($K216)</f>
        <v>Link</v>
      </c>
      <c r="K216" s="2" t="str" cm="1">
        <f t="array" aca="1" ref="K216" ca="1">CELL("address",OFFSET('Result Summary'!$A$17,0,ROW()-ROW($K$211)))</f>
        <v>'[2025-07-30_QuBA_libre.xlsx]Result Summary'!$F$17</v>
      </c>
    </row>
    <row r="217" spans="1:12" outlineLevel="1" x14ac:dyDescent="0.25">
      <c r="A217" s="23" t="str" cm="1">
        <f t="array" aca="1" ref="A217" ca="1">IF(INDEX($H:$H,ROW()-1)&lt;&gt;$H217,$E217,"")</f>
        <v/>
      </c>
      <c r="B217" s="71" t="str" cm="1">
        <f t="array" aca="1" ref="B217" ca="1">IF($K217="","",_xlfn.LET(
_xlpm._fullName,IF($L217="",SUBSTITUTE(SUBSTITUTE(INDIRECT($K217),CHAR(10)," "),"  "," "),$L217),
_xlpm._truncatedName,IF(LEN(_xlpm._fullName)&gt;250,LEFT(_xlpm._fullName,250)&amp;"[…]",_xlpm._fullName),
HYPERLINK("#'"&amp;$E217&amp;"'!"&amp;$F217&amp;$G217,
_xlpm._truncatedName)))</f>
        <v>Reference</v>
      </c>
      <c r="C217" s="13" t="s">
        <v>1718</v>
      </c>
      <c r="D217" s="13"/>
      <c r="E217" s="61" t="str">
        <f ca="1">IF($K217="","",_xlfn.LET(
_xlpm._in,$K217,
_xlpm._start,FIND("]",_xlpm._in)+1,
SUBSTITUTE(MID(_xlpm._in,_xlpm._start,FIND("!",_xlpm._in)-_xlpm._start),"'","")))</f>
        <v>Result Summary</v>
      </c>
      <c r="F217" s="61" t="str">
        <f ca="1">IF($K217="","",_xlfn.LET(
_xlpm._in,SUBSTITUTE($K217,"$","§",1),
_xlpm._start,FIND("§",_xlpm._in)+1,
SUBSTITUTE(MID(_xlpm._in,_xlpm._start,FIND("$",_xlpm._in)-_xlpm._start),"'","")))</f>
        <v>G</v>
      </c>
      <c r="G217" s="61" t="str">
        <f ca="1">IF($K217="","",RIGHT($K217,LEN($K217)-FIND("$",SUBSTITUTE($K217,"$","§",1))))</f>
        <v>17</v>
      </c>
      <c r="H217" s="61" cm="1">
        <f t="array" aca="1" ref="H217" ca="1">CreateID($H$36,$H:$H,$E217&lt;&gt;INDEX($E:$E,ROW()-1))</f>
        <v>14</v>
      </c>
      <c r="I217" s="61" t="str" cm="1">
        <f t="array" aca="1" ref="I217" ca="1">INDIRECT($K217)</f>
        <v>Reference</v>
      </c>
      <c r="K217" s="2" t="str" cm="1">
        <f t="array" aca="1" ref="K217" ca="1">CELL("address",OFFSET('Result Summary'!$A$17,0,ROW()-ROW($K$211)))</f>
        <v>'[2025-07-30_QuBA_libre.xlsx]Result Summary'!$G$17</v>
      </c>
    </row>
    <row r="218" spans="1:12" ht="30" outlineLevel="1" x14ac:dyDescent="0.25">
      <c r="A218" s="23" t="str" cm="1">
        <f t="array" aca="1" ref="A218" ca="1">IF(INDEX($H:$H,ROW()-1)&lt;&gt;$H218,$E218,"")</f>
        <v/>
      </c>
      <c r="B218" s="71" t="str" cm="1">
        <f t="array" aca="1" ref="B218" ca="1">IF($K218="","",_xlfn.LET(
_xlpm._fullName,IF($L218="",SUBSTITUTE(SUBSTITUTE(INDIRECT($K218),CHAR(10)," "),"  "," "),$L218),
_xlpm._truncatedName,IF(LEN(_xlpm._fullName)&gt;250,LEFT(_xlpm._fullName,250)&amp;"[…]",_xlpm._fullName),
HYPERLINK("#'"&amp;$E218&amp;"'!"&amp;$F218&amp;$G218,
_xlpm._truncatedName)))</f>
        <v>Comment</v>
      </c>
      <c r="C218" s="13" t="s">
        <v>892</v>
      </c>
      <c r="D218" s="13"/>
      <c r="E218" s="61" t="str">
        <f t="shared" ca="1" si="40"/>
        <v>Result Summary</v>
      </c>
      <c r="F218" s="61" t="str">
        <f t="shared" ca="1" si="41"/>
        <v>H</v>
      </c>
      <c r="G218" s="61" t="str">
        <f t="shared" ca="1" si="42"/>
        <v>17</v>
      </c>
      <c r="H218" s="61" cm="1">
        <f t="array" aca="1" ref="H218" ca="1">CreateID($H$36,$H:$H,$E218&lt;&gt;INDEX($E:$E,ROW()-1))</f>
        <v>14</v>
      </c>
      <c r="I218" s="61" t="str" cm="1">
        <f t="array" aca="1" ref="I218" ca="1">INDIRECT($K218)</f>
        <v>Comment</v>
      </c>
      <c r="K218" s="2" t="str" cm="1">
        <f t="array" aca="1" ref="K218" ca="1">CELL("address",OFFSET('Result Summary'!$A$17,0,ROW()-ROW($K$211)))</f>
        <v>'[2025-07-30_QuBA_libre.xlsx]Result Summary'!$H$17</v>
      </c>
    </row>
    <row r="219" spans="1:12" x14ac:dyDescent="0.25">
      <c r="A219" s="23" t="str" cm="1">
        <f t="array" aca="1" ref="A219" ca="1">IF(INDEX($H:$H,ROW()-1)&lt;&gt;$H219,$E219,"")</f>
        <v>Annex I 1.2 Report</v>
      </c>
      <c r="B219" s="71" t="str" cm="1">
        <f t="array" aca="1" ref="B219" ca="1">IF($K219="","",_xlfn.LET(
_xlpm._fullName,IF($L219="",SUBSTITUTE(SUBSTITUTE(INDIRECT($K219),CHAR(10)," "),"  "," "),$L219),
_xlpm._truncatedName,IF(LEN(_xlpm._fullName)&gt;250,LEFT(_xlpm._fullName,250)&amp;"[…]",_xlpm._fullName),
HYPERLINK("#'"&amp;$E219&amp;"'!"&amp;$F219&amp;$G219,
_xlpm._truncatedName)))</f>
        <v>Letter</v>
      </c>
      <c r="C219" s="13" t="s">
        <v>1689</v>
      </c>
      <c r="D219" s="13"/>
      <c r="E219" s="61" t="str">
        <f t="shared" ca="1" si="40"/>
        <v>Annex I 1.2 Report</v>
      </c>
      <c r="F219" s="61" t="str">
        <f t="shared" ca="1" si="41"/>
        <v>A</v>
      </c>
      <c r="G219" s="61" t="str">
        <f t="shared" ca="1" si="42"/>
        <v>2</v>
      </c>
      <c r="H219" s="61" cm="1">
        <f t="array" aca="1" ref="H219" ca="1">CreateID($H$36,$H:$H,$E219&lt;&gt;INDEX($E:$E,ROW()-1))</f>
        <v>15</v>
      </c>
      <c r="I219" s="61" t="str" cm="1">
        <f t="array" aca="1" ref="I219" ca="1">INDIRECT($K219)</f>
        <v>Letter</v>
      </c>
      <c r="K219" s="2" t="str" cm="1">
        <f t="array" aca="1" ref="K219" ca="1">CELL("address",OFFSET('Annex I 1.2 Report'!$A$2,0,ROW()-ROW($K$219)))</f>
        <v>'[2025-07-30_QuBA_libre.xlsx]Annex I 1.2 Report'!$A$2</v>
      </c>
    </row>
    <row r="220" spans="1:12" outlineLevel="1" x14ac:dyDescent="0.25">
      <c r="A220" s="23" t="str" cm="1">
        <f t="array" aca="1" ref="A220" ca="1">IF(INDEX($H:$H,ROW()-1)&lt;&gt;$H220,$E220,"")</f>
        <v/>
      </c>
      <c r="B220" s="71" t="str" cm="1">
        <f t="array" aca="1" ref="B220" ca="1">IF($K220="","",_xlfn.LET(
_xlpm._fullName,IF($L220="",SUBSTITUTE(SUBSTITUTE(INDIRECT($K220),CHAR(10)," "),"  "," "),$L220),
_xlpm._truncatedName,IF(LEN(_xlpm._fullName)&gt;250,LEFT(_xlpm._fullName,250)&amp;"[…]",_xlpm._fullName),
HYPERLINK("#'"&amp;$E220&amp;"'!"&amp;$F220&amp;$G220,
_xlpm._truncatedName)))</f>
        <v>Products with digital elements shall…</v>
      </c>
      <c r="C220" s="13" t="s">
        <v>893</v>
      </c>
      <c r="D220" s="13"/>
      <c r="E220" s="61" t="str">
        <f t="shared" ca="1" si="40"/>
        <v>Annex I 1.2 Report</v>
      </c>
      <c r="F220" s="61" t="str">
        <f t="shared" ca="1" si="41"/>
        <v>B</v>
      </c>
      <c r="G220" s="61" t="str">
        <f t="shared" ca="1" si="42"/>
        <v>2</v>
      </c>
      <c r="H220" s="61" cm="1">
        <f t="array" aca="1" ref="H220" ca="1">CreateID($H$36,$H:$H,$E220&lt;&gt;INDEX($E:$E,ROW()-1))</f>
        <v>15</v>
      </c>
      <c r="I220" s="61" t="str" cm="1">
        <f t="array" aca="1" ref="I220" ca="1">INDIRECT($K220)</f>
        <v>Products with digital elements shall…</v>
      </c>
      <c r="K220" s="2" t="str" cm="1">
        <f t="array" aca="1" ref="K220" ca="1">CELL("address",OFFSET('Annex I 1.2 Report'!$A$2,0,ROW()-ROW($K$219)))</f>
        <v>'[2025-07-30_QuBA_libre.xlsx]Annex I 1.2 Report'!$B$2</v>
      </c>
    </row>
    <row r="221" spans="1:12" ht="105" outlineLevel="1" x14ac:dyDescent="0.25">
      <c r="A221" s="23" t="str" cm="1">
        <f t="array" aca="1" ref="A221" ca="1">IF(INDEX($H:$H,ROW()-1)&lt;&gt;$H221,$E221,"")</f>
        <v/>
      </c>
      <c r="B221" s="71" t="str" cm="1">
        <f t="array" aca="1" ref="B221" ca="1">IF($K221="","",_xlfn.LET(
_xlpm._fullName,IF($L221="",SUBSTITUTE(SUBSTITUTE(INDIRECT($K221),CHAR(10)," "),"  "," "),$L221),
_xlpm._truncatedName,IF(LEN(_xlpm._fullName)&gt;250,LEFT(_xlpm._fullName,250)&amp;"[…]",_xlpm._fullName),
HYPERLINK("#'"&amp;$E221&amp;"'!"&amp;$F221&amp;$G221,
_xlpm._truncatedName)))</f>
        <v>Implemented by</v>
      </c>
      <c r="C221" s="13" t="s">
        <v>1690</v>
      </c>
      <c r="D221" s="13"/>
      <c r="E221" s="61" t="str">
        <f t="shared" ca="1" si="40"/>
        <v>Annex I 1.2 Report</v>
      </c>
      <c r="F221" s="61" t="str">
        <f t="shared" ca="1" si="41"/>
        <v>C</v>
      </c>
      <c r="G221" s="61" t="str">
        <f t="shared" ca="1" si="42"/>
        <v>2</v>
      </c>
      <c r="H221" s="61" cm="1">
        <f t="array" aca="1" ref="H221" ca="1">CreateID($H$36,$H:$H,$E221&lt;&gt;INDEX($E:$E,ROW()-1))</f>
        <v>15</v>
      </c>
      <c r="I221" s="61" t="str" cm="1">
        <f t="array" aca="1" ref="I221" ca="1">INDIRECT($K221)</f>
        <v>Implemented by</v>
      </c>
      <c r="K221" s="2" t="str" cm="1">
        <f t="array" aca="1" ref="K221" ca="1">CELL("address",OFFSET('Annex I 1.2 Report'!$A$2,0,ROW()-ROW($K$219)))</f>
        <v>'[2025-07-30_QuBA_libre.xlsx]Annex I 1.2 Report'!$C$2</v>
      </c>
    </row>
    <row r="222" spans="1:12" ht="30" outlineLevel="1" x14ac:dyDescent="0.25">
      <c r="A222" s="23" t="str" cm="1">
        <f t="array" aca="1" ref="A222" ca="1">IF(INDEX($H:$H,ROW()-1)&lt;&gt;$H222,$E222,"")</f>
        <v/>
      </c>
      <c r="B222" s="71" t="str" cm="1">
        <f t="array" aca="1" ref="B222" ca="1">IF($K222="","",_xlfn.LET(
_xlpm._fullName,IF($L222="",SUBSTITUTE(SUBSTITUTE(INDIRECT($K222),CHAR(10)," "),"  "," "),$L222),
_xlpm._truncatedName,IF(LEN(_xlpm._fullName)&gt;250,LEFT(_xlpm._fullName,250)&amp;"[…]",_xlpm._fullName),
HYPERLINK("#'"&amp;$E222&amp;"'!"&amp;$F222&amp;$G222,
_xlpm._truncatedName)))</f>
        <v>Countermeasure / Assumption Names</v>
      </c>
      <c r="C222" s="13" t="s">
        <v>894</v>
      </c>
      <c r="D222" s="13"/>
      <c r="E222" s="61" t="str">
        <f t="shared" ca="1" si="40"/>
        <v>Annex I 1.2 Report</v>
      </c>
      <c r="F222" s="61" t="str">
        <f t="shared" ca="1" si="41"/>
        <v>D</v>
      </c>
      <c r="G222" s="61" t="str">
        <f t="shared" ca="1" si="42"/>
        <v>2</v>
      </c>
      <c r="H222" s="61" cm="1">
        <f t="array" aca="1" ref="H222" ca="1">CreateID($H$36,$H:$H,$E222&lt;&gt;INDEX($E:$E,ROW()-1))</f>
        <v>15</v>
      </c>
      <c r="I222" s="61" t="str" cm="1">
        <f t="array" aca="1" ref="I222" ca="1">INDIRECT($K222)</f>
        <v>Countermeasure / Assumption Names</v>
      </c>
      <c r="K222" s="2" t="str" cm="1">
        <f t="array" aca="1" ref="K222" ca="1">CELL("address",OFFSET('Annex I 1.2 Report'!$A$2,0,ROW()-ROW($K$219)))</f>
        <v>'[2025-07-30_QuBA_libre.xlsx]Annex I 1.2 Report'!$D$2</v>
      </c>
    </row>
    <row r="223" spans="1:12" ht="45" outlineLevel="1" x14ac:dyDescent="0.25">
      <c r="A223" s="23" t="str" cm="1">
        <f t="array" aca="1" ref="A223" ca="1">IF(INDEX($H:$H,ROW()-1)&lt;&gt;$H223,$E223,"")</f>
        <v/>
      </c>
      <c r="B223" s="71" t="str" cm="1">
        <f t="array" aca="1" ref="B223" ca="1">IF($K223="","",_xlfn.LET(
_xlpm._fullName,IF($L223="",SUBSTITUTE(SUBSTITUTE(INDIRECT($K223),CHAR(10)," "),"  "," "),$L223),
_xlpm._truncatedName,IF(LEN(_xlpm._fullName)&gt;250,LEFT(_xlpm._fullName,250)&amp;"[…]",_xlpm._fullName),
HYPERLINK("#'"&amp;$E223&amp;"'!"&amp;$F223&amp;$G223,
_xlpm._truncatedName)))</f>
        <v>Explicit Risk Treatment</v>
      </c>
      <c r="C223" s="13" t="s">
        <v>895</v>
      </c>
      <c r="D223" s="13"/>
      <c r="E223" s="61" t="str">
        <f t="shared" ca="1" si="40"/>
        <v>Annex I 1.2 Report</v>
      </c>
      <c r="F223" s="61" t="str">
        <f t="shared" ca="1" si="41"/>
        <v>E</v>
      </c>
      <c r="G223" s="61" t="str">
        <f t="shared" ca="1" si="42"/>
        <v>2</v>
      </c>
      <c r="H223" s="61" cm="1">
        <f t="array" aca="1" ref="H223" ca="1">CreateID($H$36,$H:$H,$E223&lt;&gt;INDEX($E:$E,ROW()-1))</f>
        <v>15</v>
      </c>
      <c r="I223" s="61" t="str" cm="1">
        <f t="array" aca="1" ref="I223" ca="1">INDIRECT($K223)</f>
        <v>Explicit Risk Treatment</v>
      </c>
      <c r="K223" s="2" t="str" cm="1">
        <f t="array" aca="1" ref="K223" ca="1">CELL("address",OFFSET('Annex I 1.2 Report'!$A$2,0,ROW()-ROW($K$219)))</f>
        <v>'[2025-07-30_QuBA_libre.xlsx]Annex I 1.2 Report'!$E$2</v>
      </c>
    </row>
    <row r="224" spans="1:12" outlineLevel="1" x14ac:dyDescent="0.25">
      <c r="A224" s="23" t="str" cm="1">
        <f t="array" aca="1" ref="A224" ca="1">IF(INDEX($H:$H,ROW()-1)&lt;&gt;$H224,$E224,"")</f>
        <v/>
      </c>
      <c r="B224" s="71" t="str" cm="1">
        <f t="array" aca="1" ref="B224" ca="1">IF($K224="","",_xlfn.LET(
_xlpm._fullName,IF($L224="",SUBSTITUTE(SUBSTITUTE(INDIRECT($K224),CHAR(10)," "),"  "," "),$L224),
_xlpm._truncatedName,IF(LEN(_xlpm._fullName)&gt;250,LEFT(_xlpm._fullName,250)&amp;"[…]",_xlpm._fullName),
HYPERLINK("#'"&amp;$E224&amp;"'!"&amp;$F224&amp;$G224,
_xlpm._truncatedName)))</f>
        <v>Comment</v>
      </c>
      <c r="C224" s="13" t="s">
        <v>809</v>
      </c>
      <c r="D224" s="13"/>
      <c r="E224" s="61" t="str">
        <f t="shared" ca="1" si="40"/>
        <v>Annex I 1.2 Report</v>
      </c>
      <c r="F224" s="61" t="str">
        <f t="shared" ca="1" si="41"/>
        <v>F</v>
      </c>
      <c r="G224" s="61" t="str">
        <f t="shared" ca="1" si="42"/>
        <v>2</v>
      </c>
      <c r="H224" s="61" cm="1">
        <f t="array" aca="1" ref="H224" ca="1">CreateID($H$36,$H:$H,$E224&lt;&gt;INDEX($E:$E,ROW()-1))</f>
        <v>15</v>
      </c>
      <c r="I224" s="61" t="str" cm="1">
        <f t="array" aca="1" ref="I224" ca="1">INDIRECT($K224)</f>
        <v>Comment</v>
      </c>
      <c r="K224" s="2" t="str" cm="1">
        <f t="array" aca="1" ref="K224" ca="1">CELL("address",OFFSET('Annex I 1.2 Report'!$A$2,0,ROW()-ROW($K$219)))</f>
        <v>'[2025-07-30_QuBA_libre.xlsx]Annex I 1.2 Report'!$F$2</v>
      </c>
    </row>
    <row r="225" spans="1:11" ht="30" x14ac:dyDescent="0.25">
      <c r="A225" s="23" t="str" cm="1">
        <f t="array" aca="1" ref="A225" ca="1">IF(INDEX($H:$H,ROW()-1)&lt;&gt;$H225,$E225,"")</f>
        <v>Tracing</v>
      </c>
      <c r="B225" s="71" t="str" cm="1">
        <f t="array" aca="1" ref="B225" ca="1">IF($K225="","",_xlfn.LET(
_xlpm._fullName,IF($L225="",SUBSTITUTE(SUBSTITUTE(INDIRECT($K225),CHAR(10)," "),"  "," "),$L225),
_xlpm._truncatedName,IF(LEN(_xlpm._fullName)&gt;250,LEFT(_xlpm._fullName,250)&amp;"[…]",_xlpm._fullName),
HYPERLINK("#'"&amp;$E225&amp;"'!"&amp;$F225&amp;$G225,
_xlpm._truncatedName)))</f>
        <v>Catalog import:</v>
      </c>
      <c r="C225" s="13" t="s">
        <v>1409</v>
      </c>
      <c r="D225" s="13" t="s">
        <v>1731</v>
      </c>
      <c r="E225" s="61" t="str">
        <f t="shared" ref="E225:E242" ca="1" si="43">IF($K225="","",_xlfn.LET(
_xlpm._in,$K225,
_xlpm._start,FIND("]",_xlpm._in)+1,
SUBSTITUTE(MID(_xlpm._in,_xlpm._start,FIND("!",_xlpm._in)-_xlpm._start),"'","")))</f>
        <v>Tracing</v>
      </c>
      <c r="F225" s="61" t="str">
        <f t="shared" ref="F225:F242" ca="1" si="44">IF($K225="","",_xlfn.LET(
_xlpm._in,SUBSTITUTE($K225,"$","§",1),
_xlpm._start,FIND("§",_xlpm._in)+1,
SUBSTITUTE(MID(_xlpm._in,_xlpm._start,FIND("$",_xlpm._in)-_xlpm._start),"'","")))</f>
        <v>B</v>
      </c>
      <c r="G225" s="61" t="str">
        <f t="shared" ref="G225:G242" ca="1" si="45">IF($K225="","",RIGHT($K225,LEN($K225)-FIND("$",SUBSTITUTE($K225,"$","§",1))))</f>
        <v>1</v>
      </c>
      <c r="H225" s="61" cm="1">
        <f t="array" aca="1" ref="H225" ca="1">CreateID($H$36,$H:$H,$E225&lt;&gt;INDEX($E:$E,ROW()-1))</f>
        <v>16</v>
      </c>
      <c r="I225" s="61" t="str" cm="1">
        <f t="array" aca="1" ref="I225" ca="1">INDIRECT($K225)</f>
        <v>Catalog import:</v>
      </c>
      <c r="K225" s="2" t="str" cm="1">
        <f t="array" aca="1" ref="K225" ca="1">CELL("address",Tracing!B1)</f>
        <v>'[2025-07-30_QuBA_libre.xlsx]Tracing'!$B$1</v>
      </c>
    </row>
    <row r="226" spans="1:11" ht="30" x14ac:dyDescent="0.25">
      <c r="A226" s="23" t="str" cm="1">
        <f t="array" aca="1" ref="A226" ca="1">IF(INDEX($H:$H,ROW()-1)&lt;&gt;$H226,$E226,"")</f>
        <v/>
      </c>
      <c r="B226" s="71" t="str" cm="1">
        <f t="array" aca="1" ref="B226" ca="1">IF($K226="","",_xlfn.LET(
_xlpm._fullName,IF($L226="",SUBSTITUTE(SUBSTITUTE(INDIRECT($K226),CHAR(10)," "),"  "," "),$L226),
_xlpm._truncatedName,IF(LEN(_xlpm._fullName)&gt;250,LEFT(_xlpm._fullName,250)&amp;"[…]",_xlpm._fullName),
HYPERLINK("#'"&amp;$E226&amp;"'!"&amp;$F226&amp;$G226,
_xlpm._truncatedName)))</f>
        <v>Not confirmed by import:</v>
      </c>
      <c r="C226" s="13" t="s">
        <v>1415</v>
      </c>
      <c r="D226" s="13"/>
      <c r="E226" s="61" t="str">
        <f t="shared" ref="E226:E227" ca="1" si="46">IF($K226="","",_xlfn.LET(
_xlpm._in,$K226,
_xlpm._start,FIND("]",_xlpm._in)+1,
SUBSTITUTE(MID(_xlpm._in,_xlpm._start,FIND("!",_xlpm._in)-_xlpm._start),"'","")))</f>
        <v>Tracing</v>
      </c>
      <c r="F226" s="61" t="str">
        <f t="shared" ref="F226:F227" ca="1" si="47">IF($K226="","",_xlfn.LET(
_xlpm._in,SUBSTITUTE($K226,"$","§",1),
_xlpm._start,FIND("§",_xlpm._in)+1,
SUBSTITUTE(MID(_xlpm._in,_xlpm._start,FIND("$",_xlpm._in)-_xlpm._start),"'","")))</f>
        <v>B</v>
      </c>
      <c r="G226" s="61" t="str">
        <f t="shared" ref="G226:G227" ca="1" si="48">IF($K226="","",RIGHT($K226,LEN($K226)-FIND("$",SUBSTITUTE($K226,"$","§",1))))</f>
        <v>2</v>
      </c>
      <c r="H226" s="61" cm="1">
        <f t="array" aca="1" ref="H226" ca="1">CreateID($H$36,$H:$H,$E226&lt;&gt;INDEX($E:$E,ROW()-1))</f>
        <v>16</v>
      </c>
      <c r="I226" s="61" t="str" cm="1">
        <f t="array" aca="1" ref="I226" ca="1">INDIRECT($K226)</f>
        <v>Not confirmed by import:</v>
      </c>
      <c r="K226" s="2" t="str" cm="1">
        <f t="array" aca="1" ref="K226" ca="1">CELL("address",Tracing!B2)</f>
        <v>'[2025-07-30_QuBA_libre.xlsx]Tracing'!$B$2</v>
      </c>
    </row>
    <row r="227" spans="1:11" ht="30" x14ac:dyDescent="0.25">
      <c r="A227" s="23" t="str" cm="1">
        <f t="array" aca="1" ref="A227" ca="1">IF(INDEX($H:$H,ROW()-1)&lt;&gt;$H227,$E227,"")</f>
        <v/>
      </c>
      <c r="B227" s="71" t="str" cm="1">
        <f t="array" aca="1" ref="B227" ca="1">IF($K227="","",_xlfn.LET(
_xlpm._fullName,IF($L227="",SUBSTITUTE(SUBSTITUTE(INDIRECT($K227),CHAR(10)," "),"  "," "),$L227),
_xlpm._truncatedName,IF(LEN(_xlpm._fullName)&gt;250,LEFT(_xlpm._fullName,250)&amp;"[…]",_xlpm._fullName),
HYPERLINK("#'"&amp;$E227&amp;"'!"&amp;$F227&amp;$G227,
_xlpm._truncatedName)))</f>
        <v>Confirm:</v>
      </c>
      <c r="C227" s="13" t="s">
        <v>1438</v>
      </c>
      <c r="D227" s="13" t="s">
        <v>1416</v>
      </c>
      <c r="E227" s="61" t="str">
        <f t="shared" ca="1" si="46"/>
        <v>Tracing</v>
      </c>
      <c r="F227" s="61" t="str">
        <f t="shared" ca="1" si="47"/>
        <v>B</v>
      </c>
      <c r="G227" s="61" t="str">
        <f t="shared" ca="1" si="48"/>
        <v>3</v>
      </c>
      <c r="H227" s="61" cm="1">
        <f t="array" aca="1" ref="H227" ca="1">CreateID($H$36,$H:$H,$E227&lt;&gt;INDEX($E:$E,ROW()-1))</f>
        <v>16</v>
      </c>
      <c r="I227" s="61" t="str" cm="1">
        <f t="array" aca="1" ref="I227" ca="1">INDIRECT($K227)</f>
        <v>Confirm:</v>
      </c>
      <c r="K227" s="2" t="str" cm="1">
        <f t="array" aca="1" ref="K227" ca="1">CELL("address",Tracing!B3)</f>
        <v>'[2025-07-30_QuBA_libre.xlsx]Tracing'!$B$3</v>
      </c>
    </row>
    <row r="228" spans="1:11" ht="30" outlineLevel="1" x14ac:dyDescent="0.25">
      <c r="A228" s="23" t="str" cm="1">
        <f t="array" aca="1" ref="A228" ca="1">IF(INDEX($H:$H,ROW()-1)&lt;&gt;$H228,$E228,"")</f>
        <v/>
      </c>
      <c r="B228" s="71" t="str" cm="1">
        <f t="array" aca="1" ref="B228" ca="1">IF($K228="","",_xlfn.LET(
_xlpm._fullName,IF($L228="",SUBSTITUTE(SUBSTITUTE(INDIRECT($K228),CHAR(10)," "),"  "," "),$L228),
_xlpm._truncatedName,IF(LEN(_xlpm._fullName)&gt;250,LEFT(_xlpm._fullName,250)&amp;"[…]",_xlpm._fullName),
HYPERLINK("#'"&amp;$E228&amp;"'!"&amp;$F228&amp;$G228,
_xlpm._truncatedName)))</f>
        <v>R ID</v>
      </c>
      <c r="C228" s="13" t="s">
        <v>1410</v>
      </c>
      <c r="D228" s="13"/>
      <c r="E228" s="61" t="str">
        <f t="shared" ca="1" si="43"/>
        <v>Tracing</v>
      </c>
      <c r="F228" s="61" t="str">
        <f t="shared" ca="1" si="44"/>
        <v>B</v>
      </c>
      <c r="G228" s="61" t="str">
        <f t="shared" ca="1" si="45"/>
        <v>5</v>
      </c>
      <c r="H228" s="61" cm="1">
        <f t="array" aca="1" ref="H228" ca="1">CreateID($H$36,$H:$H,$E228&lt;&gt;INDEX($E:$E,ROW()-1))</f>
        <v>16</v>
      </c>
      <c r="I228" s="61" t="str" cm="1">
        <f t="array" aca="1" ref="I228" ca="1">INDIRECT($K228)</f>
        <v>R ID</v>
      </c>
      <c r="K228" s="2" t="str" cm="1">
        <f t="array" aca="1" ref="K228" ca="1">CELL("address",OFFSET(Tracing!$B$5,0,ROW()-ROW($K$228)))</f>
        <v>'[2025-07-30_QuBA_libre.xlsx]Tracing'!$B$5</v>
      </c>
    </row>
    <row r="229" spans="1:11" ht="30" outlineLevel="1" x14ac:dyDescent="0.25">
      <c r="A229" s="23" t="str" cm="1">
        <f t="array" aca="1" ref="A229" ca="1">IF(INDEX($H:$H,ROW()-1)&lt;&gt;$H229,$E229,"")</f>
        <v/>
      </c>
      <c r="B229" s="71" t="str" cm="1">
        <f t="array" aca="1" ref="B229" ca="1">IF($K229="","",_xlfn.LET(
_xlpm._fullName,IF($L229="",SUBSTITUTE(SUBSTITUTE(INDIRECT($K229),CHAR(10)," "),"  "," "),$L229),
_xlpm._truncatedName,IF(LEN(_xlpm._fullName)&gt;250,LEFT(_xlpm._fullName,250)&amp;"[…]",_xlpm._fullName),
HYPERLINK("#'"&amp;$E229&amp;"'!"&amp;$F229&amp;$G229,
_xlpm._truncatedName)))</f>
        <v>Attack Path</v>
      </c>
      <c r="C229" s="13" t="s">
        <v>867</v>
      </c>
      <c r="D229" s="13"/>
      <c r="E229" s="61" t="str">
        <f t="shared" ca="1" si="43"/>
        <v>Tracing</v>
      </c>
      <c r="F229" s="61" t="str">
        <f t="shared" ca="1" si="44"/>
        <v>C</v>
      </c>
      <c r="G229" s="61" t="str">
        <f t="shared" ca="1" si="45"/>
        <v>5</v>
      </c>
      <c r="H229" s="61" cm="1">
        <f t="array" aca="1" ref="H229" ca="1">CreateID($H$36,$H:$H,$E229&lt;&gt;INDEX($E:$E,ROW()-1))</f>
        <v>16</v>
      </c>
      <c r="I229" s="61" t="str" cm="1">
        <f t="array" aca="1" ref="I229" ca="1">INDIRECT($K229)</f>
        <v>Attack Path</v>
      </c>
      <c r="K229" s="2" t="str" cm="1">
        <f t="array" aca="1" ref="K229" ca="1">CELL("address",OFFSET(Tracing!$B$5,0,ROW()-ROW($K$228)))</f>
        <v>'[2025-07-30_QuBA_libre.xlsx]Tracing'!$C$5</v>
      </c>
    </row>
    <row r="230" spans="1:11" ht="45" outlineLevel="1" x14ac:dyDescent="0.25">
      <c r="A230" s="23" t="str" cm="1">
        <f t="array" aca="1" ref="A230" ca="1">IF(INDEX($H:$H,ROW()-1)&lt;&gt;$H230,$E230,"")</f>
        <v/>
      </c>
      <c r="B230" s="71" t="str" cm="1">
        <f t="array" aca="1" ref="B230" ca="1">IF($K230="","",_xlfn.LET(
_xlpm._fullName,IF($L230="",SUBSTITUTE(SUBSTITUTE(INDIRECT($K230),CHAR(10)," "),"  "," "),$L230),
_xlpm._truncatedName,IF(LEN(_xlpm._fullName)&gt;250,LEFT(_xlpm._fullName,250)&amp;"[…]",_xlpm._fullName),
HYPERLINK("#'"&amp;$E230&amp;"'!"&amp;$F230&amp;$G230,
_xlpm._truncatedName)))</f>
        <v>Damage Scenarios</v>
      </c>
      <c r="C230" s="13" t="s">
        <v>1417</v>
      </c>
      <c r="D230" s="13"/>
      <c r="E230" s="61" t="str">
        <f t="shared" ca="1" si="43"/>
        <v>Tracing</v>
      </c>
      <c r="F230" s="61" t="str">
        <f t="shared" ca="1" si="44"/>
        <v>D</v>
      </c>
      <c r="G230" s="61" t="str">
        <f t="shared" ca="1" si="45"/>
        <v>5</v>
      </c>
      <c r="H230" s="61" cm="1">
        <f t="array" aca="1" ref="H230" ca="1">CreateID($H$36,$H:$H,$E230&lt;&gt;INDEX($E:$E,ROW()-1))</f>
        <v>16</v>
      </c>
      <c r="I230" s="61" t="str" cm="1">
        <f t="array" aca="1" ref="I230" ca="1">INDIRECT($K230)</f>
        <v>Damage Scenarios</v>
      </c>
      <c r="K230" s="2" t="str" cm="1">
        <f t="array" aca="1" ref="K230" ca="1">CELL("address",OFFSET(Tracing!$B$5,0,ROW()-ROW($K$228)))</f>
        <v>'[2025-07-30_QuBA_libre.xlsx]Tracing'!$D$5</v>
      </c>
    </row>
    <row r="231" spans="1:11" ht="30" outlineLevel="1" x14ac:dyDescent="0.25">
      <c r="A231" s="23" t="str" cm="1">
        <f t="array" aca="1" ref="A231" ca="1">IF(INDEX($H:$H,ROW()-1)&lt;&gt;$H231,$E231,"")</f>
        <v/>
      </c>
      <c r="B231" s="71" t="str" cm="1">
        <f t="array" aca="1" ref="B231" ca="1">IF($K231="","",_xlfn.LET(
_xlpm._fullName,IF($L231="",SUBSTITUTE(SUBSTITUTE(INDIRECT($K231),CHAR(10)," "),"  "," "),$L231),
_xlpm._truncatedName,IF(LEN(_xlpm._fullName)&gt;250,LEFT(_xlpm._fullName,250)&amp;"[…]",_xlpm._fullName),
HYPERLINK("#'"&amp;$E231&amp;"'!"&amp;$F231&amp;$G231,
_xlpm._truncatedName)))</f>
        <v>Damage Level</v>
      </c>
      <c r="C231" s="13" t="s">
        <v>875</v>
      </c>
      <c r="D231" s="13"/>
      <c r="E231" s="61" t="str">
        <f t="shared" ca="1" si="43"/>
        <v>Tracing</v>
      </c>
      <c r="F231" s="61" t="str">
        <f t="shared" ca="1" si="44"/>
        <v>E</v>
      </c>
      <c r="G231" s="61" t="str">
        <f t="shared" ca="1" si="45"/>
        <v>5</v>
      </c>
      <c r="H231" s="61" cm="1">
        <f t="array" aca="1" ref="H231" ca="1">CreateID($H$36,$H:$H,$E231&lt;&gt;INDEX($E:$E,ROW()-1))</f>
        <v>16</v>
      </c>
      <c r="I231" s="61" t="str" cm="1">
        <f t="array" aca="1" ref="I231" ca="1">INDIRECT($K231)</f>
        <v>Damage Level</v>
      </c>
      <c r="K231" s="2" t="str" cm="1">
        <f t="array" aca="1" ref="K231" ca="1">CELL("address",OFFSET(Tracing!$B$5,0,ROW()-ROW($K$228)))</f>
        <v>'[2025-07-30_QuBA_libre.xlsx]Tracing'!$E$5</v>
      </c>
    </row>
    <row r="232" spans="1:11" ht="30" outlineLevel="1" x14ac:dyDescent="0.25">
      <c r="A232" s="23" t="str" cm="1">
        <f t="array" aca="1" ref="A232" ca="1">IF(INDEX($H:$H,ROW()-1)&lt;&gt;$H232,$E232,"")</f>
        <v/>
      </c>
      <c r="B232" s="71" t="str" cm="1">
        <f t="array" aca="1" ref="B232" ca="1">IF($K232="","",_xlfn.LET(
_xlpm._fullName,IF($L232="",SUBSTITUTE(SUBSTITUTE(INDIRECT($K232),CHAR(10)," "),"  "," "),$L232),
_xlpm._truncatedName,IF(LEN(_xlpm._fullName)&gt;250,LEFT(_xlpm._fullName,250)&amp;"[…]",_xlpm._fullName),
HYPERLINK("#'"&amp;$E232&amp;"'!"&amp;$F232&amp;$G232,
_xlpm._truncatedName)))</f>
        <v xml:space="preserve">Factor Explanation </v>
      </c>
      <c r="C232" s="13" t="s">
        <v>1418</v>
      </c>
      <c r="D232" s="13"/>
      <c r="E232" s="61" t="str">
        <f t="shared" ca="1" si="43"/>
        <v>Tracing</v>
      </c>
      <c r="F232" s="61" t="str">
        <f t="shared" ca="1" si="44"/>
        <v>F</v>
      </c>
      <c r="G232" s="61" t="str">
        <f t="shared" ca="1" si="45"/>
        <v>5</v>
      </c>
      <c r="H232" s="61" cm="1">
        <f t="array" aca="1" ref="H232" ca="1">CreateID($H$36,$H:$H,$E232&lt;&gt;INDEX($E:$E,ROW()-1))</f>
        <v>16</v>
      </c>
      <c r="I232" s="61" t="str" cm="1">
        <f t="array" aca="1" ref="I232" ca="1">INDIRECT($K232)</f>
        <v xml:space="preserve">Factor Explanation </v>
      </c>
      <c r="K232" s="2" t="str" cm="1">
        <f t="array" aca="1" ref="K232" ca="1">CELL("address",OFFSET(Tracing!$B$5,0,ROW()-ROW($K$228)))</f>
        <v>'[2025-07-30_QuBA_libre.xlsx]Tracing'!$F$5</v>
      </c>
    </row>
    <row r="233" spans="1:11" ht="30" outlineLevel="1" x14ac:dyDescent="0.25">
      <c r="A233" s="23" t="str" cm="1">
        <f t="array" aca="1" ref="A233" ca="1">IF(INDEX($H:$H,ROW()-1)&lt;&gt;$H233,$E233,"")</f>
        <v/>
      </c>
      <c r="B233" s="71" t="str" cm="1">
        <f t="array" aca="1" ref="B233" ca="1">IF($K233="","",_xlfn.LET(
_xlpm._fullName,IF($L233="",SUBSTITUTE(SUBSTITUTE(INDIRECT($K233),CHAR(10)," "),"  "," "),$L233),
_xlpm._truncatedName,IF(LEN(_xlpm._fullName)&gt;250,LEFT(_xlpm._fullName,250)&amp;"[…]",_xlpm._fullName),
HYPERLINK("#'"&amp;$E233&amp;"'!"&amp;$F233&amp;$G233,
_xlpm._truncatedName)))</f>
        <v>RAP</v>
      </c>
      <c r="C233" s="13" t="s">
        <v>1419</v>
      </c>
      <c r="D233" s="13"/>
      <c r="E233" s="61" t="str">
        <f t="shared" ca="1" si="43"/>
        <v>Tracing</v>
      </c>
      <c r="F233" s="61" t="str">
        <f t="shared" ca="1" si="44"/>
        <v>G</v>
      </c>
      <c r="G233" s="61" t="str">
        <f t="shared" ca="1" si="45"/>
        <v>5</v>
      </c>
      <c r="H233" s="61" cm="1">
        <f t="array" aca="1" ref="H233" ca="1">CreateID($H$36,$H:$H,$E233&lt;&gt;INDEX($E:$E,ROW()-1))</f>
        <v>16</v>
      </c>
      <c r="I233" s="61" t="str" cm="1">
        <f t="array" aca="1" ref="I233" ca="1">INDIRECT($K233)</f>
        <v>RAP</v>
      </c>
      <c r="K233" s="2" t="str" cm="1">
        <f t="array" aca="1" ref="K233" ca="1">CELL("address",OFFSET(Tracing!$B$5,0,ROW()-ROW($K$228)))</f>
        <v>'[2025-07-30_QuBA_libre.xlsx]Tracing'!$G$5</v>
      </c>
    </row>
    <row r="234" spans="1:11" outlineLevel="1" x14ac:dyDescent="0.25">
      <c r="A234" s="23" t="str" cm="1">
        <f t="array" aca="1" ref="A234" ca="1">IF(INDEX($H:$H,ROW()-1)&lt;&gt;$H234,$E234,"")</f>
        <v/>
      </c>
      <c r="B234" s="71" t="str" cm="1">
        <f t="array" aca="1" ref="B234" ca="1">IF($K234="","",_xlfn.LET(
_xlpm._fullName,IF($L234="",SUBSTITUTE(SUBSTITUTE(INDIRECT($K234),CHAR(10)," "),"  "," "),$L234),
_xlpm._truncatedName,IF(LEN(_xlpm._fullName)&gt;250,LEFT(_xlpm._fullName,250)&amp;"[…]",_xlpm._fullName),
HYPERLINK("#'"&amp;$E234&amp;"'!"&amp;$F234&amp;$G234,
_xlpm._truncatedName)))</f>
        <v>Planned Countermeasures and Assumptions</v>
      </c>
      <c r="C234" s="13" t="s">
        <v>1422</v>
      </c>
      <c r="D234" s="13"/>
      <c r="E234" s="61" t="str">
        <f t="shared" ca="1" si="43"/>
        <v>Tracing</v>
      </c>
      <c r="F234" s="61" t="str">
        <f t="shared" ca="1" si="44"/>
        <v>H</v>
      </c>
      <c r="G234" s="61" t="str">
        <f t="shared" ca="1" si="45"/>
        <v>5</v>
      </c>
      <c r="H234" s="61" cm="1">
        <f t="array" aca="1" ref="H234" ca="1">CreateID($H$36,$H:$H,$E234&lt;&gt;INDEX($E:$E,ROW()-1))</f>
        <v>16</v>
      </c>
      <c r="I234" s="61" t="str" cm="1">
        <f t="array" aca="1" ref="I234" ca="1">INDIRECT($K234)</f>
        <v>Planned Countermeasures and Assumptions</v>
      </c>
      <c r="K234" s="2" t="str" cm="1">
        <f t="array" aca="1" ref="K234" ca="1">CELL("address",OFFSET(Tracing!$B$5,0,ROW()-ROW($K$228)))</f>
        <v>'[2025-07-30_QuBA_libre.xlsx]Tracing'!$H$5</v>
      </c>
    </row>
    <row r="235" spans="1:11" ht="45" outlineLevel="1" x14ac:dyDescent="0.25">
      <c r="A235" s="23" t="str" cm="1">
        <f t="array" aca="1" ref="A235" ca="1">IF(INDEX($H:$H,ROW()-1)&lt;&gt;$H235,$E235,"")</f>
        <v/>
      </c>
      <c r="B235" s="71" t="str" cm="1">
        <f t="array" aca="1" ref="B235" ca="1">IF($K235="","",_xlfn.LET(
_xlpm._fullName,IF($L235="",SUBSTITUTE(SUBSTITUTE(INDIRECT($K235),CHAR(10)," "),"  "," "),$L235),
_xlpm._truncatedName,IF(LEN(_xlpm._fullName)&gt;250,LEFT(_xlpm._fullName,250)&amp;"[…]",_xlpm._fullName),
HYPERLINK("#'"&amp;$E235&amp;"'!"&amp;$F235&amp;$G235,
_xlpm._truncatedName)))</f>
        <v>Risk Level (Planned)</v>
      </c>
      <c r="C235" s="13" t="s">
        <v>1420</v>
      </c>
      <c r="D235" s="13"/>
      <c r="E235" s="61" t="str">
        <f t="shared" ca="1" si="43"/>
        <v>Tracing</v>
      </c>
      <c r="F235" s="61" t="str">
        <f t="shared" ca="1" si="44"/>
        <v>I</v>
      </c>
      <c r="G235" s="61" t="str">
        <f t="shared" ca="1" si="45"/>
        <v>5</v>
      </c>
      <c r="H235" s="61" cm="1">
        <f t="array" aca="1" ref="H235" ca="1">CreateID($H$36,$H:$H,$E235&lt;&gt;INDEX($E:$E,ROW()-1))</f>
        <v>16</v>
      </c>
      <c r="I235" s="61" t="str" cm="1">
        <f t="array" aca="1" ref="I235" ca="1">INDIRECT($K235)</f>
        <v>Risk Level
(Planned)</v>
      </c>
      <c r="K235" s="2" t="str" cm="1">
        <f t="array" aca="1" ref="K235" ca="1">CELL("address",OFFSET(Tracing!$B$5,0,ROW()-ROW($K$228)))</f>
        <v>'[2025-07-30_QuBA_libre.xlsx]Tracing'!$I$5</v>
      </c>
    </row>
    <row r="236" spans="1:11" ht="30" outlineLevel="1" x14ac:dyDescent="0.25">
      <c r="A236" s="23" t="str" cm="1">
        <f t="array" aca="1" ref="A236" ca="1">IF(INDEX($H:$H,ROW()-1)&lt;&gt;$H236,$E236,"")</f>
        <v/>
      </c>
      <c r="B236" s="71" t="str" cm="1">
        <f t="array" aca="1" ref="B236" ca="1">IF($K236="","",_xlfn.LET(
_xlpm._fullName,IF($L236="",SUBSTITUTE(SUBSTITUTE(INDIRECT($K236),CHAR(10)," "),"  "," "),$L236),
_xlpm._truncatedName,IF(LEN(_xlpm._fullName)&gt;250,LEFT(_xlpm._fullName,250)&amp;"[…]",_xlpm._fullName),
HYPERLINK("#'"&amp;$E236&amp;"'!"&amp;$F236&amp;$G236,
_xlpm._truncatedName)))</f>
        <v>Confirmed Countermeasures and Assumptions</v>
      </c>
      <c r="C236" s="13" t="s">
        <v>1423</v>
      </c>
      <c r="D236" s="13" t="s">
        <v>1424</v>
      </c>
      <c r="E236" s="61" t="str">
        <f t="shared" ca="1" si="43"/>
        <v>Tracing</v>
      </c>
      <c r="F236" s="61" t="str">
        <f t="shared" ca="1" si="44"/>
        <v>J</v>
      </c>
      <c r="G236" s="61" t="str">
        <f t="shared" ca="1" si="45"/>
        <v>5</v>
      </c>
      <c r="H236" s="61" cm="1">
        <f t="array" aca="1" ref="H236" ca="1">CreateID($H$36,$H:$H,$E236&lt;&gt;INDEX($E:$E,ROW()-1))</f>
        <v>16</v>
      </c>
      <c r="I236" s="61" t="str" cm="1">
        <f t="array" aca="1" ref="I236" ca="1">INDIRECT($K236)</f>
        <v>Confirmed Countermeasures and Assumptions</v>
      </c>
      <c r="K236" s="2" t="str" cm="1">
        <f t="array" aca="1" ref="K236" ca="1">CELL("address",OFFSET(Tracing!$B$5,0,ROW()-ROW($K$228)))</f>
        <v>'[2025-07-30_QuBA_libre.xlsx]Tracing'!$J$5</v>
      </c>
    </row>
    <row r="237" spans="1:11" ht="45" outlineLevel="1" x14ac:dyDescent="0.25">
      <c r="A237" s="23" t="str" cm="1">
        <f t="array" aca="1" ref="A237" ca="1">IF(INDEX($H:$H,ROW()-1)&lt;&gt;$H237,$E237,"")</f>
        <v/>
      </c>
      <c r="B237" s="71" t="str" cm="1">
        <f t="array" aca="1" ref="B237" ca="1">IF($K237="","",_xlfn.LET(
_xlpm._fullName,IF($L237="",SUBSTITUTE(SUBSTITUTE(INDIRECT($K237),CHAR(10)," "),"  "," "),$L237),
_xlpm._truncatedName,IF(LEN(_xlpm._fullName)&gt;250,LEFT(_xlpm._fullName,250)&amp;"[…]",_xlpm._fullName),
HYPERLINK("#'"&amp;$E237&amp;"'!"&amp;$F237&amp;$G237,
_xlpm._truncatedName)))</f>
        <v xml:space="preserve">Damage Scenarios </v>
      </c>
      <c r="C237" s="13" t="s">
        <v>1425</v>
      </c>
      <c r="D237" s="13"/>
      <c r="E237" s="61" t="str">
        <f t="shared" ca="1" si="43"/>
        <v>Tracing</v>
      </c>
      <c r="F237" s="61" t="str">
        <f t="shared" ca="1" si="44"/>
        <v>K</v>
      </c>
      <c r="G237" s="61" t="str">
        <f t="shared" ca="1" si="45"/>
        <v>5</v>
      </c>
      <c r="H237" s="61" cm="1">
        <f t="array" aca="1" ref="H237" ca="1">CreateID($H$36,$H:$H,$E237&lt;&gt;INDEX($E:$E,ROW()-1))</f>
        <v>16</v>
      </c>
      <c r="I237" s="61" t="str" cm="1">
        <f t="array" aca="1" ref="I237" ca="1">INDIRECT($K237)</f>
        <v xml:space="preserve">Damage Scenarios </v>
      </c>
      <c r="K237" s="2" t="str" cm="1">
        <f t="array" aca="1" ref="K237" ca="1">CELL("address",OFFSET(Tracing!$B$5,0,ROW()-ROW($K$228)))</f>
        <v>'[2025-07-30_QuBA_libre.xlsx]Tracing'!$K$5</v>
      </c>
    </row>
    <row r="238" spans="1:11" ht="30" outlineLevel="1" x14ac:dyDescent="0.25">
      <c r="A238" s="23" t="str" cm="1">
        <f t="array" aca="1" ref="A238" ca="1">IF(INDEX($H:$H,ROW()-1)&lt;&gt;$H238,$E238,"")</f>
        <v/>
      </c>
      <c r="B238" s="71" t="str" cm="1">
        <f t="array" aca="1" ref="B238" ca="1">IF($K238="","",_xlfn.LET(
_xlpm._fullName,IF($L238="",SUBSTITUTE(SUBSTITUTE(INDIRECT($K238),CHAR(10)," "),"  "," "),$L238),
_xlpm._truncatedName,IF(LEN(_xlpm._fullName)&gt;250,LEFT(_xlpm._fullName,250)&amp;"[…]",_xlpm._fullName),
HYPERLINK("#'"&amp;$E238&amp;"'!"&amp;$F238&amp;$G238,
_xlpm._truncatedName)))</f>
        <v xml:space="preserve">Damage Level </v>
      </c>
      <c r="C238" s="13" t="s">
        <v>875</v>
      </c>
      <c r="D238" s="13"/>
      <c r="E238" s="61" t="str">
        <f t="shared" ca="1" si="43"/>
        <v>Tracing</v>
      </c>
      <c r="F238" s="61" t="str">
        <f t="shared" ca="1" si="44"/>
        <v>L</v>
      </c>
      <c r="G238" s="61" t="str">
        <f t="shared" ca="1" si="45"/>
        <v>5</v>
      </c>
      <c r="H238" s="61" cm="1">
        <f t="array" aca="1" ref="H238" ca="1">CreateID($H$36,$H:$H,$E238&lt;&gt;INDEX($E:$E,ROW()-1))</f>
        <v>16</v>
      </c>
      <c r="I238" s="61" t="str" cm="1">
        <f t="array" aca="1" ref="I238" ca="1">INDIRECT($K238)</f>
        <v xml:space="preserve">Damage Level </v>
      </c>
      <c r="K238" s="2" t="str" cm="1">
        <f t="array" aca="1" ref="K238" ca="1">CELL("address",OFFSET(Tracing!$B$5,0,ROW()-ROW($K$228)))</f>
        <v>'[2025-07-30_QuBA_libre.xlsx]Tracing'!$L$5</v>
      </c>
    </row>
    <row r="239" spans="1:11" ht="30" outlineLevel="1" x14ac:dyDescent="0.25">
      <c r="A239" s="23" t="str" cm="1">
        <f t="array" aca="1" ref="A239" ca="1">IF(INDEX($H:$H,ROW()-1)&lt;&gt;$H239,$E239,"")</f>
        <v/>
      </c>
      <c r="B239" s="71" t="str" cm="1">
        <f t="array" aca="1" ref="B239" ca="1">IF($K239="","",_xlfn.LET(
_xlpm._fullName,IF($L239="",SUBSTITUTE(SUBSTITUTE(INDIRECT($K239),CHAR(10)," "),"  "," "),$L239),
_xlpm._truncatedName,IF(LEN(_xlpm._fullName)&gt;250,LEFT(_xlpm._fullName,250)&amp;"[…]",_xlpm._fullName),
HYPERLINK("#'"&amp;$E239&amp;"'!"&amp;$F239&amp;$G239,
_xlpm._truncatedName)))</f>
        <v>Factor Explanation</v>
      </c>
      <c r="C239" s="13" t="s">
        <v>1426</v>
      </c>
      <c r="D239" s="13"/>
      <c r="E239" s="61" t="str">
        <f t="shared" ca="1" si="43"/>
        <v>Tracing</v>
      </c>
      <c r="F239" s="61" t="str">
        <f t="shared" ca="1" si="44"/>
        <v>M</v>
      </c>
      <c r="G239" s="61" t="str">
        <f t="shared" ca="1" si="45"/>
        <v>5</v>
      </c>
      <c r="H239" s="61" cm="1">
        <f t="array" aca="1" ref="H239" ca="1">CreateID($H$36,$H:$H,$E239&lt;&gt;INDEX($E:$E,ROW()-1))</f>
        <v>16</v>
      </c>
      <c r="I239" s="61" t="str" cm="1">
        <f t="array" aca="1" ref="I239" ca="1">INDIRECT($K239)</f>
        <v>Factor Explanation</v>
      </c>
      <c r="K239" s="2" t="str" cm="1">
        <f t="array" aca="1" ref="K239" ca="1">CELL("address",OFFSET(Tracing!$B$5,0,ROW()-ROW($K$228)))</f>
        <v>'[2025-07-30_QuBA_libre.xlsx]Tracing'!$M$5</v>
      </c>
    </row>
    <row r="240" spans="1:11" ht="30" outlineLevel="1" x14ac:dyDescent="0.25">
      <c r="A240" s="23" t="str" cm="1">
        <f t="array" aca="1" ref="A240" ca="1">IF(INDEX($H:$H,ROW()-1)&lt;&gt;$H240,$E240,"")</f>
        <v/>
      </c>
      <c r="B240" s="71" t="str" cm="1">
        <f t="array" aca="1" ref="B240" ca="1">IF($K240="","",_xlfn.LET(
_xlpm._fullName,IF($L240="",SUBSTITUTE(SUBSTITUTE(INDIRECT($K240),CHAR(10)," "),"  "," "),$L240),
_xlpm._truncatedName,IF(LEN(_xlpm._fullName)&gt;250,LEFT(_xlpm._fullName,250)&amp;"[…]",_xlpm._fullName),
HYPERLINK("#'"&amp;$E240&amp;"'!"&amp;$F240&amp;$G240,
_xlpm._truncatedName)))</f>
        <v xml:space="preserve">RAP </v>
      </c>
      <c r="C240" s="13" t="s">
        <v>1427</v>
      </c>
      <c r="D240" s="13"/>
      <c r="E240" s="61" t="str">
        <f t="shared" ca="1" si="43"/>
        <v>Tracing</v>
      </c>
      <c r="F240" s="61" t="str">
        <f t="shared" ca="1" si="44"/>
        <v>N</v>
      </c>
      <c r="G240" s="61" t="str">
        <f t="shared" ca="1" si="45"/>
        <v>5</v>
      </c>
      <c r="H240" s="61" cm="1">
        <f t="array" aca="1" ref="H240" ca="1">CreateID($H$36,$H:$H,$E240&lt;&gt;INDEX($E:$E,ROW()-1))</f>
        <v>16</v>
      </c>
      <c r="I240" s="61" t="str" cm="1">
        <f t="array" aca="1" ref="I240" ca="1">INDIRECT($K240)</f>
        <v xml:space="preserve">RAP </v>
      </c>
      <c r="K240" s="2" t="str" cm="1">
        <f t="array" aca="1" ref="K240" ca="1">CELL("address",OFFSET(Tracing!$B$5,0,ROW()-ROW($K$228)))</f>
        <v>'[2025-07-30_QuBA_libre.xlsx]Tracing'!$N$5</v>
      </c>
    </row>
    <row r="241" spans="1:12" ht="45" outlineLevel="1" x14ac:dyDescent="0.25">
      <c r="A241" s="23" t="str" cm="1">
        <f t="array" aca="1" ref="A241" ca="1">IF(INDEX($H:$H,ROW()-1)&lt;&gt;$H241,$E241,"")</f>
        <v/>
      </c>
      <c r="B241" s="71" t="str" cm="1">
        <f t="array" aca="1" ref="B241" ca="1">IF($K241="","",_xlfn.LET(
_xlpm._fullName,IF($L241="",SUBSTITUTE(SUBSTITUTE(INDIRECT($K241),CHAR(10)," "),"  "," "),$L241),
_xlpm._truncatedName,IF(LEN(_xlpm._fullName)&gt;250,LEFT(_xlpm._fullName,250)&amp;"[…]",_xlpm._fullName),
HYPERLINK("#'"&amp;$E241&amp;"'!"&amp;$F241&amp;$G241,
_xlpm._truncatedName)))</f>
        <v xml:space="preserve">Remaining Risk Level </v>
      </c>
      <c r="C241" s="13" t="s">
        <v>1421</v>
      </c>
      <c r="D241" s="13"/>
      <c r="E241" s="61" t="str">
        <f t="shared" ca="1" si="43"/>
        <v>Tracing</v>
      </c>
      <c r="F241" s="61" t="str">
        <f t="shared" ca="1" si="44"/>
        <v>O</v>
      </c>
      <c r="G241" s="61" t="str">
        <f t="shared" ca="1" si="45"/>
        <v>5</v>
      </c>
      <c r="H241" s="61" cm="1">
        <f t="array" aca="1" ref="H241" ca="1">CreateID($H$36,$H:$H,$E241&lt;&gt;INDEX($E:$E,ROW()-1))</f>
        <v>16</v>
      </c>
      <c r="I241" s="61" t="str" cm="1">
        <f t="array" aca="1" ref="I241" ca="1">INDIRECT($K241)</f>
        <v xml:space="preserve">Remaining Risk Level </v>
      </c>
      <c r="K241" s="2" t="str" cm="1">
        <f t="array" aca="1" ref="K241" ca="1">CELL("address",OFFSET(Tracing!$B$5,0,ROW()-ROW($K$228)))</f>
        <v>'[2025-07-30_QuBA_libre.xlsx]Tracing'!$O$5</v>
      </c>
    </row>
    <row r="242" spans="1:12" ht="30" outlineLevel="1" x14ac:dyDescent="0.25">
      <c r="A242" s="23" t="str" cm="1">
        <f t="array" aca="1" ref="A242" ca="1">IF(INDEX($H:$H,ROW()-1)&lt;&gt;$H242,$E242,"")</f>
        <v/>
      </c>
      <c r="B242" s="71" t="str" cm="1">
        <f t="array" aca="1" ref="B242" ca="1">IF($K242="","",_xlfn.LET(
_xlpm._fullName,IF($L242="",SUBSTITUTE(SUBSTITUTE(INDIRECT($K242),CHAR(10)," "),"  "," "),$L242),
_xlpm._truncatedName,IF(LEN(_xlpm._fullName)&gt;250,LEFT(_xlpm._fullName,250)&amp;"[…]",_xlpm._fullName),
HYPERLINK("#'"&amp;$E242&amp;"'!"&amp;$F242&amp;$G242,
_xlpm._truncatedName)))</f>
        <v>Risk Treatment Proposal</v>
      </c>
      <c r="C242" s="13" t="s">
        <v>878</v>
      </c>
      <c r="D242" s="13"/>
      <c r="E242" s="61" t="str">
        <f t="shared" ca="1" si="43"/>
        <v>Tracing</v>
      </c>
      <c r="F242" s="61" t="str">
        <f t="shared" ca="1" si="44"/>
        <v>P</v>
      </c>
      <c r="G242" s="61" t="str">
        <f t="shared" ca="1" si="45"/>
        <v>5</v>
      </c>
      <c r="H242" s="61" cm="1">
        <f t="array" aca="1" ref="H242" ca="1">CreateID($H$36,$H:$H,$E242&lt;&gt;INDEX($E:$E,ROW()-1))</f>
        <v>16</v>
      </c>
      <c r="I242" s="61" t="str" cm="1">
        <f t="array" aca="1" ref="I242" ca="1">INDIRECT($K242)</f>
        <v>Risk Treatment Proposal</v>
      </c>
      <c r="K242" s="2" t="str" cm="1">
        <f t="array" aca="1" ref="K242" ca="1">CELL("address",OFFSET(Tracing!$B$5,0,ROW()-ROW($K$228)))</f>
        <v>'[2025-07-30_QuBA_libre.xlsx]Tracing'!$P$5</v>
      </c>
    </row>
    <row r="243" spans="1:12" ht="60" outlineLevel="1" x14ac:dyDescent="0.25">
      <c r="A243" s="23" t="str" cm="1">
        <f t="array" aca="1" ref="A243" ca="1">IF(INDEX($H:$H,ROW()-1)&lt;&gt;$H243,$E243,"")</f>
        <v/>
      </c>
      <c r="B243" s="71" t="str" cm="1">
        <f t="array" aca="1" ref="B243" ca="1">IF($K243="","",_xlfn.LET(
_xlpm._fullName,IF($L243="",SUBSTITUTE(SUBSTITUTE(INDIRECT($K243),CHAR(10)," "),"  "," "),$L243),
_xlpm._truncatedName,IF(LEN(_xlpm._fullName)&gt;250,LEFT(_xlpm._fullName,250)&amp;"[…]",_xlpm._fullName),
HYPERLINK("#'"&amp;$E243&amp;"'!"&amp;$F243&amp;$G243,
_xlpm._truncatedName)))</f>
        <v>Manual Risk Treatment</v>
      </c>
      <c r="C243" s="13" t="s">
        <v>879</v>
      </c>
      <c r="D243" s="13"/>
      <c r="E243" s="61" t="str">
        <f t="shared" ref="E243:E245" ca="1" si="49">IF($K243="","",_xlfn.LET(
_xlpm._in,$K243,
_xlpm._start,FIND("]",_xlpm._in)+1,
SUBSTITUTE(MID(_xlpm._in,_xlpm._start,FIND("!",_xlpm._in)-_xlpm._start),"'","")))</f>
        <v>Tracing</v>
      </c>
      <c r="F243" s="61" t="str">
        <f t="shared" ref="F243:F245" ca="1" si="50">IF($K243="","",_xlfn.LET(
_xlpm._in,SUBSTITUTE($K243,"$","§",1),
_xlpm._start,FIND("§",_xlpm._in)+1,
SUBSTITUTE(MID(_xlpm._in,_xlpm._start,FIND("$",_xlpm._in)-_xlpm._start),"'","")))</f>
        <v>Q</v>
      </c>
      <c r="G243" s="61" t="str">
        <f t="shared" ref="G243:G245" ca="1" si="51">IF($K243="","",RIGHT($K243,LEN($K243)-FIND("$",SUBSTITUTE($K243,"$","§",1))))</f>
        <v>5</v>
      </c>
      <c r="H243" s="61" cm="1">
        <f t="array" aca="1" ref="H243" ca="1">CreateID($H$36,$H:$H,$E243&lt;&gt;INDEX($E:$E,ROW()-1))</f>
        <v>16</v>
      </c>
      <c r="I243" s="61" t="str" cm="1">
        <f t="array" aca="1" ref="I243" ca="1">INDIRECT($K243)</f>
        <v>Manual Risk Treatment</v>
      </c>
      <c r="K243" s="2" t="str" cm="1">
        <f t="array" aca="1" ref="K243" ca="1">CELL("address",OFFSET(Tracing!$B$5,0,ROW()-ROW($K$228)))</f>
        <v>'[2025-07-30_QuBA_libre.xlsx]Tracing'!$Q$5</v>
      </c>
    </row>
    <row r="244" spans="1:12" ht="75" outlineLevel="1" x14ac:dyDescent="0.25">
      <c r="A244" s="23" t="str" cm="1">
        <f t="array" aca="1" ref="A244" ca="1">IF(INDEX($H:$H,ROW()-1)&lt;&gt;$H244,$E244,"")</f>
        <v/>
      </c>
      <c r="B244" s="71" t="str" cm="1">
        <f t="array" aca="1" ref="B244" ca="1">IF($K244="","",_xlfn.LET(
_xlpm._fullName,IF($L244="",SUBSTITUTE(SUBSTITUTE(INDIRECT($K244),CHAR(10)," "),"  "," "),$L244),
_xlpm._truncatedName,IF(LEN(_xlpm._fullName)&gt;250,LEFT(_xlpm._fullName,250)&amp;"[…]",_xlpm._fullName),
HYPERLINK("#'"&amp;$E244&amp;"'!"&amp;$F244&amp;$G244,
_xlpm._truncatedName)))</f>
        <v>Risk Treatment Decision</v>
      </c>
      <c r="C244" s="13" t="s">
        <v>884</v>
      </c>
      <c r="D244" s="13"/>
      <c r="E244" s="61" t="str">
        <f t="shared" ca="1" si="49"/>
        <v>Tracing</v>
      </c>
      <c r="F244" s="61" t="str">
        <f t="shared" ca="1" si="50"/>
        <v>R</v>
      </c>
      <c r="G244" s="61" t="str">
        <f t="shared" ca="1" si="51"/>
        <v>5</v>
      </c>
      <c r="H244" s="61" cm="1">
        <f t="array" aca="1" ref="H244" ca="1">CreateID($H$36,$H:$H,$E244&lt;&gt;INDEX($E:$E,ROW()-1))</f>
        <v>16</v>
      </c>
      <c r="I244" s="61" t="str" cm="1">
        <f t="array" aca="1" ref="I244" ca="1">INDIRECT($K244)</f>
        <v>Risk Treatment Decision</v>
      </c>
      <c r="K244" s="2" t="str" cm="1">
        <f t="array" aca="1" ref="K244" ca="1">CELL("address",OFFSET(Tracing!$B$5,0,ROW()-ROW($K$228)))</f>
        <v>'[2025-07-30_QuBA_libre.xlsx]Tracing'!$R$5</v>
      </c>
    </row>
    <row r="245" spans="1:12" ht="45" outlineLevel="1" x14ac:dyDescent="0.25">
      <c r="A245" s="23" t="str" cm="1">
        <f t="array" aca="1" ref="A245" ca="1">IF(INDEX($H:$H,ROW()-1)&lt;&gt;$H245,$E245,"")</f>
        <v/>
      </c>
      <c r="B245" s="71" t="str" cm="1">
        <f t="array" aca="1" ref="B245" ca="1">IF($K245="","",_xlfn.LET(
_xlpm._fullName,IF($L245="",SUBSTITUTE(SUBSTITUTE(INDIRECT($K245),CHAR(10)," "),"  "," "),$L245),
_xlpm._truncatedName,IF(LEN(_xlpm._fullName)&gt;250,LEFT(_xlpm._fullName,250)&amp;"[…]",_xlpm._fullName),
HYPERLINK("#'"&amp;$E245&amp;"'!"&amp;$F245&amp;$G245,
_xlpm._truncatedName)))</f>
        <v>Risk Treatment Rationale / Explanation</v>
      </c>
      <c r="C245" s="13" t="s">
        <v>883</v>
      </c>
      <c r="D245" s="13"/>
      <c r="E245" s="61" t="str">
        <f t="shared" ca="1" si="49"/>
        <v>Tracing</v>
      </c>
      <c r="F245" s="61" t="str">
        <f t="shared" ca="1" si="50"/>
        <v>S</v>
      </c>
      <c r="G245" s="61" t="str">
        <f t="shared" ca="1" si="51"/>
        <v>5</v>
      </c>
      <c r="H245" s="61" cm="1">
        <f t="array" aca="1" ref="H245" ca="1">CreateID($H$36,$H:$H,$E245&lt;&gt;INDEX($E:$E,ROW()-1))</f>
        <v>16</v>
      </c>
      <c r="I245" s="61" t="str" cm="1">
        <f t="array" aca="1" ref="I245" ca="1">INDIRECT($K245)</f>
        <v>Risk Treatment Rationale / Explanation</v>
      </c>
      <c r="K245" s="2" t="str" cm="1">
        <f t="array" aca="1" ref="K245" ca="1">CELL("address",OFFSET(Tracing!$B$5,0,ROW()-ROW($K$228)))</f>
        <v>'[2025-07-30_QuBA_libre.xlsx]Tracing'!$S$5</v>
      </c>
    </row>
    <row r="246" spans="1:12" outlineLevel="1" x14ac:dyDescent="0.25">
      <c r="A246" s="23" t="str" cm="1">
        <f t="array" aca="1" ref="A246" ca="1">IF(INDEX($H:$H,ROW()-1)&lt;&gt;$H246,$E246,"")</f>
        <v/>
      </c>
      <c r="B246" s="71" t="str" cm="1">
        <f t="array" aca="1" ref="B246" ca="1">IF($K246="","",_xlfn.LET(
_xlpm._fullName,IF($L246="",SUBSTITUTE(SUBSTITUTE(INDIRECT($K246),CHAR(10)," "),"  "," "),$L246),
_xlpm._truncatedName,IF(LEN(_xlpm._fullName)&gt;250,LEFT(_xlpm._fullName,250)&amp;"[…]",_xlpm._fullName),
HYPERLINK("#'"&amp;$E246&amp;"'!"&amp;$F246&amp;$G246,
_xlpm._truncatedName)))</f>
        <v>Comment</v>
      </c>
      <c r="C246" s="13" t="s">
        <v>809</v>
      </c>
      <c r="D246" s="13"/>
      <c r="E246" s="61" t="str">
        <f ca="1">IF($K246="","",_xlfn.LET(
_xlpm._in,$K246,
_xlpm._start,FIND("]",_xlpm._in)+1,
SUBSTITUTE(MID(_xlpm._in,_xlpm._start,FIND("!",_xlpm._in)-_xlpm._start),"'","")))</f>
        <v>Tracing</v>
      </c>
      <c r="F246" s="61" t="str">
        <f ca="1">IF($K246="","",_xlfn.LET(
_xlpm._in,SUBSTITUTE($K246,"$","§",1),
_xlpm._start,FIND("§",_xlpm._in)+1,
SUBSTITUTE(MID(_xlpm._in,_xlpm._start,FIND("$",_xlpm._in)-_xlpm._start),"'","")))</f>
        <v>T</v>
      </c>
      <c r="G246" s="61" t="str">
        <f ca="1">IF($K246="","",RIGHT($K246,LEN($K246)-FIND("$",SUBSTITUTE($K246,"$","§",1))))</f>
        <v>5</v>
      </c>
      <c r="H246" s="61" cm="1">
        <f t="array" aca="1" ref="H246" ca="1">CreateID($H$36,$H:$H,$E246&lt;&gt;INDEX($E:$E,ROW()-1))</f>
        <v>16</v>
      </c>
      <c r="I246" s="61" t="str" cm="1">
        <f t="array" aca="1" ref="I246" ca="1">INDIRECT($K246)</f>
        <v>Comment</v>
      </c>
      <c r="K246" s="2" t="str" cm="1">
        <f t="array" aca="1" ref="K246" ca="1">CELL("address",OFFSET(Tracing!$B$5,0,ROW()-ROW($K$228)))</f>
        <v>'[2025-07-30_QuBA_libre.xlsx]Tracing'!$T$5</v>
      </c>
    </row>
    <row r="247" spans="1:12" ht="60" x14ac:dyDescent="0.25">
      <c r="A247" s="23" t="str" cm="1">
        <f t="array" aca="1" ref="A247" ca="1">IF(INDEX($H:$H,ROW()-1)&lt;&gt;$H247,$E247,"")</f>
        <v>Tasks</v>
      </c>
      <c r="B247" s="71" t="str" cm="1">
        <f t="array" aca="1" ref="B247" ca="1">IF($K247="","",_xlfn.LET(
_xlpm._fullName,IF($L247="",SUBSTITUTE(SUBSTITUTE(INDIRECT($K247),CHAR(10)," "),"  "," "),$L247),
_xlpm._truncatedName,IF(LEN(_xlpm._fullName)&gt;250,LEFT(_xlpm._fullName,250)&amp;"[…]",_xlpm._fullName),
HYPERLINK("#'"&amp;$E247&amp;"'!"&amp;$F247&amp;$G247,
_xlpm._truncatedName)))</f>
        <v>Key Word</v>
      </c>
      <c r="C247" s="13" t="s">
        <v>898</v>
      </c>
      <c r="D247" s="13"/>
      <c r="E247" s="61" t="str">
        <f t="shared" ca="1" si="40"/>
        <v>Tasks</v>
      </c>
      <c r="F247" s="61" t="str">
        <f t="shared" ca="1" si="41"/>
        <v>A</v>
      </c>
      <c r="G247" s="61" t="str">
        <f t="shared" ca="1" si="42"/>
        <v>17</v>
      </c>
      <c r="H247" s="61" cm="1">
        <f t="array" aca="1" ref="H247" ca="1">CreateID($H$36,$H:$H,$E247&lt;&gt;INDEX($E:$E,ROW()-1))</f>
        <v>17</v>
      </c>
      <c r="I247" s="61" t="str" cm="1">
        <f t="array" aca="1" ref="I247" ca="1">INDIRECT($K247)</f>
        <v>Key Word:</v>
      </c>
      <c r="K247" s="2" t="str" cm="1">
        <f t="array" aca="1" ref="K247" ca="1">CELL("address",Tasks!$A$17)</f>
        <v>'[2025-07-30_QuBA_libre.xlsx]Tasks'!$A$17</v>
      </c>
      <c r="L247" s="2" t="s">
        <v>897</v>
      </c>
    </row>
    <row r="248" spans="1:12" ht="60" outlineLevel="1" x14ac:dyDescent="0.25">
      <c r="A248" s="23" t="str" cm="1">
        <f t="array" aca="1" ref="A248" ca="1">IF(INDEX($H:$H,ROW()-1)&lt;&gt;$H248,$E248,"")</f>
        <v/>
      </c>
      <c r="B248" s="71" t="str" cm="1">
        <f t="array" aca="1" ref="B248" ca="1">IF($K248="","",_xlfn.LET(
_xlpm._fullName,IF($L248="",SUBSTITUTE(SUBSTITUTE(INDIRECT($K248),CHAR(10)," "),"  "," "),$L248),
_xlpm._truncatedName,IF(LEN(_xlpm._fullName)&gt;250,LEFT(_xlpm._fullName,250)&amp;"[…]",_xlpm._fullName),
HYPERLINK("#'"&amp;$E248&amp;"'!"&amp;$F248&amp;$G248,
_xlpm._truncatedName)))</f>
        <v>Element</v>
      </c>
      <c r="C248" s="13" t="s">
        <v>928</v>
      </c>
      <c r="D248" s="13"/>
      <c r="E248" s="61" t="str">
        <f t="shared" ca="1" si="40"/>
        <v>Tasks</v>
      </c>
      <c r="F248" s="61" t="str">
        <f t="shared" ca="1" si="41"/>
        <v>A</v>
      </c>
      <c r="G248" s="61" t="str">
        <f t="shared" ca="1" si="42"/>
        <v>19</v>
      </c>
      <c r="H248" s="61" cm="1">
        <f t="array" aca="1" ref="H248" ca="1">CreateID($H$36,$H:$H,$E248&lt;&gt;INDEX($E:$E,ROW()-1))</f>
        <v>17</v>
      </c>
      <c r="I248" s="61" t="str" cm="1">
        <f t="array" aca="1" ref="I248" ca="1">INDIRECT($K248)</f>
        <v>Element</v>
      </c>
      <c r="K248" s="2" t="str" cm="1">
        <f t="array" aca="1" ref="K248" ca="1">CELL("address",Tasks!$A$19)</f>
        <v>'[2025-07-30_QuBA_libre.xlsx]Tasks'!$A$19</v>
      </c>
    </row>
    <row r="249" spans="1:12" ht="45" outlineLevel="1" x14ac:dyDescent="0.25">
      <c r="A249" s="23" t="str" cm="1">
        <f t="array" aca="1" ref="A249" ca="1">IF(INDEX($H:$H,ROW()-1)&lt;&gt;$H249,$E249,"")</f>
        <v/>
      </c>
      <c r="B249" s="71" t="str" cm="1">
        <f t="array" aca="1" ref="B249" ca="1">IF($K249="","",_xlfn.LET(
_xlpm._fullName,IF($L249="",SUBSTITUTE(SUBSTITUTE(INDIRECT($K249),CHAR(10)," "),"  "," "),$L249),
_xlpm._truncatedName,IF(LEN(_xlpm._fullName)&gt;250,LEFT(_xlpm._fullName,250)&amp;"[…]",_xlpm._fullName),
HYPERLINK("#'"&amp;$E249&amp;"'!"&amp;$F249&amp;$G249,
_xlpm._truncatedName)))</f>
        <v>Comment (click to follow the link)</v>
      </c>
      <c r="C249" s="13" t="s">
        <v>929</v>
      </c>
      <c r="D249" s="13"/>
      <c r="E249" s="61" t="str">
        <f t="shared" ca="1" si="40"/>
        <v>Tasks</v>
      </c>
      <c r="F249" s="61" t="str">
        <f t="shared" ca="1" si="41"/>
        <v>B</v>
      </c>
      <c r="G249" s="61" t="str">
        <f t="shared" ca="1" si="42"/>
        <v>19</v>
      </c>
      <c r="H249" s="61" cm="1">
        <f t="array" aca="1" ref="H249" ca="1">CreateID($H$36,$H:$H,$E249&lt;&gt;INDEX($E:$E,ROW()-1))</f>
        <v>17</v>
      </c>
      <c r="I249" s="61" t="str" cm="1">
        <f t="array" aca="1" ref="I249" ca="1">INDIRECT($K249)</f>
        <v>Comment (click to follow the link)</v>
      </c>
      <c r="K249" s="2" t="str" cm="1">
        <f t="array" aca="1" ref="K249" ca="1">CELL("address",Tasks!$B$19)</f>
        <v>'[2025-07-30_QuBA_libre.xlsx]Tasks'!$B$19</v>
      </c>
    </row>
    <row r="250" spans="1:12" ht="90" x14ac:dyDescent="0.25">
      <c r="A250" s="23" t="str" cm="1">
        <f t="array" aca="1" ref="A250" ca="1">IF(INDEX($H:$H,ROW()-1)&lt;&gt;$H250,$E250,"")</f>
        <v>Quality Indicators</v>
      </c>
      <c r="B250" s="71" t="str" cm="1">
        <f t="array" aca="1" ref="B250" ca="1">IF($K250="","",_xlfn.LET(
_xlpm._fullName,IF($L250="",SUBSTITUTE(SUBSTITUTE(INDIRECT($K250),CHAR(10)," "),"  "," "),$L250),
_xlpm._truncatedName,IF(LEN(_xlpm._fullName)&gt;250,LEFT(_xlpm._fullName,250)&amp;"[…]",_xlpm._fullName),
HYPERLINK("#'"&amp;$E250&amp;"'!"&amp;$F250&amp;$G250,
_xlpm._truncatedName)))</f>
        <v>#</v>
      </c>
      <c r="C250" s="13" t="s">
        <v>899</v>
      </c>
      <c r="D250" s="13"/>
      <c r="E250" s="61" t="str">
        <f t="shared" ca="1" si="40"/>
        <v>Quality Indicators</v>
      </c>
      <c r="F250" s="61" t="str">
        <f t="shared" ca="1" si="41"/>
        <v>A</v>
      </c>
      <c r="G250" s="61" t="str">
        <f t="shared" ca="1" si="42"/>
        <v>2</v>
      </c>
      <c r="H250" s="61" cm="1">
        <f t="array" aca="1" ref="H250" ca="1">CreateID($H$36,$H:$H,$E250&lt;&gt;INDEX($E:$E,ROW()-1))</f>
        <v>18</v>
      </c>
      <c r="I250" s="61" t="str" cm="1">
        <f t="array" aca="1" ref="I250" ca="1">INDIRECT($K250)</f>
        <v>#</v>
      </c>
      <c r="K250" s="2" t="str" cm="1">
        <f t="array" aca="1" ref="K250" ca="1">CELL("address",OFFSET('Quality Indicators'!$A$2,0,ROW()-ROW($K$250)))</f>
        <v>'[2025-07-30_QuBA_libre.xlsx]Quality Indicators'!$A$2</v>
      </c>
    </row>
    <row r="251" spans="1:12" outlineLevel="1" x14ac:dyDescent="0.25">
      <c r="A251" s="23" t="str" cm="1">
        <f t="array" aca="1" ref="A251" ca="1">IF(INDEX($H:$H,ROW()-1)&lt;&gt;$H251,$E251,"")</f>
        <v/>
      </c>
      <c r="B251" s="71" t="str" cm="1">
        <f t="array" aca="1" ref="B251" ca="1">IF($K251="","",_xlfn.LET(
_xlpm._fullName,IF($L251="",SUBSTITUTE(SUBSTITUTE(INDIRECT($K251),CHAR(10)," "),"  "," "),$L251),
_xlpm._truncatedName,IF(LEN(_xlpm._fullName)&gt;250,LEFT(_xlpm._fullName,250)&amp;"[…]",_xlpm._fullName),
HYPERLINK("#'"&amp;$E251&amp;"'!"&amp;$F251&amp;$G251,
_xlpm._truncatedName)))</f>
        <v>Criterion</v>
      </c>
      <c r="C251" s="13" t="s">
        <v>900</v>
      </c>
      <c r="D251" s="13"/>
      <c r="E251" s="61" t="str">
        <f t="shared" ca="1" si="40"/>
        <v>Quality Indicators</v>
      </c>
      <c r="F251" s="61" t="str">
        <f t="shared" ca="1" si="41"/>
        <v>B</v>
      </c>
      <c r="G251" s="61" t="str">
        <f t="shared" ca="1" si="42"/>
        <v>2</v>
      </c>
      <c r="H251" s="61" cm="1">
        <f t="array" aca="1" ref="H251" ca="1">CreateID($H$36,$H:$H,$E251&lt;&gt;INDEX($E:$E,ROW()-1))</f>
        <v>18</v>
      </c>
      <c r="I251" s="61" t="str" cm="1">
        <f t="array" aca="1" ref="I251" ca="1">INDIRECT($K251)</f>
        <v>Criterion</v>
      </c>
      <c r="K251" s="2" t="str" cm="1">
        <f t="array" aca="1" ref="K251" ca="1">CELL("address",OFFSET('Quality Indicators'!$A$2,0,ROW()-ROW($K$250)))</f>
        <v>'[2025-07-30_QuBA_libre.xlsx]Quality Indicators'!$B$2</v>
      </c>
    </row>
    <row r="252" spans="1:12" ht="30" outlineLevel="1" x14ac:dyDescent="0.25">
      <c r="A252" s="23" t="str" cm="1">
        <f t="array" aca="1" ref="A252" ca="1">IF(INDEX($H:$H,ROW()-1)&lt;&gt;$H252,$E252,"")</f>
        <v/>
      </c>
      <c r="B252" s="71" t="str" cm="1">
        <f t="array" aca="1" ref="B252" ca="1">IF($K252="","",_xlfn.LET(
_xlpm._fullName,IF($L252="",SUBSTITUTE(SUBSTITUTE(INDIRECT($K252),CHAR(10)," "),"  "," "),$L252),
_xlpm._truncatedName,IF(LEN(_xlpm._fullName)&gt;250,LEFT(_xlpm._fullName,250)&amp;"[…]",_xlpm._fullName),
HYPERLINK("#'"&amp;$E252&amp;"'!"&amp;$F252&amp;$G252,
_xlpm._truncatedName)))</f>
        <v>Triggering Elements</v>
      </c>
      <c r="C252" s="13" t="s">
        <v>901</v>
      </c>
      <c r="D252" s="13"/>
      <c r="E252" s="61" t="str">
        <f t="shared" ca="1" si="40"/>
        <v>Quality Indicators</v>
      </c>
      <c r="F252" s="61" t="str">
        <f t="shared" ca="1" si="41"/>
        <v>C</v>
      </c>
      <c r="G252" s="61" t="str">
        <f t="shared" ca="1" si="42"/>
        <v>2</v>
      </c>
      <c r="H252" s="61" cm="1">
        <f t="array" aca="1" ref="H252" ca="1">CreateID($H$36,$H:$H,$E252&lt;&gt;INDEX($E:$E,ROW()-1))</f>
        <v>18</v>
      </c>
      <c r="I252" s="61" t="str" cm="1">
        <f t="array" aca="1" ref="I252" ca="1">INDIRECT($K252)</f>
        <v>Triggering Elements</v>
      </c>
      <c r="K252" s="2" t="str" cm="1">
        <f t="array" aca="1" ref="K252" ca="1">CELL("address",OFFSET('Quality Indicators'!$A$2,0,ROW()-ROW($K$250)))</f>
        <v>'[2025-07-30_QuBA_libre.xlsx]Quality Indicators'!$C$2</v>
      </c>
    </row>
    <row r="253" spans="1:12" ht="30" outlineLevel="1" x14ac:dyDescent="0.25">
      <c r="A253" s="23" t="str" cm="1">
        <f t="array" aca="1" ref="A253" ca="1">IF(INDEX($H:$H,ROW()-1)&lt;&gt;$H253,$E253,"")</f>
        <v/>
      </c>
      <c r="B253" s="71" t="str" cm="1">
        <f t="array" aca="1" ref="B253" ca="1">IF($K253="","",_xlfn.LET(
_xlpm._fullName,IF($L253="",SUBSTITUTE(SUBSTITUTE(INDIRECT($K253),CHAR(10)," "),"  "," "),$L253),
_xlpm._truncatedName,IF(LEN(_xlpm._fullName)&gt;250,LEFT(_xlpm._fullName,250)&amp;"[…]",_xlpm._fullName),
HYPERLINK("#'"&amp;$E253&amp;"'!"&amp;$F253&amp;$G253,
_xlpm._truncatedName)))</f>
        <v>Link to First Element</v>
      </c>
      <c r="C253" s="13" t="s">
        <v>902</v>
      </c>
      <c r="D253" s="13"/>
      <c r="E253" s="61" t="str">
        <f t="shared" ca="1" si="40"/>
        <v>Quality Indicators</v>
      </c>
      <c r="F253" s="61" t="str">
        <f t="shared" ca="1" si="41"/>
        <v>D</v>
      </c>
      <c r="G253" s="61" t="str">
        <f t="shared" ca="1" si="42"/>
        <v>2</v>
      </c>
      <c r="H253" s="61" cm="1">
        <f t="array" aca="1" ref="H253" ca="1">CreateID($H$36,$H:$H,$E253&lt;&gt;INDEX($E:$E,ROW()-1))</f>
        <v>18</v>
      </c>
      <c r="I253" s="61" t="str" cm="1">
        <f t="array" aca="1" ref="I253" ca="1">INDIRECT($K253)</f>
        <v>Link to First Element</v>
      </c>
      <c r="K253" s="2" t="str" cm="1">
        <f t="array" aca="1" ref="K253" ca="1">CELL("address",OFFSET('Quality Indicators'!$A$2,0,ROW()-ROW($K$250)))</f>
        <v>'[2025-07-30_QuBA_libre.xlsx]Quality Indicators'!$D$2</v>
      </c>
    </row>
    <row r="254" spans="1:12" outlineLevel="1" x14ac:dyDescent="0.25">
      <c r="A254" s="23" t="str" cm="1">
        <f t="array" aca="1" ref="A254" ca="1">IF(INDEX($H:$H,ROW()-1)&lt;&gt;$H254,$E254,"")</f>
        <v/>
      </c>
      <c r="B254" s="71" t="str" cm="1">
        <f t="array" aca="1" ref="B254" ca="1">IF($K254="","",_xlfn.LET(
_xlpm._fullName,IF($L254="",SUBSTITUTE(SUBSTITUTE(INDIRECT($K254),CHAR(10)," "),"  "," "),$L254),
_xlpm._truncatedName,IF(LEN(_xlpm._fullName)&gt;250,LEFT(_xlpm._fullName,250)&amp;"[…]",_xlpm._fullName),
HYPERLINK("#'"&amp;$E254&amp;"'!"&amp;$F254&amp;$G254,
_xlpm._truncatedName)))</f>
        <v>Open IDs</v>
      </c>
      <c r="C254" s="13" t="s">
        <v>903</v>
      </c>
      <c r="D254" s="13"/>
      <c r="E254" s="61" t="str">
        <f t="shared" ca="1" si="40"/>
        <v>Quality Indicators</v>
      </c>
      <c r="F254" s="61" t="str">
        <f t="shared" ca="1" si="41"/>
        <v>E</v>
      </c>
      <c r="G254" s="61" t="str">
        <f t="shared" ca="1" si="42"/>
        <v>2</v>
      </c>
      <c r="H254" s="61" cm="1">
        <f t="array" aca="1" ref="H254" ca="1">CreateID($H$36,$H:$H,$E254&lt;&gt;INDEX($E:$E,ROW()-1))</f>
        <v>18</v>
      </c>
      <c r="I254" s="61" t="str" cm="1">
        <f t="array" aca="1" ref="I254" ca="1">INDIRECT($K254)</f>
        <v>Open IDs</v>
      </c>
      <c r="K254" s="2" t="str" cm="1">
        <f t="array" aca="1" ref="K254" ca="1">CELL("address",OFFSET('Quality Indicators'!$A$2,0,ROW()-ROW($K$250)))</f>
        <v>'[2025-07-30_QuBA_libre.xlsx]Quality Indicators'!$E$2</v>
      </c>
    </row>
    <row r="255" spans="1:12" ht="30" outlineLevel="1" x14ac:dyDescent="0.25">
      <c r="A255" s="23" t="str" cm="1">
        <f t="array" aca="1" ref="A255" ca="1">IF(INDEX($H:$H,ROW()-1)&lt;&gt;$H255,$E255,"")</f>
        <v/>
      </c>
      <c r="B255" s="71" t="str" cm="1">
        <f t="array" aca="1" ref="B255" ca="1">IF($K255="","",_xlfn.LET(
_xlpm._fullName,IF($L255="",SUBSTITUTE(SUBSTITUTE(INDIRECT($K255),CHAR(10)," "),"  "," "),$L255),
_xlpm._truncatedName,IF(LEN(_xlpm._fullName)&gt;250,LEFT(_xlpm._fullName,250)&amp;"[…]",_xlpm._fullName),
HYPERLINK("#'"&amp;$E255&amp;"'!"&amp;$F255&amp;$G255,
_xlpm._truncatedName)))</f>
        <v>OK for IDs</v>
      </c>
      <c r="C255" s="13" t="s">
        <v>904</v>
      </c>
      <c r="D255" s="13"/>
      <c r="E255" s="61" t="str">
        <f t="shared" ca="1" si="40"/>
        <v>Quality Indicators</v>
      </c>
      <c r="F255" s="61" t="str">
        <f t="shared" ca="1" si="41"/>
        <v>F</v>
      </c>
      <c r="G255" s="61" t="str">
        <f t="shared" ca="1" si="42"/>
        <v>2</v>
      </c>
      <c r="H255" s="61" cm="1">
        <f t="array" aca="1" ref="H255" ca="1">CreateID($H$36,$H:$H,$E255&lt;&gt;INDEX($E:$E,ROW()-1))</f>
        <v>18</v>
      </c>
      <c r="I255" s="61" t="str" cm="1">
        <f t="array" aca="1" ref="I255" ca="1">INDIRECT($K255)</f>
        <v>OK for IDs</v>
      </c>
      <c r="K255" s="2" t="str" cm="1">
        <f t="array" aca="1" ref="K255" ca="1">CELL("address",OFFSET('Quality Indicators'!$A$2,0,ROW()-ROW($K$250)))</f>
        <v>'[2025-07-30_QuBA_libre.xlsx]Quality Indicators'!$F$2</v>
      </c>
    </row>
    <row r="256" spans="1:12" outlineLevel="1" x14ac:dyDescent="0.25">
      <c r="A256" s="23" t="str" cm="1">
        <f t="array" aca="1" ref="A256" ca="1">IF(INDEX($H:$H,ROW()-1)&lt;&gt;$H256,$E256,"")</f>
        <v/>
      </c>
      <c r="B256" s="71" t="str" cm="1">
        <f t="array" aca="1" ref="B256" ca="1">IF($K256="","",_xlfn.LET(
_xlpm._fullName,IF($L256="",SUBSTITUTE(SUBSTITUTE(INDIRECT($K256),CHAR(10)," "),"  "," "),$L256),
_xlpm._truncatedName,IF(LEN(_xlpm._fullName)&gt;250,LEFT(_xlpm._fullName,250)&amp;"[…]",_xlpm._fullName),
HYPERLINK("#'"&amp;$E256&amp;"'!"&amp;$F256&amp;$G256,
_xlpm._truncatedName)))</f>
        <v>Rationale</v>
      </c>
      <c r="C256" s="13" t="s">
        <v>905</v>
      </c>
      <c r="D256" s="13"/>
      <c r="E256" s="61" t="str">
        <f t="shared" ca="1" si="40"/>
        <v>Quality Indicators</v>
      </c>
      <c r="F256" s="61" t="str">
        <f t="shared" ca="1" si="41"/>
        <v>G</v>
      </c>
      <c r="G256" s="61" t="str">
        <f t="shared" ca="1" si="42"/>
        <v>2</v>
      </c>
      <c r="H256" s="61" cm="1">
        <f t="array" aca="1" ref="H256" ca="1">CreateID($H$36,$H:$H,$E256&lt;&gt;INDEX($E:$E,ROW()-1))</f>
        <v>18</v>
      </c>
      <c r="I256" s="61" t="str" cm="1">
        <f t="array" aca="1" ref="I256" ca="1">INDIRECT($K256)</f>
        <v>Rationale</v>
      </c>
      <c r="K256" s="2" t="str" cm="1">
        <f t="array" aca="1" ref="K256" ca="1">CELL("address",OFFSET('Quality Indicators'!$A$2,0,ROW()-ROW($K$250)))</f>
        <v>'[2025-07-30_QuBA_libre.xlsx]Quality Indicators'!$G$2</v>
      </c>
    </row>
    <row r="257" spans="1:11" ht="30" collapsed="1" x14ac:dyDescent="0.25">
      <c r="A257" s="23" t="str" cm="1">
        <f t="array" aca="1" ref="A257" ca="1">IF(INDEX($H:$H,ROW()-1)&lt;&gt;$H257,$E257,"")</f>
        <v>JSON</v>
      </c>
      <c r="B257" s="71" t="str" cm="1">
        <f t="array" aca="1" ref="B257" ca="1">IF($K257="","",_xlfn.LET(
_xlpm._fullName,IF($L257="",SUBSTITUTE(SUBSTITUTE(INDIRECT($K257),CHAR(10)," "),"  "," "),$L257),
_xlpm._truncatedName,IF(LEN(_xlpm._fullName)&gt;250,LEFT(_xlpm._fullName,250)&amp;"[…]",_xlpm._fullName),
HYPERLINK("#'"&amp;$E257&amp;"'!"&amp;$F257&amp;$G257,
_xlpm._truncatedName)))</f>
        <v>Sheet</v>
      </c>
      <c r="C257" s="13" t="s">
        <v>1365</v>
      </c>
      <c r="D257" s="13"/>
      <c r="E257" s="61" t="str">
        <f ca="1">IF($K257="","",_xlfn.LET(
_xlpm._in,$K257,
_xlpm._start,FIND("]",_xlpm._in)+1,
SUBSTITUTE(MID(_xlpm._in,_xlpm._start,FIND("!",_xlpm._in)-_xlpm._start),"'","")))</f>
        <v>JSON</v>
      </c>
      <c r="F257" s="61" t="str">
        <f ca="1">IF($K257="","",_xlfn.LET(
_xlpm._in,SUBSTITUTE($K257,"$","§",1),
_xlpm._start,FIND("§",_xlpm._in)+1,
SUBSTITUTE(MID(_xlpm._in,_xlpm._start,FIND("$",_xlpm._in)-_xlpm._start),"'","")))</f>
        <v>B</v>
      </c>
      <c r="G257" s="61" t="str">
        <f ca="1">IF($K257="","",RIGHT($K257,LEN($K257)-FIND("$",SUBSTITUTE($K257,"$","§",1))))</f>
        <v>6</v>
      </c>
      <c r="H257" s="61" cm="1">
        <f t="array" aca="1" ref="H257" ca="1">CreateID($H$36,$H:$H,$E257&lt;&gt;INDEX($E:$E,ROW()-1))</f>
        <v>19</v>
      </c>
      <c r="I257" s="61" t="str" cm="1">
        <f t="array" aca="1" ref="I257" ca="1">INDIRECT($K257)</f>
        <v>Sheet</v>
      </c>
      <c r="K257" s="2" t="str" cm="1">
        <f t="array" aca="1" ref="K257" ca="1">CELL("address",JSON!$B$6)</f>
        <v>'[2025-07-30_QuBA_libre.xlsx]JSON'!$B$6</v>
      </c>
    </row>
    <row r="258" spans="1:11" ht="120" x14ac:dyDescent="0.25">
      <c r="A258" s="23" t="str" cm="1">
        <f t="array" aca="1" ref="A258" ca="1">IF(INDEX($H:$H,ROW()-1)&lt;&gt;$H258,$E258,"")</f>
        <v/>
      </c>
      <c r="B258" s="71" t="str" cm="1">
        <f t="array" aca="1" ref="B258" ca="1">IF($K258="","",_xlfn.LET(
_xlpm._fullName,IF($L258="",SUBSTITUTE(SUBSTITUTE(INDIRECT($K258),CHAR(10)," "),"  "," "),$L258),
_xlpm._truncatedName,IF(LEN(_xlpm._fullName)&gt;250,LEFT(_xlpm._fullName,250)&amp;"[…]",_xlpm._fullName),
HYPERLINK("#'"&amp;$E258&amp;"'!"&amp;$F258&amp;$G258,
_xlpm._truncatedName)))</f>
        <v>Export String (copy to MS Word)</v>
      </c>
      <c r="C258" s="13" t="s">
        <v>1366</v>
      </c>
      <c r="D258" s="13" t="s">
        <v>1367</v>
      </c>
      <c r="E258" s="61" t="str">
        <f ca="1">IF($K258="","",_xlfn.LET(
_xlpm._in,$K258,
_xlpm._start,FIND("]",_xlpm._in)+1,
SUBSTITUTE(MID(_xlpm._in,_xlpm._start,FIND("!",_xlpm._in)-_xlpm._start),"'","")))</f>
        <v>JSON</v>
      </c>
      <c r="F258" s="61" t="str">
        <f ca="1">IF($K258="","",_xlfn.LET(
_xlpm._in,SUBSTITUTE($K258,"$","§",1),
_xlpm._start,FIND("§",_xlpm._in)+1,
SUBSTITUTE(MID(_xlpm._in,_xlpm._start,FIND("$",_xlpm._in)-_xlpm._start),"'","")))</f>
        <v>C</v>
      </c>
      <c r="G258" s="61" t="str">
        <f ca="1">IF($K258="","",RIGHT($K258,LEN($K258)-FIND("$",SUBSTITUTE($K258,"$","§",1))))</f>
        <v>6</v>
      </c>
      <c r="H258" s="61" cm="1">
        <f t="array" aca="1" ref="H258" ca="1">CreateID($H$36,$H:$H,$E258&lt;&gt;INDEX($E:$E,ROW()-1))</f>
        <v>19</v>
      </c>
      <c r="I258" s="61" t="str" cm="1">
        <f t="array" aca="1" ref="I258" ca="1">INDIRECT($K258)</f>
        <v>Export String (copy to MS Word)</v>
      </c>
      <c r="K258" s="2" t="str" cm="1">
        <f t="array" aca="1" ref="K258" ca="1">CELL("address",JSON!$C$6)</f>
        <v>'[2025-07-30_QuBA_libre.xlsx]JSON'!$C$6</v>
      </c>
    </row>
  </sheetData>
  <mergeCells count="3">
    <mergeCell ref="B9:D9"/>
    <mergeCell ref="B7:D7"/>
    <mergeCell ref="B3:D3"/>
  </mergeCells>
  <conditionalFormatting sqref="A1:A34 A35:D35 A36:A1048576">
    <cfRule type="expression" dxfId="83" priority="6">
      <formula>AND($H1&lt;&gt;"",MOD($H1,2)=0)</formula>
    </cfRule>
    <cfRule type="expression" dxfId="82" priority="7">
      <formula>AND($H1&lt;&gt;"",MOD($H1,2)=1)</formula>
    </cfRule>
  </conditionalFormatting>
  <conditionalFormatting sqref="C4:C6 C8 C10:C34 C36:C1048576">
    <cfRule type="expression" dxfId="81" priority="5">
      <formula>IFERROR(FIND("Calculated:",$C4)&gt;0,FALSE)</formula>
    </cfRule>
  </conditionalFormatting>
  <conditionalFormatting sqref="C1:D2">
    <cfRule type="expression" dxfId="80" priority="4">
      <formula>IFERROR(FIND("Calculated:",$C1)&gt;0,FALSE)</formula>
    </cfRule>
  </conditionalFormatting>
  <conditionalFormatting sqref="D12">
    <cfRule type="expression" dxfId="79" priority="3">
      <formula>IFERROR(FIND("Calculated:",$C12)&gt;0,FALSE)</formula>
    </cfRule>
  </conditionalFormatting>
  <conditionalFormatting sqref="D21">
    <cfRule type="expression" dxfId="78" priority="2">
      <formula>IFERROR(FIND("Calculated:",$C21)&gt;0,FALSE)</formula>
    </cfRule>
  </conditionalFormatting>
  <conditionalFormatting sqref="D28">
    <cfRule type="expression" dxfId="77" priority="1">
      <formula>IFERROR(FIND("Calculated:",$C28)&gt;0,FALSE)</formula>
    </cfRule>
  </conditionalFormatting>
  <pageMargins left="0.7" right="0.7" top="0.75" bottom="0.75" header="0.3" footer="0.3"/>
  <pageSetup paperSize="9" orientation="portrait" r:id="rId1"/>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B8D93-95D7-4105-9CDD-A7C6BEE73F4B}">
  <sheetPr>
    <tabColor theme="1"/>
  </sheetPr>
  <dimension ref="A1:I19"/>
  <sheetViews>
    <sheetView workbookViewId="0">
      <selection activeCell="E3" sqref="E3"/>
    </sheetView>
  </sheetViews>
  <sheetFormatPr defaultColWidth="9.140625" defaultRowHeight="15" x14ac:dyDescent="0.25"/>
  <cols>
    <col min="1" max="1" width="2.7109375" style="115" customWidth="1"/>
    <col min="2" max="2" width="24.5703125" style="2" bestFit="1" customWidth="1"/>
    <col min="3" max="3" width="24.5703125" style="2" customWidth="1"/>
    <col min="4" max="4" width="120.7109375" style="2" customWidth="1"/>
    <col min="5" max="5" width="35.7109375" style="2" customWidth="1"/>
    <col min="6" max="6" width="15.7109375" style="2" hidden="1" customWidth="1"/>
    <col min="7" max="8" width="9.140625" style="2"/>
    <col min="9" max="9" width="10.140625" style="2" bestFit="1" customWidth="1"/>
    <col min="10" max="16384" width="9.140625" style="2"/>
  </cols>
  <sheetData>
    <row r="1" spans="1:9" ht="18.75" x14ac:dyDescent="0.3">
      <c r="A1" s="115"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HYPERLINK("#'"&amp;Helper!$G$2&amp;"'!"&amp;CHAR(CODE("A")+COLUMN(_xlpm._columnNameHeader)-1)&amp;_xlpm._entryOffset,Definitions!$AY$4)))(Helper!$G$20,$B1,README!$E:$E,README!$I$36,README!$B$36)</f>
        <v>◈</v>
      </c>
      <c r="B1" s="31" t="s">
        <v>250</v>
      </c>
      <c r="C1" s="31"/>
    </row>
    <row r="2" spans="1:9" x14ac:dyDescent="0.25">
      <c r="B2" s="132" t="s">
        <v>251</v>
      </c>
      <c r="C2" s="132" t="s">
        <v>1719</v>
      </c>
      <c r="D2" s="132" t="s">
        <v>252</v>
      </c>
      <c r="E2" s="132" t="s">
        <v>253</v>
      </c>
      <c r="F2" s="135" t="s">
        <v>1721</v>
      </c>
    </row>
    <row r="3" spans="1:9" ht="30" x14ac:dyDescent="0.25">
      <c r="B3" s="32">
        <v>45870</v>
      </c>
      <c r="C3" s="32" t="s">
        <v>1758</v>
      </c>
      <c r="D3" s="13" t="s">
        <v>921</v>
      </c>
      <c r="E3" s="137" t="s">
        <v>1732</v>
      </c>
      <c r="F3" s="2" t="b" cm="1">
        <f t="array" aca="1" ref="F3" ca="1">_xlfn.LAMBDA(_xlpm._dateCell,AND(_xlpm._dateCell&lt;&gt;"",OFFSET(_xlpm._dateCell,1,0)=""))($B3)</f>
        <v>1</v>
      </c>
      <c r="I3" s="136"/>
    </row>
    <row r="5" spans="1:9" ht="18.75" x14ac:dyDescent="0.3">
      <c r="A5" s="115" t="str" cm="1">
        <f t="array" aca="1" ref="A5"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HYPERLINK("#'"&amp;Helper!$G$2&amp;"'!"&amp;CHAR(CODE("A")+COLUMN(_xlpm._columnNameHeader)-1)&amp;_xlpm._entryOffset,Definitions!$AY$4)))(Helper!$G$20,$B5,README!$E:$E,README!$I$36,README!$B$36)</f>
        <v>◈</v>
      </c>
      <c r="B5" s="31" t="s">
        <v>1134</v>
      </c>
      <c r="C5" s="31"/>
    </row>
    <row r="6" spans="1:9" x14ac:dyDescent="0.25">
      <c r="B6" s="132" t="s">
        <v>251</v>
      </c>
      <c r="C6" s="132" t="s">
        <v>1127</v>
      </c>
      <c r="D6" s="132" t="s">
        <v>252</v>
      </c>
      <c r="E6" s="132" t="s">
        <v>1720</v>
      </c>
      <c r="F6" s="135" t="s">
        <v>1721</v>
      </c>
    </row>
    <row r="7" spans="1:9" x14ac:dyDescent="0.25">
      <c r="B7" s="133">
        <v>45870</v>
      </c>
      <c r="C7" s="133"/>
      <c r="D7" s="134" t="s">
        <v>922</v>
      </c>
      <c r="E7" s="134"/>
      <c r="F7" s="2" t="b" cm="1">
        <f t="array" aca="1" ref="F7" ca="1">_xlfn.LAMBDA(_xlpm._dateCell,AND(_xlpm._dateCell&lt;&gt;"",OFFSET(_xlpm._dateCell,1,0)=""))($B7)</f>
        <v>1</v>
      </c>
    </row>
    <row r="9" spans="1:9" ht="18.75" x14ac:dyDescent="0.3">
      <c r="A9" s="115" t="str" cm="1">
        <f t="array" aca="1" ref="A9"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HYPERLINK("#'"&amp;Helper!$G$2&amp;"'!"&amp;CHAR(CODE("A")+COLUMN(_xlpm._columnNameHeader)-1)&amp;_xlpm._entryOffset,Definitions!$AY$4)))(Helper!$G$20,$B9,README!$E:$E,README!$I$36,README!$B$36)</f>
        <v>◈</v>
      </c>
      <c r="B9" s="31" t="s">
        <v>655</v>
      </c>
      <c r="C9" s="31"/>
    </row>
    <row r="10" spans="1:9" x14ac:dyDescent="0.25">
      <c r="B10" s="132" t="s">
        <v>251</v>
      </c>
      <c r="C10" s="132" t="s">
        <v>1720</v>
      </c>
      <c r="D10" s="132" t="s">
        <v>252</v>
      </c>
      <c r="E10" s="132" t="s">
        <v>1127</v>
      </c>
      <c r="F10" s="135" t="s">
        <v>1721</v>
      </c>
    </row>
    <row r="11" spans="1:9" x14ac:dyDescent="0.25">
      <c r="B11" s="133">
        <v>45870</v>
      </c>
      <c r="C11" s="133"/>
      <c r="D11" s="134" t="s">
        <v>922</v>
      </c>
      <c r="E11" s="134"/>
      <c r="F11" s="2" t="b" cm="1">
        <f t="array" aca="1" ref="F11" ca="1">_xlfn.LAMBDA(_xlpm._dateCell,AND(_xlpm._dateCell&lt;&gt;"",OFFSET(_xlpm._dateCell,1,0)=""))($B11)</f>
        <v>1</v>
      </c>
    </row>
    <row r="13" spans="1:9" ht="18.75" x14ac:dyDescent="0.3">
      <c r="A13" s="115" t="str" cm="1">
        <f t="array" aca="1" ref="A1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HYPERLINK("#'"&amp;Helper!$G$2&amp;"'!"&amp;CHAR(CODE("A")+COLUMN(_xlpm._columnNameHeader)-1)&amp;_xlpm._entryOffset,Definitions!$AY$4)))(Helper!$G$20,$B13,README!$E:$E,README!$I$36,README!$B$36)</f>
        <v>◈</v>
      </c>
      <c r="B13" s="31" t="s">
        <v>656</v>
      </c>
      <c r="C13" s="31"/>
    </row>
    <row r="14" spans="1:9" x14ac:dyDescent="0.25">
      <c r="B14" s="132" t="s">
        <v>251</v>
      </c>
      <c r="C14" s="132" t="s">
        <v>1720</v>
      </c>
      <c r="D14" s="132" t="s">
        <v>252</v>
      </c>
      <c r="E14" s="132" t="s">
        <v>1127</v>
      </c>
      <c r="F14" s="135" t="s">
        <v>1721</v>
      </c>
    </row>
    <row r="15" spans="1:9" x14ac:dyDescent="0.25">
      <c r="B15" s="133">
        <v>45870</v>
      </c>
      <c r="C15" s="133"/>
      <c r="D15" s="134" t="s">
        <v>922</v>
      </c>
      <c r="E15" s="134"/>
      <c r="F15" s="2" t="b" cm="1">
        <f t="array" aca="1" ref="F15" ca="1">_xlfn.LAMBDA(_xlpm._dateCell,AND(_xlpm._dateCell&lt;&gt;"",OFFSET(_xlpm._dateCell,1,0)=""))($B15)</f>
        <v>1</v>
      </c>
    </row>
    <row r="17" spans="1:6" ht="18.75" x14ac:dyDescent="0.3">
      <c r="A17" s="115" t="str" cm="1">
        <f t="array" aca="1" ref="A17"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HYPERLINK("#'"&amp;Helper!$G$2&amp;"'!"&amp;CHAR(CODE("A")+COLUMN(_xlpm._columnNameHeader)-1)&amp;_xlpm._entryOffset,Definitions!$AY$4)))(Helper!$G$20,$B17,README!$E:$E,README!$I$36,README!$B$36)</f>
        <v>◈</v>
      </c>
      <c r="B17" s="31" t="s">
        <v>657</v>
      </c>
      <c r="C17" s="31"/>
    </row>
    <row r="18" spans="1:6" x14ac:dyDescent="0.25">
      <c r="B18" s="132" t="s">
        <v>251</v>
      </c>
      <c r="C18" s="132" t="s">
        <v>1720</v>
      </c>
      <c r="D18" s="132" t="s">
        <v>252</v>
      </c>
      <c r="E18" s="132" t="s">
        <v>1127</v>
      </c>
      <c r="F18" s="135" t="s">
        <v>1721</v>
      </c>
    </row>
    <row r="19" spans="1:6" x14ac:dyDescent="0.25">
      <c r="B19" s="133">
        <v>45870</v>
      </c>
      <c r="C19" s="133"/>
      <c r="D19" s="134" t="s">
        <v>922</v>
      </c>
      <c r="E19" s="134"/>
      <c r="F19" s="2" t="b" cm="1">
        <f t="array" aca="1" ref="F19" ca="1">_xlfn.LAMBDA(_xlpm._dateCell,AND(_xlpm._dateCell&lt;&gt;"",OFFSET(_xlpm._dateCell,1,0)=""))($B19)</f>
        <v>1</v>
      </c>
    </row>
  </sheetData>
  <pageMargins left="0.7" right="0.7" top="0.75" bottom="0.75" header="0.3" footer="0.3"/>
  <pageSetup paperSize="9" orientation="portrait" r:id="rId1"/>
  <tableParts count="5">
    <tablePart r:id="rId2"/>
    <tablePart r:id="rId3"/>
    <tablePart r:id="rId4"/>
    <tablePart r:id="rId5"/>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DC066-7050-4654-BD8D-03729623D18A}">
  <sheetPr>
    <tabColor theme="6"/>
  </sheetPr>
  <dimension ref="A1:BK26"/>
  <sheetViews>
    <sheetView workbookViewId="0">
      <selection activeCell="A4" sqref="A4"/>
    </sheetView>
  </sheetViews>
  <sheetFormatPr defaultColWidth="9.140625" defaultRowHeight="15" x14ac:dyDescent="0.25"/>
  <cols>
    <col min="1" max="1" width="11.85546875" style="4" bestFit="1" customWidth="1"/>
    <col min="2" max="2" width="9.140625" style="4"/>
    <col min="3" max="3" width="21.28515625" style="4" bestFit="1" customWidth="1"/>
    <col min="4" max="4" width="9.140625" style="4"/>
    <col min="5" max="5" width="25.5703125" style="4" bestFit="1" customWidth="1"/>
    <col min="6" max="6" width="9.140625" style="4"/>
    <col min="7" max="7" width="15.7109375" style="4" customWidth="1"/>
    <col min="8" max="8" width="25.7109375" style="4" customWidth="1"/>
    <col min="9" max="9" width="45.7109375" style="4" customWidth="1"/>
    <col min="10" max="10" width="15.7109375" style="4" customWidth="1"/>
    <col min="11" max="11" width="21" style="4" hidden="1" customWidth="1"/>
    <col min="12" max="12" width="9.140625" style="4"/>
    <col min="13" max="13" width="18.85546875" style="4" bestFit="1" customWidth="1"/>
    <col min="14" max="14" width="9.140625" style="4"/>
    <col min="15" max="15" width="22.5703125" style="4" bestFit="1" customWidth="1"/>
    <col min="16" max="16" width="9.140625" style="4"/>
    <col min="17" max="17" width="10.7109375" style="4" bestFit="1" customWidth="1"/>
    <col min="18" max="19" width="9.140625" style="4"/>
    <col min="20" max="20" width="13.7109375" style="4" bestFit="1" customWidth="1"/>
    <col min="21" max="21" width="9.140625" style="4"/>
    <col min="22" max="22" width="18" style="4" customWidth="1"/>
    <col min="23" max="23" width="14.85546875" style="4" bestFit="1" customWidth="1"/>
    <col min="24" max="24" width="9.140625" style="4"/>
    <col min="25" max="25" width="22.42578125" style="4" bestFit="1" customWidth="1"/>
    <col min="26" max="26" width="29.140625" style="4" bestFit="1" customWidth="1"/>
    <col min="27" max="27" width="9.140625" style="4"/>
    <col min="28" max="28" width="9.85546875" style="4" hidden="1" customWidth="1"/>
    <col min="29" max="29" width="21" style="4" hidden="1" customWidth="1"/>
    <col min="30" max="30" width="9.140625" style="4"/>
    <col min="31" max="31" width="14.28515625" style="4" bestFit="1" customWidth="1"/>
    <col min="32" max="33" width="9.140625" style="4"/>
    <col min="34" max="39" width="15.7109375" style="4" customWidth="1"/>
    <col min="40" max="40" width="9.140625" style="4"/>
    <col min="41" max="41" width="20.28515625" style="4" bestFit="1" customWidth="1"/>
    <col min="42" max="42" width="9.140625" style="4"/>
    <col min="43" max="43" width="25.140625" style="4" bestFit="1" customWidth="1"/>
    <col min="44" max="44" width="11.42578125" style="4" bestFit="1" customWidth="1"/>
    <col min="45" max="45" width="10.5703125" style="4" bestFit="1" customWidth="1"/>
    <col min="46" max="46" width="9.140625" style="4"/>
    <col min="47" max="47" width="73.42578125" style="4" bestFit="1" customWidth="1"/>
    <col min="48" max="48" width="9.140625" style="4"/>
    <col min="49" max="49" width="48.140625" style="4" bestFit="1" customWidth="1"/>
    <col min="50" max="50" width="9.140625" style="4"/>
    <col min="51" max="51" width="25.85546875" style="4" bestFit="1" customWidth="1"/>
    <col min="52" max="52" width="9.140625" style="4"/>
    <col min="53" max="53" width="16.5703125" style="4" bestFit="1" customWidth="1"/>
    <col min="54" max="54" width="9.140625" style="4"/>
    <col min="55" max="55" width="17.85546875" style="4" bestFit="1" customWidth="1"/>
    <col min="56" max="56" width="17.42578125" style="4" bestFit="1" customWidth="1"/>
    <col min="57" max="57" width="9.140625" style="4"/>
    <col min="58" max="58" width="29" style="4" bestFit="1" customWidth="1"/>
    <col min="59" max="59" width="29" style="4" customWidth="1"/>
    <col min="60" max="60" width="9.140625" style="4"/>
    <col min="61" max="61" width="24.28515625" style="4" bestFit="1" customWidth="1"/>
    <col min="62" max="62" width="9.140625" style="4"/>
    <col min="63" max="63" width="28.42578125" style="4" bestFit="1" customWidth="1"/>
    <col min="64" max="16384" width="9.140625" style="4"/>
  </cols>
  <sheetData>
    <row r="1" spans="1:63" s="114" customFormat="1" x14ac:dyDescent="0.25">
      <c r="A1" s="114"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HYPERLINK("#'"&amp;Helper!$G$2&amp;"'!"&amp;CHAR(CODE("A")+COLUMN(_xlpm._columnNameHeader)-1)&amp;_xlpm._entryOffset,Definitions!$AY$4)))(Helper!$G$3,A$2,README!$E:$E,README!$I$36,README!$B$36)</f>
        <v>◈</v>
      </c>
      <c r="C1" s="114"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HYPERLINK("#'"&amp;Helper!$G$2&amp;"'!"&amp;CHAR(CODE("A")+COLUMN(_xlpm._columnNameHeader)-1)&amp;_xlpm._entryOffset,Definitions!$AY$4)))(Helper!$G$3,C$2,README!$E:$E,README!$I$36,README!$B$36)</f>
        <v>◈</v>
      </c>
      <c r="E1" s="114"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HYPERLINK("#'"&amp;Helper!$G$2&amp;"'!"&amp;CHAR(CODE("A")+COLUMN(_xlpm._columnNameHeader)-1)&amp;_xlpm._entryOffset,Definitions!$AY$4)))(Helper!$G$3,E$2,README!$E:$E,README!$I$36,README!$B$36)</f>
        <v>◈</v>
      </c>
      <c r="G1" s="114"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HYPERLINK("#'"&amp;Helper!$G$2&amp;"'!"&amp;CHAR(CODE("A")+COLUMN(_xlpm._columnNameHeader)-1)&amp;_xlpm._entryOffset,Definitions!$AY$4)))(Helper!$G$3,G$2,README!$E:$E,README!$I$36,README!$B$36)</f>
        <v>◈</v>
      </c>
      <c r="M1" s="114"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HYPERLINK("#'"&amp;Helper!$G$2&amp;"'!"&amp;CHAR(CODE("A")+COLUMN(_xlpm._columnNameHeader)-1)&amp;_xlpm._entryOffset,Definitions!$AY$4)))(Helper!$G$3,M$2,README!$E:$E,README!$I$36,README!$B$36)</f>
        <v>◈</v>
      </c>
      <c r="O1" s="114"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HYPERLINK("#'"&amp;Helper!$G$2&amp;"'!"&amp;CHAR(CODE("A")+COLUMN(_xlpm._columnNameHeader)-1)&amp;_xlpm._entryOffset,Definitions!$AY$4)))(Helper!$G$3,O$2,README!$E:$E,README!$I$36,README!$B$36)</f>
        <v>◈</v>
      </c>
      <c r="Q1" s="114" t="str" cm="1">
        <f t="array" aca="1" ref="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HYPERLINK("#'"&amp;Helper!$G$2&amp;"'!"&amp;CHAR(CODE("A")+COLUMN(_xlpm._columnNameHeader)-1)&amp;_xlpm._entryOffset,Definitions!$AY$4)))(Helper!$G$3,Q$2,README!$E:$E,README!$I$36,README!$B$36)</f>
        <v>◈</v>
      </c>
      <c r="T1" s="114" t="str" cm="1">
        <f t="array" aca="1" ref="T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HYPERLINK("#'"&amp;Helper!$G$2&amp;"'!"&amp;CHAR(CODE("A")+COLUMN(_xlpm._columnNameHeader)-1)&amp;_xlpm._entryOffset,Definitions!$AY$4)))(Helper!$G$3,T$2,README!$E:$E,README!$I$36,README!$B$36)</f>
        <v>◈</v>
      </c>
      <c r="V1" s="114" t="str" cm="1">
        <f t="array" aca="1" ref="V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HYPERLINK("#'"&amp;Helper!$G$2&amp;"'!"&amp;CHAR(CODE("A")+COLUMN(_xlpm._columnNameHeader)-1)&amp;_xlpm._entryOffset,Definitions!$AY$4)))(Helper!$G$3,V$2,README!$E:$E,README!$I$36,README!$B$36)</f>
        <v>◈</v>
      </c>
      <c r="Y1" s="114" t="str" cm="1">
        <f t="array" aca="1" ref="Y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HYPERLINK("#'"&amp;Helper!$G$2&amp;"'!"&amp;CHAR(CODE("A")+COLUMN(_xlpm._columnNameHeader)-1)&amp;_xlpm._entryOffset,Definitions!$AY$4)))(Helper!$G$3,Y$2,README!$E:$E,README!$I$36,README!$B$36)</f>
        <v>◈</v>
      </c>
      <c r="AE1" s="114" t="str" cm="1">
        <f t="array" aca="1" ref="A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HYPERLINK("#'"&amp;Helper!$G$2&amp;"'!"&amp;CHAR(CODE("A")+COLUMN(_xlpm._columnNameHeader)-1)&amp;_xlpm._entryOffset,Definitions!$AY$4)))(Helper!$G$3,AE$2,README!$E:$E,README!$I$36,README!$B$36)</f>
        <v>◈</v>
      </c>
      <c r="AH1" s="114" t="str" cm="1">
        <f t="array" aca="1" ref="A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HYPERLINK("#'"&amp;Helper!$G$2&amp;"'!"&amp;CHAR(CODE("A")+COLUMN(_xlpm._columnNameHeader)-1)&amp;_xlpm._entryOffset,Definitions!$AY$4)))(Helper!$G$3,AH$2,README!$E:$E,README!$I$36,README!$B$36)</f>
        <v>◈</v>
      </c>
      <c r="AO1" s="114" t="str" cm="1">
        <f t="array" aca="1" ref="A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HYPERLINK("#'"&amp;Helper!$G$2&amp;"'!"&amp;CHAR(CODE("A")+COLUMN(_xlpm._columnNameHeader)-1)&amp;_xlpm._entryOffset,Definitions!$AY$4)))(Helper!$G$3,AO$2,README!$E:$E,README!$I$36,README!$B$36)</f>
        <v>◈</v>
      </c>
      <c r="AQ1" s="114" t="str" cm="1">
        <f t="array" aca="1" ref="A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HYPERLINK("#'"&amp;Helper!$G$2&amp;"'!"&amp;CHAR(CODE("A")+COLUMN(_xlpm._columnNameHeader)-1)&amp;_xlpm._entryOffset,Definitions!$AY$4)))(Helper!$G$3,AQ$2,README!$E:$E,README!$I$36,README!$B$36)</f>
        <v>◈</v>
      </c>
      <c r="AU1" s="114" t="str" cm="1">
        <f t="array" aca="1" ref="AU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HYPERLINK("#'"&amp;Helper!$G$2&amp;"'!"&amp;CHAR(CODE("A")+COLUMN(_xlpm._columnNameHeader)-1)&amp;_xlpm._entryOffset,Definitions!$AY$4)))(Helper!$G$3,AU$2,README!$E:$E,README!$I$36,README!$B$36)</f>
        <v>◈</v>
      </c>
      <c r="AW1" s="114" t="str" cm="1">
        <f t="array" aca="1" ref="AW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HYPERLINK("#'"&amp;Helper!$G$2&amp;"'!"&amp;CHAR(CODE("A")+COLUMN(_xlpm._columnNameHeader)-1)&amp;_xlpm._entryOffset,Definitions!$AY$4)))(Helper!$G$3,AW$2,README!$E:$E,README!$I$36,README!$B$36)</f>
        <v>◈</v>
      </c>
      <c r="AY1" s="114" t="str" cm="1">
        <f t="array" aca="1" ref="AY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HYPERLINK("#'"&amp;Helper!$G$2&amp;"'!"&amp;CHAR(CODE("A")+COLUMN(_xlpm._columnNameHeader)-1)&amp;_xlpm._entryOffset,Definitions!$AY$4)))(Helper!$G$3,AY$2,README!$E:$E,README!$I$36,README!$B$36)</f>
        <v>◈</v>
      </c>
      <c r="BA1" s="114" t="str" cm="1">
        <f t="array" aca="1" ref="B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HYPERLINK("#'"&amp;Helper!$G$2&amp;"'!"&amp;CHAR(CODE("A")+COLUMN(_xlpm._columnNameHeader)-1)&amp;_xlpm._entryOffset,Definitions!$AY$4)))(Helper!$G$3,BA$2,README!$E:$E,README!$I$36,README!$B$36)</f>
        <v>◈</v>
      </c>
      <c r="BF1" s="114" t="str" cm="1">
        <f t="array" aca="1" ref="B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HYPERLINK("#'"&amp;Helper!$G$2&amp;"'!"&amp;CHAR(CODE("A")+COLUMN(_xlpm._columnNameHeader)-1)&amp;_xlpm._entryOffset,Definitions!$AY$4)))(Helper!$G$3,BF$2,README!$E:$E,README!$I$36,README!$B$36)</f>
        <v>◈</v>
      </c>
      <c r="BI1" s="114" t="str" cm="1">
        <f t="array" aca="1" ref="B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HYPERLINK("#'"&amp;Helper!$G$2&amp;"'!"&amp;CHAR(CODE("A")+COLUMN(_xlpm._columnNameHeader)-1)&amp;_xlpm._entryOffset,Definitions!$AY$4)))(Helper!$G$3,BI$2,README!$E:$E,README!$I$36,README!$B$36)</f>
        <v>◈</v>
      </c>
      <c r="BK1" s="114" t="str" cm="1">
        <f t="array" aca="1" ref="B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HYPERLINK("#'"&amp;Helper!$G$2&amp;"'!"&amp;CHAR(CODE("A")+COLUMN(_xlpm._columnNameHeader)-1)&amp;_xlpm._entryOffset,Definitions!$AY$4)))(Helper!$G$3,BK$2,README!$E:$E,README!$I$36,README!$B$36)</f>
        <v>◈</v>
      </c>
    </row>
    <row r="2" spans="1:63" s="26" customFormat="1" ht="21" x14ac:dyDescent="0.35">
      <c r="A2" s="26" t="s">
        <v>194</v>
      </c>
      <c r="C2" s="26" t="s">
        <v>1126</v>
      </c>
      <c r="E2" s="26" t="s">
        <v>914</v>
      </c>
      <c r="G2" s="26" t="s">
        <v>912</v>
      </c>
      <c r="M2" s="26" t="s">
        <v>220</v>
      </c>
      <c r="O2" s="26" t="s">
        <v>221</v>
      </c>
      <c r="Q2" s="26" t="s">
        <v>193</v>
      </c>
      <c r="T2" s="26" t="s">
        <v>77</v>
      </c>
      <c r="V2" s="26" t="s">
        <v>1</v>
      </c>
      <c r="Y2" s="26" t="s">
        <v>191</v>
      </c>
      <c r="AE2" s="26" t="s">
        <v>195</v>
      </c>
      <c r="AH2" s="26" t="s">
        <v>192</v>
      </c>
      <c r="AO2" s="26" t="s">
        <v>371</v>
      </c>
      <c r="AQ2" s="26" t="s">
        <v>666</v>
      </c>
      <c r="AU2" s="26" t="s">
        <v>705</v>
      </c>
      <c r="AW2" s="26" t="s">
        <v>1484</v>
      </c>
      <c r="AY2" s="26" t="s">
        <v>1295</v>
      </c>
      <c r="BA2" s="26" t="s">
        <v>1345</v>
      </c>
      <c r="BF2" s="26" t="s">
        <v>1679</v>
      </c>
      <c r="BI2" s="26" t="s">
        <v>1372</v>
      </c>
      <c r="BK2" s="26" t="s">
        <v>1373</v>
      </c>
    </row>
    <row r="3" spans="1:63" s="25" customFormat="1" ht="30" x14ac:dyDescent="0.25">
      <c r="A3" s="25" t="s">
        <v>216</v>
      </c>
      <c r="C3" s="25" t="s">
        <v>217</v>
      </c>
      <c r="E3" s="25" t="s">
        <v>217</v>
      </c>
      <c r="G3" s="25" t="s">
        <v>913</v>
      </c>
      <c r="H3" s="25" t="s">
        <v>217</v>
      </c>
      <c r="I3" s="25" t="s">
        <v>218</v>
      </c>
      <c r="J3" s="25" t="s">
        <v>187</v>
      </c>
      <c r="K3" s="25" t="s">
        <v>920</v>
      </c>
      <c r="M3" s="25" t="s">
        <v>219</v>
      </c>
      <c r="O3" s="25" t="s">
        <v>219</v>
      </c>
      <c r="Q3" s="25" t="s">
        <v>217</v>
      </c>
      <c r="R3" s="25" t="s">
        <v>222</v>
      </c>
      <c r="T3" s="25" t="s">
        <v>223</v>
      </c>
      <c r="V3" s="25" t="s">
        <v>224</v>
      </c>
      <c r="W3" s="25" t="s">
        <v>188</v>
      </c>
      <c r="Y3" s="25" t="s">
        <v>225</v>
      </c>
      <c r="Z3" s="25" t="s">
        <v>226</v>
      </c>
      <c r="AA3" s="25" t="s">
        <v>222</v>
      </c>
      <c r="AB3" s="25" t="s">
        <v>227</v>
      </c>
      <c r="AC3" s="25" t="s">
        <v>920</v>
      </c>
      <c r="AE3" s="25" t="s">
        <v>217</v>
      </c>
      <c r="AF3" s="25" t="s">
        <v>222</v>
      </c>
      <c r="AH3" s="82" t="s">
        <v>535</v>
      </c>
      <c r="AI3" s="5" t="str">
        <f ca="1">OFFSET($W$4,COLUMN()-COLUMN($AI$2),0)</f>
        <v>Basic</v>
      </c>
      <c r="AJ3" s="5" t="str">
        <f ca="1">OFFSET($W$4,COLUMN()-COLUMN($AI$2),0)</f>
        <v>Enhanced-Basic</v>
      </c>
      <c r="AK3" s="5" t="str">
        <f ca="1">OFFSET($W$4,COLUMN()-COLUMN($AI$2),0)</f>
        <v>Moderate</v>
      </c>
      <c r="AL3" s="5" t="str">
        <f ca="1">OFFSET($W$4,COLUMN()-COLUMN($AI$2),0)</f>
        <v>High</v>
      </c>
      <c r="AM3" s="5" t="str">
        <f ca="1">OFFSET($W$4,COLUMN()-COLUMN($AI$2),0)</f>
        <v>Beyond High</v>
      </c>
      <c r="AO3" s="25" t="s">
        <v>374</v>
      </c>
      <c r="AQ3" s="25" t="s">
        <v>662</v>
      </c>
      <c r="AR3" s="25" t="s">
        <v>660</v>
      </c>
      <c r="AS3" s="25" t="s">
        <v>661</v>
      </c>
      <c r="AU3" s="25" t="s">
        <v>706</v>
      </c>
      <c r="AW3" s="25" t="s">
        <v>1276</v>
      </c>
      <c r="AY3" s="25" t="s">
        <v>1327</v>
      </c>
      <c r="BA3" s="25" t="s">
        <v>235</v>
      </c>
      <c r="BB3" s="25" t="s">
        <v>1346</v>
      </c>
      <c r="BC3" s="25" t="s">
        <v>1348</v>
      </c>
      <c r="BD3" s="25" t="s">
        <v>1349</v>
      </c>
      <c r="BF3" s="25" t="s">
        <v>1680</v>
      </c>
      <c r="BG3" s="25" t="s">
        <v>779</v>
      </c>
      <c r="BI3" s="25" t="s">
        <v>219</v>
      </c>
      <c r="BK3" s="25" t="s">
        <v>219</v>
      </c>
    </row>
    <row r="4" spans="1:63" ht="75" x14ac:dyDescent="0.25">
      <c r="A4" s="4" t="s">
        <v>10</v>
      </c>
      <c r="C4" s="4" t="s">
        <v>1742</v>
      </c>
      <c r="E4" s="4" t="s">
        <v>915</v>
      </c>
      <c r="G4" s="4" t="str">
        <f>$E$4</f>
        <v>Personal Data</v>
      </c>
      <c r="H4" s="4" t="s">
        <v>14</v>
      </c>
      <c r="I4" s="4" t="s">
        <v>1015</v>
      </c>
      <c r="J4" s="4" t="s">
        <v>17</v>
      </c>
      <c r="K4" s="4" t="b">
        <f ca="1">OFFSET($G4,-1,0)=$G4</f>
        <v>0</v>
      </c>
      <c r="M4" s="4" t="s">
        <v>40</v>
      </c>
      <c r="O4" s="4" t="s">
        <v>49</v>
      </c>
      <c r="Q4" s="4" t="s">
        <v>185</v>
      </c>
      <c r="R4" s="4">
        <v>1</v>
      </c>
      <c r="T4" s="4">
        <v>60</v>
      </c>
      <c r="V4" s="4">
        <v>0</v>
      </c>
      <c r="W4" s="4" t="s">
        <v>79</v>
      </c>
      <c r="Y4" s="4" t="s">
        <v>131</v>
      </c>
      <c r="Z4" s="4" t="s">
        <v>132</v>
      </c>
      <c r="AA4" s="4">
        <v>0</v>
      </c>
      <c r="AB4" s="4" cm="1">
        <f t="array" ref="AB4">IF(ROW()=ROW($AB$3)+1,0,INDEX($AB:$AB,ROW()-1))+
IF($Y4=INDEX($Y:$Y,ROW()-1),0,1)</f>
        <v>1</v>
      </c>
      <c r="AC4" s="4" t="b">
        <f ca="1">OFFSET($AB4,-1,0)=$AB4</f>
        <v>0</v>
      </c>
      <c r="AE4" s="4" t="s">
        <v>1240</v>
      </c>
      <c r="AF4" s="4">
        <v>0</v>
      </c>
      <c r="AH4" s="82" t="str">
        <f>Q4</f>
        <v>Immaterial</v>
      </c>
      <c r="AI4" s="4" t="str">
        <f>$AE$5</f>
        <v>Low</v>
      </c>
      <c r="AJ4" s="4" t="str">
        <f>$AE$5</f>
        <v>Low</v>
      </c>
      <c r="AK4" s="4" t="str">
        <f>$AE$5</f>
        <v>Low</v>
      </c>
      <c r="AL4" s="4" t="str">
        <f>$AE$5</f>
        <v>Low</v>
      </c>
      <c r="AM4" s="4" t="str">
        <f>$AE$5</f>
        <v>Low</v>
      </c>
      <c r="AO4" s="4" t="str">
        <f>$C$4</f>
        <v>&lt;OEM name&gt;</v>
      </c>
      <c r="AQ4" s="4" t="s">
        <v>269</v>
      </c>
      <c r="AR4" s="4" t="s">
        <v>663</v>
      </c>
      <c r="AS4" s="4" t="s">
        <v>665</v>
      </c>
      <c r="AU4" s="4" t="s">
        <v>10</v>
      </c>
      <c r="AW4" s="4" t="s">
        <v>1277</v>
      </c>
      <c r="AY4" s="4" t="str">
        <f>_xlfn.UNICHAR(9672)</f>
        <v>◈</v>
      </c>
      <c r="BA4" s="4" t="str" cm="1">
        <f t="array" aca="1" ref="BA4" ca="1">GetSheetName(Questionnaire!$L$3)</f>
        <v>Questionnaire</v>
      </c>
      <c r="BB4" s="4" t="str" cm="1">
        <f t="array" aca="1" ref="BB4" ca="1">GetColumnLetter(Questionnaire!$A$2)&amp;
GetColumnLetter(Questionnaire!$K$2)&amp;
GetColumnLetter(Questionnaire!$C$2)&amp;
GetColumnLetter(Questionnaire!$D$2)&amp;
GetColumnLetter(Questionnaire!$E$2)&amp;
GetColumnLetter(Questionnaire!$F$2)&amp;
GetColumnLetter(Questionnaire!$G$2)</f>
        <v>AKCDEFG</v>
      </c>
      <c r="BC4" s="4" t="str" cm="1">
        <f t="array" aca="1" ref="BC4" ca="1">GetColumnLetter(Questionnaire!$L$3)</f>
        <v>L</v>
      </c>
      <c r="BD4" s="4">
        <f>ROW(Questionnaire!$L$2)</f>
        <v>2</v>
      </c>
      <c r="BF4" s="4" t="s">
        <v>10</v>
      </c>
      <c r="BG4" s="4" t="s">
        <v>1684</v>
      </c>
      <c r="BI4" s="4" t="s">
        <v>1644</v>
      </c>
      <c r="BK4" s="4" t="s">
        <v>1651</v>
      </c>
    </row>
    <row r="5" spans="1:63" ht="60" x14ac:dyDescent="0.25">
      <c r="A5" s="4" t="s">
        <v>11</v>
      </c>
      <c r="E5" s="4" t="s">
        <v>916</v>
      </c>
      <c r="G5" s="4" t="str">
        <f>$E$4</f>
        <v>Personal Data</v>
      </c>
      <c r="H5" s="4" t="s">
        <v>15</v>
      </c>
      <c r="I5" s="4" t="s">
        <v>12</v>
      </c>
      <c r="J5" s="4" t="s">
        <v>18</v>
      </c>
      <c r="K5" s="4" t="b">
        <f t="shared" ref="K5:K22" ca="1" si="0">OFFSET($G5,-1,0)=$G5</f>
        <v>1</v>
      </c>
      <c r="M5" s="4" t="s">
        <v>41</v>
      </c>
      <c r="O5" s="4" t="s">
        <v>50</v>
      </c>
      <c r="Q5" s="4" t="s">
        <v>17</v>
      </c>
      <c r="R5" s="4">
        <v>2</v>
      </c>
      <c r="V5" s="4">
        <v>10</v>
      </c>
      <c r="W5" s="4" t="s">
        <v>80</v>
      </c>
      <c r="Y5" s="4" t="s">
        <v>131</v>
      </c>
      <c r="Z5" s="4" t="s">
        <v>133</v>
      </c>
      <c r="AA5" s="4">
        <v>1</v>
      </c>
      <c r="AB5" s="4" cm="1">
        <f t="array" ref="AB5">IF(ROW()=ROW($AB$3)+1,0,INDEX($AB:$AB,ROW()-1))+
IF($Y5=INDEX($Y:$Y,ROW()-1),0,1)</f>
        <v>1</v>
      </c>
      <c r="AC5" s="4" t="b">
        <f t="shared" ref="AC5:AC26" ca="1" si="1">OFFSET($AB5,-1,0)=$AB5</f>
        <v>1</v>
      </c>
      <c r="AE5" s="4" t="s">
        <v>17</v>
      </c>
      <c r="AF5" s="4">
        <v>1</v>
      </c>
      <c r="AH5" s="82" t="str">
        <f>Q5</f>
        <v>Low</v>
      </c>
      <c r="AI5" s="4" t="str">
        <f>$AE$7</f>
        <v>High</v>
      </c>
      <c r="AJ5" s="4" t="str">
        <f>$AE$6</f>
        <v>Moderate</v>
      </c>
      <c r="AK5" s="4" t="str">
        <f>$AE$6</f>
        <v>Moderate</v>
      </c>
      <c r="AL5" s="4" t="str">
        <f>$AE$6</f>
        <v>Moderate</v>
      </c>
      <c r="AM5" s="4" t="str">
        <f>$AE$5</f>
        <v>Low</v>
      </c>
      <c r="AO5" s="4" t="s">
        <v>372</v>
      </c>
      <c r="AQ5" s="4" t="s">
        <v>274</v>
      </c>
      <c r="AR5" s="4" t="s">
        <v>664</v>
      </c>
      <c r="AS5" s="4" t="s">
        <v>665</v>
      </c>
      <c r="AW5" s="4" t="s">
        <v>1278</v>
      </c>
      <c r="BA5" s="4" t="str" cm="1">
        <f t="array" aca="1" ref="BA5" ca="1">GetSheetName('Risk Treatment'!$U$4)</f>
        <v>Risk Treatment</v>
      </c>
      <c r="BB5" s="4" t="str" cm="1">
        <f t="array" aca="1" ref="BB5" ca="1">GetColumnLetter('Risk Treatment'!$C$4)&amp;
GetColumnLetter('Risk Treatment'!$F$4)&amp;
GetColumnLetter('Risk Treatment'!$H$4)&amp;
GetColumnLetter('Risk Treatment'!$I$4)&amp;
GetColumnLetter('Risk Treatment'!$J$4)&amp;
GetColumnLetter('Risk Treatment'!$O$4)&amp;
GetColumnLetter('Risk Treatment'!$R$4)</f>
        <v>CFHIJOR</v>
      </c>
      <c r="BC5" s="4" t="str" cm="1">
        <f t="array" aca="1" ref="BC5" ca="1">GetColumnLetter('Risk Treatment'!$U$4)</f>
        <v>U</v>
      </c>
      <c r="BD5" s="4">
        <f>ROW('Risk Treatment'!$U$4)</f>
        <v>4</v>
      </c>
      <c r="BF5" s="4" t="s">
        <v>11</v>
      </c>
      <c r="BG5" s="4" t="s">
        <v>1685</v>
      </c>
      <c r="BI5" s="4" t="s">
        <v>1645</v>
      </c>
      <c r="BK5" s="4" t="s">
        <v>1652</v>
      </c>
    </row>
    <row r="6" spans="1:63" ht="75" x14ac:dyDescent="0.25">
      <c r="E6" s="4" t="s">
        <v>917</v>
      </c>
      <c r="G6" s="4" t="str">
        <f>$E$4</f>
        <v>Personal Data</v>
      </c>
      <c r="H6" s="4" t="s">
        <v>16</v>
      </c>
      <c r="I6" s="4" t="s">
        <v>13</v>
      </c>
      <c r="J6" s="4" t="s">
        <v>19</v>
      </c>
      <c r="K6" s="4" t="b">
        <f t="shared" ca="1" si="0"/>
        <v>1</v>
      </c>
      <c r="M6" s="4" t="s">
        <v>43</v>
      </c>
      <c r="Q6" s="4" t="s">
        <v>24</v>
      </c>
      <c r="R6" s="4">
        <v>3</v>
      </c>
      <c r="V6" s="4">
        <v>14</v>
      </c>
      <c r="W6" s="4" t="s">
        <v>81</v>
      </c>
      <c r="Y6" s="4" t="s">
        <v>131</v>
      </c>
      <c r="Z6" s="4" t="s">
        <v>134</v>
      </c>
      <c r="AA6" s="4">
        <v>4</v>
      </c>
      <c r="AB6" s="4" cm="1">
        <f t="array" ref="AB6">IF(ROW()=ROW($AB$3)+1,0,INDEX($AB:$AB,ROW()-1))+
IF($Y6=INDEX($Y:$Y,ROW()-1),0,1)</f>
        <v>1</v>
      </c>
      <c r="AC6" s="4" t="b">
        <f t="shared" ca="1" si="1"/>
        <v>1</v>
      </c>
      <c r="AE6" s="4" t="s">
        <v>81</v>
      </c>
      <c r="AF6" s="4">
        <v>2</v>
      </c>
      <c r="AH6" s="82" t="str">
        <f>Q6</f>
        <v>Medium</v>
      </c>
      <c r="AI6" s="4" t="str">
        <f>$AE$8</f>
        <v>Very High</v>
      </c>
      <c r="AJ6" s="4" t="str">
        <f>$AE$7</f>
        <v>High</v>
      </c>
      <c r="AK6" s="4" t="str">
        <f>$AE$7</f>
        <v>High</v>
      </c>
      <c r="AL6" s="4" t="str">
        <f>$AE$6</f>
        <v>Moderate</v>
      </c>
      <c r="AM6" s="4" t="str">
        <f>$AE$6</f>
        <v>Moderate</v>
      </c>
      <c r="AO6" s="4" t="s">
        <v>373</v>
      </c>
      <c r="AQ6" s="4" t="s">
        <v>1286</v>
      </c>
      <c r="AR6" s="4" t="s">
        <v>1284</v>
      </c>
      <c r="AW6" s="4" t="s">
        <v>1279</v>
      </c>
      <c r="BA6" s="4" t="str" cm="1">
        <f t="array" aca="1" ref="BA6" ca="1">GetSheetName('Result Summary'!$I$17)</f>
        <v>Result Summary</v>
      </c>
      <c r="BB6" s="4" t="str" cm="1">
        <f t="array" aca="1" ref="BB6" ca="1">GetColumnLetter('Result Summary'!$A$17)&amp;
GetColumnLetter('Result Summary'!$B$17)&amp;
GetColumnLetter('Result Summary'!$C$17)</f>
        <v>ABC</v>
      </c>
      <c r="BC6" s="4" t="str" cm="1">
        <f t="array" aca="1" ref="BC6" ca="1">GetColumnLetter('Result Summary'!$I$17)</f>
        <v>I</v>
      </c>
      <c r="BD6" s="4">
        <f>ROW('Result Summary'!$I$17)</f>
        <v>17</v>
      </c>
      <c r="BF6" s="4" t="s">
        <v>1682</v>
      </c>
      <c r="BG6" s="4" t="s">
        <v>1683</v>
      </c>
      <c r="BI6" s="4" t="s">
        <v>1646</v>
      </c>
      <c r="BK6" s="4" t="s">
        <v>1653</v>
      </c>
    </row>
    <row r="7" spans="1:63" ht="45" x14ac:dyDescent="0.25">
      <c r="E7" s="4" t="s">
        <v>59</v>
      </c>
      <c r="G7" s="4" t="str">
        <f>$E$5</f>
        <v>Loss of Intellectual Property</v>
      </c>
      <c r="H7" s="4" t="s">
        <v>20</v>
      </c>
      <c r="I7" s="4" t="s">
        <v>21</v>
      </c>
      <c r="J7" s="4" t="s">
        <v>17</v>
      </c>
      <c r="K7" s="4" t="b">
        <f t="shared" ca="1" si="0"/>
        <v>0</v>
      </c>
      <c r="M7" s="4" t="s">
        <v>42</v>
      </c>
      <c r="Q7" s="4" t="s">
        <v>18</v>
      </c>
      <c r="R7" s="4">
        <v>4</v>
      </c>
      <c r="V7" s="4">
        <v>20</v>
      </c>
      <c r="W7" s="4" t="s">
        <v>18</v>
      </c>
      <c r="Y7" s="4" t="s">
        <v>131</v>
      </c>
      <c r="Z7" s="4" t="s">
        <v>135</v>
      </c>
      <c r="AA7" s="4">
        <v>10</v>
      </c>
      <c r="AB7" s="4" cm="1">
        <f t="array" ref="AB7">IF(ROW()=ROW($AB$3)+1,0,INDEX($AB:$AB,ROW()-1))+
IF($Y7=INDEX($Y:$Y,ROW()-1),0,1)</f>
        <v>1</v>
      </c>
      <c r="AC7" s="4" t="b">
        <f t="shared" ca="1" si="1"/>
        <v>1</v>
      </c>
      <c r="AE7" s="4" t="s">
        <v>18</v>
      </c>
      <c r="AF7" s="4">
        <v>3</v>
      </c>
      <c r="AH7" s="82" t="str">
        <f>Q7</f>
        <v>High</v>
      </c>
      <c r="AI7" s="4" t="str">
        <f>$AE$8</f>
        <v>Very High</v>
      </c>
      <c r="AJ7" s="4" t="str">
        <f>$AE$8</f>
        <v>Very High</v>
      </c>
      <c r="AK7" s="4" t="str">
        <f>$AE$7</f>
        <v>High</v>
      </c>
      <c r="AL7" s="4" t="str">
        <f>$AE$7</f>
        <v>High</v>
      </c>
      <c r="AM7" s="4" t="str">
        <f>$AE$6</f>
        <v>Moderate</v>
      </c>
      <c r="AW7" s="4" t="s">
        <v>1280</v>
      </c>
      <c r="BI7" s="4" t="s">
        <v>1647</v>
      </c>
      <c r="BK7" s="4" t="s">
        <v>1654</v>
      </c>
    </row>
    <row r="8" spans="1:63" ht="45" customHeight="1" x14ac:dyDescent="0.25">
      <c r="E8" s="4" t="s">
        <v>918</v>
      </c>
      <c r="G8" s="4" t="str">
        <f>$E$5</f>
        <v>Loss of Intellectual Property</v>
      </c>
      <c r="H8" s="4" t="s">
        <v>22</v>
      </c>
      <c r="I8" s="4" t="s">
        <v>23</v>
      </c>
      <c r="J8" s="4" t="s">
        <v>24</v>
      </c>
      <c r="K8" s="4" t="b">
        <f t="shared" ca="1" si="0"/>
        <v>1</v>
      </c>
      <c r="Q8" s="4" t="s">
        <v>19</v>
      </c>
      <c r="R8" s="4">
        <v>5</v>
      </c>
      <c r="V8" s="4">
        <v>25</v>
      </c>
      <c r="W8" s="4" t="s">
        <v>82</v>
      </c>
      <c r="Y8" s="4" t="s">
        <v>131</v>
      </c>
      <c r="Z8" s="4" t="s">
        <v>136</v>
      </c>
      <c r="AA8" s="4">
        <v>19</v>
      </c>
      <c r="AB8" s="4" cm="1">
        <f t="array" ref="AB8">IF(ROW()=ROW($AB$3)+1,0,INDEX($AB:$AB,ROW()-1))+
IF($Y8=INDEX($Y:$Y,ROW()-1),0,1)</f>
        <v>1</v>
      </c>
      <c r="AC8" s="4" t="b">
        <f t="shared" ca="1" si="1"/>
        <v>1</v>
      </c>
      <c r="AE8" s="4" t="s">
        <v>186</v>
      </c>
      <c r="AF8" s="4">
        <v>4</v>
      </c>
      <c r="AH8" s="82" t="str">
        <f>Q8</f>
        <v>Critical</v>
      </c>
      <c r="AI8" s="4" t="str">
        <f>$AE$8</f>
        <v>Very High</v>
      </c>
      <c r="AJ8" s="4" t="str">
        <f>$AE$8</f>
        <v>Very High</v>
      </c>
      <c r="AK8" s="4" t="str">
        <f>$AE$8</f>
        <v>Very High</v>
      </c>
      <c r="AL8" s="4" t="str">
        <f>$AE$7</f>
        <v>High</v>
      </c>
      <c r="AM8" s="4" t="str">
        <f>$AE$6</f>
        <v>Moderate</v>
      </c>
      <c r="BI8" s="4" t="s">
        <v>1648</v>
      </c>
      <c r="BK8" s="4" t="s">
        <v>1655</v>
      </c>
    </row>
    <row r="9" spans="1:63" ht="45" customHeight="1" x14ac:dyDescent="0.25">
      <c r="G9" s="4" t="str">
        <f>$E$5</f>
        <v>Loss of Intellectual Property</v>
      </c>
      <c r="H9" s="4" t="s">
        <v>25</v>
      </c>
      <c r="I9" s="4" t="s">
        <v>26</v>
      </c>
      <c r="J9" s="4" t="s">
        <v>18</v>
      </c>
      <c r="K9" s="4" t="b">
        <f t="shared" ca="1" si="0"/>
        <v>1</v>
      </c>
      <c r="Y9" s="4" t="s">
        <v>131</v>
      </c>
      <c r="Z9" s="4" t="s">
        <v>137</v>
      </c>
      <c r="AA9" s="4">
        <v>25</v>
      </c>
      <c r="AB9" s="4" cm="1">
        <f t="array" ref="AB9">IF(ROW()=ROW($AB$3)+1,0,INDEX($AB:$AB,ROW()-1))+
IF($Y9=INDEX($Y:$Y,ROW()-1),0,1)</f>
        <v>1</v>
      </c>
      <c r="AC9" s="4" t="b">
        <f t="shared" ca="1" si="1"/>
        <v>1</v>
      </c>
      <c r="BI9" s="4" t="s">
        <v>1376</v>
      </c>
    </row>
    <row r="10" spans="1:63" ht="45" customHeight="1" x14ac:dyDescent="0.25">
      <c r="G10" s="4" t="str">
        <f>$E$6</f>
        <v>Financial and Legal</v>
      </c>
      <c r="H10" s="4" t="s">
        <v>1733</v>
      </c>
      <c r="I10" s="4" t="s">
        <v>1734</v>
      </c>
      <c r="J10" s="4" t="s">
        <v>17</v>
      </c>
      <c r="K10" s="4" t="b">
        <f t="shared" ca="1" si="0"/>
        <v>0</v>
      </c>
      <c r="Y10" s="4" t="s">
        <v>138</v>
      </c>
      <c r="Z10" s="4" t="s">
        <v>139</v>
      </c>
      <c r="AA10" s="4">
        <v>0</v>
      </c>
      <c r="AB10" s="4" cm="1">
        <f t="array" ref="AB10">IF(ROW()=ROW($AB$3)+1,0,INDEX($AB:$AB,ROW()-1))+
IF($Y10=INDEX($Y:$Y,ROW()-1),0,1)</f>
        <v>2</v>
      </c>
      <c r="AC10" s="4" t="b">
        <f t="shared" ca="1" si="1"/>
        <v>0</v>
      </c>
      <c r="BI10" s="4" t="s">
        <v>1649</v>
      </c>
    </row>
    <row r="11" spans="1:63" ht="30" customHeight="1" x14ac:dyDescent="0.25">
      <c r="G11" s="4" t="str">
        <f>$E$6</f>
        <v>Financial and Legal</v>
      </c>
      <c r="H11" s="4" t="s">
        <v>1735</v>
      </c>
      <c r="I11" s="4" t="s">
        <v>1736</v>
      </c>
      <c r="J11" s="4" t="s">
        <v>24</v>
      </c>
      <c r="K11" s="4" t="b">
        <f t="shared" ca="1" si="0"/>
        <v>1</v>
      </c>
      <c r="Y11" s="4" t="s">
        <v>138</v>
      </c>
      <c r="Z11" s="4" t="s">
        <v>140</v>
      </c>
      <c r="AA11" s="4">
        <v>3</v>
      </c>
      <c r="AB11" s="4" cm="1">
        <f t="array" ref="AB11">IF(ROW()=ROW($AB$3)+1,0,INDEX($AB:$AB,ROW()-1))+
IF($Y11=INDEX($Y:$Y,ROW()-1),0,1)</f>
        <v>2</v>
      </c>
      <c r="AC11" s="4" t="b">
        <f t="shared" ca="1" si="1"/>
        <v>1</v>
      </c>
      <c r="BI11" s="4" t="s">
        <v>1650</v>
      </c>
    </row>
    <row r="12" spans="1:63" ht="30" customHeight="1" x14ac:dyDescent="0.25">
      <c r="G12" s="4" t="str">
        <f>$E$6</f>
        <v>Financial and Legal</v>
      </c>
      <c r="H12" s="4" t="s">
        <v>1737</v>
      </c>
      <c r="I12" s="4" t="s">
        <v>1738</v>
      </c>
      <c r="J12" s="4" t="s">
        <v>18</v>
      </c>
      <c r="K12" s="4" t="b">
        <f t="shared" ca="1" si="0"/>
        <v>1</v>
      </c>
      <c r="Y12" s="4" t="s">
        <v>138</v>
      </c>
      <c r="Z12" s="4" t="s">
        <v>141</v>
      </c>
      <c r="AA12" s="4">
        <v>6</v>
      </c>
      <c r="AB12" s="4" cm="1">
        <f t="array" ref="AB12">IF(ROW()=ROW($AB$3)+1,0,INDEX($AB:$AB,ROW()-1))+
IF($Y12=INDEX($Y:$Y,ROW()-1),0,1)</f>
        <v>2</v>
      </c>
      <c r="AC12" s="4" t="b">
        <f t="shared" ca="1" si="1"/>
        <v>1</v>
      </c>
    </row>
    <row r="13" spans="1:63" ht="45" x14ac:dyDescent="0.25">
      <c r="G13" s="4" t="str">
        <f>$E$6</f>
        <v>Financial and Legal</v>
      </c>
      <c r="H13" s="4" t="s">
        <v>1739</v>
      </c>
      <c r="I13" s="4" t="s">
        <v>1740</v>
      </c>
      <c r="J13" s="4" t="s">
        <v>19</v>
      </c>
      <c r="K13" s="4" t="b">
        <f t="shared" ca="1" si="0"/>
        <v>1</v>
      </c>
      <c r="Y13" s="4" t="s">
        <v>138</v>
      </c>
      <c r="Z13" s="4" t="s">
        <v>142</v>
      </c>
      <c r="AA13" s="4">
        <v>8</v>
      </c>
      <c r="AB13" s="4" cm="1">
        <f t="array" ref="AB13">IF(ROW()=ROW($AB$3)+1,0,INDEX($AB:$AB,ROW()-1))+
IF($Y13=INDEX($Y:$Y,ROW()-1),0,1)</f>
        <v>2</v>
      </c>
      <c r="AC13" s="4" t="b">
        <f t="shared" ca="1" si="1"/>
        <v>1</v>
      </c>
    </row>
    <row r="14" spans="1:63" ht="45" customHeight="1" x14ac:dyDescent="0.25">
      <c r="G14" s="4" t="str">
        <f>$E$7</f>
        <v>Safety</v>
      </c>
      <c r="H14" s="4" t="s">
        <v>29</v>
      </c>
      <c r="I14" s="4" t="s">
        <v>29</v>
      </c>
      <c r="J14" s="4" t="s">
        <v>17</v>
      </c>
      <c r="K14" s="4" t="b">
        <f t="shared" ca="1" si="0"/>
        <v>0</v>
      </c>
      <c r="Y14" s="4" t="s">
        <v>143</v>
      </c>
      <c r="Z14" s="4" t="s">
        <v>144</v>
      </c>
      <c r="AA14" s="4">
        <v>0</v>
      </c>
      <c r="AB14" s="4" cm="1">
        <f t="array" ref="AB14">IF(ROW()=ROW($AB$3)+1,0,INDEX($AB:$AB,ROW()-1))+
IF($Y14=INDEX($Y:$Y,ROW()-1),0,1)</f>
        <v>3</v>
      </c>
      <c r="AC14" s="4" t="b">
        <f t="shared" ca="1" si="1"/>
        <v>0</v>
      </c>
    </row>
    <row r="15" spans="1:63" x14ac:dyDescent="0.25">
      <c r="G15" s="4" t="str">
        <f>$E$7</f>
        <v>Safety</v>
      </c>
      <c r="H15" s="4" t="s">
        <v>30</v>
      </c>
      <c r="I15" s="4" t="s">
        <v>30</v>
      </c>
      <c r="J15" s="4" t="s">
        <v>24</v>
      </c>
      <c r="K15" s="4" t="b">
        <f t="shared" ca="1" si="0"/>
        <v>1</v>
      </c>
      <c r="Y15" s="4" t="s">
        <v>143</v>
      </c>
      <c r="Z15" s="4" t="s">
        <v>145</v>
      </c>
      <c r="AA15" s="4">
        <v>3</v>
      </c>
      <c r="AB15" s="4" cm="1">
        <f t="array" ref="AB15">IF(ROW()=ROW($AB$3)+1,0,INDEX($AB:$AB,ROW()-1))+
IF($Y15=INDEX($Y:$Y,ROW()-1),0,1)</f>
        <v>3</v>
      </c>
      <c r="AC15" s="4" t="b">
        <f t="shared" ca="1" si="1"/>
        <v>1</v>
      </c>
    </row>
    <row r="16" spans="1:63" ht="30" x14ac:dyDescent="0.25">
      <c r="G16" s="4" t="str">
        <f>$E$7</f>
        <v>Safety</v>
      </c>
      <c r="H16" s="4" t="s">
        <v>31</v>
      </c>
      <c r="I16" s="4" t="s">
        <v>31</v>
      </c>
      <c r="J16" s="4" t="s">
        <v>18</v>
      </c>
      <c r="K16" s="4" t="b">
        <f t="shared" ca="1" si="0"/>
        <v>1</v>
      </c>
      <c r="Y16" s="4" t="s">
        <v>143</v>
      </c>
      <c r="Z16" s="4" t="s">
        <v>146</v>
      </c>
      <c r="AA16" s="4">
        <v>7</v>
      </c>
      <c r="AB16" s="4" cm="1">
        <f t="array" ref="AB16">IF(ROW()=ROW($AB$3)+1,0,INDEX($AB:$AB,ROW()-1))+
IF($Y16=INDEX($Y:$Y,ROW()-1),0,1)</f>
        <v>3</v>
      </c>
      <c r="AC16" s="4" t="b">
        <f t="shared" ca="1" si="1"/>
        <v>1</v>
      </c>
    </row>
    <row r="17" spans="7:29" x14ac:dyDescent="0.25">
      <c r="G17" s="4" t="str">
        <f>$E$7</f>
        <v>Safety</v>
      </c>
      <c r="H17" s="4" t="s">
        <v>32</v>
      </c>
      <c r="I17" s="4" t="s">
        <v>32</v>
      </c>
      <c r="J17" s="4" t="s">
        <v>19</v>
      </c>
      <c r="K17" s="4" t="b">
        <f t="shared" ca="1" si="0"/>
        <v>1</v>
      </c>
      <c r="Y17" s="4" t="s">
        <v>143</v>
      </c>
      <c r="Z17" s="4" t="s">
        <v>19</v>
      </c>
      <c r="AA17" s="4">
        <v>11</v>
      </c>
      <c r="AB17" s="4" cm="1">
        <f t="array" ref="AB17">IF(ROW()=ROW($AB$3)+1,0,INDEX($AB:$AB,ROW()-1))+
IF($Y17=INDEX($Y:$Y,ROW()-1),0,1)</f>
        <v>3</v>
      </c>
      <c r="AC17" s="4" t="b">
        <f t="shared" ca="1" si="1"/>
        <v>1</v>
      </c>
    </row>
    <row r="18" spans="7:29" ht="30" x14ac:dyDescent="0.25">
      <c r="G18" s="4" t="str">
        <f>$E$8</f>
        <v>Function and Availability</v>
      </c>
      <c r="H18" s="4" t="s">
        <v>33</v>
      </c>
      <c r="I18" s="4" t="s">
        <v>34</v>
      </c>
      <c r="J18" s="4" t="s">
        <v>17</v>
      </c>
      <c r="K18" s="4" t="b">
        <f t="shared" ca="1" si="0"/>
        <v>0</v>
      </c>
      <c r="Y18" s="4" t="s">
        <v>147</v>
      </c>
      <c r="Z18" s="4" t="s">
        <v>148</v>
      </c>
      <c r="AA18" s="4">
        <v>0</v>
      </c>
      <c r="AB18" s="4" cm="1">
        <f t="array" ref="AB18">IF(ROW()=ROW($AB$3)+1,0,INDEX($AB:$AB,ROW()-1))+
IF($Y18=INDEX($Y:$Y,ROW()-1),0,1)</f>
        <v>4</v>
      </c>
      <c r="AC18" s="4" t="b">
        <f t="shared" ca="1" si="1"/>
        <v>0</v>
      </c>
    </row>
    <row r="19" spans="7:29" ht="30" x14ac:dyDescent="0.25">
      <c r="G19" s="4" t="str">
        <f t="shared" ref="G19:G23" si="2">$E$8</f>
        <v>Function and Availability</v>
      </c>
      <c r="H19" s="4" t="s">
        <v>35</v>
      </c>
      <c r="I19" s="4" t="s">
        <v>36</v>
      </c>
      <c r="J19" s="4" t="s">
        <v>24</v>
      </c>
      <c r="K19" s="4" t="b">
        <f t="shared" ca="1" si="0"/>
        <v>1</v>
      </c>
      <c r="Y19" s="4" t="s">
        <v>147</v>
      </c>
      <c r="Z19" s="4" t="s">
        <v>149</v>
      </c>
      <c r="AA19" s="4">
        <v>1</v>
      </c>
      <c r="AB19" s="4" cm="1">
        <f t="array" ref="AB19">IF(ROW()=ROW($AB$3)+1,0,INDEX($AB:$AB,ROW()-1))+
IF($Y19=INDEX($Y:$Y,ROW()-1),0,1)</f>
        <v>4</v>
      </c>
      <c r="AC19" s="4" t="b">
        <f t="shared" ca="1" si="1"/>
        <v>1</v>
      </c>
    </row>
    <row r="20" spans="7:29" ht="30" x14ac:dyDescent="0.25">
      <c r="G20" s="4" t="str">
        <f t="shared" si="2"/>
        <v>Function and Availability</v>
      </c>
      <c r="H20" s="4" t="s">
        <v>37</v>
      </c>
      <c r="I20" s="4" t="s">
        <v>38</v>
      </c>
      <c r="J20" s="4" t="s">
        <v>18</v>
      </c>
      <c r="K20" s="4" t="b">
        <f t="shared" ca="1" si="0"/>
        <v>1</v>
      </c>
      <c r="Y20" s="4" t="s">
        <v>147</v>
      </c>
      <c r="Z20" s="4" t="s">
        <v>81</v>
      </c>
      <c r="AA20" s="4">
        <v>4</v>
      </c>
      <c r="AB20" s="4" cm="1">
        <f t="array" ref="AB20">IF(ROW()=ROW($AB$3)+1,0,INDEX($AB:$AB,ROW()-1))+
IF($Y20=INDEX($Y:$Y,ROW()-1),0,1)</f>
        <v>4</v>
      </c>
      <c r="AC20" s="4" t="b">
        <f t="shared" ca="1" si="1"/>
        <v>1</v>
      </c>
    </row>
    <row r="21" spans="7:29" ht="30" x14ac:dyDescent="0.25">
      <c r="G21" s="4" t="str">
        <f t="shared" si="2"/>
        <v>Function and Availability</v>
      </c>
      <c r="H21" s="4" t="s">
        <v>1135</v>
      </c>
      <c r="I21" s="4" t="s">
        <v>1133</v>
      </c>
      <c r="J21" s="4" t="s">
        <v>18</v>
      </c>
      <c r="K21" s="4" t="b">
        <f t="shared" ca="1" si="0"/>
        <v>1</v>
      </c>
      <c r="Y21" s="4" t="s">
        <v>147</v>
      </c>
      <c r="Z21" s="4" t="s">
        <v>150</v>
      </c>
      <c r="AA21" s="4">
        <v>10</v>
      </c>
      <c r="AB21" s="4" cm="1">
        <f t="array" ref="AB21">IF(ROW()=ROW($AB$3)+1,0,INDEX($AB:$AB,ROW()-1))+
IF($Y21=INDEX($Y:$Y,ROW()-1),0,1)</f>
        <v>4</v>
      </c>
      <c r="AC21" s="4" t="b">
        <f t="shared" ca="1" si="1"/>
        <v>1</v>
      </c>
    </row>
    <row r="22" spans="7:29" ht="45" x14ac:dyDescent="0.25">
      <c r="G22" s="4" t="str">
        <f t="shared" si="2"/>
        <v>Function and Availability</v>
      </c>
      <c r="H22" s="4" t="s">
        <v>39</v>
      </c>
      <c r="I22" s="4" t="s">
        <v>1132</v>
      </c>
      <c r="J22" s="4" t="s">
        <v>19</v>
      </c>
      <c r="K22" s="4" t="b">
        <f t="shared" ca="1" si="0"/>
        <v>1</v>
      </c>
      <c r="Y22" s="4" t="s">
        <v>147</v>
      </c>
      <c r="Z22" s="4" t="s">
        <v>151</v>
      </c>
      <c r="AA22" s="4">
        <v>25</v>
      </c>
      <c r="AB22" s="4" cm="1">
        <f t="array" ref="AB22">IF(ROW()=ROW($AB$3)+1,0,INDEX($AB:$AB,ROW()-1))+
IF($Y22=INDEX($Y:$Y,ROW()-1),0,1)</f>
        <v>4</v>
      </c>
      <c r="AC22" s="4" t="b">
        <f t="shared" ca="1" si="1"/>
        <v>1</v>
      </c>
    </row>
    <row r="23" spans="7:29" ht="45" x14ac:dyDescent="0.25">
      <c r="G23" s="4" t="str">
        <f t="shared" si="2"/>
        <v>Function and Availability</v>
      </c>
      <c r="H23" s="4" t="s">
        <v>1136</v>
      </c>
      <c r="I23" s="4" t="s">
        <v>1137</v>
      </c>
      <c r="J23" s="4" t="s">
        <v>19</v>
      </c>
      <c r="K23" s="4" t="b">
        <f ca="1">OFFSET($G23,-1,0)=$G23</f>
        <v>1</v>
      </c>
      <c r="Y23" s="4" t="s">
        <v>152</v>
      </c>
      <c r="Z23" s="4" t="s">
        <v>153</v>
      </c>
      <c r="AA23" s="4">
        <v>0</v>
      </c>
      <c r="AB23" s="4" cm="1">
        <f t="array" ref="AB23">IF(ROW()=ROW($AB$3)+1,0,INDEX($AB:$AB,ROW()-1))+
IF($Y23=INDEX($Y:$Y,ROW()-1),0,1)</f>
        <v>5</v>
      </c>
      <c r="AC23" s="4" t="b">
        <f t="shared" ca="1" si="1"/>
        <v>0</v>
      </c>
    </row>
    <row r="24" spans="7:29" x14ac:dyDescent="0.25">
      <c r="Y24" s="4" t="s">
        <v>152</v>
      </c>
      <c r="Z24" s="4" t="s">
        <v>154</v>
      </c>
      <c r="AA24" s="4">
        <v>4</v>
      </c>
      <c r="AB24" s="4" cm="1">
        <f t="array" ref="AB24">IF(ROW()=ROW($AB$3)+1,0,INDEX($AB:$AB,ROW()-1))+
IF($Y24=INDEX($Y:$Y,ROW()-1),0,1)</f>
        <v>5</v>
      </c>
      <c r="AC24" s="4" t="b">
        <f t="shared" ca="1" si="1"/>
        <v>1</v>
      </c>
    </row>
    <row r="25" spans="7:29" x14ac:dyDescent="0.25">
      <c r="Y25" s="4" t="s">
        <v>152</v>
      </c>
      <c r="Z25" s="4" t="s">
        <v>155</v>
      </c>
      <c r="AA25" s="4">
        <v>7</v>
      </c>
      <c r="AB25" s="4" cm="1">
        <f t="array" ref="AB25">IF(ROW()=ROW($AB$3)+1,0,INDEX($AB:$AB,ROW()-1))+
IF($Y25=INDEX($Y:$Y,ROW()-1),0,1)</f>
        <v>5</v>
      </c>
      <c r="AC25" s="4" t="b">
        <f t="shared" ca="1" si="1"/>
        <v>1</v>
      </c>
    </row>
    <row r="26" spans="7:29" x14ac:dyDescent="0.25">
      <c r="Y26" s="4" t="s">
        <v>152</v>
      </c>
      <c r="Z26" s="4" t="s">
        <v>156</v>
      </c>
      <c r="AA26" s="4">
        <v>9</v>
      </c>
      <c r="AB26" s="4" cm="1">
        <f t="array" ref="AB26">IF(ROW()=ROW($AB$3)+1,0,INDEX($AB:$AB,ROW()-1))+
IF($Y26=INDEX($Y:$Y,ROW()-1),0,1)</f>
        <v>5</v>
      </c>
      <c r="AC26" s="4" t="b">
        <f t="shared" ca="1" si="1"/>
        <v>1</v>
      </c>
    </row>
  </sheetData>
  <phoneticPr fontId="4" type="noConversion"/>
  <conditionalFormatting sqref="A1:XFD10001">
    <cfRule type="expression" dxfId="76" priority="1">
      <formula>AND(A1&lt;&gt;"",MOD(ROW(A1),2)=MOD(ROW(A$3),2),ROW(A1)&gt;ROW(A$1))</formula>
    </cfRule>
  </conditionalFormatting>
  <conditionalFormatting sqref="A2:XFD3">
    <cfRule type="expression" dxfId="75" priority="12">
      <formula>A$3&lt;&gt;""</formula>
    </cfRule>
  </conditionalFormatting>
  <conditionalFormatting sqref="G1:G1048576">
    <cfRule type="expression" dxfId="74" priority="368">
      <formula>AND($H1&lt;&gt;"",$G1="",ROW($G1)&gt;ROW($G$3))</formula>
    </cfRule>
    <cfRule type="expression" dxfId="73" priority="369">
      <formula>AND($K1,MOD(ROW($G1),2)=MOD(ROW($G$3),2),ROW($G1)&gt;ROW($G$3))</formula>
    </cfRule>
    <cfRule type="expression" dxfId="72" priority="370">
      <formula>AND($K1,MOD(ROW($G1),2)=MOD(ROW($G$3)+1,2),ROW($G1)&gt;ROW($G$3))</formula>
    </cfRule>
  </conditionalFormatting>
  <conditionalFormatting sqref="G1:K1048576">
    <cfRule type="expression" dxfId="71" priority="367">
      <formula>AND(ROW($G1)&gt;ROW($G$3),$G1&lt;&gt;$G2)</formula>
    </cfRule>
  </conditionalFormatting>
  <conditionalFormatting sqref="Y1:Y1048576">
    <cfRule type="expression" dxfId="70" priority="371">
      <formula>AND($Z1&lt;&gt;"",$Y1="",ROW($Y1)&gt;ROW($Y$3))</formula>
    </cfRule>
    <cfRule type="expression" dxfId="69" priority="372">
      <formula>AND($AC1,ROW($Y1)&gt;ROW($Y$3),MOD(ROW($Y1),2)=MOD(ROW($Y$3),2))</formula>
    </cfRule>
    <cfRule type="expression" dxfId="68" priority="373">
      <formula>AND($AC1,ROW($Y1)&gt;ROW($Y$3),MOD(ROW($Y1),2)=MOD(ROW($Y$3)+1,2))</formula>
    </cfRule>
  </conditionalFormatting>
  <conditionalFormatting sqref="Y1:AA1048576">
    <cfRule type="expression" dxfId="67" priority="375">
      <formula>AND(ROW($AB1)&gt;ROW($AB$3),$AB1&lt;&gt;$AB2)</formula>
    </cfRule>
  </conditionalFormatting>
  <dataValidations disablePrompts="1" count="1">
    <dataValidation type="list" allowBlank="1" showInputMessage="1" showErrorMessage="1" sqref="AU4" xr:uid="{02FB5547-9257-4C73-AB53-0893682F3326}">
      <formula1>$A$4:$A$5</formula1>
    </dataValidation>
  </dataValidations>
  <pageMargins left="0.7" right="0.7" top="0.75" bottom="0.75" header="0.3" footer="0.3"/>
  <pageSetup paperSize="9" orientation="portrait" r:id="rId1"/>
  <ignoredErrors>
    <ignoredError sqref="G4:G17 G19:G22" calculatedColumn="1"/>
  </ignoredErrors>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7B548-CACB-4911-B1B8-594ED37E14CE}">
  <sheetPr>
    <tabColor theme="6"/>
  </sheetPr>
  <dimension ref="A1:R60"/>
  <sheetViews>
    <sheetView workbookViewId="0">
      <pane xSplit="2" ySplit="3" topLeftCell="C4" activePane="bottomRight" state="frozen"/>
      <selection pane="topRight" activeCell="C1" sqref="C1"/>
      <selection pane="bottomLeft" activeCell="A3" sqref="A3"/>
      <selection pane="bottomRight" activeCell="A3" sqref="A3"/>
    </sheetView>
  </sheetViews>
  <sheetFormatPr defaultColWidth="9.140625" defaultRowHeight="15" x14ac:dyDescent="0.25"/>
  <cols>
    <col min="1" max="1" width="9.140625" style="2"/>
    <col min="2" max="2" width="45.7109375" style="2" customWidth="1"/>
    <col min="3" max="3" width="13.7109375" style="2" bestFit="1" customWidth="1"/>
    <col min="4" max="4" width="14.7109375" style="2" bestFit="1" customWidth="1"/>
    <col min="5" max="5" width="24.5703125" style="2" bestFit="1" customWidth="1"/>
    <col min="6" max="6" width="10.7109375" style="2" customWidth="1"/>
    <col min="7" max="7" width="20.7109375" style="2" customWidth="1"/>
    <col min="8" max="8" width="45.7109375" style="2" customWidth="1"/>
    <col min="9" max="9" width="26.7109375" style="2" bestFit="1" customWidth="1"/>
    <col min="10" max="10" width="10.7109375" style="2" customWidth="1"/>
    <col min="11" max="11" width="30.7109375" style="2" customWidth="1"/>
    <col min="12" max="12" width="90.7109375" style="2" customWidth="1"/>
    <col min="13" max="13" width="13.28515625" style="2" bestFit="1" customWidth="1"/>
    <col min="14" max="14" width="45.7109375" style="2" customWidth="1"/>
    <col min="15" max="16" width="12.5703125" style="2" hidden="1" customWidth="1"/>
    <col min="17" max="17" width="12.140625" style="2" hidden="1" customWidth="1"/>
    <col min="18" max="18" width="21.42578125" style="2" hidden="1" customWidth="1"/>
    <col min="19" max="16384" width="9.140625" style="2"/>
  </cols>
  <sheetData>
    <row r="1" spans="1:18" s="115" customFormat="1" x14ac:dyDescent="0.25">
      <c r="A1" s="115"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HYPERLINK("#'"&amp;Helper!$G$2&amp;"'!"&amp;CHAR(CODE("A")+COLUMN(_xlpm._columnNameHeader)-1)&amp;_xlpm._entryOffset,Definitions!$AY$4)))(Helper!$G$4,A$3,README!$E:$E,README!$I$36,README!$B$36)</f>
        <v>◈</v>
      </c>
      <c r="B1" s="115"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HYPERLINK("#'"&amp;Helper!$G$2&amp;"'!"&amp;CHAR(CODE("A")+COLUMN(_xlpm._columnNameHeader)-1)&amp;_xlpm._entryOffset,Definitions!$AY$4)))(Helper!$G$4,B$3,README!$E:$E,README!$I$36,README!$B$36)</f>
        <v>◈</v>
      </c>
      <c r="C1" s="115"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HYPERLINK("#'"&amp;Helper!$G$2&amp;"'!"&amp;CHAR(CODE("A")+COLUMN(_xlpm._columnNameHeader)-1)&amp;_xlpm._entryOffset,Definitions!$AY$4)))(Helper!$G$4,C$3,README!$E:$E,README!$I$36,README!$B$36)</f>
        <v>◈</v>
      </c>
      <c r="D1" s="115"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HYPERLINK("#'"&amp;Helper!$G$2&amp;"'!"&amp;CHAR(CODE("A")+COLUMN(_xlpm._columnNameHeader)-1)&amp;_xlpm._entryOffset,Definitions!$AY$4)))(Helper!$G$4,D$3,README!$E:$E,README!$I$36,README!$B$36)</f>
        <v>◈</v>
      </c>
      <c r="E1" s="115"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HYPERLINK("#'"&amp;Helper!$G$2&amp;"'!"&amp;CHAR(CODE("A")+COLUMN(_xlpm._columnNameHeader)-1)&amp;_xlpm._entryOffset,Definitions!$AY$4)))(Helper!$G$4,E$3,README!$E:$E,README!$I$36,README!$B$36)</f>
        <v>◈</v>
      </c>
      <c r="F1" s="115"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HYPERLINK("#'"&amp;Helper!$G$2&amp;"'!"&amp;CHAR(CODE("A")+COLUMN(_xlpm._columnNameHeader)-1)&amp;_xlpm._entryOffset,Definitions!$AY$4)))(Helper!$G$4,F$3,README!$E:$E,README!$I$36,README!$B$36)</f>
        <v>◈</v>
      </c>
      <c r="G1" s="115"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HYPERLINK("#'"&amp;Helper!$G$2&amp;"'!"&amp;CHAR(CODE("A")+COLUMN(_xlpm._columnNameHeader)-1)&amp;_xlpm._entryOffset,Definitions!$AY$4)))(Helper!$G$4,G$3,README!$E:$E,README!$I$36,README!$B$36)</f>
        <v>◈</v>
      </c>
      <c r="H1" s="115"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HYPERLINK("#'"&amp;Helper!$G$2&amp;"'!"&amp;CHAR(CODE("A")+COLUMN(_xlpm._columnNameHeader)-1)&amp;_xlpm._entryOffset,Definitions!$AY$4)))(Helper!$G$4,H$3,README!$E:$E,README!$I$36,README!$B$36)</f>
        <v>◈</v>
      </c>
      <c r="I1" s="115"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HYPERLINK("#'"&amp;Helper!$G$2&amp;"'!"&amp;CHAR(CODE("A")+COLUMN(_xlpm._columnNameHeader)-1)&amp;_xlpm._entryOffset,Definitions!$AY$4)))(Helper!$G$4,I$3,README!$E:$E,README!$I$36,README!$B$36)</f>
        <v>◈</v>
      </c>
      <c r="J1" s="115"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HYPERLINK("#'"&amp;Helper!$G$2&amp;"'!"&amp;CHAR(CODE("A")+COLUMN(_xlpm._columnNameHeader)-1)&amp;_xlpm._entryOffset,Definitions!$AY$4)))(Helper!$G$4,J$3,README!$E:$E,README!$I$36,README!$B$36)</f>
        <v>◈</v>
      </c>
      <c r="K1" s="115"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HYPERLINK("#'"&amp;Helper!$G$2&amp;"'!"&amp;CHAR(CODE("A")+COLUMN(_xlpm._columnNameHeader)-1)&amp;_xlpm._entryOffset,Definitions!$AY$4)))(Helper!$G$4,K$3,README!$E:$E,README!$I$36,README!$B$36)</f>
        <v>◈</v>
      </c>
      <c r="L1" s="115"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HYPERLINK("#'"&amp;Helper!$G$2&amp;"'!"&amp;CHAR(CODE("A")+COLUMN(_xlpm._columnNameHeader)-1)&amp;_xlpm._entryOffset,Definitions!$AY$4)))(Helper!$G$4,L$3,README!$E:$E,README!$I$36,README!$B$36)</f>
        <v>◈</v>
      </c>
      <c r="M1" s="115"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HYPERLINK("#'"&amp;Helper!$G$2&amp;"'!"&amp;CHAR(CODE("A")+COLUMN(_xlpm._columnNameHeader)-1)&amp;_xlpm._entryOffset,Definitions!$AY$4)))(Helper!$G$4,M$3,README!$E:$E,README!$I$36,README!$B$36)</f>
        <v>◈</v>
      </c>
      <c r="N1" s="115"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HYPERLINK("#'"&amp;Helper!$G$2&amp;"'!"&amp;CHAR(CODE("A")+COLUMN(_xlpm._columnNameHeader)-1)&amp;_xlpm._entryOffset,Definitions!$AY$4)))(Helper!$G$4,N$3,README!$E:$E,README!$I$36,README!$B$36)</f>
        <v>◈</v>
      </c>
    </row>
    <row r="2" spans="1:18" s="1" customFormat="1" x14ac:dyDescent="0.25">
      <c r="E2" s="141" t="s">
        <v>1169</v>
      </c>
      <c r="F2" s="142"/>
      <c r="G2" s="142"/>
      <c r="H2" s="143"/>
      <c r="I2" s="141" t="s">
        <v>1170</v>
      </c>
      <c r="J2" s="142"/>
      <c r="K2" s="142"/>
      <c r="L2" s="143"/>
    </row>
    <row r="3" spans="1:18" x14ac:dyDescent="0.25">
      <c r="A3" s="10" t="s">
        <v>53</v>
      </c>
      <c r="B3" s="10" t="s">
        <v>1166</v>
      </c>
      <c r="C3" s="10" t="s">
        <v>64</v>
      </c>
      <c r="D3" s="10" t="s">
        <v>1178</v>
      </c>
      <c r="E3" s="88" t="s">
        <v>1159</v>
      </c>
      <c r="F3" s="89" t="s">
        <v>1167</v>
      </c>
      <c r="G3" s="92" t="s">
        <v>1160</v>
      </c>
      <c r="H3" s="90" t="s">
        <v>1161</v>
      </c>
      <c r="I3" s="88" t="s">
        <v>1162</v>
      </c>
      <c r="J3" s="89" t="s">
        <v>1168</v>
      </c>
      <c r="K3" s="92" t="s">
        <v>1163</v>
      </c>
      <c r="L3" s="90" t="s">
        <v>1164</v>
      </c>
      <c r="M3" s="10" t="s">
        <v>1196</v>
      </c>
      <c r="N3" s="10" t="s">
        <v>3</v>
      </c>
      <c r="O3" s="10" t="s">
        <v>54</v>
      </c>
      <c r="P3" s="10" t="s">
        <v>230</v>
      </c>
      <c r="Q3" s="10" t="s">
        <v>1198</v>
      </c>
      <c r="R3" s="10" t="s">
        <v>1334</v>
      </c>
    </row>
    <row r="4" spans="1:18" x14ac:dyDescent="0.25">
      <c r="A4" s="13" t="s">
        <v>1165</v>
      </c>
      <c r="B4" s="13" t="s">
        <v>0</v>
      </c>
      <c r="C4" s="13">
        <v>0</v>
      </c>
      <c r="D4" s="112" t="str">
        <f t="shared" ref="D4:D35" si="0">IF($A4="","",IF(LEFT($A4,1)="Q","x",""))</f>
        <v/>
      </c>
      <c r="E4" s="91"/>
      <c r="F4" s="89"/>
      <c r="G4" s="97" t="str">
        <f t="shared" ref="G4:G35" ca="1" si="1">IF($E4="","",_xlfn.TEXTJOIN(CHAR(10),TRUE,OFFSET(INDIRECT($E4),0,0,$F4,1)))</f>
        <v/>
      </c>
      <c r="H4" s="93"/>
      <c r="I4" s="91"/>
      <c r="J4" s="100"/>
      <c r="K4" s="97" t="str" cm="1">
        <f t="array" aca="1" ref="K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IF(LEN(_xlpm._optionsRanges)&lt;=_xlpm._endOfFirstElement,"",CHAR(10)&amp;ShowResultingOptions(RIGHT(_xlpm._optionsRanges,LEN(_xlpm._optionsRanges)-_xlpm._endOfFirstElement),RIGHT(_xlpm._optionsHeights,LEN(_xlpm._optionsHeights)-_xlpm._endOfFirstElementH))))))($I4,$J4),
CHAR(10))</f>
        <v/>
      </c>
      <c r="L4" s="93"/>
      <c r="M4" s="13"/>
      <c r="N4" s="13"/>
      <c r="O4" s="13" cm="1">
        <f t="array" ref="O4">CreateID($O$3,$O:$O,$A4&lt;&gt;"")</f>
        <v>1</v>
      </c>
      <c r="P4" s="13" cm="1">
        <f t="array" ref="P4">CreateTaskID($P$3,$P:$P,Tasks!$B$17,$N4)</f>
        <v>0</v>
      </c>
      <c r="Q4" s="13" t="b" cm="1">
        <f t="array" ref="Q4">IF($M4="",FALSE,CheckRelevance(SanitizeInput($M4),Questionnaire!$AA:$AA))</f>
        <v>0</v>
      </c>
      <c r="R4" s="23" cm="1">
        <f t="array" ref="R4">CreateID($R$3,$R:$R,AND($A4&lt;&gt;"",$D4&lt;&gt;""))</f>
        <v>0</v>
      </c>
    </row>
    <row r="5" spans="1:18" x14ac:dyDescent="0.25">
      <c r="A5" s="13" t="s">
        <v>1171</v>
      </c>
      <c r="B5" s="13" t="s">
        <v>4</v>
      </c>
      <c r="C5" s="13">
        <v>0</v>
      </c>
      <c r="D5" s="112" t="str">
        <f t="shared" si="0"/>
        <v/>
      </c>
      <c r="E5" s="91"/>
      <c r="F5" s="89"/>
      <c r="G5" s="97" t="str">
        <f t="shared" ca="1" si="1"/>
        <v/>
      </c>
      <c r="H5" s="93"/>
      <c r="I5" s="91"/>
      <c r="J5" s="100"/>
      <c r="K5" s="97" t="str" cm="1">
        <f t="array" aca="1" ref="K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IF(LEN(_xlpm._optionsRanges)&lt;=_xlpm._endOfFirstElement,"",CHAR(10)&amp;ShowResultingOptions(RIGHT(_xlpm._optionsRanges,LEN(_xlpm._optionsRanges)-_xlpm._endOfFirstElement),RIGHT(_xlpm._optionsHeights,LEN(_xlpm._optionsHeights)-_xlpm._endOfFirstElementH))))))($I5,$J5),
CHAR(10))</f>
        <v/>
      </c>
      <c r="L5" s="93"/>
      <c r="M5" s="13"/>
      <c r="N5" s="13"/>
      <c r="O5" s="13" cm="1">
        <f t="array" ref="O5">CreateID($O$3,$O:$O,$A5&lt;&gt;"")</f>
        <v>2</v>
      </c>
      <c r="P5" s="13" cm="1">
        <f t="array" ref="P5">CreateTaskID($P$3,$P:$P,Tasks!$B$17,$N5)</f>
        <v>0</v>
      </c>
      <c r="Q5" s="13" t="b" cm="1">
        <f t="array" ref="Q5">IF($M5="",FALSE,CheckRelevance(SanitizeInput($M5),Questionnaire!$AA:$AA))</f>
        <v>0</v>
      </c>
      <c r="R5" s="23" cm="1">
        <f t="array" ref="R5">CreateID($R$3,$R:$R,AND($A5&lt;&gt;"",$D5&lt;&gt;""))</f>
        <v>0</v>
      </c>
    </row>
    <row r="6" spans="1:18" x14ac:dyDescent="0.25">
      <c r="A6" s="13" t="s">
        <v>1179</v>
      </c>
      <c r="B6" s="13" t="s">
        <v>56</v>
      </c>
      <c r="C6" s="13">
        <v>3</v>
      </c>
      <c r="D6" s="112" t="str">
        <f t="shared" si="0"/>
        <v/>
      </c>
      <c r="E6" s="91"/>
      <c r="F6" s="13"/>
      <c r="G6" s="36" t="str">
        <f t="shared" ca="1" si="1"/>
        <v/>
      </c>
      <c r="H6" s="93"/>
      <c r="I6" s="91"/>
      <c r="J6" s="110"/>
      <c r="K6" s="36" t="str" cm="1">
        <f t="array" aca="1" ref="K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IF(LEN(_xlpm._optionsRanges)&lt;=_xlpm._endOfFirstElement,"",CHAR(10)&amp;ShowResultingOptions(RIGHT(_xlpm._optionsRanges,LEN(_xlpm._optionsRanges)-_xlpm._endOfFirstElement),RIGHT(_xlpm._optionsHeights,LEN(_xlpm._optionsHeights)-_xlpm._endOfFirstElementH))))))($I6,$J6),
CHAR(10))</f>
        <v/>
      </c>
      <c r="L6" s="93"/>
      <c r="M6" s="13"/>
      <c r="N6" s="13"/>
      <c r="O6" s="13" cm="1">
        <f t="array" ref="O6">CreateID($O$3,$O:$O,$A6&lt;&gt;"")</f>
        <v>3</v>
      </c>
      <c r="P6" s="13" cm="1">
        <f t="array" ref="P6">CreateTaskID($P$3,$P:$P,Tasks!$B$17,$N6)</f>
        <v>0</v>
      </c>
      <c r="Q6" s="13" t="b" cm="1">
        <f t="array" ref="Q6">IF($M6="",FALSE,CheckRelevance(SanitizeInput($M6),Questionnaire!$AA:$AA))</f>
        <v>0</v>
      </c>
      <c r="R6" s="23" cm="1">
        <f t="array" ref="R6">CreateID($R$3,$R:$R,AND($A6&lt;&gt;"",$D6&lt;&gt;""))</f>
        <v>0</v>
      </c>
    </row>
    <row r="7" spans="1:18" ht="36.75" x14ac:dyDescent="0.25">
      <c r="A7" s="13" t="s">
        <v>1102</v>
      </c>
      <c r="B7" s="13" t="s">
        <v>1482</v>
      </c>
      <c r="C7" s="13">
        <v>6</v>
      </c>
      <c r="D7" s="112" t="str">
        <f t="shared" si="0"/>
        <v>x</v>
      </c>
      <c r="E7" s="91" t="str" cm="1">
        <f t="array" aca="1" ref="E7" ca="1">CELL("address",Definitions!$A$4)</f>
        <v>'[2025-07-30_QuBA_libre.xlsx]Definitions'!$A$4</v>
      </c>
      <c r="F7" s="13">
        <f>ROWS(Definitions!$A$4:$A$5)</f>
        <v>2</v>
      </c>
      <c r="G7" s="36" t="str">
        <f t="shared" ca="1" si="1"/>
        <v>Yes
No</v>
      </c>
      <c r="H7" s="93" t="str">
        <f>Definitions!$A$4&amp;": Can you argue that the product does not film people?"&amp;CHAR(10)&amp;
Definitions!$A$5&amp;":"</f>
        <v>Yes: Can you argue that the product does not film people?
No:</v>
      </c>
      <c r="I7" s="91" t="str" cm="1">
        <f t="array" aca="1" ref="I7" ca="1">Definitions!$A$4&amp;": "&amp;CELL("address",Definitions!$A$4)</f>
        <v>Yes: '[2025-07-30_QuBA_libre.xlsx]Definitions'!$A$4</v>
      </c>
      <c r="J7" s="110" t="str">
        <f>Definitions!$A$4&amp;": "&amp;ROWS(Definitions!$A$4:$A$5)</f>
        <v>Yes: 2</v>
      </c>
      <c r="K7" s="36" t="str" cm="1">
        <f t="array" aca="1" ref="K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IF(LEN(_xlpm._optionsRanges)&lt;=_xlpm._endOfFirstElement,"",CHAR(10)&amp;ShowResultingOptions(RIGHT(_xlpm._optionsRanges,LEN(_xlpm._optionsRanges)-_xlpm._endOfFirstElement),RIGHT(_xlpm._optionsHeights,LEN(_xlpm._optionsHeights)-_xlpm._endOfFirstElementH))))))($I7,$J7),
CHAR(10))</f>
        <v>___Yes___
Yes
No</v>
      </c>
      <c r="L7" s="93" t="str" cm="1">
        <f t="array" aca="1" ref="L7" ca="1">LEFT(INDEX($K:$K,ROW()),FIND(CHAR(10),INDEX($K:$K,ROW())))&amp;
Definitions!$A$4&amp;": Please provide a rationale:"&amp;CHAR(10)&amp;
Definitions!$A$5&amp;":"</f>
        <v>___Yes___
Yes: Please provide a rationale:
No:</v>
      </c>
      <c r="M7" s="13"/>
      <c r="N7" s="13"/>
      <c r="O7" s="13" cm="1">
        <f t="array" ref="O7">CreateID($O$3,$O:$O,$A7&lt;&gt;"")</f>
        <v>4</v>
      </c>
      <c r="P7" s="13" cm="1">
        <f t="array" ref="P7">CreateTaskID($P$3,$P:$P,Tasks!$B$17,$N7)</f>
        <v>0</v>
      </c>
      <c r="Q7" s="13" t="b" cm="1">
        <f t="array" ref="Q7">IF($M7="",FALSE,CheckRelevance(SanitizeInput($M7),Questionnaire!$AA:$AA))</f>
        <v>0</v>
      </c>
      <c r="R7" s="23" cm="1">
        <f t="array" ref="R7">CreateID($R$3,$R:$R,AND($A7&lt;&gt;"",$D7&lt;&gt;""))</f>
        <v>1</v>
      </c>
    </row>
    <row r="8" spans="1:18" ht="120.75" x14ac:dyDescent="0.25">
      <c r="A8" s="13" t="s">
        <v>1099</v>
      </c>
      <c r="B8" s="13" t="s">
        <v>1741</v>
      </c>
      <c r="C8" s="13">
        <v>6</v>
      </c>
      <c r="D8" s="112" t="str">
        <f t="shared" si="0"/>
        <v>x</v>
      </c>
      <c r="E8" s="91" t="str" cm="1">
        <f t="array" aca="1" ref="E8" ca="1">CELL("address",Definitions!$A$4)</f>
        <v>'[2025-07-30_QuBA_libre.xlsx]Definitions'!$A$4</v>
      </c>
      <c r="F8" s="13">
        <f>ROWS(Definitions!$A$4:$A$5)</f>
        <v>2</v>
      </c>
      <c r="G8" s="36" t="str">
        <f t="shared" ca="1" si="1"/>
        <v>Yes
No</v>
      </c>
      <c r="H8" s="93" t="str">
        <f>Definitions!$A$4&amp;": What is the criticality of the processed data?"&amp;CHAR(10)&amp;
Definitions!$A$5&amp;":"</f>
        <v>Yes: What is the criticality of the processed data?
No:</v>
      </c>
      <c r="I8" s="91" t="str" cm="1">
        <f t="array" aca="1" ref="I8" ca="1">Definitions!$A$4&amp;": "&amp;CELL("address",INDEX(Definitions!$H:$H,MATCH(Definitions!$E$4,Definitions!$G:$G,0)))</f>
        <v>Yes: '[2025-07-30_QuBA_libre.xlsx]Definitions'!$H$4</v>
      </c>
      <c r="J8" s="110" t="str">
        <f ca="1">Definitions!$A$4&amp;": "&amp;COUNTIF(Definitions!$G:$G,Definitions!$E$4)</f>
        <v>Yes: 3</v>
      </c>
      <c r="K8" s="36" t="str" cm="1">
        <f t="array" aca="1" ref="K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IF(LEN(_xlpm._optionsRanges)&lt;=_xlpm._endOfFirstElement,"",CHAR(10)&amp;ShowResultingOptions(RIGHT(_xlpm._optionsRanges,LEN(_xlpm._optionsRanges)-_xlpm._endOfFirstElement),RIGHT(_xlpm._optionsHeights,LEN(_xlpm._optionsHeights)-_xlpm._endOfFirstElementH))))))($I8,$J8),
CHAR(10))</f>
        <v>___Yes___
Personal data (low)
Personal data (significant)
Personal data (ruinous)</v>
      </c>
      <c r="L8" s="93" t="str" cm="1">
        <f t="array" aca="1" ref="L8" ca="1">LEFT(INDEX($K:$K,ROW()),FIND(CHAR(10),INDEX($K:$K,ROW())))&amp;
Definitions!$H$4&amp;": It is possible that the person affected will be negatively affected in his or her social status or economic situation (e.g., user name, business e-mail address, business phone number). Please list the affected data:"&amp;CHAR(10)&amp;
Definitions!$H$5&amp;": The person affected can be significantly impaired in his or her social status or economic circumstances (e.g., home address, bank account number, credit card details, private phone number, work history). Please list the affected data:"&amp;CHAR(10)&amp;
Definitions!$H$6&amp;": The person affected can be ruinously impaired in his social status and economic circumstances. "&amp;"The freedom of the person concerned is threatened (e.g., health data, biometric data, racial or ethnic origin, political opinions, religious beliefs). Please list the affected data:"</f>
        <v>___Yes___
Personal data (low): It is possible that the person affected will be negatively affected in his or her social status or economic situation (e.g., user name, business e-mail address, business phone number). Please list the affected data:
Personal data (significant): The person affected can be significantly impaired in his or her social status or economic circumstances (e.g., home address, bank account number, credit card details, private phone number, work history). Please list the affected data:
Personal data (ruinous): The person affected can be ruinously impaired in his social status and economic circumstances. The freedom of the person concerned is threatened (e.g., health data, biometric data, racial or ethnic origin, political opinions, religious beliefs). Please list the affected data:</v>
      </c>
      <c r="M8" s="13"/>
      <c r="N8" s="13"/>
      <c r="O8" s="13" cm="1">
        <f t="array" ref="O8">CreateID($O$3,$O:$O,$A8&lt;&gt;"")</f>
        <v>5</v>
      </c>
      <c r="P8" s="13" cm="1">
        <f t="array" ref="P8">CreateTaskID($P$3,$P:$P,Tasks!$B$17,$N8)</f>
        <v>0</v>
      </c>
      <c r="Q8" s="13" t="b" cm="1">
        <f t="array" ref="Q8">IF($M8="",FALSE,CheckRelevance(SanitizeInput($M8),Questionnaire!$AA:$AA))</f>
        <v>0</v>
      </c>
      <c r="R8" s="23" cm="1">
        <f t="array" ref="R8">CreateID($R$3,$R:$R,AND($A8&lt;&gt;"",$D8&lt;&gt;""))</f>
        <v>2</v>
      </c>
    </row>
    <row r="9" spans="1:18" x14ac:dyDescent="0.25">
      <c r="A9" s="13" t="s">
        <v>1180</v>
      </c>
      <c r="B9" s="13" t="s">
        <v>57</v>
      </c>
      <c r="C9" s="13">
        <v>3</v>
      </c>
      <c r="D9" s="112" t="str">
        <f t="shared" si="0"/>
        <v/>
      </c>
      <c r="E9" s="91"/>
      <c r="F9" s="13"/>
      <c r="G9" s="36" t="str">
        <f t="shared" ca="1" si="1"/>
        <v/>
      </c>
      <c r="H9" s="93"/>
      <c r="I9" s="91"/>
      <c r="J9" s="110"/>
      <c r="K9" s="36" t="str" cm="1">
        <f t="array" aca="1" ref="K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IF(LEN(_xlpm._optionsRanges)&lt;=_xlpm._endOfFirstElement,"",CHAR(10)&amp;ShowResultingOptions(RIGHT(_xlpm._optionsRanges,LEN(_xlpm._optionsRanges)-_xlpm._endOfFirstElement),RIGHT(_xlpm._optionsHeights,LEN(_xlpm._optionsHeights)-_xlpm._endOfFirstElementH))))))($I9,$J9),
CHAR(10))</f>
        <v/>
      </c>
      <c r="L9" s="93"/>
      <c r="M9" s="13"/>
      <c r="N9" s="13"/>
      <c r="O9" s="13" cm="1">
        <f t="array" ref="O9">CreateID($O$3,$O:$O,$A9&lt;&gt;"")</f>
        <v>6</v>
      </c>
      <c r="P9" s="13" cm="1">
        <f t="array" ref="P9">CreateTaskID($P$3,$P:$P,Tasks!$B$17,$N9)</f>
        <v>0</v>
      </c>
      <c r="Q9" s="13" t="b" cm="1">
        <f t="array" ref="Q9">IF($M9="",FALSE,CheckRelevance(SanitizeInput($M9),Questionnaire!$AA:$AA))</f>
        <v>0</v>
      </c>
      <c r="R9" s="23" cm="1">
        <f t="array" ref="R9">CreateID($R$3,$R:$R,AND($A9&lt;&gt;"",$D9&lt;&gt;""))</f>
        <v>2</v>
      </c>
    </row>
    <row r="10" spans="1:18" ht="105" x14ac:dyDescent="0.25">
      <c r="A10" s="13" t="s">
        <v>1097</v>
      </c>
      <c r="B10" s="13" t="str">
        <f>"Does the product contain "&amp;Definitions!$C$4&amp;" intellectual property?
Note: Only IP which is part of / accessible by the firmware / software in the product is in scope of this question. Gaining access to optical and mechanical IP are not covered by this question (and the cybersecurity risk analysis)"</f>
        <v>Does the product contain &lt;OEM name&gt; intellectual property?
Note: Only IP which is part of / accessible by the firmware / software in the product is in scope of this question. Gaining access to optical and mechanical IP are not covered by this question (and the cybersecurity risk analysis)</v>
      </c>
      <c r="C10" s="13">
        <v>6</v>
      </c>
      <c r="D10" s="112" t="str">
        <f t="shared" si="0"/>
        <v>x</v>
      </c>
      <c r="E10" s="91" t="str" cm="1">
        <f t="array" aca="1" ref="E10" ca="1">CELL("address",Definitions!$A$4)</f>
        <v>'[2025-07-30_QuBA_libre.xlsx]Definitions'!$A$4</v>
      </c>
      <c r="F10" s="13">
        <f>ROWS(Definitions!$A$4:$A$5)</f>
        <v>2</v>
      </c>
      <c r="G10" s="36" t="str">
        <f t="shared" ca="1" si="1"/>
        <v>Yes
No</v>
      </c>
      <c r="H10" s="93" t="str">
        <f>Definitions!$A$4&amp;": What is the criticality of the intellectual property?"&amp;CHAR(10)&amp;
Definitions!$A$5&amp;":"</f>
        <v>Yes: What is the criticality of the intellectual property?
No:</v>
      </c>
      <c r="I10" s="91" t="str" cm="1">
        <f t="array" aca="1" ref="I10" ca="1">Definitions!$A$4&amp;": "&amp;CELL("address",INDEX(Definitions!$H:$H,MATCH(Definitions!$E$5,Definitions!$G:$G,0)))</f>
        <v>Yes: '[2025-07-30_QuBA_libre.xlsx]Definitions'!$H$7</v>
      </c>
      <c r="J10" s="110" t="str">
        <f ca="1">Definitions!$A$4&amp;": "&amp;COUNTIF(Definitions!$G:$G,Definitions!$E$5)</f>
        <v>Yes: 3</v>
      </c>
      <c r="K10" s="36" t="str" cm="1">
        <f t="array" aca="1" ref="K1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IF(LEN(_xlpm._optionsRanges)&lt;=_xlpm._endOfFirstElement,"",CHAR(10)&amp;ShowResultingOptions(RIGHT(_xlpm._optionsRanges,LEN(_xlpm._optionsRanges)-_xlpm._endOfFirstElement),RIGHT(_xlpm._optionsHeights,LEN(_xlpm._optionsHeights)-_xlpm._endOfFirstElementH))))))($I10,$J10),
CHAR(10))</f>
        <v>___Yes___
IP (slightly innovative)
IP (moderately innovative)
IP (highly innovative)</v>
      </c>
      <c r="L10" s="93" t="str" cm="1">
        <f t="array" aca="1" ref="L10" ca="1">LEFT(INDEX($K:$K,ROW()),FIND(CHAR(10),INDEX($K:$K,ROW())))&amp;RemoveDelimiter(GetValuesIgnoreErrors(SUBSTITUTE($K10,CHAR(10),",")&amp;",",Definitions!$H:$I,": ",". Please list the affected data:"&amp;CHAR(10),TRUE),CHAR(10))</f>
        <v>___Yes___
IP (slightly innovative): Loss of general idea how product works or low impact on markets (little innovation / very small market). Please list the affected data:
IP (moderately innovative): Relevant aspects of system is comprehensible or moderate impact on markets (some innovation in the product / medium size market). Please list the affected data:
IP (highly innovative): Can be copied / technology available or high impact on markets (highly innovative product / high-volume market). Please list the affected data:</v>
      </c>
      <c r="M10" s="13"/>
      <c r="N10" s="13"/>
      <c r="O10" s="13" cm="1">
        <f t="array" ref="O10">CreateID($O$3,$O:$O,$A10&lt;&gt;"")</f>
        <v>7</v>
      </c>
      <c r="P10" s="13" cm="1">
        <f t="array" ref="P10">CreateTaskID($P$3,$P:$P,Tasks!$B$17,$N10)</f>
        <v>0</v>
      </c>
      <c r="Q10" s="13" t="b" cm="1">
        <f t="array" ref="Q10">IF($M10="",FALSE,CheckRelevance(SanitizeInput($M10),Questionnaire!$AA:$AA))</f>
        <v>0</v>
      </c>
      <c r="R10" s="23" cm="1">
        <f t="array" ref="R10">CreateID($R$3,$R:$R,AND($A10&lt;&gt;"",$D10&lt;&gt;""))</f>
        <v>3</v>
      </c>
    </row>
    <row r="11" spans="1:18" x14ac:dyDescent="0.25">
      <c r="A11" s="13" t="s">
        <v>1181</v>
      </c>
      <c r="B11" s="13" t="s">
        <v>58</v>
      </c>
      <c r="C11" s="13">
        <v>3</v>
      </c>
      <c r="D11" s="112" t="str">
        <f t="shared" si="0"/>
        <v/>
      </c>
      <c r="E11" s="91"/>
      <c r="F11" s="13"/>
      <c r="G11" s="36" t="str">
        <f t="shared" ca="1" si="1"/>
        <v/>
      </c>
      <c r="H11" s="93"/>
      <c r="I11" s="91"/>
      <c r="J11" s="110"/>
      <c r="K11" s="36" t="str" cm="1">
        <f t="array" aca="1" ref="K1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IF(LEN(_xlpm._optionsRanges)&lt;=_xlpm._endOfFirstElement,"",CHAR(10)&amp;ShowResultingOptions(RIGHT(_xlpm._optionsRanges,LEN(_xlpm._optionsRanges)-_xlpm._endOfFirstElement),RIGHT(_xlpm._optionsHeights,LEN(_xlpm._optionsHeights)-_xlpm._endOfFirstElementH))))))($I11,$J11),
CHAR(10))</f>
        <v/>
      </c>
      <c r="L11" s="93"/>
      <c r="M11" s="13"/>
      <c r="N11" s="13"/>
      <c r="O11" s="13" cm="1">
        <f t="array" ref="O11">CreateID($O$3,$O:$O,$A11&lt;&gt;"")</f>
        <v>8</v>
      </c>
      <c r="P11" s="13" cm="1">
        <f t="array" ref="P11">CreateTaskID($P$3,$P:$P,Tasks!$B$17,$N11)</f>
        <v>0</v>
      </c>
      <c r="Q11" s="13" t="b" cm="1">
        <f t="array" ref="Q11">IF($M11="",FALSE,CheckRelevance(SanitizeInput($M11),Questionnaire!$AA:$AA))</f>
        <v>0</v>
      </c>
      <c r="R11" s="23" cm="1">
        <f t="array" ref="R11">CreateID($R$3,$R:$R,AND($A11&lt;&gt;"",$D11&lt;&gt;""))</f>
        <v>3</v>
      </c>
    </row>
    <row r="12" spans="1:18" ht="108.75" x14ac:dyDescent="0.25">
      <c r="A12" s="13" t="s">
        <v>1095</v>
      </c>
      <c r="B12" s="13" t="str">
        <f>"Is "&amp;Definitions!$C$4&amp;" (typically) obliged to keep the processed / stored data (including third-party IP) confidential by contract or law? (Note that this concerns individual obligations, not the standard product warranty)."</f>
        <v>Is &lt;OEM name&gt; (typically) obliged to keep the processed / stored data (including third-party IP) confidential by contract or law? (Note that this concerns individual obligations, not the standard product warranty).</v>
      </c>
      <c r="C12" s="13">
        <v>6</v>
      </c>
      <c r="D12" s="112" t="str">
        <f t="shared" si="0"/>
        <v>x</v>
      </c>
      <c r="E12" s="91" t="str" cm="1">
        <f t="array" aca="1" ref="E12" ca="1">CELL("address",Definitions!$A$4)</f>
        <v>'[2025-07-30_QuBA_libre.xlsx]Definitions'!$A$4</v>
      </c>
      <c r="F12" s="13">
        <f>ROWS(Definitions!$A$4:$A$5)</f>
        <v>2</v>
      </c>
      <c r="G12" s="36" t="str">
        <f t="shared" ca="1" si="1"/>
        <v>Yes
No</v>
      </c>
      <c r="H12" s="93" t="str">
        <f>Definitions!$A$4&amp;": What is the typical / expected value of direct loss, fines for infringements of laws, or violations of contracts?"&amp;CHAR(10)&amp;
Definitions!$A$5&amp;":"</f>
        <v>Yes: What is the typical / expected value of direct loss, fines for infringements of laws, or violations of contracts?
No:</v>
      </c>
      <c r="I12" s="91" t="str" cm="1">
        <f t="array" aca="1" ref="I12" ca="1">Definitions!$A$4&amp;": "&amp;CELL("address",INDEX(Definitions!$H:$H,MATCH(Definitions!$E$6,Definitions!$G:$G,0)))</f>
        <v>Yes: '[2025-07-30_QuBA_libre.xlsx]Definitions'!$H$10</v>
      </c>
      <c r="J12" s="110" t="str">
        <f ca="1">Definitions!$A$4&amp;": "&amp;COUNTIF(Definitions!$G:$G,Definitions!$E$6)</f>
        <v>Yes: 4</v>
      </c>
      <c r="K12" s="36" t="str" cm="1">
        <f t="array" aca="1" ref="K1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IF(LEN(_xlpm._optionsRanges)&lt;=_xlpm._endOfFirstElement,"",CHAR(10)&amp;ShowResultingOptions(RIGHT(_xlpm._optionsRanges,LEN(_xlpm._optionsRanges)-_xlpm._endOfFirstElement),RIGHT(_xlpm._optionsHeights,LEN(_xlpm._optionsHeights)-_xlpm._endOfFirstElementH))))))($I12,$J12),
CHAR(10))</f>
        <v>___Yes___
Low financial damage
Medium financial damage
High financial damage
Critical financial damage</v>
      </c>
      <c r="L12" s="93" t="str" cm="1">
        <f t="array" aca="1" ref="L12" ca="1">LEFT(INDEX($K:$K,ROW()),FIND(CHAR(10),INDEX($K:$K,ROW())))&amp;RemoveDelimiter(GetValuesIgnoreErrors(SUBSTITUTE($K12,CHAR(10),",")&amp;",",Definitions!$H:$I,": ",". Please list the affected data:"&amp;CHAR(10),TRUE),CHAR(10))</f>
        <v>___Yes___
Low financial damage: Direct loss, fines for infringements of laws, or violations of contracts (low volume). Please list the affected data:
Medium financial damage: Direct loss, fines for infringements of laws, or violations of contracts (medium volume). Please list the affected data:
High financial damage: Direct loss, fines for infringements of laws, or violations of contracts (high volume). Please list the affected data:
Critical financial damage: Loss of freedom for employees, direct loss, fines for infringements of laws, or violations of contracts (critical volume). Please list the affected data:</v>
      </c>
      <c r="M12" s="13"/>
      <c r="N12" s="13"/>
      <c r="O12" s="13" cm="1">
        <f t="array" ref="O12">CreateID($O$3,$O:$O,$A12&lt;&gt;"")</f>
        <v>9</v>
      </c>
      <c r="P12" s="13" cm="1">
        <f t="array" ref="P12">CreateTaskID($P$3,$P:$P,Tasks!$B$17,$N12)</f>
        <v>0</v>
      </c>
      <c r="Q12" s="13" t="b" cm="1">
        <f t="array" ref="Q12">IF($M12="",FALSE,CheckRelevance(SanitizeInput($M12),Questionnaire!$AA:$AA))</f>
        <v>0</v>
      </c>
      <c r="R12" s="23" cm="1">
        <f t="array" ref="R12">CreateID($R$3,$R:$R,AND($A12&lt;&gt;"",$D12&lt;&gt;""))</f>
        <v>4</v>
      </c>
    </row>
    <row r="13" spans="1:18" ht="408.75" x14ac:dyDescent="0.25">
      <c r="A13" s="13" t="s">
        <v>1093</v>
      </c>
      <c r="B13" s="13" t="s">
        <v>1389</v>
      </c>
      <c r="C13" s="13">
        <v>6</v>
      </c>
      <c r="D13" s="112" t="str">
        <f t="shared" si="0"/>
        <v>x</v>
      </c>
      <c r="E13" s="91" t="str" cm="1">
        <f t="array" aca="1" ref="E13" ca="1">CELL("address",Definitions!$A$4)</f>
        <v>'[2025-07-30_QuBA_libre.xlsx]Definitions'!$A$4</v>
      </c>
      <c r="F13" s="13">
        <f>ROWS(Definitions!$A$4:$A$5)</f>
        <v>2</v>
      </c>
      <c r="G13" s="36" t="str">
        <f t="shared" ca="1" si="1"/>
        <v>Yes
No</v>
      </c>
      <c r="H13" s="93" t="str">
        <f>Definitions!$A$4&amp;": What is the worst-case criticality of the data that can be accessed with these credentials / cryptographic keys?"&amp;CHAR(10)&amp;
Definitions!$A$5&amp;":"</f>
        <v>Yes: What is the worst-case criticality of the data that can be accessed with these credentials / cryptographic keys?
No:</v>
      </c>
      <c r="I13" s="91" t="str" cm="1">
        <f t="array" aca="1" ref="I13" ca="1">Definitions!$A$4&amp;": "&amp;CELL("address",Definitions!$H$4)</f>
        <v>Yes: '[2025-07-30_QuBA_libre.xlsx]Definitions'!$H$4</v>
      </c>
      <c r="J13" s="110" t="str">
        <f ca="1">Definitions!$A$4&amp;": "&amp;COUNTA(Definitions!$K:$K)-1</f>
        <v>Yes: 20</v>
      </c>
      <c r="K13" s="36" t="str" cm="1">
        <f t="array" aca="1" ref="K1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IF(LEN(_xlpm._optionsRanges)&lt;=_xlpm._endOfFirstElement,"",CHAR(10)&amp;ShowResultingOptions(RIGHT(_xlpm._optionsRanges,LEN(_xlpm._optionsRanges)-_xlpm._endOfFirstElement),RIGHT(_xlpm._optionsHeights,LEN(_xlpm._optionsHeights)-_xlpm._endOfFirstElementH))))))($I13,$J13),
CHAR(10))</f>
        <v>___Yes___
Personal data (low)
Personal data (significant)
Personal data (ruinous)
IP (slightly innovative)
IP (moderately innovative)
IP (highly innovative)
Low financial damage
Medium financial damage
High financial damage
Critical financial damage
Potentially dangerous situation
Light or moderate injury
Severe injury (survival probable)
Life-threatening injury
Disturbance
Service required
Major disturbance
Environmental damage
Critical disturbance (destruction)
Critical environmental damage</v>
      </c>
      <c r="L13" s="93" t="str" cm="1">
        <f t="array" aca="1" ref="L13" ca="1">LEFT(INDEX($K:$K,ROW()),FIND(CHAR(10),INDEX($K:$K,ROW())))&amp;RemoveDelimiter(GetValuesIgnoreErrors(SUBSTITUTE($K13,CHAR(10),",")&amp;",",Definitions!$H:$I,": ",". Please list the affected assets:"&amp;CHAR(10),TRUE),CHAR(10))</f>
        <v>___Yes___
Personal data (low): It is possible that the person affected will be negatively affected in his or her social status or economic situation. Please list the affected assets:
Personal data (significant): The person affected can be significantly impaired in his or her social status or economic circumstances. Please list the affected assets:
Personal data (ruinous): The person affected can be ruinously impaired in his social status and economic circumstances. The freedom of the person concerned is threatened. Please list the affected assets:
IP (slightly innovative): Loss of general idea how product works or low impact on markets (little innovation / very small market). Please list the affected assets:
IP (moderately innovative): Relevant aspects of system is comprehensible or moderate impact on markets (some innovation in the product / medium size market). Please list the affected assets:
IP (highly innovative): Can be copied / technology available or high impact on markets (highly innovative product / high-volume market). Please list the affected assets:
Low financial damage: Direct loss, fines for infringements of laws, or violations of contracts (low volume). Please list the affected assets:
Medium financial damage: Direct loss, fines for infringements of laws, or violations of contracts (medium volume). Please list the affected assets:
High financial damage: Direct loss, fines for infringements of laws, or violations of contracts (high volume). Please list the affected assets:
Critical financial damage: Loss of freedom for employees, direct loss, fines for infringements of laws, or violations of contracts (critical volume). Please list the affected assets:
Potentially dangerous situation: Potentially dangerous situation. Please list the affected assets:
Light or moderate injury: Light or moderate injury. Please list the affected assets:
Severe injury (survival probable): Severe injury (survival probable). Please list the affected assets:
Life-threatening injury: Life-threatening injury. Please list the affected assets:
Disturbance: Minor disturbance, customer can quickly fix issue himself (e.g. reset). Please list the affected assets:
Service required: Disturbance of function, service required. Please list the affected assets:
Major disturbance: Major disturbance of function. Please list the affected assets:
Environmental damage: Singular incident with limited environmental damage. Please list the affected assets:
Critical disturbance (destruction): Destruction of plant, severe damage to assets or operational environment, critical disturbance of function. Please list the affected assets:
Critical environmental damage: Environmental damages that accumulate to critical impact over time as well as critical damages that happen in a single incident. Please list the affected assets:</v>
      </c>
      <c r="M13" s="13"/>
      <c r="N13" s="13"/>
      <c r="O13" s="13" cm="1">
        <f t="array" ref="O13">CreateID($O$3,$O:$O,$A13&lt;&gt;"")</f>
        <v>10</v>
      </c>
      <c r="P13" s="13" cm="1">
        <f t="array" ref="P13">CreateTaskID($P$3,$P:$P,Tasks!$B$17,$N13)</f>
        <v>0</v>
      </c>
      <c r="Q13" s="13" t="b" cm="1">
        <f t="array" ref="Q13">IF($M13="",FALSE,CheckRelevance(SanitizeInput($M13),Questionnaire!$AA:$AA))</f>
        <v>0</v>
      </c>
      <c r="R13" s="23" cm="1">
        <f t="array" ref="R13">CreateID($R$3,$R:$R,AND($A13&lt;&gt;"",$D13&lt;&gt;""))</f>
        <v>5</v>
      </c>
    </row>
    <row r="14" spans="1:18" x14ac:dyDescent="0.25">
      <c r="A14" s="13" t="s">
        <v>1172</v>
      </c>
      <c r="B14" s="13" t="s">
        <v>5</v>
      </c>
      <c r="C14" s="13">
        <v>0</v>
      </c>
      <c r="D14" s="112" t="str">
        <f t="shared" si="0"/>
        <v/>
      </c>
      <c r="E14" s="91"/>
      <c r="F14" s="13"/>
      <c r="G14" s="36" t="str">
        <f t="shared" ca="1" si="1"/>
        <v/>
      </c>
      <c r="H14" s="93"/>
      <c r="I14" s="91"/>
      <c r="J14" s="110"/>
      <c r="K14" s="36" t="str" cm="1">
        <f t="array" aca="1" ref="K1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IF(LEN(_xlpm._optionsRanges)&lt;=_xlpm._endOfFirstElement,"",CHAR(10)&amp;ShowResultingOptions(RIGHT(_xlpm._optionsRanges,LEN(_xlpm._optionsRanges)-_xlpm._endOfFirstElement),RIGHT(_xlpm._optionsHeights,LEN(_xlpm._optionsHeights)-_xlpm._endOfFirstElementH))))))($I14,$J14),
CHAR(10))</f>
        <v/>
      </c>
      <c r="L14" s="93"/>
      <c r="M14" s="13"/>
      <c r="N14" s="13"/>
      <c r="O14" s="13" cm="1">
        <f t="array" ref="O14">CreateID($O$3,$O:$O,$A14&lt;&gt;"")</f>
        <v>11</v>
      </c>
      <c r="P14" s="13" cm="1">
        <f t="array" ref="P14">CreateTaskID($P$3,$P:$P,Tasks!$B$17,$N14)</f>
        <v>0</v>
      </c>
      <c r="Q14" s="13" t="b" cm="1">
        <f t="array" ref="Q14">IF($M14="",FALSE,CheckRelevance(SanitizeInput($M14),Questionnaire!$AA:$AA))</f>
        <v>0</v>
      </c>
      <c r="R14" s="23" cm="1">
        <f t="array" ref="R14">CreateID($R$3,$R:$R,AND($A14&lt;&gt;"",$D14&lt;&gt;""))</f>
        <v>5</v>
      </c>
    </row>
    <row r="15" spans="1:18" x14ac:dyDescent="0.25">
      <c r="A15" s="13" t="s">
        <v>1182</v>
      </c>
      <c r="B15" s="13" t="s">
        <v>59</v>
      </c>
      <c r="C15" s="13">
        <v>3</v>
      </c>
      <c r="D15" s="112" t="str">
        <f t="shared" si="0"/>
        <v/>
      </c>
      <c r="E15" s="91"/>
      <c r="F15" s="13"/>
      <c r="G15" s="36" t="str">
        <f t="shared" ca="1" si="1"/>
        <v/>
      </c>
      <c r="H15" s="93"/>
      <c r="I15" s="91"/>
      <c r="J15" s="110"/>
      <c r="K15" s="36" t="str" cm="1">
        <f t="array" aca="1" ref="K1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IF(LEN(_xlpm._optionsRanges)&lt;=_xlpm._endOfFirstElement,"",CHAR(10)&amp;ShowResultingOptions(RIGHT(_xlpm._optionsRanges,LEN(_xlpm._optionsRanges)-_xlpm._endOfFirstElement),RIGHT(_xlpm._optionsHeights,LEN(_xlpm._optionsHeights)-_xlpm._endOfFirstElementH))))))($I15,$J15),
CHAR(10))</f>
        <v/>
      </c>
      <c r="L15" s="93"/>
      <c r="M15" s="13"/>
      <c r="N15" s="13"/>
      <c r="O15" s="13" cm="1">
        <f t="array" ref="O15">CreateID($O$3,$O:$O,$A15&lt;&gt;"")</f>
        <v>12</v>
      </c>
      <c r="P15" s="13" cm="1">
        <f t="array" ref="P15">CreateTaskID($P$3,$P:$P,Tasks!$B$17,$N15)</f>
        <v>0</v>
      </c>
      <c r="Q15" s="13" t="b" cm="1">
        <f t="array" ref="Q15">IF($M15="",FALSE,CheckRelevance(SanitizeInput($M15),Questionnaire!$AA:$AA))</f>
        <v>0</v>
      </c>
      <c r="R15" s="23" cm="1">
        <f t="array" ref="R15">CreateID($R$3,$R:$R,AND($A15&lt;&gt;"",$D15&lt;&gt;""))</f>
        <v>5</v>
      </c>
    </row>
    <row r="16" spans="1:18" ht="60.75" x14ac:dyDescent="0.25">
      <c r="A16" s="13" t="s">
        <v>1090</v>
      </c>
      <c r="B16" s="13" t="s">
        <v>1013</v>
      </c>
      <c r="C16" s="13">
        <v>6</v>
      </c>
      <c r="D16" s="112" t="str">
        <f t="shared" si="0"/>
        <v>x</v>
      </c>
      <c r="E16" s="91" t="str" cm="1">
        <f t="array" aca="1" ref="E16" ca="1">CELL("address",Definitions!$A$4)</f>
        <v>'[2025-07-30_QuBA_libre.xlsx]Definitions'!$A$4</v>
      </c>
      <c r="F16" s="13">
        <f>ROWS(Definitions!$A$4:$A$5)</f>
        <v>2</v>
      </c>
      <c r="G16" s="36" t="str">
        <f t="shared" ca="1" si="1"/>
        <v>Yes
No</v>
      </c>
      <c r="H16" s="93" t="str">
        <f>Definitions!$A$4&amp;": What is the worst case severity of the injury for the intended use of the product?"&amp;CHAR(10)&amp;
Definitions!$A$5&amp;":"</f>
        <v>Yes: What is the worst case severity of the injury for the intended use of the product?
No:</v>
      </c>
      <c r="I16" s="91" t="str" cm="1">
        <f t="array" aca="1" ref="I16" ca="1">Definitions!$A$4&amp;": "&amp;CELL("address",INDEX(Definitions!$H:$H,MATCH(Definitions!$E$7,Definitions!$G:$G,0)))</f>
        <v>Yes: '[2025-07-30_QuBA_libre.xlsx]Definitions'!$H$14</v>
      </c>
      <c r="J16" s="110" t="str">
        <f ca="1">Definitions!$A$4&amp;": "&amp;COUNTIF(Definitions!$G:$G,Definitions!$E$7)</f>
        <v>Yes: 4</v>
      </c>
      <c r="K16" s="36" t="str" cm="1">
        <f t="array" aca="1" ref="K1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IF(LEN(_xlpm._optionsRanges)&lt;=_xlpm._endOfFirstElement,"",CHAR(10)&amp;ShowResultingOptions(RIGHT(_xlpm._optionsRanges,LEN(_xlpm._optionsRanges)-_xlpm._endOfFirstElement),RIGHT(_xlpm._optionsHeights,LEN(_xlpm._optionsHeights)-_xlpm._endOfFirstElementH))))))($I16,$J16),
CHAR(10))</f>
        <v>___Yes___
Potentially dangerous situation
Light or moderate injury
Severe injury (survival probable)
Life-threatening injury</v>
      </c>
      <c r="L16" s="93" t="str" cm="1">
        <f t="array" aca="1" ref="L16" ca="1">LEFT(INDEX($K:$K,ROW()),FIND(CHAR(10),INDEX($K:$K,ROW())))&amp;RemoveDelimiter(GetValuesIgnoreErrors(SUBSTITUTE($K16,CHAR(10),",")&amp;",",Definitions!$H:$I,": ",". Please provide a rationale:"&amp;CHAR(10),TRUE),CHAR(10))</f>
        <v>___Yes___
Potentially dangerous situation: Potentially dangerous situation. Please provide a rationale:
Light or moderate injury: Light or moderate injury. Please provide a rationale:
Severe injury (survival probable): Severe injury (survival probable). Please provide a rationale:
Life-threatening injury: Life-threatening injury. Please provide a rationale:</v>
      </c>
      <c r="M16" s="13"/>
      <c r="N16" s="13"/>
      <c r="O16" s="13" cm="1">
        <f t="array" ref="O16">CreateID($O$3,$O:$O,$A16&lt;&gt;"")</f>
        <v>13</v>
      </c>
      <c r="P16" s="13" cm="1">
        <f t="array" ref="P16">CreateTaskID($P$3,$P:$P,Tasks!$B$17,$N16)</f>
        <v>0</v>
      </c>
      <c r="Q16" s="13" t="b" cm="1">
        <f t="array" ref="Q16">IF($M16="",FALSE,CheckRelevance(SanitizeInput($M16),Questionnaire!$AA:$AA))</f>
        <v>0</v>
      </c>
      <c r="R16" s="23" cm="1">
        <f t="array" ref="R16">CreateID($R$3,$R:$R,AND($A16&lt;&gt;"",$D16&lt;&gt;""))</f>
        <v>6</v>
      </c>
    </row>
    <row r="17" spans="1:18" x14ac:dyDescent="0.25">
      <c r="A17" s="13" t="s">
        <v>1183</v>
      </c>
      <c r="B17" s="13" t="s">
        <v>60</v>
      </c>
      <c r="C17" s="13">
        <v>3</v>
      </c>
      <c r="D17" s="112" t="str">
        <f t="shared" si="0"/>
        <v/>
      </c>
      <c r="E17" s="91"/>
      <c r="F17" s="13"/>
      <c r="G17" s="36" t="str">
        <f t="shared" ca="1" si="1"/>
        <v/>
      </c>
      <c r="H17" s="93"/>
      <c r="I17" s="91"/>
      <c r="J17" s="110"/>
      <c r="K17" s="36" t="str" cm="1">
        <f t="array" aca="1" ref="K1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IF(LEN(_xlpm._optionsRanges)&lt;=_xlpm._endOfFirstElement,"",CHAR(10)&amp;ShowResultingOptions(RIGHT(_xlpm._optionsRanges,LEN(_xlpm._optionsRanges)-_xlpm._endOfFirstElement),RIGHT(_xlpm._optionsHeights,LEN(_xlpm._optionsHeights)-_xlpm._endOfFirstElementH))))))($I17,$J17),
CHAR(10))</f>
        <v/>
      </c>
      <c r="L17" s="93"/>
      <c r="M17" s="13"/>
      <c r="N17" s="13"/>
      <c r="O17" s="13" cm="1">
        <f t="array" ref="O17">CreateID($O$3,$O:$O,$A17&lt;&gt;"")</f>
        <v>14</v>
      </c>
      <c r="P17" s="13" cm="1">
        <f t="array" ref="P17">CreateTaskID($P$3,$P:$P,Tasks!$B$17,$N17)</f>
        <v>0</v>
      </c>
      <c r="Q17" s="13" t="b" cm="1">
        <f t="array" ref="Q17">IF($M17="",FALSE,CheckRelevance(SanitizeInput($M17),Questionnaire!$AA:$AA))</f>
        <v>0</v>
      </c>
      <c r="R17" s="23" cm="1">
        <f t="array" ref="R17">CreateID($R$3,$R:$R,AND($A17&lt;&gt;"",$D17&lt;&gt;""))</f>
        <v>6</v>
      </c>
    </row>
    <row r="18" spans="1:18" ht="132.75" x14ac:dyDescent="0.25">
      <c r="A18" s="13" t="s">
        <v>1088</v>
      </c>
      <c r="B18" s="13" t="s">
        <v>721</v>
      </c>
      <c r="C18" s="13">
        <v>6</v>
      </c>
      <c r="D18" s="112" t="str">
        <f t="shared" si="0"/>
        <v>x</v>
      </c>
      <c r="E18" s="91" t="str" cm="1">
        <f t="array" aca="1" ref="E18" ca="1">CELL("address",Definitions!$A$4)</f>
        <v>'[2025-07-30_QuBA_libre.xlsx]Definitions'!$A$4</v>
      </c>
      <c r="F18" s="13">
        <f>ROWS(Definitions!$A$4:$A$5)</f>
        <v>2</v>
      </c>
      <c r="G18" s="36" t="str">
        <f t="shared" ca="1" si="1"/>
        <v>Yes
No</v>
      </c>
      <c r="H18" s="93" t="str">
        <f>Definitions!$A$4&amp;": What is the worst case effect on the operational environment for the intended use of the product?"&amp;CHAR(10)&amp;
Definitions!$A$5&amp;":"</f>
        <v>Yes: What is the worst case effect on the operational environment for the intended use of the product?
No:</v>
      </c>
      <c r="I18" s="91" t="str" cm="1">
        <f t="array" aca="1" ref="I18" ca="1">Definitions!$A$4&amp;": "&amp;CELL("address",INDEX(Definitions!$H:$H,MATCH(Definitions!$E$8,Definitions!$G:$G,0)))</f>
        <v>Yes: '[2025-07-30_QuBA_libre.xlsx]Definitions'!$H$18</v>
      </c>
      <c r="J18" s="110" t="str">
        <f ca="1">Definitions!$A$4&amp;": "&amp;COUNTIF(Definitions!$G:$G,Definitions!$E$8)</f>
        <v>Yes: 6</v>
      </c>
      <c r="K18" s="36" t="str" cm="1">
        <f t="array" aca="1" ref="K1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IF(LEN(_xlpm._optionsRanges)&lt;=_xlpm._endOfFirstElement,"",CHAR(10)&amp;ShowResultingOptions(RIGHT(_xlpm._optionsRanges,LEN(_xlpm._optionsRanges)-_xlpm._endOfFirstElement),RIGHT(_xlpm._optionsHeights,LEN(_xlpm._optionsHeights)-_xlpm._endOfFirstElementH))))))($I18,$J18),
CHAR(10))</f>
        <v>___Yes___
Disturbance
Service required
Major disturbance
Environmental damage
Critical disturbance (destruction)
Critical environmental damage</v>
      </c>
      <c r="L18" s="93" t="str" cm="1">
        <f t="array" aca="1" ref="L18" ca="1">LEFT(INDEX($K:$K,ROW()),FIND(CHAR(10),INDEX($K:$K,ROW())))&amp;RemoveDelimiter(GetValuesIgnoreErrors(SUBSTITUTE($K18,CHAR(10),",")&amp;",",Definitions!$H:$I,": ",". Please explain the expected effects:"&amp;CHAR(10),TRUE),CHAR(10))</f>
        <v>___Yes___
Disturbance: Minor disturbance, customer can quickly fix issue himself (e.g. reset). Please explain the expected effects:
Service required: Disturbance of function, service required. Please explain the expected effects:
Major disturbance: Major disturbance of function. Please explain the expected effects:
Environmental damage: Singular incident with limited environmental damage. Please explain the expected effects:
Critical disturbance (destruction): Destruction of plant, severe damage to assets or operational environment, critical disturbance of function. Please explain the expected effects:
Critical environmental damage: Environmental damages that accumulate to critical impact over time as well as critical damages that happen in a single incident. Please explain the expected effects:</v>
      </c>
      <c r="M18" s="13"/>
      <c r="N18" s="13"/>
      <c r="O18" s="13" cm="1">
        <f t="array" ref="O18">CreateID($O$3,$O:$O,$A18&lt;&gt;"")</f>
        <v>15</v>
      </c>
      <c r="P18" s="13" cm="1">
        <f t="array" ref="P18">CreateTaskID($P$3,$P:$P,Tasks!$B$17,$N18)</f>
        <v>0</v>
      </c>
      <c r="Q18" s="13" t="b" cm="1">
        <f t="array" ref="Q18">IF($M18="",FALSE,CheckRelevance(SanitizeInput($M18),Questionnaire!$AA:$AA))</f>
        <v>0</v>
      </c>
      <c r="R18" s="23" cm="1">
        <f t="array" ref="R18">CreateID($R$3,$R:$R,AND($A18&lt;&gt;"",$D18&lt;&gt;""))</f>
        <v>7</v>
      </c>
    </row>
    <row r="19" spans="1:18" x14ac:dyDescent="0.25">
      <c r="A19" s="13" t="s">
        <v>1184</v>
      </c>
      <c r="B19" s="13" t="s">
        <v>58</v>
      </c>
      <c r="C19" s="13">
        <v>3</v>
      </c>
      <c r="D19" s="112" t="str">
        <f t="shared" si="0"/>
        <v/>
      </c>
      <c r="E19" s="91"/>
      <c r="F19" s="13"/>
      <c r="G19" s="36" t="str">
        <f t="shared" ca="1" si="1"/>
        <v/>
      </c>
      <c r="H19" s="93"/>
      <c r="I19" s="91"/>
      <c r="J19" s="110"/>
      <c r="K19" s="36" t="str" cm="1">
        <f t="array" aca="1" ref="K1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IF(LEN(_xlpm._optionsRanges)&lt;=_xlpm._endOfFirstElement,"",CHAR(10)&amp;ShowResultingOptions(RIGHT(_xlpm._optionsRanges,LEN(_xlpm._optionsRanges)-_xlpm._endOfFirstElement),RIGHT(_xlpm._optionsHeights,LEN(_xlpm._optionsHeights)-_xlpm._endOfFirstElementH))))))($I19,$J19),
CHAR(10))</f>
        <v/>
      </c>
      <c r="L19" s="93"/>
      <c r="M19" s="13"/>
      <c r="N19" s="13"/>
      <c r="O19" s="13" cm="1">
        <f t="array" ref="O19">CreateID($O$3,$O:$O,$A19&lt;&gt;"")</f>
        <v>16</v>
      </c>
      <c r="P19" s="13" cm="1">
        <f t="array" ref="P19">CreateTaskID($P$3,$P:$P,Tasks!$B$17,$N19)</f>
        <v>0</v>
      </c>
      <c r="Q19" s="13" t="b" cm="1">
        <f t="array" ref="Q19">IF($M19="",FALSE,CheckRelevance(SanitizeInput($M19),Questionnaire!$AA:$AA))</f>
        <v>0</v>
      </c>
      <c r="R19" s="23" cm="1">
        <f t="array" ref="R19">CreateID($R$3,$R:$R,AND($A19&lt;&gt;"",$D19&lt;&gt;""))</f>
        <v>7</v>
      </c>
    </row>
    <row r="20" spans="1:18" ht="108.75" x14ac:dyDescent="0.25">
      <c r="A20" s="13" t="s">
        <v>1086</v>
      </c>
      <c r="B20" s="13" t="str">
        <f>"Can a loss of availability allow an attacker access to assets of the customer (including physical access not detected by the "&amp;Definitions!$C$4&amp;" product)? Example: The product is used for access control."</f>
        <v>Can a loss of availability allow an attacker access to assets of the customer (including physical access not detected by the &lt;OEM name&gt; product)? Example: The product is used for access control.</v>
      </c>
      <c r="C20" s="13">
        <v>6</v>
      </c>
      <c r="D20" s="112" t="str">
        <f t="shared" si="0"/>
        <v>x</v>
      </c>
      <c r="E20" s="91" t="str" cm="1">
        <f t="array" aca="1" ref="E20" ca="1">CELL("address",Definitions!$A$4)</f>
        <v>'[2025-07-30_QuBA_libre.xlsx]Definitions'!$A$4</v>
      </c>
      <c r="F20" s="13">
        <f>ROWS(Definitions!$A$4:$A$5)</f>
        <v>2</v>
      </c>
      <c r="G20" s="36" t="str">
        <f t="shared" ca="1" si="1"/>
        <v>Yes
No</v>
      </c>
      <c r="H20" s="93" t="str">
        <f>Definitions!$A$4&amp;": What is the worst case value of these assets for the intended use of the product?"&amp;CHAR(10)&amp;
Definitions!$A$5&amp;":"</f>
        <v>Yes: What is the worst case value of these assets for the intended use of the product?
No:</v>
      </c>
      <c r="I20" s="91" t="str" cm="1">
        <f t="array" aca="1" ref="I20" ca="1">Definitions!$A$4&amp;": "&amp;CELL("address",INDEX(Definitions!$H:$H,MATCH(Definitions!$E$6,Definitions!$G:$G,0)))</f>
        <v>Yes: '[2025-07-30_QuBA_libre.xlsx]Definitions'!$H$10</v>
      </c>
      <c r="J20" s="110" t="str">
        <f ca="1">Definitions!$A$4&amp;": "&amp;COUNTIF(Definitions!$G:$G,Definitions!$E$6)</f>
        <v>Yes: 4</v>
      </c>
      <c r="K20" s="36" t="str" cm="1">
        <f t="array" aca="1" ref="K2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IF(LEN(_xlpm._optionsRanges)&lt;=_xlpm._endOfFirstElement,"",CHAR(10)&amp;ShowResultingOptions(RIGHT(_xlpm._optionsRanges,LEN(_xlpm._optionsRanges)-_xlpm._endOfFirstElement),RIGHT(_xlpm._optionsHeights,LEN(_xlpm._optionsHeights)-_xlpm._endOfFirstElementH))))))($I20,$J20),
CHAR(10))</f>
        <v>___Yes___
Low financial damage
Medium financial damage
High financial damage
Critical financial damage</v>
      </c>
      <c r="L20" s="93" t="str" cm="1">
        <f t="array" aca="1" ref="L20" ca="1">LEFT(INDEX($K:$K,ROW()),FIND(CHAR(10),INDEX($K:$K,ROW())))&amp;RemoveDelimiter(GetValuesIgnoreErrors(SUBSTITUTE($K20,CHAR(10),",")&amp;",",Definitions!$H:$I,": ",". Please characterize the affected assets:"&amp;CHAR(10),TRUE),CHAR(10))</f>
        <v>___Yes___
Low financial damage: Direct loss, fines for infringements of laws, or violations of contracts (low volume). Please characterize the affected assets:
Medium financial damage: Direct loss, fines for infringements of laws, or violations of contracts (medium volume). Please characterize the affected assets:
High financial damage: Direct loss, fines for infringements of laws, or violations of contracts (high volume). Please characterize the affected assets:
Critical financial damage: Loss of freedom for employees, direct loss, fines for infringements of laws, or violations of contracts (critical volume). Please characterize the affected assets:</v>
      </c>
      <c r="M20" s="13"/>
      <c r="N20" s="13"/>
      <c r="O20" s="13" cm="1">
        <f t="array" ref="O20">CreateID($O$3,$O:$O,$A20&lt;&gt;"")</f>
        <v>17</v>
      </c>
      <c r="P20" s="13" cm="1">
        <f t="array" ref="P20">CreateTaskID($P$3,$P:$P,Tasks!$B$17,$N20)</f>
        <v>0</v>
      </c>
      <c r="Q20" s="13" t="b" cm="1">
        <f t="array" ref="Q20">IF($M20="",FALSE,CheckRelevance(SanitizeInput($M20),Questionnaire!$AA:$AA))</f>
        <v>0</v>
      </c>
      <c r="R20" s="23" cm="1">
        <f t="array" ref="R20">CreateID($R$3,$R:$R,AND($A20&lt;&gt;"",$D20&lt;&gt;""))</f>
        <v>8</v>
      </c>
    </row>
    <row r="21" spans="1:18" ht="108.75" x14ac:dyDescent="0.25">
      <c r="A21" s="13" t="s">
        <v>1084</v>
      </c>
      <c r="B21" s="13" t="s">
        <v>599</v>
      </c>
      <c r="C21" s="13">
        <v>6</v>
      </c>
      <c r="D21" s="112" t="str">
        <f t="shared" si="0"/>
        <v>x</v>
      </c>
      <c r="E21" s="91" t="str" cm="1">
        <f t="array" aca="1" ref="E21" ca="1">CELL("address",Definitions!$A$4)</f>
        <v>'[2025-07-30_QuBA_libre.xlsx]Definitions'!$A$4</v>
      </c>
      <c r="F21" s="13">
        <f>ROWS(Definitions!$A$4:$A$5)</f>
        <v>2</v>
      </c>
      <c r="G21" s="36" t="str">
        <f t="shared" ca="1" si="1"/>
        <v>Yes
No</v>
      </c>
      <c r="H21" s="93" t="str">
        <f>Definitions!$A$4&amp;": What is the typical / expected value of the fines for contract violation?"&amp;CHAR(10)&amp;
Definitions!$A$5&amp;":"</f>
        <v>Yes: What is the typical / expected value of the fines for contract violation?
No:</v>
      </c>
      <c r="I21" s="91" t="str" cm="1">
        <f t="array" aca="1" ref="I21" ca="1">Definitions!$A$4&amp;": "&amp;CELL("address",INDEX(Definitions!$H:$H,MATCH(Definitions!$E$6,Definitions!$G:$G,0)))</f>
        <v>Yes: '[2025-07-30_QuBA_libre.xlsx]Definitions'!$H$10</v>
      </c>
      <c r="J21" s="110" t="str">
        <f ca="1">Definitions!$A$4&amp;": "&amp;COUNTIF(Definitions!$G:$G,Definitions!$E$6)</f>
        <v>Yes: 4</v>
      </c>
      <c r="K21" s="36" t="str" cm="1">
        <f t="array" aca="1" ref="K2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IF(LEN(_xlpm._optionsRanges)&lt;=_xlpm._endOfFirstElement,"",CHAR(10)&amp;ShowResultingOptions(RIGHT(_xlpm._optionsRanges,LEN(_xlpm._optionsRanges)-_xlpm._endOfFirstElement),RIGHT(_xlpm._optionsHeights,LEN(_xlpm._optionsHeights)-_xlpm._endOfFirstElementH))))))($I21,$J21),
CHAR(10))</f>
        <v>___Yes___
Low financial damage
Medium financial damage
High financial damage
Critical financial damage</v>
      </c>
      <c r="L21" s="93" t="str" cm="1">
        <f t="array" aca="1" ref="L21" ca="1">LEFT(INDEX($K:$K,ROW()),FIND(CHAR(10),INDEX($K:$K,ROW())))&amp;RemoveDelimiter(GetValuesIgnoreErrors(SUBSTITUTE($K21,CHAR(10),",")&amp;",",Definitions!$H:$I,": ",". Please describe the reason of the contract violation:"&amp;CHAR(10),TRUE),CHAR(10))</f>
        <v>___Yes___
Low financial damage: Direct loss, fines for infringements of laws, or violations of contracts (low volume). Please describe the reason of the contract violation:
Medium financial damage: Direct loss, fines for infringements of laws, or violations of contracts (medium volume). Please describe the reason of the contract violation:
High financial damage: Direct loss, fines for infringements of laws, or violations of contracts (high volume). Please describe the reason of the contract violation:
Critical financial damage: Loss of freedom for employees, direct loss, fines for infringements of laws, or violations of contracts (critical volume). Please describe the reason of the contract violation:</v>
      </c>
      <c r="M21" s="13"/>
      <c r="N21" s="13"/>
      <c r="O21" s="13" cm="1">
        <f t="array" ref="O21">CreateID($O$3,$O:$O,$A21&lt;&gt;"")</f>
        <v>18</v>
      </c>
      <c r="P21" s="13" cm="1">
        <f t="array" ref="P21">CreateTaskID($P$3,$P:$P,Tasks!$B$17,$N21)</f>
        <v>0</v>
      </c>
      <c r="Q21" s="13" t="b" cm="1">
        <f t="array" ref="Q21">IF($M21="",FALSE,CheckRelevance(SanitizeInput($M21),Questionnaire!$AA:$AA))</f>
        <v>0</v>
      </c>
      <c r="R21" s="23" cm="1">
        <f t="array" ref="R21">CreateID($R$3,$R:$R,AND($A21&lt;&gt;"",$D21&lt;&gt;""))</f>
        <v>9</v>
      </c>
    </row>
    <row r="22" spans="1:18" x14ac:dyDescent="0.25">
      <c r="A22" s="13" t="s">
        <v>1173</v>
      </c>
      <c r="B22" s="13" t="s">
        <v>6</v>
      </c>
      <c r="C22" s="13">
        <v>0</v>
      </c>
      <c r="D22" s="112" t="str">
        <f t="shared" si="0"/>
        <v/>
      </c>
      <c r="E22" s="91"/>
      <c r="F22" s="13"/>
      <c r="G22" s="36" t="str">
        <f t="shared" ca="1" si="1"/>
        <v/>
      </c>
      <c r="H22" s="93"/>
      <c r="I22" s="91"/>
      <c r="J22" s="110"/>
      <c r="K22" s="36" t="str" cm="1">
        <f t="array" aca="1" ref="K2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IF(LEN(_xlpm._optionsRanges)&lt;=_xlpm._endOfFirstElement,"",CHAR(10)&amp;ShowResultingOptions(RIGHT(_xlpm._optionsRanges,LEN(_xlpm._optionsRanges)-_xlpm._endOfFirstElement),RIGHT(_xlpm._optionsHeights,LEN(_xlpm._optionsHeights)-_xlpm._endOfFirstElementH))))))($I22,$J22),
CHAR(10))</f>
        <v/>
      </c>
      <c r="L22" s="93"/>
      <c r="M22" s="13"/>
      <c r="N22" s="13"/>
      <c r="O22" s="13" cm="1">
        <f t="array" ref="O22">CreateID($O$3,$O:$O,$A22&lt;&gt;"")</f>
        <v>19</v>
      </c>
      <c r="P22" s="13" cm="1">
        <f t="array" ref="P22">CreateTaskID($P$3,$P:$P,Tasks!$B$17,$N22)</f>
        <v>0</v>
      </c>
      <c r="Q22" s="13" t="b" cm="1">
        <f t="array" ref="Q22">IF($M22="",FALSE,CheckRelevance(SanitizeInput($M22),Questionnaire!$AA:$AA))</f>
        <v>0</v>
      </c>
      <c r="R22" s="23" cm="1">
        <f t="array" ref="R22">CreateID($R$3,$R:$R,AND($A22&lt;&gt;"",$D22&lt;&gt;""))</f>
        <v>9</v>
      </c>
    </row>
    <row r="23" spans="1:18" x14ac:dyDescent="0.25">
      <c r="A23" s="13" t="s">
        <v>1185</v>
      </c>
      <c r="B23" s="13" t="s">
        <v>59</v>
      </c>
      <c r="C23" s="13">
        <v>3</v>
      </c>
      <c r="D23" s="112" t="str">
        <f t="shared" si="0"/>
        <v/>
      </c>
      <c r="E23" s="91"/>
      <c r="F23" s="13"/>
      <c r="G23" s="36" t="str">
        <f t="shared" ca="1" si="1"/>
        <v/>
      </c>
      <c r="H23" s="93"/>
      <c r="I23" s="91"/>
      <c r="J23" s="110"/>
      <c r="K23" s="36" t="str" cm="1">
        <f t="array" aca="1" ref="K2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IF(LEN(_xlpm._optionsRanges)&lt;=_xlpm._endOfFirstElement,"",CHAR(10)&amp;ShowResultingOptions(RIGHT(_xlpm._optionsRanges,LEN(_xlpm._optionsRanges)-_xlpm._endOfFirstElement),RIGHT(_xlpm._optionsHeights,LEN(_xlpm._optionsHeights)-_xlpm._endOfFirstElementH))))))($I23,$J23),
CHAR(10))</f>
        <v/>
      </c>
      <c r="L23" s="93"/>
      <c r="M23" s="13"/>
      <c r="N23" s="13"/>
      <c r="O23" s="13" cm="1">
        <f t="array" ref="O23">CreateID($O$3,$O:$O,$A23&lt;&gt;"")</f>
        <v>20</v>
      </c>
      <c r="P23" s="13" cm="1">
        <f t="array" ref="P23">CreateTaskID($P$3,$P:$P,Tasks!$B$17,$N23)</f>
        <v>0</v>
      </c>
      <c r="Q23" s="13" t="b" cm="1">
        <f t="array" ref="Q23">IF($M23="",FALSE,CheckRelevance(SanitizeInput($M23),Questionnaire!$AA:$AA))</f>
        <v>0</v>
      </c>
      <c r="R23" s="23" cm="1">
        <f t="array" ref="R23">CreateID($R$3,$R:$R,AND($A23&lt;&gt;"",$D23&lt;&gt;""))</f>
        <v>9</v>
      </c>
    </row>
    <row r="24" spans="1:18" ht="60.75" x14ac:dyDescent="0.25">
      <c r="A24" s="13" t="s">
        <v>1080</v>
      </c>
      <c r="B24" s="13" t="s">
        <v>65</v>
      </c>
      <c r="C24" s="13">
        <v>6</v>
      </c>
      <c r="D24" s="112" t="str">
        <f t="shared" si="0"/>
        <v>x</v>
      </c>
      <c r="E24" s="91" t="str" cm="1">
        <f t="array" aca="1" ref="E24" ca="1">CELL("address",Definitions!$A$4)</f>
        <v>'[2025-07-30_QuBA_libre.xlsx]Definitions'!$A$4</v>
      </c>
      <c r="F24" s="13">
        <f>ROWS(Definitions!$A$4:$A$5)</f>
        <v>2</v>
      </c>
      <c r="G24" s="36" t="str">
        <f t="shared" ca="1" si="1"/>
        <v>Yes
No</v>
      </c>
      <c r="H24" s="93" t="str">
        <f>Definitions!$A$4&amp;": What is the worst case severity of the injury for the intended use of the product?"&amp;CHAR(10)&amp;
Definitions!$A$5&amp;":"</f>
        <v>Yes: What is the worst case severity of the injury for the intended use of the product?
No:</v>
      </c>
      <c r="I24" s="91" t="str" cm="1">
        <f t="array" aca="1" ref="I24" ca="1">Definitions!$A$4&amp;": "&amp;CELL("address",INDEX(Definitions!$H:$H,MATCH(Definitions!$E$7,Definitions!$G:$G,0)))</f>
        <v>Yes: '[2025-07-30_QuBA_libre.xlsx]Definitions'!$H$14</v>
      </c>
      <c r="J24" s="110" t="str">
        <f ca="1">Definitions!$A$4&amp;": "&amp;COUNTIF(Definitions!$G:$G,Definitions!$E$7)</f>
        <v>Yes: 4</v>
      </c>
      <c r="K24" s="36" t="str" cm="1">
        <f t="array" aca="1" ref="K2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IF(LEN(_xlpm._optionsRanges)&lt;=_xlpm._endOfFirstElement,"",CHAR(10)&amp;ShowResultingOptions(RIGHT(_xlpm._optionsRanges,LEN(_xlpm._optionsRanges)-_xlpm._endOfFirstElement),RIGHT(_xlpm._optionsHeights,LEN(_xlpm._optionsHeights)-_xlpm._endOfFirstElementH))))))($I24,$J24),
CHAR(10))</f>
        <v>___Yes___
Potentially dangerous situation
Light or moderate injury
Severe injury (survival probable)
Life-threatening injury</v>
      </c>
      <c r="L24" s="93" t="str" cm="1">
        <f t="array" aca="1" ref="L24" ca="1">LEFT(INDEX($K:$K,ROW()),FIND(CHAR(10),INDEX($K:$K,ROW())))&amp;RemoveDelimiter(GetValuesIgnoreErrors(SUBSTITUTE($K24,CHAR(10),",")&amp;",",Definitions!$H:$I,": ",". Please provide a rationale:"&amp;CHAR(10),TRUE),CHAR(10))</f>
        <v>___Yes___
Potentially dangerous situation: Potentially dangerous situation. Please provide a rationale:
Light or moderate injury: Light or moderate injury. Please provide a rationale:
Severe injury (survival probable): Severe injury (survival probable). Please provide a rationale:
Life-threatening injury: Life-threatening injury. Please provide a rationale:</v>
      </c>
      <c r="M24" s="13"/>
      <c r="N24" s="13"/>
      <c r="O24" s="13" cm="1">
        <f t="array" ref="O24">CreateID($O$3,$O:$O,$A24&lt;&gt;"")</f>
        <v>21</v>
      </c>
      <c r="P24" s="13" cm="1">
        <f t="array" ref="P24">CreateTaskID($P$3,$P:$P,Tasks!$B$17,$N24)</f>
        <v>0</v>
      </c>
      <c r="Q24" s="13" t="b" cm="1">
        <f t="array" ref="Q24">IF($M24="",FALSE,CheckRelevance(SanitizeInput($M24),Questionnaire!$AA:$AA))</f>
        <v>0</v>
      </c>
      <c r="R24" s="23" cm="1">
        <f t="array" ref="R24">CreateID($R$3,$R:$R,AND($A24&lt;&gt;"",$D24&lt;&gt;""))</f>
        <v>10</v>
      </c>
    </row>
    <row r="25" spans="1:18" x14ac:dyDescent="0.25">
      <c r="A25" s="13" t="s">
        <v>1186</v>
      </c>
      <c r="B25" s="13" t="s">
        <v>61</v>
      </c>
      <c r="C25" s="13">
        <v>3</v>
      </c>
      <c r="D25" s="112" t="str">
        <f t="shared" si="0"/>
        <v/>
      </c>
      <c r="E25" s="91"/>
      <c r="F25" s="13"/>
      <c r="G25" s="36" t="str">
        <f t="shared" ca="1" si="1"/>
        <v/>
      </c>
      <c r="H25" s="93"/>
      <c r="I25" s="91"/>
      <c r="J25" s="110"/>
      <c r="K25" s="36" t="str" cm="1">
        <f t="array" aca="1" ref="K2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IF(LEN(_xlpm._optionsRanges)&lt;=_xlpm._endOfFirstElement,"",CHAR(10)&amp;ShowResultingOptions(RIGHT(_xlpm._optionsRanges,LEN(_xlpm._optionsRanges)-_xlpm._endOfFirstElement),RIGHT(_xlpm._optionsHeights,LEN(_xlpm._optionsHeights)-_xlpm._endOfFirstElementH))))))($I25,$J25),
CHAR(10))</f>
        <v/>
      </c>
      <c r="L25" s="93"/>
      <c r="M25" s="13"/>
      <c r="N25" s="13"/>
      <c r="O25" s="13" cm="1">
        <f t="array" ref="O25">CreateID($O$3,$O:$O,$A25&lt;&gt;"")</f>
        <v>22</v>
      </c>
      <c r="P25" s="13" cm="1">
        <f t="array" ref="P25">CreateTaskID($P$3,$P:$P,Tasks!$B$17,$N25)</f>
        <v>0</v>
      </c>
      <c r="Q25" s="13" t="b" cm="1">
        <f t="array" ref="Q25">IF($M25="",FALSE,CheckRelevance(SanitizeInput($M25),Questionnaire!$AA:$AA))</f>
        <v>0</v>
      </c>
      <c r="R25" s="23" cm="1">
        <f t="array" ref="R25">CreateID($R$3,$R:$R,AND($A25&lt;&gt;"",$D25&lt;&gt;""))</f>
        <v>10</v>
      </c>
    </row>
    <row r="26" spans="1:18" ht="120.75" x14ac:dyDescent="0.25">
      <c r="A26" s="13" t="s">
        <v>1079</v>
      </c>
      <c r="B26" s="13" t="s">
        <v>66</v>
      </c>
      <c r="C26" s="13">
        <v>6</v>
      </c>
      <c r="D26" s="112" t="str">
        <f t="shared" si="0"/>
        <v>x</v>
      </c>
      <c r="E26" s="91" t="str" cm="1">
        <f t="array" aca="1" ref="E26" ca="1">CELL("address",Definitions!$A$4)</f>
        <v>'[2025-07-30_QuBA_libre.xlsx]Definitions'!$A$4</v>
      </c>
      <c r="F26" s="13">
        <f>ROWS(Definitions!$A$4:$A$5)</f>
        <v>2</v>
      </c>
      <c r="G26" s="36" t="str">
        <f t="shared" ca="1" si="1"/>
        <v>Yes
No</v>
      </c>
      <c r="H26" s="93" t="str">
        <f>Definitions!$A$4&amp;": What is the criticality of the disclosed data?"&amp;CHAR(10)&amp;
Definitions!$A$5&amp;":"</f>
        <v>Yes: What is the criticality of the disclosed data?
No:</v>
      </c>
      <c r="I26" s="91" t="str" cm="1">
        <f t="array" aca="1" ref="I26" ca="1">Definitions!$A$4&amp;": "&amp;CELL("address",INDEX(Definitions!$H:$H,MATCH(Definitions!$E$4,Definitions!$G:$G,0)))</f>
        <v>Yes: '[2025-07-30_QuBA_libre.xlsx]Definitions'!$H$4</v>
      </c>
      <c r="J26" s="110" t="str">
        <f ca="1">Definitions!$A$4&amp;": "&amp;COUNTIF(Definitions!$G:$G,Definitions!$E$4)</f>
        <v>Yes: 3</v>
      </c>
      <c r="K26" s="36" t="str" cm="1">
        <f t="array" aca="1" ref="K2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IF(LEN(_xlpm._optionsRanges)&lt;=_xlpm._endOfFirstElement,"",CHAR(10)&amp;ShowResultingOptions(RIGHT(_xlpm._optionsRanges,LEN(_xlpm._optionsRanges)-_xlpm._endOfFirstElement),RIGHT(_xlpm._optionsHeights,LEN(_xlpm._optionsHeights)-_xlpm._endOfFirstElementH))))))($I26,$J26),
CHAR(10))</f>
        <v>___Yes___
Personal data (low)
Personal data (significant)
Personal data (ruinous)</v>
      </c>
      <c r="L26" s="93" t="str" cm="1">
        <f t="array" aca="1" ref="L26" ca="1">LEFT(INDEX($K:$K,ROW()),FIND(CHAR(10),INDEX($K:$K,ROW())))&amp;
Definitions!$H$4&amp;": It is possible that the person affected will be negatively affected in his or her social status or economic situation (e.g., user name, business e-mail address, business phone number). Please list the affected data:"&amp;CHAR(10)&amp;
Definitions!$H$5&amp;": The person affected can be significantly impaired in his or her social status or economic circumstances (e.g., home address, bank account number, credit card details, private phone number, work history). Please list the affected data:"&amp;CHAR(10)&amp;
Definitions!$H$6&amp;": The person affected can be ruinously impaired in his social status and economic circumstances. "&amp;"The freedom of the person concerned is threatened (e.g., health data, biometric data, racial or ethnic origin, political opinions, religious beliefs). Please list the affected data:"</f>
        <v>___Yes___
Personal data (low): It is possible that the person affected will be negatively affected in his or her social status or economic situation (e.g., user name, business e-mail address, business phone number). Please list the affected data:
Personal data (significant): The person affected can be significantly impaired in his or her social status or economic circumstances (e.g., home address, bank account number, credit card details, private phone number, work history). Please list the affected data:
Personal data (ruinous): The person affected can be ruinously impaired in his social status and economic circumstances. The freedom of the person concerned is threatened (e.g., health data, biometric data, racial or ethnic origin, political opinions, religious beliefs). Please list the affected data:</v>
      </c>
      <c r="M26" s="13"/>
      <c r="N26" s="13"/>
      <c r="O26" s="13" cm="1">
        <f t="array" ref="O26">CreateID($O$3,$O:$O,$A26&lt;&gt;"")</f>
        <v>23</v>
      </c>
      <c r="P26" s="13" cm="1">
        <f t="array" ref="P26">CreateTaskID($P$3,$P:$P,Tasks!$B$17,$N26)</f>
        <v>0</v>
      </c>
      <c r="Q26" s="13" t="b" cm="1">
        <f t="array" ref="Q26">IF($M26="",FALSE,CheckRelevance(SanitizeInput($M26),Questionnaire!$AA:$AA))</f>
        <v>0</v>
      </c>
      <c r="R26" s="23" cm="1">
        <f t="array" ref="R26">CreateID($R$3,$R:$R,AND($A26&lt;&gt;"",$D26&lt;&gt;""))</f>
        <v>11</v>
      </c>
    </row>
    <row r="27" spans="1:18" ht="84.75" x14ac:dyDescent="0.25">
      <c r="A27" s="13" t="s">
        <v>1078</v>
      </c>
      <c r="B27" s="13" t="s">
        <v>67</v>
      </c>
      <c r="C27" s="13">
        <v>6</v>
      </c>
      <c r="D27" s="112" t="str">
        <f t="shared" si="0"/>
        <v>x</v>
      </c>
      <c r="E27" s="91" t="str" cm="1">
        <f t="array" aca="1" ref="E27" ca="1">CELL("address",Definitions!$A$4)</f>
        <v>'[2025-07-30_QuBA_libre.xlsx]Definitions'!$A$4</v>
      </c>
      <c r="F27" s="13">
        <f>ROWS(Definitions!$A$4:$A$5)</f>
        <v>2</v>
      </c>
      <c r="G27" s="36" t="str">
        <f t="shared" ca="1" si="1"/>
        <v>Yes
No</v>
      </c>
      <c r="H27" s="93" t="str">
        <f>Definitions!$A$4&amp;": What is the criticality of the disclosed data?"&amp;CHAR(10)&amp;
Definitions!$A$5&amp;":"</f>
        <v>Yes: What is the criticality of the disclosed data?
No:</v>
      </c>
      <c r="I27" s="91" t="str" cm="1">
        <f t="array" aca="1" ref="I27" ca="1">Definitions!$A$4&amp;": "&amp;CELL("address",INDEX(Definitions!$H:$H,MATCH(Definitions!$E$5,Definitions!$G:$G,0)))</f>
        <v>Yes: '[2025-07-30_QuBA_libre.xlsx]Definitions'!$H$7</v>
      </c>
      <c r="J27" s="110" t="str">
        <f ca="1">Definitions!$A$4&amp;": "&amp;COUNTIF(Definitions!$G:$G,Definitions!$E$5)</f>
        <v>Yes: 3</v>
      </c>
      <c r="K27" s="36" t="str" cm="1">
        <f t="array" aca="1" ref="K2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IF(LEN(_xlpm._optionsRanges)&lt;=_xlpm._endOfFirstElement,"",CHAR(10)&amp;ShowResultingOptions(RIGHT(_xlpm._optionsRanges,LEN(_xlpm._optionsRanges)-_xlpm._endOfFirstElement),RIGHT(_xlpm._optionsHeights,LEN(_xlpm._optionsHeights)-_xlpm._endOfFirstElementH))))))($I27,$J27),
CHAR(10))</f>
        <v>___Yes___
IP (slightly innovative)
IP (moderately innovative)
IP (highly innovative)</v>
      </c>
      <c r="L27" s="93" t="str" cm="1">
        <f t="array" aca="1" ref="L27" ca="1">LEFT(INDEX($K:$K,ROW()),FIND(CHAR(10),INDEX($K:$K,ROW())))&amp;
RemoveDelimiter(GetValuesIgnoreErrors(SUBSTITUTE($K27,CHAR(10),",")&amp;",",Definitions!$H:$I,": ",". Please list the affected data:"&amp;CHAR(10),TRUE),CHAR(10))</f>
        <v>___Yes___
IP (slightly innovative): Loss of general idea how product works or low impact on markets (little innovation / very small market). Please list the affected data:
IP (moderately innovative): Relevant aspects of system is comprehensible or moderate impact on markets (some innovation in the product / medium size market). Please list the affected data:
IP (highly innovative): Can be copied / technology available or high impact on markets (highly innovative product / high-volume market). Please list the affected data:</v>
      </c>
      <c r="M27" s="13"/>
      <c r="N27" s="13"/>
      <c r="O27" s="13" cm="1">
        <f t="array" ref="O27">CreateID($O$3,$O:$O,$A27&lt;&gt;"")</f>
        <v>24</v>
      </c>
      <c r="P27" s="13" cm="1">
        <f t="array" ref="P27">CreateTaskID($P$3,$P:$P,Tasks!$B$17,$N27)</f>
        <v>0</v>
      </c>
      <c r="Q27" s="13" t="b" cm="1">
        <f t="array" ref="Q27">IF($M27="",FALSE,CheckRelevance(SanitizeInput($M27),Questionnaire!$AA:$AA))</f>
        <v>0</v>
      </c>
      <c r="R27" s="23" cm="1">
        <f t="array" ref="R27">CreateID($R$3,$R:$R,AND($A27&lt;&gt;"",$D27&lt;&gt;""))</f>
        <v>12</v>
      </c>
    </row>
    <row r="28" spans="1:18" ht="408.75" x14ac:dyDescent="0.25">
      <c r="A28" s="13" t="s">
        <v>1077</v>
      </c>
      <c r="B28" s="13" t="s">
        <v>1243</v>
      </c>
      <c r="C28" s="13">
        <v>6</v>
      </c>
      <c r="D28" s="112" t="str">
        <f t="shared" si="0"/>
        <v>x</v>
      </c>
      <c r="E28" s="91" t="str" cm="1">
        <f t="array" aca="1" ref="E28" ca="1">CELL("address",Definitions!$A$4)</f>
        <v>'[2025-07-30_QuBA_libre.xlsx]Definitions'!$A$4</v>
      </c>
      <c r="F28" s="13">
        <f>ROWS(Definitions!$A$4:$A$5)</f>
        <v>2</v>
      </c>
      <c r="G28" s="36" t="str">
        <f t="shared" ca="1" si="1"/>
        <v>Yes
No</v>
      </c>
      <c r="H28" s="93" t="str">
        <f>Definitions!$A$4&amp;": What is the criticality of the disclosed data / what are the consequences of the malicious access?"&amp;CHAR(10)&amp;
Definitions!$A$5&amp;":"</f>
        <v>Yes: What is the criticality of the disclosed data / what are the consequences of the malicious access?
No:</v>
      </c>
      <c r="I28" s="91" t="str" cm="1">
        <f t="array" aca="1" ref="I28" ca="1">Definitions!$A$4&amp;": "&amp;CELL("address",Definitions!$H$4)</f>
        <v>Yes: '[2025-07-30_QuBA_libre.xlsx]Definitions'!$H$4</v>
      </c>
      <c r="J28" s="110" t="str">
        <f ca="1">Definitions!$A$4&amp;": "&amp;COUNTA(Definitions!$K:$K)-1</f>
        <v>Yes: 20</v>
      </c>
      <c r="K28" s="36" t="str" cm="1">
        <f t="array" aca="1" ref="K2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IF(LEN(_xlpm._optionsRanges)&lt;=_xlpm._endOfFirstElement,"",CHAR(10)&amp;ShowResultingOptions(RIGHT(_xlpm._optionsRanges,LEN(_xlpm._optionsRanges)-_xlpm._endOfFirstElement),RIGHT(_xlpm._optionsHeights,LEN(_xlpm._optionsHeights)-_xlpm._endOfFirstElementH))))))($I28,$J28),
CHAR(10))</f>
        <v>___Yes___
Personal data (low)
Personal data (significant)
Personal data (ruinous)
IP (slightly innovative)
IP (moderately innovative)
IP (highly innovative)
Low financial damage
Medium financial damage
High financial damage
Critical financial damage
Potentially dangerous situation
Light or moderate injury
Severe injury (survival probable)
Life-threatening injury
Disturbance
Service required
Major disturbance
Environmental damage
Critical disturbance (destruction)
Critical environmental damage</v>
      </c>
      <c r="L28" s="93" t="str" cm="1">
        <f t="array" aca="1" ref="L28" ca="1">LEFT(INDEX($K:$K,ROW()),FIND(CHAR(10),INDEX($K:$K,ROW())))&amp;
RemoveDelimiter(GetValuesIgnoreErrors(SUBSTITUTE($K28,CHAR(10),",")&amp;",",Definitions!$H:$I,": ",". Please list the affected data:"&amp;CHAR(10),TRUE),CHAR(10))</f>
        <v>___Yes___
Personal data (low): It is possible that the person affected will be negatively affected in his or her social status or economic situation. Please list the affected data:
Personal data (significant): The person affected can be significantly impaired in his or her social status or economic circumstances. Please list the affected data:
Personal data (ruinous): The person affected can be ruinously impaired in his social status and economic circumstances. The freedom of the person concerned is threatened. Please list the affected data:
IP (slightly innovative): Loss of general idea how product works or low impact on markets (little innovation / very small market). Please list the affected data:
IP (moderately innovative): Relevant aspects of system is comprehensible or moderate impact on markets (some innovation in the product / medium size market). Please list the affected data:
IP (highly innovative): Can be copied / technology available or high impact on markets (highly innovative product / high-volume market). Please list the affected data:
Low financial damage: Direct loss, fines for infringements of laws, or violations of contracts (low volume). Please list the affected data:
Medium financial damage: Direct loss, fines for infringements of laws, or violations of contracts (medium volume). Please list the affected data:
High financial damage: Direct loss, fines for infringements of laws, or violations of contracts (high volume). Please list the affected data:
Critical financial damage: Loss of freedom for employees, direct loss, fines for infringements of laws, or violations of contracts (critical volume). Please list the affected data:
Potentially dangerous situation: Potentially dangerous situation. Please list the affected data:
Light or moderate injury: Light or moderate injury. Please list the affected data:
Severe injury (survival probable): Severe injury (survival probable). Please list the affected data:
Life-threatening injury: Life-threatening injury. Please list the affected data:
Disturbance: Minor disturbance, customer can quickly fix issue himself (e.g. reset). Please list the affected data:
Service required: Disturbance of function, service required. Please list the affected data:
Major disturbance: Major disturbance of function. Please list the affected data:
Environmental damage: Singular incident with limited environmental damage. Please list the affected data:
Critical disturbance (destruction): Destruction of plant, severe damage to assets or operational environment, critical disturbance of function. Please list the affected data:
Critical environmental damage: Environmental damages that accumulate to critical impact over time as well as critical damages that happen in a single incident. Please list the affected data:</v>
      </c>
      <c r="M28" s="13"/>
      <c r="N28" s="13"/>
      <c r="O28" s="13" cm="1">
        <f t="array" ref="O28">CreateID($O$3,$O:$O,$A28&lt;&gt;"")</f>
        <v>25</v>
      </c>
      <c r="P28" s="13" cm="1">
        <f t="array" ref="P28">CreateTaskID($P$3,$P:$P,Tasks!$B$17,$N28)</f>
        <v>0</v>
      </c>
      <c r="Q28" s="13" t="b" cm="1">
        <f t="array" ref="Q28">IF($M28="",FALSE,CheckRelevance(SanitizeInput($M28),Questionnaire!$AA:$AA))</f>
        <v>0</v>
      </c>
      <c r="R28" s="23" cm="1">
        <f t="array" ref="R28">CreateID($R$3,$R:$R,AND($A28&lt;&gt;"",$D28&lt;&gt;""))</f>
        <v>13</v>
      </c>
    </row>
    <row r="29" spans="1:18" x14ac:dyDescent="0.25">
      <c r="A29" s="13" t="s">
        <v>1187</v>
      </c>
      <c r="B29" s="13" t="s">
        <v>60</v>
      </c>
      <c r="C29" s="13">
        <v>3</v>
      </c>
      <c r="D29" s="112" t="str">
        <f t="shared" si="0"/>
        <v/>
      </c>
      <c r="E29" s="91"/>
      <c r="F29" s="13"/>
      <c r="G29" s="36" t="str">
        <f t="shared" ca="1" si="1"/>
        <v/>
      </c>
      <c r="H29" s="93"/>
      <c r="I29" s="91"/>
      <c r="J29" s="110"/>
      <c r="K29" s="36" t="str" cm="1">
        <f t="array" aca="1" ref="K2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IF(LEN(_xlpm._optionsRanges)&lt;=_xlpm._endOfFirstElement,"",CHAR(10)&amp;ShowResultingOptions(RIGHT(_xlpm._optionsRanges,LEN(_xlpm._optionsRanges)-_xlpm._endOfFirstElement),RIGHT(_xlpm._optionsHeights,LEN(_xlpm._optionsHeights)-_xlpm._endOfFirstElementH))))))($I29,$J29),
CHAR(10))</f>
        <v/>
      </c>
      <c r="L29" s="93"/>
      <c r="M29" s="13"/>
      <c r="N29" s="13"/>
      <c r="O29" s="13" cm="1">
        <f t="array" ref="O29">CreateID($O$3,$O:$O,$A29&lt;&gt;"")</f>
        <v>26</v>
      </c>
      <c r="P29" s="13" cm="1">
        <f t="array" ref="P29">CreateTaskID($P$3,$P:$P,Tasks!$B$17,$N29)</f>
        <v>0</v>
      </c>
      <c r="Q29" s="13" t="b" cm="1">
        <f t="array" ref="Q29">IF($M29="",FALSE,CheckRelevance(SanitizeInput($M29),Questionnaire!$AA:$AA))</f>
        <v>0</v>
      </c>
      <c r="R29" s="23" cm="1">
        <f t="array" ref="R29">CreateID($R$3,$R:$R,AND($A29&lt;&gt;"",$D29&lt;&gt;""))</f>
        <v>13</v>
      </c>
    </row>
    <row r="30" spans="1:18" ht="132.75" x14ac:dyDescent="0.25">
      <c r="A30" s="13" t="s">
        <v>1075</v>
      </c>
      <c r="B30" s="13" t="s">
        <v>722</v>
      </c>
      <c r="C30" s="13">
        <v>6</v>
      </c>
      <c r="D30" s="112" t="str">
        <f t="shared" si="0"/>
        <v>x</v>
      </c>
      <c r="E30" s="91" t="str" cm="1">
        <f t="array" aca="1" ref="E30" ca="1">CELL("address",Definitions!$A$4)</f>
        <v>'[2025-07-30_QuBA_libre.xlsx]Definitions'!$A$4</v>
      </c>
      <c r="F30" s="13">
        <f>ROWS(Definitions!$A$4:$A$5)</f>
        <v>2</v>
      </c>
      <c r="G30" s="36" t="str">
        <f t="shared" ca="1" si="1"/>
        <v>Yes
No</v>
      </c>
      <c r="H30" s="93" t="str">
        <f>Definitions!$A$4&amp;": What is the worst case effect on the operational environment for the intended use of the product?"&amp;CHAR(10)&amp;
Definitions!$A$5&amp;":"</f>
        <v>Yes: What is the worst case effect on the operational environment for the intended use of the product?
No:</v>
      </c>
      <c r="I30" s="91" t="str" cm="1">
        <f t="array" aca="1" ref="I30" ca="1">Definitions!$A$4&amp;": "&amp;CELL("address",INDEX(Definitions!$H:$H,MATCH(Definitions!$E$8,Definitions!$G:$G,0)))</f>
        <v>Yes: '[2025-07-30_QuBA_libre.xlsx]Definitions'!$H$18</v>
      </c>
      <c r="J30" s="110" t="str">
        <f ca="1">Definitions!$A$4&amp;": "&amp;COUNTIF(Definitions!$G:$G,Definitions!$E$8)</f>
        <v>Yes: 6</v>
      </c>
      <c r="K30" s="36" t="str" cm="1">
        <f t="array" aca="1" ref="K3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IF(LEN(_xlpm._optionsRanges)&lt;=_xlpm._endOfFirstElement,"",CHAR(10)&amp;ShowResultingOptions(RIGHT(_xlpm._optionsRanges,LEN(_xlpm._optionsRanges)-_xlpm._endOfFirstElement),RIGHT(_xlpm._optionsHeights,LEN(_xlpm._optionsHeights)-_xlpm._endOfFirstElementH))))))($I30,$J30),
CHAR(10))</f>
        <v>___Yes___
Disturbance
Service required
Major disturbance
Environmental damage
Critical disturbance (destruction)
Critical environmental damage</v>
      </c>
      <c r="L30" s="93" t="str" cm="1">
        <f t="array" aca="1" ref="L30" ca="1">LEFT(INDEX($K:$K,ROW()),FIND(CHAR(10),INDEX($K:$K,ROW())))&amp;RemoveDelimiter(GetValuesIgnoreErrors(SUBSTITUTE($K30,CHAR(10),",")&amp;",",Definitions!$H:$I,": ",". Please explain the expected effects:"&amp;CHAR(10),TRUE),CHAR(10))</f>
        <v>___Yes___
Disturbance: Minor disturbance, customer can quickly fix issue himself (e.g. reset). Please explain the expected effects:
Service required: Disturbance of function, service required. Please explain the expected effects:
Major disturbance: Major disturbance of function. Please explain the expected effects:
Environmental damage: Singular incident with limited environmental damage. Please explain the expected effects:
Critical disturbance (destruction): Destruction of plant, severe damage to assets or operational environment, critical disturbance of function. Please explain the expected effects:
Critical environmental damage: Environmental damages that accumulate to critical impact over time as well as critical damages that happen in a single incident. Please explain the expected effects:</v>
      </c>
      <c r="M30" s="13"/>
      <c r="N30" s="13"/>
      <c r="O30" s="13" cm="1">
        <f t="array" ref="O30">CreateID($O$3,$O:$O,$A30&lt;&gt;"")</f>
        <v>27</v>
      </c>
      <c r="P30" s="13" cm="1">
        <f t="array" ref="P30">CreateTaskID($P$3,$P:$P,Tasks!$B$17,$N30)</f>
        <v>0</v>
      </c>
      <c r="Q30" s="13" t="b" cm="1">
        <f t="array" ref="Q30">IF($M30="",FALSE,CheckRelevance(SanitizeInput($M30),Questionnaire!$AA:$AA))</f>
        <v>0</v>
      </c>
      <c r="R30" s="23" cm="1">
        <f t="array" ref="R30">CreateID($R$3,$R:$R,AND($A30&lt;&gt;"",$D30&lt;&gt;""))</f>
        <v>14</v>
      </c>
    </row>
    <row r="31" spans="1:18" x14ac:dyDescent="0.25">
      <c r="A31" s="13" t="s">
        <v>1188</v>
      </c>
      <c r="B31" s="13" t="s">
        <v>58</v>
      </c>
      <c r="C31" s="13">
        <v>3</v>
      </c>
      <c r="D31" s="112" t="str">
        <f t="shared" si="0"/>
        <v/>
      </c>
      <c r="E31" s="91"/>
      <c r="F31" s="13"/>
      <c r="G31" s="36" t="str">
        <f t="shared" ca="1" si="1"/>
        <v/>
      </c>
      <c r="H31" s="93"/>
      <c r="I31" s="91"/>
      <c r="J31" s="110"/>
      <c r="K31" s="36" t="str" cm="1">
        <f t="array" aca="1" ref="K3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IF(LEN(_xlpm._optionsRanges)&lt;=_xlpm._endOfFirstElement,"",CHAR(10)&amp;ShowResultingOptions(RIGHT(_xlpm._optionsRanges,LEN(_xlpm._optionsRanges)-_xlpm._endOfFirstElement),RIGHT(_xlpm._optionsHeights,LEN(_xlpm._optionsHeights)-_xlpm._endOfFirstElementH))))))($I31,$J31),
CHAR(10))</f>
        <v/>
      </c>
      <c r="L31" s="93"/>
      <c r="M31" s="13"/>
      <c r="N31" s="13"/>
      <c r="O31" s="13" cm="1">
        <f t="array" ref="O31">CreateID($O$3,$O:$O,$A31&lt;&gt;"")</f>
        <v>28</v>
      </c>
      <c r="P31" s="13" cm="1">
        <f t="array" ref="P31">CreateTaskID($P$3,$P:$P,Tasks!$B$17,$N31)</f>
        <v>0</v>
      </c>
      <c r="Q31" s="13" t="b" cm="1">
        <f t="array" ref="Q31">IF($M31="",FALSE,CheckRelevance(SanitizeInput($M31),Questionnaire!$AA:$AA))</f>
        <v>0</v>
      </c>
      <c r="R31" s="23" cm="1">
        <f t="array" ref="R31">CreateID($R$3,$R:$R,AND($A31&lt;&gt;"",$D31&lt;&gt;""))</f>
        <v>14</v>
      </c>
    </row>
    <row r="32" spans="1:18" ht="228.75" x14ac:dyDescent="0.25">
      <c r="A32" s="13" t="s">
        <v>1074</v>
      </c>
      <c r="B32" s="13" t="s">
        <v>68</v>
      </c>
      <c r="C32" s="13">
        <v>6</v>
      </c>
      <c r="D32" s="112" t="str">
        <f t="shared" si="0"/>
        <v>x</v>
      </c>
      <c r="E32" s="91" t="str" cm="1">
        <f t="array" aca="1" ref="E32" ca="1">CELL("address",Definitions!$A$4)</f>
        <v>'[2025-07-30_QuBA_libre.xlsx]Definitions'!$A$4</v>
      </c>
      <c r="F32" s="13">
        <f>ROWS(Definitions!$A$4:$A$5)</f>
        <v>2</v>
      </c>
      <c r="G32" s="36" t="str">
        <f t="shared" ca="1" si="1"/>
        <v>Yes
No</v>
      </c>
      <c r="H32" s="93" t="str">
        <f>Definitions!$A$4&amp;": What is the worst case damage caused by the manipulation for the intended use of the product?"&amp;CHAR(10)&amp;
Definitions!$A$5&amp;":"</f>
        <v>Yes: What is the worst case damage caused by the manipulation for the intended use of the product?
No:</v>
      </c>
      <c r="I32" s="91" t="str" cm="1">
        <f t="array" aca="1" ref="I32" ca="1">Definitions!$A$4&amp;": "&amp;CELL("address",Helper!$D$2)</f>
        <v>Yes: '[2025-07-30_QuBA_libre.xlsx]Helper'!$D$2</v>
      </c>
      <c r="J32" s="110" t="str">
        <f ca="1">Definitions!$A$4&amp;": "&amp;COUNTA(Helper!$D:$D)-1</f>
        <v>Yes: 10</v>
      </c>
      <c r="K32" s="36" t="str" cm="1">
        <f t="array" aca="1" ref="K3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IF(LEN(_xlpm._optionsRanges)&lt;=_xlpm._endOfFirstElement,"",CHAR(10)&amp;ShowResultingOptions(RIGHT(_xlpm._optionsRanges,LEN(_xlpm._optionsRanges)-_xlpm._endOfFirstElement),RIGHT(_xlpm._optionsHeights,LEN(_xlpm._optionsHeights)-_xlpm._endOfFirstElementH))))))($I32,$J32),
CHAR(10))</f>
        <v>___Yes___
Low financial damage
Medium financial damage
High financial damage
Critical financial damage
Disturbance
Service required
Major disturbance
Environmental damage
Critical disturbance (destruction)
Critical environmental damage</v>
      </c>
      <c r="L32" s="93" t="str" cm="1">
        <f t="array" aca="1" ref="L32" ca="1">LEFT(INDEX($K:$K,ROW()),FIND(CHAR(10),INDEX($K:$K,ROW())))&amp;RemoveDelimiter(GetValuesIgnoreErrors(SUBSTITUTE($K32,CHAR(10),",")&amp;",",Definitions!$H:$I,": ",". Please characterize the affected assets:"&amp;CHAR(10),TRUE),CHAR(10))</f>
        <v>___Yes___
Low financial damage: Direct loss, fines for infringements of laws, or violations of contracts (low volume). Please characterize the affected assets:
Medium financial damage: Direct loss, fines for infringements of laws, or violations of contracts (medium volume). Please characterize the affected assets:
High financial damage: Direct loss, fines for infringements of laws, or violations of contracts (high volume). Please characterize the affected assets:
Critical financial damage: Loss of freedom for employees, direct loss, fines for infringements of laws, or violations of contracts (critical volume). Please characterize the affected assets:
Disturbance: Minor disturbance, customer can quickly fix issue himself (e.g. reset). Please characterize the affected assets:
Service required: Disturbance of function, service required. Please characterize the affected assets:
Major disturbance: Major disturbance of function. Please characterize the affected assets:
Environmental damage: Singular incident with limited environmental damage. Please characterize the affected assets:
Critical disturbance (destruction): Destruction of plant, severe damage to assets or operational environment, critical disturbance of function. Please characterize the affected assets:
Critical environmental damage: Environmental damages that accumulate to critical impact over time as well as critical damages that happen in a single incident. Please characterize the affected assets:</v>
      </c>
      <c r="M32" s="13"/>
      <c r="N32" s="13"/>
      <c r="O32" s="13" cm="1">
        <f t="array" ref="O32">CreateID($O$3,$O:$O,$A32&lt;&gt;"")</f>
        <v>29</v>
      </c>
      <c r="P32" s="13" cm="1">
        <f t="array" ref="P32">CreateTaskID($P$3,$P:$P,Tasks!$B$17,$N32)</f>
        <v>0</v>
      </c>
      <c r="Q32" s="13" t="b" cm="1">
        <f t="array" ref="Q32">IF($M32="",FALSE,CheckRelevance(SanitizeInput($M32),Questionnaire!$AA:$AA))</f>
        <v>0</v>
      </c>
      <c r="R32" s="23" cm="1">
        <f t="array" ref="R32">CreateID($R$3,$R:$R,AND($A32&lt;&gt;"",$D32&lt;&gt;""))</f>
        <v>15</v>
      </c>
    </row>
    <row r="33" spans="1:18" ht="108.75" x14ac:dyDescent="0.25">
      <c r="A33" s="13" t="s">
        <v>1072</v>
      </c>
      <c r="B33" s="13" t="s">
        <v>1659</v>
      </c>
      <c r="C33" s="13">
        <v>6</v>
      </c>
      <c r="D33" s="112" t="str">
        <f t="shared" si="0"/>
        <v>x</v>
      </c>
      <c r="E33" s="91" t="str" cm="1">
        <f t="array" aca="1" ref="E33" ca="1">CELL("address",Definitions!$A$4)</f>
        <v>'[2025-07-30_QuBA_libre.xlsx]Definitions'!$A$4</v>
      </c>
      <c r="F33" s="13">
        <f>ROWS(Definitions!$A$4:$A$5)</f>
        <v>2</v>
      </c>
      <c r="G33" s="36" t="str">
        <f t="shared" ca="1" si="1"/>
        <v>Yes
No</v>
      </c>
      <c r="H33" s="93" t="str">
        <f>Definitions!$A$4&amp;": What is the typical / expected value of the fines for contract / legal violation?"&amp;CHAR(10)&amp;
Definitions!$A$5&amp;":"</f>
        <v>Yes: What is the typical / expected value of the fines for contract / legal violation?
No:</v>
      </c>
      <c r="I33" s="91" t="str" cm="1">
        <f t="array" aca="1" ref="I33" ca="1">Definitions!$A$4&amp;": "&amp;CELL("address",INDEX(Definitions!$H:$H,MATCH(Definitions!$E$6,Definitions!$G:$G,0)))</f>
        <v>Yes: '[2025-07-30_QuBA_libre.xlsx]Definitions'!$H$10</v>
      </c>
      <c r="J33" s="110" t="str">
        <f ca="1">Definitions!$A$4&amp;": "&amp;COUNTIF(Definitions!$G:$G,Definitions!$E$6)</f>
        <v>Yes: 4</v>
      </c>
      <c r="K33" s="36" t="str" cm="1">
        <f t="array" aca="1" ref="K3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IF(LEN(_xlpm._optionsRanges)&lt;=_xlpm._endOfFirstElement,"",CHAR(10)&amp;ShowResultingOptions(RIGHT(_xlpm._optionsRanges,LEN(_xlpm._optionsRanges)-_xlpm._endOfFirstElement),RIGHT(_xlpm._optionsHeights,LEN(_xlpm._optionsHeights)-_xlpm._endOfFirstElementH))))))($I33,$J33),
CHAR(10))</f>
        <v>___Yes___
Low financial damage
Medium financial damage
High financial damage
Critical financial damage</v>
      </c>
      <c r="L33" s="93" t="str" cm="1">
        <f t="array" aca="1" ref="L33" ca="1">LEFT(INDEX($K:$K,ROW()),FIND(CHAR(10),INDEX($K:$K,ROW())))&amp;RemoveDelimiter(GetValuesIgnoreErrors(SUBSTITUTE($K33,CHAR(10),",")&amp;",",Definitions!$H:$I,": ",". Please describe the reason of the contract violation:"&amp;CHAR(10),TRUE),CHAR(10))</f>
        <v>___Yes___
Low financial damage: Direct loss, fines for infringements of laws, or violations of contracts (low volume). Please describe the reason of the contract violation:
Medium financial damage: Direct loss, fines for infringements of laws, or violations of contracts (medium volume). Please describe the reason of the contract violation:
High financial damage: Direct loss, fines for infringements of laws, or violations of contracts (high volume). Please describe the reason of the contract violation:
Critical financial damage: Loss of freedom for employees, direct loss, fines for infringements of laws, or violations of contracts (critical volume). Please describe the reason of the contract violation:</v>
      </c>
      <c r="M33" s="13"/>
      <c r="N33" s="13"/>
      <c r="O33" s="13" cm="1">
        <f t="array" ref="O33">CreateID($O$3,$O:$O,$A33&lt;&gt;"")</f>
        <v>30</v>
      </c>
      <c r="P33" s="13" cm="1">
        <f t="array" ref="P33">CreateTaskID($P$3,$P:$P,Tasks!$B$17,$N33)</f>
        <v>0</v>
      </c>
      <c r="Q33" s="13" t="b" cm="1">
        <f t="array" ref="Q33">IF($M33="",FALSE,CheckRelevance(SanitizeInput($M33),Questionnaire!$AA:$AA))</f>
        <v>0</v>
      </c>
      <c r="R33" s="23" cm="1">
        <f t="array" ref="R33">CreateID($R$3,$R:$R,AND($A33&lt;&gt;"",$D33&lt;&gt;""))</f>
        <v>16</v>
      </c>
    </row>
    <row r="34" spans="1:18" x14ac:dyDescent="0.25">
      <c r="A34" s="13" t="s">
        <v>1174</v>
      </c>
      <c r="B34" s="13" t="s">
        <v>1</v>
      </c>
      <c r="C34" s="13">
        <v>0</v>
      </c>
      <c r="D34" s="112" t="str">
        <f t="shared" si="0"/>
        <v/>
      </c>
      <c r="E34" s="91"/>
      <c r="F34" s="13"/>
      <c r="G34" s="36" t="str">
        <f t="shared" ca="1" si="1"/>
        <v/>
      </c>
      <c r="H34" s="93"/>
      <c r="I34" s="91"/>
      <c r="J34" s="110"/>
      <c r="K34" s="36" t="str" cm="1">
        <f t="array" aca="1" ref="K3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IF(LEN(_xlpm._optionsRanges)&lt;=_xlpm._endOfFirstElement,"",CHAR(10)&amp;ShowResultingOptions(RIGHT(_xlpm._optionsRanges,LEN(_xlpm._optionsRanges)-_xlpm._endOfFirstElement),RIGHT(_xlpm._optionsHeights,LEN(_xlpm._optionsHeights)-_xlpm._endOfFirstElementH))))))($I34,$J34),
CHAR(10))</f>
        <v/>
      </c>
      <c r="L34" s="93"/>
      <c r="M34" s="13"/>
      <c r="N34" s="13"/>
      <c r="O34" s="13" cm="1">
        <f t="array" ref="O34">CreateID($O$3,$O:$O,$A34&lt;&gt;"")</f>
        <v>31</v>
      </c>
      <c r="P34" s="13" cm="1">
        <f t="array" ref="P34">CreateTaskID($P$3,$P:$P,Tasks!$B$17,$N34)</f>
        <v>0</v>
      </c>
      <c r="Q34" s="13" t="b" cm="1">
        <f t="array" ref="Q34">IF($M34="",FALSE,CheckRelevance(SanitizeInput($M34),Questionnaire!$AA:$AA))</f>
        <v>0</v>
      </c>
      <c r="R34" s="23" cm="1">
        <f t="array" ref="R34">CreateID($R$3,$R:$R,AND($A34&lt;&gt;"",$D34&lt;&gt;""))</f>
        <v>16</v>
      </c>
    </row>
    <row r="35" spans="1:18" ht="36.75" x14ac:dyDescent="0.25">
      <c r="A35" s="13" t="s">
        <v>1038</v>
      </c>
      <c r="B35" s="13" t="s">
        <v>51</v>
      </c>
      <c r="C35" s="13">
        <v>0</v>
      </c>
      <c r="D35" s="112" t="str">
        <f t="shared" si="0"/>
        <v>x</v>
      </c>
      <c r="E35" s="91" t="str" cm="1">
        <f t="array" aca="1" ref="E35" ca="1">CELL("address",Definitions!$A$4)</f>
        <v>'[2025-07-30_QuBA_libre.xlsx]Definitions'!$A$4</v>
      </c>
      <c r="F35" s="13">
        <f>ROWS(Definitions!$A$4:$A$5)</f>
        <v>2</v>
      </c>
      <c r="G35" s="36" t="str">
        <f t="shared" ca="1" si="1"/>
        <v>Yes
No</v>
      </c>
      <c r="H35" s="93" t="str">
        <f>Definitions!$A$4&amp;":"&amp;CHAR(10)&amp;
Definitions!$A$5&amp;":"</f>
        <v>Yes:
No:</v>
      </c>
      <c r="I35" s="91"/>
      <c r="J35" s="110"/>
      <c r="K35" s="36" t="str" cm="1">
        <f t="array" aca="1" ref="K3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IF(LEN(_xlpm._optionsRanges)&lt;=_xlpm._endOfFirstElement,"",CHAR(10)&amp;ShowResultingOptions(RIGHT(_xlpm._optionsRanges,LEN(_xlpm._optionsRanges)-_xlpm._endOfFirstElement),RIGHT(_xlpm._optionsHeights,LEN(_xlpm._optionsHeights)-_xlpm._endOfFirstElementH))))))($I35,$J35),
CHAR(10))</f>
        <v/>
      </c>
      <c r="L35" s="93"/>
      <c r="M35" s="13"/>
      <c r="N35" s="13"/>
      <c r="O35" s="13" cm="1">
        <f t="array" ref="O35">CreateID($O$3,$O:$O,$A35&lt;&gt;"")</f>
        <v>32</v>
      </c>
      <c r="P35" s="13" cm="1">
        <f t="array" ref="P35">CreateTaskID($P$3,$P:$P,Tasks!$B$17,$N35)</f>
        <v>0</v>
      </c>
      <c r="Q35" s="13" t="b" cm="1">
        <f t="array" ref="Q35">IF($M35="",FALSE,CheckRelevance(SanitizeInput($M35),Questionnaire!$AA:$AA))</f>
        <v>0</v>
      </c>
      <c r="R35" s="23" cm="1">
        <f t="array" ref="R35">CreateID($R$3,$R:$R,AND($A35&lt;&gt;"",$D35&lt;&gt;""))</f>
        <v>17</v>
      </c>
    </row>
    <row r="36" spans="1:18" ht="36.75" x14ac:dyDescent="0.25">
      <c r="A36" s="13" t="s">
        <v>1041</v>
      </c>
      <c r="B36" s="13" t="s">
        <v>1698</v>
      </c>
      <c r="C36" s="13">
        <v>0</v>
      </c>
      <c r="D36" s="112" t="str">
        <f t="shared" ref="D36:D58" si="2">IF($A36="","",IF(LEFT($A36,1)="Q","x",""))</f>
        <v>x</v>
      </c>
      <c r="E36" s="91" t="str" cm="1">
        <f t="array" aca="1" ref="E36" ca="1">CELL("address",Definitions!$A$4)</f>
        <v>'[2025-07-30_QuBA_libre.xlsx]Definitions'!$A$4</v>
      </c>
      <c r="F36" s="13">
        <f>ROWS(Definitions!$A$4:$A$5)</f>
        <v>2</v>
      </c>
      <c r="G36" s="36" t="str">
        <f t="shared" ref="G36:G58" ca="1" si="3">IF($E36="","",_xlfn.TEXTJOIN(CHAR(10),TRUE,OFFSET(INDIRECT($E36),0,0,$F36,1)))</f>
        <v>Yes
No</v>
      </c>
      <c r="H36" s="93" t="str">
        <f>Definitions!$A$4&amp;": Please select the kind of connectivity:"&amp;CHAR(10)&amp;
Definitions!$A$5&amp;":"</f>
        <v>Yes: Please select the kind of connectivity:
No:</v>
      </c>
      <c r="I36" s="91" t="str" cm="1">
        <f t="array" aca="1" ref="I36" ca="1">Definitions!$A$4&amp;": "&amp;CELL("address",Definitions!$O$4)</f>
        <v>Yes: '[2025-07-30_QuBA_libre.xlsx]Definitions'!$O$4</v>
      </c>
      <c r="J36" s="110" t="str">
        <f>Definitions!$A$4&amp;": "&amp;ROWS(Definitions!$O$4:$O$5)</f>
        <v>Yes: 2</v>
      </c>
      <c r="K36" s="36" t="str" cm="1">
        <f t="array" aca="1" ref="K3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IF(LEN(_xlpm._optionsRanges)&lt;=_xlpm._endOfFirstElement,"",CHAR(10)&amp;ShowResultingOptions(RIGHT(_xlpm._optionsRanges,LEN(_xlpm._optionsRanges)-_xlpm._endOfFirstElement),RIGHT(_xlpm._optionsHeights,LEN(_xlpm._optionsHeights)-_xlpm._endOfFirstElementH))))))($I36,$J36),
CHAR(10))</f>
        <v>___Yes___
Local network gateway
Internet-facing gateway</v>
      </c>
      <c r="L36" s="93" t="str" cm="1">
        <f t="array" aca="1" ref="L36" ca="1">LEFT(INDEX($K:$K,ROW()),FIND(CHAR(10),INDEX($K:$K,ROW())))&amp;
Definitions!$O$4&amp;":"&amp;CHAR(10)&amp;
Definitions!$O$5&amp;":"</f>
        <v>___Yes___
Local network gateway:
Internet-facing gateway:</v>
      </c>
      <c r="M36" s="13" t="s">
        <v>1197</v>
      </c>
      <c r="N36" s="13"/>
      <c r="O36" s="13" cm="1">
        <f t="array" ref="O36">CreateID($O$3,$O:$O,$A36&lt;&gt;"")</f>
        <v>33</v>
      </c>
      <c r="P36" s="13" cm="1">
        <f t="array" ref="P36">CreateTaskID($P$3,$P:$P,Tasks!$B$17,$N36)</f>
        <v>0</v>
      </c>
      <c r="Q36" s="13" t="b" cm="1">
        <f t="array" aca="1" ref="Q36" ca="1">IF($M36="",FALSE,CheckRelevance(SanitizeInput($M36),Questionnaire!$AA:$AA))</f>
        <v>0</v>
      </c>
      <c r="R36" s="23" cm="1">
        <f t="array" ref="R36">CreateID($R$3,$R:$R,AND($A36&lt;&gt;"",$D36&lt;&gt;""))</f>
        <v>18</v>
      </c>
    </row>
    <row r="37" spans="1:18" x14ac:dyDescent="0.25">
      <c r="A37" s="13" t="s">
        <v>1175</v>
      </c>
      <c r="B37" s="13" t="s">
        <v>7</v>
      </c>
      <c r="C37" s="13">
        <v>0</v>
      </c>
      <c r="D37" s="112" t="str">
        <f t="shared" si="2"/>
        <v/>
      </c>
      <c r="E37" s="91"/>
      <c r="F37" s="13"/>
      <c r="G37" s="36" t="str">
        <f t="shared" ca="1" si="3"/>
        <v/>
      </c>
      <c r="H37" s="93"/>
      <c r="I37" s="91"/>
      <c r="J37" s="110"/>
      <c r="K37" s="36" t="str" cm="1">
        <f t="array" aca="1" ref="K3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IF(LEN(_xlpm._optionsRanges)&lt;=_xlpm._endOfFirstElement,"",CHAR(10)&amp;ShowResultingOptions(RIGHT(_xlpm._optionsRanges,LEN(_xlpm._optionsRanges)-_xlpm._endOfFirstElement),RIGHT(_xlpm._optionsHeights,LEN(_xlpm._optionsHeights)-_xlpm._endOfFirstElementH))))))($I37,$J37),
CHAR(10))</f>
        <v/>
      </c>
      <c r="L37" s="93"/>
      <c r="M37" s="13" t="s">
        <v>1197</v>
      </c>
      <c r="N37" s="13"/>
      <c r="O37" s="13" cm="1">
        <f t="array" ref="O37">CreateID($O$3,$O:$O,$A37&lt;&gt;"")</f>
        <v>34</v>
      </c>
      <c r="P37" s="13" cm="1">
        <f t="array" ref="P37">CreateTaskID($P$3,$P:$P,Tasks!$B$17,$N37)</f>
        <v>0</v>
      </c>
      <c r="Q37" s="13" t="b" cm="1">
        <f t="array" aca="1" ref="Q37" ca="1">IF($M37="",FALSE,CheckRelevance(SanitizeInput($M37),Questionnaire!$AA:$AA))</f>
        <v>0</v>
      </c>
      <c r="R37" s="23" cm="1">
        <f t="array" ref="R37">CreateID($R$3,$R:$R,AND($A37&lt;&gt;"",$D37&lt;&gt;""))</f>
        <v>18</v>
      </c>
    </row>
    <row r="38" spans="1:18" ht="36.75" x14ac:dyDescent="0.25">
      <c r="A38" s="13" t="s">
        <v>1043</v>
      </c>
      <c r="B38" s="13" t="s">
        <v>69</v>
      </c>
      <c r="C38" s="13">
        <v>3</v>
      </c>
      <c r="D38" s="112" t="str">
        <f t="shared" si="2"/>
        <v>x</v>
      </c>
      <c r="E38" s="91" t="str" cm="1">
        <f t="array" aca="1" ref="E38" ca="1">CELL("address",Definitions!$A$4)</f>
        <v>'[2025-07-30_QuBA_libre.xlsx]Definitions'!$A$4</v>
      </c>
      <c r="F38" s="13">
        <f>ROWS(Definitions!$A$4:$A$5)</f>
        <v>2</v>
      </c>
      <c r="G38" s="36" t="str">
        <f t="shared" ca="1" si="3"/>
        <v>Yes
No</v>
      </c>
      <c r="H38" s="93" t="str">
        <f>Definitions!$A$4&amp;": Is the connected device typically considered as trustworthy?"&amp;CHAR(10)&amp;
Definitions!$A$5&amp;":"</f>
        <v>Yes: Is the connected device typically considered as trustworthy?
No:</v>
      </c>
      <c r="I38" s="91" t="str" cm="1">
        <f t="array" aca="1" ref="I38" ca="1">Definitions!$A$4&amp;": "&amp;CELL("address",Definitions!$A$4)</f>
        <v>Yes: '[2025-07-30_QuBA_libre.xlsx]Definitions'!$A$4</v>
      </c>
      <c r="J38" s="110" t="str">
        <f>Definitions!$A$4&amp;": "&amp;ROWS(Definitions!$A$4:$A$5)</f>
        <v>Yes: 2</v>
      </c>
      <c r="K38" s="36" t="str" cm="1">
        <f t="array" aca="1" ref="K3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IF(LEN(_xlpm._optionsRanges)&lt;=_xlpm._endOfFirstElement,"",CHAR(10)&amp;ShowResultingOptions(RIGHT(_xlpm._optionsRanges,LEN(_xlpm._optionsRanges)-_xlpm._endOfFirstElement),RIGHT(_xlpm._optionsHeights,LEN(_xlpm._optionsHeights)-_xlpm._endOfFirstElementH))))))($I38,$J38),
CHAR(10))</f>
        <v>___Yes___
Yes
No</v>
      </c>
      <c r="L38" s="93" t="str" cm="1">
        <f t="array" aca="1" ref="L38" ca="1">LEFT(INDEX($K:$K,ROW()),FIND(CHAR(10),INDEX($K:$K,ROW())))&amp;
Definitions!$A$4&amp;": Please name the party responsible for the trusted device:"&amp;CHAR(10)&amp;
Definitions!$A$5&amp;":"</f>
        <v>___Yes___
Yes: Please name the party responsible for the trusted device:
No:</v>
      </c>
      <c r="M38" s="13" t="s">
        <v>1197</v>
      </c>
      <c r="N38" s="13"/>
      <c r="O38" s="13" cm="1">
        <f t="array" ref="O38">CreateID($O$3,$O:$O,$A38&lt;&gt;"")</f>
        <v>35</v>
      </c>
      <c r="P38" s="13" cm="1">
        <f t="array" ref="P38">CreateTaskID($P$3,$P:$P,Tasks!$B$17,$N38)</f>
        <v>0</v>
      </c>
      <c r="Q38" s="13" t="b" cm="1">
        <f t="array" aca="1" ref="Q38" ca="1">IF($M38="",FALSE,CheckRelevance(SanitizeInput($M38),Questionnaire!$AA:$AA))</f>
        <v>0</v>
      </c>
      <c r="R38" s="23" cm="1">
        <f t="array" ref="R38">CreateID($R$3,$R:$R,AND($A38&lt;&gt;"",$D38&lt;&gt;""))</f>
        <v>19</v>
      </c>
    </row>
    <row r="39" spans="1:18" ht="48.75" x14ac:dyDescent="0.25">
      <c r="A39" s="13" t="s">
        <v>1045</v>
      </c>
      <c r="B39" s="13" t="s">
        <v>70</v>
      </c>
      <c r="C39" s="13">
        <v>3</v>
      </c>
      <c r="D39" s="112" t="str">
        <f t="shared" si="2"/>
        <v>x</v>
      </c>
      <c r="E39" s="91" t="str" cm="1">
        <f t="array" aca="1" ref="E39" ca="1">CELL("address",Definitions!$A$4)</f>
        <v>'[2025-07-30_QuBA_libre.xlsx]Definitions'!$A$4</v>
      </c>
      <c r="F39" s="13">
        <f>ROWS(Definitions!$A$4:$A$5)</f>
        <v>2</v>
      </c>
      <c r="G39" s="36" t="str">
        <f t="shared" ca="1" si="3"/>
        <v>Yes
No</v>
      </c>
      <c r="H39" s="93" t="str">
        <f>Definitions!$A$4&amp;": Are the devices in the local network considered as trustworthy according to the intended use of the product?"&amp;CHAR(10)&amp;
Definitions!$A$5&amp;":"</f>
        <v>Yes: Are the devices in the local network considered as trustworthy according to the intended use of the product?
No:</v>
      </c>
      <c r="I39" s="91" t="str" cm="1">
        <f t="array" aca="1" ref="I39" ca="1">Definitions!$A$4&amp;": "&amp;CELL("address",Definitions!$A$4)</f>
        <v>Yes: '[2025-07-30_QuBA_libre.xlsx]Definitions'!$A$4</v>
      </c>
      <c r="J39" s="110" t="str">
        <f>Definitions!$A$4&amp;": "&amp;ROWS(Definitions!$A$4:$A$5)</f>
        <v>Yes: 2</v>
      </c>
      <c r="K39" s="36" t="str" cm="1">
        <f t="array" aca="1" ref="K3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IF(LEN(_xlpm._optionsRanges)&lt;=_xlpm._endOfFirstElement,"",CHAR(10)&amp;ShowResultingOptions(RIGHT(_xlpm._optionsRanges,LEN(_xlpm._optionsRanges)-_xlpm._endOfFirstElement),RIGHT(_xlpm._optionsHeights,LEN(_xlpm._optionsHeights)-_xlpm._endOfFirstElementH))))))($I39,$J39),
CHAR(10))</f>
        <v>___Yes___
Yes
No</v>
      </c>
      <c r="L39" s="93" t="str" cm="1">
        <f t="array" aca="1" ref="L39" ca="1">LEFT(INDEX($K:$K,ROW()),FIND(CHAR(10),INDEX($K:$K,ROW())))&amp;
Definitions!$A$4&amp;": Please name the party responsible for the trusted network:"&amp;CHAR(10)&amp;
Definitions!$A$5&amp;":"</f>
        <v>___Yes___
Yes: Please name the party responsible for the trusted network:
No:</v>
      </c>
      <c r="M39" s="13" t="s">
        <v>1197</v>
      </c>
      <c r="N39" s="13"/>
      <c r="O39" s="13" cm="1">
        <f t="array" ref="O39">CreateID($O$3,$O:$O,$A39&lt;&gt;"")</f>
        <v>36</v>
      </c>
      <c r="P39" s="13" cm="1">
        <f t="array" ref="P39">CreateTaskID($P$3,$P:$P,Tasks!$B$17,$N39)</f>
        <v>0</v>
      </c>
      <c r="Q39" s="13" t="b" cm="1">
        <f t="array" aca="1" ref="Q39" ca="1">IF($M39="",FALSE,CheckRelevance(SanitizeInput($M39),Questionnaire!$AA:$AA))</f>
        <v>0</v>
      </c>
      <c r="R39" s="23" cm="1">
        <f t="array" ref="R39">CreateID($R$3,$R:$R,AND($A39&lt;&gt;"",$D39&lt;&gt;""))</f>
        <v>20</v>
      </c>
    </row>
    <row r="40" spans="1:18" ht="48.75" x14ac:dyDescent="0.25">
      <c r="A40" s="13" t="s">
        <v>1047</v>
      </c>
      <c r="B40" s="13" t="s">
        <v>71</v>
      </c>
      <c r="C40" s="13">
        <v>3</v>
      </c>
      <c r="D40" s="112" t="str">
        <f t="shared" si="2"/>
        <v>x</v>
      </c>
      <c r="E40" s="91" t="str" cm="1">
        <f t="array" aca="1" ref="E40" ca="1">CELL("address",Definitions!$A$4)</f>
        <v>'[2025-07-30_QuBA_libre.xlsx]Definitions'!$A$4</v>
      </c>
      <c r="F40" s="13">
        <f>ROWS(Definitions!$A$4:$A$5)</f>
        <v>2</v>
      </c>
      <c r="G40" s="36" t="str">
        <f t="shared" ca="1" si="3"/>
        <v>Yes
No</v>
      </c>
      <c r="H40" s="93" t="str">
        <f>Definitions!$A$4&amp;": Is the access to the network restricted and are the devices in the network considered as trustworthy?"&amp;CHAR(10)&amp;
Definitions!$A$5&amp;":"</f>
        <v>Yes: Is the access to the network restricted and are the devices in the network considered as trustworthy?
No:</v>
      </c>
      <c r="I40" s="91" t="str" cm="1">
        <f t="array" aca="1" ref="I40" ca="1">Definitions!$A$4&amp;": "&amp;CELL("address",Definitions!$A$4)</f>
        <v>Yes: '[2025-07-30_QuBA_libre.xlsx]Definitions'!$A$4</v>
      </c>
      <c r="J40" s="110" t="str">
        <f>Definitions!$A$4&amp;": "&amp;ROWS(Definitions!$A$4:$A$5)</f>
        <v>Yes: 2</v>
      </c>
      <c r="K40" s="36" t="str" cm="1">
        <f t="array" aca="1" ref="K4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IF(LEN(_xlpm._optionsRanges)&lt;=_xlpm._endOfFirstElement,"",CHAR(10)&amp;ShowResultingOptions(RIGHT(_xlpm._optionsRanges,LEN(_xlpm._optionsRanges)-_xlpm._endOfFirstElement),RIGHT(_xlpm._optionsHeights,LEN(_xlpm._optionsHeights)-_xlpm._endOfFirstElementH))))))($I40,$J40),
CHAR(10))</f>
        <v>___Yes___
Yes
No</v>
      </c>
      <c r="L40" s="93" t="str" cm="1">
        <f t="array" aca="1" ref="L40" ca="1">LEFT(INDEX($K:$K,ROW()),FIND(CHAR(10),INDEX($K:$K,ROW())))&amp;
Definitions!$A$4&amp;": Please describe the wireless technologies and the device's role in the network (client / access point / …)  as well as the party responsible for the trusted network:"&amp;CHAR(10)&amp;
Definitions!$A$5&amp;": Please describe the wireless technologies and the device's role in the network (client / access point / …):"</f>
        <v>___Yes___
Yes: Please describe the wireless technologies and the device's role in the network (client / access point / …)  as well as the party responsible for the trusted network:
No: Please describe the wireless technologies and the device's role in the network (client / access point / …):</v>
      </c>
      <c r="M40" s="13" t="s">
        <v>1197</v>
      </c>
      <c r="N40" s="13"/>
      <c r="O40" s="13" cm="1">
        <f t="array" ref="O40">CreateID($O$3,$O:$O,$A40&lt;&gt;"")</f>
        <v>37</v>
      </c>
      <c r="P40" s="13" cm="1">
        <f t="array" ref="P40">CreateTaskID($P$3,$P:$P,Tasks!$B$17,$N40)</f>
        <v>0</v>
      </c>
      <c r="Q40" s="13" t="b" cm="1">
        <f t="array" aca="1" ref="Q40" ca="1">IF($M40="",FALSE,CheckRelevance(SanitizeInput($M40),Questionnaire!$AA:$AA))</f>
        <v>0</v>
      </c>
      <c r="R40" s="23" cm="1">
        <f t="array" ref="R40">CreateID($R$3,$R:$R,AND($A40&lt;&gt;"",$D40&lt;&gt;""))</f>
        <v>21</v>
      </c>
    </row>
    <row r="41" spans="1:18" ht="36.75" x14ac:dyDescent="0.25">
      <c r="A41" s="13" t="s">
        <v>1048</v>
      </c>
      <c r="B41" s="13" t="s">
        <v>72</v>
      </c>
      <c r="C41" s="13">
        <v>3</v>
      </c>
      <c r="D41" s="112" t="str">
        <f t="shared" si="2"/>
        <v>x</v>
      </c>
      <c r="E41" s="91" t="str" cm="1">
        <f t="array" aca="1" ref="E41" ca="1">CELL("address",Definitions!$A$4)</f>
        <v>'[2025-07-30_QuBA_libre.xlsx]Definitions'!$A$4</v>
      </c>
      <c r="F41" s="13">
        <f>ROWS(Definitions!$A$4:$A$5)</f>
        <v>2</v>
      </c>
      <c r="G41" s="36" t="str">
        <f t="shared" ca="1" si="3"/>
        <v>Yes
No</v>
      </c>
      <c r="H41" s="93" t="str">
        <f>Definitions!$A$4&amp;":"&amp;CHAR(10)&amp;
Definitions!$A$5&amp;":"</f>
        <v>Yes:
No:</v>
      </c>
      <c r="I41" s="91" t="str">
        <f>Definitions!$A$4&amp;":"</f>
        <v>Yes:</v>
      </c>
      <c r="J41" s="110" t="str">
        <f>Definitions!$A$4&amp;": 0"</f>
        <v>Yes: 0</v>
      </c>
      <c r="K41" s="36" t="str" cm="1">
        <f t="array" aca="1" ref="K4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IF(LEN(_xlpm._optionsRanges)&lt;=_xlpm._endOfFirstElement,"",CHAR(10)&amp;ShowResultingOptions(RIGHT(_xlpm._optionsRanges,LEN(_xlpm._optionsRanges)-_xlpm._endOfFirstElement),RIGHT(_xlpm._optionsHeights,LEN(_xlpm._optionsHeights)-_xlpm._endOfFirstElementH))))))($I41,$J41),
CHAR(10))</f>
        <v>___Yes___</v>
      </c>
      <c r="L41" s="93" t="str" cm="1">
        <f t="array" aca="1" ref="L41" ca="1">LEFT(INDEX($K:$K,ROW()),FIND(CHAR(10),INDEX($K:$K,ROW())&amp;CHAR(10)))&amp;"
*: Please describe the network technologies in use:"</f>
        <v>___Yes___
*: Please describe the network technologies in use:</v>
      </c>
      <c r="M41" s="13" t="s">
        <v>1197</v>
      </c>
      <c r="N41" s="13"/>
      <c r="O41" s="13" cm="1">
        <f t="array" ref="O41">CreateID($O$3,$O:$O,$A41&lt;&gt;"")</f>
        <v>38</v>
      </c>
      <c r="P41" s="13" cm="1">
        <f t="array" ref="P41">CreateTaskID($P$3,$P:$P,Tasks!$B$17,$N41)</f>
        <v>0</v>
      </c>
      <c r="Q41" s="13" t="b" cm="1">
        <f t="array" aca="1" ref="Q41" ca="1">IF($M41="",FALSE,CheckRelevance(SanitizeInput($M41),Questionnaire!$AA:$AA))</f>
        <v>0</v>
      </c>
      <c r="R41" s="23" cm="1">
        <f t="array" ref="R41">CreateID($R$3,$R:$R,AND($A41&lt;&gt;"",$D41&lt;&gt;""))</f>
        <v>22</v>
      </c>
    </row>
    <row r="42" spans="1:18" x14ac:dyDescent="0.25">
      <c r="A42" s="13" t="s">
        <v>1176</v>
      </c>
      <c r="B42" s="13" t="s">
        <v>8</v>
      </c>
      <c r="C42" s="13">
        <v>0</v>
      </c>
      <c r="D42" s="112" t="str">
        <f t="shared" si="2"/>
        <v/>
      </c>
      <c r="E42" s="91"/>
      <c r="F42" s="13"/>
      <c r="G42" s="36" t="str">
        <f t="shared" ca="1" si="3"/>
        <v/>
      </c>
      <c r="H42" s="93"/>
      <c r="I42" s="91"/>
      <c r="J42" s="110"/>
      <c r="K42" s="36" t="str" cm="1">
        <f t="array" aca="1" ref="K4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IF(LEN(_xlpm._optionsRanges)&lt;=_xlpm._endOfFirstElement,"",CHAR(10)&amp;ShowResultingOptions(RIGHT(_xlpm._optionsRanges,LEN(_xlpm._optionsRanges)-_xlpm._endOfFirstElement),RIGHT(_xlpm._optionsHeights,LEN(_xlpm._optionsHeights)-_xlpm._endOfFirstElementH))))))($I42,$J42),
CHAR(10))</f>
        <v/>
      </c>
      <c r="L42" s="93"/>
      <c r="M42" s="13" t="s">
        <v>1197</v>
      </c>
      <c r="N42" s="13"/>
      <c r="O42" s="13" cm="1">
        <f t="array" ref="O42">CreateID($O$3,$O:$O,$A42&lt;&gt;"")</f>
        <v>39</v>
      </c>
      <c r="P42" s="13" cm="1">
        <f t="array" ref="P42">CreateTaskID($P$3,$P:$P,Tasks!$B$17,$N42)</f>
        <v>0</v>
      </c>
      <c r="Q42" s="13" t="b" cm="1">
        <f t="array" aca="1" ref="Q42" ca="1">IF($M42="",FALSE,CheckRelevance(SanitizeInput($M42),Questionnaire!$AA:$AA))</f>
        <v>0</v>
      </c>
      <c r="R42" s="23" cm="1">
        <f t="array" ref="R42">CreateID($R$3,$R:$R,AND($A42&lt;&gt;"",$D42&lt;&gt;""))</f>
        <v>22</v>
      </c>
    </row>
    <row r="43" spans="1:18" ht="36.75" x14ac:dyDescent="0.25">
      <c r="A43" s="13" t="s">
        <v>1049</v>
      </c>
      <c r="B43" s="13" t="s">
        <v>73</v>
      </c>
      <c r="C43" s="13">
        <v>3</v>
      </c>
      <c r="D43" s="112" t="str">
        <f t="shared" si="2"/>
        <v>x</v>
      </c>
      <c r="E43" s="91" t="str" cm="1">
        <f t="array" aca="1" ref="E43" ca="1">CELL("address",Definitions!$A$4)</f>
        <v>'[2025-07-30_QuBA_libre.xlsx]Definitions'!$A$4</v>
      </c>
      <c r="F43" s="13">
        <f>ROWS(Definitions!$A$4:$A$5)</f>
        <v>2</v>
      </c>
      <c r="G43" s="36" t="str">
        <f t="shared" ca="1" si="3"/>
        <v>Yes
No</v>
      </c>
      <c r="H43" s="93" t="str">
        <f>Definitions!$A$4&amp;":"&amp;CHAR(10)&amp;
Definitions!$A$5&amp;":"</f>
        <v>Yes:
No:</v>
      </c>
      <c r="I43" s="91"/>
      <c r="J43" s="110"/>
      <c r="K43" s="36" t="str" cm="1">
        <f t="array" aca="1" ref="K4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IF(LEN(_xlpm._optionsRanges)&lt;=_xlpm._endOfFirstElement,"",CHAR(10)&amp;ShowResultingOptions(RIGHT(_xlpm._optionsRanges,LEN(_xlpm._optionsRanges)-_xlpm._endOfFirstElement),RIGHT(_xlpm._optionsHeights,LEN(_xlpm._optionsHeights)-_xlpm._endOfFirstElementH))))))($I43,$J43),
CHAR(10))</f>
        <v/>
      </c>
      <c r="L43" s="93"/>
      <c r="M43" s="13" t="s">
        <v>1197</v>
      </c>
      <c r="N43" s="13"/>
      <c r="O43" s="13" cm="1">
        <f t="array" ref="O43">CreateID($O$3,$O:$O,$A43&lt;&gt;"")</f>
        <v>40</v>
      </c>
      <c r="P43" s="13" cm="1">
        <f t="array" ref="P43">CreateTaskID($P$3,$P:$P,Tasks!$B$17,$N43)</f>
        <v>0</v>
      </c>
      <c r="Q43" s="13" t="b" cm="1">
        <f t="array" aca="1" ref="Q43" ca="1">IF($M43="",FALSE,CheckRelevance(SanitizeInput($M43),Questionnaire!$AA:$AA))</f>
        <v>0</v>
      </c>
      <c r="R43" s="23" cm="1">
        <f t="array" ref="R43">CreateID($R$3,$R:$R,AND($A43&lt;&gt;"",$D43&lt;&gt;""))</f>
        <v>23</v>
      </c>
    </row>
    <row r="44" spans="1:18" ht="36.75" x14ac:dyDescent="0.25">
      <c r="A44" s="13" t="s">
        <v>1052</v>
      </c>
      <c r="B44" s="13" t="s">
        <v>74</v>
      </c>
      <c r="C44" s="13">
        <v>6</v>
      </c>
      <c r="D44" s="112" t="str">
        <f t="shared" si="2"/>
        <v>x</v>
      </c>
      <c r="E44" s="91" t="str" cm="1">
        <f t="array" aca="1" ref="E44" ca="1">CELL("address",Definitions!$A$4)</f>
        <v>'[2025-07-30_QuBA_libre.xlsx]Definitions'!$A$4</v>
      </c>
      <c r="F44" s="13">
        <f>ROWS(Definitions!$A$4:$A$5)</f>
        <v>2</v>
      </c>
      <c r="G44" s="36" t="str">
        <f t="shared" ca="1" si="3"/>
        <v>Yes
No</v>
      </c>
      <c r="H44" s="93" t="str">
        <f>Definitions!$A$4&amp;": Is the configuration interface protected against unwanted write access?"&amp;CHAR(10)&amp;
Definitions!$A$5&amp;":"</f>
        <v>Yes: Is the configuration interface protected against unwanted write access?
No:</v>
      </c>
      <c r="I44" s="91" t="str" cm="1">
        <f t="array" aca="1" ref="I44" ca="1">Definitions!$A$4&amp;": "&amp;CELL("address",Definitions!$A$4)</f>
        <v>Yes: '[2025-07-30_QuBA_libre.xlsx]Definitions'!$A$4</v>
      </c>
      <c r="J44" s="110" t="str">
        <f>Definitions!$A$4&amp;": "&amp;ROWS(Definitions!$A$4:$A$5)</f>
        <v>Yes: 2</v>
      </c>
      <c r="K44" s="36" t="str" cm="1">
        <f t="array" aca="1" ref="K4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IF(LEN(_xlpm._optionsRanges)&lt;=_xlpm._endOfFirstElement,"",CHAR(10)&amp;ShowResultingOptions(RIGHT(_xlpm._optionsRanges,LEN(_xlpm._optionsRanges)-_xlpm._endOfFirstElement),RIGHT(_xlpm._optionsHeights,LEN(_xlpm._optionsHeights)-_xlpm._endOfFirstElementH))))))($I44,$J44),
CHAR(10))</f>
        <v>___Yes___
Yes
No</v>
      </c>
      <c r="L44" s="93" t="str" cm="1">
        <f t="array" aca="1" ref="L44" ca="1">LEFT(INDEX($K:$K,ROW()),FIND(CHAR(10),INDEX($K:$K,ROW())&amp;CHAR(10)))&amp;
Definitions!$A$4&amp;": Please describe the kind of protection and the parties allowed to access the configuration interface:"&amp;CHAR(10)&amp;
Definitions!$A$5&amp;":"</f>
        <v>___Yes___
Yes: Please describe the kind of protection and the parties allowed to access the configuration interface:
No:</v>
      </c>
      <c r="M44" s="13" t="s">
        <v>1197</v>
      </c>
      <c r="N44" s="13"/>
      <c r="O44" s="13" cm="1">
        <f t="array" ref="O44">CreateID($O$3,$O:$O,$A44&lt;&gt;"")</f>
        <v>41</v>
      </c>
      <c r="P44" s="13" cm="1">
        <f t="array" ref="P44">CreateTaskID($P$3,$P:$P,Tasks!$B$17,$N44)</f>
        <v>0</v>
      </c>
      <c r="Q44" s="13" t="b" cm="1">
        <f t="array" aca="1" ref="Q44" ca="1">IF($M44="",FALSE,CheckRelevance(SanitizeInput($M44),Questionnaire!$AA:$AA))</f>
        <v>0</v>
      </c>
      <c r="R44" s="23" cm="1">
        <f t="array" ref="R44">CreateID($R$3,$R:$R,AND($A44&lt;&gt;"",$D44&lt;&gt;""))</f>
        <v>24</v>
      </c>
    </row>
    <row r="45" spans="1:18" ht="36.75" x14ac:dyDescent="0.25">
      <c r="A45" s="13" t="s">
        <v>1054</v>
      </c>
      <c r="B45" s="13" t="s">
        <v>75</v>
      </c>
      <c r="C45" s="13">
        <v>6</v>
      </c>
      <c r="D45" s="112" t="str">
        <f t="shared" si="2"/>
        <v>x</v>
      </c>
      <c r="E45" s="91" t="str" cm="1">
        <f t="array" aca="1" ref="E45" ca="1">CELL("address",Definitions!$A$4)</f>
        <v>'[2025-07-30_QuBA_libre.xlsx]Definitions'!$A$4</v>
      </c>
      <c r="F45" s="13">
        <f>ROWS(Definitions!$A$4:$A$5)</f>
        <v>2</v>
      </c>
      <c r="G45" s="36" t="str">
        <f t="shared" ca="1" si="3"/>
        <v>Yes
No</v>
      </c>
      <c r="H45" s="93" t="str">
        <f>Definitions!$A$4&amp;":"&amp;CHAR(10)&amp;
Definitions!$A$5&amp;":"</f>
        <v>Yes:
No:</v>
      </c>
      <c r="I45" s="91" t="str">
        <f>Definitions!$A$4&amp;":"</f>
        <v>Yes:</v>
      </c>
      <c r="J45" s="110" t="str">
        <f>Definitions!$A$4&amp;": 0"</f>
        <v>Yes: 0</v>
      </c>
      <c r="K45" s="36" t="str" cm="1">
        <f t="array" aca="1" ref="K4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IF(LEN(_xlpm._optionsRanges)&lt;=_xlpm._endOfFirstElement,"",CHAR(10)&amp;ShowResultingOptions(RIGHT(_xlpm._optionsRanges,LEN(_xlpm._optionsRanges)-_xlpm._endOfFirstElement),RIGHT(_xlpm._optionsHeights,LEN(_xlpm._optionsHeights)-_xlpm._endOfFirstElementH))))))($I45,$J45),
CHAR(10))</f>
        <v>___Yes___</v>
      </c>
      <c r="L45" s="93" t="str" cm="1">
        <f t="array" aca="1" ref="L45" ca="1">LEFT(INDEX($K:$K,ROW()),FIND(CHAR(10),INDEX($K:$K,ROW())&amp;CHAR(10)))&amp;"
*: Please name the supported protocols:"</f>
        <v>___Yes___
*: Please name the supported protocols:</v>
      </c>
      <c r="M45" s="13" t="s">
        <v>1200</v>
      </c>
      <c r="N45" s="13"/>
      <c r="O45" s="13" cm="1">
        <f t="array" ref="O45">CreateID($O$3,$O:$O,$A45&lt;&gt;"")</f>
        <v>42</v>
      </c>
      <c r="P45" s="13" cm="1">
        <f t="array" ref="P45">CreateTaskID($P$3,$P:$P,Tasks!$B$17,$N45)</f>
        <v>0</v>
      </c>
      <c r="Q45" s="13" t="b" cm="1">
        <f t="array" aca="1" ref="Q45" ca="1">IF($M45="",FALSE,CheckRelevance(SanitizeInput($M45),Questionnaire!$AA:$AA))</f>
        <v>0</v>
      </c>
      <c r="R45" s="23" cm="1">
        <f t="array" ref="R45">CreateID($R$3,$R:$R,AND($A45&lt;&gt;"",$D45&lt;&gt;""))</f>
        <v>25</v>
      </c>
    </row>
    <row r="46" spans="1:18" ht="45" x14ac:dyDescent="0.25">
      <c r="A46" s="13" t="s">
        <v>1244</v>
      </c>
      <c r="B46" s="13" t="s">
        <v>1246</v>
      </c>
      <c r="C46" s="13">
        <v>6</v>
      </c>
      <c r="D46" s="112" t="str">
        <f t="shared" si="2"/>
        <v>x</v>
      </c>
      <c r="E46" s="91" t="str" cm="1">
        <f t="array" aca="1" ref="E46" ca="1">CELL("address",Definitions!$A$4)</f>
        <v>'[2025-07-30_QuBA_libre.xlsx]Definitions'!$A$4</v>
      </c>
      <c r="F46" s="13">
        <f>ROWS(Definitions!$A$4:$A$5)</f>
        <v>2</v>
      </c>
      <c r="G46" s="36" t="str">
        <f t="shared" ca="1" si="3"/>
        <v>Yes
No</v>
      </c>
      <c r="H46" s="93" t="str">
        <f>Definitions!$A$4&amp;": Is the external system considered as trustworthy? In case of several systems, consider the worst case."&amp;CHAR(10)&amp;
Definitions!$A$5&amp;":"</f>
        <v>Yes: Is the external system considered as trustworthy? In case of several systems, consider the worst case.
No:</v>
      </c>
      <c r="I46" s="91" t="str" cm="1">
        <f t="array" aca="1" ref="I46" ca="1">Definitions!$A$4&amp;": "&amp;CELL("address",Definitions!$A$4)</f>
        <v>Yes: '[2025-07-30_QuBA_libre.xlsx]Definitions'!$A$4</v>
      </c>
      <c r="J46" s="110" t="str">
        <f>Definitions!$A$4&amp;": "&amp;ROWS(Definitions!$A$4:$A$5)</f>
        <v>Yes: 2</v>
      </c>
      <c r="K46" s="36" t="str" cm="1">
        <f t="array" aca="1" ref="K4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IF(LEN(_xlpm._optionsRanges)&lt;=_xlpm._endOfFirstElement,"",CHAR(10)&amp;ShowResultingOptions(RIGHT(_xlpm._optionsRanges,LEN(_xlpm._optionsRanges)-_xlpm._endOfFirstElement),RIGHT(_xlpm._optionsHeights,LEN(_xlpm._optionsHeights)-_xlpm._endOfFirstElementH))))))($I46,$J46),
CHAR(10))</f>
        <v>___Yes___
Yes
No</v>
      </c>
      <c r="L46" s="93" t="str" cm="1">
        <f t="array" aca="1" ref="L46" ca="1">LEFT(INDEX($K:$K,ROW()),FIND(CHAR(10),INDEX($K:$K,ROW())&amp;CHAR(10)))&amp;
Definitions!$A$4&amp;": Please describe the interactions and the exchanged data:"&amp;CHAR(10)&amp;
Definitions!$A$5&amp;": Please describe the interactions and the exchanged data:"</f>
        <v>___Yes___
Yes: Please describe the interactions and the exchanged data:
No: Please describe the interactions and the exchanged data:</v>
      </c>
      <c r="M46" s="13" t="s">
        <v>1197</v>
      </c>
      <c r="N46" s="13"/>
      <c r="O46" s="13" cm="1">
        <f t="array" ref="O46">CreateID($O$3,$O:$O,$A46&lt;&gt;"")</f>
        <v>43</v>
      </c>
      <c r="P46" s="13" cm="1">
        <f t="array" ref="P46">CreateTaskID($P$3,$P:$P,Tasks!$B$17,$N46)</f>
        <v>0</v>
      </c>
      <c r="Q46" s="13" t="b" cm="1">
        <f t="array" aca="1" ref="Q46" ca="1">IF($M46="",FALSE,CheckRelevance(SanitizeInput($M46),Questionnaire!$AA:$AA))</f>
        <v>0</v>
      </c>
      <c r="R46" s="23" cm="1">
        <f t="array" ref="R46">CreateID($R$3,$R:$R,AND($A46&lt;&gt;"",$D46&lt;&gt;""))</f>
        <v>26</v>
      </c>
    </row>
    <row r="47" spans="1:18" ht="60" x14ac:dyDescent="0.25">
      <c r="A47" s="13" t="s">
        <v>1245</v>
      </c>
      <c r="B47" s="13" t="str">
        <f>"Does the product communicate with an external system on the Internet (e.g., an untrusted 3rd party backend, a "&amp;Definitions!$C$4&amp;" cloud service, a "&amp;Definitions!$C$4&amp;" server system)?"</f>
        <v>Does the product communicate with an external system on the Internet (e.g., an untrusted 3rd party backend, a &lt;OEM name&gt; cloud service, a &lt;OEM name&gt; server system)?</v>
      </c>
      <c r="C47" s="13">
        <v>6</v>
      </c>
      <c r="D47" s="111" t="str">
        <f>IF($A47="","",IF(LEFT($A47,1)="Q","x",""))</f>
        <v>x</v>
      </c>
      <c r="E47" s="91" t="str" cm="1">
        <f t="array" aca="1" ref="E47" ca="1">CELL("address",Definitions!$A$4)</f>
        <v>'[2025-07-30_QuBA_libre.xlsx]Definitions'!$A$4</v>
      </c>
      <c r="F47" s="13">
        <f>ROWS(Definitions!$A$4:$A$5)</f>
        <v>2</v>
      </c>
      <c r="G47" s="37" t="str">
        <f ca="1">IF($E47="","",_xlfn.TEXTJOIN(CHAR(10),TRUE,OFFSET(INDIRECT($E47),0,0,$F47,1)))</f>
        <v>Yes
No</v>
      </c>
      <c r="H47" s="93" t="str">
        <f>Definitions!$A$4&amp;": Is the external system considered as trustworthy? In case of several systems, consider the worst case."&amp;CHAR(10)&amp;
Definitions!$A$5&amp;":"</f>
        <v>Yes: Is the external system considered as trustworthy? In case of several systems, consider the worst case.
No:</v>
      </c>
      <c r="I47" s="91" t="str" cm="1">
        <f t="array" aca="1" ref="I47" ca="1">Definitions!$A$4&amp;": "&amp;CELL("address",Definitions!$A$4)</f>
        <v>Yes: '[2025-07-30_QuBA_libre.xlsx]Definitions'!$A$4</v>
      </c>
      <c r="J47" s="110" t="str">
        <f>Definitions!$A$4&amp;": "&amp;ROWS(Definitions!$A$4:$A$5)</f>
        <v>Yes: 2</v>
      </c>
      <c r="K47" s="37" t="str" cm="1">
        <f t="array" aca="1" ref="K4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IF(LEN(_xlpm._optionsRanges)&lt;=_xlpm._endOfFirstElement,"",CHAR(10)&amp;ShowResultingOptions(RIGHT(_xlpm._optionsRanges,LEN(_xlpm._optionsRanges)-_xlpm._endOfFirstElement),RIGHT(_xlpm._optionsHeights,LEN(_xlpm._optionsHeights)-_xlpm._endOfFirstElementH))))))($I47,$J47),
CHAR(10))</f>
        <v>___Yes___
Yes
No</v>
      </c>
      <c r="L47" s="93" t="str" cm="1">
        <f t="array" aca="1" ref="L47" ca="1">LEFT(INDEX($K:$K,ROW()),FIND(CHAR(10),INDEX($K:$K,ROW())&amp;CHAR(10)))&amp;
Definitions!$A$4&amp;": Please describe the interactions and the exchanged data:"&amp;CHAR(10)&amp;
Definitions!$A$5&amp;": Please describe the interactions and the exchanged data:"</f>
        <v>___Yes___
Yes: Please describe the interactions and the exchanged data:
No: Please describe the interactions and the exchanged data:</v>
      </c>
      <c r="M47" s="13" t="s">
        <v>1197</v>
      </c>
      <c r="N47" s="13"/>
      <c r="O47" s="23" cm="1">
        <f t="array" ref="O47">CreateID($O$3,$O:$O,$A47&lt;&gt;"")</f>
        <v>44</v>
      </c>
      <c r="P47" s="23" cm="1">
        <f t="array" ref="P47">CreateTaskID($P$3,$P:$P,Tasks!$B$17,$N47)</f>
        <v>0</v>
      </c>
      <c r="Q47" s="23" t="b" cm="1">
        <f t="array" aca="1" ref="Q47" ca="1">IF($M47="",FALSE,CheckRelevance(SanitizeInput($M47),Questionnaire!$AA:$AA))</f>
        <v>0</v>
      </c>
      <c r="R47" s="23" cm="1">
        <f t="array" ref="R47">CreateID($R$3,$R:$R,AND($A47&lt;&gt;"",$D47&lt;&gt;""))</f>
        <v>27</v>
      </c>
    </row>
    <row r="48" spans="1:18" ht="48.75" x14ac:dyDescent="0.25">
      <c r="A48" s="13" t="s">
        <v>1377</v>
      </c>
      <c r="B48" s="13" t="s">
        <v>76</v>
      </c>
      <c r="C48" s="13">
        <v>6</v>
      </c>
      <c r="D48" s="112" t="str">
        <f t="shared" si="2"/>
        <v>x</v>
      </c>
      <c r="E48" s="91" t="str" cm="1">
        <f t="array" aca="1" ref="E48" ca="1">CELL("address",Definitions!$A$4)</f>
        <v>'[2025-07-30_QuBA_libre.xlsx]Definitions'!$A$4</v>
      </c>
      <c r="F48" s="13">
        <f>ROWS(Definitions!$A$4:$A$5)</f>
        <v>2</v>
      </c>
      <c r="G48" s="36" t="str">
        <f t="shared" ca="1" si="3"/>
        <v>Yes
No</v>
      </c>
      <c r="H48" s="93" t="str">
        <f>Definitions!$A$4&amp;": Does the software originate from a trustworthy source (e.g., the "&amp;Definitions!$C$4&amp;" backend, potentially over multiple communication media)?"&amp;CHAR(10)&amp;
Definitions!$A$5&amp;":"</f>
        <v>Yes: Does the software originate from a trustworthy source (e.g., the &lt;OEM name&gt; backend, potentially over multiple communication media)?
No:</v>
      </c>
      <c r="I48" s="91" t="str" cm="1">
        <f t="array" aca="1" ref="I48" ca="1">Definitions!$A$4&amp;": "&amp;CELL("address",Definitions!$A$4)</f>
        <v>Yes: '[2025-07-30_QuBA_libre.xlsx]Definitions'!$A$4</v>
      </c>
      <c r="J48" s="110" t="str">
        <f>Definitions!$A$4&amp;": "&amp;ROWS(Definitions!$A$4:$A$5)</f>
        <v>Yes: 2</v>
      </c>
      <c r="K48" s="36" t="str" cm="1">
        <f t="array" aca="1" ref="K4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IF(LEN(_xlpm._optionsRanges)&lt;=_xlpm._endOfFirstElement,"",CHAR(10)&amp;ShowResultingOptions(RIGHT(_xlpm._optionsRanges,LEN(_xlpm._optionsRanges)-_xlpm._endOfFirstElement),RIGHT(_xlpm._optionsHeights,LEN(_xlpm._optionsHeights)-_xlpm._endOfFirstElementH))))))($I48,$J48),
CHAR(10))</f>
        <v>___Yes___
Yes
No</v>
      </c>
      <c r="L48" s="93" t="str" cm="1">
        <f t="array" aca="1" ref="L48" ca="1">LEFT(INDEX($K:$K,ROW()),FIND(CHAR(10),INDEX($K:$K,ROW())&amp;CHAR(10)))&amp;
Definitions!$A$4&amp;": Who is the trustworthy party creating and providing the updates?"&amp;CHAR(10)&amp;
Definitions!$A$5&amp;":"</f>
        <v>___Yes___
Yes: Who is the trustworthy party creating and providing the updates?
No:</v>
      </c>
      <c r="M48" s="13" t="s">
        <v>1197</v>
      </c>
      <c r="N48" s="13"/>
      <c r="O48" s="13" cm="1">
        <f t="array" ref="O48">CreateID($O$3,$O:$O,$A48&lt;&gt;"")</f>
        <v>45</v>
      </c>
      <c r="P48" s="13" cm="1">
        <f t="array" ref="P48">CreateTaskID($P$3,$P:$P,Tasks!$B$17,$N48)</f>
        <v>0</v>
      </c>
      <c r="Q48" s="13" t="b" cm="1">
        <f t="array" aca="1" ref="Q48" ca="1">IF($M48="",FALSE,CheckRelevance(SanitizeInput($M48),Questionnaire!$AA:$AA))</f>
        <v>0</v>
      </c>
      <c r="R48" s="23" cm="1">
        <f t="array" ref="R48">CreateID($R$3,$R:$R,AND($A48&lt;&gt;"",$D48&lt;&gt;""))</f>
        <v>28</v>
      </c>
    </row>
    <row r="49" spans="1:18" ht="36.75" x14ac:dyDescent="0.25">
      <c r="A49" s="13" t="s">
        <v>1378</v>
      </c>
      <c r="B49" s="13" t="s">
        <v>1379</v>
      </c>
      <c r="C49" s="13">
        <v>6</v>
      </c>
      <c r="D49" s="111" t="str">
        <f>IF($A49="","",IF(LEFT($A49,1)="Q","x",""))</f>
        <v>x</v>
      </c>
      <c r="E49" s="91" t="str" cm="1">
        <f t="array" aca="1" ref="E49" ca="1">CELL("address",Definitions!$A$4)</f>
        <v>'[2025-07-30_QuBA_libre.xlsx]Definitions'!$A$4</v>
      </c>
      <c r="F49" s="13">
        <f>ROWS(Definitions!$A$4:$A$5)</f>
        <v>2</v>
      </c>
      <c r="G49" s="37" t="str">
        <f ca="1">IF($E49="","",_xlfn.TEXTJOIN(CHAR(10),TRUE,OFFSET(INDIRECT($E49),0,0,$F49,1)))</f>
        <v>Yes
No</v>
      </c>
      <c r="H49" s="93" t="str">
        <f>Definitions!$A$4&amp;":"&amp;CHAR(10)&amp;
Definitions!$A$5&amp;": Will the product be exchanged to handle vulnerabilities or security incidents?"</f>
        <v>Yes:
No: Will the product be exchanged to handle vulnerabilities or security incidents?</v>
      </c>
      <c r="I49" s="91" t="str" cm="1">
        <f t="array" aca="1" ref="I49" ca="1">Definitions!$A$5&amp;": "&amp;CELL("address",Definitions!$A$4)</f>
        <v>No: '[2025-07-30_QuBA_libre.xlsx]Definitions'!$A$4</v>
      </c>
      <c r="J49" s="110" t="str">
        <f>Definitions!$A$5&amp;": "&amp;ROWS(Definitions!$A$4:$A$5)</f>
        <v>No: 2</v>
      </c>
      <c r="K49" s="37" t="str" cm="1">
        <f t="array" aca="1" ref="K4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IF(LEN(_xlpm._optionsRanges)&lt;=_xlpm._endOfFirstElement,"",CHAR(10)&amp;ShowResultingOptions(RIGHT(_xlpm._optionsRanges,LEN(_xlpm._optionsRanges)-_xlpm._endOfFirstElement),RIGHT(_xlpm._optionsHeights,LEN(_xlpm._optionsHeights)-_xlpm._endOfFirstElementH))))))($I49,$J49),
CHAR(10))</f>
        <v>___No___
Yes
No</v>
      </c>
      <c r="L49" s="93" t="str" cm="1">
        <f t="array" aca="1" ref="L49" ca="1">LEFT(INDEX($K:$K,ROW()),FIND(CHAR(10),INDEX($K:$K,ROW())&amp;CHAR(10)))&amp;
Definitions!$A$4&amp;":"&amp;CHAR(10)&amp;
Definitions!$A$5&amp;":"</f>
        <v>___No___
Yes:
No:</v>
      </c>
      <c r="M49" s="13" t="s">
        <v>1197</v>
      </c>
      <c r="N49" s="13"/>
      <c r="O49" s="23" cm="1">
        <f t="array" ref="O49">CreateID($O$3,$O:$O,$A49&lt;&gt;"")</f>
        <v>46</v>
      </c>
      <c r="P49" s="23" cm="1">
        <f t="array" ref="P49">CreateTaskID($P$3,$P:$P,Tasks!$B$17,$N49)</f>
        <v>0</v>
      </c>
      <c r="Q49" s="23" t="b" cm="1">
        <f t="array" aca="1" ref="Q49" ca="1">IF($M49="",FALSE,CheckRelevance(SanitizeInput($M49),Questionnaire!$AA:$AA))</f>
        <v>0</v>
      </c>
      <c r="R49" s="23" cm="1">
        <f t="array" ref="R49">CreateID($R$3,$R:$R,AND($A49&lt;&gt;"",$D49&lt;&gt;""))</f>
        <v>29</v>
      </c>
    </row>
    <row r="50" spans="1:18" ht="36.75" x14ac:dyDescent="0.25">
      <c r="A50" s="13" t="s">
        <v>1056</v>
      </c>
      <c r="B50" s="13" t="s">
        <v>658</v>
      </c>
      <c r="C50" s="13">
        <v>3</v>
      </c>
      <c r="D50" s="112" t="str">
        <f t="shared" si="2"/>
        <v>x</v>
      </c>
      <c r="E50" s="91" t="str" cm="1">
        <f t="array" aca="1" ref="E50" ca="1">CELL("address",Definitions!$A$4)</f>
        <v>'[2025-07-30_QuBA_libre.xlsx]Definitions'!$A$4</v>
      </c>
      <c r="F50" s="13">
        <f>ROWS(Definitions!$A$4:$A$5)</f>
        <v>2</v>
      </c>
      <c r="G50" s="36" t="str">
        <f t="shared" ca="1" si="3"/>
        <v>Yes
No</v>
      </c>
      <c r="H50" s="93" t="str">
        <f>Definitions!$A$4&amp;": Are the local network and the gateway considered as trustworthy?"&amp;CHAR(10)&amp;
Definitions!$A$5&amp;":"</f>
        <v>Yes: Are the local network and the gateway considered as trustworthy?
No:</v>
      </c>
      <c r="I50" s="91" t="str" cm="1">
        <f t="array" aca="1" ref="I50" ca="1">Definitions!$A$4&amp;": "&amp;CELL("address",Definitions!$A$4)</f>
        <v>Yes: '[2025-07-30_QuBA_libre.xlsx]Definitions'!$A$4</v>
      </c>
      <c r="J50" s="110" t="str">
        <f>Definitions!$A$4&amp;": "&amp;ROWS(Definitions!$A$4:$A$5)</f>
        <v>Yes: 2</v>
      </c>
      <c r="K50" s="36" t="str" cm="1">
        <f t="array" aca="1" ref="K5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IF(LEN(_xlpm._optionsRanges)&lt;=_xlpm._endOfFirstElement,"",CHAR(10)&amp;ShowResultingOptions(RIGHT(_xlpm._optionsRanges,LEN(_xlpm._optionsRanges)-_xlpm._endOfFirstElement),RIGHT(_xlpm._optionsHeights,LEN(_xlpm._optionsHeights)-_xlpm._endOfFirstElementH))))))($I50,$J50),
CHAR(10))</f>
        <v>___Yes___
Yes
No</v>
      </c>
      <c r="L50" s="93" t="str" cm="1">
        <f t="array" aca="1" ref="L50" ca="1">LEFT(INDEX($K:$K,ROW()),FIND(CHAR(10),INDEX($K:$K,ROW())&amp;CHAR(10)))&amp;
Definitions!$A$4&amp;": Who is responsible for the secure operation of the network?"&amp;CHAR(10)&amp;
Definitions!$A$5&amp;":"</f>
        <v>___Yes___
Yes: Who is responsible for the secure operation of the network?
No:</v>
      </c>
      <c r="M50" s="13" t="s">
        <v>1197</v>
      </c>
      <c r="N50" s="13"/>
      <c r="O50" s="13" cm="1">
        <f t="array" ref="O50">CreateID($O$3,$O:$O,$A50&lt;&gt;"")</f>
        <v>47</v>
      </c>
      <c r="P50" s="13" cm="1">
        <f t="array" ref="P50">CreateTaskID($P$3,$P:$P,Tasks!$B$17,$N50)</f>
        <v>0</v>
      </c>
      <c r="Q50" s="13" t="b" cm="1">
        <f t="array" aca="1" ref="Q50" ca="1">IF($M50="",FALSE,CheckRelevance(SanitizeInput($M50),Questionnaire!$AA:$AA))</f>
        <v>0</v>
      </c>
      <c r="R50" s="23" cm="1">
        <f t="array" ref="R50">CreateID($R$3,$R:$R,AND($A50&lt;&gt;"",$D50&lt;&gt;""))</f>
        <v>30</v>
      </c>
    </row>
    <row r="51" spans="1:18" ht="36.75" x14ac:dyDescent="0.25">
      <c r="A51" s="13" t="s">
        <v>1059</v>
      </c>
      <c r="B51" s="13" t="s">
        <v>659</v>
      </c>
      <c r="C51" s="13">
        <v>3</v>
      </c>
      <c r="D51" s="112" t="str">
        <f t="shared" si="2"/>
        <v>x</v>
      </c>
      <c r="E51" s="91" t="str" cm="1">
        <f t="array" aca="1" ref="E51" ca="1">CELL("address",Definitions!$A$4)</f>
        <v>'[2025-07-30_QuBA_libre.xlsx]Definitions'!$A$4</v>
      </c>
      <c r="F51" s="13">
        <f>ROWS(Definitions!$A$4:$A$5)</f>
        <v>2</v>
      </c>
      <c r="G51" s="36" t="str">
        <f t="shared" ca="1" si="3"/>
        <v>Yes
No</v>
      </c>
      <c r="H51" s="93" t="str">
        <f>Definitions!$A$4&amp;": Are the wireless network and the gateway considered as trustworthy?"&amp;CHAR(10)&amp;
Definitions!$A$5&amp;":"</f>
        <v>Yes: Are the wireless network and the gateway considered as trustworthy?
No:</v>
      </c>
      <c r="I51" s="91" t="str" cm="1">
        <f t="array" aca="1" ref="I51" ca="1">Definitions!$A$4&amp;": "&amp;CELL("address",Definitions!$A$4)</f>
        <v>Yes: '[2025-07-30_QuBA_libre.xlsx]Definitions'!$A$4</v>
      </c>
      <c r="J51" s="110" t="str">
        <f>Definitions!$A$4&amp;": "&amp;ROWS(Definitions!$A$4:$A$5)</f>
        <v>Yes: 2</v>
      </c>
      <c r="K51" s="36" t="str" cm="1">
        <f t="array" aca="1" ref="K51"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IF(LEN(_xlpm._optionsRanges)&lt;=_xlpm._endOfFirstElement,"",CHAR(10)&amp;ShowResultingOptions(RIGHT(_xlpm._optionsRanges,LEN(_xlpm._optionsRanges)-_xlpm._endOfFirstElement),RIGHT(_xlpm._optionsHeights,LEN(_xlpm._optionsHeights)-_xlpm._endOfFirstElementH))))))($I51,$J51),
CHAR(10))</f>
        <v>___Yes___
Yes
No</v>
      </c>
      <c r="L51" s="93" t="str" cm="1">
        <f t="array" aca="1" ref="L51" ca="1">LEFT(INDEX($K:$K,ROW()),FIND(CHAR(10),INDEX($K:$K,ROW())&amp;CHAR(10)))&amp;
Definitions!$A$4&amp;": Who is responsible for the secure operation of the network?"&amp;CHAR(10)&amp;
Definitions!$A$5&amp;":"</f>
        <v>___Yes___
Yes: Who is responsible for the secure operation of the network?
No:</v>
      </c>
      <c r="M51" s="13" t="s">
        <v>1197</v>
      </c>
      <c r="N51" s="13"/>
      <c r="O51" s="13" cm="1">
        <f t="array" ref="O51">CreateID($O$3,$O:$O,$A51&lt;&gt;"")</f>
        <v>48</v>
      </c>
      <c r="P51" s="13" cm="1">
        <f t="array" ref="P51">CreateTaskID($P$3,$P:$P,Tasks!$B$17,$N51)</f>
        <v>0</v>
      </c>
      <c r="Q51" s="13" t="b" cm="1">
        <f t="array" aca="1" ref="Q51" ca="1">IF($M51="",FALSE,CheckRelevance(SanitizeInput($M51),Questionnaire!$AA:$AA))</f>
        <v>0</v>
      </c>
      <c r="R51" s="23" cm="1">
        <f t="array" ref="R51">CreateID($R$3,$R:$R,AND($A51&lt;&gt;"",$D51&lt;&gt;""))</f>
        <v>31</v>
      </c>
    </row>
    <row r="52" spans="1:18" x14ac:dyDescent="0.25">
      <c r="A52" s="13" t="s">
        <v>1177</v>
      </c>
      <c r="B52" s="13" t="s">
        <v>9</v>
      </c>
      <c r="C52" s="13">
        <v>0</v>
      </c>
      <c r="D52" s="112" t="str">
        <f t="shared" si="2"/>
        <v/>
      </c>
      <c r="E52" s="91"/>
      <c r="F52" s="13"/>
      <c r="G52" s="36" t="str">
        <f t="shared" ca="1" si="3"/>
        <v/>
      </c>
      <c r="H52" s="93"/>
      <c r="I52" s="91"/>
      <c r="J52" s="110"/>
      <c r="K52" s="36" t="str" cm="1">
        <f t="array" aca="1" ref="K52"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IF(LEN(_xlpm._optionsRanges)&lt;=_xlpm._endOfFirstElement,"",CHAR(10)&amp;ShowResultingOptions(RIGHT(_xlpm._optionsRanges,LEN(_xlpm._optionsRanges)-_xlpm._endOfFirstElement),RIGHT(_xlpm._optionsHeights,LEN(_xlpm._optionsHeights)-_xlpm._endOfFirstElementH))))))($I52,$J52),
CHAR(10))</f>
        <v/>
      </c>
      <c r="L52" s="93"/>
      <c r="M52" s="13"/>
      <c r="N52" s="13"/>
      <c r="O52" s="13" cm="1">
        <f t="array" ref="O52">CreateID($O$3,$O:$O,$A52&lt;&gt;"")</f>
        <v>49</v>
      </c>
      <c r="P52" s="13" cm="1">
        <f t="array" ref="P52">CreateTaskID($P$3,$P:$P,Tasks!$B$17,$N52)</f>
        <v>0</v>
      </c>
      <c r="Q52" s="13" t="b" cm="1">
        <f t="array" ref="Q52">IF($M52="",FALSE,CheckRelevance(SanitizeInput($M52),Questionnaire!$AA:$AA))</f>
        <v>0</v>
      </c>
      <c r="R52" s="23" cm="1">
        <f t="array" ref="R52">CreateID($R$3,$R:$R,AND($A52&lt;&gt;"",$D52&lt;&gt;""))</f>
        <v>31</v>
      </c>
    </row>
    <row r="53" spans="1:18" ht="36.75" x14ac:dyDescent="0.25">
      <c r="A53" s="13" t="s">
        <v>1063</v>
      </c>
      <c r="B53" s="13" t="s">
        <v>63</v>
      </c>
      <c r="C53" s="13">
        <v>3</v>
      </c>
      <c r="D53" s="112" t="str">
        <f t="shared" si="2"/>
        <v>x</v>
      </c>
      <c r="E53" s="91" t="str" cm="1">
        <f t="array" aca="1" ref="E53" ca="1">CELL("address",Definitions!$A$4)</f>
        <v>'[2025-07-30_QuBA_libre.xlsx]Definitions'!$A$4</v>
      </c>
      <c r="F53" s="13">
        <f>ROWS(Definitions!$A$4:$A$5)</f>
        <v>2</v>
      </c>
      <c r="G53" s="36" t="str">
        <f t="shared" ca="1" si="3"/>
        <v>Yes
No</v>
      </c>
      <c r="H53" s="93" t="str">
        <f>Definitions!$A$4&amp;":"&amp;CHAR(10)&amp;
Definitions!$A$5&amp;":"</f>
        <v>Yes:
No:</v>
      </c>
      <c r="I53" s="91" t="str">
        <f>Definitions!$A$5&amp;":"</f>
        <v>No:</v>
      </c>
      <c r="J53" s="110" t="str">
        <f>Definitions!$A$5&amp;": 0"</f>
        <v>No: 0</v>
      </c>
      <c r="K53" s="36" t="str" cm="1">
        <f t="array" aca="1" ref="K53"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IF(LEN(_xlpm._optionsRanges)&lt;=_xlpm._endOfFirstElement,"",CHAR(10)&amp;ShowResultingOptions(RIGHT(_xlpm._optionsRanges,LEN(_xlpm._optionsRanges)-_xlpm._endOfFirstElement),RIGHT(_xlpm._optionsHeights,LEN(_xlpm._optionsHeights)-_xlpm._endOfFirstElementH))))))($I53,$J53),
CHAR(10))</f>
        <v>___No___</v>
      </c>
      <c r="L53" s="93" t="str" cm="1">
        <f t="array" aca="1" ref="L53" ca="1">LEFT(INDEX($K:$K,ROW()),FIND(CHAR(10),INDEX($K:$K,ROW())&amp;CHAR(10)))&amp;"
*: Please describe how the product is protected from physical access:"</f>
        <v>___No___
*: Please describe how the product is protected from physical access:</v>
      </c>
      <c r="M53" s="13"/>
      <c r="N53" s="13"/>
      <c r="O53" s="13" cm="1">
        <f t="array" ref="O53">CreateID($O$3,$O:$O,$A53&lt;&gt;"")</f>
        <v>50</v>
      </c>
      <c r="P53" s="13" cm="1">
        <f t="array" ref="P53">CreateTaskID($P$3,$P:$P,Tasks!$B$17,$N53)</f>
        <v>0</v>
      </c>
      <c r="Q53" s="13" t="b" cm="1">
        <f t="array" ref="Q53">IF($M53="",FALSE,CheckRelevance(SanitizeInput($M53),Questionnaire!$AA:$AA))</f>
        <v>0</v>
      </c>
      <c r="R53" s="23" cm="1">
        <f t="array" ref="R53">CreateID($R$3,$R:$R,AND($A53&lt;&gt;"",$D53&lt;&gt;""))</f>
        <v>32</v>
      </c>
    </row>
    <row r="54" spans="1:18" ht="60.75" x14ac:dyDescent="0.25">
      <c r="A54" s="13" t="s">
        <v>1065</v>
      </c>
      <c r="B54" s="13" t="s">
        <v>1710</v>
      </c>
      <c r="C54" s="13">
        <v>3</v>
      </c>
      <c r="D54" s="112" t="str">
        <f t="shared" si="2"/>
        <v>x</v>
      </c>
      <c r="E54" s="91" t="str" cm="1">
        <f t="array" aca="1" ref="E54" ca="1">CELL("address",Definitions!$A$4)</f>
        <v>'[2025-07-30_QuBA_libre.xlsx]Definitions'!$A$4</v>
      </c>
      <c r="F54" s="13">
        <f>ROWS(Definitions!$A$4:$A$5)</f>
        <v>2</v>
      </c>
      <c r="G54" s="36" t="str">
        <f t="shared" ca="1" si="3"/>
        <v>Yes
No</v>
      </c>
      <c r="H54" s="93" t="str">
        <f>Definitions!$A$4&amp;": Can an attacker plausibly tamper with the hardware without being detected?"&amp;CHAR(10)&amp;
Definitions!$A$5&amp;":"</f>
        <v>Yes: Can an attacker plausibly tamper with the hardware without being detected?
No:</v>
      </c>
      <c r="I54" s="91" t="str" cm="1">
        <f t="array" aca="1" ref="I54" ca="1">Definitions!$A$4&amp;": "&amp;CELL("address",Definitions!$A$4)&amp;CHAR(10)&amp;
Definitions!$A$5&amp;":"</f>
        <v>Yes: '[2025-07-30_QuBA_libre.xlsx]Definitions'!$A$4
No:</v>
      </c>
      <c r="J54" s="110" t="str">
        <f>Definitions!$A$4&amp;": "&amp;ROWS(Definitions!$A$4:$A$5)&amp;CHAR(10)&amp;
Definitions!$A$5&amp;": 0"</f>
        <v>Yes: 2
No: 0</v>
      </c>
      <c r="K54" s="36" t="str" cm="1">
        <f t="array" aca="1" ref="K54"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IF(LEN(_xlpm._optionsRanges)&lt;=_xlpm._endOfFirstElement,"",CHAR(10)&amp;ShowResultingOptions(RIGHT(_xlpm._optionsRanges,LEN(_xlpm._optionsRanges)-_xlpm._endOfFirstElement),RIGHT(_xlpm._optionsHeights,LEN(_xlpm._optionsHeights)-_xlpm._endOfFirstElementH))))))($I54,$J54),
CHAR(10))</f>
        <v>___Yes___
Yes
No
___No___</v>
      </c>
      <c r="L54" s="93" t="str" cm="1">
        <f t="array" aca="1" ref="L54" ca="1">LEFT(INDEX($K:$K,ROW()),FIND(CHAR(10),INDEX($K:$K,ROW())&amp;CHAR(10)))&amp;
Definitions!$A$4&amp;":"&amp;CHAR(10)&amp;
Definitions!$A$5&amp;": Please explain why this is not plausible:"&amp;CHAR(10)&amp;
"___"&amp;Definitions!$A$5&amp;"___"&amp;CHAR(10)&amp;
"*: Please name the parties with access:"</f>
        <v>___Yes___
Yes:
No: Please explain why this is not plausible:
___No___
*: Please name the parties with access:</v>
      </c>
      <c r="M54" s="13"/>
      <c r="N54" s="13"/>
      <c r="O54" s="13" cm="1">
        <f t="array" ref="O54">CreateID($O$3,$O:$O,$A54&lt;&gt;"")</f>
        <v>51</v>
      </c>
      <c r="P54" s="13" cm="1">
        <f t="array" ref="P54">CreateTaskID($P$3,$P:$P,Tasks!$B$17,$N54)</f>
        <v>0</v>
      </c>
      <c r="Q54" s="13" t="b" cm="1">
        <f t="array" ref="Q54">IF($M54="",FALSE,CheckRelevance(SanitizeInput($M54),Questionnaire!$AA:$AA))</f>
        <v>0</v>
      </c>
      <c r="R54" s="23" cm="1">
        <f t="array" ref="R54">CreateID($R$3,$R:$R,AND($A54&lt;&gt;"",$D54&lt;&gt;""))</f>
        <v>33</v>
      </c>
    </row>
    <row r="55" spans="1:18" ht="45" x14ac:dyDescent="0.25">
      <c r="A55" s="13" t="s">
        <v>1068</v>
      </c>
      <c r="B55" s="13" t="s">
        <v>1128</v>
      </c>
      <c r="C55" s="13">
        <v>3</v>
      </c>
      <c r="D55" s="112" t="str">
        <f t="shared" si="2"/>
        <v>x</v>
      </c>
      <c r="E55" s="91" t="str" cm="1">
        <f t="array" aca="1" ref="E55" ca="1">CELL("address",Definitions!$A$4)</f>
        <v>'[2025-07-30_QuBA_libre.xlsx]Definitions'!$A$4</v>
      </c>
      <c r="F55" s="13">
        <f>ROWS(Definitions!$A$4:$A$5)</f>
        <v>2</v>
      </c>
      <c r="G55" s="36" t="str">
        <f t="shared" ca="1" si="3"/>
        <v>Yes
No</v>
      </c>
      <c r="H55" s="93" t="str">
        <f>Definitions!$A$4&amp;":"&amp;CHAR(10)&amp;
Definitions!$A$5&amp;":"</f>
        <v>Yes:
No:</v>
      </c>
      <c r="I55" s="91" t="str">
        <f>Definitions!$A$5&amp;":"</f>
        <v>No:</v>
      </c>
      <c r="J55" s="110" t="str">
        <f>Definitions!$A$5&amp;": 0"</f>
        <v>No: 0</v>
      </c>
      <c r="K55" s="36" t="str" cm="1">
        <f t="array" aca="1" ref="K55"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IF(LEN(_xlpm._optionsRanges)&lt;=_xlpm._endOfFirstElement,"",CHAR(10)&amp;ShowResultingOptions(RIGHT(_xlpm._optionsRanges,LEN(_xlpm._optionsRanges)-_xlpm._endOfFirstElement),RIGHT(_xlpm._optionsHeights,LEN(_xlpm._optionsHeights)-_xlpm._endOfFirstElementH))))))($I55,$J55),
CHAR(10))</f>
        <v>___No___</v>
      </c>
      <c r="L55" s="93" t="str" cm="1">
        <f t="array" aca="1" ref="L55" ca="1">LEFT(INDEX($K:$K,ROW()),FIND(CHAR(10),INDEX($K:$K,ROW())&amp;CHAR(10)))&amp;"
*: Please name the parties with access:"</f>
        <v>___No___
*: Please name the parties with access:</v>
      </c>
      <c r="M55" s="13"/>
      <c r="N55" s="13"/>
      <c r="O55" s="13" cm="1">
        <f t="array" ref="O55">CreateID($O$3,$O:$O,$A55&lt;&gt;"")</f>
        <v>52</v>
      </c>
      <c r="P55" s="13" cm="1">
        <f t="array" ref="P55">CreateTaskID($P$3,$P:$P,Tasks!$B$17,$N55)</f>
        <v>0</v>
      </c>
      <c r="Q55" s="13" t="b" cm="1">
        <f t="array" ref="Q55">IF($M55="",FALSE,CheckRelevance(SanitizeInput($M55),Questionnaire!$AA:$AA))</f>
        <v>0</v>
      </c>
      <c r="R55" s="23" cm="1">
        <f t="array" ref="R55">CreateID($R$3,$R:$R,AND($A55&lt;&gt;"",$D55&lt;&gt;""))</f>
        <v>34</v>
      </c>
    </row>
    <row r="56" spans="1:18" ht="36.75" x14ac:dyDescent="0.25">
      <c r="A56" s="13" t="s">
        <v>1071</v>
      </c>
      <c r="B56" s="13" t="s">
        <v>1251</v>
      </c>
      <c r="C56" s="13">
        <v>0</v>
      </c>
      <c r="D56" s="112" t="str">
        <f t="shared" si="2"/>
        <v>x</v>
      </c>
      <c r="E56" s="91" t="str" cm="1">
        <f t="array" aca="1" ref="E56" ca="1">CELL("address",Definitions!$A$4)</f>
        <v>'[2025-07-30_QuBA_libre.xlsx]Definitions'!$A$4</v>
      </c>
      <c r="F56" s="13">
        <f>ROWS(Definitions!$A$4:$A$5)</f>
        <v>2</v>
      </c>
      <c r="G56" s="36" t="str">
        <f t="shared" ca="1" si="3"/>
        <v>Yes
No</v>
      </c>
      <c r="H56" s="93" t="str">
        <f>Definitions!$A$4&amp;": Is network access to the debug interface(s) possible?"&amp;CHAR(10)&amp;
Definitions!$A$5&amp;":"</f>
        <v>Yes: Is network access to the debug interface(s) possible?
No:</v>
      </c>
      <c r="I56" s="91" t="str" cm="1">
        <f t="array" aca="1" ref="I56" ca="1">Definitions!$A$4&amp;": "&amp;CELL("address",Definitions!$A$4)</f>
        <v>Yes: '[2025-07-30_QuBA_libre.xlsx]Definitions'!$A$4</v>
      </c>
      <c r="J56" s="110" t="str">
        <f>Definitions!$A$4&amp;": "&amp;ROWS(Definitions!$A$4:$A$5)</f>
        <v>Yes: 2</v>
      </c>
      <c r="K56" s="36" t="str" cm="1">
        <f t="array" aca="1" ref="K56"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IF(LEN(_xlpm._optionsRanges)&lt;=_xlpm._endOfFirstElement,"",CHAR(10)&amp;ShowResultingOptions(RIGHT(_xlpm._optionsRanges,LEN(_xlpm._optionsRanges)-_xlpm._endOfFirstElement),RIGHT(_xlpm._optionsHeights,LEN(_xlpm._optionsHeights)-_xlpm._endOfFirstElementH))))))($I56,$J56),
CHAR(10))</f>
        <v>___Yes___
Yes
No</v>
      </c>
      <c r="L56" s="93" t="str" cm="1">
        <f t="array" aca="1" ref="L56" ca="1">LEFT(INDEX($K:$K,ROW()),FIND(CHAR(10),INDEX($K:$K,ROW())&amp;CHAR(10)))&amp;
Definitions!$A$4&amp;":"&amp;CHAR(10)&amp;
Definitions!$A$5&amp;":"</f>
        <v>___Yes___
Yes:
No:</v>
      </c>
      <c r="M56" s="13"/>
      <c r="N56" s="13"/>
      <c r="O56" s="13" cm="1">
        <f t="array" ref="O56">CreateID($O$3,$O:$O,$A56&lt;&gt;"")</f>
        <v>53</v>
      </c>
      <c r="P56" s="13" cm="1">
        <f t="array" ref="P56">CreateTaskID($P$3,$P:$P,Tasks!$B$17,$N56)</f>
        <v>0</v>
      </c>
      <c r="Q56" s="13" t="b" cm="1">
        <f t="array" ref="Q56">IF($M56="",FALSE,CheckRelevance(SanitizeInput($M56),Questionnaire!$AA:$AA))</f>
        <v>0</v>
      </c>
      <c r="R56" s="23" cm="1">
        <f t="array" ref="R56">CreateID($R$3,$R:$R,AND($A56&lt;&gt;"",$D56&lt;&gt;""))</f>
        <v>35</v>
      </c>
    </row>
    <row r="57" spans="1:18" ht="36.75" x14ac:dyDescent="0.25">
      <c r="A57" s="13" t="s">
        <v>1140</v>
      </c>
      <c r="B57" s="13" t="s">
        <v>1142</v>
      </c>
      <c r="C57" s="13">
        <v>0</v>
      </c>
      <c r="D57" s="112" t="str">
        <f t="shared" si="2"/>
        <v>x</v>
      </c>
      <c r="E57" s="91" t="str" cm="1">
        <f t="array" aca="1" ref="E57" ca="1">CELL("address",Definitions!$A$4)</f>
        <v>'[2025-07-30_QuBA_libre.xlsx]Definitions'!$A$4</v>
      </c>
      <c r="F57" s="13">
        <f>ROWS(Definitions!$A$4:$A$5)</f>
        <v>2</v>
      </c>
      <c r="G57" s="36" t="str">
        <f t="shared" ca="1" si="3"/>
        <v>Yes
No</v>
      </c>
      <c r="H57" s="93" t="str">
        <f>Definitions!$A$4&amp;":"&amp;CHAR(10)&amp;
Definitions!$A$5&amp;":"</f>
        <v>Yes:
No:</v>
      </c>
      <c r="I57" s="91" t="str">
        <f>Definitions!$A$4&amp;":"</f>
        <v>Yes:</v>
      </c>
      <c r="J57" s="110" t="str">
        <f>Definitions!$A$4&amp;": 0"</f>
        <v>Yes: 0</v>
      </c>
      <c r="K57" s="36" t="str" cm="1">
        <f t="array" aca="1" ref="K57"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IF(LEN(_xlpm._optionsRanges)&lt;=_xlpm._endOfFirstElement,"",CHAR(10)&amp;ShowResultingOptions(RIGHT(_xlpm._optionsRanges,LEN(_xlpm._optionsRanges)-_xlpm._endOfFirstElement),RIGHT(_xlpm._optionsHeights,LEN(_xlpm._optionsHeights)-_xlpm._endOfFirstElementH))))))($I57,$J57),
CHAR(10))</f>
        <v>___Yes___</v>
      </c>
      <c r="L57" s="93" t="str" cm="1">
        <f t="array" aca="1" ref="L57" ca="1">LEFT(INDEX($K:$K,ROW()),FIND(CHAR(10),INDEX($K:$K,ROW())&amp;CHAR(10)))&amp;"
*: Please provide details on the secure production environment:"</f>
        <v>___Yes___
*: Please provide details on the secure production environment:</v>
      </c>
      <c r="M57" s="13"/>
      <c r="N57" s="13"/>
      <c r="O57" s="13" cm="1">
        <f t="array" ref="O57">CreateID($O$3,$O:$O,$A57&lt;&gt;"")</f>
        <v>54</v>
      </c>
      <c r="P57" s="13" cm="1">
        <f t="array" ref="P57">CreateTaskID($P$3,$P:$P,Tasks!$B$17,$N57)</f>
        <v>0</v>
      </c>
      <c r="Q57" s="13" t="b" cm="1">
        <f t="array" ref="Q57">IF($M57="",FALSE,CheckRelevance(SanitizeInput($M57),Questionnaire!$AA:$AA))</f>
        <v>0</v>
      </c>
      <c r="R57" s="23" cm="1">
        <f t="array" ref="R57">CreateID($R$3,$R:$R,AND($A57&lt;&gt;"",$D57&lt;&gt;""))</f>
        <v>36</v>
      </c>
    </row>
    <row r="58" spans="1:18" ht="48.75" x14ac:dyDescent="0.25">
      <c r="A58" s="13" t="s">
        <v>1141</v>
      </c>
      <c r="B58" s="13" t="s">
        <v>1258</v>
      </c>
      <c r="C58" s="13">
        <v>0</v>
      </c>
      <c r="D58" s="112" t="str">
        <f t="shared" si="2"/>
        <v>x</v>
      </c>
      <c r="E58" s="91" t="str" cm="1">
        <f t="array" aca="1" ref="E58" ca="1">CELL("address",Definitions!$BF$4)</f>
        <v>'[2025-07-30_QuBA_libre.xlsx]Definitions'!$BF$4</v>
      </c>
      <c r="F58" s="13">
        <f ca="1">COUNTA(Definitions!$BF:$BF)-3</f>
        <v>3</v>
      </c>
      <c r="G58" s="36" t="str">
        <f t="shared" ca="1" si="3"/>
        <v>Yes
No
N/A</v>
      </c>
      <c r="H58" s="93" t="str">
        <f>Definitions!$BF$4&amp;": Will the supplier provide regular updates for the product?"&amp;CHAR(10)&amp;
Definitions!$BF$5&amp;":"&amp;CHAR(10)&amp;
Definitions!$BF$6&amp;":"</f>
        <v>Yes: Will the supplier provide regular updates for the product?
No:
N/A:</v>
      </c>
      <c r="I58" s="91" t="str" cm="1">
        <f t="array" aca="1" ref="I58" ca="1">Definitions!$A$4&amp;": "&amp;CELL("address",Definitions!$A$4)</f>
        <v>Yes: '[2025-07-30_QuBA_libre.xlsx]Definitions'!$A$4</v>
      </c>
      <c r="J58" s="110" t="str">
        <f>Definitions!$A$4&amp;": "&amp;ROWS(Definitions!$A$4:$A$5)</f>
        <v>Yes: 2</v>
      </c>
      <c r="K58" s="36" t="str" cm="1">
        <f t="array" aca="1" ref="K58"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IF(LEN(_xlpm._optionsRanges)&lt;=_xlpm._endOfFirstElement,"",CHAR(10)&amp;ShowResultingOptions(RIGHT(_xlpm._optionsRanges,LEN(_xlpm._optionsRanges)-_xlpm._endOfFirstElement),RIGHT(_xlpm._optionsHeights,LEN(_xlpm._optionsHeights)-_xlpm._endOfFirstElementH))))))($I58,$J58),
CHAR(10))</f>
        <v>___Yes___
Yes
No</v>
      </c>
      <c r="L58" s="93" t="str" cm="1">
        <f t="array" aca="1" ref="L58" ca="1">LEFT(INDEX($K:$K,ROW()),FIND(CHAR(10),INDEX($K:$K,ROW())&amp;CHAR(10)))&amp;
Definitions!$A$4&amp;": Please provide details on the trustworthy supplier:"&amp;CHAR(10)&amp;
Definitions!$A$5&amp;": Please provide details on the trustworthy supplier:"</f>
        <v>___Yes___
Yes: Please provide details on the trustworthy supplier:
No: Please provide details on the trustworthy supplier:</v>
      </c>
      <c r="M58" s="13"/>
      <c r="N58" s="13"/>
      <c r="O58" s="13" cm="1">
        <f t="array" ref="O58">CreateID($O$3,$O:$O,$A58&lt;&gt;"")</f>
        <v>55</v>
      </c>
      <c r="P58" s="13" cm="1">
        <f t="array" ref="P58">CreateTaskID($P$3,$P:$P,Tasks!$B$17,$N58)</f>
        <v>0</v>
      </c>
      <c r="Q58" s="13" t="b" cm="1">
        <f t="array" ref="Q58">IF($M58="",FALSE,CheckRelevance(SanitizeInput($M58),Questionnaire!$AA:$AA))</f>
        <v>0</v>
      </c>
      <c r="R58" s="23" cm="1">
        <f t="array" ref="R58">CreateID($R$3,$R:$R,AND($A58&lt;&gt;"",$D58&lt;&gt;""))</f>
        <v>37</v>
      </c>
    </row>
    <row r="59" spans="1:18" ht="48.75" x14ac:dyDescent="0.25">
      <c r="A59" s="13" t="s">
        <v>1272</v>
      </c>
      <c r="B59" s="13" t="s">
        <v>1274</v>
      </c>
      <c r="C59" s="13">
        <v>0</v>
      </c>
      <c r="D59" s="111" t="str">
        <f>IF($A59="","",IF(LEFT($A59,1)="Q","x",""))</f>
        <v>x</v>
      </c>
      <c r="E59" s="110" t="str" cm="1">
        <f t="array" aca="1" ref="E59" ca="1">CELL("address",Definitions!$AW$4)</f>
        <v>'[2025-07-30_QuBA_libre.xlsx]Definitions'!$AW$4</v>
      </c>
      <c r="F59" s="13">
        <f>ROWS(Definitions!AW4:AW7)</f>
        <v>4</v>
      </c>
      <c r="G59" s="37" t="str">
        <f ca="1">IF($E59="","",_xlfn.TEXTJOIN(CHAR(10),TRUE,OFFSET(INDIRECT($E59),0,0,$F59,1)))</f>
        <v>0 - 5 years
5 - 10 years
10 - 20 years
20+ years</v>
      </c>
      <c r="H59" s="93" t="s">
        <v>1281</v>
      </c>
      <c r="I59" s="91"/>
      <c r="J59" s="110"/>
      <c r="K59" s="37" t="str" cm="1">
        <f t="array" aca="1" ref="K59"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IF(LEN(_xlpm._optionsRanges)&lt;=_xlpm._endOfFirstElement,"",CHAR(10)&amp;ShowResultingOptions(RIGHT(_xlpm._optionsRanges,LEN(_xlpm._optionsRanges)-_xlpm._endOfFirstElement),RIGHT(_xlpm._optionsHeights,LEN(_xlpm._optionsHeights)-_xlpm._endOfFirstElementH))))))($I59,$J59),
CHAR(10))</f>
        <v/>
      </c>
      <c r="L59" s="93"/>
      <c r="M59" s="13"/>
      <c r="N59" s="13"/>
      <c r="O59" s="23" cm="1">
        <f t="array" ref="O59">CreateID($O$3,$O:$O,$A59&lt;&gt;"")</f>
        <v>56</v>
      </c>
      <c r="P59" s="23" cm="1">
        <f t="array" ref="P59">CreateTaskID($P$3,$P:$P,Tasks!$B$17,$N59)</f>
        <v>0</v>
      </c>
      <c r="Q59" s="23" t="b" cm="1">
        <f t="array" ref="Q59">IF($M59="",FALSE,CheckRelevance(SanitizeInput($M59),Questionnaire!$AA:$AA))</f>
        <v>0</v>
      </c>
      <c r="R59" s="23" cm="1">
        <f t="array" ref="R59">CreateID($R$3,$R:$R,AND($A59&lt;&gt;"",$D59&lt;&gt;""))</f>
        <v>38</v>
      </c>
    </row>
    <row r="60" spans="1:18" ht="48.75" x14ac:dyDescent="0.25">
      <c r="A60" s="13" t="s">
        <v>1273</v>
      </c>
      <c r="B60" s="13" t="s">
        <v>1275</v>
      </c>
      <c r="C60" s="13">
        <v>0</v>
      </c>
      <c r="D60" s="111" t="str">
        <f>IF($A60="","",IF(LEFT($A60,1)="Q","x",""))</f>
        <v>x</v>
      </c>
      <c r="E60" s="91" t="str" cm="1">
        <f t="array" aca="1" ref="E60" ca="1">CELL("address",Definitions!$AW$4)</f>
        <v>'[2025-07-30_QuBA_libre.xlsx]Definitions'!$AW$4</v>
      </c>
      <c r="F60" s="13">
        <f>ROWS(Definitions!AW4:AW7)</f>
        <v>4</v>
      </c>
      <c r="G60" s="37" t="str">
        <f ca="1">IF($E60="","",_xlfn.TEXTJOIN(CHAR(10),TRUE,OFFSET(INDIRECT($E60),0,0,$F60,1)))</f>
        <v>0 - 5 years
5 - 10 years
10 - 20 years
20+ years</v>
      </c>
      <c r="H60" s="93" t="s">
        <v>1281</v>
      </c>
      <c r="I60" s="91"/>
      <c r="J60" s="110"/>
      <c r="K60" s="37" t="str" cm="1">
        <f t="array" aca="1" ref="K60" ca="1">RemoveDelimiter(
_xlfn.LAMBDA(_xlpm._optionsRanges,_xlpm._optionsHeights,
IF(_xlpm._optionsRanges="","",_xlfn.LET(
_xlpm._endOfFirstElement,FIND(CHAR(10),_xlpm._optionsRanges&amp;CHAR(10)),
_xlpm._optionsRangeWithPrefix,SUBSTITUTE(LEFT(_xlpm._optionsRanges,_xlpm._endOfFirstElement-1)," ",""),
_xlpm._colPos,FIND(":",_xlpm._optionsRangeWithPrefix),
_xlpm._prefix,LEFT(_xlpm._optionsRangeWithPrefix,_xlpm._colPos-1),
_xlpm._optionsRange,RIGHT(_xlpm._optionsRangeWithPrefix,LEN(_xlpm._optionsRangeWithPrefix)-_xlpm._colPos),
_xlpm._endOfFirstElementH,FIND(CHAR(10),_xlpm._optionsHeights&amp;CHAR(10)),
_xlpm._optionsHeightWithPrefix,SUBSTITUTE(LEFT(_xlpm._optionsHeights,_xlpm._endOfFirstElementH-1)," ",""),
_xlpm._colPosH,FIND(":",_xlpm._optionsHeightWithPrefix),
_xlpm._prefixH,LEFT(_xlpm._optionsHeightWithPrefix,_xlpm._colPosH-1),
_xlpm._optionsHeight,VALUE(RIGHT(_xlpm._optionsHeightWithPrefix,LEN(_xlpm._optionsHeightWithPrefix)-_xlpm._colPosH)),
IF(_xlpm._prefix&lt;&gt;_xlpm._prefixH,"ERROR: Prefix list is inconsistent.",
"___"&amp;_xlpm._prefix&amp;"___"&amp;CHAR(10)&amp;IF(_xlpm._optionsHeight=0,"",IFERROR(_xlfn.TEXTJOIN(CHAR(10),TRUE,OFFSET(INDIRECT(_xlpm._optionsRange),0,0,_xlpm._optionsHeight,1)),"ERROR: Check the README for the correct input format")))&amp;
IF(LEN(_xlpm._optionsRanges)&lt;=_xlpm._endOfFirstElement,"",CHAR(10)&amp;ShowResultingOptions(RIGHT(_xlpm._optionsRanges,LEN(_xlpm._optionsRanges)-_xlpm._endOfFirstElement),RIGHT(_xlpm._optionsHeights,LEN(_xlpm._optionsHeights)-_xlpm._endOfFirstElementH))))))($I60,$J60),
CHAR(10))</f>
        <v/>
      </c>
      <c r="L60" s="93"/>
      <c r="M60" s="13"/>
      <c r="N60" s="13"/>
      <c r="O60" s="23" cm="1">
        <f t="array" ref="O60">CreateID($O$3,$O:$O,$A60&lt;&gt;"")</f>
        <v>57</v>
      </c>
      <c r="P60" s="23" cm="1">
        <f t="array" ref="P60">CreateTaskID($P$3,$P:$P,Tasks!$B$17,$N60)</f>
        <v>0</v>
      </c>
      <c r="Q60" s="23" t="b" cm="1">
        <f t="array" ref="Q60">IF($M60="",FALSE,CheckRelevance(SanitizeInput($M60),Questionnaire!$AA:$AA))</f>
        <v>0</v>
      </c>
      <c r="R60" s="23" cm="1">
        <f t="array" ref="R60">CreateID($R$3,$R:$R,AND($A60&lt;&gt;"",$D60&lt;&gt;""))</f>
        <v>39</v>
      </c>
    </row>
  </sheetData>
  <mergeCells count="2">
    <mergeCell ref="E2:H2"/>
    <mergeCell ref="I2:L2"/>
  </mergeCells>
  <phoneticPr fontId="4" type="noConversion"/>
  <pageMargins left="0.7" right="0.7" top="0.75" bottom="0.75" header="0.3" footer="0.3"/>
  <pageSetup paperSize="9" orientation="portrait" r:id="rId1"/>
  <ignoredErrors>
    <ignoredError sqref="I54:J54 I57:J57 I49:J49 I45:J45"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1" id="{EF26FA7B-9ADC-4D8B-AC59-7AD2EDCCDEE4}">
            <xm:f>IFERROR(FIND(Tasks!$B$17,N1)&gt;0,FALSE)</xm:f>
            <x14:dxf>
              <font>
                <b/>
                <i val="0"/>
                <color rgb="FF99FFCC"/>
              </font>
            </x14:dxf>
          </x14:cfRule>
          <xm:sqref>N1:N1048576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4F2FB-817A-44C4-A643-5AAC7432DEAF}">
  <sheetPr>
    <tabColor theme="6"/>
  </sheetPr>
  <dimension ref="A1:V21"/>
  <sheetViews>
    <sheetView workbookViewId="0">
      <pane xSplit="3" ySplit="2" topLeftCell="D3" activePane="bottomRight" state="frozen"/>
      <selection pane="topRight" activeCell="D1" sqref="D1"/>
      <selection pane="bottomLeft" activeCell="A2" sqref="A2"/>
      <selection pane="bottomRight" activeCell="A3" sqref="A3"/>
    </sheetView>
  </sheetViews>
  <sheetFormatPr defaultColWidth="9.140625" defaultRowHeight="15" outlineLevelCol="1" x14ac:dyDescent="0.25"/>
  <cols>
    <col min="1" max="2" width="9.140625" style="2" customWidth="1"/>
    <col min="3" max="3" width="45.7109375" style="2" customWidth="1"/>
    <col min="4" max="4" width="15.7109375" style="2" customWidth="1" outlineLevel="1"/>
    <col min="5" max="5" width="25.7109375" style="2" customWidth="1" outlineLevel="1"/>
    <col min="6" max="6" width="18.7109375" style="4" bestFit="1" customWidth="1" outlineLevel="1"/>
    <col min="7" max="7" width="25.7109375" style="4" customWidth="1" outlineLevel="1"/>
    <col min="8" max="8" width="15.7109375" style="4" customWidth="1"/>
    <col min="9" max="9" width="25.7109375" style="4" customWidth="1"/>
    <col min="10" max="10" width="30.7109375" style="8" customWidth="1"/>
    <col min="11" max="11" width="26" style="8" customWidth="1" outlineLevel="1"/>
    <col min="12" max="12" width="18.85546875" style="8" bestFit="1" customWidth="1"/>
    <col min="13" max="13" width="15.7109375" style="8" customWidth="1"/>
    <col min="14" max="14" width="45.7109375" style="8" customWidth="1" outlineLevel="1"/>
    <col min="15" max="15" width="60.7109375" style="8" customWidth="1"/>
    <col min="16" max="16" width="45.7109375" style="2" customWidth="1"/>
    <col min="17" max="17" width="15.42578125" style="2" hidden="1" customWidth="1"/>
    <col min="18" max="18" width="9.140625" style="2" hidden="1" customWidth="1"/>
    <col min="19" max="19" width="21.5703125" style="2" hidden="1" customWidth="1"/>
    <col min="20" max="20" width="13.85546875" style="2" hidden="1" customWidth="1"/>
    <col min="21" max="21" width="16.140625" style="2" hidden="1" customWidth="1"/>
    <col min="22" max="22" width="36.42578125" style="2" hidden="1" customWidth="1"/>
    <col min="23" max="16384" width="9.140625" style="2"/>
  </cols>
  <sheetData>
    <row r="1" spans="1:22" s="115" customFormat="1" x14ac:dyDescent="0.25">
      <c r="A1" s="115"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HYPERLINK("#'"&amp;Helper!$G$2&amp;"'!"&amp;CHAR(CODE("A")+COLUMN(_xlpm._columnNameHeader)-1)&amp;_xlpm._entryOffset,Definitions!$AY$4)))(Helper!$G$5,A$2,README!$E:$E,README!$I$36,README!$B$36)</f>
        <v>◈</v>
      </c>
      <c r="B1" s="115"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HYPERLINK("#'"&amp;Helper!$G$2&amp;"'!"&amp;CHAR(CODE("A")+COLUMN(_xlpm._columnNameHeader)-1)&amp;_xlpm._entryOffset,Definitions!$AY$4)))(Helper!$G$5,B$2,README!$E:$E,README!$I$36,README!$B$36)</f>
        <v>◈</v>
      </c>
      <c r="C1" s="115"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HYPERLINK("#'"&amp;Helper!$G$2&amp;"'!"&amp;CHAR(CODE("A")+COLUMN(_xlpm._columnNameHeader)-1)&amp;_xlpm._entryOffset,Definitions!$AY$4)))(Helper!$G$5,C$2,README!$E:$E,README!$I$36,README!$B$36)</f>
        <v>◈</v>
      </c>
      <c r="D1" s="115"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HYPERLINK("#'"&amp;Helper!$G$2&amp;"'!"&amp;CHAR(CODE("A")+COLUMN(_xlpm._columnNameHeader)-1)&amp;_xlpm._entryOffset,Definitions!$AY$4)))(Helper!$G$5,D$2,README!$E:$E,README!$I$36,README!$B$36)</f>
        <v>◈</v>
      </c>
      <c r="E1" s="115"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HYPERLINK("#'"&amp;Helper!$G$2&amp;"'!"&amp;CHAR(CODE("A")+COLUMN(_xlpm._columnNameHeader)-1)&amp;_xlpm._entryOffset,Definitions!$AY$4)))(Helper!$G$5,E$2,README!$E:$E,README!$I$36,README!$B$36)</f>
        <v>◈</v>
      </c>
      <c r="F1" s="115"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HYPERLINK("#'"&amp;Helper!$G$2&amp;"'!"&amp;CHAR(CODE("A")+COLUMN(_xlpm._columnNameHeader)-1)&amp;_xlpm._entryOffset,Definitions!$AY$4)))(Helper!$G$5,F$2,README!$E:$E,README!$I$36,README!$B$36)</f>
        <v>◈</v>
      </c>
      <c r="G1" s="115"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HYPERLINK("#'"&amp;Helper!$G$2&amp;"'!"&amp;CHAR(CODE("A")+COLUMN(_xlpm._columnNameHeader)-1)&amp;_xlpm._entryOffset,Definitions!$AY$4)))(Helper!$G$5,G$2,README!$E:$E,README!$I$36,README!$B$36)</f>
        <v>◈</v>
      </c>
      <c r="H1" s="115"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HYPERLINK("#'"&amp;Helper!$G$2&amp;"'!"&amp;CHAR(CODE("A")+COLUMN(_xlpm._columnNameHeader)-1)&amp;_xlpm._entryOffset,Definitions!$AY$4)))(Helper!$G$5,H$2,README!$E:$E,README!$I$36,README!$B$36)</f>
        <v>◈</v>
      </c>
      <c r="I1" s="115"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HYPERLINK("#'"&amp;Helper!$G$2&amp;"'!"&amp;CHAR(CODE("A")+COLUMN(_xlpm._columnNameHeader)-1)&amp;_xlpm._entryOffset,Definitions!$AY$4)))(Helper!$G$5,I$2,README!$E:$E,README!$I$36,README!$B$36)</f>
        <v>◈</v>
      </c>
      <c r="J1" s="115"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HYPERLINK("#'"&amp;Helper!$G$2&amp;"'!"&amp;CHAR(CODE("A")+COLUMN(_xlpm._columnNameHeader)-1)&amp;_xlpm._entryOffset,Definitions!$AY$4)))(Helper!$G$5,J$2,README!$E:$E,README!$I$36,README!$B$36)</f>
        <v>◈</v>
      </c>
      <c r="K1" s="115"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HYPERLINK("#'"&amp;Helper!$G$2&amp;"'!"&amp;CHAR(CODE("A")+COLUMN(_xlpm._columnNameHeader)-1)&amp;_xlpm._entryOffset,Definitions!$AY$4)))(Helper!$G$5,K$2,README!$E:$E,README!$I$36,README!$B$36)</f>
        <v>◈</v>
      </c>
      <c r="L1" s="115"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HYPERLINK("#'"&amp;Helper!$G$2&amp;"'!"&amp;CHAR(CODE("A")+COLUMN(_xlpm._columnNameHeader)-1)&amp;_xlpm._entryOffset,Definitions!$AY$4)))(Helper!$G$5,L$2,README!$E:$E,README!$I$36,README!$B$36)</f>
        <v>◈</v>
      </c>
      <c r="M1" s="115"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HYPERLINK("#'"&amp;Helper!$G$2&amp;"'!"&amp;CHAR(CODE("A")+COLUMN(_xlpm._columnNameHeader)-1)&amp;_xlpm._entryOffset,Definitions!$AY$4)))(Helper!$G$5,M$2,README!$E:$E,README!$I$36,README!$B$36)</f>
        <v>◈</v>
      </c>
      <c r="N1" s="115"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HYPERLINK("#'"&amp;Helper!$G$2&amp;"'!"&amp;CHAR(CODE("A")+COLUMN(_xlpm._columnNameHeader)-1)&amp;_xlpm._entryOffset,Definitions!$AY$4)))(Helper!$G$5,N$2,README!$E:$E,README!$I$36,README!$B$36)</f>
        <v>◈</v>
      </c>
      <c r="O1" s="115"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HYPERLINK("#'"&amp;Helper!$G$2&amp;"'!"&amp;CHAR(CODE("A")+COLUMN(_xlpm._columnNameHeader)-1)&amp;_xlpm._entryOffset,Definitions!$AY$4)))(Helper!$G$5,O$2,README!$E:$E,README!$I$36,README!$B$36)</f>
        <v>◈</v>
      </c>
      <c r="P1" s="115" t="str" cm="1">
        <f t="array" aca="1" ref="P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HYPERLINK("#'"&amp;Helper!$G$2&amp;"'!"&amp;CHAR(CODE("A")+COLUMN(_xlpm._columnNameHeader)-1)&amp;_xlpm._entryOffset,Definitions!$AY$4)))(Helper!$G$5,P$2,README!$E:$E,README!$I$36,README!$B$36)</f>
        <v>◈</v>
      </c>
    </row>
    <row r="2" spans="1:22" ht="45" x14ac:dyDescent="0.25">
      <c r="A2" s="13" t="s">
        <v>53</v>
      </c>
      <c r="B2" s="13" t="s">
        <v>578</v>
      </c>
      <c r="C2" s="16" t="s">
        <v>55</v>
      </c>
      <c r="D2" s="13" t="s">
        <v>924</v>
      </c>
      <c r="E2" s="13" t="s">
        <v>580</v>
      </c>
      <c r="F2" s="13" t="s">
        <v>957</v>
      </c>
      <c r="G2" s="13" t="s">
        <v>581</v>
      </c>
      <c r="H2" s="16" t="s">
        <v>592</v>
      </c>
      <c r="I2" s="16" t="s">
        <v>593</v>
      </c>
      <c r="J2" s="16" t="s">
        <v>954</v>
      </c>
      <c r="K2" s="13" t="s">
        <v>959</v>
      </c>
      <c r="L2" s="16" t="s">
        <v>964</v>
      </c>
      <c r="M2" s="16" t="s">
        <v>187</v>
      </c>
      <c r="N2" s="13" t="s">
        <v>961</v>
      </c>
      <c r="O2" s="16" t="s">
        <v>440</v>
      </c>
      <c r="P2" s="13" t="s">
        <v>3</v>
      </c>
      <c r="Q2" s="10" t="s">
        <v>54</v>
      </c>
      <c r="R2" s="10" t="s">
        <v>230</v>
      </c>
      <c r="S2" s="10" t="s">
        <v>931</v>
      </c>
      <c r="T2" s="10" t="s">
        <v>923</v>
      </c>
      <c r="U2" s="10" t="s">
        <v>594</v>
      </c>
      <c r="V2" s="10" t="s">
        <v>1665</v>
      </c>
    </row>
    <row r="3" spans="1:22" ht="45" x14ac:dyDescent="0.25">
      <c r="A3" s="13" t="s">
        <v>158</v>
      </c>
      <c r="B3" s="13" t="s">
        <v>1102</v>
      </c>
      <c r="C3" s="16" t="str" cm="1">
        <f t="array" aca="1" ref="C3" ca="1">IF($B3="","",IFERROR(SimpleLookup($B3,Questions!$A:$B),"Error: Unknown ID: "&amp;$B3))</f>
        <v>Does the product have cameras or other sensors that can potentially recognize people?</v>
      </c>
      <c r="D3" s="52" t="str">
        <f ca="1">_xlfn.LET(
_xlpm._dsID,$A3,_xlpm._qID,$B3,_xlpm._dynamicReference,$F3,_xlpm._firstAnswer,$H3,_xlpm._secondAnswer,$I3,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3" s="13" t="str">
        <f>IF(Questionnaire!$C$6=Definitions!$A$4,"Disclosure of camera data","")</f>
        <v/>
      </c>
      <c r="F3" s="52"/>
      <c r="G3" s="13"/>
      <c r="H3" s="16" t="str" cm="1">
        <f t="array" aca="1" ref="H3" ca="1">IF($B3="","",_xlfn.LET(_xlpm._value,SimpleLookup($B3,Questionnaire!$A:$C),IF(_xlpm._value="","",_xlpm._value)))</f>
        <v/>
      </c>
      <c r="I3" s="16" t="str" cm="1">
        <f t="array" aca="1" ref="I3" ca="1">IF($B3="","",_xlfn.LET(_xlpm._value,SimpleLookup($B3,Questionnaire!$A:$E),IF(_xlpm._value="","",_xlpm._value)))</f>
        <v/>
      </c>
      <c r="J3" s="16" t="str">
        <f t="shared" ref="J3:J20" si="0">_xlfn.LET(
_xlpm._dynamicText,$I3,
_xlpm._ds,$E3&amp;IF($F3="","",_xlpm._dynamicText)&amp;$G3,
IF(_xlpm._ds="","",IF(AND($F3&lt;&gt;"",_xlpm._dynamicText=""),"",_xlpm._ds)))</f>
        <v/>
      </c>
      <c r="K3" s="13" t="s">
        <v>15</v>
      </c>
      <c r="L3" s="16" t="str">
        <f t="shared" ref="L3:L21" ca="1" si="1">IF($D3="x",
IF($K3="",$I3,$K3),
"")</f>
        <v/>
      </c>
      <c r="M3" s="16" t="str" cm="1">
        <f t="array" aca="1" ref="M3" ca="1">IF($L3="","",IFERROR(SimpleLookup($L3,Definitions!$H:$J),""))</f>
        <v/>
      </c>
      <c r="N3" s="13"/>
      <c r="O3" s="16" t="str" cm="1">
        <f t="array" aca="1" ref="O3" ca="1">IF($N3&lt;&gt;"",$N3,_xlfn.LET(
_xlpm._qID,$B3,_xlpm._firstAnswer,$H3,_xlpm._secondAnswer,$I3,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QI1 Does the product have cameras or other sensors that can potentially recognize people?
» </v>
      </c>
      <c r="P3" s="13"/>
      <c r="Q3" s="10" cm="1">
        <f t="array" ref="Q3">IF(ROW()=ROW($Q$2)+1,0,INDEX($Q:$Q,ROW()-1))+IF($A3="",0,1)</f>
        <v>1</v>
      </c>
      <c r="R3" s="24" cm="1">
        <f t="array" ref="R3">CreateTaskID($R$2,$R:$R,Tasks!$B$17,$P3)</f>
        <v>0</v>
      </c>
      <c r="S3" s="14" cm="1">
        <f t="array" aca="1" ref="S3" ca="1">CreateID($S$2,$S:$S,$D3="x")</f>
        <v>0</v>
      </c>
      <c r="T3" s="14" t="str">
        <f t="shared" ref="T3:T20" ca="1" si="2">IF($D3="","",$A3)</f>
        <v/>
      </c>
      <c r="U3" s="14" cm="1">
        <f t="array" aca="1" ref="U3" ca="1">IF($M3="",0,SimpleLookup($M3,Definitions!$Q:$R))</f>
        <v>0</v>
      </c>
      <c r="V3" s="20" t="str">
        <f t="shared" ref="V3:V21" si="3">IF($J3="","",$J3&amp;" ["&amp;$M3&amp;"]")</f>
        <v/>
      </c>
    </row>
    <row r="4" spans="1:22" ht="45" x14ac:dyDescent="0.25">
      <c r="A4" s="13" t="s">
        <v>159</v>
      </c>
      <c r="B4" s="13" t="s">
        <v>1099</v>
      </c>
      <c r="C4" s="16" t="str" cm="1">
        <f t="array" aca="1" ref="C4" ca="1">IF($B4="","",IFERROR(SimpleLookup($B4,Questions!$A:$B),"Error: Unknown ID: "&amp;$B4))</f>
        <v>Does the product process personal data?
Examples: User ID, address labels</v>
      </c>
      <c r="D4" s="52" t="str">
        <f ca="1">_xlfn.LET(
_xlpm._dsID,$A4,_xlpm._qID,$B4,_xlpm._dynamicReference,$F4,_xlpm._firstAnswer,$H4,_xlpm._secondAnswer,$I4,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4" s="13" t="s">
        <v>579</v>
      </c>
      <c r="F4" s="52" t="s">
        <v>582</v>
      </c>
      <c r="G4" s="13"/>
      <c r="H4" s="16" t="str" cm="1">
        <f t="array" aca="1" ref="H4" ca="1">IF($B4="","",_xlfn.LET(_xlpm._value,SimpleLookup($B4,Questionnaire!$A:$C),IF(_xlpm._value="","",_xlpm._value)))</f>
        <v/>
      </c>
      <c r="I4" s="16" t="str" cm="1">
        <f t="array" aca="1" ref="I4" ca="1">IF($B4="","",_xlfn.LET(_xlpm._value,SimpleLookup($B4,Questionnaire!$A:$E),IF(_xlpm._value="","",_xlpm._value)))</f>
        <v/>
      </c>
      <c r="J4" s="16" t="str">
        <f t="shared" ca="1" si="0"/>
        <v/>
      </c>
      <c r="K4" s="13"/>
      <c r="L4" s="16" t="str">
        <f t="shared" ca="1" si="1"/>
        <v/>
      </c>
      <c r="M4" s="16" t="str" cm="1">
        <f t="array" aca="1" ref="M4" ca="1">IF($L4="","",IFERROR(SimpleLookup($L4,Definitions!$H:$J),""))</f>
        <v/>
      </c>
      <c r="N4" s="13"/>
      <c r="O4" s="16" t="str" cm="1">
        <f t="array" aca="1" ref="O4" ca="1">IF($N4&lt;&gt;"",$N4,_xlfn.LET(
_xlpm._qID,$B4,_xlpm._firstAnswer,$H4,_xlpm._secondAnswer,$I4,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QI2 Does the product process personal data?
Examples: User ID, address labels
» </v>
      </c>
      <c r="P4" s="13"/>
      <c r="Q4" s="10" cm="1">
        <f t="array" ref="Q4">IF(ROW()=ROW($Q$2)+1,0,INDEX($Q:$Q,ROW()-1))+IF($A4="",0,1)</f>
        <v>2</v>
      </c>
      <c r="R4" s="24" cm="1">
        <f t="array" ref="R4">CreateTaskID($R$2,$R:$R,Tasks!$B$17,$P4)</f>
        <v>0</v>
      </c>
      <c r="S4" s="14" cm="1">
        <f t="array" aca="1" ref="S4" ca="1">CreateID($S$2,$S:$S,$D4="x")</f>
        <v>0</v>
      </c>
      <c r="T4" s="14" t="str">
        <f t="shared" ca="1" si="2"/>
        <v/>
      </c>
      <c r="U4" s="14" cm="1">
        <f t="array" aca="1" ref="U4" ca="1">IF($M4="",0,SimpleLookup($M4,Definitions!$Q:$R))</f>
        <v>0</v>
      </c>
      <c r="V4" s="20" t="str">
        <f t="shared" ca="1" si="3"/>
        <v/>
      </c>
    </row>
    <row r="5" spans="1:22" ht="105" x14ac:dyDescent="0.25">
      <c r="A5" s="13" t="s">
        <v>160</v>
      </c>
      <c r="B5" s="13" t="s">
        <v>1097</v>
      </c>
      <c r="C5" s="16" t="str" cm="1">
        <f t="array" aca="1" ref="C5" ca="1">IF($B5="","",IFERROR(SimpleLookup($B5,Questions!$A:$B),"Error: Unknown ID: "&amp;$B5))</f>
        <v>Does the product contain &lt;OEM name&gt; intellectual property?
Note: Only IP which is part of / accessible by the firmware / software in the product is in scope of this question. Gaining access to optical and mechanical IP are not covered by this question (and the cybersecurity risk analysis)</v>
      </c>
      <c r="D5" s="52" t="str">
        <f ca="1">_xlfn.LET(
_xlpm._dsID,$A5,_xlpm._qID,$B5,_xlpm._dynamicReference,$F5,_xlpm._firstAnswer,$H5,_xlpm._secondAnswer,$I5,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5" s="13" t="str">
        <f>"Disclosure of "&amp;Definitions!$C$4&amp;" "</f>
        <v xml:space="preserve">Disclosure of &lt;OEM name&gt; </v>
      </c>
      <c r="F5" s="52" t="s">
        <v>582</v>
      </c>
      <c r="G5" s="13"/>
      <c r="H5" s="16" t="str" cm="1">
        <f t="array" aca="1" ref="H5" ca="1">IF($B5="","",_xlfn.LET(_xlpm._value,SimpleLookup($B5,Questionnaire!$A:$C),IF(_xlpm._value="","",_xlpm._value)))</f>
        <v/>
      </c>
      <c r="I5" s="16" t="str" cm="1">
        <f t="array" aca="1" ref="I5" ca="1">IF($B5="","",_xlfn.LET(_xlpm._value,SimpleLookup($B5,Questionnaire!$A:$E),IF(_xlpm._value="","",_xlpm._value)))</f>
        <v/>
      </c>
      <c r="J5" s="16" t="str">
        <f t="shared" ca="1" si="0"/>
        <v/>
      </c>
      <c r="K5" s="13"/>
      <c r="L5" s="16" t="str">
        <f t="shared" ca="1" si="1"/>
        <v/>
      </c>
      <c r="M5" s="16" t="str" cm="1">
        <f t="array" aca="1" ref="M5" ca="1">IF($L5="","",IFERROR(SimpleLookup($L5,Definitions!$H:$J),""))</f>
        <v/>
      </c>
      <c r="N5" s="13"/>
      <c r="O5" s="16" t="str" cm="1">
        <f t="array" aca="1" ref="O5" ca="1">IF($N5&lt;&gt;"",$N5,_xlfn.LET(
_xlpm._qID,$B5,_xlpm._firstAnswer,$H5,_xlpm._secondAnswer,$I5,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QI3 Does the product contain &lt;OEM name&gt; intellectual property?
Note: Only IP which is part of / accessible by the firmware / software in the product is in scope of this question. Gaining access to optical and mechanical IP are not covered by this question (and the cybersecurity risk analysis)
» </v>
      </c>
      <c r="P5" s="13"/>
      <c r="Q5" s="10" cm="1">
        <f t="array" ref="Q5">IF(ROW()=ROW($Q$2)+1,0,INDEX($Q:$Q,ROW()-1))+IF($A5="",0,1)</f>
        <v>3</v>
      </c>
      <c r="R5" s="24" cm="1">
        <f t="array" ref="R5">CreateTaskID($R$2,$R:$R,Tasks!$B$17,$P5)</f>
        <v>0</v>
      </c>
      <c r="S5" s="14" cm="1">
        <f t="array" aca="1" ref="S5" ca="1">CreateID($S$2,$S:$S,$D5="x")</f>
        <v>0</v>
      </c>
      <c r="T5" s="14" t="str">
        <f t="shared" ca="1" si="2"/>
        <v/>
      </c>
      <c r="U5" s="14" cm="1">
        <f t="array" aca="1" ref="U5" ca="1">IF($M5="",0,SimpleLookup($M5,Definitions!$Q:$R))</f>
        <v>0</v>
      </c>
      <c r="V5" s="20" t="str">
        <f t="shared" ca="1" si="3"/>
        <v/>
      </c>
    </row>
    <row r="6" spans="1:22" ht="75" x14ac:dyDescent="0.25">
      <c r="A6" s="13" t="s">
        <v>161</v>
      </c>
      <c r="B6" s="13" t="s">
        <v>1095</v>
      </c>
      <c r="C6" s="16" t="str" cm="1">
        <f t="array" aca="1" ref="C6" ca="1">IF($B6="","",IFERROR(SimpleLookup($B6,Questions!$A:$B),"Error: Unknown ID: "&amp;$B6))</f>
        <v>Is &lt;OEM name&gt; (typically) obliged to keep the processed / stored data (including third-party IP) confidential by contract or law? (Note that this concerns individual obligations, not the standard product warranty).</v>
      </c>
      <c r="D6" s="52" t="str">
        <f ca="1">_xlfn.LET(
_xlpm._dsID,$A6,_xlpm._qID,$B6,_xlpm._dynamicReference,$F6,_xlpm._firstAnswer,$H6,_xlpm._secondAnswer,$I6,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6" s="13" t="s">
        <v>595</v>
      </c>
      <c r="F6" s="52" t="s">
        <v>582</v>
      </c>
      <c r="G6" s="13" t="s">
        <v>583</v>
      </c>
      <c r="H6" s="16" t="str" cm="1">
        <f t="array" aca="1" ref="H6" ca="1">IF($B6="","",_xlfn.LET(_xlpm._value,SimpleLookup($B6,Questionnaire!$A:$C),IF(_xlpm._value="","",_xlpm._value)))</f>
        <v/>
      </c>
      <c r="I6" s="16" t="str" cm="1">
        <f t="array" aca="1" ref="I6" ca="1">IF($B6="","",_xlfn.LET(_xlpm._value,SimpleLookup($B6,Questionnaire!$A:$E),IF(_xlpm._value="","",_xlpm._value)))</f>
        <v/>
      </c>
      <c r="J6" s="16" t="str">
        <f t="shared" ca="1" si="0"/>
        <v/>
      </c>
      <c r="K6" s="13"/>
      <c r="L6" s="16" t="str">
        <f t="shared" ca="1" si="1"/>
        <v/>
      </c>
      <c r="M6" s="16" t="str" cm="1">
        <f t="array" aca="1" ref="M6" ca="1">IF($L6="","",IFERROR(SimpleLookup($L6,Definitions!$H:$J),""))</f>
        <v/>
      </c>
      <c r="N6" s="13"/>
      <c r="O6" s="16" t="str" cm="1">
        <f t="array" aca="1" ref="O6" ca="1">IF($N6&lt;&gt;"",$N6,_xlfn.LET(
_xlpm._qID,$B6,_xlpm._firstAnswer,$H6,_xlpm._secondAnswer,$I6,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QI4 Is &lt;OEM name&gt; (typically) obliged to keep the processed / stored data (including third-party IP) confidential by contract or law? (Note that this concerns individual obligations, not the standard product warranty).
» </v>
      </c>
      <c r="P6" s="13"/>
      <c r="Q6" s="10" cm="1">
        <f t="array" ref="Q6">IF(ROW()=ROW($Q$2)+1,0,INDEX($Q:$Q,ROW()-1))+IF($A6="",0,1)</f>
        <v>4</v>
      </c>
      <c r="R6" s="24" cm="1">
        <f t="array" ref="R6">CreateTaskID($R$2,$R:$R,Tasks!$B$17,$P6)</f>
        <v>0</v>
      </c>
      <c r="S6" s="14" cm="1">
        <f t="array" aca="1" ref="S6" ca="1">CreateID($S$2,$S:$S,$D6="x")</f>
        <v>0</v>
      </c>
      <c r="T6" s="14" t="str">
        <f t="shared" ca="1" si="2"/>
        <v/>
      </c>
      <c r="U6" s="14" cm="1">
        <f t="array" aca="1" ref="U6" ca="1">IF($M6="",0,SimpleLookup($M6,Definitions!$Q:$R))</f>
        <v>0</v>
      </c>
      <c r="V6" s="20" t="str">
        <f t="shared" ca="1" si="3"/>
        <v/>
      </c>
    </row>
    <row r="7" spans="1:22" ht="75" x14ac:dyDescent="0.25">
      <c r="A7" s="13" t="s">
        <v>162</v>
      </c>
      <c r="B7" s="13" t="s">
        <v>1093</v>
      </c>
      <c r="C7" s="16" t="str" cm="1">
        <f t="array" aca="1" ref="C7" ca="1">IF($B7="","",IFERROR(SimpleLookup($B7,Questions!$A:$B),"Error: Unknown ID: "&amp;$B7))</f>
        <v>Does the product contain credentials / cryptographic keys that allow access to sensitive data or to systems in the product's operational environment? (Note: this includes cryptographic data introduced by the customer.)</v>
      </c>
      <c r="D7" s="52" t="str">
        <f ca="1">_xlfn.LET(
_xlpm._dsID,$A7,_xlpm._qID,$B7,_xlpm._dynamicReference,$F7,_xlpm._firstAnswer,$H7,_xlpm._secondAnswer,$I7,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7" s="13" t="s">
        <v>584</v>
      </c>
      <c r="F7" s="52" t="s">
        <v>582</v>
      </c>
      <c r="G7" s="13"/>
      <c r="H7" s="16" t="str" cm="1">
        <f t="array" aca="1" ref="H7" ca="1">IF($B7="","",_xlfn.LET(_xlpm._value,SimpleLookup($B7,Questionnaire!$A:$C),IF(_xlpm._value="","",_xlpm._value)))</f>
        <v/>
      </c>
      <c r="I7" s="16" t="str" cm="1">
        <f t="array" aca="1" ref="I7" ca="1">IF($B7="","",_xlfn.LET(_xlpm._value,SimpleLookup($B7,Questionnaire!$A:$E),IF(_xlpm._value="","",_xlpm._value)))</f>
        <v/>
      </c>
      <c r="J7" s="16" t="str">
        <f t="shared" ca="1" si="0"/>
        <v/>
      </c>
      <c r="K7" s="13"/>
      <c r="L7" s="16" t="str">
        <f t="shared" ca="1" si="1"/>
        <v/>
      </c>
      <c r="M7" s="16" t="str" cm="1">
        <f t="array" aca="1" ref="M7" ca="1">IF($L7="","",IFERROR(SimpleLookup($L7,Definitions!$H:$J),""))</f>
        <v/>
      </c>
      <c r="N7" s="13"/>
      <c r="O7" s="16" t="str" cm="1">
        <f t="array" aca="1" ref="O7" ca="1">IF($N7&lt;&gt;"",$N7,_xlfn.LET(
_xlpm._qID,$B7,_xlpm._firstAnswer,$H7,_xlpm._secondAnswer,$I7,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QI5 Does the product contain credentials / cryptographic keys that allow access to sensitive data or to systems in the product's operational environment? (Note: this includes cryptographic data introduced by the customer.)
» </v>
      </c>
      <c r="P7" s="13"/>
      <c r="Q7" s="10" cm="1">
        <f t="array" ref="Q7">IF(ROW()=ROW($Q$2)+1,0,INDEX($Q:$Q,ROW()-1))+IF($A7="",0,1)</f>
        <v>5</v>
      </c>
      <c r="R7" s="24" cm="1">
        <f t="array" ref="R7">CreateTaskID($R$2,$R:$R,Tasks!$B$17,$P7)</f>
        <v>0</v>
      </c>
      <c r="S7" s="14" cm="1">
        <f t="array" aca="1" ref="S7" ca="1">CreateID($S$2,$S:$S,$D7="x")</f>
        <v>0</v>
      </c>
      <c r="T7" s="14" t="str">
        <f t="shared" ca="1" si="2"/>
        <v/>
      </c>
      <c r="U7" s="14" cm="1">
        <f t="array" aca="1" ref="U7" ca="1">IF($M7="",0,SimpleLookup($M7,Definitions!$Q:$R))</f>
        <v>0</v>
      </c>
      <c r="V7" s="20" t="str">
        <f t="shared" ca="1" si="3"/>
        <v/>
      </c>
    </row>
    <row r="8" spans="1:22" ht="75" x14ac:dyDescent="0.25">
      <c r="A8" s="13" t="s">
        <v>163</v>
      </c>
      <c r="B8" s="13" t="s">
        <v>1090</v>
      </c>
      <c r="C8" s="16" t="str" cm="1">
        <f t="array" aca="1" ref="C8" ca="1">IF($B8="","",IFERROR(SimpleLookup($B8,Questions!$A:$B),"Error: Unknown ID: "&amp;$B8))</f>
        <v>Can a loss of availability of the product (or its communication) endanger the health of people?
(Consider how the operational environment reacts to a loss of availability of the product.)</v>
      </c>
      <c r="D8" s="52" t="str">
        <f ca="1">_xlfn.LET(
_xlpm._dsID,$A8,_xlpm._qID,$B8,_xlpm._dynamicReference,$F8,_xlpm._firstAnswer,$H8,_xlpm._secondAnswer,$I8,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8" s="13"/>
      <c r="F8" s="52" t="s">
        <v>582</v>
      </c>
      <c r="G8" s="13" t="s">
        <v>585</v>
      </c>
      <c r="H8" s="16" t="str" cm="1">
        <f t="array" aca="1" ref="H8" ca="1">IF($B8="","",_xlfn.LET(_xlpm._value,SimpleLookup($B8,Questionnaire!$A:$C),IF(_xlpm._value="","",_xlpm._value)))</f>
        <v/>
      </c>
      <c r="I8" s="16" t="str" cm="1">
        <f t="array" aca="1" ref="I8" ca="1">IF($B8="","",_xlfn.LET(_xlpm._value,SimpleLookup($B8,Questionnaire!$A:$E),IF(_xlpm._value="","",_xlpm._value)))</f>
        <v/>
      </c>
      <c r="J8" s="16" t="str">
        <f t="shared" ca="1" si="0"/>
        <v/>
      </c>
      <c r="K8" s="13"/>
      <c r="L8" s="16" t="str">
        <f t="shared" ca="1" si="1"/>
        <v/>
      </c>
      <c r="M8" s="16" t="str" cm="1">
        <f t="array" aca="1" ref="M8" ca="1">IF($L8="","",IFERROR(SimpleLookup($L8,Definitions!$H:$J),""))</f>
        <v/>
      </c>
      <c r="N8" s="13"/>
      <c r="O8" s="16" t="str" cm="1">
        <f t="array" aca="1" ref="O8" ca="1">IF($N8&lt;&gt;"",$N8,_xlfn.LET(
_xlpm._qID,$B8,_xlpm._firstAnswer,$H8,_xlpm._secondAnswer,$I8,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QI6 Can a loss of availability of the product (or its communication) endanger the health of people?
(Consider how the operational environment reacts to a loss of availability of the product.)
» </v>
      </c>
      <c r="P8" s="13"/>
      <c r="Q8" s="10" cm="1">
        <f t="array" ref="Q8">IF(ROW()=ROW($Q$2)+1,0,INDEX($Q:$Q,ROW()-1))+IF($A8="",0,1)</f>
        <v>6</v>
      </c>
      <c r="R8" s="24" cm="1">
        <f t="array" ref="R8">CreateTaskID($R$2,$R:$R,Tasks!$B$17,$P8)</f>
        <v>0</v>
      </c>
      <c r="S8" s="14" cm="1">
        <f t="array" aca="1" ref="S8" ca="1">CreateID($S$2,$S:$S,$D8="x")</f>
        <v>0</v>
      </c>
      <c r="T8" s="14" t="str">
        <f t="shared" ca="1" si="2"/>
        <v/>
      </c>
      <c r="U8" s="14" cm="1">
        <f t="array" aca="1" ref="U8" ca="1">IF($M8="",0,SimpleLookup($M8,Definitions!$Q:$R))</f>
        <v>0</v>
      </c>
      <c r="V8" s="20" t="str">
        <f t="shared" ca="1" si="3"/>
        <v/>
      </c>
    </row>
    <row r="9" spans="1:22" ht="45" x14ac:dyDescent="0.25">
      <c r="A9" s="13" t="s">
        <v>164</v>
      </c>
      <c r="B9" s="13" t="s">
        <v>1088</v>
      </c>
      <c r="C9" s="16" t="str" cm="1">
        <f t="array" aca="1" ref="C9" ca="1">IF($B9="","",IFERROR(SimpleLookup($B9,Questions!$A:$B),"Error: Unknown ID: "&amp;$B9))</f>
        <v>Is the availability of the product relevant for its operational environment?</v>
      </c>
      <c r="D9" s="52" t="str">
        <f ca="1">_xlfn.LET(
_xlpm._dsID,$A9,_xlpm._qID,$B9,_xlpm._dynamicReference,$F9,_xlpm._firstAnswer,$H9,_xlpm._secondAnswer,$I9,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9" s="13"/>
      <c r="F9" s="52" t="s">
        <v>582</v>
      </c>
      <c r="G9" s="13" t="s">
        <v>585</v>
      </c>
      <c r="H9" s="16" t="str" cm="1">
        <f t="array" aca="1" ref="H9" ca="1">IF($B9="","",_xlfn.LET(_xlpm._value,SimpleLookup($B9,Questionnaire!$A:$C),IF(_xlpm._value="","",_xlpm._value)))</f>
        <v/>
      </c>
      <c r="I9" s="16" t="str" cm="1">
        <f t="array" aca="1" ref="I9" ca="1">IF($B9="","",_xlfn.LET(_xlpm._value,SimpleLookup($B9,Questionnaire!$A:$E),IF(_xlpm._value="","",_xlpm._value)))</f>
        <v/>
      </c>
      <c r="J9" s="16" t="str">
        <f t="shared" ca="1" si="0"/>
        <v/>
      </c>
      <c r="K9" s="13"/>
      <c r="L9" s="16" t="str">
        <f t="shared" ca="1" si="1"/>
        <v/>
      </c>
      <c r="M9" s="16" t="str" cm="1">
        <f t="array" aca="1" ref="M9" ca="1">IF($L9="","",IFERROR(SimpleLookup($L9,Definitions!$H:$J),""))</f>
        <v/>
      </c>
      <c r="N9" s="13"/>
      <c r="O9" s="16" t="str" cm="1">
        <f t="array" aca="1" ref="O9" ca="1">IF($N9&lt;&gt;"",$N9,_xlfn.LET(
_xlpm._qID,$B9,_xlpm._firstAnswer,$H9,_xlpm._secondAnswer,$I9,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QI7 Is the availability of the product relevant for its operational environment?
» </v>
      </c>
      <c r="P9" s="13"/>
      <c r="Q9" s="10" cm="1">
        <f t="array" ref="Q9">IF(ROW()=ROW($Q$2)+1,0,INDEX($Q:$Q,ROW()-1))+IF($A9="",0,1)</f>
        <v>7</v>
      </c>
      <c r="R9" s="24" cm="1">
        <f t="array" ref="R9">CreateTaskID($R$2,$R:$R,Tasks!$B$17,$P9)</f>
        <v>0</v>
      </c>
      <c r="S9" s="14" cm="1">
        <f t="array" aca="1" ref="S9" ca="1">CreateID($S$2,$S:$S,$D9="x")</f>
        <v>0</v>
      </c>
      <c r="T9" s="14" t="str">
        <f t="shared" ca="1" si="2"/>
        <v/>
      </c>
      <c r="U9" s="14" cm="1">
        <f t="array" aca="1" ref="U9" ca="1">IF($M9="",0,SimpleLookup($M9,Definitions!$Q:$R))</f>
        <v>0</v>
      </c>
      <c r="V9" s="20" t="str">
        <f t="shared" ca="1" si="3"/>
        <v/>
      </c>
    </row>
    <row r="10" spans="1:22" ht="75" x14ac:dyDescent="0.25">
      <c r="A10" s="13" t="s">
        <v>165</v>
      </c>
      <c r="B10" s="13" t="s">
        <v>1086</v>
      </c>
      <c r="C10" s="16" t="str" cm="1">
        <f t="array" aca="1" ref="C10" ca="1">IF($B10="","",IFERROR(SimpleLookup($B10,Questions!$A:$B),"Error: Unknown ID: "&amp;$B10))</f>
        <v>Can a loss of availability allow an attacker access to assets of the customer (including physical access not detected by the &lt;OEM name&gt; product)? Example: The product is used for access control.</v>
      </c>
      <c r="D10" s="52" t="str">
        <f ca="1">_xlfn.LET(
_xlpm._dsID,$A10,_xlpm._qID,$B10,_xlpm._dynamicReference,$F10,_xlpm._firstAnswer,$H10,_xlpm._secondAnswer,$I10,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10" s="13" t="s">
        <v>586</v>
      </c>
      <c r="F10" s="52" t="s">
        <v>582</v>
      </c>
      <c r="G10" s="13" t="s">
        <v>585</v>
      </c>
      <c r="H10" s="16" t="str" cm="1">
        <f t="array" aca="1" ref="H10" ca="1">IF($B10="","",_xlfn.LET(_xlpm._value,SimpleLookup($B10,Questionnaire!$A:$C),IF(_xlpm._value="","",_xlpm._value)))</f>
        <v/>
      </c>
      <c r="I10" s="16" t="str" cm="1">
        <f t="array" aca="1" ref="I10" ca="1">IF($B10="","",_xlfn.LET(_xlpm._value,SimpleLookup($B10,Questionnaire!$A:$E),IF(_xlpm._value="","",_xlpm._value)))</f>
        <v/>
      </c>
      <c r="J10" s="16" t="str">
        <f t="shared" ca="1" si="0"/>
        <v/>
      </c>
      <c r="K10" s="13"/>
      <c r="L10" s="16" t="str">
        <f t="shared" ca="1" si="1"/>
        <v/>
      </c>
      <c r="M10" s="16" t="str" cm="1">
        <f t="array" aca="1" ref="M10" ca="1">IF($L10="","",IFERROR(SimpleLookup($L10,Definitions!$H:$J),""))</f>
        <v/>
      </c>
      <c r="N10" s="13"/>
      <c r="O10" s="16" t="str" cm="1">
        <f t="array" aca="1" ref="O10" ca="1">IF($N10&lt;&gt;"",$N10,_xlfn.LET(
_xlpm._qID,$B10,_xlpm._firstAnswer,$H10,_xlpm._secondAnswer,$I10,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QI8 Can a loss of availability allow an attacker access to assets of the customer (including physical access not detected by the &lt;OEM name&gt; product)? Example: The product is used for access control.
» </v>
      </c>
      <c r="P10" s="13"/>
      <c r="Q10" s="10" cm="1">
        <f t="array" ref="Q10">IF(ROW()=ROW($Q$2)+1,0,INDEX($Q:$Q,ROW()-1))+IF($A10="",0,1)</f>
        <v>8</v>
      </c>
      <c r="R10" s="24" cm="1">
        <f t="array" ref="R10">CreateTaskID($R$2,$R:$R,Tasks!$B$17,$P10)</f>
        <v>0</v>
      </c>
      <c r="S10" s="14" cm="1">
        <f t="array" aca="1" ref="S10" ca="1">CreateID($S$2,$S:$S,$D10="x")</f>
        <v>0</v>
      </c>
      <c r="T10" s="14" t="str">
        <f t="shared" ca="1" si="2"/>
        <v/>
      </c>
      <c r="U10" s="14" cm="1">
        <f t="array" aca="1" ref="U10" ca="1">IF($M10="",0,SimpleLookup($M10,Definitions!$Q:$R))</f>
        <v>0</v>
      </c>
      <c r="V10" s="20" t="str">
        <f t="shared" ca="1" si="3"/>
        <v/>
      </c>
    </row>
    <row r="11" spans="1:22" ht="45" x14ac:dyDescent="0.25">
      <c r="A11" s="13" t="s">
        <v>166</v>
      </c>
      <c r="B11" s="13" t="s">
        <v>1084</v>
      </c>
      <c r="C11" s="16" t="str" cm="1">
        <f t="array" aca="1" ref="C11" ca="1">IF($B11="","",IFERROR(SimpleLookup($B11,Questions!$A:$B),"Error: Unknown ID: "&amp;$B11))</f>
        <v>Can a loss of availability cause contract-related fines (e.g., based on a service level agreement)?</v>
      </c>
      <c r="D11" s="52" t="str">
        <f ca="1">_xlfn.LET(
_xlpm._dsID,$A11,_xlpm._qID,$B11,_xlpm._dynamicReference,$F11,_xlpm._firstAnswer,$H11,_xlpm._secondAnswer,$I11,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11" s="13" t="s">
        <v>587</v>
      </c>
      <c r="F11" s="52" t="s">
        <v>582</v>
      </c>
      <c r="G11" s="13" t="s">
        <v>585</v>
      </c>
      <c r="H11" s="16" t="str" cm="1">
        <f t="array" aca="1" ref="H11" ca="1">IF($B11="","",_xlfn.LET(_xlpm._value,SimpleLookup($B11,Questionnaire!$A:$C),IF(_xlpm._value="","",_xlpm._value)))</f>
        <v/>
      </c>
      <c r="I11" s="16" t="str" cm="1">
        <f t="array" aca="1" ref="I11" ca="1">IF($B11="","",_xlfn.LET(_xlpm._value,SimpleLookup($B11,Questionnaire!$A:$E),IF(_xlpm._value="","",_xlpm._value)))</f>
        <v/>
      </c>
      <c r="J11" s="16" t="str">
        <f t="shared" ca="1" si="0"/>
        <v/>
      </c>
      <c r="K11" s="13"/>
      <c r="L11" s="16" t="str">
        <f t="shared" ca="1" si="1"/>
        <v/>
      </c>
      <c r="M11" s="16" t="str" cm="1">
        <f t="array" aca="1" ref="M11" ca="1">IF($L11="","",IFERROR(SimpleLookup($L11,Definitions!$H:$J),""))</f>
        <v/>
      </c>
      <c r="N11" s="13"/>
      <c r="O11" s="16" t="str" cm="1">
        <f t="array" aca="1" ref="O11" ca="1">IF($N11&lt;&gt;"",$N11,_xlfn.LET(
_xlpm._qID,$B11,_xlpm._firstAnswer,$H11,_xlpm._secondAnswer,$I11,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QI9 Can a loss of availability cause contract-related fines (e.g., based on a service level agreement)?
» </v>
      </c>
      <c r="P11" s="13"/>
      <c r="Q11" s="10" cm="1">
        <f t="array" ref="Q11">IF(ROW()=ROW($Q$2)+1,0,INDEX($Q:$Q,ROW()-1))+IF($A11="",0,1)</f>
        <v>9</v>
      </c>
      <c r="R11" s="24" cm="1">
        <f t="array" ref="R11">CreateTaskID($R$2,$R:$R,Tasks!$B$17,$P11)</f>
        <v>0</v>
      </c>
      <c r="S11" s="14" cm="1">
        <f t="array" aca="1" ref="S11" ca="1">CreateID($S$2,$S:$S,$D11="x")</f>
        <v>0</v>
      </c>
      <c r="T11" s="14" t="str">
        <f t="shared" ca="1" si="2"/>
        <v/>
      </c>
      <c r="U11" s="14" cm="1">
        <f t="array" aca="1" ref="U11" ca="1">IF($M11="",0,SimpleLookup($M11,Definitions!$Q:$R))</f>
        <v>0</v>
      </c>
      <c r="V11" s="20" t="str">
        <f t="shared" ca="1" si="3"/>
        <v/>
      </c>
    </row>
    <row r="12" spans="1:22" ht="60" x14ac:dyDescent="0.25">
      <c r="A12" s="13" t="s">
        <v>167</v>
      </c>
      <c r="B12" s="13" t="s">
        <v>1080</v>
      </c>
      <c r="C12" s="16" t="str" cm="1">
        <f t="array" aca="1" ref="C12" ca="1">IF($B12="","",IFERROR(SimpleLookup($B12,Questions!$A:$B),"Error: Unknown ID: "&amp;$B12))</f>
        <v>Can a manipulated product (or its communication) endanger the health of people? Also consider cases where the product is used against its intended use or misconfigured!</v>
      </c>
      <c r="D12" s="52" t="str">
        <f ca="1">_xlfn.LET(
_xlpm._dsID,$A12,_xlpm._qID,$B12,_xlpm._dynamicReference,$F12,_xlpm._firstAnswer,$H12,_xlpm._secondAnswer,$I12,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12" s="13"/>
      <c r="F12" s="52" t="s">
        <v>582</v>
      </c>
      <c r="G12" s="13" t="s">
        <v>588</v>
      </c>
      <c r="H12" s="16" t="str" cm="1">
        <f t="array" aca="1" ref="H12" ca="1">IF($B12="","",_xlfn.LET(_xlpm._value,SimpleLookup($B12,Questionnaire!$A:$C),IF(_xlpm._value="","",_xlpm._value)))</f>
        <v/>
      </c>
      <c r="I12" s="16" t="str" cm="1">
        <f t="array" aca="1" ref="I12" ca="1">IF($B12="","",_xlfn.LET(_xlpm._value,SimpleLookup($B12,Questionnaire!$A:$E),IF(_xlpm._value="","",_xlpm._value)))</f>
        <v/>
      </c>
      <c r="J12" s="16" t="str">
        <f t="shared" ca="1" si="0"/>
        <v/>
      </c>
      <c r="K12" s="13"/>
      <c r="L12" s="16" t="str">
        <f t="shared" ca="1" si="1"/>
        <v/>
      </c>
      <c r="M12" s="16" t="str" cm="1">
        <f t="array" aca="1" ref="M12" ca="1">IF($L12="","",IFERROR(SimpleLookup($L12,Definitions!$H:$J),""))</f>
        <v/>
      </c>
      <c r="N12" s="13"/>
      <c r="O12" s="16" t="str" cm="1">
        <f t="array" aca="1" ref="O12" ca="1">IF($N12&lt;&gt;"",$N12,_xlfn.LET(
_xlpm._qID,$B12,_xlpm._firstAnswer,$H12,_xlpm._secondAnswer,$I12,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QI10 Can a manipulated product (or its communication) endanger the health of people? Also consider cases where the product is used against its intended use or misconfigured!
» </v>
      </c>
      <c r="P12" s="13"/>
      <c r="Q12" s="10" cm="1">
        <f t="array" ref="Q12">IF(ROW()=ROW($Q$2)+1,0,INDEX($Q:$Q,ROW()-1))+IF($A12="",0,1)</f>
        <v>10</v>
      </c>
      <c r="R12" s="24" cm="1">
        <f t="array" ref="R12">CreateTaskID($R$2,$R:$R,Tasks!$B$17,$P12)</f>
        <v>0</v>
      </c>
      <c r="S12" s="14" cm="1">
        <f t="array" aca="1" ref="S12" ca="1">CreateID($S$2,$S:$S,$D12="x")</f>
        <v>0</v>
      </c>
      <c r="T12" s="14" t="str">
        <f t="shared" ca="1" si="2"/>
        <v/>
      </c>
      <c r="U12" s="14" cm="1">
        <f t="array" aca="1" ref="U12" ca="1">IF($M12="",0,SimpleLookup($M12,Definitions!$Q:$R))</f>
        <v>0</v>
      </c>
      <c r="V12" s="20" t="str">
        <f t="shared" ca="1" si="3"/>
        <v/>
      </c>
    </row>
    <row r="13" spans="1:22" ht="60" x14ac:dyDescent="0.25">
      <c r="A13" s="13" t="s">
        <v>168</v>
      </c>
      <c r="B13" s="13" t="s">
        <v>1079</v>
      </c>
      <c r="C13" s="16" t="str" cm="1">
        <f t="array" aca="1" ref="C13" ca="1">IF($B13="","",IFERROR(SimpleLookup($B13,Questions!$A:$B),"Error: Unknown ID: "&amp;$B13))</f>
        <v>Can a manipulated product disclose personal data to an attacker? Also consider cases where the product is used against its intended use or misconfigured!</v>
      </c>
      <c r="D13" s="52" t="str">
        <f ca="1">_xlfn.LET(
_xlpm._dsID,$A13,_xlpm._qID,$B13,_xlpm._dynamicReference,$F13,_xlpm._firstAnswer,$H13,_xlpm._secondAnswer,$I13,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13" s="13"/>
      <c r="F13" s="52" t="s">
        <v>582</v>
      </c>
      <c r="G13" s="13" t="s">
        <v>589</v>
      </c>
      <c r="H13" s="16" t="str" cm="1">
        <f t="array" aca="1" ref="H13" ca="1">IF($B13="","",_xlfn.LET(_xlpm._value,SimpleLookup($B13,Questionnaire!$A:$C),IF(_xlpm._value="","",_xlpm._value)))</f>
        <v/>
      </c>
      <c r="I13" s="16" t="str" cm="1">
        <f t="array" aca="1" ref="I13" ca="1">IF($B13="","",_xlfn.LET(_xlpm._value,SimpleLookup($B13,Questionnaire!$A:$E),IF(_xlpm._value="","",_xlpm._value)))</f>
        <v/>
      </c>
      <c r="J13" s="16" t="str">
        <f t="shared" ca="1" si="0"/>
        <v/>
      </c>
      <c r="K13" s="13"/>
      <c r="L13" s="16" t="str">
        <f t="shared" ca="1" si="1"/>
        <v/>
      </c>
      <c r="M13" s="16" t="str" cm="1">
        <f t="array" aca="1" ref="M13" ca="1">IF($L13="","",IFERROR(SimpleLookup($L13,Definitions!$H:$J),""))</f>
        <v/>
      </c>
      <c r="N13" s="13"/>
      <c r="O13" s="16" t="str" cm="1">
        <f t="array" aca="1" ref="O13" ca="1">IF($N13&lt;&gt;"",$N13,_xlfn.LET(
_xlpm._qID,$B13,_xlpm._firstAnswer,$H13,_xlpm._secondAnswer,$I13,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QI11 Can a manipulated product disclose personal data to an attacker? Also consider cases where the product is used against its intended use or misconfigured!
» </v>
      </c>
      <c r="P13" s="13"/>
      <c r="Q13" s="10" cm="1">
        <f t="array" ref="Q13">IF(ROW()=ROW($Q$2)+1,0,INDEX($Q:$Q,ROW()-1))+IF($A13="",0,1)</f>
        <v>11</v>
      </c>
      <c r="R13" s="24" cm="1">
        <f t="array" ref="R13">CreateTaskID($R$2,$R:$R,Tasks!$B$17,$P13)</f>
        <v>0</v>
      </c>
      <c r="S13" s="14" cm="1">
        <f t="array" aca="1" ref="S13" ca="1">CreateID($S$2,$S:$S,$D13="x")</f>
        <v>0</v>
      </c>
      <c r="T13" s="14" t="str">
        <f t="shared" ca="1" si="2"/>
        <v/>
      </c>
      <c r="U13" s="14" cm="1">
        <f t="array" aca="1" ref="U13" ca="1">IF($M13="",0,SimpleLookup($M13,Definitions!$Q:$R))</f>
        <v>0</v>
      </c>
      <c r="V13" s="20" t="str">
        <f t="shared" ca="1" si="3"/>
        <v/>
      </c>
    </row>
    <row r="14" spans="1:22" ht="60" x14ac:dyDescent="0.25">
      <c r="A14" s="13" t="s">
        <v>169</v>
      </c>
      <c r="B14" s="13" t="s">
        <v>1078</v>
      </c>
      <c r="C14" s="16" t="str" cm="1">
        <f t="array" aca="1" ref="C14" ca="1">IF($B14="","",IFERROR(SimpleLookup($B14,Questions!$A:$B),"Error: Unknown ID: "&amp;$B14))</f>
        <v>Can a manipulated product disclose intellectual property to an attacker? Also consider cases where the product is used against its intended use or misconfigured!</v>
      </c>
      <c r="D14" s="52" t="str">
        <f ca="1">_xlfn.LET(
_xlpm._dsID,$A14,_xlpm._qID,$B14,_xlpm._dynamicReference,$F14,_xlpm._firstAnswer,$H14,_xlpm._secondAnswer,$I14,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14" s="13"/>
      <c r="F14" s="52" t="s">
        <v>582</v>
      </c>
      <c r="G14" s="13" t="s">
        <v>589</v>
      </c>
      <c r="H14" s="16" t="str" cm="1">
        <f t="array" aca="1" ref="H14" ca="1">IF($B14="","",_xlfn.LET(_xlpm._value,SimpleLookup($B14,Questionnaire!$A:$C),IF(_xlpm._value="","",_xlpm._value)))</f>
        <v/>
      </c>
      <c r="I14" s="16" t="str" cm="1">
        <f t="array" aca="1" ref="I14" ca="1">IF($B14="","",_xlfn.LET(_xlpm._value,SimpleLookup($B14,Questionnaire!$A:$E),IF(_xlpm._value="","",_xlpm._value)))</f>
        <v/>
      </c>
      <c r="J14" s="16" t="str">
        <f t="shared" ca="1" si="0"/>
        <v/>
      </c>
      <c r="K14" s="13"/>
      <c r="L14" s="16" t="str">
        <f t="shared" ca="1" si="1"/>
        <v/>
      </c>
      <c r="M14" s="16" t="str" cm="1">
        <f t="array" aca="1" ref="M14" ca="1">IF($L14="","",IFERROR(SimpleLookup($L14,Definitions!$H:$J),""))</f>
        <v/>
      </c>
      <c r="N14" s="13"/>
      <c r="O14" s="16" t="str" cm="1">
        <f t="array" aca="1" ref="O14" ca="1">IF($N14&lt;&gt;"",$N14,_xlfn.LET(
_xlpm._qID,$B14,_xlpm._firstAnswer,$H14,_xlpm._secondAnswer,$I14,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QI12 Can a manipulated product disclose intellectual property to an attacker? Also consider cases where the product is used against its intended use or misconfigured!
» </v>
      </c>
      <c r="P14" s="13"/>
      <c r="Q14" s="10" cm="1">
        <f t="array" ref="Q14">IF(ROW()=ROW($Q$2)+1,0,INDEX($Q:$Q,ROW()-1))+IF($A14="",0,1)</f>
        <v>12</v>
      </c>
      <c r="R14" s="24" cm="1">
        <f t="array" ref="R14">CreateTaskID($R$2,$R:$R,Tasks!$B$17,$P14)</f>
        <v>0</v>
      </c>
      <c r="S14" s="14" cm="1">
        <f t="array" aca="1" ref="S14" ca="1">CreateID($S$2,$S:$S,$D14="x")</f>
        <v>0</v>
      </c>
      <c r="T14" s="14" t="str">
        <f t="shared" ca="1" si="2"/>
        <v/>
      </c>
      <c r="U14" s="14" cm="1">
        <f t="array" aca="1" ref="U14" ca="1">IF($M14="",0,SimpleLookup($M14,Definitions!$Q:$R))</f>
        <v>0</v>
      </c>
      <c r="V14" s="20" t="str">
        <f t="shared" ca="1" si="3"/>
        <v/>
      </c>
    </row>
    <row r="15" spans="1:22" ht="90" x14ac:dyDescent="0.25">
      <c r="A15" s="13" t="s">
        <v>170</v>
      </c>
      <c r="B15" s="13" t="s">
        <v>1077</v>
      </c>
      <c r="C15" s="16" t="str" cm="1">
        <f t="array" aca="1" ref="C15" ca="1">IF($B15="","",IFERROR(SimpleLookup($B15,Questions!$A:$B),"Error: Unknown ID: "&amp;$B15))</f>
        <v>Can a manipulated product disclose credentials / cryptographic material to an attacker? Also consider cases where the product does not disclose the material but misuses its access to other systems! (E.g., product contains access credentials to store data on a server.)</v>
      </c>
      <c r="D15" s="52" t="str">
        <f ca="1">_xlfn.LET(
_xlpm._dsID,$A15,_xlpm._qID,$B15,_xlpm._dynamicReference,$F15,_xlpm._firstAnswer,$H15,_xlpm._secondAnswer,$I15,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15" s="13"/>
      <c r="F15" s="52" t="s">
        <v>582</v>
      </c>
      <c r="G15" s="13" t="s">
        <v>984</v>
      </c>
      <c r="H15" s="16" t="str" cm="1">
        <f t="array" aca="1" ref="H15" ca="1">IF($B15="","",_xlfn.LET(_xlpm._value,SimpleLookup($B15,Questionnaire!$A:$C),IF(_xlpm._value="","",_xlpm._value)))</f>
        <v/>
      </c>
      <c r="I15" s="16" t="str" cm="1">
        <f t="array" aca="1" ref="I15" ca="1">IF($B15="","",_xlfn.LET(_xlpm._value,SimpleLookup($B15,Questionnaire!$A:$E),IF(_xlpm._value="","",_xlpm._value)))</f>
        <v/>
      </c>
      <c r="J15" s="16" t="str">
        <f t="shared" ca="1" si="0"/>
        <v/>
      </c>
      <c r="K15" s="13"/>
      <c r="L15" s="16" t="str">
        <f t="shared" ca="1" si="1"/>
        <v/>
      </c>
      <c r="M15" s="16" t="str" cm="1">
        <f t="array" aca="1" ref="M15" ca="1">IF($L15="","",IFERROR(SimpleLookup($L15,Definitions!$H:$J),""))</f>
        <v/>
      </c>
      <c r="N15" s="13"/>
      <c r="O15" s="16" t="str" cm="1">
        <f t="array" aca="1" ref="O15" ca="1">IF($N15&lt;&gt;"",$N15,_xlfn.LET(
_xlpm._qID,$B15,_xlpm._firstAnswer,$H15,_xlpm._secondAnswer,$I15,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QI13 Can a manipulated product disclose credentials / cryptographic material to an attacker? Also consider cases where the product does not disclose the material but misuses its access to other systems! (E.g., product contains access credentials to store data on a server.)
» </v>
      </c>
      <c r="P15" s="13"/>
      <c r="Q15" s="10" cm="1">
        <f t="array" ref="Q15">IF(ROW()=ROW($Q$2)+1,0,INDEX($Q:$Q,ROW()-1))+IF($A15="",0,1)</f>
        <v>13</v>
      </c>
      <c r="R15" s="24" cm="1">
        <f t="array" ref="R15">CreateTaskID($R$2,$R:$R,Tasks!$B$17,$P15)</f>
        <v>0</v>
      </c>
      <c r="S15" s="14" cm="1">
        <f t="array" aca="1" ref="S15" ca="1">CreateID($S$2,$S:$S,$D15="x")</f>
        <v>0</v>
      </c>
      <c r="T15" s="14" t="str">
        <f t="shared" ca="1" si="2"/>
        <v/>
      </c>
      <c r="U15" s="14" cm="1">
        <f t="array" aca="1" ref="U15" ca="1">IF($M15="",0,SimpleLookup($M15,Definitions!$Q:$R))</f>
        <v>0</v>
      </c>
      <c r="V15" s="20" t="str">
        <f t="shared" ca="1" si="3"/>
        <v/>
      </c>
    </row>
    <row r="16" spans="1:22" ht="45" x14ac:dyDescent="0.25">
      <c r="A16" s="13" t="s">
        <v>171</v>
      </c>
      <c r="B16" s="13" t="s">
        <v>1075</v>
      </c>
      <c r="C16" s="16" t="str" cm="1">
        <f t="array" aca="1" ref="C16" ca="1">IF($B16="","",IFERROR(SimpleLookup($B16,Questions!$A:$B),"Error: Unknown ID: "&amp;$B16))</f>
        <v>Can a manipulated product affect the operation of its operational environment?</v>
      </c>
      <c r="D16" s="52" t="str">
        <f ca="1">_xlfn.LET(
_xlpm._dsID,$A16,_xlpm._qID,$B16,_xlpm._dynamicReference,$F16,_xlpm._firstAnswer,$H16,_xlpm._secondAnswer,$I16,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16" s="13"/>
      <c r="F16" s="52" t="s">
        <v>582</v>
      </c>
      <c r="G16" s="13" t="s">
        <v>588</v>
      </c>
      <c r="H16" s="16" t="str" cm="1">
        <f t="array" aca="1" ref="H16" ca="1">IF($B16="","",_xlfn.LET(_xlpm._value,SimpleLookup($B16,Questionnaire!$A:$C),IF(_xlpm._value="","",_xlpm._value)))</f>
        <v/>
      </c>
      <c r="I16" s="16" t="str" cm="1">
        <f t="array" aca="1" ref="I16" ca="1">IF($B16="","",_xlfn.LET(_xlpm._value,SimpleLookup($B16,Questionnaire!$A:$E),IF(_xlpm._value="","",_xlpm._value)))</f>
        <v/>
      </c>
      <c r="J16" s="16" t="str">
        <f t="shared" ca="1" si="0"/>
        <v/>
      </c>
      <c r="K16" s="13"/>
      <c r="L16" s="16" t="str">
        <f t="shared" ca="1" si="1"/>
        <v/>
      </c>
      <c r="M16" s="16" t="str" cm="1">
        <f t="array" aca="1" ref="M16" ca="1">IF($L16="","",IFERROR(SimpleLookup($L16,Definitions!$H:$J),""))</f>
        <v/>
      </c>
      <c r="N16" s="13"/>
      <c r="O16" s="16" t="str" cm="1">
        <f t="array" aca="1" ref="O16" ca="1">IF($N16&lt;&gt;"",$N16,_xlfn.LET(
_xlpm._qID,$B16,_xlpm._firstAnswer,$H16,_xlpm._secondAnswer,$I16,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QI14 Can a manipulated product affect the operation of its operational environment?
» </v>
      </c>
      <c r="P16" s="13"/>
      <c r="Q16" s="10" cm="1">
        <f t="array" ref="Q16">IF(ROW()=ROW($Q$2)+1,0,INDEX($Q:$Q,ROW()-1))+IF($A16="",0,1)</f>
        <v>14</v>
      </c>
      <c r="R16" s="24" cm="1">
        <f t="array" ref="R16">CreateTaskID($R$2,$R:$R,Tasks!$B$17,$P16)</f>
        <v>0</v>
      </c>
      <c r="S16" s="14" cm="1">
        <f t="array" aca="1" ref="S16" ca="1">CreateID($S$2,$S:$S,$D16="x")</f>
        <v>0</v>
      </c>
      <c r="T16" s="14" t="str">
        <f t="shared" ca="1" si="2"/>
        <v/>
      </c>
      <c r="U16" s="14" cm="1">
        <f t="array" aca="1" ref="U16" ca="1">IF($M16="",0,SimpleLookup($M16,Definitions!$Q:$R))</f>
        <v>0</v>
      </c>
      <c r="V16" s="20" t="str">
        <f t="shared" ca="1" si="3"/>
        <v/>
      </c>
    </row>
    <row r="17" spans="1:22" ht="60" x14ac:dyDescent="0.25">
      <c r="A17" s="13" t="s">
        <v>172</v>
      </c>
      <c r="B17" s="13" t="s">
        <v>1074</v>
      </c>
      <c r="C17" s="16" t="str" cm="1">
        <f t="array" aca="1" ref="C17" ca="1">IF($B17="","",IFERROR(SimpleLookup($B17,Questions!$A:$B),"Error: Unknown ID: "&amp;$B17))</f>
        <v>Can a manipulated product allow an attacker access to assets of the customer or allow the attacker to attack the customer's network?</v>
      </c>
      <c r="D17" s="52" t="str">
        <f ca="1">_xlfn.LET(
_xlpm._dsID,$A17,_xlpm._qID,$B17,_xlpm._dynamicReference,$F17,_xlpm._firstAnswer,$H17,_xlpm._secondAnswer,$I17,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17" s="13"/>
      <c r="F17" s="52" t="s">
        <v>582</v>
      </c>
      <c r="G17" s="13" t="s">
        <v>590</v>
      </c>
      <c r="H17" s="16" t="str" cm="1">
        <f t="array" aca="1" ref="H17" ca="1">IF($B17="","",_xlfn.LET(_xlpm._value,SimpleLookup($B17,Questionnaire!$A:$C),IF(_xlpm._value="","",_xlpm._value)))</f>
        <v/>
      </c>
      <c r="I17" s="16" t="str" cm="1">
        <f t="array" aca="1" ref="I17" ca="1">IF($B17="","",_xlfn.LET(_xlpm._value,SimpleLookup($B17,Questionnaire!$A:$E),IF(_xlpm._value="","",_xlpm._value)))</f>
        <v/>
      </c>
      <c r="J17" s="16" t="str">
        <f t="shared" ca="1" si="0"/>
        <v/>
      </c>
      <c r="K17" s="13"/>
      <c r="L17" s="16" t="str">
        <f t="shared" ca="1" si="1"/>
        <v/>
      </c>
      <c r="M17" s="16" t="str" cm="1">
        <f t="array" aca="1" ref="M17" ca="1">IF($L17="","",IFERROR(SimpleLookup($L17,Definitions!$H:$J),""))</f>
        <v/>
      </c>
      <c r="N17" s="13"/>
      <c r="O17" s="16" t="str" cm="1">
        <f t="array" aca="1" ref="O17" ca="1">IF($N17&lt;&gt;"",$N17,_xlfn.LET(
_xlpm._qID,$B17,_xlpm._firstAnswer,$H17,_xlpm._secondAnswer,$I17,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QI15 Can a manipulated product allow an attacker access to assets of the customer or allow the attacker to attack the customer's network?
» </v>
      </c>
      <c r="P17" s="13"/>
      <c r="Q17" s="10" cm="1">
        <f t="array" ref="Q17">IF(ROW()=ROW($Q$2)+1,0,INDEX($Q:$Q,ROW()-1))+IF($A17="",0,1)</f>
        <v>15</v>
      </c>
      <c r="R17" s="24" cm="1">
        <f t="array" ref="R17">CreateTaskID($R$2,$R:$R,Tasks!$B$17,$P17)</f>
        <v>0</v>
      </c>
      <c r="S17" s="14" cm="1">
        <f t="array" aca="1" ref="S17" ca="1">CreateID($S$2,$S:$S,$D17="x")</f>
        <v>0</v>
      </c>
      <c r="T17" s="14" t="str">
        <f t="shared" ca="1" si="2"/>
        <v/>
      </c>
      <c r="U17" s="14" cm="1">
        <f t="array" aca="1" ref="U17" ca="1">IF($M17="",0,SimpleLookup($M17,Definitions!$Q:$R))</f>
        <v>0</v>
      </c>
      <c r="V17" s="20" t="str">
        <f t="shared" ca="1" si="3"/>
        <v/>
      </c>
    </row>
    <row r="18" spans="1:22" ht="60" x14ac:dyDescent="0.25">
      <c r="A18" s="13" t="s">
        <v>173</v>
      </c>
      <c r="B18" s="13" t="s">
        <v>1072</v>
      </c>
      <c r="C18" s="16" t="str" cm="1">
        <f t="array" aca="1" ref="C18" ca="1">IF($B18="","",IFERROR(SimpleLookup($B18,Questions!$A:$B),"Error: Unknown ID: "&amp;$B18))</f>
        <v>Can a manipulated product cause contract-related / legal fines? (Note that this concerns individual obligations, not the standard product warranty).</v>
      </c>
      <c r="D18" s="52" t="str">
        <f ca="1">_xlfn.LET(
_xlpm._dsID,$A18,_xlpm._qID,$B18,_xlpm._dynamicReference,$F18,_xlpm._firstAnswer,$H18,_xlpm._secondAnswer,$I18,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18" s="13" t="s">
        <v>591</v>
      </c>
      <c r="F18" s="52" t="s">
        <v>582</v>
      </c>
      <c r="G18" s="13" t="s">
        <v>588</v>
      </c>
      <c r="H18" s="16" t="str" cm="1">
        <f t="array" aca="1" ref="H18" ca="1">IF($B18="","",_xlfn.LET(_xlpm._value,SimpleLookup($B18,Questionnaire!$A:$C),IF(_xlpm._value="","",_xlpm._value)))</f>
        <v/>
      </c>
      <c r="I18" s="16" t="str" cm="1">
        <f t="array" aca="1" ref="I18" ca="1">IF($B18="","",_xlfn.LET(_xlpm._value,SimpleLookup($B18,Questionnaire!$A:$E),IF(_xlpm._value="","",_xlpm._value)))</f>
        <v/>
      </c>
      <c r="J18" s="16" t="str">
        <f t="shared" ca="1" si="0"/>
        <v/>
      </c>
      <c r="K18" s="13"/>
      <c r="L18" s="16" t="str">
        <f t="shared" ca="1" si="1"/>
        <v/>
      </c>
      <c r="M18" s="16" t="str" cm="1">
        <f t="array" aca="1" ref="M18" ca="1">IF($L18="","",IFERROR(SimpleLookup($L18,Definitions!$H:$J),""))</f>
        <v/>
      </c>
      <c r="N18" s="13"/>
      <c r="O18" s="16" t="str" cm="1">
        <f t="array" aca="1" ref="O18" ca="1">IF($N18&lt;&gt;"",$N18,_xlfn.LET(
_xlpm._qID,$B18,_xlpm._firstAnswer,$H18,_xlpm._secondAnswer,$I18,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 xml:space="preserve">QI16 Can a manipulated product cause contract-related / legal fines? (Note that this concerns individual obligations, not the standard product warranty).
» </v>
      </c>
      <c r="P18" s="13"/>
      <c r="Q18" s="10" cm="1">
        <f t="array" ref="Q18">IF(ROW()=ROW($Q$2)+1,0,INDEX($Q:$Q,ROW()-1))+IF($A18="",0,1)</f>
        <v>16</v>
      </c>
      <c r="R18" s="24" cm="1">
        <f t="array" ref="R18">CreateTaskID($R$2,$R:$R,Tasks!$B$17,$P18)</f>
        <v>0</v>
      </c>
      <c r="S18" s="14" cm="1">
        <f t="array" aca="1" ref="S18" ca="1">CreateID($S$2,$S:$S,$D18="x")</f>
        <v>0</v>
      </c>
      <c r="T18" s="14" t="str">
        <f t="shared" ca="1" si="2"/>
        <v/>
      </c>
      <c r="U18" s="14" cm="1">
        <f t="array" aca="1" ref="U18" ca="1">IF($M18="",0,SimpleLookup($M18,Definitions!$Q:$R))</f>
        <v>0</v>
      </c>
      <c r="V18" s="20" t="str">
        <f t="shared" ca="1" si="3"/>
        <v/>
      </c>
    </row>
    <row r="19" spans="1:22" ht="45" x14ac:dyDescent="0.25">
      <c r="A19" s="13" t="s">
        <v>431</v>
      </c>
      <c r="B19" s="13"/>
      <c r="C19" s="33" t="str" cm="1">
        <f t="array" ref="C19">IF($B19="","",IFERROR(SimpleLookup($B19,Questions!$A:$B),"Error: Unknown ID: "&amp;$B19))</f>
        <v/>
      </c>
      <c r="D19" s="78" t="str">
        <f>_xlfn.LET(
_xlpm._dsID,$A19,_xlpm._qID,$B19,_xlpm._dynamicReference,$F19,_xlpm._firstAnswer,$H19,_xlpm._secondAnswer,$I19,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19" s="13" t="s">
        <v>434</v>
      </c>
      <c r="F19" s="52"/>
      <c r="G19" s="13"/>
      <c r="H19" s="16" t="str" cm="1">
        <f t="array" ref="H19">IF($B19="","",_xlfn.LET(_xlpm._value,SimpleLookup($B19,Questionnaire!$A:$C),IF(_xlpm._value="","",_xlpm._value)))</f>
        <v/>
      </c>
      <c r="I19" s="16" t="str" cm="1">
        <f t="array" ref="I19">IF($B19="","",_xlfn.LET(_xlpm._value,SimpleLookup($B19,Questionnaire!$A:$E),IF(_xlpm._value="","",_xlpm._value)))</f>
        <v/>
      </c>
      <c r="J19" s="33" t="str">
        <f t="shared" si="0"/>
        <v>Disturbance of function until restore</v>
      </c>
      <c r="K19" s="23" t="s">
        <v>35</v>
      </c>
      <c r="L19" s="16" t="str">
        <f t="shared" si="1"/>
        <v/>
      </c>
      <c r="M19" s="33" t="str" cm="1">
        <f t="array" ref="M19">IF($L19="","",IFERROR(SimpleLookup($L19,Definitions!$H:$J),""))</f>
        <v/>
      </c>
      <c r="N19" s="23" t="s">
        <v>442</v>
      </c>
      <c r="O19" s="33" t="str" cm="1">
        <f t="array" ref="O19">IF($N19&lt;&gt;"",$N19,_xlfn.LET(
_xlpm._qID,$B19,_xlpm._firstAnswer,$H19,_xlpm._secondAnswer,$I19,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Damage scenario for damage transformation: Restoring a system from a backup takes some time, but prevents longer downtimes</v>
      </c>
      <c r="P19" s="13"/>
      <c r="Q19" s="10" cm="1">
        <f t="array" ref="Q19">IF(ROW()=ROW($Q$2)+1,0,INDEX($Q:$Q,ROW()-1))+IF($A19="",0,1)</f>
        <v>17</v>
      </c>
      <c r="R19" s="24" cm="1">
        <f t="array" ref="R19">CreateTaskID($R$2,$R:$R,Tasks!$B$17,$P19)</f>
        <v>0</v>
      </c>
      <c r="S19" s="14" cm="1">
        <f t="array" aca="1" ref="S19" ca="1">CreateID($S$2,$S:$S,$D19="x")</f>
        <v>0</v>
      </c>
      <c r="T19" s="14" t="str">
        <f t="shared" si="2"/>
        <v/>
      </c>
      <c r="U19" s="14" cm="1">
        <f t="array" ref="U19">IF($M19="",0,SimpleLookup($M19,Definitions!$Q:$R))</f>
        <v>0</v>
      </c>
      <c r="V19" s="20" t="str">
        <f t="shared" si="3"/>
        <v>Disturbance of function until restore []</v>
      </c>
    </row>
    <row r="20" spans="1:22" ht="45" x14ac:dyDescent="0.25">
      <c r="A20" s="13" t="s">
        <v>432</v>
      </c>
      <c r="B20" s="13"/>
      <c r="C20" s="33" t="str" cm="1">
        <f t="array" ref="C20">IF($B20="","",IFERROR(SimpleLookup($B20,Questions!$A:$B),"Error: Unknown ID: "&amp;$B20))</f>
        <v/>
      </c>
      <c r="D20" s="78" t="str">
        <f>_xlfn.LET(
_xlpm._dsID,$A20,_xlpm._qID,$B20,_xlpm._dynamicReference,$F20,_xlpm._firstAnswer,$H20,_xlpm._secondAnswer,$I20,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20" s="13" t="s">
        <v>444</v>
      </c>
      <c r="F20" s="52"/>
      <c r="G20" s="13"/>
      <c r="H20" s="16" t="str" cm="1">
        <f t="array" ref="H20">IF($B20="","",_xlfn.LET(_xlpm._value,SimpleLookup($B20,Questionnaire!$A:$C),IF(_xlpm._value="","",_xlpm._value)))</f>
        <v/>
      </c>
      <c r="I20" s="16" t="str" cm="1">
        <f t="array" ref="I20">IF($B20="","",_xlfn.LET(_xlpm._value,SimpleLookup($B20,Questionnaire!$A:$E),IF(_xlpm._value="","",_xlpm._value)))</f>
        <v/>
      </c>
      <c r="J20" s="33" t="str">
        <f t="shared" si="0"/>
        <v>Limited response of the product during DoS attack, recovery afterwards</v>
      </c>
      <c r="K20" s="23" t="s">
        <v>33</v>
      </c>
      <c r="L20" s="16" t="str">
        <f t="shared" si="1"/>
        <v/>
      </c>
      <c r="M20" s="33" t="str" cm="1">
        <f t="array" ref="M20">IF($L20="","",IFERROR(SimpleLookup($L20,Definitions!$H:$J),""))</f>
        <v/>
      </c>
      <c r="N20" s="23" t="s">
        <v>445</v>
      </c>
      <c r="O20" s="33" t="str" cm="1">
        <f t="array" ref="O20">IF($N20&lt;&gt;"",$N20,_xlfn.LET(
_xlpm._qID,$B20,_xlpm._firstAnswer,$H20,_xlpm._secondAnswer,$I20,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Damage scenario for damage transformation: The product is resistant against DoS attacks and recovers from the attack</v>
      </c>
      <c r="P20" s="13"/>
      <c r="Q20" s="10" cm="1">
        <f t="array" ref="Q20">IF(ROW()=ROW($Q$2)+1,0,INDEX($Q:$Q,ROW()-1))+IF($A20="",0,1)</f>
        <v>18</v>
      </c>
      <c r="R20" s="24" cm="1">
        <f t="array" ref="R20">CreateTaskID($R$2,$R:$R,Tasks!$B$17,$P20)</f>
        <v>0</v>
      </c>
      <c r="S20" s="14" cm="1">
        <f t="array" aca="1" ref="S20" ca="1">CreateID($S$2,$S:$S,$D20="x")</f>
        <v>0</v>
      </c>
      <c r="T20" s="14" t="str">
        <f t="shared" si="2"/>
        <v/>
      </c>
      <c r="U20" s="14" cm="1">
        <f t="array" ref="U20">IF($M20="",0,SimpleLookup($M20,Definitions!$Q:$R))</f>
        <v>0</v>
      </c>
      <c r="V20" s="20" t="str">
        <f t="shared" si="3"/>
        <v>Limited response of the product during DoS attack, recovery afterwards []</v>
      </c>
    </row>
    <row r="21" spans="1:22" ht="30" x14ac:dyDescent="0.25">
      <c r="A21" s="13" t="s">
        <v>930</v>
      </c>
      <c r="B21" s="13"/>
      <c r="C21" s="33" t="str" cm="1">
        <f t="array" ref="C21">IF($B21="","",IFERROR(SimpleLookup($B21,Questions!$A:$B),"Error: Unknown ID: "&amp;$B21))</f>
        <v/>
      </c>
      <c r="D21" s="78" t="str">
        <f>_xlfn.LET(
_xlpm._dsID,$A21,_xlpm._qID,$B21,_xlpm._dynamicReference,$F21,_xlpm._firstAnswer,$H21,_xlpm._secondAnswer,$I21,
_xlpm._yes,Definitions!$A$4,_xlpm._no,Definitions!$A$5,_xlpm._checkmark,"x",
_xlpm._isDamageTransformationTarget,OR(_xlpm._dsID=$A$19,_xlpm._dsID=$A$20,_xlpm._dsID=$A$21),
IF(_xlpm._qID="",
IF(_xlpm._isDamageTransformationTarget,
IF(OR(IFERROR(_xlfn.XMATCH("*,"&amp;_xlpm._dsID&amp;",*",Assumptions!$AF:$AF,2)&gt;0,FALSE),IFERROR(_xlfn.XMATCH("*,"&amp;_xlpm._dsID&amp;",*",Countermeasures!$AH:$AH,2)&gt;0,FALSE)),_xlpm._checkmark,""),
"Please define the criteria for the question in this formula!"),
_xlfn.LET(
_xlpm._questionCamera,Questionnaire!$A$6,
_xlpm._dsIsActive,IF(_xlpm._dynamicReference="",IF(_xlpm._qID=_xlpm._questionCamera,AND(_xlpm._firstAnswer=_xlpm._yes,_xlpm._secondAnswer=_xlpm._no),""),_xlpm._secondAnswer&lt;&gt;""),
IF(_xlpm._dsIsActive="","Please define the criteria for the question in this formula!",IF(_xlpm._dsIsActive,_xlpm._checkmark,"")))))</f>
        <v/>
      </c>
      <c r="E21" s="13" t="str">
        <f>Definitions!$C$4&amp;" can proof misuse of patented IP"</f>
        <v>&lt;OEM name&gt; can proof misuse of patented IP</v>
      </c>
      <c r="F21" s="52"/>
      <c r="G21" s="13"/>
      <c r="H21" s="33" t="str" cm="1">
        <f t="array" ref="H21">IF($B21="","",_xlfn.LET(_xlpm._value,SimpleLookup($B21,Questionnaire!$A:$C),IF(_xlpm._value="","",_xlpm._value)))</f>
        <v/>
      </c>
      <c r="I21" s="33" t="str" cm="1">
        <f t="array" ref="I21">IF($B21="","",_xlfn.LET(_xlpm._value,SimpleLookup($B21,Questionnaire!$A:$E),IF(_xlpm._value="","",_xlpm._value)))</f>
        <v/>
      </c>
      <c r="J21" s="33" t="str">
        <f>_xlfn.LET(
_xlpm._dynamicText,$I21,
_xlpm._ds,$E21&amp;IF($F21="","",_xlpm._dynamicText)&amp;$G21,
IF(_xlpm._ds="","",IF(AND($F21&lt;&gt;"",_xlpm._dynamicText=""),"",_xlpm._ds)))</f>
        <v>&lt;OEM name&gt; can proof misuse of patented IP</v>
      </c>
      <c r="K21" s="23" t="s">
        <v>20</v>
      </c>
      <c r="L21" s="16" t="str">
        <f t="shared" si="1"/>
        <v/>
      </c>
      <c r="M21" s="33" t="str" cm="1">
        <f t="array" ref="M21">IF($L21="","",IFERROR(SimpleLookup($L21,Definitions!$H:$J),""))</f>
        <v/>
      </c>
      <c r="N21" s="23" t="s">
        <v>944</v>
      </c>
      <c r="O21" s="33" t="str" cm="1">
        <f t="array" ref="O21">IF($N21&lt;&gt;"",$N21,_xlfn.LET(
_xlpm._qID,$B21,_xlpm._firstAnswer,$H21,_xlpm._secondAnswer,$I21,
_xlpm._question,IFERROR(SimpleLookup(_xlpm._qID,Questions!$A:$B),""),
_xlpm._secondQuestion,IFERROR(SimpleLookup(_xlpm._qID,Questionnaire!$A:$D),""),
_xlpm._qID&amp;" "&amp;_xlpm._question&amp;CHAR(10)&amp;CHAR(187)&amp;" "&amp;_xlpm._firstAnswer&amp;
IF(_xlpm._secondQuestion="","",CHAR(10)&amp;_xlpm._secondQuestion&amp;CHAR(10)&amp;CHAR(187)&amp;" "&amp;_xlpm._secondAnswer)))</f>
        <v>Damage scenario for damage transformation: Patents protect intellectual property</v>
      </c>
      <c r="P21" s="13"/>
      <c r="Q21" s="10" cm="1">
        <f t="array" ref="Q21">IF(ROW()=ROW($Q$2)+1,0,INDEX($Q:$Q,ROW()-1))+IF($A21="",0,1)</f>
        <v>19</v>
      </c>
      <c r="R21" s="77" cm="1">
        <f t="array" ref="R21">CreateTaskID($R$2,$R:$R,Tasks!$B$17,$P21)</f>
        <v>0</v>
      </c>
      <c r="S21" s="20" cm="1">
        <f t="array" aca="1" ref="S21" ca="1">CreateID($S$2,$S:$S,$D21="x")</f>
        <v>0</v>
      </c>
      <c r="T21" s="20" t="str">
        <f>IF($D21="","",$A21)</f>
        <v/>
      </c>
      <c r="U21" s="20" cm="1">
        <f t="array" ref="U21">IF($M21="",0,SimpleLookup($M21,Definitions!$Q:$R))</f>
        <v>0</v>
      </c>
      <c r="V21" s="20" t="str">
        <f t="shared" si="3"/>
        <v>&lt;OEM name&gt; can proof misuse of patented IP []</v>
      </c>
    </row>
  </sheetData>
  <phoneticPr fontId="4" type="noConversion"/>
  <conditionalFormatting sqref="A1:A1048576">
    <cfRule type="expression" dxfId="65" priority="1">
      <formula>MATCH(A1,$A:$A,0)&lt;ROW(A1)</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2" id="{A7A7F837-5F67-48B3-8E6B-01648DC3D5EE}">
            <xm:f>IFERROR(FIND(Tasks!$B$17,P1)&gt;0,FALSE)</xm:f>
            <x14:dxf>
              <font>
                <b/>
                <i val="0"/>
                <color rgb="FF99FFCC"/>
              </font>
            </x14:dxf>
          </x14:cfRule>
          <xm:sqref>P1:P1048576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721ECDB-0F6E-4C12-97D2-4B7818AA1739}">
          <x14:formula1>
            <xm:f>Definitions!$H$4:$H$22</xm:f>
          </x14:formula1>
          <xm:sqref>K3:K21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FB803-4B53-43FA-AFD7-5FF074FBD866}">
  <sheetPr>
    <tabColor theme="6"/>
  </sheetPr>
  <dimension ref="A1:AN43"/>
  <sheetViews>
    <sheetView zoomScaleNormal="100" workbookViewId="0">
      <pane xSplit="2" ySplit="2" topLeftCell="C3" activePane="bottomRight" state="frozen"/>
      <selection pane="topRight" activeCell="C1" sqref="C1"/>
      <selection pane="bottomLeft" activeCell="A2" sqref="A2"/>
      <selection pane="bottomRight" activeCell="A2" sqref="A2"/>
    </sheetView>
  </sheetViews>
  <sheetFormatPr defaultColWidth="9.140625" defaultRowHeight="15" outlineLevelCol="1" x14ac:dyDescent="0.25"/>
  <cols>
    <col min="1" max="1" width="9.140625" style="2"/>
    <col min="2" max="2" width="60.7109375" style="2" customWidth="1"/>
    <col min="3" max="3" width="15.7109375" style="2" customWidth="1"/>
    <col min="4" max="4" width="60.7109375" style="9" customWidth="1"/>
    <col min="5" max="5" width="15.7109375" style="2" customWidth="1"/>
    <col min="6" max="6" width="60.7109375" style="9" customWidth="1"/>
    <col min="7" max="7" width="60.7109375" style="17" customWidth="1"/>
    <col min="8" max="12" width="25.7109375" style="2" customWidth="1" outlineLevel="1"/>
    <col min="13" max="13" width="15.7109375" style="2" customWidth="1" outlineLevel="1"/>
    <col min="14" max="14" width="36.7109375" style="2" bestFit="1" customWidth="1"/>
    <col min="15" max="15" width="30.140625" style="2" bestFit="1" customWidth="1"/>
    <col min="16" max="16" width="60.7109375" style="2" customWidth="1"/>
    <col min="17" max="17" width="12.42578125" style="2" hidden="1" customWidth="1"/>
    <col min="18" max="18" width="27.140625" style="2" hidden="1" customWidth="1"/>
    <col min="19" max="19" width="28.7109375" style="2" hidden="1" customWidth="1"/>
    <col min="20" max="20" width="11.5703125" style="2" hidden="1" customWidth="1"/>
    <col min="21" max="21" width="14" style="2" hidden="1" customWidth="1"/>
    <col min="22" max="22" width="15.5703125" style="2" hidden="1" customWidth="1"/>
    <col min="23" max="29" width="9.140625" style="2" hidden="1" customWidth="1"/>
    <col min="30" max="30" width="9.42578125" style="2" hidden="1" customWidth="1"/>
    <col min="31" max="31" width="19.140625" style="2" hidden="1" customWidth="1"/>
    <col min="32" max="32" width="29.42578125" style="2" hidden="1" customWidth="1"/>
    <col min="33" max="33" width="14.7109375" style="2" hidden="1" customWidth="1"/>
    <col min="34" max="34" width="20" style="2" hidden="1" customWidth="1"/>
    <col min="35" max="35" width="21.42578125" style="2" hidden="1" customWidth="1"/>
    <col min="36" max="40" width="9.140625" style="2" customWidth="1"/>
    <col min="41" max="16384" width="9.140625" style="2"/>
  </cols>
  <sheetData>
    <row r="1" spans="1:40" s="115" customFormat="1" x14ac:dyDescent="0.25">
      <c r="A1" s="115"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HYPERLINK("#'"&amp;Helper!$G$2&amp;"'!"&amp;CHAR(CODE("A")+COLUMN(_xlpm._columnNameHeader)-1)&amp;_xlpm._entryOffset,Definitions!$AY$4)))(Helper!$G$6,A$2,README!$E:$E,README!$I$36,README!$B$36)</f>
        <v>◈</v>
      </c>
      <c r="B1" s="115"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HYPERLINK("#'"&amp;Helper!$G$2&amp;"'!"&amp;CHAR(CODE("A")+COLUMN(_xlpm._columnNameHeader)-1)&amp;_xlpm._entryOffset,Definitions!$AY$4)))(Helper!$G$6,B$2,README!$E:$E,README!$I$36,README!$B$36)</f>
        <v>◈</v>
      </c>
      <c r="C1" s="115"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HYPERLINK("#'"&amp;Helper!$G$2&amp;"'!"&amp;CHAR(CODE("A")+COLUMN(_xlpm._columnNameHeader)-1)&amp;_xlpm._entryOffset,Definitions!$AY$4)))(Helper!$G$6,C$2,README!$E:$E,README!$I$36,README!$B$36)</f>
        <v>◈</v>
      </c>
      <c r="D1" s="115"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HYPERLINK("#'"&amp;Helper!$G$2&amp;"'!"&amp;CHAR(CODE("A")+COLUMN(_xlpm._columnNameHeader)-1)&amp;_xlpm._entryOffset,Definitions!$AY$4)))(Helper!$G$6,D$2,README!$E:$E,README!$I$36,README!$B$36)</f>
        <v>◈</v>
      </c>
      <c r="E1" s="115"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HYPERLINK("#'"&amp;Helper!$G$2&amp;"'!"&amp;CHAR(CODE("A")+COLUMN(_xlpm._columnNameHeader)-1)&amp;_xlpm._entryOffset,Definitions!$AY$4)))(Helper!$G$6,E$2,README!$E:$E,README!$I$36,README!$B$36)</f>
        <v>◈</v>
      </c>
      <c r="F1" s="115"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HYPERLINK("#'"&amp;Helper!$G$2&amp;"'!"&amp;CHAR(CODE("A")+COLUMN(_xlpm._columnNameHeader)-1)&amp;_xlpm._entryOffset,Definitions!$AY$4)))(Helper!$G$6,F$2,README!$E:$E,README!$I$36,README!$B$36)</f>
        <v>◈</v>
      </c>
      <c r="G1" s="115"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HYPERLINK("#'"&amp;Helper!$G$2&amp;"'!"&amp;CHAR(CODE("A")+COLUMN(_xlpm._columnNameHeader)-1)&amp;_xlpm._entryOffset,Definitions!$AY$4)))(Helper!$G$6,G$2,README!$E:$E,README!$I$36,README!$B$36)</f>
        <v>◈</v>
      </c>
      <c r="H1" s="115"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HYPERLINK("#'"&amp;Helper!$G$2&amp;"'!"&amp;CHAR(CODE("A")+COLUMN(_xlpm._columnNameHeader)-1)&amp;_xlpm._entryOffset,Definitions!$AY$4)))(Helper!$G$6,H$2,README!$E:$E,README!$I$36,README!$B$36)</f>
        <v>◈</v>
      </c>
      <c r="I1" s="115"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HYPERLINK("#'"&amp;Helper!$G$2&amp;"'!"&amp;CHAR(CODE("A")+COLUMN(_xlpm._columnNameHeader)-1)&amp;_xlpm._entryOffset,Definitions!$AY$4)))(Helper!$G$6,I$2,README!$E:$E,README!$I$36,README!$B$36)</f>
        <v>◈</v>
      </c>
      <c r="J1" s="115"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HYPERLINK("#'"&amp;Helper!$G$2&amp;"'!"&amp;CHAR(CODE("A")+COLUMN(_xlpm._columnNameHeader)-1)&amp;_xlpm._entryOffset,Definitions!$AY$4)))(Helper!$G$6,J$2,README!$E:$E,README!$I$36,README!$B$36)</f>
        <v>◈</v>
      </c>
      <c r="K1" s="115"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HYPERLINK("#'"&amp;Helper!$G$2&amp;"'!"&amp;CHAR(CODE("A")+COLUMN(_xlpm._columnNameHeader)-1)&amp;_xlpm._entryOffset,Definitions!$AY$4)))(Helper!$G$6,K$2,README!$E:$E,README!$I$36,README!$B$36)</f>
        <v>◈</v>
      </c>
      <c r="L1" s="115"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HYPERLINK("#'"&amp;Helper!$G$2&amp;"'!"&amp;CHAR(CODE("A")+COLUMN(_xlpm._columnNameHeader)-1)&amp;_xlpm._entryOffset,Definitions!$AY$4)))(Helper!$G$6,L$2,README!$E:$E,README!$I$36,README!$B$36)</f>
        <v>◈</v>
      </c>
      <c r="M1" s="115"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HYPERLINK("#'"&amp;Helper!$G$2&amp;"'!"&amp;CHAR(CODE("A")+COLUMN(_xlpm._columnNameHeader)-1)&amp;_xlpm._entryOffset,Definitions!$AY$4)))(Helper!$G$6,M$2,README!$E:$E,README!$I$36,README!$B$36)</f>
        <v>◈</v>
      </c>
      <c r="N1" s="115"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HYPERLINK("#'"&amp;Helper!$G$2&amp;"'!"&amp;CHAR(CODE("A")+COLUMN(_xlpm._columnNameHeader)-1)&amp;_xlpm._entryOffset,Definitions!$AY$4)))(Helper!$G$6,N$2,README!$E:$E,README!$I$36,README!$B$36)</f>
        <v>◈</v>
      </c>
      <c r="O1" s="115"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HYPERLINK("#'"&amp;Helper!$G$2&amp;"'!"&amp;CHAR(CODE("A")+COLUMN(_xlpm._columnNameHeader)-1)&amp;_xlpm._entryOffset,Definitions!$AY$4)))(Helper!$G$6,O$2,README!$E:$E,README!$I$36,README!$B$36)</f>
        <v>◈</v>
      </c>
      <c r="P1" s="115" t="str" cm="1">
        <f t="array" aca="1" ref="P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HYPERLINK("#'"&amp;Helper!$G$2&amp;"'!"&amp;CHAR(CODE("A")+COLUMN(_xlpm._columnNameHeader)-1)&amp;_xlpm._entryOffset,Definitions!$AY$4)))(Helper!$G$6,P$2,README!$E:$E,README!$I$36,README!$B$36)</f>
        <v>◈</v>
      </c>
    </row>
    <row r="2" spans="1:40" x14ac:dyDescent="0.25">
      <c r="A2" s="10" t="s">
        <v>53</v>
      </c>
      <c r="B2" s="10" t="s">
        <v>107</v>
      </c>
      <c r="C2" s="10" t="s">
        <v>117</v>
      </c>
      <c r="D2" s="15" t="s">
        <v>345</v>
      </c>
      <c r="E2" s="10" t="s">
        <v>322</v>
      </c>
      <c r="F2" s="15" t="s">
        <v>573</v>
      </c>
      <c r="G2" s="15" t="s">
        <v>174</v>
      </c>
      <c r="H2" s="10" t="s">
        <v>131</v>
      </c>
      <c r="I2" s="10" t="s">
        <v>138</v>
      </c>
      <c r="J2" s="10" t="s">
        <v>143</v>
      </c>
      <c r="K2" s="10" t="s">
        <v>147</v>
      </c>
      <c r="L2" s="10" t="s">
        <v>152</v>
      </c>
      <c r="M2" s="129" t="s">
        <v>188</v>
      </c>
      <c r="N2" s="10" t="s">
        <v>347</v>
      </c>
      <c r="O2" s="10" t="s">
        <v>1630</v>
      </c>
      <c r="P2" s="10" t="s">
        <v>3</v>
      </c>
      <c r="Q2" s="10" t="s">
        <v>54</v>
      </c>
      <c r="R2" s="10" t="s">
        <v>346</v>
      </c>
      <c r="S2" s="10" t="s">
        <v>129</v>
      </c>
      <c r="T2" s="10" t="s">
        <v>175</v>
      </c>
      <c r="U2" s="10" t="s">
        <v>949</v>
      </c>
      <c r="V2" s="10" t="s">
        <v>177</v>
      </c>
      <c r="W2" s="10" t="s">
        <v>178</v>
      </c>
      <c r="X2" s="10" t="s">
        <v>44</v>
      </c>
      <c r="Y2" s="10" t="s">
        <v>45</v>
      </c>
      <c r="Z2" s="10" t="s">
        <v>46</v>
      </c>
      <c r="AA2" s="10" t="s">
        <v>47</v>
      </c>
      <c r="AB2" s="10" t="s">
        <v>48</v>
      </c>
      <c r="AC2" s="10" t="s">
        <v>78</v>
      </c>
      <c r="AD2" s="10" t="s">
        <v>230</v>
      </c>
      <c r="AE2" s="10" t="s">
        <v>282</v>
      </c>
      <c r="AF2" s="10" t="s">
        <v>936</v>
      </c>
      <c r="AG2" s="10" t="s">
        <v>363</v>
      </c>
      <c r="AH2" s="10" t="s">
        <v>950</v>
      </c>
      <c r="AI2" s="10" t="s">
        <v>951</v>
      </c>
    </row>
    <row r="3" spans="1:40" ht="30" x14ac:dyDescent="0.25">
      <c r="A3" s="13" t="s">
        <v>106</v>
      </c>
      <c r="B3" s="13" t="s">
        <v>754</v>
      </c>
      <c r="C3" s="13"/>
      <c r="D3" s="19" t="str" cm="1">
        <f t="array" ref="D3">LookupNames(SanitizeInput($C3),$A:$B)</f>
        <v/>
      </c>
      <c r="E3" s="13"/>
      <c r="F3" s="19" t="str" cm="1">
        <f t="array" ref="F3">RemoveDelimiter(GetValues(SanitizeInput($E3),Questions!$A:$B,"   ",CHAR(10),TRUE),CHAR(10))</f>
        <v/>
      </c>
      <c r="G3" s="16" t="str" cm="1">
        <f t="array" ref="G3">LookupNames($T3,'Damage Scenarios'!$A:$J)</f>
        <v/>
      </c>
      <c r="H3" s="13"/>
      <c r="I3" s="13"/>
      <c r="J3" s="13"/>
      <c r="K3" s="13"/>
      <c r="L3" s="13"/>
      <c r="M3" s="130" t="str">
        <f ca="1">IF($A3="","",IFERROR(VLOOKUP($AC3,Definitions!$V:$W,COLUMNS(Definitions!$V:$W),TRUE),""))</f>
        <v>Basic</v>
      </c>
      <c r="N3" s="13" t="s">
        <v>1057</v>
      </c>
      <c r="O3" s="13"/>
      <c r="P3" s="13"/>
      <c r="Q3" s="10" cm="1">
        <f t="array" ref="Q3">IF(ROW()=ROW($Q$2)+1,0,INDEX($Q:$Q,ROW()-1))+IF($A3="",0,1)</f>
        <v>1</v>
      </c>
      <c r="R3" s="14" t="b">
        <f ca="1">OR(CheckRelevance(SanitizeInput(N3),Questionnaire!$I:$I),CheckRelevance(SanitizeInput(N3),Questionnaire!$J:$J))</f>
        <v>0</v>
      </c>
      <c r="S3" s="14" t="str" cm="1">
        <f t="array" aca="1" ref="S3" ca="1">IF(AND($N3&lt;&gt;"",$R3=FALSE),"",
IF(AND($R3,$C3=""),$A3&amp;",§","")&amp;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GenerateAttackPaths(RemoveFirstElement(_xlpm._in),_xlpm._apRange,_xlpm._ownID))))(SanitizeInput($C3),$A:$S,$A3))</f>
        <v/>
      </c>
      <c r="T3" s="14" t="str" cm="1">
        <f t="array" ref="T3">GetValues(SanitizeInput($E3),'Damage Scenarios'!$B:$T,"",",",FALSE)</f>
        <v/>
      </c>
      <c r="U3" s="14" t="b">
        <f t="shared" ref="U3:U34" ca="1" si="0">AND($S3&lt;&gt;"",$T3&lt;&gt;"")</f>
        <v>0</v>
      </c>
      <c r="V3" s="20" cm="1">
        <f t="array" aca="1" ref="V3" ca="1">CreateID($V$2,$V:$V,$U3)</f>
        <v>0</v>
      </c>
      <c r="W3" s="20">
        <f t="shared" ref="W3:W35" ca="1" si="1">IF($U3,LEN($S3)-LEN(SUBSTITUTE($S3,"§","")),0)</f>
        <v>0</v>
      </c>
      <c r="X3" s="20">
        <f>IF(H3="",0,VLOOKUP(H3,Definitions!$Z:$AA,COLUMNS(Definitions!$Z:$AA),FALSE))</f>
        <v>0</v>
      </c>
      <c r="Y3" s="20">
        <f>IF(I3="",0,VLOOKUP(I3,Definitions!$Z:$AA,COLUMNS(Definitions!$Z:$AA),FALSE))</f>
        <v>0</v>
      </c>
      <c r="Z3" s="20">
        <f>IF(J3="",0,VLOOKUP(J3,Definitions!$Z:$AA,COLUMNS(Definitions!$Z:$AA),FALSE))</f>
        <v>0</v>
      </c>
      <c r="AA3" s="20">
        <f>IF(K3="",0,VLOOKUP(K3,Definitions!$Z:$AA,COLUMNS(Definitions!$Z:$AA),FALSE))</f>
        <v>0</v>
      </c>
      <c r="AB3" s="20">
        <f>IF(L3="",0,VLOOKUP(L3,Definitions!$Z:$AA,COLUMNS(Definitions!$Z:$AA),FALSE))</f>
        <v>0</v>
      </c>
      <c r="AC3" s="20">
        <f t="shared" ref="AC3:AC43" ca="1" si="2">SUM(OFFSET($X3,0,0,1,COLUMNS($X:$AB)))</f>
        <v>0</v>
      </c>
      <c r="AD3" s="20" cm="1">
        <f t="array" ref="AD3">CreateTaskID($AD$2,$AD:$AD,Tasks!$B$17,$P3)</f>
        <v>0</v>
      </c>
      <c r="AE3" s="20" t="str" cm="1">
        <f t="array" aca="1" ref="AE3" ca="1">InverseLookup($A3,Countermeasures!$X$2,Countermeasures!$A$2,1,Helper!$B$4,",")</f>
        <v/>
      </c>
      <c r="AF3" s="20" t="str" cm="1">
        <f t="array" aca="1" ref="AF3" ca="1">InverseLookup($A3,Assumptions!$X$3,Assumptions!$A$3,1,Helper!$B$6,",")</f>
        <v/>
      </c>
      <c r="AG3" s="20" t="str" cm="1">
        <f t="array" aca="1" ref="AG3" ca="1">InverseLookup($A3,Assumptions!$Y$3,Assumptions!$A$3,1,Helper!$B$6,",")</f>
        <v>A12,</v>
      </c>
      <c r="AH3" s="20" t="str" cm="1">
        <f t="array" aca="1" ref="AH3" ca="1">IF($U3,
CreateSearchString(SUBSTITUTE($S3,"§","")),
"")</f>
        <v/>
      </c>
      <c r="AI3" s="20" t="b">
        <f t="shared" ref="AI3:AI42" ca="1" si="3">IFERROR(_xlfn.XMATCH("*,"&amp;$A3&amp;",*",$AH:$AH,2)&gt;0,FALSE)</f>
        <v>0</v>
      </c>
      <c r="AJ3" s="81"/>
      <c r="AK3" s="81"/>
      <c r="AL3" s="81"/>
      <c r="AM3" s="81"/>
      <c r="AN3" s="81"/>
    </row>
    <row r="4" spans="1:40" ht="75" x14ac:dyDescent="0.25">
      <c r="A4" s="13" t="s">
        <v>108</v>
      </c>
      <c r="B4" s="13" t="s">
        <v>990</v>
      </c>
      <c r="C4" s="13"/>
      <c r="D4" s="19" t="str" cm="1">
        <f t="array" ref="D4">LookupNames(SanitizeInput($C4),$A:$B)</f>
        <v/>
      </c>
      <c r="E4" s="13"/>
      <c r="F4" s="19" t="str" cm="1">
        <f t="array" ref="F4">RemoveDelimiter(GetValues(SanitizeInput($E4),Questions!$A:$B,"   ",CHAR(10),TRUE),CHAR(10))</f>
        <v/>
      </c>
      <c r="G4" s="16" t="str" cm="1">
        <f t="array" ref="G4">LookupNames($T4,'Damage Scenarios'!$A:$J)</f>
        <v/>
      </c>
      <c r="H4" s="13"/>
      <c r="I4" s="13" t="s">
        <v>140</v>
      </c>
      <c r="J4" s="13"/>
      <c r="K4" s="13" t="s">
        <v>149</v>
      </c>
      <c r="L4" s="13"/>
      <c r="M4" s="130" t="str">
        <f ca="1">IF($A4="","",IFERROR(VLOOKUP($AC4,Definitions!$V:$W,COLUMNS(Definitions!$V:$W),TRUE),""))</f>
        <v>Basic</v>
      </c>
      <c r="N4" s="13" t="s">
        <v>1058</v>
      </c>
      <c r="O4" s="13"/>
      <c r="P4" s="13" t="s">
        <v>200</v>
      </c>
      <c r="Q4" s="10" cm="1">
        <f t="array" ref="Q4">IF(ROW()=ROW($Q$2)+1,0,INDEX($Q:$Q,ROW()-1))+IF($A4="",0,1)</f>
        <v>2</v>
      </c>
      <c r="R4" s="14" t="b">
        <f ca="1">OR(CheckRelevance(SanitizeInput(N4),Questionnaire!$I:$I),CheckRelevance(SanitizeInput(N4),Questionnaire!$J:$J))</f>
        <v>0</v>
      </c>
      <c r="S4" s="14" t="str" cm="1">
        <f t="array" aca="1" ref="S4" ca="1">IF(AND($N4&lt;&gt;"",$R4=FALSE),"",
IF(AND($R4,$C4=""),$A4&amp;",§","")&amp;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GenerateAttackPaths(RemoveFirstElement(_xlpm._in),_xlpm._apRange,_xlpm._ownID))))(SanitizeInput($C4),$A:$S,$A4))</f>
        <v/>
      </c>
      <c r="T4" s="14" t="str" cm="1">
        <f t="array" ref="T4">GetValues(SanitizeInput($E4),'Damage Scenarios'!$B:$T,"",",",FALSE)</f>
        <v/>
      </c>
      <c r="U4" s="14" t="b">
        <f t="shared" ca="1" si="0"/>
        <v>0</v>
      </c>
      <c r="V4" s="20" cm="1">
        <f t="array" aca="1" ref="V4" ca="1">CreateID($V$2,$V:$V,$U4)</f>
        <v>0</v>
      </c>
      <c r="W4" s="20">
        <f t="shared" ca="1" si="1"/>
        <v>0</v>
      </c>
      <c r="X4" s="20">
        <f>IF(H4="",0,VLOOKUP(H4,Definitions!$Z:$AA,COLUMNS(Definitions!$Z:$AA),FALSE))</f>
        <v>0</v>
      </c>
      <c r="Y4" s="20">
        <f>IF(I4="",0,VLOOKUP(I4,Definitions!$Z:$AA,COLUMNS(Definitions!$Z:$AA),FALSE))</f>
        <v>3</v>
      </c>
      <c r="Z4" s="20">
        <f>IF(J4="",0,VLOOKUP(J4,Definitions!$Z:$AA,COLUMNS(Definitions!$Z:$AA),FALSE))</f>
        <v>0</v>
      </c>
      <c r="AA4" s="20">
        <f>IF(K4="",0,VLOOKUP(K4,Definitions!$Z:$AA,COLUMNS(Definitions!$Z:$AA),FALSE))</f>
        <v>1</v>
      </c>
      <c r="AB4" s="20">
        <f>IF(L4="",0,VLOOKUP(L4,Definitions!$Z:$AA,COLUMNS(Definitions!$Z:$AA),FALSE))</f>
        <v>0</v>
      </c>
      <c r="AC4" s="20">
        <f t="shared" ca="1" si="2"/>
        <v>4</v>
      </c>
      <c r="AD4" s="20" cm="1">
        <f t="array" ref="AD4">CreateTaskID($AD$2,$AD:$AD,Tasks!$B$17,$P4)</f>
        <v>0</v>
      </c>
      <c r="AE4" s="20" t="str" cm="1">
        <f t="array" aca="1" ref="AE4" ca="1">InverseLookup($A4,Countermeasures!$X$2,Countermeasures!$A$2,1,Helper!$B$4,",")</f>
        <v>CM20,</v>
      </c>
      <c r="AF4" s="20" t="str" cm="1">
        <f t="array" aca="1" ref="AF4" ca="1">InverseLookup($A4,Assumptions!$X$3,Assumptions!$A$3,1,Helper!$B$6,",")</f>
        <v/>
      </c>
      <c r="AG4" s="20" t="str" cm="1">
        <f t="array" aca="1" ref="AG4" ca="1">InverseLookup($A4,Assumptions!$Y$3,Assumptions!$A$3,1,Helper!$B$6,",")</f>
        <v>A36,</v>
      </c>
      <c r="AH4" s="20" t="str" cm="1">
        <f t="array" aca="1" ref="AH4" ca="1">IF($U4,
CreateSearchString(SUBSTITUTE($S4,"§","")),
"")</f>
        <v/>
      </c>
      <c r="AI4" s="20" t="b">
        <f t="shared" ca="1" si="3"/>
        <v>0</v>
      </c>
      <c r="AJ4" s="81"/>
      <c r="AK4" s="81"/>
      <c r="AL4" s="81"/>
      <c r="AM4" s="81"/>
      <c r="AN4" s="81"/>
    </row>
    <row r="5" spans="1:40" ht="203.25" x14ac:dyDescent="0.25">
      <c r="A5" s="13" t="s">
        <v>109</v>
      </c>
      <c r="B5" s="13" t="s">
        <v>955</v>
      </c>
      <c r="C5" s="13" t="s">
        <v>1119</v>
      </c>
      <c r="D5" s="19" t="str" cm="1">
        <f t="array" aca="1" ref="D5" ca="1">LookupNames(SanitizeInput($C5),$A:$B)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AS17 Sending manipulated or malicious data to the product (from an untrusted source),
AS27 Getting physical access to the product's linked communication media (e.g., field buses),
AS28 Getting access to a trusted entity</v>
      </c>
      <c r="E5" s="13" t="s">
        <v>1103</v>
      </c>
      <c r="F5" s="19" t="str" cm="1">
        <f t="array" aca="1" ref="F5" ca="1">RemoveDelimiter(GetValues(SanitizeInput($E5),Questions!$A:$B,"   ",CHAR(10),TRUE),CHAR(10))</f>
        <v>QI1   Does the product have cameras or other sensors that can potentially recognize people?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5" s="16" t="str" cm="1">
        <f t="array" aca="1" ref="G5" ca="1">LookupNames($T5,'Damage Scenarios'!$A:$J)</f>
        <v/>
      </c>
      <c r="H5" s="13" t="s">
        <v>134</v>
      </c>
      <c r="I5" s="13" t="s">
        <v>141</v>
      </c>
      <c r="J5" s="13" t="s">
        <v>145</v>
      </c>
      <c r="K5" s="13"/>
      <c r="L5" s="13"/>
      <c r="M5" s="130" t="str">
        <f ca="1">IF($A5="","",IFERROR(VLOOKUP($AC5,Definitions!$V:$W,COLUMNS(Definitions!$V:$W),TRUE),""))</f>
        <v>Enhanced-Basic</v>
      </c>
      <c r="N5" s="13"/>
      <c r="O5" s="13" t="s">
        <v>645</v>
      </c>
      <c r="P5" s="13" t="s">
        <v>1016</v>
      </c>
      <c r="Q5" s="10" cm="1">
        <f t="array" ref="Q5">IF(ROW()=ROW($Q$2)+1,0,INDEX($Q:$Q,ROW()-1))+IF($A5="",0,1)</f>
        <v>3</v>
      </c>
      <c r="R5" s="14" t="b">
        <f>OR(CheckRelevance(SanitizeInput(N5),Questionnaire!$I:$I),CheckRelevance(SanitizeInput(N5),Questionnaire!$J:$J))</f>
        <v>0</v>
      </c>
      <c r="S5" s="14" t="str" cm="1">
        <f t="array" aca="1" ref="S5" ca="1">IF(AND($N5&lt;&gt;"",$R5=FALSE),"",
IF(AND($R5,$C5=""),$A5&amp;",§","")&amp;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GenerateAttackPaths(RemoveFirstElement(_xlpm._in),_xlpm._apRange,_xlpm._ownID))))(SanitizeInput($C5),$A:$S,$A5))</f>
        <v/>
      </c>
      <c r="T5" s="14" t="str" cm="1">
        <f t="array" aca="1" ref="T5" ca="1">GetValues(SanitizeInput($E5),'Damage Scenarios'!$B:$T,"",",",FALSE)</f>
        <v/>
      </c>
      <c r="U5" s="14" t="b">
        <f t="shared" ca="1" si="0"/>
        <v>0</v>
      </c>
      <c r="V5" s="20" cm="1">
        <f t="array" aca="1" ref="V5" ca="1">CreateID($V$2,$V:$V,$U5)</f>
        <v>0</v>
      </c>
      <c r="W5" s="20">
        <f t="shared" ca="1" si="1"/>
        <v>0</v>
      </c>
      <c r="X5" s="20">
        <f>IF(H5="",0,VLOOKUP(H5,Definitions!$Z:$AA,COLUMNS(Definitions!$Z:$AA),FALSE))</f>
        <v>4</v>
      </c>
      <c r="Y5" s="20">
        <f>IF(I5="",0,VLOOKUP(I5,Definitions!$Z:$AA,COLUMNS(Definitions!$Z:$AA),FALSE))</f>
        <v>6</v>
      </c>
      <c r="Z5" s="20">
        <f>IF(J5="",0,VLOOKUP(J5,Definitions!$Z:$AA,COLUMNS(Definitions!$Z:$AA),FALSE))</f>
        <v>3</v>
      </c>
      <c r="AA5" s="20">
        <f>IF(K5="",0,VLOOKUP(K5,Definitions!$Z:$AA,COLUMNS(Definitions!$Z:$AA),FALSE))</f>
        <v>0</v>
      </c>
      <c r="AB5" s="20">
        <f>IF(L5="",0,VLOOKUP(L5,Definitions!$Z:$AA,COLUMNS(Definitions!$Z:$AA),FALSE))</f>
        <v>0</v>
      </c>
      <c r="AC5" s="20">
        <f t="shared" ca="1" si="2"/>
        <v>13</v>
      </c>
      <c r="AD5" s="20" cm="1">
        <f t="array" ref="AD5">CreateTaskID($AD$2,$AD:$AD,Tasks!$B$17,$P5)</f>
        <v>0</v>
      </c>
      <c r="AE5" s="20" t="str" cm="1">
        <f t="array" aca="1" ref="AE5" ca="1">InverseLookup($A5,Countermeasures!$X$2,Countermeasures!$A$2,1,Helper!$B$4,",")</f>
        <v>CM2a,CM2b,CM21,CM22,</v>
      </c>
      <c r="AF5" s="20" t="str" cm="1">
        <f t="array" aca="1" ref="AF5" ca="1">InverseLookup($A5,Assumptions!$X$3,Assumptions!$A$3,1,Helper!$B$6,",")</f>
        <v/>
      </c>
      <c r="AG5" s="20" t="str" cm="1">
        <f t="array" aca="1" ref="AG5" ca="1">InverseLookup($A5,Assumptions!$Y$3,Assumptions!$A$3,1,Helper!$B$6,",")</f>
        <v/>
      </c>
      <c r="AH5" s="20" t="str" cm="1">
        <f t="array" aca="1" ref="AH5" ca="1">IF($U5,
CreateSearchString(SUBSTITUTE($S5,"§","")),
"")</f>
        <v/>
      </c>
      <c r="AI5" s="20" t="b">
        <f t="shared" ca="1" si="3"/>
        <v>0</v>
      </c>
      <c r="AJ5" s="81"/>
      <c r="AK5" s="81"/>
      <c r="AL5" s="81"/>
      <c r="AM5" s="81"/>
      <c r="AN5" s="81"/>
    </row>
    <row r="6" spans="1:40" ht="113.25" x14ac:dyDescent="0.25">
      <c r="A6" s="13" t="s">
        <v>110</v>
      </c>
      <c r="B6" s="13" t="s">
        <v>114</v>
      </c>
      <c r="C6" s="13" t="s">
        <v>1120</v>
      </c>
      <c r="D6" s="19" t="str" cm="1">
        <f t="array" aca="1" ref="D6" ca="1">LookupNames(SanitizeInput($C6),$A:$B)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AS27 Getting physical access to the product's linked communication media (e.g., field buses),
AS28 Getting access to a trusted entity</v>
      </c>
      <c r="E6" s="13" t="s">
        <v>1091</v>
      </c>
      <c r="F6" s="19" t="str" cm="1">
        <f t="array" aca="1" ref="F6" ca="1">RemoveDelimiter(GetValues(SanitizeInput($E6),Questions!$A:$B,"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&lt;OEM name&gt; product)? Example: The product is used for access control.
QI9   Can a loss of availability cause contract-related fines (e.g., based on a service level agreement)?</v>
      </c>
      <c r="G6" s="16" t="str" cm="1">
        <f t="array" aca="1" ref="G6" ca="1">LookupNames($T6,'Damage Scenarios'!$A:$J)</f>
        <v/>
      </c>
      <c r="H6" s="13"/>
      <c r="I6" s="13" t="s">
        <v>140</v>
      </c>
      <c r="J6" s="13"/>
      <c r="K6" s="13"/>
      <c r="L6" s="13"/>
      <c r="M6" s="130" t="str">
        <f ca="1">IF($A6="","",IFERROR(VLOOKUP($AC6,Definitions!$V:$W,COLUMNS(Definitions!$V:$W),TRUE),""))</f>
        <v>Basic</v>
      </c>
      <c r="N6" s="13"/>
      <c r="O6" s="13" t="s">
        <v>604</v>
      </c>
      <c r="P6" s="13" t="s">
        <v>196</v>
      </c>
      <c r="Q6" s="10" cm="1">
        <f t="array" ref="Q6">IF(ROW()=ROW($Q$2)+1,0,INDEX($Q:$Q,ROW()-1))+IF($A6="",0,1)</f>
        <v>4</v>
      </c>
      <c r="R6" s="14" t="b">
        <f>OR(CheckRelevance(SanitizeInput(N6),Questionnaire!$I:$I),CheckRelevance(SanitizeInput(N6),Questionnaire!$J:$J))</f>
        <v>0</v>
      </c>
      <c r="S6" s="14" t="str" cm="1">
        <f t="array" aca="1" ref="S6" ca="1">IF(AND($N6&lt;&gt;"",$R6=FALSE),"",
IF(AND($R6,$C6=""),$A6&amp;",§","")&amp;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GenerateAttackPaths(RemoveFirstElement(_xlpm._in),_xlpm._apRange,_xlpm._ownID))))(SanitizeInput($C6),$A:$S,$A6))</f>
        <v/>
      </c>
      <c r="T6" s="14" t="str" cm="1">
        <f t="array" aca="1" ref="T6" ca="1">GetValues(SanitizeInput($E6),'Damage Scenarios'!$B:$T,"",",",FALSE)</f>
        <v/>
      </c>
      <c r="U6" s="14" t="b">
        <f t="shared" ca="1" si="0"/>
        <v>0</v>
      </c>
      <c r="V6" s="20" cm="1">
        <f t="array" aca="1" ref="V6" ca="1">CreateID($V$2,$V:$V,$U6)</f>
        <v>0</v>
      </c>
      <c r="W6" s="20">
        <f t="shared" ca="1" si="1"/>
        <v>0</v>
      </c>
      <c r="X6" s="20">
        <f>IF(H6="",0,VLOOKUP(H6,Definitions!$Z:$AA,COLUMNS(Definitions!$Z:$AA),FALSE))</f>
        <v>0</v>
      </c>
      <c r="Y6" s="20">
        <f>IF(I6="",0,VLOOKUP(I6,Definitions!$Z:$AA,COLUMNS(Definitions!$Z:$AA),FALSE))</f>
        <v>3</v>
      </c>
      <c r="Z6" s="20">
        <f>IF(J6="",0,VLOOKUP(J6,Definitions!$Z:$AA,COLUMNS(Definitions!$Z:$AA),FALSE))</f>
        <v>0</v>
      </c>
      <c r="AA6" s="20">
        <f>IF(K6="",0,VLOOKUP(K6,Definitions!$Z:$AA,COLUMNS(Definitions!$Z:$AA),FALSE))</f>
        <v>0</v>
      </c>
      <c r="AB6" s="20">
        <f>IF(L6="",0,VLOOKUP(L6,Definitions!$Z:$AA,COLUMNS(Definitions!$Z:$AA),FALSE))</f>
        <v>0</v>
      </c>
      <c r="AC6" s="20">
        <f t="shared" ca="1" si="2"/>
        <v>3</v>
      </c>
      <c r="AD6" s="20" cm="1">
        <f t="array" ref="AD6">CreateTaskID($AD$2,$AD:$AD,Tasks!$B$17,$P6)</f>
        <v>0</v>
      </c>
      <c r="AE6" s="20" t="str" cm="1">
        <f t="array" aca="1" ref="AE6" ca="1">InverseLookup($A6,Countermeasures!$X$2,Countermeasures!$A$2,1,Helper!$B$4,",")</f>
        <v>C20,C21,</v>
      </c>
      <c r="AF6" s="20" t="str" cm="1">
        <f t="array" aca="1" ref="AF6" ca="1">InverseLookup($A6,Assumptions!$X$3,Assumptions!$A$3,1,Helper!$B$6,",")</f>
        <v/>
      </c>
      <c r="AG6" s="20" t="str" cm="1">
        <f t="array" aca="1" ref="AG6" ca="1">InverseLookup($A6,Assumptions!$Y$3,Assumptions!$A$3,1,Helper!$B$6,",")</f>
        <v/>
      </c>
      <c r="AH6" s="20" t="str" cm="1">
        <f t="array" aca="1" ref="AH6" ca="1">IF($U6,
CreateSearchString(SUBSTITUTE($S6,"§","")),
"")</f>
        <v/>
      </c>
      <c r="AI6" s="20" t="b">
        <f t="shared" ca="1" si="3"/>
        <v>0</v>
      </c>
      <c r="AJ6" s="81"/>
      <c r="AK6" s="81"/>
      <c r="AL6" s="81"/>
      <c r="AM6" s="81"/>
      <c r="AN6" s="81"/>
    </row>
    <row r="7" spans="1:40" ht="113.25" x14ac:dyDescent="0.25">
      <c r="A7" s="13" t="s">
        <v>111</v>
      </c>
      <c r="B7" s="13" t="s">
        <v>115</v>
      </c>
      <c r="C7" s="13" t="s">
        <v>1012</v>
      </c>
      <c r="D7" s="19" t="str" cm="1">
        <f t="array" aca="1" ref="D7" ca="1">LookupNames(SanitizeInput($C7),$A:$B)</f>
        <v>AS1 Getting access to a trusted operational environment,
AS2 Getting access to a wireless network,
AS12 Compromising an untrusted device that communicates directly with the product,
AS13 Attacking the product or its communication from an untrusted local network,
AS27 Getting physical access to the product's linked communication media (e.g., field buses),
AS34 Attacking the product's outgoing communication to an external communication partner over the Internet or a mobile network,
AS36 Attacking the product's incoming communication from the Internet or a mobile network</v>
      </c>
      <c r="E7" s="13" t="s">
        <v>1104</v>
      </c>
      <c r="F7" s="19" t="str" cm="1">
        <f t="array" aca="1" ref="F7" ca="1">RemoveDelimiter(GetValues(SanitizeInput($E7),Questions!$A:$B,"   ",CHAR(10),TRUE),CHAR(10))</f>
        <v>QI1   Does the product have cameras or other sensors that can potentially recognize people?
QI2   Does the product process personal data?
Examples: User ID, address labels
QI4   Is &lt;OEM name&gt;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7" s="16" t="str" cm="1">
        <f t="array" aca="1" ref="G7" ca="1">LookupNames($T7,'Damage Scenarios'!$A:$J)</f>
        <v/>
      </c>
      <c r="H7" s="13"/>
      <c r="I7" s="13" t="s">
        <v>140</v>
      </c>
      <c r="J7" s="13"/>
      <c r="K7" s="13"/>
      <c r="L7" s="13"/>
      <c r="M7" s="130" t="str">
        <f ca="1">IF($A7="","",IFERROR(VLOOKUP($AC7,Definitions!$V:$W,COLUMNS(Definitions!$V:$W),TRUE),""))</f>
        <v>Basic</v>
      </c>
      <c r="N7" s="13"/>
      <c r="O7" s="13" t="s">
        <v>605</v>
      </c>
      <c r="P7" s="13" t="s">
        <v>197</v>
      </c>
      <c r="Q7" s="10" cm="1">
        <f t="array" ref="Q7">IF(ROW()=ROW($Q$2)+1,0,INDEX($Q:$Q,ROW()-1))+IF($A7="",0,1)</f>
        <v>5</v>
      </c>
      <c r="R7" s="14" t="b">
        <f>OR(CheckRelevance(SanitizeInput(N7),Questionnaire!$I:$I),CheckRelevance(SanitizeInput(N7),Questionnaire!$J:$J))</f>
        <v>0</v>
      </c>
      <c r="S7" s="14" t="str" cm="1">
        <f t="array" aca="1" ref="S7" ca="1">IF(AND($N7&lt;&gt;"",$R7=FALSE),"",
IF(AND($R7,$C7=""),$A7&amp;",§","")&amp;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GenerateAttackPaths(RemoveFirstElement(_xlpm._in),_xlpm._apRange,_xlpm._ownID))))(SanitizeInput($C7),$A:$S,$A7))</f>
        <v/>
      </c>
      <c r="T7" s="14" t="str" cm="1">
        <f t="array" aca="1" ref="T7" ca="1">GetValues(SanitizeInput($E7),'Damage Scenarios'!$B:$T,"",",",FALSE)</f>
        <v/>
      </c>
      <c r="U7" s="14" t="b">
        <f t="shared" ca="1" si="0"/>
        <v>0</v>
      </c>
      <c r="V7" s="20" cm="1">
        <f t="array" aca="1" ref="V7" ca="1">CreateID($V$2,$V:$V,$U7)</f>
        <v>0</v>
      </c>
      <c r="W7" s="20">
        <f t="shared" ca="1" si="1"/>
        <v>0</v>
      </c>
      <c r="X7" s="20">
        <f>IF(H7="",0,VLOOKUP(H7,Definitions!$Z:$AA,COLUMNS(Definitions!$Z:$AA),FALSE))</f>
        <v>0</v>
      </c>
      <c r="Y7" s="20">
        <f>IF(I7="",0,VLOOKUP(I7,Definitions!$Z:$AA,COLUMNS(Definitions!$Z:$AA),FALSE))</f>
        <v>3</v>
      </c>
      <c r="Z7" s="20">
        <f>IF(J7="",0,VLOOKUP(J7,Definitions!$Z:$AA,COLUMNS(Definitions!$Z:$AA),FALSE))</f>
        <v>0</v>
      </c>
      <c r="AA7" s="20">
        <f>IF(K7="",0,VLOOKUP(K7,Definitions!$Z:$AA,COLUMNS(Definitions!$Z:$AA),FALSE))</f>
        <v>0</v>
      </c>
      <c r="AB7" s="20">
        <f>IF(L7="",0,VLOOKUP(L7,Definitions!$Z:$AA,COLUMNS(Definitions!$Z:$AA),FALSE))</f>
        <v>0</v>
      </c>
      <c r="AC7" s="20">
        <f t="shared" ca="1" si="2"/>
        <v>3</v>
      </c>
      <c r="AD7" s="20" cm="1">
        <f t="array" ref="AD7">CreateTaskID($AD$2,$AD:$AD,Tasks!$B$17,$P7)</f>
        <v>0</v>
      </c>
      <c r="AE7" s="20" t="str" cm="1">
        <f t="array" aca="1" ref="AE7" ca="1">InverseLookup($A7,Countermeasures!$X$2,Countermeasures!$A$2,1,Helper!$B$4,",")</f>
        <v>C29,</v>
      </c>
      <c r="AF7" s="20" t="str" cm="1">
        <f t="array" aca="1" ref="AF7" ca="1">InverseLookup($A7,Assumptions!$X$3,Assumptions!$A$3,1,Helper!$B$6,",")</f>
        <v/>
      </c>
      <c r="AG7" s="20" t="str" cm="1">
        <f t="array" aca="1" ref="AG7" ca="1">InverseLookup($A7,Assumptions!$Y$3,Assumptions!$A$3,1,Helper!$B$6,",")</f>
        <v>A28,A37,</v>
      </c>
      <c r="AH7" s="20" t="str" cm="1">
        <f t="array" aca="1" ref="AH7" ca="1">IF($U7,
CreateSearchString(SUBSTITUTE($S7,"§","")),
"")</f>
        <v/>
      </c>
      <c r="AI7" s="20" t="b">
        <f t="shared" ca="1" si="3"/>
        <v>0</v>
      </c>
      <c r="AJ7" s="81"/>
      <c r="AK7" s="81"/>
      <c r="AL7" s="81"/>
      <c r="AM7" s="81"/>
      <c r="AN7" s="81"/>
    </row>
    <row r="8" spans="1:40" ht="90.75" x14ac:dyDescent="0.25">
      <c r="A8" s="13" t="s">
        <v>112</v>
      </c>
      <c r="B8" s="13" t="s">
        <v>123</v>
      </c>
      <c r="C8" s="13" t="s">
        <v>993</v>
      </c>
      <c r="D8" s="19" t="str" cm="1">
        <f t="array" aca="1" ref="D8" ca="1">LookupNames(SanitizeInput($C8),$A:$B)</f>
        <v>AS1 Getting access to a trusted operational environment,
AS2 Getting access to a wireless network,
AS13 Attacking the product or its communication from an untrusted local network,
AS27 Getting physical access to the product's linked communication media (e.g., field buses),
AS34 Attacking the product's outgoing communication to an external communication partner over the Internet or a mobile network</v>
      </c>
      <c r="E8" s="13" t="s">
        <v>1081</v>
      </c>
      <c r="F8" s="19" t="str" cm="1">
        <f t="array" aca="1" ref="F8" ca="1">RemoveDelimiter(GetValues(SanitizeInput($E8),Questions!$A:$B,"   ",CHAR(10),TRUE),CHAR(10))</f>
        <v>QI10   Can a manipulated product (or its communication) endanger the health of people? Also consider cases where the product is used against its intended use or misconfigured!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8" s="16" t="str" cm="1">
        <f t="array" aca="1" ref="G8" ca="1">LookupNames($T8,'Damage Scenarios'!$A:$J)</f>
        <v/>
      </c>
      <c r="H8" s="13" t="s">
        <v>133</v>
      </c>
      <c r="I8" s="13" t="s">
        <v>141</v>
      </c>
      <c r="J8" s="13" t="s">
        <v>145</v>
      </c>
      <c r="K8" s="13"/>
      <c r="L8" s="13"/>
      <c r="M8" s="130" t="str">
        <f ca="1">IF($A8="","",IFERROR(VLOOKUP($AC8,Definitions!$V:$W,COLUMNS(Definitions!$V:$W),TRUE),""))</f>
        <v>Enhanced-Basic</v>
      </c>
      <c r="N8" s="13"/>
      <c r="O8" s="13" t="s">
        <v>607</v>
      </c>
      <c r="P8" s="13" t="s">
        <v>1017</v>
      </c>
      <c r="Q8" s="10" cm="1">
        <f t="array" ref="Q8">IF(ROW()=ROW($Q$2)+1,0,INDEX($Q:$Q,ROW()-1))+IF($A8="",0,1)</f>
        <v>6</v>
      </c>
      <c r="R8" s="14" t="b">
        <f>OR(CheckRelevance(SanitizeInput(N8),Questionnaire!$I:$I),CheckRelevance(SanitizeInput(N8),Questionnaire!$J:$J))</f>
        <v>0</v>
      </c>
      <c r="S8" s="14" t="str" cm="1">
        <f t="array" aca="1" ref="S8" ca="1">IF(AND($N8&lt;&gt;"",$R8=FALSE),"",
IF(AND($R8,$C8=""),$A8&amp;",§","")&amp;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GenerateAttackPaths(RemoveFirstElement(_xlpm._in),_xlpm._apRange,_xlpm._ownID))))(SanitizeInput($C8),$A:$S,$A8))</f>
        <v/>
      </c>
      <c r="T8" s="14" t="str" cm="1">
        <f t="array" aca="1" ref="T8" ca="1">GetValues(SanitizeInput($E8),'Damage Scenarios'!$B:$T,"",",",FALSE)</f>
        <v/>
      </c>
      <c r="U8" s="14" t="b">
        <f t="shared" ca="1" si="0"/>
        <v>0</v>
      </c>
      <c r="V8" s="20" cm="1">
        <f t="array" aca="1" ref="V8" ca="1">CreateID($V$2,$V:$V,$U8)</f>
        <v>0</v>
      </c>
      <c r="W8" s="20">
        <f t="shared" ca="1" si="1"/>
        <v>0</v>
      </c>
      <c r="X8" s="20">
        <f>IF(H8="",0,VLOOKUP(H8,Definitions!$Z:$AA,COLUMNS(Definitions!$Z:$AA),FALSE))</f>
        <v>1</v>
      </c>
      <c r="Y8" s="20">
        <f>IF(I8="",0,VLOOKUP(I8,Definitions!$Z:$AA,COLUMNS(Definitions!$Z:$AA),FALSE))</f>
        <v>6</v>
      </c>
      <c r="Z8" s="20">
        <f>IF(J8="",0,VLOOKUP(J8,Definitions!$Z:$AA,COLUMNS(Definitions!$Z:$AA),FALSE))</f>
        <v>3</v>
      </c>
      <c r="AA8" s="20">
        <f>IF(K8="",0,VLOOKUP(K8,Definitions!$Z:$AA,COLUMNS(Definitions!$Z:$AA),FALSE))</f>
        <v>0</v>
      </c>
      <c r="AB8" s="20">
        <f>IF(L8="",0,VLOOKUP(L8,Definitions!$Z:$AA,COLUMNS(Definitions!$Z:$AA),FALSE))</f>
        <v>0</v>
      </c>
      <c r="AC8" s="20">
        <f t="shared" ca="1" si="2"/>
        <v>10</v>
      </c>
      <c r="AD8" s="20" cm="1">
        <f t="array" ref="AD8">CreateTaskID($AD$2,$AD:$AD,Tasks!$B$17,$P8)</f>
        <v>0</v>
      </c>
      <c r="AE8" s="20" t="str" cm="1">
        <f t="array" aca="1" ref="AE8" ca="1">InverseLookup($A8,Countermeasures!$X$2,Countermeasures!$A$2,1,Helper!$B$4,",")</f>
        <v>CM10,</v>
      </c>
      <c r="AF8" s="20" t="str" cm="1">
        <f t="array" aca="1" ref="AF8" ca="1">InverseLookup($A8,Assumptions!$X$3,Assumptions!$A$3,1,Helper!$B$6,",")</f>
        <v/>
      </c>
      <c r="AG8" s="20" t="str" cm="1">
        <f t="array" aca="1" ref="AG8" ca="1">InverseLookup($A8,Assumptions!$Y$3,Assumptions!$A$3,1,Helper!$B$6,",")</f>
        <v>A37,</v>
      </c>
      <c r="AH8" s="20" t="str" cm="1">
        <f t="array" aca="1" ref="AH8" ca="1">IF($U8,
CreateSearchString(SUBSTITUTE($S8,"§","")),
"")</f>
        <v/>
      </c>
      <c r="AI8" s="20" t="b">
        <f t="shared" ca="1" si="3"/>
        <v>0</v>
      </c>
      <c r="AJ8" s="81"/>
      <c r="AK8" s="81"/>
      <c r="AL8" s="81"/>
      <c r="AM8" s="81"/>
      <c r="AN8" s="81"/>
    </row>
    <row r="9" spans="1:40" ht="180.75" x14ac:dyDescent="0.25">
      <c r="A9" s="13" t="s">
        <v>113</v>
      </c>
      <c r="B9" s="13" t="s">
        <v>124</v>
      </c>
      <c r="C9" s="13" t="s">
        <v>1010</v>
      </c>
      <c r="D9" s="19" t="str" cm="1">
        <f t="array" aca="1" ref="D9" ca="1">LookupNames(SanitizeInput($C9),$A:$B)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AS27 Getting physical access to the product's linked communication media (e.g., field buses),
AS28 Getting access to a trusted entity,
AS36 Attacking the product's incoming communication from the Internet or a mobile network</v>
      </c>
      <c r="E9" s="13" t="s">
        <v>1082</v>
      </c>
      <c r="F9" s="19" t="str" cm="1">
        <f t="array" aca="1" ref="F9" ca="1">RemoveDelimiter(GetValues(SanitizeInput($E9),Questions!$A:$B,"   ",CHAR(10),TRUE),CHAR(10))</f>
        <v>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9" s="16" t="str" cm="1">
        <f t="array" aca="1" ref="G9" ca="1">LookupNames($T9,'Damage Scenarios'!$A:$J)</f>
        <v/>
      </c>
      <c r="H9" s="13" t="s">
        <v>133</v>
      </c>
      <c r="I9" s="13" t="s">
        <v>141</v>
      </c>
      <c r="J9" s="13" t="s">
        <v>145</v>
      </c>
      <c r="K9" s="13"/>
      <c r="L9" s="13"/>
      <c r="M9" s="130" t="str">
        <f ca="1">IF($A9="","",IFERROR(VLOOKUP($AC9,Definitions!$V:$W,COLUMNS(Definitions!$V:$W),TRUE),""))</f>
        <v>Enhanced-Basic</v>
      </c>
      <c r="N9" s="13"/>
      <c r="O9" s="13" t="s">
        <v>607</v>
      </c>
      <c r="P9" s="13" t="s">
        <v>1018</v>
      </c>
      <c r="Q9" s="10" cm="1">
        <f t="array" ref="Q9">IF(ROW()=ROW($Q$2)+1,0,INDEX($Q:$Q,ROW()-1))+IF($A9="",0,1)</f>
        <v>7</v>
      </c>
      <c r="R9" s="14" t="b">
        <f>OR(CheckRelevance(SanitizeInput(N9),Questionnaire!$I:$I),CheckRelevance(SanitizeInput(N9),Questionnaire!$J:$J))</f>
        <v>0</v>
      </c>
      <c r="S9" s="14" t="str" cm="1">
        <f t="array" aca="1" ref="S9" ca="1">IF(AND($N9&lt;&gt;"",$R9=FALSE),"",
IF(AND($R9,$C9=""),$A9&amp;",§","")&amp;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GenerateAttackPaths(RemoveFirstElement(_xlpm._in),_xlpm._apRange,_xlpm._ownID))))(SanitizeInput($C9),$A:$S,$A9))</f>
        <v/>
      </c>
      <c r="T9" s="14" t="str" cm="1">
        <f t="array" aca="1" ref="T9" ca="1">GetValues(SanitizeInput($E9),'Damage Scenarios'!$B:$T,"",",",FALSE)</f>
        <v/>
      </c>
      <c r="U9" s="14" t="b">
        <f t="shared" ca="1" si="0"/>
        <v>0</v>
      </c>
      <c r="V9" s="20" cm="1">
        <f t="array" aca="1" ref="V9" ca="1">CreateID($V$2,$V:$V,$U9)</f>
        <v>0</v>
      </c>
      <c r="W9" s="20">
        <f t="shared" ca="1" si="1"/>
        <v>0</v>
      </c>
      <c r="X9" s="20">
        <f>IF(H9="",0,VLOOKUP(H9,Definitions!$Z:$AA,COLUMNS(Definitions!$Z:$AA),FALSE))</f>
        <v>1</v>
      </c>
      <c r="Y9" s="20">
        <f>IF(I9="",0,VLOOKUP(I9,Definitions!$Z:$AA,COLUMNS(Definitions!$Z:$AA),FALSE))</f>
        <v>6</v>
      </c>
      <c r="Z9" s="20">
        <f>IF(J9="",0,VLOOKUP(J9,Definitions!$Z:$AA,COLUMNS(Definitions!$Z:$AA),FALSE))</f>
        <v>3</v>
      </c>
      <c r="AA9" s="20">
        <f>IF(K9="",0,VLOOKUP(K9,Definitions!$Z:$AA,COLUMNS(Definitions!$Z:$AA),FALSE))</f>
        <v>0</v>
      </c>
      <c r="AB9" s="20">
        <f>IF(L9="",0,VLOOKUP(L9,Definitions!$Z:$AA,COLUMNS(Definitions!$Z:$AA),FALSE))</f>
        <v>0</v>
      </c>
      <c r="AC9" s="20">
        <f t="shared" ca="1" si="2"/>
        <v>10</v>
      </c>
      <c r="AD9" s="20" cm="1">
        <f t="array" ref="AD9">CreateTaskID($AD$2,$AD:$AD,Tasks!$B$17,$P9)</f>
        <v>0</v>
      </c>
      <c r="AE9" s="20" t="str" cm="1">
        <f t="array" aca="1" ref="AE9" ca="1">InverseLookup($A9,Countermeasures!$X$2,Countermeasures!$A$2,1,Helper!$B$4,",")</f>
        <v>CM11,</v>
      </c>
      <c r="AF9" s="20" t="str" cm="1">
        <f t="array" aca="1" ref="AF9" ca="1">InverseLookup($A9,Assumptions!$X$3,Assumptions!$A$3,1,Helper!$B$6,",")</f>
        <v/>
      </c>
      <c r="AG9" s="20" t="str" cm="1">
        <f t="array" aca="1" ref="AG9" ca="1">InverseLookup($A9,Assumptions!$Y$3,Assumptions!$A$3,1,Helper!$B$6,",")</f>
        <v/>
      </c>
      <c r="AH9" s="20" t="str" cm="1">
        <f t="array" aca="1" ref="AH9" ca="1">IF($U9,
CreateSearchString(SUBSTITUTE($S9,"§","")),
"")</f>
        <v/>
      </c>
      <c r="AI9" s="20" t="b">
        <f t="shared" ca="1" si="3"/>
        <v>0</v>
      </c>
      <c r="AJ9" s="81"/>
      <c r="AK9" s="81"/>
      <c r="AL9" s="81"/>
      <c r="AM9" s="81"/>
      <c r="AN9" s="81"/>
    </row>
    <row r="10" spans="1:40" ht="113.25" x14ac:dyDescent="0.25">
      <c r="A10" s="13" t="s">
        <v>118</v>
      </c>
      <c r="B10" s="13" t="s">
        <v>116</v>
      </c>
      <c r="C10" s="13"/>
      <c r="D10" s="19" t="str" cm="1">
        <f t="array" ref="D10">LookupNames(SanitizeInput($C10),$A:$B)</f>
        <v/>
      </c>
      <c r="E10" s="13" t="s">
        <v>1091</v>
      </c>
      <c r="F10" s="19" t="str" cm="1">
        <f t="array" aca="1" ref="F10" ca="1">RemoveDelimiter(GetValues(SanitizeInput($E10),Questions!$A:$B,"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&lt;OEM name&gt; product)? Example: The product is used for access control.
QI9   Can a loss of availability cause contract-related fines (e.g., based on a service level agreement)?</v>
      </c>
      <c r="G10" s="16" t="str" cm="1">
        <f t="array" aca="1" ref="G10" ca="1">LookupNames($T10,'Damage Scenarios'!$A:$J)</f>
        <v/>
      </c>
      <c r="H10" s="13"/>
      <c r="I10" s="13"/>
      <c r="J10" s="13"/>
      <c r="K10" s="13"/>
      <c r="L10" s="13" t="s">
        <v>154</v>
      </c>
      <c r="M10" s="130" t="str">
        <f ca="1">IF($A10="","",IFERROR(VLOOKUP($AC10,Definitions!$V:$W,COLUMNS(Definitions!$V:$W),TRUE),""))</f>
        <v>Basic</v>
      </c>
      <c r="N10" s="13" t="s">
        <v>1046</v>
      </c>
      <c r="O10" s="13" t="s">
        <v>604</v>
      </c>
      <c r="P10" s="13" t="s">
        <v>199</v>
      </c>
      <c r="Q10" s="10" cm="1">
        <f t="array" ref="Q10">IF(ROW()=ROW($Q$2)+1,0,INDEX($Q:$Q,ROW()-1))+IF($A10="",0,1)</f>
        <v>8</v>
      </c>
      <c r="R10" s="14" t="b">
        <f ca="1">OR(CheckRelevance(SanitizeInput(N10),Questionnaire!$I:$I),CheckRelevance(SanitizeInput(N10),Questionnaire!$J:$J))</f>
        <v>0</v>
      </c>
      <c r="S10" s="14" t="str" cm="1">
        <f t="array" aca="1" ref="S10" ca="1">IF(AND($N10&lt;&gt;"",$R10=FALSE),"",
IF(AND($R10,$C10=""),$A10&amp;",§","")&amp;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GenerateAttackPaths(RemoveFirstElement(_xlpm._in),_xlpm._apRange,_xlpm._ownID))))(SanitizeInput($C10),$A:$S,$A10))</f>
        <v/>
      </c>
      <c r="T10" s="14" t="str" cm="1">
        <f t="array" aca="1" ref="T10" ca="1">GetValues(SanitizeInput($E10),'Damage Scenarios'!$B:$T,"",",",FALSE)</f>
        <v/>
      </c>
      <c r="U10" s="14" t="b">
        <f t="shared" ca="1" si="0"/>
        <v>0</v>
      </c>
      <c r="V10" s="20" cm="1">
        <f t="array" aca="1" ref="V10" ca="1">CreateID($V$2,$V:$V,$U10)</f>
        <v>0</v>
      </c>
      <c r="W10" s="20">
        <f t="shared" ca="1" si="1"/>
        <v>0</v>
      </c>
      <c r="X10" s="20">
        <f>IF(H10="",0,VLOOKUP(H10,Definitions!$Z:$AA,COLUMNS(Definitions!$Z:$AA),FALSE))</f>
        <v>0</v>
      </c>
      <c r="Y10" s="20">
        <f>IF(I10="",0,VLOOKUP(I10,Definitions!$Z:$AA,COLUMNS(Definitions!$Z:$AA),FALSE))</f>
        <v>0</v>
      </c>
      <c r="Z10" s="20">
        <f>IF(J10="",0,VLOOKUP(J10,Definitions!$Z:$AA,COLUMNS(Definitions!$Z:$AA),FALSE))</f>
        <v>0</v>
      </c>
      <c r="AA10" s="20">
        <f>IF(K10="",0,VLOOKUP(K10,Definitions!$Z:$AA,COLUMNS(Definitions!$Z:$AA),FALSE))</f>
        <v>0</v>
      </c>
      <c r="AB10" s="20">
        <f>IF(L10="",0,VLOOKUP(L10,Definitions!$Z:$AA,COLUMNS(Definitions!$Z:$AA),FALSE))</f>
        <v>4</v>
      </c>
      <c r="AC10" s="20">
        <f t="shared" ca="1" si="2"/>
        <v>4</v>
      </c>
      <c r="AD10" s="20" cm="1">
        <f t="array" ref="AD10">CreateTaskID($AD$2,$AD:$AD,Tasks!$B$17,$P10)</f>
        <v>0</v>
      </c>
      <c r="AE10" s="20" t="str" cm="1">
        <f t="array" aca="1" ref="AE10" ca="1">InverseLookup($A10,Countermeasures!$X$2,Countermeasures!$A$2,1,Helper!$B$4,",")</f>
        <v/>
      </c>
      <c r="AF10" s="20" t="str" cm="1">
        <f t="array" aca="1" ref="AF10" ca="1">InverseLookup($A10,Assumptions!$X$3,Assumptions!$A$3,1,Helper!$B$6,",")</f>
        <v/>
      </c>
      <c r="AG10" s="20" t="str" cm="1">
        <f t="array" aca="1" ref="AG10" ca="1">InverseLookup($A10,Assumptions!$Y$3,Assumptions!$A$3,1,Helper!$B$6,",")</f>
        <v>A29,</v>
      </c>
      <c r="AH10" s="20" t="str" cm="1">
        <f t="array" aca="1" ref="AH10" ca="1">IF($U10,
CreateSearchString(SUBSTITUTE($S10,"§","")),
"")</f>
        <v/>
      </c>
      <c r="AI10" s="20" t="b">
        <f t="shared" ca="1" si="3"/>
        <v>0</v>
      </c>
      <c r="AJ10" s="81"/>
      <c r="AK10" s="81"/>
      <c r="AL10" s="81"/>
      <c r="AM10" s="81"/>
      <c r="AN10" s="81"/>
    </row>
    <row r="11" spans="1:40" ht="75" x14ac:dyDescent="0.25">
      <c r="A11" s="13" t="s">
        <v>121</v>
      </c>
      <c r="B11" s="13" t="s">
        <v>1403</v>
      </c>
      <c r="C11" s="13"/>
      <c r="D11" s="19" t="str" cm="1">
        <f t="array" ref="D11">LookupNames(SanitizeInput($C11),$A:$B)</f>
        <v/>
      </c>
      <c r="E11" s="13" t="s">
        <v>1074</v>
      </c>
      <c r="F11" s="19" t="str" cm="1">
        <f t="array" aca="1" ref="F11" ca="1">RemoveDelimiter(GetValues(SanitizeInput($E11),Questions!$A:$B,"   ",CHAR(10),TRUE),CHAR(10))</f>
        <v>QI15   Can a manipulated product allow an attacker access to assets of the customer or allow the attacker to attack the customer's network?</v>
      </c>
      <c r="G11" s="16" t="str" cm="1">
        <f t="array" aca="1" ref="G11" ca="1">LookupNames($T11,'Damage Scenarios'!$A:$J)</f>
        <v/>
      </c>
      <c r="H11" s="13" t="s">
        <v>132</v>
      </c>
      <c r="I11" s="13" t="s">
        <v>139</v>
      </c>
      <c r="J11" s="13" t="s">
        <v>144</v>
      </c>
      <c r="K11" s="13" t="s">
        <v>148</v>
      </c>
      <c r="L11" s="13" t="s">
        <v>153</v>
      </c>
      <c r="M11" s="130" t="str">
        <f ca="1">IF($A11="","",IFERROR(VLOOKUP($AC11,Definitions!$V:$W,COLUMNS(Definitions!$V:$W),TRUE),""))</f>
        <v>Basic</v>
      </c>
      <c r="N11" s="13" t="s">
        <v>1039</v>
      </c>
      <c r="O11" s="13"/>
      <c r="P11" s="13" t="s">
        <v>1019</v>
      </c>
      <c r="Q11" s="10" cm="1">
        <f t="array" ref="Q11">IF(ROW()=ROW($Q$2)+1,0,INDEX($Q:$Q,ROW()-1))+IF($A11="",0,1)</f>
        <v>9</v>
      </c>
      <c r="R11" s="14" t="b">
        <f ca="1">OR(CheckRelevance(SanitizeInput(N11),Questionnaire!$I:$I),CheckRelevance(SanitizeInput(N11),Questionnaire!$J:$J))</f>
        <v>0</v>
      </c>
      <c r="S11" s="14" t="str" cm="1">
        <f t="array" aca="1" ref="S11" ca="1">IF(AND($N11&lt;&gt;"",$R11=FALSE),"",
IF(AND($R11,$C11=""),$A11&amp;",§","")&amp;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GenerateAttackPaths(RemoveFirstElement(_xlpm._in),_xlpm._apRange,_xlpm._ownID))))(SanitizeInput($C11),$A:$S,$A11))</f>
        <v/>
      </c>
      <c r="T11" s="14" t="str" cm="1">
        <f t="array" aca="1" ref="T11" ca="1">GetValues(SanitizeInput($E11),'Damage Scenarios'!$B:$T,"",",",FALSE)</f>
        <v/>
      </c>
      <c r="U11" s="14" t="b">
        <f t="shared" ca="1" si="0"/>
        <v>0</v>
      </c>
      <c r="V11" s="20" cm="1">
        <f t="array" aca="1" ref="V11" ca="1">CreateID($V$2,$V:$V,$U11)</f>
        <v>0</v>
      </c>
      <c r="W11" s="20">
        <f t="shared" ca="1" si="1"/>
        <v>0</v>
      </c>
      <c r="X11" s="20">
        <f>IF(H11="",0,VLOOKUP(H11,Definitions!$Z:$AA,COLUMNS(Definitions!$Z:$AA),FALSE))</f>
        <v>0</v>
      </c>
      <c r="Y11" s="20">
        <f>IF(I11="",0,VLOOKUP(I11,Definitions!$Z:$AA,COLUMNS(Definitions!$Z:$AA),FALSE))</f>
        <v>0</v>
      </c>
      <c r="Z11" s="20">
        <f>IF(J11="",0,VLOOKUP(J11,Definitions!$Z:$AA,COLUMNS(Definitions!$Z:$AA),FALSE))</f>
        <v>0</v>
      </c>
      <c r="AA11" s="20">
        <f>IF(K11="",0,VLOOKUP(K11,Definitions!$Z:$AA,COLUMNS(Definitions!$Z:$AA),FALSE))</f>
        <v>0</v>
      </c>
      <c r="AB11" s="20">
        <f>IF(L11="",0,VLOOKUP(L11,Definitions!$Z:$AA,COLUMNS(Definitions!$Z:$AA),FALSE))</f>
        <v>0</v>
      </c>
      <c r="AC11" s="20">
        <f t="shared" ca="1" si="2"/>
        <v>0</v>
      </c>
      <c r="AD11" s="20" cm="1">
        <f t="array" ref="AD11">CreateTaskID($AD$2,$AD:$AD,Tasks!$B$17,$P11)</f>
        <v>0</v>
      </c>
      <c r="AE11" s="20" t="str" cm="1">
        <f t="array" aca="1" ref="AE11" ca="1">InverseLookup($A11,Countermeasures!$X$2,Countermeasures!$A$2,1,Helper!$B$4,",")</f>
        <v>CM1,</v>
      </c>
      <c r="AF11" s="20" t="str" cm="1">
        <f t="array" aca="1" ref="AF11" ca="1">InverseLookup($A11,Assumptions!$X$3,Assumptions!$A$3,1,Helper!$B$6,",")</f>
        <v/>
      </c>
      <c r="AG11" s="20" t="str" cm="1">
        <f t="array" aca="1" ref="AG11" ca="1">InverseLookup($A11,Assumptions!$Y$3,Assumptions!$A$3,1,Helper!$B$6,",")</f>
        <v/>
      </c>
      <c r="AH11" s="20" t="str" cm="1">
        <f t="array" aca="1" ref="AH11" ca="1">IF($U11,
CreateSearchString(SUBSTITUTE($S11,"§","")),
"")</f>
        <v/>
      </c>
      <c r="AI11" s="20" t="b">
        <f t="shared" ca="1" si="3"/>
        <v>0</v>
      </c>
      <c r="AJ11" s="81"/>
      <c r="AK11" s="81"/>
      <c r="AL11" s="81"/>
      <c r="AM11" s="81"/>
      <c r="AN11" s="81"/>
    </row>
    <row r="12" spans="1:40" ht="90.75" x14ac:dyDescent="0.25">
      <c r="A12" s="13" t="s">
        <v>122</v>
      </c>
      <c r="B12" s="13" t="s">
        <v>125</v>
      </c>
      <c r="C12" s="13" t="s">
        <v>109</v>
      </c>
      <c r="D12" s="19" t="str" cm="1">
        <f t="array" aca="1" ref="D12" ca="1">LookupNames(SanitizeInput($C12),$A:$B)</f>
        <v>AS3 Compromising the product using a software vulnerability</v>
      </c>
      <c r="E12" s="13" t="s">
        <v>1081</v>
      </c>
      <c r="F12" s="19" t="str" cm="1">
        <f t="array" aca="1" ref="F12" ca="1">RemoveDelimiter(GetValues(SanitizeInput($E12),Questions!$A:$B,"   ",CHAR(10),TRUE),CHAR(10))</f>
        <v>QI10   Can a manipulated product (or its communication) endanger the health of people? Also consider cases where the product is used against its intended use or misconfigured!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12" s="16" t="str" cm="1">
        <f t="array" aca="1" ref="G12" ca="1">LookupNames($T12,'Damage Scenarios'!$A:$J)</f>
        <v/>
      </c>
      <c r="H12" s="13" t="s">
        <v>133</v>
      </c>
      <c r="I12" s="13" t="s">
        <v>141</v>
      </c>
      <c r="J12" s="13" t="s">
        <v>145</v>
      </c>
      <c r="K12" s="13"/>
      <c r="L12" s="13"/>
      <c r="M12" s="130" t="str">
        <f ca="1">IF($A12="","",IFERROR(VLOOKUP($AC12,Definitions!$V:$W,COLUMNS(Definitions!$V:$W),TRUE),""))</f>
        <v>Enhanced-Basic</v>
      </c>
      <c r="N12" s="13"/>
      <c r="O12" s="13" t="s">
        <v>646</v>
      </c>
      <c r="P12" s="13" t="s">
        <v>198</v>
      </c>
      <c r="Q12" s="10" cm="1">
        <f t="array" ref="Q12">IF(ROW()=ROW($Q$2)+1,0,INDEX($Q:$Q,ROW()-1))+IF($A12="",0,1)</f>
        <v>10</v>
      </c>
      <c r="R12" s="14" t="b">
        <f>OR(CheckRelevance(SanitizeInput(N12),Questionnaire!$I:$I),CheckRelevance(SanitizeInput(N12),Questionnaire!$J:$J))</f>
        <v>0</v>
      </c>
      <c r="S12" s="14" t="str" cm="1">
        <f t="array" aca="1" ref="S12" ca="1">IF(AND($N12&lt;&gt;"",$R12=FALSE),"",
IF(AND($R12,$C12=""),$A12&amp;",§","")&amp;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GenerateAttackPaths(RemoveFirstElement(_xlpm._in),_xlpm._apRange,_xlpm._ownID))))(SanitizeInput($C12),$A:$S,$A12))</f>
        <v/>
      </c>
      <c r="T12" s="14" t="str" cm="1">
        <f t="array" aca="1" ref="T12" ca="1">GetValues(SanitizeInput($E12),'Damage Scenarios'!$B:$T,"",",",FALSE)</f>
        <v/>
      </c>
      <c r="U12" s="14" t="b">
        <f t="shared" ca="1" si="0"/>
        <v>0</v>
      </c>
      <c r="V12" s="20" cm="1">
        <f t="array" aca="1" ref="V12" ca="1">CreateID($V$2,$V:$V,$U12)</f>
        <v>0</v>
      </c>
      <c r="W12" s="20">
        <f t="shared" ca="1" si="1"/>
        <v>0</v>
      </c>
      <c r="X12" s="20">
        <f>IF(H12="",0,VLOOKUP(H12,Definitions!$Z:$AA,COLUMNS(Definitions!$Z:$AA),FALSE))</f>
        <v>1</v>
      </c>
      <c r="Y12" s="20">
        <f>IF(I12="",0,VLOOKUP(I12,Definitions!$Z:$AA,COLUMNS(Definitions!$Z:$AA),FALSE))</f>
        <v>6</v>
      </c>
      <c r="Z12" s="20">
        <f>IF(J12="",0,VLOOKUP(J12,Definitions!$Z:$AA,COLUMNS(Definitions!$Z:$AA),FALSE))</f>
        <v>3</v>
      </c>
      <c r="AA12" s="20">
        <f>IF(K12="",0,VLOOKUP(K12,Definitions!$Z:$AA,COLUMNS(Definitions!$Z:$AA),FALSE))</f>
        <v>0</v>
      </c>
      <c r="AB12" s="20">
        <f>IF(L12="",0,VLOOKUP(L12,Definitions!$Z:$AA,COLUMNS(Definitions!$Z:$AA),FALSE))</f>
        <v>0</v>
      </c>
      <c r="AC12" s="20">
        <f t="shared" ca="1" si="2"/>
        <v>10</v>
      </c>
      <c r="AD12" s="20" cm="1">
        <f t="array" ref="AD12">CreateTaskID($AD$2,$AD:$AD,Tasks!$B$17,$P12)</f>
        <v>0</v>
      </c>
      <c r="AE12" s="20" t="str" cm="1">
        <f t="array" aca="1" ref="AE12" ca="1">InverseLookup($A12,Countermeasures!$X$2,Countermeasures!$A$2,1,Helper!$B$4,",")</f>
        <v/>
      </c>
      <c r="AF12" s="20" t="str" cm="1">
        <f t="array" aca="1" ref="AF12" ca="1">InverseLookup($A12,Assumptions!$X$3,Assumptions!$A$3,1,Helper!$B$6,",")</f>
        <v/>
      </c>
      <c r="AG12" s="20" t="str" cm="1">
        <f t="array" aca="1" ref="AG12" ca="1">InverseLookup($A12,Assumptions!$Y$3,Assumptions!$A$3,1,Helper!$B$6,",")</f>
        <v/>
      </c>
      <c r="AH12" s="20" t="str" cm="1">
        <f t="array" aca="1" ref="AH12" ca="1">IF($U12,
CreateSearchString(SUBSTITUTE($S12,"§","")),
"")</f>
        <v/>
      </c>
      <c r="AI12" s="20" t="b">
        <f t="shared" ca="1" si="3"/>
        <v>0</v>
      </c>
      <c r="AJ12" s="81"/>
      <c r="AK12" s="81"/>
      <c r="AL12" s="81"/>
      <c r="AM12" s="81"/>
      <c r="AN12" s="81"/>
    </row>
    <row r="13" spans="1:40" ht="30" x14ac:dyDescent="0.25">
      <c r="A13" s="13" t="s">
        <v>126</v>
      </c>
      <c r="B13" s="13" t="s">
        <v>127</v>
      </c>
      <c r="C13" s="13" t="s">
        <v>109</v>
      </c>
      <c r="D13" s="19" t="str" cm="1">
        <f t="array" aca="1" ref="D13" ca="1">LookupNames(SanitizeInput($C13),$A:$B)</f>
        <v>AS3 Compromising the product using a software vulnerability</v>
      </c>
      <c r="E13" s="13" t="s">
        <v>1075</v>
      </c>
      <c r="F13" s="19" t="str" cm="1">
        <f t="array" aca="1" ref="F13" ca="1">RemoveDelimiter(GetValues(SanitizeInput($E13),Questions!$A:$B,"   ",CHAR(10),TRUE),CHAR(10))</f>
        <v>QI14   Can a manipulated product affect the operation of its operational environment?</v>
      </c>
      <c r="G13" s="16" t="str" cm="1">
        <f t="array" aca="1" ref="G13" ca="1">LookupNames($T13,'Damage Scenarios'!$A:$J)</f>
        <v/>
      </c>
      <c r="H13" s="13"/>
      <c r="I13" s="13" t="s">
        <v>140</v>
      </c>
      <c r="J13" s="13"/>
      <c r="K13" s="13"/>
      <c r="L13" s="13"/>
      <c r="M13" s="130" t="str">
        <f ca="1">IF($A13="","",IFERROR(VLOOKUP($AC13,Definitions!$V:$W,COLUMNS(Definitions!$V:$W),TRUE),""))</f>
        <v>Basic</v>
      </c>
      <c r="N13" s="13"/>
      <c r="O13" s="13" t="s">
        <v>609</v>
      </c>
      <c r="P13" s="13" t="s">
        <v>196</v>
      </c>
      <c r="Q13" s="10" cm="1">
        <f t="array" ref="Q13">IF(ROW()=ROW($Q$2)+1,0,INDEX($Q:$Q,ROW()-1))+IF($A13="",0,1)</f>
        <v>11</v>
      </c>
      <c r="R13" s="14" t="b">
        <f>OR(CheckRelevance(SanitizeInput(N13),Questionnaire!$I:$I),CheckRelevance(SanitizeInput(N13),Questionnaire!$J:$J))</f>
        <v>0</v>
      </c>
      <c r="S13" s="14" t="str" cm="1">
        <f t="array" aca="1" ref="S13" ca="1">IF(AND($N13&lt;&gt;"",$R13=FALSE),"",
IF(AND($R13,$C13=""),$A13&amp;",§","")&amp;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GenerateAttackPaths(RemoveFirstElement(_xlpm._in),_xlpm._apRange,_xlpm._ownID))))(SanitizeInput($C13),$A:$S,$A13))</f>
        <v/>
      </c>
      <c r="T13" s="14" t="str" cm="1">
        <f t="array" aca="1" ref="T13" ca="1">GetValues(SanitizeInput($E13),'Damage Scenarios'!$B:$T,"",",",FALSE)</f>
        <v/>
      </c>
      <c r="U13" s="14" t="b">
        <f t="shared" ca="1" si="0"/>
        <v>0</v>
      </c>
      <c r="V13" s="20" cm="1">
        <f t="array" aca="1" ref="V13" ca="1">CreateID($V$2,$V:$V,$U13)</f>
        <v>0</v>
      </c>
      <c r="W13" s="20">
        <f t="shared" ca="1" si="1"/>
        <v>0</v>
      </c>
      <c r="X13" s="20">
        <f>IF(H13="",0,VLOOKUP(H13,Definitions!$Z:$AA,COLUMNS(Definitions!$Z:$AA),FALSE))</f>
        <v>0</v>
      </c>
      <c r="Y13" s="20">
        <f>IF(I13="",0,VLOOKUP(I13,Definitions!$Z:$AA,COLUMNS(Definitions!$Z:$AA),FALSE))</f>
        <v>3</v>
      </c>
      <c r="Z13" s="20">
        <f>IF(J13="",0,VLOOKUP(J13,Definitions!$Z:$AA,COLUMNS(Definitions!$Z:$AA),FALSE))</f>
        <v>0</v>
      </c>
      <c r="AA13" s="20">
        <f>IF(K13="",0,VLOOKUP(K13,Definitions!$Z:$AA,COLUMNS(Definitions!$Z:$AA),FALSE))</f>
        <v>0</v>
      </c>
      <c r="AB13" s="20">
        <f>IF(L13="",0,VLOOKUP(L13,Definitions!$Z:$AA,COLUMNS(Definitions!$Z:$AA),FALSE))</f>
        <v>0</v>
      </c>
      <c r="AC13" s="20">
        <f t="shared" ca="1" si="2"/>
        <v>3</v>
      </c>
      <c r="AD13" s="20" cm="1">
        <f t="array" ref="AD13">CreateTaskID($AD$2,$AD:$AD,Tasks!$B$17,$P13)</f>
        <v>0</v>
      </c>
      <c r="AE13" s="20" t="str" cm="1">
        <f t="array" aca="1" ref="AE13" ca="1">InverseLookup($A13,Countermeasures!$X$2,Countermeasures!$A$2,1,Helper!$B$4,",")</f>
        <v/>
      </c>
      <c r="AF13" s="20" t="str" cm="1">
        <f t="array" aca="1" ref="AF13" ca="1">InverseLookup($A13,Assumptions!$X$3,Assumptions!$A$3,1,Helper!$B$6,",")</f>
        <v/>
      </c>
      <c r="AG13" s="20" t="str" cm="1">
        <f t="array" aca="1" ref="AG13" ca="1">InverseLookup($A13,Assumptions!$Y$3,Assumptions!$A$3,1,Helper!$B$6,",")</f>
        <v/>
      </c>
      <c r="AH13" s="20" t="str" cm="1">
        <f t="array" aca="1" ref="AH13" ca="1">IF($U13,
CreateSearchString(SUBSTITUTE($S13,"§","")),
"")</f>
        <v/>
      </c>
      <c r="AI13" s="20" t="b">
        <f t="shared" ca="1" si="3"/>
        <v>0</v>
      </c>
      <c r="AJ13" s="81"/>
      <c r="AK13" s="81"/>
      <c r="AL13" s="81"/>
      <c r="AM13" s="81"/>
      <c r="AN13" s="81"/>
    </row>
    <row r="14" spans="1:40" ht="45" x14ac:dyDescent="0.25">
      <c r="A14" s="13" t="s">
        <v>128</v>
      </c>
      <c r="B14" s="13" t="s">
        <v>956</v>
      </c>
      <c r="C14" s="13"/>
      <c r="D14" s="19" t="str" cm="1">
        <f t="array" ref="D14">LookupNames(SanitizeInput($C14),$A:$B)</f>
        <v/>
      </c>
      <c r="E14" s="13"/>
      <c r="F14" s="19" t="str" cm="1">
        <f t="array" ref="F14">RemoveDelimiter(GetValues(SanitizeInput($E14),Questions!$A:$B,"   ",CHAR(10),TRUE),CHAR(10))</f>
        <v/>
      </c>
      <c r="G14" s="16" t="str" cm="1">
        <f t="array" ref="G14">LookupNames($T14,'Damage Scenarios'!$A:$J)</f>
        <v/>
      </c>
      <c r="H14" s="13"/>
      <c r="I14" s="13" t="s">
        <v>140</v>
      </c>
      <c r="J14" s="13" t="s">
        <v>145</v>
      </c>
      <c r="K14" s="13"/>
      <c r="L14" s="13"/>
      <c r="M14" s="130" t="str">
        <f ca="1">IF($A14="","",IFERROR(VLOOKUP($AC14,Definitions!$V:$W,COLUMNS(Definitions!$V:$W),TRUE),""))</f>
        <v>Basic</v>
      </c>
      <c r="N14" s="13" t="s">
        <v>1042</v>
      </c>
      <c r="O14" s="13"/>
      <c r="P14" s="13" t="s">
        <v>1743</v>
      </c>
      <c r="Q14" s="10" cm="1">
        <f t="array" ref="Q14">IF(ROW()=ROW($Q$2)+1,0,INDEX($Q:$Q,ROW()-1))+IF($A14="",0,1)</f>
        <v>12</v>
      </c>
      <c r="R14" s="14" t="b">
        <f ca="1">OR(CheckRelevance(SanitizeInput(N14),Questionnaire!$I:$I),CheckRelevance(SanitizeInput(N14),Questionnaire!$J:$J))</f>
        <v>0</v>
      </c>
      <c r="S14" s="14" t="str" cm="1">
        <f t="array" aca="1" ref="S14" ca="1">IF(AND($N14&lt;&gt;"",$R14=FALSE),"",
IF(AND($R14,$C14=""),$A14&amp;",§","")&amp;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GenerateAttackPaths(RemoveFirstElement(_xlpm._in),_xlpm._apRange,_xlpm._ownID))))(SanitizeInput($C14),$A:$S,$A14))</f>
        <v/>
      </c>
      <c r="T14" s="14" t="str" cm="1">
        <f t="array" ref="T14">GetValues(SanitizeInput($E14),'Damage Scenarios'!$B:$T,"",",",FALSE)</f>
        <v/>
      </c>
      <c r="U14" s="14" t="b">
        <f t="shared" ca="1" si="0"/>
        <v>0</v>
      </c>
      <c r="V14" s="20" cm="1">
        <f t="array" aca="1" ref="V14" ca="1">CreateID($V$2,$V:$V,$U14)</f>
        <v>0</v>
      </c>
      <c r="W14" s="20">
        <f t="shared" ca="1" si="1"/>
        <v>0</v>
      </c>
      <c r="X14" s="20">
        <f>IF(H14="",0,VLOOKUP(H14,Definitions!$Z:$AA,COLUMNS(Definitions!$Z:$AA),FALSE))</f>
        <v>0</v>
      </c>
      <c r="Y14" s="20">
        <f>IF(I14="",0,VLOOKUP(I14,Definitions!$Z:$AA,COLUMNS(Definitions!$Z:$AA),FALSE))</f>
        <v>3</v>
      </c>
      <c r="Z14" s="20">
        <f>IF(J14="",0,VLOOKUP(J14,Definitions!$Z:$AA,COLUMNS(Definitions!$Z:$AA),FALSE))</f>
        <v>3</v>
      </c>
      <c r="AA14" s="20">
        <f>IF(K14="",0,VLOOKUP(K14,Definitions!$Z:$AA,COLUMNS(Definitions!$Z:$AA),FALSE))</f>
        <v>0</v>
      </c>
      <c r="AB14" s="20">
        <f>IF(L14="",0,VLOOKUP(L14,Definitions!$Z:$AA,COLUMNS(Definitions!$Z:$AA),FALSE))</f>
        <v>0</v>
      </c>
      <c r="AC14" s="20">
        <f t="shared" ca="1" si="2"/>
        <v>6</v>
      </c>
      <c r="AD14" s="20" cm="1">
        <f t="array" ref="AD14">CreateTaskID($AD$2,$AD:$AD,Tasks!$B$17,$P14)</f>
        <v>0</v>
      </c>
      <c r="AE14" s="20" t="str" cm="1">
        <f t="array" aca="1" ref="AE14" ca="1">InverseLookup($A14,Countermeasures!$X$2,Countermeasures!$A$2,1,Helper!$B$4,",")</f>
        <v>C15,</v>
      </c>
      <c r="AF14" s="20" t="str" cm="1">
        <f t="array" aca="1" ref="AF14" ca="1">InverseLookup($A14,Assumptions!$X$3,Assumptions!$A$3,1,Helper!$B$6,",")</f>
        <v/>
      </c>
      <c r="AG14" s="20" t="str" cm="1">
        <f t="array" aca="1" ref="AG14" ca="1">InverseLookup($A14,Assumptions!$Y$3,Assumptions!$A$3,1,Helper!$B$6,",")</f>
        <v/>
      </c>
      <c r="AH14" s="20" t="str" cm="1">
        <f t="array" aca="1" ref="AH14" ca="1">IF($U14,
CreateSearchString(SUBSTITUTE($S14,"§","")),
"")</f>
        <v/>
      </c>
      <c r="AI14" s="20" t="b">
        <f t="shared" ca="1" si="3"/>
        <v>0</v>
      </c>
      <c r="AJ14" s="81"/>
      <c r="AK14" s="81"/>
      <c r="AL14" s="81"/>
      <c r="AM14" s="81"/>
      <c r="AN14" s="81"/>
    </row>
    <row r="15" spans="1:40" ht="75" x14ac:dyDescent="0.25">
      <c r="A15" s="13" t="s">
        <v>130</v>
      </c>
      <c r="B15" s="13" t="s">
        <v>994</v>
      </c>
      <c r="C15" s="13"/>
      <c r="D15" s="19" t="str" cm="1">
        <f t="array" ref="D15">LookupNames(SanitizeInput($C15),$A:$B)</f>
        <v/>
      </c>
      <c r="E15" s="13"/>
      <c r="F15" s="19" t="str" cm="1">
        <f t="array" ref="F15">RemoveDelimiter(GetValues(SanitizeInput($E15),Questions!$A:$B,"   ",CHAR(10),TRUE),CHAR(10))</f>
        <v/>
      </c>
      <c r="G15" s="16" t="str" cm="1">
        <f t="array" ref="G15">LookupNames($T15,'Damage Scenarios'!$A:$J)</f>
        <v/>
      </c>
      <c r="H15" s="13"/>
      <c r="I15" s="13" t="s">
        <v>140</v>
      </c>
      <c r="J15" s="13"/>
      <c r="K15" s="13" t="s">
        <v>149</v>
      </c>
      <c r="L15" s="13"/>
      <c r="M15" s="130" t="str">
        <f ca="1">IF($A15="","",IFERROR(VLOOKUP($AC15,Definitions!$V:$W,COLUMNS(Definitions!$V:$W),TRUE),""))</f>
        <v>Basic</v>
      </c>
      <c r="N15" s="13" t="s">
        <v>1055</v>
      </c>
      <c r="O15" s="13"/>
      <c r="P15" s="13" t="s">
        <v>200</v>
      </c>
      <c r="Q15" s="10" cm="1">
        <f t="array" ref="Q15">IF(ROW()=ROW($Q$2)+1,0,INDEX($Q:$Q,ROW()-1))+IF($A15="",0,1)</f>
        <v>13</v>
      </c>
      <c r="R15" s="14" t="b">
        <f ca="1">OR(CheckRelevance(SanitizeInput(N15),Questionnaire!$I:$I),CheckRelevance(SanitizeInput(N15),Questionnaire!$J:$J))</f>
        <v>0</v>
      </c>
      <c r="S15" s="14" t="str" cm="1">
        <f t="array" aca="1" ref="S15" ca="1">IF(AND($N15&lt;&gt;"",$R15=FALSE),"",
IF(AND($R15,$C15=""),$A15&amp;",§","")&amp;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GenerateAttackPaths(RemoveFirstElement(_xlpm._in),_xlpm._apRange,_xlpm._ownID))))(SanitizeInput($C15),$A:$S,$A15))</f>
        <v/>
      </c>
      <c r="T15" s="14" t="str" cm="1">
        <f t="array" ref="T15">GetValues(SanitizeInput($E15),'Damage Scenarios'!$B:$T,"",",",FALSE)</f>
        <v/>
      </c>
      <c r="U15" s="14" t="b">
        <f t="shared" ca="1" si="0"/>
        <v>0</v>
      </c>
      <c r="V15" s="20" cm="1">
        <f t="array" aca="1" ref="V15" ca="1">CreateID($V$2,$V:$V,$U15)</f>
        <v>0</v>
      </c>
      <c r="W15" s="20">
        <f t="shared" ca="1" si="1"/>
        <v>0</v>
      </c>
      <c r="X15" s="20">
        <f>IF(H15="",0,VLOOKUP(H15,Definitions!$Z:$AA,COLUMNS(Definitions!$Z:$AA),FALSE))</f>
        <v>0</v>
      </c>
      <c r="Y15" s="20">
        <f>IF(I15="",0,VLOOKUP(I15,Definitions!$Z:$AA,COLUMNS(Definitions!$Z:$AA),FALSE))</f>
        <v>3</v>
      </c>
      <c r="Z15" s="20">
        <f>IF(J15="",0,VLOOKUP(J15,Definitions!$Z:$AA,COLUMNS(Definitions!$Z:$AA),FALSE))</f>
        <v>0</v>
      </c>
      <c r="AA15" s="20">
        <f>IF(K15="",0,VLOOKUP(K15,Definitions!$Z:$AA,COLUMNS(Definitions!$Z:$AA),FALSE))</f>
        <v>1</v>
      </c>
      <c r="AB15" s="20">
        <f>IF(L15="",0,VLOOKUP(L15,Definitions!$Z:$AA,COLUMNS(Definitions!$Z:$AA),FALSE))</f>
        <v>0</v>
      </c>
      <c r="AC15" s="20">
        <f t="shared" ca="1" si="2"/>
        <v>4</v>
      </c>
      <c r="AD15" s="20" cm="1">
        <f t="array" ref="AD15">CreateTaskID($AD$2,$AD:$AD,Tasks!$B$17,$P15)</f>
        <v>0</v>
      </c>
      <c r="AE15" s="20" t="str" cm="1">
        <f t="array" aca="1" ref="AE15" ca="1">InverseLookup($A15,Countermeasures!$X$2,Countermeasures!$A$2,1,Helper!$B$4,",")</f>
        <v>C30,</v>
      </c>
      <c r="AF15" s="20" t="str" cm="1">
        <f t="array" aca="1" ref="AF15" ca="1">InverseLookup($A15,Assumptions!$X$3,Assumptions!$A$3,1,Helper!$B$6,",")</f>
        <v/>
      </c>
      <c r="AG15" s="20" t="str" cm="1">
        <f t="array" aca="1" ref="AG15" ca="1">InverseLookup($A15,Assumptions!$Y$3,Assumptions!$A$3,1,Helper!$B$6,",")</f>
        <v/>
      </c>
      <c r="AH15" s="20" t="str" cm="1">
        <f t="array" aca="1" ref="AH15" ca="1">IF($U15,
CreateSearchString(SUBSTITUTE($S15,"§","")),
"")</f>
        <v/>
      </c>
      <c r="AI15" s="20" t="b">
        <f t="shared" ca="1" si="3"/>
        <v>0</v>
      </c>
      <c r="AJ15" s="81"/>
      <c r="AK15" s="81"/>
      <c r="AL15" s="81"/>
      <c r="AM15" s="81"/>
      <c r="AN15" s="81"/>
    </row>
    <row r="16" spans="1:40" ht="113.25" x14ac:dyDescent="0.25">
      <c r="A16" s="13" t="s">
        <v>201</v>
      </c>
      <c r="B16" s="13" t="s">
        <v>206</v>
      </c>
      <c r="C16" s="13" t="s">
        <v>999</v>
      </c>
      <c r="D16" s="19" t="str" cm="1">
        <f t="array" aca="1" ref="D16" ca="1">LookupNames(SanitizeInput($C16),$A:$B)</f>
        <v>AS1 Getting access to a trusted operational environment,
AS13 Attacking the product or its communication from an untrusted local network,
AS27 Getting physical access to the product's linked communication media (e.g., field buses)</v>
      </c>
      <c r="E16" s="13" t="s">
        <v>1091</v>
      </c>
      <c r="F16" s="19" t="str" cm="1">
        <f t="array" aca="1" ref="F16" ca="1">RemoveDelimiter(GetValues(SanitizeInput($E16),Questions!$A:$B,"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&lt;OEM name&gt; product)? Example: The product is used for access control.
QI9   Can a loss of availability cause contract-related fines (e.g., based on a service level agreement)?</v>
      </c>
      <c r="G16" s="16" t="str" cm="1">
        <f t="array" aca="1" ref="G16" ca="1">LookupNames($T16,'Damage Scenarios'!$A:$J)</f>
        <v/>
      </c>
      <c r="H16" s="13"/>
      <c r="I16" s="13" t="s">
        <v>140</v>
      </c>
      <c r="J16" s="13"/>
      <c r="K16" s="13"/>
      <c r="L16" s="13"/>
      <c r="M16" s="130" t="str">
        <f ca="1">IF($A16="","",IFERROR(VLOOKUP($AC16,Definitions!$V:$W,COLUMNS(Definitions!$V:$W),TRUE),""))</f>
        <v>Basic</v>
      </c>
      <c r="N16" s="13"/>
      <c r="O16" s="13" t="s">
        <v>604</v>
      </c>
      <c r="P16" s="13" t="s">
        <v>196</v>
      </c>
      <c r="Q16" s="10" cm="1">
        <f t="array" ref="Q16">IF(ROW()=ROW($Q$2)+1,0,INDEX($Q:$Q,ROW()-1))+IF($A16="",0,1)</f>
        <v>14</v>
      </c>
      <c r="R16" s="14" t="b">
        <f>OR(CheckRelevance(SanitizeInput(N16),Questionnaire!$I:$I),CheckRelevance(SanitizeInput(N16),Questionnaire!$J:$J))</f>
        <v>0</v>
      </c>
      <c r="S16" s="14" t="str" cm="1">
        <f t="array" aca="1" ref="S16" ca="1">IF(AND($N16&lt;&gt;"",$R16=FALSE),"",
IF(AND($R16,$C16=""),$A16&amp;",§","")&amp;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GenerateAttackPaths(RemoveFirstElement(_xlpm._in),_xlpm._apRange,_xlpm._ownID))))(SanitizeInput($C16),$A:$S,$A16))</f>
        <v/>
      </c>
      <c r="T16" s="14" t="str" cm="1">
        <f t="array" aca="1" ref="T16" ca="1">GetValues(SanitizeInput($E16),'Damage Scenarios'!$B:$T,"",",",FALSE)</f>
        <v/>
      </c>
      <c r="U16" s="14" t="b">
        <f t="shared" ca="1" si="0"/>
        <v>0</v>
      </c>
      <c r="V16" s="20" cm="1">
        <f t="array" aca="1" ref="V16" ca="1">CreateID($V$2,$V:$V,$U16)</f>
        <v>0</v>
      </c>
      <c r="W16" s="20">
        <f t="shared" ca="1" si="1"/>
        <v>0</v>
      </c>
      <c r="X16" s="20">
        <f>IF(H16="",0,VLOOKUP(H16,Definitions!$Z:$AA,COLUMNS(Definitions!$Z:$AA),FALSE))</f>
        <v>0</v>
      </c>
      <c r="Y16" s="20">
        <f>IF(I16="",0,VLOOKUP(I16,Definitions!$Z:$AA,COLUMNS(Definitions!$Z:$AA),FALSE))</f>
        <v>3</v>
      </c>
      <c r="Z16" s="20">
        <f>IF(J16="",0,VLOOKUP(J16,Definitions!$Z:$AA,COLUMNS(Definitions!$Z:$AA),FALSE))</f>
        <v>0</v>
      </c>
      <c r="AA16" s="20">
        <f>IF(K16="",0,VLOOKUP(K16,Definitions!$Z:$AA,COLUMNS(Definitions!$Z:$AA),FALSE))</f>
        <v>0</v>
      </c>
      <c r="AB16" s="20">
        <f>IF(L16="",0,VLOOKUP(L16,Definitions!$Z:$AA,COLUMNS(Definitions!$Z:$AA),FALSE))</f>
        <v>0</v>
      </c>
      <c r="AC16" s="20">
        <f t="shared" ca="1" si="2"/>
        <v>3</v>
      </c>
      <c r="AD16" s="20" cm="1">
        <f t="array" ref="AD16">CreateTaskID($AD$2,$AD:$AD,Tasks!$B$17,$P16)</f>
        <v>0</v>
      </c>
      <c r="AE16" s="20" t="str" cm="1">
        <f t="array" aca="1" ref="AE16" ca="1">InverseLookup($A16,Countermeasures!$X$2,Countermeasures!$A$2,1,Helper!$B$4,",")</f>
        <v/>
      </c>
      <c r="AF16" s="20" t="str" cm="1">
        <f t="array" aca="1" ref="AF16" ca="1">InverseLookup($A16,Assumptions!$X$3,Assumptions!$A$3,1,Helper!$B$6,",")</f>
        <v/>
      </c>
      <c r="AG16" s="20" t="str" cm="1">
        <f t="array" aca="1" ref="AG16" ca="1">InverseLookup($A16,Assumptions!$Y$3,Assumptions!$A$3,1,Helper!$B$6,",")</f>
        <v>A44,</v>
      </c>
      <c r="AH16" s="20" t="str" cm="1">
        <f t="array" aca="1" ref="AH16" ca="1">IF($U16,
CreateSearchString(SUBSTITUTE($S16,"§","")),
"")</f>
        <v/>
      </c>
      <c r="AI16" s="20" t="b">
        <f t="shared" ca="1" si="3"/>
        <v>0</v>
      </c>
      <c r="AJ16" s="81"/>
      <c r="AK16" s="81"/>
      <c r="AL16" s="81"/>
      <c r="AM16" s="81"/>
      <c r="AN16" s="81"/>
    </row>
    <row r="17" spans="1:40" ht="45" x14ac:dyDescent="0.25">
      <c r="A17" s="13" t="s">
        <v>202</v>
      </c>
      <c r="B17" s="13" t="s">
        <v>1006</v>
      </c>
      <c r="C17" s="13"/>
      <c r="D17" s="19" t="str" cm="1">
        <f t="array" ref="D17">LookupNames(SanitizeInput($C17),$A:$B)</f>
        <v/>
      </c>
      <c r="E17" s="13"/>
      <c r="F17" s="19" t="str" cm="1">
        <f t="array" ref="F17">RemoveDelimiter(GetValues(SanitizeInput($E17),Questions!$A:$B,"   ",CHAR(10),TRUE),CHAR(10))</f>
        <v/>
      </c>
      <c r="G17" s="16" t="str" cm="1">
        <f t="array" ref="G17">LookupNames($T17,'Damage Scenarios'!$A:$J)</f>
        <v/>
      </c>
      <c r="H17" s="13"/>
      <c r="I17" s="13" t="s">
        <v>140</v>
      </c>
      <c r="J17" s="13"/>
      <c r="K17" s="13" t="s">
        <v>148</v>
      </c>
      <c r="L17" s="13"/>
      <c r="M17" s="130" t="str">
        <f ca="1">IF($A17="","",IFERROR(VLOOKUP($AC17,Definitions!$V:$W,COLUMNS(Definitions!$V:$W),TRUE),""))</f>
        <v>Basic</v>
      </c>
      <c r="N17" s="13" t="s">
        <v>1247</v>
      </c>
      <c r="O17" s="13"/>
      <c r="P17" s="13" t="s">
        <v>207</v>
      </c>
      <c r="Q17" s="10" cm="1">
        <f t="array" ref="Q17">IF(ROW()=ROW($Q$2)+1,0,INDEX($Q:$Q,ROW()-1))+IF($A17="",0,1)</f>
        <v>15</v>
      </c>
      <c r="R17" s="14" t="b">
        <f ca="1">OR(CheckRelevance(SanitizeInput(N17),Questionnaire!$I:$I),CheckRelevance(SanitizeInput(N17),Questionnaire!$J:$J))</f>
        <v>0</v>
      </c>
      <c r="S17" s="14" t="str" cm="1">
        <f t="array" aca="1" ref="S17" ca="1">IF(AND($N17&lt;&gt;"",$R17=FALSE),"",
IF(AND($R17,$C17=""),$A17&amp;",§","")&amp;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GenerateAttackPaths(RemoveFirstElement(_xlpm._in),_xlpm._apRange,_xlpm._ownID))))(SanitizeInput($C17),$A:$S,$A17))</f>
        <v/>
      </c>
      <c r="T17" s="14" t="str" cm="1">
        <f t="array" ref="T17">GetValues(SanitizeInput($E17),'Damage Scenarios'!$B:$T,"",",",FALSE)</f>
        <v/>
      </c>
      <c r="U17" s="14" t="b">
        <f t="shared" ca="1" si="0"/>
        <v>0</v>
      </c>
      <c r="V17" s="20" cm="1">
        <f t="array" aca="1" ref="V17" ca="1">CreateID($V$2,$V:$V,$U17)</f>
        <v>0</v>
      </c>
      <c r="W17" s="20">
        <f t="shared" ca="1" si="1"/>
        <v>0</v>
      </c>
      <c r="X17" s="20">
        <f>IF(H17="",0,VLOOKUP(H17,Definitions!$Z:$AA,COLUMNS(Definitions!$Z:$AA),FALSE))</f>
        <v>0</v>
      </c>
      <c r="Y17" s="20">
        <f>IF(I17="",0,VLOOKUP(I17,Definitions!$Z:$AA,COLUMNS(Definitions!$Z:$AA),FALSE))</f>
        <v>3</v>
      </c>
      <c r="Z17" s="20">
        <f>IF(J17="",0,VLOOKUP(J17,Definitions!$Z:$AA,COLUMNS(Definitions!$Z:$AA),FALSE))</f>
        <v>0</v>
      </c>
      <c r="AA17" s="20">
        <f>IF(K17="",0,VLOOKUP(K17,Definitions!$Z:$AA,COLUMNS(Definitions!$Z:$AA),FALSE))</f>
        <v>0</v>
      </c>
      <c r="AB17" s="20">
        <f>IF(L17="",0,VLOOKUP(L17,Definitions!$Z:$AA,COLUMNS(Definitions!$Z:$AA),FALSE))</f>
        <v>0</v>
      </c>
      <c r="AC17" s="20">
        <f t="shared" ca="1" si="2"/>
        <v>3</v>
      </c>
      <c r="AD17" s="20" cm="1">
        <f t="array" ref="AD17">CreateTaskID($AD$2,$AD:$AD,Tasks!$B$17,$P17)</f>
        <v>0</v>
      </c>
      <c r="AE17" s="20" t="str" cm="1">
        <f t="array" aca="1" ref="AE17" ca="1">InverseLookup($A17,Countermeasures!$X$2,Countermeasures!$A$2,1,Helper!$B$4,",")</f>
        <v>CM1,</v>
      </c>
      <c r="AF17" s="20" t="str" cm="1">
        <f t="array" aca="1" ref="AF17" ca="1">InverseLookup($A17,Assumptions!$X$3,Assumptions!$A$3,1,Helper!$B$6,",")</f>
        <v/>
      </c>
      <c r="AG17" s="20" t="str" cm="1">
        <f t="array" aca="1" ref="AG17" ca="1">InverseLookup($A17,Assumptions!$Y$3,Assumptions!$A$3,1,Helper!$B$6,",")</f>
        <v/>
      </c>
      <c r="AH17" s="20" t="str" cm="1">
        <f t="array" aca="1" ref="AH17" ca="1">IF($U17,
CreateSearchString(SUBSTITUTE($S17,"§","")),
"")</f>
        <v/>
      </c>
      <c r="AI17" s="20" t="b">
        <f t="shared" ca="1" si="3"/>
        <v>0</v>
      </c>
      <c r="AJ17" s="81"/>
      <c r="AK17" s="81"/>
      <c r="AL17" s="81"/>
      <c r="AM17" s="81"/>
      <c r="AN17" s="81"/>
    </row>
    <row r="18" spans="1:40" ht="203.25" x14ac:dyDescent="0.25">
      <c r="A18" s="13" t="s">
        <v>203</v>
      </c>
      <c r="B18" s="13" t="s">
        <v>1388</v>
      </c>
      <c r="C18" s="13" t="s">
        <v>1120</v>
      </c>
      <c r="D18" s="19" t="str" cm="1">
        <f t="array" aca="1" ref="D18" ca="1">LookupNames(SanitizeInput($C18),$A:$B)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AS27 Getting physical access to the product's linked communication media (e.g., field buses),
AS28 Getting access to a trusted entity</v>
      </c>
      <c r="E18" s="13" t="s">
        <v>1103</v>
      </c>
      <c r="F18" s="19" t="str" cm="1">
        <f t="array" aca="1" ref="F18" ca="1">RemoveDelimiter(GetValues(SanitizeInput($E18),Questions!$A:$B,"   ",CHAR(10),TRUE),CHAR(10))</f>
        <v>QI1   Does the product have cameras or other sensors that can potentially recognize people?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18" s="16" t="str" cm="1">
        <f t="array" aca="1" ref="G18" ca="1">LookupNames($T18,'Damage Scenarios'!$A:$J)</f>
        <v/>
      </c>
      <c r="H18" s="13"/>
      <c r="I18" s="13" t="s">
        <v>140</v>
      </c>
      <c r="J18" s="13" t="s">
        <v>145</v>
      </c>
      <c r="K18" s="13"/>
      <c r="L18" s="13"/>
      <c r="M18" s="130" t="str">
        <f ca="1">IF($A18="","",IFERROR(VLOOKUP($AC18,Definitions!$V:$W,COLUMNS(Definitions!$V:$W),TRUE),""))</f>
        <v>Basic</v>
      </c>
      <c r="N18" s="13" t="s">
        <v>1050</v>
      </c>
      <c r="O18" s="13" t="s">
        <v>647</v>
      </c>
      <c r="P18" s="13" t="s">
        <v>1722</v>
      </c>
      <c r="Q18" s="10" cm="1">
        <f t="array" ref="Q18">IF(ROW()=ROW($Q$2)+1,0,INDEX($Q:$Q,ROW()-1))+IF($A18="",0,1)</f>
        <v>16</v>
      </c>
      <c r="R18" s="14" t="b">
        <f ca="1">OR(CheckRelevance(SanitizeInput(N18),Questionnaire!$I:$I),CheckRelevance(SanitizeInput(N18),Questionnaire!$J:$J))</f>
        <v>0</v>
      </c>
      <c r="S18" s="14" t="str" cm="1">
        <f t="array" aca="1" ref="S18" ca="1">IF(AND($N18&lt;&gt;"",$R18=FALSE),"",
IF(AND($R18,$C18=""),$A18&amp;",§","")&amp;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GenerateAttackPaths(RemoveFirstElement(_xlpm._in),_xlpm._apRange,_xlpm._ownID))))(SanitizeInput($C18),$A:$S,$A18))</f>
        <v/>
      </c>
      <c r="T18" s="14" t="str" cm="1">
        <f t="array" aca="1" ref="T18" ca="1">GetValues(SanitizeInput($E18),'Damage Scenarios'!$B:$T,"",",",FALSE)</f>
        <v/>
      </c>
      <c r="U18" s="14" t="b">
        <f t="shared" ca="1" si="0"/>
        <v>0</v>
      </c>
      <c r="V18" s="20" cm="1">
        <f t="array" aca="1" ref="V18" ca="1">CreateID($V$2,$V:$V,$U18)</f>
        <v>0</v>
      </c>
      <c r="W18" s="20">
        <f t="shared" ca="1" si="1"/>
        <v>0</v>
      </c>
      <c r="X18" s="20">
        <f>IF(H18="",0,VLOOKUP(H18,Definitions!$Z:$AA,COLUMNS(Definitions!$Z:$AA),FALSE))</f>
        <v>0</v>
      </c>
      <c r="Y18" s="20">
        <f>IF(I18="",0,VLOOKUP(I18,Definitions!$Z:$AA,COLUMNS(Definitions!$Z:$AA),FALSE))</f>
        <v>3</v>
      </c>
      <c r="Z18" s="20">
        <f>IF(J18="",0,VLOOKUP(J18,Definitions!$Z:$AA,COLUMNS(Definitions!$Z:$AA),FALSE))</f>
        <v>3</v>
      </c>
      <c r="AA18" s="20">
        <f>IF(K18="",0,VLOOKUP(K18,Definitions!$Z:$AA,COLUMNS(Definitions!$Z:$AA),FALSE))</f>
        <v>0</v>
      </c>
      <c r="AB18" s="20">
        <f>IF(L18="",0,VLOOKUP(L18,Definitions!$Z:$AA,COLUMNS(Definitions!$Z:$AA),FALSE))</f>
        <v>0</v>
      </c>
      <c r="AC18" s="20">
        <f t="shared" ca="1" si="2"/>
        <v>6</v>
      </c>
      <c r="AD18" s="20" cm="1">
        <f t="array" ref="AD18">CreateTaskID($AD$2,$AD:$AD,Tasks!$B$17,$P18)</f>
        <v>0</v>
      </c>
      <c r="AE18" s="20" t="str" cm="1">
        <f t="array" aca="1" ref="AE18" ca="1">InverseLookup($A18,Countermeasures!$X$2,Countermeasures!$A$2,1,Helper!$B$4,",")</f>
        <v>CM5,CM6,CM14,CM15,CM24,CM25,CM26,CM27,CM28,</v>
      </c>
      <c r="AF18" s="20" t="str" cm="1">
        <f t="array" aca="1" ref="AF18" ca="1">InverseLookup($A18,Assumptions!$X$3,Assumptions!$A$3,1,Helper!$B$6,",")</f>
        <v/>
      </c>
      <c r="AG18" s="20" t="str" cm="1">
        <f t="array" aca="1" ref="AG18" ca="1">InverseLookup($A18,Assumptions!$Y$3,Assumptions!$A$3,1,Helper!$B$6,",")</f>
        <v/>
      </c>
      <c r="AH18" s="20" t="str" cm="1">
        <f t="array" aca="1" ref="AH18" ca="1">IF($U18,
CreateSearchString(SUBSTITUTE($S18,"§","")),
"")</f>
        <v/>
      </c>
      <c r="AI18" s="20" t="b">
        <f t="shared" ca="1" si="3"/>
        <v>0</v>
      </c>
      <c r="AJ18" s="81"/>
      <c r="AK18" s="81"/>
      <c r="AL18" s="81"/>
      <c r="AM18" s="81"/>
      <c r="AN18" s="81"/>
    </row>
    <row r="19" spans="1:40" ht="293.25" x14ac:dyDescent="0.25">
      <c r="A19" s="13" t="s">
        <v>204</v>
      </c>
      <c r="B19" s="13" t="s">
        <v>323</v>
      </c>
      <c r="C19" s="13"/>
      <c r="D19" s="19" t="str" cm="1">
        <f t="array" ref="D19">LookupNames(SanitizeInput($C19),$A:$B)</f>
        <v/>
      </c>
      <c r="E19" s="13" t="s">
        <v>1092</v>
      </c>
      <c r="F19" s="19" t="str" cm="1">
        <f t="array" aca="1" ref="F19" ca="1">RemoveDelimiter(GetValues(SanitizeInput($E19),Questions!$A:$B,"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&lt;OEM name&gt; product)? Example: The product is used for access control.
QI9   Can a loss of availability cause contract-related fines (e.g., based on a service level agreement)?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19" s="16" t="str" cm="1">
        <f t="array" aca="1" ref="G19" ca="1">LookupNames($T19,'Damage Scenarios'!$A:$J)</f>
        <v/>
      </c>
      <c r="H19" s="13" t="s">
        <v>133</v>
      </c>
      <c r="I19" s="13" t="s">
        <v>141</v>
      </c>
      <c r="J19" s="13" t="s">
        <v>145</v>
      </c>
      <c r="K19" s="13"/>
      <c r="L19" s="13"/>
      <c r="M19" s="130" t="str">
        <f ca="1">IF($A19="","",IFERROR(VLOOKUP($AC19,Definitions!$V:$W,COLUMNS(Definitions!$V:$W),TRUE),""))</f>
        <v>Enhanced-Basic</v>
      </c>
      <c r="N19" s="13" t="s">
        <v>1248</v>
      </c>
      <c r="O19" s="13" t="s">
        <v>607</v>
      </c>
      <c r="P19" s="13" t="s">
        <v>1020</v>
      </c>
      <c r="Q19" s="10" cm="1">
        <f t="array" ref="Q19">IF(ROW()=ROW($Q$2)+1,0,INDEX($Q:$Q,ROW()-1))+IF($A19="",0,1)</f>
        <v>17</v>
      </c>
      <c r="R19" s="14" t="b">
        <f ca="1">OR(CheckRelevance(SanitizeInput(N19),Questionnaire!$I:$I),CheckRelevance(SanitizeInput(N19),Questionnaire!$J:$J))</f>
        <v>0</v>
      </c>
      <c r="S19" s="14" t="str" cm="1">
        <f t="array" aca="1" ref="S19" ca="1">IF(AND($N19&lt;&gt;"",$R19=FALSE),"",
IF(AND($R19,$C19=""),$A19&amp;",§","")&amp;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GenerateAttackPaths(RemoveFirstElement(_xlpm._in),_xlpm._apRange,_xlpm._ownID))))(SanitizeInput($C19),$A:$S,$A19))</f>
        <v/>
      </c>
      <c r="T19" s="14" t="str" cm="1">
        <f t="array" aca="1" ref="T19" ca="1">GetValues(SanitizeInput($E19),'Damage Scenarios'!$B:$T,"",",",FALSE)</f>
        <v/>
      </c>
      <c r="U19" s="14" t="b">
        <f t="shared" ca="1" si="0"/>
        <v>0</v>
      </c>
      <c r="V19" s="20" cm="1">
        <f t="array" aca="1" ref="V19" ca="1">CreateID($V$2,$V:$V,$U19)</f>
        <v>0</v>
      </c>
      <c r="W19" s="20">
        <f t="shared" ca="1" si="1"/>
        <v>0</v>
      </c>
      <c r="X19" s="20">
        <f>IF(H19="",0,VLOOKUP(H19,Definitions!$Z:$AA,COLUMNS(Definitions!$Z:$AA),FALSE))</f>
        <v>1</v>
      </c>
      <c r="Y19" s="20">
        <f>IF(I19="",0,VLOOKUP(I19,Definitions!$Z:$AA,COLUMNS(Definitions!$Z:$AA),FALSE))</f>
        <v>6</v>
      </c>
      <c r="Z19" s="20">
        <f>IF(J19="",0,VLOOKUP(J19,Definitions!$Z:$AA,COLUMNS(Definitions!$Z:$AA),FALSE))</f>
        <v>3</v>
      </c>
      <c r="AA19" s="20">
        <f>IF(K19="",0,VLOOKUP(K19,Definitions!$Z:$AA,COLUMNS(Definitions!$Z:$AA),FALSE))</f>
        <v>0</v>
      </c>
      <c r="AB19" s="20">
        <f>IF(L19="",0,VLOOKUP(L19,Definitions!$Z:$AA,COLUMNS(Definitions!$Z:$AA),FALSE))</f>
        <v>0</v>
      </c>
      <c r="AC19" s="20">
        <f t="shared" ca="1" si="2"/>
        <v>10</v>
      </c>
      <c r="AD19" s="20" cm="1">
        <f t="array" ref="AD19">CreateTaskID($AD$2,$AD:$AD,Tasks!$B$17,$P19)</f>
        <v>0</v>
      </c>
      <c r="AE19" s="20" t="str" cm="1">
        <f t="array" aca="1" ref="AE19" ca="1">InverseLookup($A19,Countermeasures!$X$2,Countermeasures!$A$2,1,Helper!$B$4,",")</f>
        <v>C15,CM19,</v>
      </c>
      <c r="AF19" s="20" t="str" cm="1">
        <f t="array" aca="1" ref="AF19" ca="1">InverseLookup($A19,Assumptions!$X$3,Assumptions!$A$3,1,Helper!$B$6,",")</f>
        <v/>
      </c>
      <c r="AG19" s="20" t="str" cm="1">
        <f t="array" aca="1" ref="AG19" ca="1">InverseLookup($A19,Assumptions!$Y$3,Assumptions!$A$3,1,Helper!$B$6,",")</f>
        <v/>
      </c>
      <c r="AH19" s="20" t="str" cm="1">
        <f t="array" aca="1" ref="AH19" ca="1">IF($U19,
CreateSearchString(SUBSTITUTE($S19,"§","")),
"")</f>
        <v/>
      </c>
      <c r="AI19" s="20" t="b">
        <f t="shared" ca="1" si="3"/>
        <v>0</v>
      </c>
      <c r="AJ19" s="81"/>
      <c r="AK19" s="81"/>
      <c r="AL19" s="81"/>
      <c r="AM19" s="81"/>
      <c r="AN19" s="81"/>
    </row>
    <row r="20" spans="1:40" ht="180.75" x14ac:dyDescent="0.25">
      <c r="A20" s="13" t="s">
        <v>205</v>
      </c>
      <c r="B20" s="13" t="s">
        <v>324</v>
      </c>
      <c r="C20" s="13" t="s">
        <v>328</v>
      </c>
      <c r="D20" s="19" t="str" cm="1">
        <f t="array" aca="1" ref="D20" ca="1">LookupNames(SanitizeInput($C20),$A:$B)</f>
        <v>AS19 Spoofing an entity sending a software update or manipulation of the update during transmission,
AS20 Providing a malicious software update from an untrusted source</v>
      </c>
      <c r="E20" s="13" t="s">
        <v>1082</v>
      </c>
      <c r="F20" s="19" t="str" cm="1">
        <f t="array" aca="1" ref="F20" ca="1">RemoveDelimiter(GetValues(SanitizeInput($E20),Questions!$A:$B,"   ",CHAR(10),TRUE),CHAR(10))</f>
        <v>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20" s="16" t="str" cm="1">
        <f t="array" aca="1" ref="G20" ca="1">LookupNames($T20,'Damage Scenarios'!$A:$J)</f>
        <v/>
      </c>
      <c r="H20" s="13" t="s">
        <v>134</v>
      </c>
      <c r="I20" s="13" t="s">
        <v>141</v>
      </c>
      <c r="J20" s="13" t="s">
        <v>145</v>
      </c>
      <c r="K20" s="13"/>
      <c r="L20" s="13"/>
      <c r="M20" s="130" t="str">
        <f ca="1">IF($A20="","",IFERROR(VLOOKUP($AC20,Definitions!$V:$W,COLUMNS(Definitions!$V:$W),TRUE),""))</f>
        <v>Enhanced-Basic</v>
      </c>
      <c r="N20" s="13"/>
      <c r="O20" s="13" t="s">
        <v>647</v>
      </c>
      <c r="P20" s="13" t="s">
        <v>330</v>
      </c>
      <c r="Q20" s="10" cm="1">
        <f t="array" ref="Q20">IF(ROW()=ROW($Q$2)+1,0,INDEX($Q:$Q,ROW()-1))+IF($A20="",0,1)</f>
        <v>18</v>
      </c>
      <c r="R20" s="14" t="b">
        <f>OR(CheckRelevance(SanitizeInput(N20),Questionnaire!$I:$I),CheckRelevance(SanitizeInput(N20),Questionnaire!$J:$J))</f>
        <v>0</v>
      </c>
      <c r="S20" s="14" t="str" cm="1">
        <f t="array" aca="1" ref="S20" ca="1">IF(AND($N20&lt;&gt;"",$R20=FALSE),"",
IF(AND($R20,$C20=""),$A20&amp;",§","")&amp;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GenerateAttackPaths(RemoveFirstElement(_xlpm._in),_xlpm._apRange,_xlpm._ownID))))(SanitizeInput($C20),$A:$S,$A20))</f>
        <v/>
      </c>
      <c r="T20" s="14" t="str" cm="1">
        <f t="array" aca="1" ref="T20" ca="1">GetValues(SanitizeInput($E20),'Damage Scenarios'!$B:$T,"",",",FALSE)</f>
        <v/>
      </c>
      <c r="U20" s="14" t="b">
        <f t="shared" ca="1" si="0"/>
        <v>0</v>
      </c>
      <c r="V20" s="20" cm="1">
        <f t="array" aca="1" ref="V20" ca="1">CreateID($V$2,$V:$V,$U20)</f>
        <v>0</v>
      </c>
      <c r="W20" s="20">
        <f t="shared" ca="1" si="1"/>
        <v>0</v>
      </c>
      <c r="X20" s="20">
        <f>IF(H20="",0,VLOOKUP(H20,Definitions!$Z:$AA,COLUMNS(Definitions!$Z:$AA),FALSE))</f>
        <v>4</v>
      </c>
      <c r="Y20" s="20">
        <f>IF(I20="",0,VLOOKUP(I20,Definitions!$Z:$AA,COLUMNS(Definitions!$Z:$AA),FALSE))</f>
        <v>6</v>
      </c>
      <c r="Z20" s="20">
        <f>IF(J20="",0,VLOOKUP(J20,Definitions!$Z:$AA,COLUMNS(Definitions!$Z:$AA),FALSE))</f>
        <v>3</v>
      </c>
      <c r="AA20" s="20">
        <f>IF(K20="",0,VLOOKUP(K20,Definitions!$Z:$AA,COLUMNS(Definitions!$Z:$AA),FALSE))</f>
        <v>0</v>
      </c>
      <c r="AB20" s="20">
        <f>IF(L20="",0,VLOOKUP(L20,Definitions!$Z:$AA,COLUMNS(Definitions!$Z:$AA),FALSE))</f>
        <v>0</v>
      </c>
      <c r="AC20" s="20">
        <f t="shared" ca="1" si="2"/>
        <v>13</v>
      </c>
      <c r="AD20" s="20" cm="1">
        <f t="array" ref="AD20">CreateTaskID($AD$2,$AD:$AD,Tasks!$B$17,$P20)</f>
        <v>0</v>
      </c>
      <c r="AE20" s="20" t="str" cm="1">
        <f t="array" aca="1" ref="AE20" ca="1">InverseLookup($A20,Countermeasures!$X$2,Countermeasures!$A$2,1,Helper!$B$4,",")</f>
        <v>CM12,</v>
      </c>
      <c r="AF20" s="20" t="str" cm="1">
        <f t="array" aca="1" ref="AF20" ca="1">InverseLookup($A20,Assumptions!$X$3,Assumptions!$A$3,1,Helper!$B$6,",")</f>
        <v/>
      </c>
      <c r="AG20" s="20" t="str" cm="1">
        <f t="array" aca="1" ref="AG20" ca="1">InverseLookup($A20,Assumptions!$Y$3,Assumptions!$A$3,1,Helper!$B$6,",")</f>
        <v/>
      </c>
      <c r="AH20" s="20" t="str" cm="1">
        <f t="array" aca="1" ref="AH20" ca="1">IF($U20,
CreateSearchString(SUBSTITUTE($S20,"§","")),
"")</f>
        <v/>
      </c>
      <c r="AI20" s="20" t="b">
        <f t="shared" ca="1" si="3"/>
        <v>0</v>
      </c>
      <c r="AJ20" s="81"/>
      <c r="AK20" s="81"/>
      <c r="AL20" s="81"/>
      <c r="AM20" s="81"/>
      <c r="AN20" s="81"/>
    </row>
    <row r="21" spans="1:40" ht="30" x14ac:dyDescent="0.25">
      <c r="A21" s="13" t="s">
        <v>325</v>
      </c>
      <c r="B21" s="13" t="s">
        <v>329</v>
      </c>
      <c r="C21" s="13" t="s">
        <v>113</v>
      </c>
      <c r="D21" s="19" t="str" cm="1">
        <f t="array" aca="1" ref="D21" ca="1">LookupNames(SanitizeInput($C21),$A:$B)</f>
        <v>AS7 Spoofing / tampering with the product's incoming communication</v>
      </c>
      <c r="E21" s="13"/>
      <c r="F21" s="34" t="str" cm="1">
        <f t="array" ref="F21">RemoveDelimiter(GetValues(SanitizeInput($E21),Questions!$A:$B,"   ",CHAR(10),TRUE),CHAR(10))</f>
        <v/>
      </c>
      <c r="G21" s="33" t="str" cm="1">
        <f t="array" ref="G21">LookupNames($T21,'Damage Scenarios'!$A:$J)</f>
        <v/>
      </c>
      <c r="H21" s="13"/>
      <c r="I21" s="13"/>
      <c r="J21" s="13"/>
      <c r="K21" s="13"/>
      <c r="L21" s="13"/>
      <c r="M21" s="130" t="str">
        <f ca="1">IF($A21="","",IFERROR(VLOOKUP($AC21,Definitions!$V:$W,COLUMNS(Definitions!$V:$W),TRUE),""))</f>
        <v>Basic</v>
      </c>
      <c r="N21" s="13" t="s">
        <v>1380</v>
      </c>
      <c r="O21" s="13"/>
      <c r="P21" s="13"/>
      <c r="Q21" s="10" cm="1">
        <f t="array" ref="Q21">IF(ROW()=ROW($Q$2)+1,0,INDEX($Q:$Q,ROW()-1))+IF($A21="",0,1)</f>
        <v>19</v>
      </c>
      <c r="R21" s="20" t="b">
        <f ca="1">OR(CheckRelevance(SanitizeInput(N21),Questionnaire!$I:$I),CheckRelevance(SanitizeInput(N21),Questionnaire!$J:$J))</f>
        <v>0</v>
      </c>
      <c r="S21" s="14" t="str" cm="1">
        <f t="array" aca="1" ref="S21" ca="1">IF(AND($N21&lt;&gt;"",$R21=FALSE),"",
IF(AND($R21,$C21=""),$A21&amp;",§","")&amp;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GenerateAttackPaths(RemoveFirstElement(_xlpm._in),_xlpm._apRange,_xlpm._ownID))))(SanitizeInput($C21),$A:$S,$A21))</f>
        <v/>
      </c>
      <c r="T21" s="20" t="str" cm="1">
        <f t="array" ref="T21">GetValues(SanitizeInput($E21),'Damage Scenarios'!$B:$T,"",",",FALSE)</f>
        <v/>
      </c>
      <c r="U21" s="20" t="b">
        <f t="shared" ca="1" si="0"/>
        <v>0</v>
      </c>
      <c r="V21" s="20" cm="1">
        <f t="array" aca="1" ref="V21" ca="1">CreateID($V$2,$V:$V,$U21)</f>
        <v>0</v>
      </c>
      <c r="W21" s="20">
        <f t="shared" ca="1" si="1"/>
        <v>0</v>
      </c>
      <c r="X21" s="20">
        <f>IF(H21="",0,VLOOKUP(H21,Definitions!$Z:$AA,COLUMNS(Definitions!$Z:$AA),FALSE))</f>
        <v>0</v>
      </c>
      <c r="Y21" s="20">
        <f>IF(I21="",0,VLOOKUP(I21,Definitions!$Z:$AA,COLUMNS(Definitions!$Z:$AA),FALSE))</f>
        <v>0</v>
      </c>
      <c r="Z21" s="20">
        <f>IF(J21="",0,VLOOKUP(J21,Definitions!$Z:$AA,COLUMNS(Definitions!$Z:$AA),FALSE))</f>
        <v>0</v>
      </c>
      <c r="AA21" s="20">
        <f>IF(K21="",0,VLOOKUP(K21,Definitions!$Z:$AA,COLUMNS(Definitions!$Z:$AA),FALSE))</f>
        <v>0</v>
      </c>
      <c r="AB21" s="20">
        <f>IF(L21="",0,VLOOKUP(L21,Definitions!$Z:$AA,COLUMNS(Definitions!$Z:$AA),FALSE))</f>
        <v>0</v>
      </c>
      <c r="AC21" s="20">
        <f t="shared" ca="1" si="2"/>
        <v>0</v>
      </c>
      <c r="AD21" s="20" cm="1">
        <f t="array" ref="AD21">CreateTaskID($AD$2,$AD:$AD,Tasks!$B$17,$P21)</f>
        <v>0</v>
      </c>
      <c r="AE21" s="20" t="str" cm="1">
        <f t="array" aca="1" ref="AE21" ca="1">InverseLookup($A21,Countermeasures!$X$2,Countermeasures!$A$2,1,Helper!$B$4,",")</f>
        <v>CM11,</v>
      </c>
      <c r="AF21" s="20" t="str" cm="1">
        <f t="array" aca="1" ref="AF21" ca="1">InverseLookup($A21,Assumptions!$X$3,Assumptions!$A$3,1,Helper!$B$6,",")</f>
        <v/>
      </c>
      <c r="AG21" s="20" t="str" cm="1">
        <f t="array" aca="1" ref="AG21" ca="1">InverseLookup($A21,Assumptions!$Y$3,Assumptions!$A$3,1,Helper!$B$6,",")</f>
        <v/>
      </c>
      <c r="AH21" s="20" t="str" cm="1">
        <f t="array" aca="1" ref="AH21" ca="1">IF($U21,
CreateSearchString(SUBSTITUTE($S21,"§","")),
"")</f>
        <v/>
      </c>
      <c r="AI21" s="20" t="b">
        <f t="shared" ca="1" si="3"/>
        <v>0</v>
      </c>
      <c r="AJ21" s="81"/>
      <c r="AK21" s="81"/>
      <c r="AL21" s="81"/>
      <c r="AM21" s="81"/>
      <c r="AN21" s="81"/>
    </row>
    <row r="22" spans="1:40" x14ac:dyDescent="0.25">
      <c r="A22" s="13" t="s">
        <v>326</v>
      </c>
      <c r="B22" s="13" t="s">
        <v>327</v>
      </c>
      <c r="C22" s="13"/>
      <c r="D22" s="19" t="str" cm="1">
        <f t="array" ref="D22">LookupNames(SanitizeInput($C22),$A:$B)</f>
        <v/>
      </c>
      <c r="E22" s="13"/>
      <c r="F22" s="34" t="str" cm="1">
        <f t="array" ref="F22">RemoveDelimiter(GetValues(SanitizeInput($E22),Questions!$A:$B,"   ",CHAR(10),TRUE),CHAR(10))</f>
        <v/>
      </c>
      <c r="G22" s="33" t="str" cm="1">
        <f t="array" ref="G22">LookupNames($T22,'Damage Scenarios'!$A:$J)</f>
        <v/>
      </c>
      <c r="H22" s="13"/>
      <c r="I22" s="13"/>
      <c r="J22" s="13"/>
      <c r="K22" s="13"/>
      <c r="L22" s="13"/>
      <c r="M22" s="130" t="str">
        <f ca="1">IF($A22="","",IFERROR(VLOOKUP($AC22,Definitions!$V:$W,COLUMNS(Definitions!$V:$W),TRUE),""))</f>
        <v>Basic</v>
      </c>
      <c r="N22" s="13" t="s">
        <v>1381</v>
      </c>
      <c r="O22" s="13"/>
      <c r="P22" s="13"/>
      <c r="Q22" s="10" cm="1">
        <f t="array" ref="Q22">IF(ROW()=ROW($Q$2)+1,0,INDEX($Q:$Q,ROW()-1))+IF($A22="",0,1)</f>
        <v>20</v>
      </c>
      <c r="R22" s="20" t="b">
        <f ca="1">OR(CheckRelevance(SanitizeInput(N22),Questionnaire!$I:$I),CheckRelevance(SanitizeInput(N22),Questionnaire!$J:$J))</f>
        <v>0</v>
      </c>
      <c r="S22" s="14" t="str" cm="1">
        <f t="array" aca="1" ref="S22" ca="1">IF(AND($N22&lt;&gt;"",$R22=FALSE),"",
IF(AND($R22,$C22=""),$A22&amp;",§","")&amp;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GenerateAttackPaths(RemoveFirstElement(_xlpm._in),_xlpm._apRange,_xlpm._ownID))))(SanitizeInput($C22),$A:$S,$A22))</f>
        <v/>
      </c>
      <c r="T22" s="20" t="str" cm="1">
        <f t="array" ref="T22">GetValues(SanitizeInput($E22),'Damage Scenarios'!$B:$T,"",",",FALSE)</f>
        <v/>
      </c>
      <c r="U22" s="20" t="b">
        <f t="shared" ca="1" si="0"/>
        <v>0</v>
      </c>
      <c r="V22" s="20" cm="1">
        <f t="array" aca="1" ref="V22" ca="1">CreateID($V$2,$V:$V,$U22)</f>
        <v>0</v>
      </c>
      <c r="W22" s="20">
        <f t="shared" ca="1" si="1"/>
        <v>0</v>
      </c>
      <c r="X22" s="20">
        <f>IF(H22="",0,VLOOKUP(H22,Definitions!$Z:$AA,COLUMNS(Definitions!$Z:$AA),FALSE))</f>
        <v>0</v>
      </c>
      <c r="Y22" s="20">
        <f>IF(I22="",0,VLOOKUP(I22,Definitions!$Z:$AA,COLUMNS(Definitions!$Z:$AA),FALSE))</f>
        <v>0</v>
      </c>
      <c r="Z22" s="20">
        <f>IF(J22="",0,VLOOKUP(J22,Definitions!$Z:$AA,COLUMNS(Definitions!$Z:$AA),FALSE))</f>
        <v>0</v>
      </c>
      <c r="AA22" s="20">
        <f>IF(K22="",0,VLOOKUP(K22,Definitions!$Z:$AA,COLUMNS(Definitions!$Z:$AA),FALSE))</f>
        <v>0</v>
      </c>
      <c r="AB22" s="20">
        <f>IF(L22="",0,VLOOKUP(L22,Definitions!$Z:$AA,COLUMNS(Definitions!$Z:$AA),FALSE))</f>
        <v>0</v>
      </c>
      <c r="AC22" s="20">
        <f t="shared" ca="1" si="2"/>
        <v>0</v>
      </c>
      <c r="AD22" s="20" cm="1">
        <f t="array" ref="AD22">CreateTaskID($AD$2,$AD:$AD,Tasks!$B$17,$P22)</f>
        <v>0</v>
      </c>
      <c r="AE22" s="20" t="str" cm="1">
        <f t="array" aca="1" ref="AE22" ca="1">InverseLookup($A22,Countermeasures!$X$2,Countermeasures!$A$2,1,Helper!$B$4,",")</f>
        <v/>
      </c>
      <c r="AF22" s="20" t="str" cm="1">
        <f t="array" aca="1" ref="AF22" ca="1">InverseLookup($A22,Assumptions!$X$3,Assumptions!$A$3,1,Helper!$B$6,",")</f>
        <v/>
      </c>
      <c r="AG22" s="20" t="str" cm="1">
        <f t="array" aca="1" ref="AG22" ca="1">InverseLookup($A22,Assumptions!$Y$3,Assumptions!$A$3,1,Helper!$B$6,",")</f>
        <v/>
      </c>
      <c r="AH22" s="20" t="str" cm="1">
        <f t="array" aca="1" ref="AH22" ca="1">IF($U22,
CreateSearchString(SUBSTITUTE($S22,"§","")),
"")</f>
        <v/>
      </c>
      <c r="AI22" s="20" t="b">
        <f t="shared" ca="1" si="3"/>
        <v>0</v>
      </c>
      <c r="AJ22" s="81"/>
      <c r="AK22" s="81"/>
      <c r="AL22" s="81"/>
      <c r="AM22" s="81"/>
      <c r="AN22" s="81"/>
    </row>
    <row r="23" spans="1:40" x14ac:dyDescent="0.25">
      <c r="A23" s="13" t="s">
        <v>331</v>
      </c>
      <c r="B23" s="13" t="s">
        <v>333</v>
      </c>
      <c r="C23" s="13"/>
      <c r="D23" s="19" t="str" cm="1">
        <f t="array" ref="D23">LookupNames(SanitizeInput($C23),$A:$B)</f>
        <v/>
      </c>
      <c r="E23" s="13"/>
      <c r="F23" s="34" t="str" cm="1">
        <f t="array" ref="F23">RemoveDelimiter(GetValues(SanitizeInput($E23),Questions!$A:$B,"   ",CHAR(10),TRUE),CHAR(10))</f>
        <v/>
      </c>
      <c r="G23" s="33" t="str" cm="1">
        <f t="array" ref="G23">LookupNames($T23,'Damage Scenarios'!$A:$J)</f>
        <v/>
      </c>
      <c r="H23" s="13"/>
      <c r="I23" s="13"/>
      <c r="J23" s="13"/>
      <c r="K23" s="13" t="s">
        <v>149</v>
      </c>
      <c r="L23" s="13"/>
      <c r="M23" s="130" t="str">
        <f ca="1">IF($A23="","",IFERROR(VLOOKUP($AC23,Definitions!$V:$W,COLUMNS(Definitions!$V:$W),TRUE),""))</f>
        <v>Basic</v>
      </c>
      <c r="N23" s="13" t="s">
        <v>1060</v>
      </c>
      <c r="O23" s="13"/>
      <c r="P23" s="13" t="s">
        <v>1723</v>
      </c>
      <c r="Q23" s="10" cm="1">
        <f t="array" ref="Q23">IF(ROW()=ROW($Q$2)+1,0,INDEX($Q:$Q,ROW()-1))+IF($A23="",0,1)</f>
        <v>21</v>
      </c>
      <c r="R23" s="20" t="b">
        <f ca="1">OR(CheckRelevance(SanitizeInput(N23),Questionnaire!$I:$I),CheckRelevance(SanitizeInput(N23),Questionnaire!$J:$J))</f>
        <v>0</v>
      </c>
      <c r="S23" s="14" t="str" cm="1">
        <f t="array" aca="1" ref="S23" ca="1">IF(AND($N23&lt;&gt;"",$R23=FALSE),"",
IF(AND($R23,$C23=""),$A23&amp;",§","")&amp;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GenerateAttackPaths(RemoveFirstElement(_xlpm._in),_xlpm._apRange,_xlpm._ownID))))(SanitizeInput($C23),$A:$S,$A23))</f>
        <v/>
      </c>
      <c r="T23" s="20" t="str" cm="1">
        <f t="array" ref="T23">GetValues(SanitizeInput($E23),'Damage Scenarios'!$B:$T,"",",",FALSE)</f>
        <v/>
      </c>
      <c r="U23" s="20" t="b">
        <f t="shared" ca="1" si="0"/>
        <v>0</v>
      </c>
      <c r="V23" s="20" cm="1">
        <f t="array" aca="1" ref="V23" ca="1">CreateID($V$2,$V:$V,$U23)</f>
        <v>0</v>
      </c>
      <c r="W23" s="20">
        <f t="shared" ca="1" si="1"/>
        <v>0</v>
      </c>
      <c r="X23" s="20">
        <f>IF(H23="",0,VLOOKUP(H23,Definitions!$Z:$AA,COLUMNS(Definitions!$Z:$AA),FALSE))</f>
        <v>0</v>
      </c>
      <c r="Y23" s="20">
        <f>IF(I23="",0,VLOOKUP(I23,Definitions!$Z:$AA,COLUMNS(Definitions!$Z:$AA),FALSE))</f>
        <v>0</v>
      </c>
      <c r="Z23" s="20">
        <f>IF(J23="",0,VLOOKUP(J23,Definitions!$Z:$AA,COLUMNS(Definitions!$Z:$AA),FALSE))</f>
        <v>0</v>
      </c>
      <c r="AA23" s="20">
        <f>IF(K23="",0,VLOOKUP(K23,Definitions!$Z:$AA,COLUMNS(Definitions!$Z:$AA),FALSE))</f>
        <v>1</v>
      </c>
      <c r="AB23" s="20">
        <f>IF(L23="",0,VLOOKUP(L23,Definitions!$Z:$AA,COLUMNS(Definitions!$Z:$AA),FALSE))</f>
        <v>0</v>
      </c>
      <c r="AC23" s="20">
        <f t="shared" ca="1" si="2"/>
        <v>1</v>
      </c>
      <c r="AD23" s="20" cm="1">
        <f t="array" ref="AD23">CreateTaskID($AD$2,$AD:$AD,Tasks!$B$17,$P23)</f>
        <v>0</v>
      </c>
      <c r="AE23" s="20" t="str" cm="1">
        <f t="array" aca="1" ref="AE23" ca="1">InverseLookup($A23,Countermeasures!$X$2,Countermeasures!$A$2,1,Helper!$B$4,",")</f>
        <v/>
      </c>
      <c r="AF23" s="20" t="str" cm="1">
        <f t="array" aca="1" ref="AF23" ca="1">InverseLookup($A23,Assumptions!$X$3,Assumptions!$A$3,1,Helper!$B$6,",")</f>
        <v/>
      </c>
      <c r="AG23" s="20" t="str" cm="1">
        <f t="array" aca="1" ref="AG23" ca="1">InverseLookup($A23,Assumptions!$Y$3,Assumptions!$A$3,1,Helper!$B$6,",")</f>
        <v>A14,A15,A45,</v>
      </c>
      <c r="AH23" s="20" t="str" cm="1">
        <f t="array" aca="1" ref="AH23" ca="1">IF($U23,
CreateSearchString(SUBSTITUTE($S23,"§","")),
"")</f>
        <v/>
      </c>
      <c r="AI23" s="20" t="b">
        <f t="shared" ca="1" si="3"/>
        <v>0</v>
      </c>
      <c r="AJ23" s="81"/>
      <c r="AK23" s="81"/>
      <c r="AL23" s="81"/>
      <c r="AM23" s="81"/>
      <c r="AN23" s="81"/>
    </row>
    <row r="24" spans="1:40" ht="30" x14ac:dyDescent="0.25">
      <c r="A24" s="13" t="s">
        <v>332</v>
      </c>
      <c r="B24" s="13" t="s">
        <v>334</v>
      </c>
      <c r="C24" s="13"/>
      <c r="D24" s="19" t="str" cm="1">
        <f t="array" ref="D24">LookupNames(SanitizeInput($C24),$A:$B)</f>
        <v/>
      </c>
      <c r="E24" s="13"/>
      <c r="F24" s="34" t="str" cm="1">
        <f t="array" ref="F24">RemoveDelimiter(GetValues(SanitizeInput($E24),Questions!$A:$B,"   ",CHAR(10),TRUE),CHAR(10))</f>
        <v/>
      </c>
      <c r="G24" s="33" t="str" cm="1">
        <f t="array" ref="G24">LookupNames($T24,'Damage Scenarios'!$A:$J)</f>
        <v/>
      </c>
      <c r="H24" s="13"/>
      <c r="I24" s="13"/>
      <c r="J24" s="13"/>
      <c r="K24" s="13" t="s">
        <v>148</v>
      </c>
      <c r="L24" s="13"/>
      <c r="M24" s="130" t="str">
        <f ca="1">IF($A24="","",IFERROR(VLOOKUP($AC24,Definitions!$V:$W,COLUMNS(Definitions!$V:$W),TRUE),""))</f>
        <v>Basic</v>
      </c>
      <c r="N24" s="13" t="s">
        <v>1061</v>
      </c>
      <c r="O24" s="13"/>
      <c r="P24" s="13" t="s">
        <v>596</v>
      </c>
      <c r="Q24" s="10" cm="1">
        <f t="array" ref="Q24">IF(ROW()=ROW($Q$2)+1,0,INDEX($Q:$Q,ROW()-1))+IF($A24="",0,1)</f>
        <v>22</v>
      </c>
      <c r="R24" s="20" t="b">
        <f ca="1">OR(CheckRelevance(SanitizeInput(N24),Questionnaire!$I:$I),CheckRelevance(SanitizeInput(N24),Questionnaire!$J:$J))</f>
        <v>1</v>
      </c>
      <c r="S24" s="14" t="str" cm="1">
        <f t="array" aca="1" ref="S24" ca="1">IF(AND($N24&lt;&gt;"",$R24=FALSE),"",
IF(AND($R24,$C24=""),$A24&amp;",§","")&amp;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GenerateAttackPaths(RemoveFirstElement(_xlpm._in),_xlpm._apRange,_xlpm._ownID))))(SanitizeInput($C24),$A:$S,$A24))</f>
        <v>AS22,§</v>
      </c>
      <c r="T24" s="20" t="str" cm="1">
        <f t="array" ref="T24">GetValues(SanitizeInput($E24),'Damage Scenarios'!$B:$T,"",",",FALSE)</f>
        <v/>
      </c>
      <c r="U24" s="20" t="b">
        <f t="shared" ca="1" si="0"/>
        <v>0</v>
      </c>
      <c r="V24" s="20" cm="1">
        <f t="array" aca="1" ref="V24" ca="1">CreateID($V$2,$V:$V,$U24)</f>
        <v>0</v>
      </c>
      <c r="W24" s="20">
        <f t="shared" ca="1" si="1"/>
        <v>0</v>
      </c>
      <c r="X24" s="20">
        <f>IF(H24="",0,VLOOKUP(H24,Definitions!$Z:$AA,COLUMNS(Definitions!$Z:$AA),FALSE))</f>
        <v>0</v>
      </c>
      <c r="Y24" s="20">
        <f>IF(I24="",0,VLOOKUP(I24,Definitions!$Z:$AA,COLUMNS(Definitions!$Z:$AA),FALSE))</f>
        <v>0</v>
      </c>
      <c r="Z24" s="20">
        <f>IF(J24="",0,VLOOKUP(J24,Definitions!$Z:$AA,COLUMNS(Definitions!$Z:$AA),FALSE))</f>
        <v>0</v>
      </c>
      <c r="AA24" s="20">
        <f>IF(K24="",0,VLOOKUP(K24,Definitions!$Z:$AA,COLUMNS(Definitions!$Z:$AA),FALSE))</f>
        <v>0</v>
      </c>
      <c r="AB24" s="20">
        <f>IF(L24="",0,VLOOKUP(L24,Definitions!$Z:$AA,COLUMNS(Definitions!$Z:$AA),FALSE))</f>
        <v>0</v>
      </c>
      <c r="AC24" s="20">
        <f t="shared" ca="1" si="2"/>
        <v>0</v>
      </c>
      <c r="AD24" s="20" cm="1">
        <f t="array" ref="AD24">CreateTaskID($AD$2,$AD:$AD,Tasks!$B$17,$P24)</f>
        <v>0</v>
      </c>
      <c r="AE24" s="20" t="str" cm="1">
        <f t="array" aca="1" ref="AE24" ca="1">InverseLookup($A24,Countermeasures!$X$2,Countermeasures!$A$2,1,Helper!$B$4,",")</f>
        <v>C3,</v>
      </c>
      <c r="AF24" s="20" t="str" cm="1">
        <f t="array" aca="1" ref="AF24" ca="1">InverseLookup($A24,Assumptions!$X$3,Assumptions!$A$3,1,Helper!$B$6,",")</f>
        <v>A21,</v>
      </c>
      <c r="AG24" s="20" t="str" cm="1">
        <f t="array" aca="1" ref="AG24" ca="1">InverseLookup($A24,Assumptions!$Y$3,Assumptions!$A$3,1,Helper!$B$6,",")</f>
        <v>A21,A39,</v>
      </c>
      <c r="AH24" s="20" t="str" cm="1">
        <f t="array" aca="1" ref="AH24" ca="1">IF($U24,
CreateSearchString(SUBSTITUTE($S24,"§","")),
"")</f>
        <v/>
      </c>
      <c r="AI24" s="20" t="b">
        <f t="shared" ca="1" si="3"/>
        <v>0</v>
      </c>
      <c r="AJ24" s="81"/>
      <c r="AK24" s="81"/>
      <c r="AL24" s="81"/>
      <c r="AM24" s="81"/>
      <c r="AN24" s="81"/>
    </row>
    <row r="25" spans="1:40" ht="203.25" x14ac:dyDescent="0.25">
      <c r="A25" s="13" t="s">
        <v>335</v>
      </c>
      <c r="B25" s="13" t="s">
        <v>1223</v>
      </c>
      <c r="C25" s="13" t="s">
        <v>336</v>
      </c>
      <c r="D25" s="19" t="str" cm="1">
        <f t="array" aca="1" ref="D25" ca="1">LookupNames(SanitizeInput($C25),$A:$B)</f>
        <v>AS21 Gaining physical access to the product (3rd party),
AS22 Gaining physical access to the product (customer)</v>
      </c>
      <c r="E25" s="13" t="s">
        <v>1103</v>
      </c>
      <c r="F25" s="34" t="str" cm="1">
        <f t="array" aca="1" ref="F25" ca="1">RemoveDelimiter(GetValues(SanitizeInput($E25),Questions!$A:$B,"   ",CHAR(10),TRUE),CHAR(10))</f>
        <v>QI1   Does the product have cameras or other sensors that can potentially recognize people?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25" s="33" t="str" cm="1">
        <f t="array" aca="1" ref="G25" ca="1">LookupNames($T25,'Damage Scenarios'!$A:$J)</f>
        <v/>
      </c>
      <c r="H25" s="13" t="s">
        <v>133</v>
      </c>
      <c r="I25" s="13" t="s">
        <v>141</v>
      </c>
      <c r="J25" s="13" t="s">
        <v>145</v>
      </c>
      <c r="K25" s="13"/>
      <c r="L25" s="13"/>
      <c r="M25" s="130" t="str">
        <f ca="1">IF($A25="","",IFERROR(VLOOKUP($AC25,Definitions!$V:$W,COLUMNS(Definitions!$V:$W),TRUE),""))</f>
        <v>Enhanced-Basic</v>
      </c>
      <c r="N25" s="13"/>
      <c r="O25" s="13" t="s">
        <v>607</v>
      </c>
      <c r="P25" s="13" t="s">
        <v>1022</v>
      </c>
      <c r="Q25" s="10" cm="1">
        <f t="array" ref="Q25">IF(ROW()=ROW($Q$2)+1,0,INDEX($Q:$Q,ROW()-1))+IF($A25="",0,1)</f>
        <v>23</v>
      </c>
      <c r="R25" s="20" t="b">
        <f>OR(CheckRelevance(SanitizeInput(N25),Questionnaire!$I:$I),CheckRelevance(SanitizeInput(N25),Questionnaire!$J:$J))</f>
        <v>0</v>
      </c>
      <c r="S25" s="14" t="str" cm="1">
        <f t="array" aca="1" ref="S25" ca="1">IF(AND($N25&lt;&gt;"",$R25=FALSE),"",
IF(AND($R25,$C25=""),$A25&amp;",§","")&amp;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GenerateAttackPaths(RemoveFirstElement(_xlpm._in),_xlpm._apRange,_xlpm._ownID))))(SanitizeInput($C25),$A:$S,$A25))</f>
        <v>AS22,AS23,§</v>
      </c>
      <c r="T25" s="20" t="str" cm="1">
        <f t="array" aca="1" ref="T25" ca="1">GetValues(SanitizeInput($E25),'Damage Scenarios'!$B:$T,"",",",FALSE)</f>
        <v/>
      </c>
      <c r="U25" s="20" t="b">
        <f t="shared" ca="1" si="0"/>
        <v>0</v>
      </c>
      <c r="V25" s="20" cm="1">
        <f t="array" aca="1" ref="V25" ca="1">CreateID($V$2,$V:$V,$U25)</f>
        <v>0</v>
      </c>
      <c r="W25" s="20">
        <f t="shared" ca="1" si="1"/>
        <v>0</v>
      </c>
      <c r="X25" s="20">
        <f>IF(H25="",0,VLOOKUP(H25,Definitions!$Z:$AA,COLUMNS(Definitions!$Z:$AA),FALSE))</f>
        <v>1</v>
      </c>
      <c r="Y25" s="20">
        <f>IF(I25="",0,VLOOKUP(I25,Definitions!$Z:$AA,COLUMNS(Definitions!$Z:$AA),FALSE))</f>
        <v>6</v>
      </c>
      <c r="Z25" s="20">
        <f>IF(J25="",0,VLOOKUP(J25,Definitions!$Z:$AA,COLUMNS(Definitions!$Z:$AA),FALSE))</f>
        <v>3</v>
      </c>
      <c r="AA25" s="20">
        <f>IF(K25="",0,VLOOKUP(K25,Definitions!$Z:$AA,COLUMNS(Definitions!$Z:$AA),FALSE))</f>
        <v>0</v>
      </c>
      <c r="AB25" s="20">
        <f>IF(L25="",0,VLOOKUP(L25,Definitions!$Z:$AA,COLUMNS(Definitions!$Z:$AA),FALSE))</f>
        <v>0</v>
      </c>
      <c r="AC25" s="20">
        <f t="shared" ca="1" si="2"/>
        <v>10</v>
      </c>
      <c r="AD25" s="20" cm="1">
        <f t="array" ref="AD25">CreateTaskID($AD$2,$AD:$AD,Tasks!$B$17,$P25)</f>
        <v>0</v>
      </c>
      <c r="AE25" s="20" t="str" cm="1">
        <f t="array" aca="1" ref="AE25" ca="1">InverseLookup($A25,Countermeasures!$X$2,Countermeasures!$A$2,1,Helper!$B$4,",")</f>
        <v>C30,C35,CM7,</v>
      </c>
      <c r="AF25" s="20" t="str" cm="1">
        <f t="array" aca="1" ref="AF25" ca="1">InverseLookup($A25,Assumptions!$X$3,Assumptions!$A$3,1,Helper!$B$6,",")</f>
        <v/>
      </c>
      <c r="AG25" s="20" t="str" cm="1">
        <f t="array" aca="1" ref="AG25" ca="1">InverseLookup($A25,Assumptions!$Y$3,Assumptions!$A$3,1,Helper!$B$6,",")</f>
        <v/>
      </c>
      <c r="AH25" s="20" t="str" cm="1">
        <f t="array" aca="1" ref="AH25" ca="1">IF($U25,
CreateSearchString(SUBSTITUTE($S25,"§","")),
"")</f>
        <v/>
      </c>
      <c r="AI25" s="20" t="b">
        <f t="shared" ca="1" si="3"/>
        <v>0</v>
      </c>
      <c r="AJ25" s="81"/>
      <c r="AK25" s="81"/>
      <c r="AL25" s="81"/>
      <c r="AM25" s="81"/>
      <c r="AN25" s="81"/>
    </row>
    <row r="26" spans="1:40" ht="90.75" x14ac:dyDescent="0.25">
      <c r="A26" s="13" t="s">
        <v>337</v>
      </c>
      <c r="B26" s="13" t="s">
        <v>1224</v>
      </c>
      <c r="C26" s="13" t="s">
        <v>336</v>
      </c>
      <c r="D26" s="19" t="str" cm="1">
        <f t="array" aca="1" ref="D26" ca="1">LookupNames(SanitizeInput($C26),$A:$B)</f>
        <v>AS21 Gaining physical access to the product (3rd party),
AS22 Gaining physical access to the product (customer)</v>
      </c>
      <c r="E26" s="13" t="s">
        <v>1100</v>
      </c>
      <c r="F26" s="34" t="str" cm="1">
        <f t="array" aca="1" ref="F26" ca="1">RemoveDelimiter(GetValues(SanitizeInput($E26),Questions!$A:$B,"   ",CHAR(10),TRUE),CHAR(10))</f>
        <v>QI2   Does the product process personal data?
Examples: User ID, address labels
QI4   Is &lt;OEM name&gt;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26" s="33" t="str" cm="1">
        <f t="array" aca="1" ref="G26" ca="1">LookupNames($T26,'Damage Scenarios'!$A:$J)</f>
        <v/>
      </c>
      <c r="H26" s="13"/>
      <c r="I26" s="13" t="s">
        <v>141</v>
      </c>
      <c r="J26" s="13"/>
      <c r="K26" s="13"/>
      <c r="L26" s="13"/>
      <c r="M26" s="130" t="str">
        <f ca="1">IF($A26="","",IFERROR(VLOOKUP($AC26,Definitions!$V:$W,COLUMNS(Definitions!$V:$W),TRUE),""))</f>
        <v>Basic</v>
      </c>
      <c r="N26" s="13"/>
      <c r="O26" s="13" t="s">
        <v>605</v>
      </c>
      <c r="P26" s="13" t="s">
        <v>1021</v>
      </c>
      <c r="Q26" s="10" cm="1">
        <f t="array" ref="Q26">IF(ROW()=ROW($Q$2)+1,0,INDEX($Q:$Q,ROW()-1))+IF($A26="",0,1)</f>
        <v>24</v>
      </c>
      <c r="R26" s="20" t="b">
        <f>OR(CheckRelevance(SanitizeInput(N26),Questionnaire!$I:$I),CheckRelevance(SanitizeInput(N26),Questionnaire!$J:$J))</f>
        <v>0</v>
      </c>
      <c r="S26" s="14" t="str" cm="1">
        <f t="array" aca="1" ref="S26" ca="1">IF(AND($N26&lt;&gt;"",$R26=FALSE),"",
IF(AND($R26,$C26=""),$A26&amp;",§","")&amp;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GenerateAttackPaths(RemoveFirstElement(_xlpm._in),_xlpm._apRange,_xlpm._ownID))))(SanitizeInput($C26),$A:$S,$A26))</f>
        <v>AS22,AS24,§</v>
      </c>
      <c r="T26" s="20" t="str" cm="1">
        <f t="array" aca="1" ref="T26" ca="1">GetValues(SanitizeInput($E26),'Damage Scenarios'!$B:$T,"",",",FALSE)</f>
        <v/>
      </c>
      <c r="U26" s="20" t="b">
        <f t="shared" ca="1" si="0"/>
        <v>0</v>
      </c>
      <c r="V26" s="20" cm="1">
        <f t="array" aca="1" ref="V26" ca="1">CreateID($V$2,$V:$V,$U26)</f>
        <v>0</v>
      </c>
      <c r="W26" s="20">
        <f t="shared" ca="1" si="1"/>
        <v>0</v>
      </c>
      <c r="X26" s="20">
        <f>IF(H26="",0,VLOOKUP(H26,Definitions!$Z:$AA,COLUMNS(Definitions!$Z:$AA),FALSE))</f>
        <v>0</v>
      </c>
      <c r="Y26" s="20">
        <f>IF(I26="",0,VLOOKUP(I26,Definitions!$Z:$AA,COLUMNS(Definitions!$Z:$AA),FALSE))</f>
        <v>6</v>
      </c>
      <c r="Z26" s="20">
        <f>IF(J26="",0,VLOOKUP(J26,Definitions!$Z:$AA,COLUMNS(Definitions!$Z:$AA),FALSE))</f>
        <v>0</v>
      </c>
      <c r="AA26" s="20">
        <f>IF(K26="",0,VLOOKUP(K26,Definitions!$Z:$AA,COLUMNS(Definitions!$Z:$AA),FALSE))</f>
        <v>0</v>
      </c>
      <c r="AB26" s="20">
        <f>IF(L26="",0,VLOOKUP(L26,Definitions!$Z:$AA,COLUMNS(Definitions!$Z:$AA),FALSE))</f>
        <v>0</v>
      </c>
      <c r="AC26" s="20">
        <f t="shared" ca="1" si="2"/>
        <v>6</v>
      </c>
      <c r="AD26" s="20" cm="1">
        <f t="array" ref="AD26">CreateTaskID($AD$2,$AD:$AD,Tasks!$B$17,$P26)</f>
        <v>0</v>
      </c>
      <c r="AE26" s="20" t="str" cm="1">
        <f t="array" aca="1" ref="AE26" ca="1">InverseLookup($A26,Countermeasures!$X$2,Countermeasures!$A$2,1,Helper!$B$4,",")</f>
        <v>CM4,</v>
      </c>
      <c r="AF26" s="20" t="str" cm="1">
        <f t="array" aca="1" ref="AF26" ca="1">InverseLookup($A26,Assumptions!$X$3,Assumptions!$A$3,1,Helper!$B$6,",")</f>
        <v/>
      </c>
      <c r="AG26" s="20" t="str" cm="1">
        <f t="array" aca="1" ref="AG26" ca="1">InverseLookup($A26,Assumptions!$Y$3,Assumptions!$A$3,1,Helper!$B$6,",")</f>
        <v/>
      </c>
      <c r="AH26" s="20" t="str" cm="1">
        <f t="array" aca="1" ref="AH26" ca="1">IF($U26,
CreateSearchString(SUBSTITUTE($S26,"§","")),
"")</f>
        <v/>
      </c>
      <c r="AI26" s="20" t="b">
        <f t="shared" ca="1" si="3"/>
        <v>0</v>
      </c>
      <c r="AJ26" s="81"/>
      <c r="AK26" s="81"/>
      <c r="AL26" s="81"/>
      <c r="AM26" s="81"/>
      <c r="AN26" s="81"/>
    </row>
    <row r="27" spans="1:40" ht="203.25" x14ac:dyDescent="0.25">
      <c r="A27" s="13" t="s">
        <v>342</v>
      </c>
      <c r="B27" s="13" t="s">
        <v>343</v>
      </c>
      <c r="C27" s="13" t="s">
        <v>1120</v>
      </c>
      <c r="D27" s="19" t="str" cm="1">
        <f t="array" aca="1" ref="D27" ca="1">LookupNames(SanitizeInput($C27),$A:$B)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AS27 Getting physical access to the product's linked communication media (e.g., field buses),
AS28 Getting access to a trusted entity</v>
      </c>
      <c r="E27" s="13" t="s">
        <v>1103</v>
      </c>
      <c r="F27" s="34" t="str" cm="1">
        <f t="array" aca="1" ref="F27" ca="1">RemoveDelimiter(GetValues(SanitizeInput($E27),Questions!$A:$B,"   ",CHAR(10),TRUE),CHAR(10))</f>
        <v>QI1   Does the product have cameras or other sensors that can potentially recognize people?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27" s="33" t="str" cm="1">
        <f t="array" aca="1" ref="G27" ca="1">LookupNames($T27,'Damage Scenarios'!$A:$J)</f>
        <v/>
      </c>
      <c r="H27" s="13"/>
      <c r="I27" s="13"/>
      <c r="J27" s="13"/>
      <c r="K27" s="13"/>
      <c r="L27" s="13"/>
      <c r="M27" s="130" t="str">
        <f ca="1">IF($A27="","",IFERROR(VLOOKUP($AC27,Definitions!$V:$W,COLUMNS(Definitions!$V:$W),TRUE),""))</f>
        <v>Basic</v>
      </c>
      <c r="N27" s="13" t="s">
        <v>1069</v>
      </c>
      <c r="O27" s="13" t="s">
        <v>647</v>
      </c>
      <c r="P27" s="13"/>
      <c r="Q27" s="10" cm="1">
        <f t="array" ref="Q27">IF(ROW()=ROW($Q$2)+1,0,INDEX($Q:$Q,ROW()-1))+IF($A27="",0,1)</f>
        <v>25</v>
      </c>
      <c r="R27" s="20" t="b">
        <f ca="1">OR(CheckRelevance(SanitizeInput(N27),Questionnaire!$I:$I),CheckRelevance(SanitizeInput(N27),Questionnaire!$J:$J))</f>
        <v>0</v>
      </c>
      <c r="S27" s="14" t="str" cm="1">
        <f t="array" aca="1" ref="S27" ca="1">IF(AND($N27&lt;&gt;"",$R27=FALSE),"",
IF(AND($R27,$C27=""),$A27&amp;",§","")&amp;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GenerateAttackPaths(RemoveFirstElement(_xlpm._in),_xlpm._apRange,_xlpm._ownID))))(SanitizeInput($C27),$A:$S,$A27))</f>
        <v/>
      </c>
      <c r="T27" s="20" t="str" cm="1">
        <f t="array" aca="1" ref="T27" ca="1">GetValues(SanitizeInput($E27),'Damage Scenarios'!$B:$T,"",",",FALSE)</f>
        <v/>
      </c>
      <c r="U27" s="20" t="b">
        <f t="shared" ca="1" si="0"/>
        <v>0</v>
      </c>
      <c r="V27" s="20" cm="1">
        <f t="array" aca="1" ref="V27" ca="1">CreateID($V$2,$V:$V,$U27)</f>
        <v>0</v>
      </c>
      <c r="W27" s="20">
        <f t="shared" ca="1" si="1"/>
        <v>0</v>
      </c>
      <c r="X27" s="20">
        <f>IF(H27="",0,VLOOKUP(H27,Definitions!$Z:$AA,COLUMNS(Definitions!$Z:$AA),FALSE))</f>
        <v>0</v>
      </c>
      <c r="Y27" s="20">
        <f>IF(I27="",0,VLOOKUP(I27,Definitions!$Z:$AA,COLUMNS(Definitions!$Z:$AA),FALSE))</f>
        <v>0</v>
      </c>
      <c r="Z27" s="20">
        <f>IF(J27="",0,VLOOKUP(J27,Definitions!$Z:$AA,COLUMNS(Definitions!$Z:$AA),FALSE))</f>
        <v>0</v>
      </c>
      <c r="AA27" s="20">
        <f>IF(K27="",0,VLOOKUP(K27,Definitions!$Z:$AA,COLUMNS(Definitions!$Z:$AA),FALSE))</f>
        <v>0</v>
      </c>
      <c r="AB27" s="20">
        <f>IF(L27="",0,VLOOKUP(L27,Definitions!$Z:$AA,COLUMNS(Definitions!$Z:$AA),FALSE))</f>
        <v>0</v>
      </c>
      <c r="AC27" s="20">
        <f t="shared" ca="1" si="2"/>
        <v>0</v>
      </c>
      <c r="AD27" s="20" cm="1">
        <f t="array" ref="AD27">CreateTaskID($AD$2,$AD:$AD,Tasks!$B$17,$P27)</f>
        <v>0</v>
      </c>
      <c r="AE27" s="20" t="str" cm="1">
        <f t="array" aca="1" ref="AE27" ca="1">InverseLookup($A27,Countermeasures!$X$2,Countermeasures!$A$2,1,Helper!$B$4,",")</f>
        <v>C30,CM8,CM16,CM17,</v>
      </c>
      <c r="AF27" s="20" t="str" cm="1">
        <f t="array" aca="1" ref="AF27" ca="1">InverseLookup($A27,Assumptions!$X$3,Assumptions!$A$3,1,Helper!$B$6,",")</f>
        <v/>
      </c>
      <c r="AG27" s="20" t="str" cm="1">
        <f t="array" aca="1" ref="AG27" ca="1">InverseLookup($A27,Assumptions!$Y$3,Assumptions!$A$3,1,Helper!$B$6,",")</f>
        <v/>
      </c>
      <c r="AH27" s="20" t="str" cm="1">
        <f t="array" aca="1" ref="AH27" ca="1">IF($U27,
CreateSearchString(SUBSTITUTE($S27,"§","")),
"")</f>
        <v/>
      </c>
      <c r="AI27" s="20" t="b">
        <f t="shared" ca="1" si="3"/>
        <v>0</v>
      </c>
      <c r="AJ27" s="81"/>
      <c r="AK27" s="81"/>
      <c r="AL27" s="81"/>
      <c r="AM27" s="81"/>
      <c r="AN27" s="81"/>
    </row>
    <row r="28" spans="1:40" ht="203.25" x14ac:dyDescent="0.25">
      <c r="A28" s="13" t="s">
        <v>344</v>
      </c>
      <c r="B28" s="13" t="s">
        <v>348</v>
      </c>
      <c r="C28" s="13" t="s">
        <v>336</v>
      </c>
      <c r="D28" s="19" t="str" cm="1">
        <f t="array" aca="1" ref="D28" ca="1">LookupNames(SanitizeInput($C28),$A:$B)</f>
        <v>AS21 Gaining physical access to the product (3rd party),
AS22 Gaining physical access to the product (customer)</v>
      </c>
      <c r="E28" s="13" t="s">
        <v>1103</v>
      </c>
      <c r="F28" s="34" t="str" cm="1">
        <f t="array" aca="1" ref="F28" ca="1">RemoveDelimiter(GetValues(SanitizeInput($E28),Questions!$A:$B,"   ",CHAR(10),TRUE),CHAR(10))</f>
        <v>QI1   Does the product have cameras or other sensors that can potentially recognize people?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28" s="33" t="str" cm="1">
        <f t="array" aca="1" ref="G28" ca="1">LookupNames($T28,'Damage Scenarios'!$A:$J)</f>
        <v/>
      </c>
      <c r="H28" s="13"/>
      <c r="I28" s="13" t="s">
        <v>140</v>
      </c>
      <c r="J28" s="13" t="s">
        <v>145</v>
      </c>
      <c r="K28" s="13"/>
      <c r="L28" s="13" t="s">
        <v>154</v>
      </c>
      <c r="M28" s="130" t="str">
        <f ca="1">IF($A28="","",IFERROR(VLOOKUP($AC28,Definitions!$V:$W,COLUMNS(Definitions!$V:$W),TRUE),""))</f>
        <v>Enhanced-Basic</v>
      </c>
      <c r="N28" s="13" t="s">
        <v>1070</v>
      </c>
      <c r="O28" s="13" t="s">
        <v>647</v>
      </c>
      <c r="P28" s="13" t="s">
        <v>1660</v>
      </c>
      <c r="Q28" s="10" cm="1">
        <f t="array" ref="Q28">IF(ROW()=ROW($Q$2)+1,0,INDEX($Q:$Q,ROW()-1))+IF($A28="",0,1)</f>
        <v>26</v>
      </c>
      <c r="R28" s="20" t="b">
        <f ca="1">OR(CheckRelevance(SanitizeInput(N28),Questionnaire!$I:$I),CheckRelevance(SanitizeInput(N28),Questionnaire!$J:$J))</f>
        <v>0</v>
      </c>
      <c r="S28" s="14" t="str" cm="1">
        <f t="array" aca="1" ref="S28" ca="1">IF(AND($N28&lt;&gt;"",$R28=FALSE),"",
IF(AND($R28,$C28=""),$A28&amp;",§","")&amp;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GenerateAttackPaths(RemoveFirstElement(_xlpm._in),_xlpm._apRange,_xlpm._ownID))))(SanitizeInput($C28),$A:$S,$A28))</f>
        <v/>
      </c>
      <c r="T28" s="20" t="str" cm="1">
        <f t="array" aca="1" ref="T28" ca="1">GetValues(SanitizeInput($E28),'Damage Scenarios'!$B:$T,"",",",FALSE)</f>
        <v/>
      </c>
      <c r="U28" s="20" t="b">
        <f t="shared" ca="1" si="0"/>
        <v>0</v>
      </c>
      <c r="V28" s="20" cm="1">
        <f t="array" aca="1" ref="V28" ca="1">CreateID($V$2,$V:$V,$U28)</f>
        <v>0</v>
      </c>
      <c r="W28" s="20">
        <f t="shared" ca="1" si="1"/>
        <v>0</v>
      </c>
      <c r="X28" s="20">
        <f>IF(H28="",0,VLOOKUP(H28,Definitions!$Z:$AA,COLUMNS(Definitions!$Z:$AA),FALSE))</f>
        <v>0</v>
      </c>
      <c r="Y28" s="20">
        <f>IF(I28="",0,VLOOKUP(I28,Definitions!$Z:$AA,COLUMNS(Definitions!$Z:$AA),FALSE))</f>
        <v>3</v>
      </c>
      <c r="Z28" s="20">
        <f>IF(J28="",0,VLOOKUP(J28,Definitions!$Z:$AA,COLUMNS(Definitions!$Z:$AA),FALSE))</f>
        <v>3</v>
      </c>
      <c r="AA28" s="20">
        <f>IF(K28="",0,VLOOKUP(K28,Definitions!$Z:$AA,COLUMNS(Definitions!$Z:$AA),FALSE))</f>
        <v>0</v>
      </c>
      <c r="AB28" s="20">
        <f>IF(L28="",0,VLOOKUP(L28,Definitions!$Z:$AA,COLUMNS(Definitions!$Z:$AA),FALSE))</f>
        <v>4</v>
      </c>
      <c r="AC28" s="20">
        <f t="shared" ca="1" si="2"/>
        <v>10</v>
      </c>
      <c r="AD28" s="20" cm="1">
        <f t="array" ref="AD28">CreateTaskID($AD$2,$AD:$AD,Tasks!$B$17,$P28)</f>
        <v>0</v>
      </c>
      <c r="AE28" s="20" t="str" cm="1">
        <f t="array" aca="1" ref="AE28" ca="1">InverseLookup($A28,Countermeasures!$X$2,Countermeasures!$A$2,1,Helper!$B$4,",")</f>
        <v>CM8,CM16,CM17,</v>
      </c>
      <c r="AF28" s="20" t="str" cm="1">
        <f t="array" aca="1" ref="AF28" ca="1">InverseLookup($A28,Assumptions!$X$3,Assumptions!$A$3,1,Helper!$B$6,",")</f>
        <v/>
      </c>
      <c r="AG28" s="20" t="str" cm="1">
        <f t="array" aca="1" ref="AG28" ca="1">InverseLookup($A28,Assumptions!$Y$3,Assumptions!$A$3,1,Helper!$B$6,",")</f>
        <v/>
      </c>
      <c r="AH28" s="20" t="str" cm="1">
        <f t="array" aca="1" ref="AH28" ca="1">IF($U28,
CreateSearchString(SUBSTITUTE($S28,"§","")),
"")</f>
        <v/>
      </c>
      <c r="AI28" s="20" t="b">
        <f t="shared" ca="1" si="3"/>
        <v>0</v>
      </c>
      <c r="AJ28" s="81"/>
      <c r="AK28" s="81"/>
      <c r="AL28" s="81"/>
      <c r="AM28" s="81"/>
      <c r="AN28" s="81"/>
    </row>
    <row r="29" spans="1:40" ht="30" x14ac:dyDescent="0.25">
      <c r="A29" s="13" t="s">
        <v>360</v>
      </c>
      <c r="B29" s="13" t="s">
        <v>361</v>
      </c>
      <c r="C29" s="13"/>
      <c r="D29" s="34" t="str" cm="1">
        <f t="array" ref="D29">LookupNames(SanitizeInput($C29),$A:$B)</f>
        <v/>
      </c>
      <c r="E29" s="13"/>
      <c r="F29" s="34" t="str" cm="1">
        <f t="array" ref="F29">RemoveDelimiter(GetValues(SanitizeInput($E29),Questions!$A:$B,"   ",CHAR(10),TRUE),CHAR(10))</f>
        <v/>
      </c>
      <c r="G29" s="33" t="str" cm="1">
        <f t="array" ref="G29">LookupNames($T29,'Damage Scenarios'!$A:$J)</f>
        <v/>
      </c>
      <c r="H29" s="13"/>
      <c r="I29" s="13"/>
      <c r="J29" s="13"/>
      <c r="K29" s="13" t="s">
        <v>149</v>
      </c>
      <c r="L29" s="13" t="s">
        <v>154</v>
      </c>
      <c r="M29" s="130" t="str">
        <f ca="1">IF($A29="","",IFERROR(VLOOKUP($AC29,Definitions!$V:$W,COLUMNS(Definitions!$V:$W),TRUE),""))</f>
        <v>Basic</v>
      </c>
      <c r="N29" s="13" t="s">
        <v>1044</v>
      </c>
      <c r="O29" s="13"/>
      <c r="P29" s="13" t="s">
        <v>362</v>
      </c>
      <c r="Q29" s="10" cm="1">
        <f t="array" ref="Q29">IF(ROW()=ROW($Q$2)+1,0,INDEX($Q:$Q,ROW()-1))+IF($A29="",0,1)</f>
        <v>27</v>
      </c>
      <c r="R29" s="20" t="b">
        <f ca="1">OR(CheckRelevance(SanitizeInput(N29),Questionnaire!$I:$I),CheckRelevance(SanitizeInput(N29),Questionnaire!$J:$J))</f>
        <v>0</v>
      </c>
      <c r="S29" s="14" t="str" cm="1">
        <f t="array" aca="1" ref="S29" ca="1">IF(AND($N29&lt;&gt;"",$R29=FALSE),"",
IF(AND($R29,$C29=""),$A29&amp;",§","")&amp;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GenerateAttackPaths(RemoveFirstElement(_xlpm._in),_xlpm._apRange,_xlpm._ownID))))(SanitizeInput($C29),$A:$S,$A29))</f>
        <v/>
      </c>
      <c r="T29" s="20" t="str" cm="1">
        <f t="array" ref="T29">GetValues(SanitizeInput($E29),'Damage Scenarios'!$B:$T,"",",",FALSE)</f>
        <v/>
      </c>
      <c r="U29" s="20" t="b">
        <f t="shared" ca="1" si="0"/>
        <v>0</v>
      </c>
      <c r="V29" s="20" cm="1">
        <f t="array" aca="1" ref="V29" ca="1">CreateID($V$2,$V:$V,$U29)</f>
        <v>0</v>
      </c>
      <c r="W29" s="20">
        <f t="shared" ca="1" si="1"/>
        <v>0</v>
      </c>
      <c r="X29" s="20">
        <f>IF(H29="",0,VLOOKUP(H29,Definitions!$Z:$AA,COLUMNS(Definitions!$Z:$AA),FALSE))</f>
        <v>0</v>
      </c>
      <c r="Y29" s="20">
        <f>IF(I29="",0,VLOOKUP(I29,Definitions!$Z:$AA,COLUMNS(Definitions!$Z:$AA),FALSE))</f>
        <v>0</v>
      </c>
      <c r="Z29" s="20">
        <f>IF(J29="",0,VLOOKUP(J29,Definitions!$Z:$AA,COLUMNS(Definitions!$Z:$AA),FALSE))</f>
        <v>0</v>
      </c>
      <c r="AA29" s="20">
        <f>IF(K29="",0,VLOOKUP(K29,Definitions!$Z:$AA,COLUMNS(Definitions!$Z:$AA),FALSE))</f>
        <v>1</v>
      </c>
      <c r="AB29" s="20">
        <f>IF(L29="",0,VLOOKUP(L29,Definitions!$Z:$AA,COLUMNS(Definitions!$Z:$AA),FALSE))</f>
        <v>4</v>
      </c>
      <c r="AC29" s="20">
        <f t="shared" ca="1" si="2"/>
        <v>5</v>
      </c>
      <c r="AD29" s="20" cm="1">
        <f t="array" ref="AD29">CreateTaskID($AD$2,$AD:$AD,Tasks!$B$17,$P29)</f>
        <v>0</v>
      </c>
      <c r="AE29" s="20" t="str" cm="1">
        <f t="array" aca="1" ref="AE29" ca="1">InverseLookup($A29,Countermeasures!$X$2,Countermeasures!$A$2,1,Helper!$B$4,",")</f>
        <v/>
      </c>
      <c r="AF29" s="20" t="str" cm="1">
        <f t="array" aca="1" ref="AF29" ca="1">InverseLookup($A29,Assumptions!$X$3,Assumptions!$A$3,1,Helper!$B$6,",")</f>
        <v/>
      </c>
      <c r="AG29" s="20" t="str" cm="1">
        <f t="array" aca="1" ref="AG29" ca="1">InverseLookup($A29,Assumptions!$Y$3,Assumptions!$A$3,1,Helper!$B$6,",")</f>
        <v>A16,</v>
      </c>
      <c r="AH29" s="20" t="str" cm="1">
        <f t="array" aca="1" ref="AH29" ca="1">IF($U29,
CreateSearchString(SUBSTITUTE($S29,"§","")),
"")</f>
        <v/>
      </c>
      <c r="AI29" s="20" t="b">
        <f t="shared" ca="1" si="3"/>
        <v>0</v>
      </c>
      <c r="AJ29" s="81"/>
      <c r="AK29" s="81"/>
      <c r="AL29" s="81"/>
      <c r="AM29" s="81"/>
      <c r="AN29" s="81"/>
    </row>
    <row r="30" spans="1:40" ht="75" customHeight="1" x14ac:dyDescent="0.25">
      <c r="A30" s="13" t="s">
        <v>365</v>
      </c>
      <c r="B30" s="13" t="s">
        <v>366</v>
      </c>
      <c r="C30" s="13"/>
      <c r="D30" s="34" t="str" cm="1">
        <f t="array" ref="D30">LookupNames(SanitizeInput($C30),$A:$B)</f>
        <v/>
      </c>
      <c r="E30" s="13"/>
      <c r="F30" s="34" t="str" cm="1">
        <f t="array" ref="F30">RemoveDelimiter(GetValues(SanitizeInput($E30),Questions!$A:$B,"   ",CHAR(10),TRUE),CHAR(10))</f>
        <v/>
      </c>
      <c r="G30" s="33" t="str" cm="1">
        <f t="array" ref="G30">LookupNames($T30,'Damage Scenarios'!$A:$J)</f>
        <v/>
      </c>
      <c r="H30" s="13"/>
      <c r="I30" s="13"/>
      <c r="J30" s="13"/>
      <c r="K30" s="13"/>
      <c r="L30" s="13"/>
      <c r="M30" s="130" t="str">
        <f ca="1">IF($A30="","",IFERROR(VLOOKUP($AC30,Definitions!$V:$W,COLUMNS(Definitions!$V:$W),TRUE),""))</f>
        <v>Basic</v>
      </c>
      <c r="N30" s="13" t="s">
        <v>1249</v>
      </c>
      <c r="O30" s="13"/>
      <c r="P30" s="13" t="str">
        <f>"Trusted entities encompass all entities considered as trustworthy and sufficiently protected against compromise by an attacker. Note the this attack step only becomes active if answers in the questionnaire match. This also activates assumption "&amp;Assumptions!A16&amp;" "&amp;Assumptions!B16&amp;"."</f>
        <v>Trusted entities encompass all entities considered as trustworthy and sufficiently protected against compromise by an attacker. Note the this attack step only becomes active if answers in the questionnaire match. This also activates assumption A13 SDR 1.11 – Trustworthy communication partner.</v>
      </c>
      <c r="Q30" s="10" cm="1">
        <f t="array" ref="Q30">IF(ROW()=ROW($Q$2)+1,0,INDEX($Q:$Q,ROW()-1))+IF($A30="",0,1)</f>
        <v>28</v>
      </c>
      <c r="R30" s="20" t="b">
        <f ca="1">OR(CheckRelevance(SanitizeInput(N30),Questionnaire!$I:$I),CheckRelevance(SanitizeInput(N30),Questionnaire!$J:$J))</f>
        <v>0</v>
      </c>
      <c r="S30" s="14" t="str" cm="1">
        <f t="array" aca="1" ref="S30" ca="1">IF(AND($N30&lt;&gt;"",$R30=FALSE),"",
IF(AND($R30,$C30=""),$A30&amp;",§","")&amp;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GenerateAttackPaths(RemoveFirstElement(_xlpm._in),_xlpm._apRange,_xlpm._ownID))))(SanitizeInput($C30),$A:$S,$A30))</f>
        <v/>
      </c>
      <c r="T30" s="20" t="str" cm="1">
        <f t="array" ref="T30">GetValues(SanitizeInput($E30),'Damage Scenarios'!$B:$T,"",",",FALSE)</f>
        <v/>
      </c>
      <c r="U30" s="20" t="b">
        <f t="shared" ca="1" si="0"/>
        <v>0</v>
      </c>
      <c r="V30" s="20" cm="1">
        <f t="array" aca="1" ref="V30" ca="1">CreateID($V$2,$V:$V,$U30)</f>
        <v>0</v>
      </c>
      <c r="W30" s="20">
        <f t="shared" ca="1" si="1"/>
        <v>0</v>
      </c>
      <c r="X30" s="20">
        <f>IF(H30="",0,VLOOKUP(H30,Definitions!$Z:$AA,COLUMNS(Definitions!$Z:$AA),FALSE))</f>
        <v>0</v>
      </c>
      <c r="Y30" s="20">
        <f>IF(I30="",0,VLOOKUP(I30,Definitions!$Z:$AA,COLUMNS(Definitions!$Z:$AA),FALSE))</f>
        <v>0</v>
      </c>
      <c r="Z30" s="20">
        <f>IF(J30="",0,VLOOKUP(J30,Definitions!$Z:$AA,COLUMNS(Definitions!$Z:$AA),FALSE))</f>
        <v>0</v>
      </c>
      <c r="AA30" s="20">
        <f>IF(K30="",0,VLOOKUP(K30,Definitions!$Z:$AA,COLUMNS(Definitions!$Z:$AA),FALSE))</f>
        <v>0</v>
      </c>
      <c r="AB30" s="20">
        <f>IF(L30="",0,VLOOKUP(L30,Definitions!$Z:$AA,COLUMNS(Definitions!$Z:$AA),FALSE))</f>
        <v>0</v>
      </c>
      <c r="AC30" s="20">
        <f t="shared" ca="1" si="2"/>
        <v>0</v>
      </c>
      <c r="AD30" s="20" cm="1">
        <f t="array" ref="AD30">CreateTaskID($AD$2,$AD:$AD,Tasks!$B$17,$P30)</f>
        <v>0</v>
      </c>
      <c r="AE30" s="20" t="str" cm="1">
        <f t="array" aca="1" ref="AE30" ca="1">InverseLookup($A30,Countermeasures!$X$2,Countermeasures!$A$2,1,Helper!$B$4,",")</f>
        <v/>
      </c>
      <c r="AF30" s="20" t="str" cm="1">
        <f t="array" aca="1" ref="AF30" ca="1">InverseLookup($A30,Assumptions!$X$3,Assumptions!$A$3,1,Helper!$B$6,",")</f>
        <v/>
      </c>
      <c r="AG30" s="20" t="str" cm="1">
        <f t="array" aca="1" ref="AG30" ca="1">InverseLookup($A30,Assumptions!$Y$3,Assumptions!$A$3,1,Helper!$B$6,",")</f>
        <v>A13,</v>
      </c>
      <c r="AH30" s="20" t="str" cm="1">
        <f t="array" aca="1" ref="AH30" ca="1">IF($U30,
CreateSearchString(SUBSTITUTE($S30,"§","")),
"")</f>
        <v/>
      </c>
      <c r="AI30" s="20" t="b">
        <f t="shared" ca="1" si="3"/>
        <v>0</v>
      </c>
      <c r="AJ30" s="81"/>
      <c r="AK30" s="81"/>
      <c r="AL30" s="81"/>
      <c r="AM30" s="81"/>
      <c r="AN30" s="81"/>
    </row>
    <row r="31" spans="1:40" ht="203.25" x14ac:dyDescent="0.25">
      <c r="A31" s="13" t="s">
        <v>610</v>
      </c>
      <c r="B31" s="13" t="s">
        <v>611</v>
      </c>
      <c r="C31" s="13" t="s">
        <v>1120</v>
      </c>
      <c r="D31" s="34" t="str" cm="1">
        <f t="array" aca="1" ref="D31" ca="1">LookupNames(SanitizeInput($C31),$A:$B)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AS27 Getting physical access to the product's linked communication media (e.g., field buses),
AS28 Getting access to a trusted entity</v>
      </c>
      <c r="E31" s="13" t="s">
        <v>1103</v>
      </c>
      <c r="F31" s="34" t="str" cm="1">
        <f t="array" aca="1" ref="F31" ca="1">RemoveDelimiter(GetValues(SanitizeInput($E31),Questions!$A:$B,"   ",CHAR(10),TRUE),CHAR(10))</f>
        <v>QI1   Does the product have cameras or other sensors that can potentially recognize people?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31" s="33" t="str" cm="1">
        <f t="array" aca="1" ref="G31" ca="1">LookupNames($T31,'Damage Scenarios'!$A:$J)</f>
        <v/>
      </c>
      <c r="H31" s="13"/>
      <c r="I31" s="13"/>
      <c r="J31" s="13"/>
      <c r="K31" s="13"/>
      <c r="L31" s="13"/>
      <c r="M31" s="130" t="str">
        <f ca="1">IF($A31="","",IFERROR(VLOOKUP($AC31,Definitions!$V:$W,COLUMNS(Definitions!$V:$W),TRUE),""))</f>
        <v>Basic</v>
      </c>
      <c r="N31" s="13" t="s">
        <v>1053</v>
      </c>
      <c r="O31" s="13" t="s">
        <v>600</v>
      </c>
      <c r="P31" s="13"/>
      <c r="Q31" s="10" cm="1">
        <f t="array" ref="Q31">IF(ROW()=ROW($Q$2)+1,0,INDEX($Q:$Q,ROW()-1))+IF($A31="",0,1)</f>
        <v>29</v>
      </c>
      <c r="R31" s="20" t="b">
        <f ca="1">OR(CheckRelevance(SanitizeInput(N31),Questionnaire!$I:$I),CheckRelevance(SanitizeInput(N31),Questionnaire!$J:$J))</f>
        <v>0</v>
      </c>
      <c r="S31" s="14" t="str" cm="1">
        <f t="array" aca="1" ref="S31" ca="1">IF(AND($N31&lt;&gt;"",$R31=FALSE),"",
IF(AND($R31,$C31=""),$A31&amp;",§","")&amp;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GenerateAttackPaths(RemoveFirstElement(_xlpm._in),_xlpm._apRange,_xlpm._ownID))))(SanitizeInput($C31),$A:$S,$A31))</f>
        <v/>
      </c>
      <c r="T31" s="20" t="str" cm="1">
        <f t="array" aca="1" ref="T31" ca="1">GetValues(SanitizeInput($E31),'Damage Scenarios'!$B:$T,"",",",FALSE)</f>
        <v/>
      </c>
      <c r="U31" s="20" t="b">
        <f t="shared" ca="1" si="0"/>
        <v>0</v>
      </c>
      <c r="V31" s="20" cm="1">
        <f t="array" aca="1" ref="V31" ca="1">CreateID($V$2,$V:$V,$U31)</f>
        <v>0</v>
      </c>
      <c r="W31" s="20">
        <f t="shared" ca="1" si="1"/>
        <v>0</v>
      </c>
      <c r="X31" s="20">
        <f>IF(H31="",0,VLOOKUP(H31,Definitions!$Z:$AA,COLUMNS(Definitions!$Z:$AA),FALSE))</f>
        <v>0</v>
      </c>
      <c r="Y31" s="20">
        <f>IF(I31="",0,VLOOKUP(I31,Definitions!$Z:$AA,COLUMNS(Definitions!$Z:$AA),FALSE))</f>
        <v>0</v>
      </c>
      <c r="Z31" s="20">
        <f>IF(J31="",0,VLOOKUP(J31,Definitions!$Z:$AA,COLUMNS(Definitions!$Z:$AA),FALSE))</f>
        <v>0</v>
      </c>
      <c r="AA31" s="20">
        <f>IF(K31="",0,VLOOKUP(K31,Definitions!$Z:$AA,COLUMNS(Definitions!$Z:$AA),FALSE))</f>
        <v>0</v>
      </c>
      <c r="AB31" s="20">
        <f>IF(L31="",0,VLOOKUP(L31,Definitions!$Z:$AA,COLUMNS(Definitions!$Z:$AA),FALSE))</f>
        <v>0</v>
      </c>
      <c r="AC31" s="20">
        <f t="shared" ca="1" si="2"/>
        <v>0</v>
      </c>
      <c r="AD31" s="20" cm="1">
        <f t="array" ref="AD31">CreateTaskID($AD$2,$AD:$AD,Tasks!$B$17,$P31)</f>
        <v>0</v>
      </c>
      <c r="AE31" s="20" t="str" cm="1">
        <f t="array" aca="1" ref="AE31" ca="1">InverseLookup($A31,Countermeasures!$X$2,Countermeasures!$A$2,1,Helper!$B$4,",")</f>
        <v>C32,</v>
      </c>
      <c r="AF31" s="20" t="str" cm="1">
        <f t="array" aca="1" ref="AF31" ca="1">InverseLookup($A31,Assumptions!$X$3,Assumptions!$A$3,1,Helper!$B$6,",")</f>
        <v/>
      </c>
      <c r="AG31" s="20" t="str" cm="1">
        <f t="array" aca="1" ref="AG31" ca="1">InverseLookup($A31,Assumptions!$Y$3,Assumptions!$A$3,1,Helper!$B$6,",")</f>
        <v>A22,</v>
      </c>
      <c r="AH31" s="20" t="str" cm="1">
        <f t="array" aca="1" ref="AH31" ca="1">IF($U31,
CreateSearchString(SUBSTITUTE($S31,"§","")),
"")</f>
        <v/>
      </c>
      <c r="AI31" s="20" t="b">
        <f t="shared" ca="1" si="3"/>
        <v>0</v>
      </c>
      <c r="AJ31" s="81"/>
      <c r="AK31" s="81"/>
      <c r="AL31" s="81"/>
      <c r="AM31" s="81"/>
      <c r="AN31" s="81"/>
    </row>
    <row r="32" spans="1:40" ht="90.75" x14ac:dyDescent="0.25">
      <c r="A32" s="13" t="s">
        <v>653</v>
      </c>
      <c r="B32" s="13" t="s">
        <v>1667</v>
      </c>
      <c r="C32" s="13"/>
      <c r="D32" s="34" t="str" cm="1">
        <f t="array" ref="D32">LookupNames(SanitizeInput($C32),$A:$B)</f>
        <v/>
      </c>
      <c r="E32" s="13" t="s">
        <v>1100</v>
      </c>
      <c r="F32" s="34" t="str" cm="1">
        <f t="array" aca="1" ref="F32" ca="1">RemoveDelimiter(GetValues(SanitizeInput($E32),Questions!$A:$B,"   ",CHAR(10),TRUE),CHAR(10))</f>
        <v>QI2   Does the product process personal data?
Examples: User ID, address labels
QI4   Is &lt;OEM name&gt;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32" s="33" t="str" cm="1">
        <f t="array" aca="1" ref="G32" ca="1">LookupNames($T32,'Damage Scenarios'!$A:$J)</f>
        <v/>
      </c>
      <c r="H32" s="13"/>
      <c r="I32" s="13" t="s">
        <v>140</v>
      </c>
      <c r="J32" s="13"/>
      <c r="K32" s="13" t="s">
        <v>81</v>
      </c>
      <c r="L32" s="13"/>
      <c r="M32" s="130" t="str">
        <f ca="1">IF($A32="","",IFERROR(VLOOKUP($AC32,Definitions!$V:$W,COLUMNS(Definitions!$V:$W),TRUE),""))</f>
        <v>Basic</v>
      </c>
      <c r="N32" s="13" t="s">
        <v>1101</v>
      </c>
      <c r="O32" s="13" t="s">
        <v>608</v>
      </c>
      <c r="P32" s="13" t="s">
        <v>1744</v>
      </c>
      <c r="Q32" s="10" cm="1">
        <f t="array" ref="Q32">IF(ROW()=ROW($Q$2)+1,0,INDEX($Q:$Q,ROW()-1))+IF($A32="",0,1)</f>
        <v>30</v>
      </c>
      <c r="R32" s="20" t="b">
        <f ca="1">OR(CheckRelevance(SanitizeInput(N32),Questionnaire!$I:$I),CheckRelevance(SanitizeInput(N32),Questionnaire!$J:$J))</f>
        <v>0</v>
      </c>
      <c r="S32" s="14" t="str" cm="1">
        <f t="array" aca="1" ref="S32" ca="1">IF(AND($N32&lt;&gt;"",$R32=FALSE),"",
IF(AND($R32,$C32=""),$A32&amp;",§","")&amp;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GenerateAttackPaths(RemoveFirstElement(_xlpm._in),_xlpm._apRange,_xlpm._ownID))))(SanitizeInput($C32),$A:$S,$A32))</f>
        <v/>
      </c>
      <c r="T32" s="20" t="str" cm="1">
        <f t="array" aca="1" ref="T32" ca="1">GetValues(SanitizeInput($E32),'Damage Scenarios'!$B:$T,"",",",FALSE)</f>
        <v/>
      </c>
      <c r="U32" s="20" t="b">
        <f t="shared" ca="1" si="0"/>
        <v>0</v>
      </c>
      <c r="V32" s="20" cm="1">
        <f t="array" aca="1" ref="V32" ca="1">CreateID($V$2,$V:$V,$U32)</f>
        <v>0</v>
      </c>
      <c r="W32" s="20">
        <f t="shared" ca="1" si="1"/>
        <v>0</v>
      </c>
      <c r="X32" s="20">
        <f>IF(H32="",0,VLOOKUP(H32,Definitions!$Z:$AA,COLUMNS(Definitions!$Z:$AA),FALSE))</f>
        <v>0</v>
      </c>
      <c r="Y32" s="20">
        <f>IF(I32="",0,VLOOKUP(I32,Definitions!$Z:$AA,COLUMNS(Definitions!$Z:$AA),FALSE))</f>
        <v>3</v>
      </c>
      <c r="Z32" s="20">
        <f>IF(J32="",0,VLOOKUP(J32,Definitions!$Z:$AA,COLUMNS(Definitions!$Z:$AA),FALSE))</f>
        <v>0</v>
      </c>
      <c r="AA32" s="20">
        <f>IF(K32="",0,VLOOKUP(K32,Definitions!$Z:$AA,COLUMNS(Definitions!$Z:$AA),FALSE))</f>
        <v>4</v>
      </c>
      <c r="AB32" s="20">
        <f>IF(L32="",0,VLOOKUP(L32,Definitions!$Z:$AA,COLUMNS(Definitions!$Z:$AA),FALSE))</f>
        <v>0</v>
      </c>
      <c r="AC32" s="20">
        <f t="shared" ca="1" si="2"/>
        <v>7</v>
      </c>
      <c r="AD32" s="20" cm="1">
        <f t="array" ref="AD32">CreateTaskID($AD$2,$AD:$AD,Tasks!$B$17,$P32)</f>
        <v>0</v>
      </c>
      <c r="AE32" s="20" t="str" cm="1">
        <f t="array" aca="1" ref="AE32" ca="1">InverseLookup($A32,Countermeasures!$X$2,Countermeasures!$A$2,1,Helper!$B$4,",")</f>
        <v>C17,CM4,</v>
      </c>
      <c r="AF32" s="20" t="str" cm="1">
        <f t="array" aca="1" ref="AF32" ca="1">InverseLookup($A32,Assumptions!$X$3,Assumptions!$A$3,1,Helper!$B$6,",")</f>
        <v/>
      </c>
      <c r="AG32" s="20" t="str" cm="1">
        <f t="array" aca="1" ref="AG32" ca="1">InverseLookup($A32,Assumptions!$Y$3,Assumptions!$A$3,1,Helper!$B$6,",")</f>
        <v/>
      </c>
      <c r="AH32" s="20" t="str" cm="1">
        <f t="array" aca="1" ref="AH32" ca="1">IF($U32,
CreateSearchString(SUBSTITUTE($S32,"§","")),
"")</f>
        <v/>
      </c>
      <c r="AI32" s="20" t="b">
        <f t="shared" ca="1" si="3"/>
        <v>0</v>
      </c>
      <c r="AJ32" s="81"/>
      <c r="AK32" s="81"/>
      <c r="AL32" s="81"/>
      <c r="AM32" s="81"/>
      <c r="AN32" s="81"/>
    </row>
    <row r="33" spans="1:40" ht="90" x14ac:dyDescent="0.25">
      <c r="A33" s="13" t="s">
        <v>768</v>
      </c>
      <c r="B33" s="13" t="s">
        <v>1404</v>
      </c>
      <c r="C33" s="13"/>
      <c r="D33" s="34" t="str" cm="1">
        <f t="array" ref="D33">LookupNames(SanitizeInput($C33),$A:$B)</f>
        <v/>
      </c>
      <c r="E33" s="13" t="s">
        <v>1074</v>
      </c>
      <c r="F33" s="34" t="str" cm="1">
        <f t="array" aca="1" ref="F33" ca="1">RemoveDelimiter(GetValues(SanitizeInput($E33),Questions!$A:$B,"   ",CHAR(10),TRUE),CHAR(10))</f>
        <v>QI15   Can a manipulated product allow an attacker access to assets of the customer or allow the attacker to attack the customer's network?</v>
      </c>
      <c r="G33" s="33" t="str" cm="1">
        <f t="array" aca="1" ref="G33" ca="1">LookupNames($T33,'Damage Scenarios'!$A:$J)</f>
        <v/>
      </c>
      <c r="H33" s="13" t="s">
        <v>132</v>
      </c>
      <c r="I33" s="13" t="s">
        <v>140</v>
      </c>
      <c r="J33" s="13" t="s">
        <v>145</v>
      </c>
      <c r="K33" s="13" t="s">
        <v>149</v>
      </c>
      <c r="L33" s="13" t="s">
        <v>153</v>
      </c>
      <c r="M33" s="130" t="str">
        <f ca="1">IF($A33="","",IFERROR(VLOOKUP($AC33,Definitions!$V:$W,COLUMNS(Definitions!$V:$W),TRUE),""))</f>
        <v>Basic</v>
      </c>
      <c r="N33" s="13" t="s">
        <v>1040</v>
      </c>
      <c r="O33" s="13"/>
      <c r="P33" s="13" t="s">
        <v>769</v>
      </c>
      <c r="Q33" s="10" cm="1">
        <f t="array" ref="Q33">IF(ROW()=ROW($Q$2)+1,0,INDEX($Q:$Q,ROW()-1))+IF($A33="",0,1)</f>
        <v>31</v>
      </c>
      <c r="R33" s="20" t="b">
        <f ca="1">OR(CheckRelevance(SanitizeInput(N33),Questionnaire!$I:$I),CheckRelevance(SanitizeInput(N33),Questionnaire!$J:$J))</f>
        <v>0</v>
      </c>
      <c r="S33" s="14" t="str" cm="1">
        <f t="array" aca="1" ref="S33" ca="1">IF(AND($N33&lt;&gt;"",$R33=FALSE),"",
IF(AND($R33,$C33=""),$A33&amp;",§","")&amp;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GenerateAttackPaths(RemoveFirstElement(_xlpm._in),_xlpm._apRange,_xlpm._ownID))))(SanitizeInput($C33),$A:$S,$A33))</f>
        <v/>
      </c>
      <c r="T33" s="20" t="str" cm="1">
        <f t="array" aca="1" ref="T33" ca="1">GetValues(SanitizeInput($E33),'Damage Scenarios'!$B:$T,"",",",FALSE)</f>
        <v/>
      </c>
      <c r="U33" s="20" t="b">
        <f t="shared" ca="1" si="0"/>
        <v>0</v>
      </c>
      <c r="V33" s="20" cm="1">
        <f t="array" aca="1" ref="V33" ca="1">CreateID($V$2,$V:$V,$U33)</f>
        <v>0</v>
      </c>
      <c r="W33" s="20">
        <f t="shared" ca="1" si="1"/>
        <v>0</v>
      </c>
      <c r="X33" s="20">
        <f>IF(H33="",0,VLOOKUP(H33,Definitions!$Z:$AA,COLUMNS(Definitions!$Z:$AA),FALSE))</f>
        <v>0</v>
      </c>
      <c r="Y33" s="20">
        <f>IF(I33="",0,VLOOKUP(I33,Definitions!$Z:$AA,COLUMNS(Definitions!$Z:$AA),FALSE))</f>
        <v>3</v>
      </c>
      <c r="Z33" s="20">
        <f>IF(J33="",0,VLOOKUP(J33,Definitions!$Z:$AA,COLUMNS(Definitions!$Z:$AA),FALSE))</f>
        <v>3</v>
      </c>
      <c r="AA33" s="20">
        <f>IF(K33="",0,VLOOKUP(K33,Definitions!$Z:$AA,COLUMNS(Definitions!$Z:$AA),FALSE))</f>
        <v>1</v>
      </c>
      <c r="AB33" s="20">
        <f>IF(L33="",0,VLOOKUP(L33,Definitions!$Z:$AA,COLUMNS(Definitions!$Z:$AA),FALSE))</f>
        <v>0</v>
      </c>
      <c r="AC33" s="20">
        <f t="shared" ca="1" si="2"/>
        <v>7</v>
      </c>
      <c r="AD33" s="20" cm="1">
        <f t="array" ref="AD33">CreateTaskID($AD$2,$AD:$AD,Tasks!$B$17,$P33)</f>
        <v>0</v>
      </c>
      <c r="AE33" s="20" t="str" cm="1">
        <f t="array" aca="1" ref="AE33" ca="1">InverseLookup($A33,Countermeasures!$X$2,Countermeasures!$A$2,1,Helper!$B$4,",")</f>
        <v>CM1,</v>
      </c>
      <c r="AF33" s="20" t="str" cm="1">
        <f t="array" aca="1" ref="AF33" ca="1">InverseLookup($A33,Assumptions!$X$3,Assumptions!$A$3,1,Helper!$B$6,",")</f>
        <v/>
      </c>
      <c r="AG33" s="20" t="str" cm="1">
        <f t="array" aca="1" ref="AG33" ca="1">InverseLookup($A33,Assumptions!$Y$3,Assumptions!$A$3,1,Helper!$B$6,",")</f>
        <v/>
      </c>
      <c r="AH33" s="20" t="str" cm="1">
        <f t="array" aca="1" ref="AH33" ca="1">IF($U33,
CreateSearchString(SUBSTITUTE($S33,"§","")),
"")</f>
        <v/>
      </c>
      <c r="AI33" s="20" t="b">
        <f t="shared" ca="1" si="3"/>
        <v>0</v>
      </c>
      <c r="AJ33" s="81"/>
      <c r="AK33" s="81"/>
      <c r="AL33" s="81"/>
      <c r="AM33" s="81"/>
      <c r="AN33" s="81"/>
    </row>
    <row r="34" spans="1:40" ht="113.25" x14ac:dyDescent="0.25">
      <c r="A34" s="13" t="s">
        <v>948</v>
      </c>
      <c r="B34" s="13" t="str">
        <f>"Extracting or misusing "&amp;Definitions!$C$4&amp;" IP"</f>
        <v>Extracting or misusing &lt;OEM name&gt; IP</v>
      </c>
      <c r="C34" s="13" t="s">
        <v>1000</v>
      </c>
      <c r="D34" s="34" t="str" cm="1">
        <f t="array" aca="1" ref="D34" ca="1">LookupNames(SanitizeInput($C34),$A:$B)</f>
        <v>AS3 Compromising the product using a software vulnerability,
AS5 Eavesdropping on the product's communication,
AS7 Spoofing / tampering with the product's incoming communication,
AS16 Manipulating the product's configuration via its configuration interface,
AS18 Abusing the software update functionality to manipulate the product,
AS23 Compromising the product with direct access to its persistent memory,
AS24 Data extraction from the product's persistent memory,
AS25 Accessing the product's debug interfaces remotely,
AS26 Accessing the product's physical debug interfaces,
AS29 Brute-forcing the authentication mechanism over IP</v>
      </c>
      <c r="E34" s="13" t="s">
        <v>1098</v>
      </c>
      <c r="F34" s="34" t="str" cm="1">
        <f t="array" aca="1" ref="F34" ca="1">RemoveDelimiter(GetValues(SanitizeInput($E34),Questions!$A:$B,"   ",CHAR(10),TRUE),CHAR(10))</f>
        <v>QI3   Does the product contain &lt;OEM name&gt; intellectual property?
Note: Only IP which is part of / accessible by the firmware / software in the product is in scope of this question. Gaining access to optical and mechanical IP are not covered by this question (and the cybersecurity risk analysis)
QI12   Can a manipulated product disclose intellectual property to an attacker? Also consider cases where the product is used against its intended use or misconfigured!</v>
      </c>
      <c r="G34" s="33" t="str" cm="1">
        <f t="array" aca="1" ref="G34" ca="1">LookupNames($T34,'Damage Scenarios'!$A:$J)</f>
        <v/>
      </c>
      <c r="H34" s="13"/>
      <c r="I34" s="13"/>
      <c r="J34" s="13"/>
      <c r="K34" s="13"/>
      <c r="L34" s="13"/>
      <c r="M34" s="130" t="str">
        <f ca="1">IF($A34="","",IFERROR(VLOOKUP($AC34,Definitions!$V:$W,COLUMNS(Definitions!$V:$W),TRUE),""))</f>
        <v>Basic</v>
      </c>
      <c r="N34" s="13"/>
      <c r="O34" s="13"/>
      <c r="P34" s="13"/>
      <c r="Q34" s="10" cm="1">
        <f t="array" ref="Q34">IF(ROW()=ROW($Q$2)+1,0,INDEX($Q:$Q,ROW()-1))+IF($A34="",0,1)</f>
        <v>32</v>
      </c>
      <c r="R34" s="20" t="b">
        <f>OR(CheckRelevance(SanitizeInput(N34),Questionnaire!$I:$I),CheckRelevance(SanitizeInput(N34),Questionnaire!$J:$J))</f>
        <v>0</v>
      </c>
      <c r="S34" s="14" t="str" cm="1">
        <f t="array" aca="1" ref="S34" ca="1">IF(AND($N34&lt;&gt;"",$R34=FALSE),"",
IF(AND($R34,$C34=""),$A34&amp;",§","")&amp;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GenerateAttackPaths(RemoveFirstElement(_xlpm._in),_xlpm._apRange,_xlpm._ownID))))(SanitizeInput($C34),$A:$S,$A34))</f>
        <v>AS22,AS23,AS32,§AS22,AS24,AS32,§</v>
      </c>
      <c r="T34" s="20" t="str" cm="1">
        <f t="array" aca="1" ref="T34" ca="1">GetValues(SanitizeInput($E34),'Damage Scenarios'!$B:$T,"",",",FALSE)</f>
        <v/>
      </c>
      <c r="U34" s="20" t="b">
        <f t="shared" ca="1" si="0"/>
        <v>0</v>
      </c>
      <c r="V34" s="20" cm="1">
        <f t="array" aca="1" ref="V34" ca="1">CreateID($V$2,$V:$V,$U34)</f>
        <v>0</v>
      </c>
      <c r="W34" s="20">
        <f t="shared" ca="1" si="1"/>
        <v>0</v>
      </c>
      <c r="X34" s="20">
        <f>IF(H34="",0,VLOOKUP(H34,Definitions!$Z:$AA,COLUMNS(Definitions!$Z:$AA),FALSE))</f>
        <v>0</v>
      </c>
      <c r="Y34" s="20">
        <f>IF(I34="",0,VLOOKUP(I34,Definitions!$Z:$AA,COLUMNS(Definitions!$Z:$AA),FALSE))</f>
        <v>0</v>
      </c>
      <c r="Z34" s="20">
        <f>IF(J34="",0,VLOOKUP(J34,Definitions!$Z:$AA,COLUMNS(Definitions!$Z:$AA),FALSE))</f>
        <v>0</v>
      </c>
      <c r="AA34" s="20">
        <f>IF(K34="",0,VLOOKUP(K34,Definitions!$Z:$AA,COLUMNS(Definitions!$Z:$AA),FALSE))</f>
        <v>0</v>
      </c>
      <c r="AB34" s="20">
        <f>IF(L34="",0,VLOOKUP(L34,Definitions!$Z:$AA,COLUMNS(Definitions!$Z:$AA),FALSE))</f>
        <v>0</v>
      </c>
      <c r="AC34" s="20">
        <f t="shared" ca="1" si="2"/>
        <v>0</v>
      </c>
      <c r="AD34" s="20" cm="1">
        <f t="array" ref="AD34">CreateTaskID($AD$2,$AD:$AD,Tasks!$B$17,$P34)</f>
        <v>0</v>
      </c>
      <c r="AE34" s="20" t="str" cm="1">
        <f t="array" aca="1" ref="AE34" ca="1">InverseLookup($A34,Countermeasures!$X$2,Countermeasures!$A$2,1,Helper!$B$4,",")</f>
        <v>CM3,CM18,</v>
      </c>
      <c r="AF34" s="20" t="str" cm="1">
        <f t="array" aca="1" ref="AF34" ca="1">InverseLookup($A34,Assumptions!$X$3,Assumptions!$A$3,1,Helper!$B$6,",")</f>
        <v/>
      </c>
      <c r="AG34" s="20" t="str" cm="1">
        <f t="array" aca="1" ref="AG34" ca="1">InverseLookup($A34,Assumptions!$Y$3,Assumptions!$A$3,1,Helper!$B$6,",")</f>
        <v/>
      </c>
      <c r="AH34" s="20" t="str" cm="1">
        <f t="array" aca="1" ref="AH34" ca="1">IF($U34,
CreateSearchString(SUBSTITUTE($S34,"§","")),
"")</f>
        <v/>
      </c>
      <c r="AI34" s="20" t="b">
        <f t="shared" ca="1" si="3"/>
        <v>0</v>
      </c>
      <c r="AJ34" s="81"/>
      <c r="AK34" s="81"/>
      <c r="AL34" s="81"/>
      <c r="AM34" s="81"/>
      <c r="AN34" s="81"/>
    </row>
    <row r="35" spans="1:40" ht="158.25" x14ac:dyDescent="0.25">
      <c r="A35" s="13" t="s">
        <v>971</v>
      </c>
      <c r="B35" s="13" t="s">
        <v>972</v>
      </c>
      <c r="C35" s="13"/>
      <c r="D35" s="34" t="str" cm="1">
        <f t="array" ref="D35">LookupNames(SanitizeInput($C35),$A:$B)</f>
        <v/>
      </c>
      <c r="E35" s="13" t="s">
        <v>1105</v>
      </c>
      <c r="F35" s="34" t="str" cm="1">
        <f t="array" aca="1" ref="F35" ca="1">RemoveDelimiter(GetValues(SanitizeInput($E35),Questions!$A:$B,"   ",CHAR(10),TRUE),CHAR(10))</f>
        <v>QI1   Does the product have cameras or other sensors that can potentially recognize people?
QI2   Does the product process personal data?
Examples: User ID, address labels
QI3   Does the product contain &lt;OEM name&gt; intellectual property?
Note: Only IP which is part of / accessible by the firmware / software in the product is in scope of this question. Gaining access to optical and mechanical IP are not covered by this question (and the cybersecurity risk analysis)
QI4   Is &lt;OEM name&gt;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35" s="33" t="str" cm="1">
        <f t="array" aca="1" ref="G35" ca="1">LookupNames($T35,'Damage Scenarios'!$A:$J)</f>
        <v/>
      </c>
      <c r="H35" s="13"/>
      <c r="I35" s="13"/>
      <c r="J35" s="13"/>
      <c r="K35" s="13"/>
      <c r="L35" s="13"/>
      <c r="M35" s="130" t="str">
        <f ca="1">IF($A35="","",IFERROR(VLOOKUP($AC35,Definitions!$V:$W,COLUMNS(Definitions!$V:$W),TRUE),""))</f>
        <v>Basic</v>
      </c>
      <c r="N35" s="13" t="s">
        <v>1248</v>
      </c>
      <c r="O35" s="13" t="s">
        <v>608</v>
      </c>
      <c r="P35" s="13"/>
      <c r="Q35" s="10" cm="1">
        <f t="array" ref="Q35">IF(ROW()=ROW($Q$2)+1,0,INDEX($Q:$Q,ROW()-1))+IF($A35="",0,1)</f>
        <v>33</v>
      </c>
      <c r="R35" s="20" t="b">
        <f ca="1">OR(CheckRelevance(SanitizeInput(N35),Questionnaire!$I:$I),CheckRelevance(SanitizeInput(N35),Questionnaire!$J:$J))</f>
        <v>0</v>
      </c>
      <c r="S35" s="14" t="str" cm="1">
        <f t="array" aca="1" ref="S35" ca="1">IF(AND($N35&lt;&gt;"",$R35=FALSE),"",
IF(AND($R35,$C35=""),$A35&amp;",§","")&amp;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GenerateAttackPaths(RemoveFirstElement(_xlpm._in),_xlpm._apRange,_xlpm._ownID))))(SanitizeInput($C35),$A:$S,$A35))</f>
        <v/>
      </c>
      <c r="T35" s="20" t="str" cm="1">
        <f t="array" aca="1" ref="T35" ca="1">GetValues(SanitizeInput($E35),'Damage Scenarios'!$B:$T,"",",",FALSE)</f>
        <v/>
      </c>
      <c r="U35" s="20" t="b">
        <f t="shared" ref="U35:U40" ca="1" si="4">AND($S35&lt;&gt;"",$T35&lt;&gt;"")</f>
        <v>0</v>
      </c>
      <c r="V35" s="20" cm="1">
        <f t="array" aca="1" ref="V35" ca="1">CreateID($V$2,$V:$V,$U35)</f>
        <v>0</v>
      </c>
      <c r="W35" s="20">
        <f t="shared" ca="1" si="1"/>
        <v>0</v>
      </c>
      <c r="X35" s="20">
        <f>IF(H35="",0,VLOOKUP(H35,Definitions!$Z:$AA,COLUMNS(Definitions!$Z:$AA),FALSE))</f>
        <v>0</v>
      </c>
      <c r="Y35" s="20">
        <f>IF(I35="",0,VLOOKUP(I35,Definitions!$Z:$AA,COLUMNS(Definitions!$Z:$AA),FALSE))</f>
        <v>0</v>
      </c>
      <c r="Z35" s="20">
        <f>IF(J35="",0,VLOOKUP(J35,Definitions!$Z:$AA,COLUMNS(Definitions!$Z:$AA),FALSE))</f>
        <v>0</v>
      </c>
      <c r="AA35" s="20">
        <f>IF(K35="",0,VLOOKUP(K35,Definitions!$Z:$AA,COLUMNS(Definitions!$Z:$AA),FALSE))</f>
        <v>0</v>
      </c>
      <c r="AB35" s="20">
        <f>IF(L35="",0,VLOOKUP(L35,Definitions!$Z:$AA,COLUMNS(Definitions!$Z:$AA),FALSE))</f>
        <v>0</v>
      </c>
      <c r="AC35" s="20">
        <f t="shared" ca="1" si="2"/>
        <v>0</v>
      </c>
      <c r="AD35" s="20" cm="1">
        <f t="array" ref="AD35">CreateTaskID($AD$2,$AD:$AD,Tasks!$B$17,$P35)</f>
        <v>0</v>
      </c>
      <c r="AE35" s="20" t="str" cm="1">
        <f t="array" aca="1" ref="AE35" ca="1">InverseLookup($A35,Countermeasures!$X$2,Countermeasures!$A$2,1,Helper!$B$4,",")</f>
        <v/>
      </c>
      <c r="AF35" s="20" t="str" cm="1">
        <f t="array" aca="1" ref="AF35" ca="1">InverseLookup($A35,Assumptions!$X$3,Assumptions!$A$3,1,Helper!$B$6,",")</f>
        <v/>
      </c>
      <c r="AG35" s="20" t="str" cm="1">
        <f t="array" aca="1" ref="AG35" ca="1">InverseLookup($A35,Assumptions!$Y$3,Assumptions!$A$3,1,Helper!$B$6,",")</f>
        <v>A25,</v>
      </c>
      <c r="AH35" s="20" t="str" cm="1">
        <f t="array" aca="1" ref="AH35" ca="1">IF($U35,
CreateSearchString(SUBSTITUTE($S35,"§","")),
"")</f>
        <v/>
      </c>
      <c r="AI35" s="20" t="b">
        <f t="shared" ca="1" si="3"/>
        <v>0</v>
      </c>
      <c r="AL35" s="81"/>
    </row>
    <row r="36" spans="1:40" ht="75" x14ac:dyDescent="0.25">
      <c r="A36" s="13" t="s">
        <v>985</v>
      </c>
      <c r="B36" s="13" t="s">
        <v>986</v>
      </c>
      <c r="C36" s="13"/>
      <c r="D36" s="34" t="str" cm="1">
        <f t="array" ref="D36">LookupNames(SanitizeInput($C36),$A:$B)</f>
        <v/>
      </c>
      <c r="E36" s="13"/>
      <c r="F36" s="34" t="str" cm="1">
        <f t="array" ref="F36">RemoveDelimiter(GetValues(SanitizeInput($E36),Questions!$A:$B,"   ",CHAR(10),TRUE),CHAR(10))</f>
        <v/>
      </c>
      <c r="G36" s="33" t="str" cm="1">
        <f t="array" ref="G36">LookupNames($T36,'Damage Scenarios'!$A:$J)</f>
        <v/>
      </c>
      <c r="H36" s="13"/>
      <c r="I36" s="13" t="s">
        <v>140</v>
      </c>
      <c r="J36" s="13"/>
      <c r="K36" s="13" t="s">
        <v>148</v>
      </c>
      <c r="L36" s="13"/>
      <c r="M36" s="130" t="str">
        <f ca="1">IF($A36="","",IFERROR(VLOOKUP($AC36,Definitions!$V:$W,COLUMNS(Definitions!$V:$W),TRUE),""))</f>
        <v>Basic</v>
      </c>
      <c r="N36" s="13" t="s">
        <v>1250</v>
      </c>
      <c r="O36" s="13"/>
      <c r="P36" s="13" t="s">
        <v>1023</v>
      </c>
      <c r="Q36" s="10" cm="1">
        <f t="array" ref="Q36">IF(ROW()=ROW($Q$2)+1,0,INDEX($Q:$Q,ROW()-1))+IF($A36="",0,1)</f>
        <v>34</v>
      </c>
      <c r="R36" s="20" t="b">
        <f ca="1">OR(CheckRelevance(SanitizeInput(N36),Questionnaire!$I:$I),CheckRelevance(SanitizeInput(N36),Questionnaire!$J:$J))</f>
        <v>0</v>
      </c>
      <c r="S36" s="14" t="str" cm="1">
        <f t="array" aca="1" ref="S36" ca="1">IF(AND($N36&lt;&gt;"",$R36=FALSE),"",
IF(AND($R36,$C36=""),$A36&amp;",§","")&amp;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GenerateAttackPaths(RemoveFirstElement(_xlpm._in),_xlpm._apRange,_xlpm._ownID))))(SanitizeInput($C36),$A:$S,$A36))</f>
        <v/>
      </c>
      <c r="T36" s="20" t="str" cm="1">
        <f t="array" ref="T36">GetValues(SanitizeInput($E36),'Damage Scenarios'!$B:$T,"",",",FALSE)</f>
        <v/>
      </c>
      <c r="U36" s="20" t="b">
        <f t="shared" ca="1" si="4"/>
        <v>0</v>
      </c>
      <c r="V36" s="20" cm="1">
        <f t="array" aca="1" ref="V36" ca="1">CreateID($V$2,$V:$V,$U36)</f>
        <v>0</v>
      </c>
      <c r="W36" s="20">
        <f t="shared" ref="W36:W41" ca="1" si="5">IF($U36,LEN($S36)-LEN(SUBSTITUTE($S36,"§","")),0)</f>
        <v>0</v>
      </c>
      <c r="X36" s="20">
        <f>IF(H36="",0,VLOOKUP(H36,Definitions!$Z:$AA,COLUMNS(Definitions!$Z:$AA),FALSE))</f>
        <v>0</v>
      </c>
      <c r="Y36" s="20">
        <f>IF(I36="",0,VLOOKUP(I36,Definitions!$Z:$AA,COLUMNS(Definitions!$Z:$AA),FALSE))</f>
        <v>3</v>
      </c>
      <c r="Z36" s="20">
        <f>IF(J36="",0,VLOOKUP(J36,Definitions!$Z:$AA,COLUMNS(Definitions!$Z:$AA),FALSE))</f>
        <v>0</v>
      </c>
      <c r="AA36" s="20">
        <f>IF(K36="",0,VLOOKUP(K36,Definitions!$Z:$AA,COLUMNS(Definitions!$Z:$AA),FALSE))</f>
        <v>0</v>
      </c>
      <c r="AB36" s="20">
        <f>IF(L36="",0,VLOOKUP(L36,Definitions!$Z:$AA,COLUMNS(Definitions!$Z:$AA),FALSE))</f>
        <v>0</v>
      </c>
      <c r="AC36" s="20">
        <f t="shared" ca="1" si="2"/>
        <v>3</v>
      </c>
      <c r="AD36" s="20" cm="1">
        <f t="array" ref="AD36">CreateTaskID($AD$2,$AD:$AD,Tasks!$B$17,$P36)</f>
        <v>0</v>
      </c>
      <c r="AE36" s="20" t="str" cm="1">
        <f t="array" aca="1" ref="AE36" ca="1">InverseLookup($A36,Countermeasures!$X$2,Countermeasures!$A$2,1,Helper!$B$4,",")</f>
        <v>CM11,</v>
      </c>
      <c r="AF36" s="20" t="str" cm="1">
        <f t="array" aca="1" ref="AF36" ca="1">InverseLookup($A36,Assumptions!$X$3,Assumptions!$A$3,1,Helper!$B$6,",")</f>
        <v/>
      </c>
      <c r="AG36" s="20" t="str" cm="1">
        <f t="array" aca="1" ref="AG36" ca="1">InverseLookup($A36,Assumptions!$Y$3,Assumptions!$A$3,1,Helper!$B$6,",")</f>
        <v>A26,</v>
      </c>
      <c r="AH36" s="20" t="str" cm="1">
        <f t="array" aca="1" ref="AH36" ca="1">IF($U36,
CreateSearchString(SUBSTITUTE($S36,"§","")),
"")</f>
        <v/>
      </c>
      <c r="AI36" s="20" t="b">
        <f t="shared" ca="1" si="3"/>
        <v>0</v>
      </c>
    </row>
    <row r="37" spans="1:40" ht="113.25" x14ac:dyDescent="0.25">
      <c r="A37" s="13" t="s">
        <v>989</v>
      </c>
      <c r="B37" s="13" t="s">
        <v>1139</v>
      </c>
      <c r="C37" s="13"/>
      <c r="D37" s="34" t="str" cm="1">
        <f t="array" ref="D37">LookupNames(SanitizeInput($C37),$A:$B)</f>
        <v/>
      </c>
      <c r="E37" s="13" t="s">
        <v>1091</v>
      </c>
      <c r="F37" s="34" t="str" cm="1">
        <f t="array" aca="1" ref="F37" ca="1">RemoveDelimiter(GetValues(SanitizeInput($E37),Questions!$A:$B,"   ",CHAR(10),TRUE),CHAR(10))</f>
        <v>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&lt;OEM name&gt; product)? Example: The product is used for access control.
QI9   Can a loss of availability cause contract-related fines (e.g., based on a service level agreement)?</v>
      </c>
      <c r="G37" s="33" t="str" cm="1">
        <f t="array" aca="1" ref="G37" ca="1">LookupNames($T37,'Damage Scenarios'!$A:$J)</f>
        <v/>
      </c>
      <c r="H37" s="13"/>
      <c r="I37" s="13"/>
      <c r="J37" s="13"/>
      <c r="K37" s="13"/>
      <c r="L37" s="13"/>
      <c r="M37" s="130" t="str">
        <f ca="1">IF($A37="","",IFERROR(VLOOKUP($AC37,Definitions!$V:$W,COLUMNS(Definitions!$V:$W),TRUE),""))</f>
        <v>Basic</v>
      </c>
      <c r="N37" s="13" t="s">
        <v>1250</v>
      </c>
      <c r="O37" s="13"/>
      <c r="P37" s="13" t="s">
        <v>1138</v>
      </c>
      <c r="Q37" s="10" cm="1">
        <f t="array" ref="Q37">IF(ROW()=ROW($Q$2)+1,0,INDEX($Q:$Q,ROW()-1))+IF($A37="",0,1)</f>
        <v>35</v>
      </c>
      <c r="R37" s="20" t="b">
        <f ca="1">OR(CheckRelevance(SanitizeInput(N37),Questionnaire!$I:$I),CheckRelevance(SanitizeInput(N37),Questionnaire!$J:$J))</f>
        <v>0</v>
      </c>
      <c r="S37" s="14" t="str" cm="1">
        <f t="array" aca="1" ref="S37" ca="1">IF(AND($N37&lt;&gt;"",$R37=FALSE),"",
IF(AND($R37,$C37=""),$A37&amp;",§","")&amp;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GenerateAttackPaths(RemoveFirstElement(_xlpm._in),_xlpm._apRange,_xlpm._ownID))))(SanitizeInput($C37),$A:$S,$A37))</f>
        <v/>
      </c>
      <c r="T37" s="20" t="str" cm="1">
        <f t="array" aca="1" ref="T37" ca="1">GetValues(SanitizeInput($E37),'Damage Scenarios'!$B:$T,"",",",FALSE)</f>
        <v/>
      </c>
      <c r="U37" s="20" t="b">
        <f t="shared" ca="1" si="4"/>
        <v>0</v>
      </c>
      <c r="V37" s="20" cm="1">
        <f t="array" aca="1" ref="V37" ca="1">CreateID($V$2,$V:$V,$U37)</f>
        <v>0</v>
      </c>
      <c r="W37" s="20">
        <f t="shared" ca="1" si="5"/>
        <v>0</v>
      </c>
      <c r="X37" s="20">
        <f>IF(H37="",0,VLOOKUP(H37,Definitions!$Z:$AA,COLUMNS(Definitions!$Z:$AA),FALSE))</f>
        <v>0</v>
      </c>
      <c r="Y37" s="20">
        <f>IF(I37="",0,VLOOKUP(I37,Definitions!$Z:$AA,COLUMNS(Definitions!$Z:$AA),FALSE))</f>
        <v>0</v>
      </c>
      <c r="Z37" s="20">
        <f>IF(J37="",0,VLOOKUP(J37,Definitions!$Z:$AA,COLUMNS(Definitions!$Z:$AA),FALSE))</f>
        <v>0</v>
      </c>
      <c r="AA37" s="20">
        <f>IF(K37="",0,VLOOKUP(K37,Definitions!$Z:$AA,COLUMNS(Definitions!$Z:$AA),FALSE))</f>
        <v>0</v>
      </c>
      <c r="AB37" s="20">
        <f>IF(L37="",0,VLOOKUP(L37,Definitions!$Z:$AA,COLUMNS(Definitions!$Z:$AA),FALSE))</f>
        <v>0</v>
      </c>
      <c r="AC37" s="20">
        <f t="shared" ca="1" si="2"/>
        <v>0</v>
      </c>
      <c r="AD37" s="20" cm="1">
        <f t="array" ref="AD37">CreateTaskID($AD$2,$AD:$AD,Tasks!$B$17,$P37)</f>
        <v>0</v>
      </c>
      <c r="AE37" s="20" t="str" cm="1">
        <f t="array" aca="1" ref="AE37" ca="1">InverseLookup($A37,Countermeasures!$X$2,Countermeasures!$A$2,1,Helper!$B$4,",")</f>
        <v/>
      </c>
      <c r="AF37" s="20" t="str" cm="1">
        <f t="array" aca="1" ref="AF37" ca="1">InverseLookup($A37,Assumptions!$X$3,Assumptions!$A$3,1,Helper!$B$6,",")</f>
        <v/>
      </c>
      <c r="AG37" s="20" t="str" cm="1">
        <f t="array" aca="1" ref="AG37" ca="1">InverseLookup($A37,Assumptions!$Y$3,Assumptions!$A$3,1,Helper!$B$6,",")</f>
        <v>A41,</v>
      </c>
      <c r="AH37" s="20" t="str" cm="1">
        <f t="array" aca="1" ref="AH37" ca="1">IF($U37,
CreateSearchString(SUBSTITUTE($S37,"§","")),
"")</f>
        <v/>
      </c>
      <c r="AI37" s="20" t="b">
        <f t="shared" ca="1" si="3"/>
        <v>0</v>
      </c>
    </row>
    <row r="38" spans="1:40" ht="75" x14ac:dyDescent="0.25">
      <c r="A38" s="13" t="s">
        <v>1008</v>
      </c>
      <c r="B38" s="13" t="s">
        <v>1007</v>
      </c>
      <c r="C38" s="13"/>
      <c r="D38" s="34" t="str" cm="1">
        <f t="array" ref="D38">LookupNames(SanitizeInput($C38),$A:$B)</f>
        <v/>
      </c>
      <c r="E38" s="13"/>
      <c r="F38" s="34" t="str" cm="1">
        <f t="array" ref="F38">RemoveDelimiter(GetValues(SanitizeInput($E38),Questions!$A:$B,"   ",CHAR(10),TRUE),CHAR(10))</f>
        <v/>
      </c>
      <c r="G38" s="33" t="str" cm="1">
        <f t="array" ref="G38">LookupNames($T38,'Damage Scenarios'!$A:$J)</f>
        <v/>
      </c>
      <c r="H38" s="13"/>
      <c r="I38" s="13" t="s">
        <v>140</v>
      </c>
      <c r="J38" s="13"/>
      <c r="K38" s="13" t="s">
        <v>148</v>
      </c>
      <c r="L38" s="13"/>
      <c r="M38" s="130" t="str">
        <f ca="1">IF($A38="","",IFERROR(VLOOKUP($AC38,Definitions!$V:$W,COLUMNS(Definitions!$V:$W),TRUE),""))</f>
        <v>Basic</v>
      </c>
      <c r="N38" s="13" t="s">
        <v>1250</v>
      </c>
      <c r="O38" s="13"/>
      <c r="P38" s="13" t="s">
        <v>1023</v>
      </c>
      <c r="Q38" s="10" cm="1">
        <f t="array" ref="Q38">IF(ROW()=ROW($Q$2)+1,0,INDEX($Q:$Q,ROW()-1))+IF($A38="",0,1)</f>
        <v>36</v>
      </c>
      <c r="R38" s="20" t="b">
        <f ca="1">OR(CheckRelevance(SanitizeInput(N38),Questionnaire!$I:$I),CheckRelevance(SanitizeInput(N38),Questionnaire!$J:$J))</f>
        <v>0</v>
      </c>
      <c r="S38" s="14" t="str" cm="1">
        <f t="array" aca="1" ref="S38" ca="1">IF(AND($N38&lt;&gt;"",$R38=FALSE),"",
IF(AND($R38,$C38=""),$A38&amp;",§","")&amp;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GenerateAttackPaths(RemoveFirstElement(_xlpm._in),_xlpm._apRange,_xlpm._ownID))))(SanitizeInput($C38),$A:$S,$A38))</f>
        <v/>
      </c>
      <c r="T38" s="20" t="str" cm="1">
        <f t="array" ref="T38">GetValues(SanitizeInput($E38),'Damage Scenarios'!$B:$T,"",",",FALSE)</f>
        <v/>
      </c>
      <c r="U38" s="20" t="b">
        <f t="shared" ca="1" si="4"/>
        <v>0</v>
      </c>
      <c r="V38" s="20" cm="1">
        <f t="array" aca="1" ref="V38" ca="1">CreateID($V$2,$V:$V,$U38)</f>
        <v>0</v>
      </c>
      <c r="W38" s="20">
        <f t="shared" ca="1" si="5"/>
        <v>0</v>
      </c>
      <c r="X38" s="20">
        <f>IF(H38="",0,VLOOKUP(H38,Definitions!$Z:$AA,COLUMNS(Definitions!$Z:$AA),FALSE))</f>
        <v>0</v>
      </c>
      <c r="Y38" s="20">
        <f>IF(I38="",0,VLOOKUP(I38,Definitions!$Z:$AA,COLUMNS(Definitions!$Z:$AA),FALSE))</f>
        <v>3</v>
      </c>
      <c r="Z38" s="20">
        <f>IF(J38="",0,VLOOKUP(J38,Definitions!$Z:$AA,COLUMNS(Definitions!$Z:$AA),FALSE))</f>
        <v>0</v>
      </c>
      <c r="AA38" s="20">
        <f>IF(K38="",0,VLOOKUP(K38,Definitions!$Z:$AA,COLUMNS(Definitions!$Z:$AA),FALSE))</f>
        <v>0</v>
      </c>
      <c r="AB38" s="20">
        <f>IF(L38="",0,VLOOKUP(L38,Definitions!$Z:$AA,COLUMNS(Definitions!$Z:$AA),FALSE))</f>
        <v>0</v>
      </c>
      <c r="AC38" s="20">
        <f t="shared" ca="1" si="2"/>
        <v>3</v>
      </c>
      <c r="AD38" s="20" cm="1">
        <f t="array" ref="AD38">CreateTaskID($AD$2,$AD:$AD,Tasks!$B$17,$P38)</f>
        <v>0</v>
      </c>
      <c r="AE38" s="20" t="str" cm="1">
        <f t="array" aca="1" ref="AE38" ca="1">InverseLookup($A38,Countermeasures!$X$2,Countermeasures!$A$2,1,Helper!$B$4,",")</f>
        <v>CM11,</v>
      </c>
      <c r="AF38" s="20" t="str" cm="1">
        <f t="array" aca="1" ref="AF38" ca="1">InverseLookup($A38,Assumptions!$X$3,Assumptions!$A$3,1,Helper!$B$6,",")</f>
        <v/>
      </c>
      <c r="AG38" s="20" t="str" cm="1">
        <f t="array" aca="1" ref="AG38" ca="1">InverseLookup($A38,Assumptions!$Y$3,Assumptions!$A$3,1,Helper!$B$6,",")</f>
        <v>A27,</v>
      </c>
      <c r="AH38" s="20" t="str" cm="1">
        <f t="array" aca="1" ref="AH38" ca="1">IF($U38,
CreateSearchString(SUBSTITUTE($S38,"§","")),
"")</f>
        <v/>
      </c>
      <c r="AI38" s="20" t="b">
        <f t="shared" ca="1" si="3"/>
        <v>0</v>
      </c>
    </row>
    <row r="39" spans="1:40" ht="180.75" x14ac:dyDescent="0.25">
      <c r="A39" s="13" t="s">
        <v>1116</v>
      </c>
      <c r="B39" s="13" t="s">
        <v>1117</v>
      </c>
      <c r="C39" s="13"/>
      <c r="D39" s="34" t="str" cm="1">
        <f t="array" ref="D39">LookupNames(SanitizeInput($C39),$A:$B)</f>
        <v/>
      </c>
      <c r="E39" s="13" t="s">
        <v>1082</v>
      </c>
      <c r="F39" s="34" t="str" cm="1">
        <f t="array" aca="1" ref="F39" ca="1">RemoveDelimiter(GetValues(SanitizeInput($E39),Questions!$A:$B,"   ",CHAR(10),TRUE),CHAR(10))</f>
        <v>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39" s="33" t="str" cm="1">
        <f t="array" aca="1" ref="G39" ca="1">LookupNames($T39,'Damage Scenarios'!$A:$J)</f>
        <v/>
      </c>
      <c r="H39" s="13"/>
      <c r="I39" s="13"/>
      <c r="J39" s="13"/>
      <c r="K39" s="13"/>
      <c r="L39" s="13"/>
      <c r="M39" s="130" t="str">
        <f ca="1">IF($A39="","",IFERROR(VLOOKUP($AC39,Definitions!$V:$W,COLUMNS(Definitions!$V:$W),TRUE),""))</f>
        <v>Basic</v>
      </c>
      <c r="N39" s="13" t="s">
        <v>1144</v>
      </c>
      <c r="O39" s="13" t="s">
        <v>603</v>
      </c>
      <c r="P39" s="13"/>
      <c r="Q39" s="10" cm="1">
        <f t="array" ref="Q39">IF(ROW()=ROW($Q$2)+1,0,INDEX($Q:$Q,ROW()-1))+IF($A39="",0,1)</f>
        <v>37</v>
      </c>
      <c r="R39" s="20" t="b">
        <f ca="1">OR(CheckRelevance(SanitizeInput(N39),Questionnaire!$I:$I),CheckRelevance(SanitizeInput(N39),Questionnaire!$J:$J))</f>
        <v>1</v>
      </c>
      <c r="S39" s="20" t="str" cm="1">
        <f t="array" aca="1" ref="S39" ca="1">IF(AND($N39&lt;&gt;"",$R39=FALSE),"",
IF(AND($R39,$C39=""),$A39&amp;",§","")&amp;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GenerateAttackPaths(RemoveFirstElement(_xlpm._in),_xlpm._apRange,_xlpm._ownID))))(SanitizeInput($C39),$A:$S,$A39))</f>
        <v>AS37,§</v>
      </c>
      <c r="T39" s="20" t="str" cm="1">
        <f t="array" aca="1" ref="T39" ca="1">GetValues(SanitizeInput($E39),'Damage Scenarios'!$B:$T,"",",",FALSE)</f>
        <v/>
      </c>
      <c r="U39" s="20" t="b">
        <f t="shared" ca="1" si="4"/>
        <v>0</v>
      </c>
      <c r="V39" s="20" cm="1">
        <f t="array" aca="1" ref="V39" ca="1">CreateID($V$2,$V:$V,$U39)</f>
        <v>0</v>
      </c>
      <c r="W39" s="20">
        <f t="shared" ca="1" si="5"/>
        <v>0</v>
      </c>
      <c r="X39" s="20">
        <f>IF(H39="",0,VLOOKUP(H39,Definitions!$Z:$AA,COLUMNS(Definitions!$Z:$AA),FALSE))</f>
        <v>0</v>
      </c>
      <c r="Y39" s="20">
        <f>IF(I39="",0,VLOOKUP(I39,Definitions!$Z:$AA,COLUMNS(Definitions!$Z:$AA),FALSE))</f>
        <v>0</v>
      </c>
      <c r="Z39" s="20">
        <f>IF(J39="",0,VLOOKUP(J39,Definitions!$Z:$AA,COLUMNS(Definitions!$Z:$AA),FALSE))</f>
        <v>0</v>
      </c>
      <c r="AA39" s="20">
        <f>IF(K39="",0,VLOOKUP(K39,Definitions!$Z:$AA,COLUMNS(Definitions!$Z:$AA),FALSE))</f>
        <v>0</v>
      </c>
      <c r="AB39" s="20">
        <f>IF(L39="",0,VLOOKUP(L39,Definitions!$Z:$AA,COLUMNS(Definitions!$Z:$AA),FALSE))</f>
        <v>0</v>
      </c>
      <c r="AC39" s="20">
        <f t="shared" ca="1" si="2"/>
        <v>0</v>
      </c>
      <c r="AD39" s="20" cm="1">
        <f t="array" ref="AD39">CreateTaskID($AD$2,$AD:$AD,Tasks!$B$17,$P39)</f>
        <v>0</v>
      </c>
      <c r="AE39" s="20" t="str" cm="1">
        <f t="array" aca="1" ref="AE39" ca="1">InverseLookup($A39,Countermeasures!$X$2,Countermeasures!$A$2,1,Helper!$B$4,",")</f>
        <v/>
      </c>
      <c r="AF39" s="20" t="str" cm="1">
        <f t="array" aca="1" ref="AF39" ca="1">InverseLookup($A39,Assumptions!$X$3,Assumptions!$A$3,1,Helper!$B$6,",")</f>
        <v/>
      </c>
      <c r="AG39" s="20" t="str" cm="1">
        <f t="array" aca="1" ref="AG39" ca="1">InverseLookup($A39,Assumptions!$Y$3,Assumptions!$A$3,1,Helper!$B$6,",")</f>
        <v>A17,</v>
      </c>
      <c r="AH39" s="20" t="str" cm="1">
        <f t="array" aca="1" ref="AH39" ca="1">IF($U39,
CreateSearchString(SUBSTITUTE($S39,"§","")),
"")</f>
        <v/>
      </c>
      <c r="AI39" s="20" t="b">
        <f t="shared" ca="1" si="3"/>
        <v>0</v>
      </c>
    </row>
    <row r="40" spans="1:40" ht="180.75" x14ac:dyDescent="0.25">
      <c r="A40" s="13" t="s">
        <v>1118</v>
      </c>
      <c r="B40" s="13" t="s">
        <v>1121</v>
      </c>
      <c r="C40" s="13"/>
      <c r="D40" s="34" t="str" cm="1">
        <f t="array" ref="D40">LookupNames(SanitizeInput($C40),$A:$B)</f>
        <v/>
      </c>
      <c r="E40" s="13" t="s">
        <v>1082</v>
      </c>
      <c r="F40" s="34" t="str" cm="1">
        <f t="array" aca="1" ref="F40" ca="1">RemoveDelimiter(GetValues(SanitizeInput($E40),Questions!$A:$B,"   ",CHAR(10),TRUE),CHAR(10))</f>
        <v>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40" s="33" t="str" cm="1">
        <f t="array" aca="1" ref="G40" ca="1">LookupNames($T40,'Damage Scenarios'!$A:$J)</f>
        <v/>
      </c>
      <c r="H40" s="13"/>
      <c r="I40" s="13"/>
      <c r="J40" s="13"/>
      <c r="K40" s="13"/>
      <c r="L40" s="13"/>
      <c r="M40" s="130" t="str">
        <f ca="1">IF($A40="","",IFERROR(VLOOKUP($AC40,Definitions!$V:$W,COLUMNS(Definitions!$V:$W),TRUE),""))</f>
        <v>Basic</v>
      </c>
      <c r="N40" s="13" t="s">
        <v>1146</v>
      </c>
      <c r="O40" s="13" t="s">
        <v>603</v>
      </c>
      <c r="P40" s="13"/>
      <c r="Q40" s="10" cm="1">
        <f t="array" ref="Q40">IF(ROW()=ROW($Q$2)+1,0,INDEX($Q:$Q,ROW()-1))+IF($A40="",0,1)</f>
        <v>38</v>
      </c>
      <c r="R40" s="20" t="b">
        <f ca="1">OR(CheckRelevance(SanitizeInput(N40),Questionnaire!$I:$I),CheckRelevance(SanitizeInput(N40),Questionnaire!$J:$J))</f>
        <v>1</v>
      </c>
      <c r="S40" s="20" t="str" cm="1">
        <f t="array" aca="1" ref="S40" ca="1">IF(AND($N40&lt;&gt;"",$R40=FALSE),"",
IF(AND($R40,$C40=""),$A40&amp;",§","")&amp;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GenerateAttackPaths(RemoveFirstElement(_xlpm._in),_xlpm._apRange,_xlpm._ownID))))(SanitizeInput($C40),$A:$S,$A40))</f>
        <v>AS38,§</v>
      </c>
      <c r="T40" s="20" t="str" cm="1">
        <f t="array" aca="1" ref="T40" ca="1">GetValues(SanitizeInput($E40),'Damage Scenarios'!$B:$T,"",",",FALSE)</f>
        <v/>
      </c>
      <c r="U40" s="20" t="b">
        <f t="shared" ca="1" si="4"/>
        <v>0</v>
      </c>
      <c r="V40" s="20" cm="1">
        <f t="array" aca="1" ref="V40" ca="1">CreateID($V$2,$V:$V,$U40)</f>
        <v>0</v>
      </c>
      <c r="W40" s="20">
        <f t="shared" ca="1" si="5"/>
        <v>0</v>
      </c>
      <c r="X40" s="20">
        <f>IF(H40="",0,VLOOKUP(H40,Definitions!$Z:$AA,COLUMNS(Definitions!$Z:$AA),FALSE))</f>
        <v>0</v>
      </c>
      <c r="Y40" s="20">
        <f>IF(I40="",0,VLOOKUP(I40,Definitions!$Z:$AA,COLUMNS(Definitions!$Z:$AA),FALSE))</f>
        <v>0</v>
      </c>
      <c r="Z40" s="20">
        <f>IF(J40="",0,VLOOKUP(J40,Definitions!$Z:$AA,COLUMNS(Definitions!$Z:$AA),FALSE))</f>
        <v>0</v>
      </c>
      <c r="AA40" s="20">
        <f>IF(K40="",0,VLOOKUP(K40,Definitions!$Z:$AA,COLUMNS(Definitions!$Z:$AA),FALSE))</f>
        <v>0</v>
      </c>
      <c r="AB40" s="20">
        <f>IF(L40="",0,VLOOKUP(L40,Definitions!$Z:$AA,COLUMNS(Definitions!$Z:$AA),FALSE))</f>
        <v>0</v>
      </c>
      <c r="AC40" s="20">
        <f t="shared" ca="1" si="2"/>
        <v>0</v>
      </c>
      <c r="AD40" s="20" cm="1">
        <f t="array" ref="AD40">CreateTaskID($AD$2,$AD:$AD,Tasks!$B$17,$P40)</f>
        <v>0</v>
      </c>
      <c r="AE40" s="20" t="str" cm="1">
        <f t="array" aca="1" ref="AE40" ca="1">InverseLookup($A40,Countermeasures!$X$2,Countermeasures!$A$2,1,Helper!$B$4,",")</f>
        <v/>
      </c>
      <c r="AF40" s="20" t="str" cm="1">
        <f t="array" aca="1" ref="AF40" ca="1">InverseLookup($A40,Assumptions!$X$3,Assumptions!$A$3,1,Helper!$B$6,",")</f>
        <v/>
      </c>
      <c r="AG40" s="20" t="str" cm="1">
        <f t="array" aca="1" ref="AG40" ca="1">InverseLookup($A40,Assumptions!$Y$3,Assumptions!$A$3,1,Helper!$B$6,",")</f>
        <v>A18,</v>
      </c>
      <c r="AH40" s="20" t="str" cm="1">
        <f t="array" aca="1" ref="AH40" ca="1">IF($U40,
CreateSearchString(SUBSTITUTE($S40,"§","")),
"")</f>
        <v/>
      </c>
      <c r="AI40" s="20" t="b">
        <f t="shared" ca="1" si="3"/>
        <v>0</v>
      </c>
    </row>
    <row r="41" spans="1:40" ht="90.75" x14ac:dyDescent="0.25">
      <c r="A41" s="13" t="s">
        <v>1225</v>
      </c>
      <c r="B41" s="13" t="s">
        <v>1226</v>
      </c>
      <c r="C41" s="13" t="s">
        <v>336</v>
      </c>
      <c r="D41" s="34" t="str" cm="1">
        <f t="array" aca="1" ref="D41" ca="1">LookupNames(SanitizeInput($C41),$A:$B)</f>
        <v>AS21 Gaining physical access to the product (3rd party),
AS22 Gaining physical access to the product (customer)</v>
      </c>
      <c r="E41" s="13" t="s">
        <v>1100</v>
      </c>
      <c r="F41" s="34" t="str" cm="1">
        <f t="array" aca="1" ref="F41" ca="1">RemoveDelimiter(GetValues(SanitizeInput($E41),Questions!$A:$B,"   ",CHAR(10),TRUE),CHAR(10))</f>
        <v>QI2   Does the product process personal data?
Examples: User ID, address labels
QI4   Is &lt;OEM name&gt;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41" s="33" t="str" cm="1">
        <f t="array" aca="1" ref="G41" ca="1">LookupNames($T41,'Damage Scenarios'!$A:$J)</f>
        <v/>
      </c>
      <c r="H41" s="13" t="s">
        <v>134</v>
      </c>
      <c r="I41" s="13" t="s">
        <v>141</v>
      </c>
      <c r="J41" s="13" t="s">
        <v>145</v>
      </c>
      <c r="K41" s="13" t="s">
        <v>81</v>
      </c>
      <c r="L41" s="13" t="s">
        <v>155</v>
      </c>
      <c r="M41" s="130" t="str">
        <f ca="1">IF($A41="","",IFERROR(VLOOKUP($AC41,Definitions!$V:$W,COLUMNS(Definitions!$V:$W),TRUE),""))</f>
        <v>High</v>
      </c>
      <c r="N41" s="13"/>
      <c r="O41" s="13" t="s">
        <v>605</v>
      </c>
      <c r="P41" s="13" t="s">
        <v>1227</v>
      </c>
      <c r="Q41" s="10" cm="1">
        <f t="array" ref="Q41">IF(ROW()=ROW($Q$2)+1,0,INDEX($Q:$Q,ROW()-1))+IF($A41="",0,1)</f>
        <v>39</v>
      </c>
      <c r="R41" s="20" t="b">
        <f>OR(CheckRelevance(SanitizeInput(N41),Questionnaire!$I:$I),CheckRelevance(SanitizeInput(N41),Questionnaire!$J:$J))</f>
        <v>0</v>
      </c>
      <c r="S41" s="20" t="str" cm="1">
        <f t="array" aca="1" ref="S41" ca="1">IF(AND($N41&lt;&gt;"",$R41=FALSE),"",
IF(AND($R41,$C41=""),$A41&amp;",§","")&amp;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GenerateAttackPaths(RemoveFirstElement(_xlpm._in),_xlpm._apRange,_xlpm._ownID))))(SanitizeInput($C41),$A:$S,$A41))</f>
        <v>AS22,AS39,§</v>
      </c>
      <c r="T41" s="20" t="str" cm="1">
        <f t="array" aca="1" ref="T41" ca="1">GetValues(SanitizeInput($E41),'Damage Scenarios'!$B:$T,"",",",FALSE)</f>
        <v/>
      </c>
      <c r="U41" s="20" t="b">
        <f ca="1">AND($S41&lt;&gt;"",$T41&lt;&gt;"")</f>
        <v>0</v>
      </c>
      <c r="V41" s="20" cm="1">
        <f t="array" aca="1" ref="V41" ca="1">CreateID($V$2,$V:$V,$U41)</f>
        <v>0</v>
      </c>
      <c r="W41" s="20">
        <f t="shared" ca="1" si="5"/>
        <v>0</v>
      </c>
      <c r="X41" s="20">
        <f>IF(H41="",0,VLOOKUP(H41,Definitions!$Z:$AA,COLUMNS(Definitions!$Z:$AA),FALSE))</f>
        <v>4</v>
      </c>
      <c r="Y41" s="20">
        <f>IF(I41="",0,VLOOKUP(I41,Definitions!$Z:$AA,COLUMNS(Definitions!$Z:$AA),FALSE))</f>
        <v>6</v>
      </c>
      <c r="Z41" s="20">
        <f>IF(J41="",0,VLOOKUP(J41,Definitions!$Z:$AA,COLUMNS(Definitions!$Z:$AA),FALSE))</f>
        <v>3</v>
      </c>
      <c r="AA41" s="20">
        <f>IF(K41="",0,VLOOKUP(K41,Definitions!$Z:$AA,COLUMNS(Definitions!$Z:$AA),FALSE))</f>
        <v>4</v>
      </c>
      <c r="AB41" s="20">
        <f>IF(L41="",0,VLOOKUP(L41,Definitions!$Z:$AA,COLUMNS(Definitions!$Z:$AA),FALSE))</f>
        <v>7</v>
      </c>
      <c r="AC41" s="20">
        <f t="shared" ca="1" si="2"/>
        <v>24</v>
      </c>
      <c r="AD41" s="20" cm="1">
        <f t="array" ref="AD41">CreateTaskID($AD$2,$AD:$AD,Tasks!$B$17,$P41)</f>
        <v>0</v>
      </c>
      <c r="AE41" s="20" t="str" cm="1">
        <f t="array" aca="1" ref="AE41" ca="1">InverseLookup($A41,Countermeasures!$X$2,Countermeasures!$A$2,1,Helper!$B$4,",")</f>
        <v>CM21,CM22,</v>
      </c>
      <c r="AF41" s="20" t="str" cm="1">
        <f t="array" aca="1" ref="AF41" ca="1">InverseLookup($A41,Assumptions!$X$3,Assumptions!$A$3,1,Helper!$B$6,",")</f>
        <v/>
      </c>
      <c r="AG41" s="20" t="str" cm="1">
        <f t="array" aca="1" ref="AG41" ca="1">InverseLookup($A41,Assumptions!$Y$3,Assumptions!$A$3,1,Helper!$B$6,",")</f>
        <v/>
      </c>
      <c r="AH41" s="20" t="str" cm="1">
        <f t="array" aca="1" ref="AH41" ca="1">IF($U41,
CreateSearchString(SUBSTITUTE($S41,"§","")),
"")</f>
        <v/>
      </c>
      <c r="AI41" s="20" t="b">
        <f t="shared" ca="1" si="3"/>
        <v>0</v>
      </c>
    </row>
    <row r="42" spans="1:40" ht="203.25" x14ac:dyDescent="0.25">
      <c r="A42" s="13" t="s">
        <v>1371</v>
      </c>
      <c r="B42" s="13" t="s">
        <v>1399</v>
      </c>
      <c r="C42" s="13" t="s">
        <v>1119</v>
      </c>
      <c r="D42" s="34" t="str" cm="1">
        <f t="array" aca="1" ref="D42" ca="1">LookupNames(SanitizeInput($C42),$A:$B)</f>
        <v>AS1 Getting access to a trusted operational environment,
AS2 Getting access to a wireless network,
AS9 Attacking the product's internal gateway from the Internet,
AS12 Compromising an untrusted device that communicates directly with the product,
AS13 Attacking the product or its communication from an untrusted local network,
AS15 Attacking the product from the Internet or a mobile network,
AS17 Sending manipulated or malicious data to the product (from an untrusted source),
AS27 Getting physical access to the product's linked communication media (e.g., field buses),
AS28 Getting access to a trusted entity</v>
      </c>
      <c r="E42" s="13" t="s">
        <v>1103</v>
      </c>
      <c r="F42" s="34" t="str" cm="1">
        <f t="array" aca="1" ref="F42" ca="1">RemoveDelimiter(GetValues(SanitizeInput($E42),Questions!$A:$B,"   ",CHAR(10),TRUE),CHAR(10))</f>
        <v>QI1   Does the product have cameras or other sensors that can potentially recognize people?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v>
      </c>
      <c r="G42" s="33" t="str" cm="1">
        <f t="array" aca="1" ref="G42" ca="1">LookupNames($T42,'Damage Scenarios'!$A:$J)</f>
        <v/>
      </c>
      <c r="H42" s="13" t="s">
        <v>134</v>
      </c>
      <c r="I42" s="13" t="s">
        <v>141</v>
      </c>
      <c r="J42" s="13" t="s">
        <v>145</v>
      </c>
      <c r="K42" s="13"/>
      <c r="L42" s="13"/>
      <c r="M42" s="130" t="str">
        <f ca="1">IF($A42="","",IFERROR(VLOOKUP($AC42,Definitions!$V:$W,COLUMNS(Definitions!$V:$W),TRUE),""))</f>
        <v>Enhanced-Basic</v>
      </c>
      <c r="N42" s="13" t="s">
        <v>418</v>
      </c>
      <c r="O42" s="13" t="s">
        <v>645</v>
      </c>
      <c r="P42" s="13" t="s">
        <v>1016</v>
      </c>
      <c r="Q42" s="10" cm="1">
        <f t="array" ref="Q42">IF(ROW()=ROW($Q$2)+1,0,INDEX($Q:$Q,ROW()-1))+IF($A42="",0,1)</f>
        <v>40</v>
      </c>
      <c r="R42" s="20" t="b">
        <f>OR(CheckRelevance(SanitizeInput(N42),Questionnaire!$I:$I),CheckRelevance(SanitizeInput(N42),Questionnaire!$J:$J))</f>
        <v>1</v>
      </c>
      <c r="S42" s="20" t="str" cm="1">
        <f t="array" aca="1" ref="S42" ca="1">IF(AND($N42&lt;&gt;"",$R42=FALSE),"",
IF(AND($R42,$C42=""),$A42&amp;",§","")&amp;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GenerateAttackPaths(RemoveFirstElement(_xlpm._in),_xlpm._apRange,_xlpm._ownID))))(SanitizeInput($C42),$A:$S,$A42))</f>
        <v/>
      </c>
      <c r="T42" s="20" t="str" cm="1">
        <f t="array" aca="1" ref="T42" ca="1">GetValues(SanitizeInput($E42),'Damage Scenarios'!$B:$T,"",",",FALSE)</f>
        <v/>
      </c>
      <c r="U42" s="20" t="b">
        <f ca="1">AND($S42&lt;&gt;"",$T42&lt;&gt;"")</f>
        <v>0</v>
      </c>
      <c r="V42" s="20" cm="1">
        <f t="array" aca="1" ref="V42" ca="1">CreateID($V$2,$V:$V,$U42)</f>
        <v>0</v>
      </c>
      <c r="W42" s="20">
        <f ca="1">IF($U42,LEN($S42)-LEN(SUBSTITUTE($S42,"§","")),0)</f>
        <v>0</v>
      </c>
      <c r="X42" s="20">
        <f>IF(H42="",0,VLOOKUP(H42,Definitions!$Z:$AA,COLUMNS(Definitions!$Z:$AA),FALSE))</f>
        <v>4</v>
      </c>
      <c r="Y42" s="20">
        <f>IF(I42="",0,VLOOKUP(I42,Definitions!$Z:$AA,COLUMNS(Definitions!$Z:$AA),FALSE))</f>
        <v>6</v>
      </c>
      <c r="Z42" s="20">
        <f>IF(J42="",0,VLOOKUP(J42,Definitions!$Z:$AA,COLUMNS(Definitions!$Z:$AA),FALSE))</f>
        <v>3</v>
      </c>
      <c r="AA42" s="20">
        <f>IF(K42="",0,VLOOKUP(K42,Definitions!$Z:$AA,COLUMNS(Definitions!$Z:$AA),FALSE))</f>
        <v>0</v>
      </c>
      <c r="AB42" s="20">
        <f>IF(L42="",0,VLOOKUP(L42,Definitions!$Z:$AA,COLUMNS(Definitions!$Z:$AA),FALSE))</f>
        <v>0</v>
      </c>
      <c r="AC42" s="20">
        <f t="shared" ca="1" si="2"/>
        <v>13</v>
      </c>
      <c r="AD42" s="20" cm="1">
        <f t="array" ref="AD42">CreateTaskID($AD$2,$AD:$AD,Tasks!$B$17,$P42)</f>
        <v>0</v>
      </c>
      <c r="AE42" s="20" t="str" cm="1">
        <f t="array" aca="1" ref="AE42" ca="1">InverseLookup($A42,Countermeasures!$X$2,Countermeasures!$A$2,1,Helper!$B$4,",")</f>
        <v>C27,CM23,</v>
      </c>
      <c r="AF42" s="20" t="str" cm="1">
        <f t="array" aca="1" ref="AF42" ca="1">InverseLookup($A42,Assumptions!$X$3,Assumptions!$A$3,1,Helper!$B$6,",")</f>
        <v/>
      </c>
      <c r="AG42" s="20" t="str" cm="1">
        <f t="array" aca="1" ref="AG42" ca="1">InverseLookup($A42,Assumptions!$Y$3,Assumptions!$A$3,1,Helper!$B$6,",")</f>
        <v/>
      </c>
      <c r="AH42" s="20" t="str" cm="1">
        <f t="array" aca="1" ref="AH42" ca="1">IF($U42,
CreateSearchString(SUBSTITUTE($S42,"§","")),
"")</f>
        <v/>
      </c>
      <c r="AI42" s="20" t="b">
        <f t="shared" ca="1" si="3"/>
        <v>0</v>
      </c>
    </row>
    <row r="43" spans="1:40" ht="135" x14ac:dyDescent="0.25">
      <c r="A43" s="13" t="s">
        <v>1668</v>
      </c>
      <c r="B43" s="13" t="s">
        <v>1669</v>
      </c>
      <c r="C43" s="13"/>
      <c r="D43" s="34" t="str" cm="1">
        <f t="array" ref="D43">LookupNames(SanitizeInput($C43),$A:$B)</f>
        <v/>
      </c>
      <c r="E43" s="13" t="s">
        <v>1100</v>
      </c>
      <c r="F43" s="34" t="str" cm="1">
        <f t="array" aca="1" ref="F43" ca="1">RemoveDelimiter(GetValues(SanitizeInput($E43),Questions!$A:$B,"   ",CHAR(10),TRUE),CHAR(10))</f>
        <v>QI2   Does the product process personal data?
Examples: User ID, address labels
QI4   Is &lt;OEM name&gt;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v>
      </c>
      <c r="G43" s="33" t="str" cm="1">
        <f t="array" aca="1" ref="G43" ca="1">LookupNames($T43,'Damage Scenarios'!$A:$J)</f>
        <v/>
      </c>
      <c r="H43" s="13" t="s">
        <v>135</v>
      </c>
      <c r="I43" s="13" t="s">
        <v>141</v>
      </c>
      <c r="J43" s="13" t="s">
        <v>145</v>
      </c>
      <c r="K43" s="13" t="s">
        <v>148</v>
      </c>
      <c r="L43" s="13" t="s">
        <v>154</v>
      </c>
      <c r="M43" s="130" t="str">
        <f ca="1">IF($A43="","",IFERROR(VLOOKUP($AC43,Definitions!$V:$W,COLUMNS(Definitions!$V:$W),TRUE),""))</f>
        <v>High</v>
      </c>
      <c r="N43" s="13" t="s">
        <v>1101</v>
      </c>
      <c r="O43" s="13" t="s">
        <v>608</v>
      </c>
      <c r="P43" s="13" t="s">
        <v>1671</v>
      </c>
      <c r="Q43" s="10" cm="1">
        <f t="array" ref="Q43">IF(ROW()=ROW($Q$2)+1,0,INDEX($Q:$Q,ROW()-1))+IF($A43="",0,1)</f>
        <v>41</v>
      </c>
      <c r="R43" s="20" t="b">
        <f ca="1">OR(CheckRelevance(SanitizeInput(N43),Questionnaire!$I:$I),CheckRelevance(SanitizeInput(N43),Questionnaire!$J:$J))</f>
        <v>0</v>
      </c>
      <c r="S43" s="20" t="str" cm="1">
        <f t="array" aca="1" ref="S43" ca="1">IF(AND($N43&lt;&gt;"",$R43=FALSE),"",
IF(AND($R43,$C43=""),$A43&amp;",§","")&amp;
_xlfn.LAMBDA(_xlpm._in,_xlpm._apRange,_xlpm._ownID,
IF(_xlpm._in="","",_xlfn.LET(
_xlpm._id,LEFT(_xlpm._in,FIND(",",_xlpm._in)-1),
_xlpm._attackPaths,VLOOKUP(_xlpm._id,_xlpm._apRange,COLUMNS(_xlpm._apRange),FALSE),
SUBSTITUTE(_xlpm._attackPaths,"§",_xlpm._ownID&amp;",§")&amp;
GenerateAttackPaths(RemoveFirstElement(_xlpm._in),_xlpm._apRange,_xlpm._ownID))))(SanitizeInput($C43),$A:$S,$A43))</f>
        <v/>
      </c>
      <c r="T43" s="20" t="str" cm="1">
        <f t="array" aca="1" ref="T43" ca="1">GetValues(SanitizeInput($E43),'Damage Scenarios'!$B:$T,"",",",FALSE)</f>
        <v/>
      </c>
      <c r="U43" s="20" t="b">
        <f ca="1">AND($S43&lt;&gt;"",$T43&lt;&gt;"")</f>
        <v>0</v>
      </c>
      <c r="V43" s="20" cm="1">
        <f t="array" aca="1" ref="V43" ca="1">CreateID($V$2,$V:$V,$U43)</f>
        <v>0</v>
      </c>
      <c r="W43" s="20">
        <f ca="1">IF($U43,LEN($S43)-LEN(SUBSTITUTE($S43,"§","")),0)</f>
        <v>0</v>
      </c>
      <c r="X43" s="20">
        <f>IF(H43="",0,VLOOKUP(H43,Definitions!$Z:$AA,COLUMNS(Definitions!$Z:$AA),FALSE))</f>
        <v>10</v>
      </c>
      <c r="Y43" s="20">
        <f>IF(I43="",0,VLOOKUP(I43,Definitions!$Z:$AA,COLUMNS(Definitions!$Z:$AA),FALSE))</f>
        <v>6</v>
      </c>
      <c r="Z43" s="20">
        <f>IF(J43="",0,VLOOKUP(J43,Definitions!$Z:$AA,COLUMNS(Definitions!$Z:$AA),FALSE))</f>
        <v>3</v>
      </c>
      <c r="AA43" s="20">
        <f>IF(K43="",0,VLOOKUP(K43,Definitions!$Z:$AA,COLUMNS(Definitions!$Z:$AA),FALSE))</f>
        <v>0</v>
      </c>
      <c r="AB43" s="20">
        <f>IF(L43="",0,VLOOKUP(L43,Definitions!$Z:$AA,COLUMNS(Definitions!$Z:$AA),FALSE))</f>
        <v>4</v>
      </c>
      <c r="AC43" s="20">
        <f t="shared" ca="1" si="2"/>
        <v>23</v>
      </c>
      <c r="AD43" s="20" cm="1">
        <f t="array" ref="AD43">CreateTaskID($AD$2,$AD:$AD,Tasks!$B$17,$P43)</f>
        <v>0</v>
      </c>
      <c r="AE43" s="20" t="str" cm="1">
        <f t="array" aca="1" ref="AE43" ca="1">InverseLookup($A43,Countermeasures!$X$2,Countermeasures!$A$2,1,Helper!$B$4,",")</f>
        <v>C17,</v>
      </c>
      <c r="AF43" s="20" t="str" cm="1">
        <f t="array" aca="1" ref="AF43" ca="1">InverseLookup($A43,Assumptions!$X$3,Assumptions!$A$3,1,Helper!$B$6,",")</f>
        <v/>
      </c>
      <c r="AG43" s="20" t="str" cm="1">
        <f t="array" aca="1" ref="AG43" ca="1">InverseLookup($A43,Assumptions!$Y$3,Assumptions!$A$3,1,Helper!$B$6,",")</f>
        <v/>
      </c>
      <c r="AH43" s="20" t="str" cm="1">
        <f t="array" aca="1" ref="AH43" ca="1">IF($U43,
CreateSearchString(SUBSTITUTE($S43,"§","")),
"")</f>
        <v/>
      </c>
      <c r="AI43" s="20" t="b">
        <f ca="1">IFERROR(_xlfn.XMATCH("*,"&amp;$A43&amp;",*",$AH:$AH,2)&gt;0,FALSE)</f>
        <v>0</v>
      </c>
    </row>
  </sheetData>
  <phoneticPr fontId="4" type="noConversion"/>
  <conditionalFormatting sqref="A1:A1048576">
    <cfRule type="expression" dxfId="63" priority="1">
      <formula>MATCH(A1,$A:$A,0)&lt;ROW(A1)</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2" id="{44C872D8-1CD5-49B7-B47C-DD4EAE5C802D}">
            <xm:f>IFERROR(FIND(Tasks!$B$17,P1)&gt;0,FALSE)</xm:f>
            <x14:dxf>
              <font>
                <b/>
                <i val="0"/>
                <color rgb="FF99FFCC"/>
              </font>
            </x14:dxf>
          </x14:cfRule>
          <xm:sqref>P1:P1048576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F4D78D2-6C17-4DDD-8F20-8E6D041293CC}">
          <x14:formula1>
            <xm:f>OFFSET(Definitions!$Z$2,MATCH(COLUMN()-COLUMN($H$2)+1,Definitions!$AB:$AB,0)-ROW(Definitions!$Z$2),0,COUNTIF(Definitions!$AB:$AB,COLUMN()-COLUMN($H$2)+1),1)</xm:f>
          </x14:formula1>
          <xm:sqref>H3:L43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EA92F-EF2E-48AF-B0DC-F89E5A6739A8}">
  <sheetPr>
    <tabColor theme="6"/>
  </sheetPr>
  <dimension ref="A1:AO47"/>
  <sheetViews>
    <sheetView workbookViewId="0">
      <pane xSplit="2" ySplit="3" topLeftCell="C4" activePane="bottomRight" state="frozen"/>
      <selection pane="topRight" activeCell="C1" sqref="C1"/>
      <selection pane="bottomLeft" activeCell="A4" sqref="A4"/>
      <selection pane="bottomRight" activeCell="B1" sqref="B1"/>
    </sheetView>
  </sheetViews>
  <sheetFormatPr defaultColWidth="9.140625" defaultRowHeight="15" x14ac:dyDescent="0.25"/>
  <cols>
    <col min="1" max="1" width="9.140625" style="2"/>
    <col min="2" max="2" width="45.7109375" style="2" customWidth="1"/>
    <col min="3" max="4" width="60.7109375" style="2" customWidth="1"/>
    <col min="5" max="5" width="15.7109375" style="2" customWidth="1"/>
    <col min="6" max="6" width="30.7109375" style="2" customWidth="1"/>
    <col min="7" max="7" width="17.42578125" style="2" customWidth="1"/>
    <col min="8" max="8" width="60.7109375" style="9" customWidth="1"/>
    <col min="9" max="9" width="15.7109375" style="2" customWidth="1"/>
    <col min="10" max="10" width="60.7109375" style="9" customWidth="1"/>
    <col min="11" max="16" width="25.7109375" style="2" customWidth="1"/>
    <col min="17" max="17" width="30.140625" style="2" bestFit="1" customWidth="1"/>
    <col min="18" max="18" width="30.140625" style="2" customWidth="1"/>
    <col min="19" max="19" width="45.7109375" style="2" customWidth="1"/>
    <col min="20" max="20" width="15.42578125" style="2" hidden="1" customWidth="1"/>
    <col min="21" max="21" width="21.28515625" style="2" hidden="1" customWidth="1"/>
    <col min="22" max="22" width="26.140625" style="2" hidden="1" customWidth="1"/>
    <col min="23" max="23" width="9.140625" style="2" hidden="1" customWidth="1"/>
    <col min="24" max="24" width="17.42578125" style="2" hidden="1" customWidth="1"/>
    <col min="25" max="25" width="19.85546875" style="2" hidden="1" customWidth="1"/>
    <col min="26" max="31" width="9.140625" style="2" hidden="1" customWidth="1"/>
    <col min="32" max="32" width="39.28515625" style="2" hidden="1" customWidth="1"/>
    <col min="33" max="33" width="22.42578125" style="2" hidden="1" customWidth="1"/>
    <col min="34" max="34" width="34" style="2" hidden="1" customWidth="1"/>
    <col min="35" max="35" width="14.28515625" style="2" hidden="1" customWidth="1"/>
    <col min="36" max="36" width="22.7109375" style="2" hidden="1" customWidth="1"/>
    <col min="37" max="37" width="39.7109375" style="2" hidden="1" customWidth="1"/>
    <col min="38" max="38" width="26" style="2" hidden="1" customWidth="1"/>
    <col min="39" max="39" width="23.7109375" style="2" hidden="1" customWidth="1"/>
    <col min="40" max="40" width="47" style="2" hidden="1" customWidth="1"/>
    <col min="41" max="41" width="27" style="2" hidden="1" customWidth="1"/>
    <col min="42" max="16384" width="9.140625" style="2"/>
  </cols>
  <sheetData>
    <row r="1" spans="1:41" s="115" customFormat="1" x14ac:dyDescent="0.25">
      <c r="A1" s="115"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HYPERLINK("#'"&amp;Helper!$G$2&amp;"'!"&amp;CHAR(CODE("A")+COLUMN(_xlpm._columnNameHeader)-1)&amp;_xlpm._entryOffset,Definitions!$AY$4)))(Helper!$G$7,A$3,README!$E:$E,README!$I$36,README!$B$36)</f>
        <v>◈</v>
      </c>
      <c r="B1" s="115"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HYPERLINK("#'"&amp;Helper!$G$2&amp;"'!"&amp;CHAR(CODE("A")+COLUMN(_xlpm._columnNameHeader)-1)&amp;_xlpm._entryOffset,Definitions!$AY$4)))(Helper!$G$7,B$3,README!$E:$E,README!$I$36,README!$B$36)</f>
        <v>◈</v>
      </c>
      <c r="C1" s="115"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HYPERLINK("#'"&amp;Helper!$G$2&amp;"'!"&amp;CHAR(CODE("A")+COLUMN(_xlpm._columnNameHeader)-1)&amp;_xlpm._entryOffset,Definitions!$AY$4)))(Helper!$G$7,C$3,README!$E:$E,README!$I$36,README!$B$36)</f>
        <v>◈</v>
      </c>
      <c r="D1" s="115"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HYPERLINK("#'"&amp;Helper!$G$2&amp;"'!"&amp;CHAR(CODE("A")+COLUMN(_xlpm._columnNameHeader)-1)&amp;_xlpm._entryOffset,Definitions!$AY$4)))(Helper!$G$7,D$3,README!$E:$E,README!$I$36,README!$B$36)</f>
        <v>◈</v>
      </c>
      <c r="E1" s="115"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HYPERLINK("#'"&amp;Helper!$G$2&amp;"'!"&amp;CHAR(CODE("A")+COLUMN(_xlpm._columnNameHeader)-1)&amp;_xlpm._entryOffset,Definitions!$AY$4)))(Helper!$G$7,E$3,README!$E:$E,README!$I$36,README!$B$36)</f>
        <v>◈</v>
      </c>
      <c r="F1" s="115"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HYPERLINK("#'"&amp;Helper!$G$2&amp;"'!"&amp;CHAR(CODE("A")+COLUMN(_xlpm._columnNameHeader)-1)&amp;_xlpm._entryOffset,Definitions!$AY$4)))(Helper!$G$7,F$3,README!$E:$E,README!$I$36,README!$B$36)</f>
        <v>◈</v>
      </c>
      <c r="G1" s="115"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HYPERLINK("#'"&amp;Helper!$G$2&amp;"'!"&amp;CHAR(CODE("A")+COLUMN(_xlpm._columnNameHeader)-1)&amp;_xlpm._entryOffset,Definitions!$AY$4)))(Helper!$G$7,G$3,README!$E:$E,README!$I$36,README!$B$36)</f>
        <v>◈</v>
      </c>
      <c r="H1" s="115"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HYPERLINK("#'"&amp;Helper!$G$2&amp;"'!"&amp;CHAR(CODE("A")+COLUMN(_xlpm._columnNameHeader)-1)&amp;_xlpm._entryOffset,Definitions!$AY$4)))(Helper!$G$7,H$3,README!$E:$E,README!$I$36,README!$B$36)</f>
        <v>◈</v>
      </c>
      <c r="I1" s="115"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HYPERLINK("#'"&amp;Helper!$G$2&amp;"'!"&amp;CHAR(CODE("A")+COLUMN(_xlpm._columnNameHeader)-1)&amp;_xlpm._entryOffset,Definitions!$AY$4)))(Helper!$G$7,I$3,README!$E:$E,README!$I$36,README!$B$36)</f>
        <v>◈</v>
      </c>
      <c r="J1" s="115"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HYPERLINK("#'"&amp;Helper!$G$2&amp;"'!"&amp;CHAR(CODE("A")+COLUMN(_xlpm._columnNameHeader)-1)&amp;_xlpm._entryOffset,Definitions!$AY$4)))(Helper!$G$7,J$3,README!$E:$E,README!$I$36,README!$B$36)</f>
        <v>◈</v>
      </c>
      <c r="K1" s="115"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HYPERLINK("#'"&amp;Helper!$G$2&amp;"'!"&amp;CHAR(CODE("A")+COLUMN(_xlpm._columnNameHeader)-1)&amp;_xlpm._entryOffset,Definitions!$AY$4)))(Helper!$G$7,K$3,README!$E:$E,README!$I$36,README!$B$36)</f>
        <v>◈</v>
      </c>
      <c r="L1" s="115"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HYPERLINK("#'"&amp;Helper!$G$2&amp;"'!"&amp;CHAR(CODE("A")+COLUMN(_xlpm._columnNameHeader)-1)&amp;_xlpm._entryOffset,Definitions!$AY$4)))(Helper!$G$7,L$3,README!$E:$E,README!$I$36,README!$B$36)</f>
        <v>◈</v>
      </c>
      <c r="M1" s="115"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HYPERLINK("#'"&amp;Helper!$G$2&amp;"'!"&amp;CHAR(CODE("A")+COLUMN(_xlpm._columnNameHeader)-1)&amp;_xlpm._entryOffset,Definitions!$AY$4)))(Helper!$G$7,M$3,README!$E:$E,README!$I$36,README!$B$36)</f>
        <v>◈</v>
      </c>
      <c r="N1" s="115"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HYPERLINK("#'"&amp;Helper!$G$2&amp;"'!"&amp;CHAR(CODE("A")+COLUMN(_xlpm._columnNameHeader)-1)&amp;_xlpm._entryOffset,Definitions!$AY$4)))(Helper!$G$7,N$3,README!$E:$E,README!$I$36,README!$B$36)</f>
        <v>◈</v>
      </c>
      <c r="O1" s="115"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HYPERLINK("#'"&amp;Helper!$G$2&amp;"'!"&amp;CHAR(CODE("A")+COLUMN(_xlpm._columnNameHeader)-1)&amp;_xlpm._entryOffset,Definitions!$AY$4)))(Helper!$G$7,O$3,README!$E:$E,README!$I$36,README!$B$36)</f>
        <v>◈</v>
      </c>
      <c r="P1" s="115" t="str" cm="1">
        <f t="array" aca="1" ref="P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HYPERLINK("#'"&amp;Helper!$G$2&amp;"'!"&amp;CHAR(CODE("A")+COLUMN(_xlpm._columnNameHeader)-1)&amp;_xlpm._entryOffset,Definitions!$AY$4)))(Helper!$G$7,P$3,README!$E:$E,README!$I$36,README!$B$36)</f>
        <v>◈</v>
      </c>
      <c r="Q1" s="115" t="str" cm="1">
        <f t="array" aca="1" ref="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HYPERLINK("#'"&amp;Helper!$G$2&amp;"'!"&amp;CHAR(CODE("A")+COLUMN(_xlpm._columnNameHeader)-1)&amp;_xlpm._entryOffset,Definitions!$AY$4)))(Helper!$G$7,Q$3,README!$E:$E,README!$I$36,README!$B$36)</f>
        <v>◈</v>
      </c>
      <c r="R1" s="115" t="str" cm="1">
        <f t="array" aca="1" ref="R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HYPERLINK("#'"&amp;Helper!$G$2&amp;"'!"&amp;CHAR(CODE("A")+COLUMN(_xlpm._columnNameHeader)-1)&amp;_xlpm._entryOffset,Definitions!$AY$4)))(Helper!$G$7,R$3,README!$E:$E,README!$I$36,README!$B$36)</f>
        <v>◈</v>
      </c>
      <c r="S1" s="115" t="str" cm="1">
        <f t="array" aca="1" ref="S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HYPERLINK("#'"&amp;Helper!$G$2&amp;"'!"&amp;CHAR(CODE("A")+COLUMN(_xlpm._columnNameHeader)-1)&amp;_xlpm._entryOffset,Definitions!$AY$4)))(Helper!$G$7,S$3,README!$E:$E,README!$I$36,README!$B$36)</f>
        <v>◈</v>
      </c>
    </row>
    <row r="3" spans="1:41" x14ac:dyDescent="0.25">
      <c r="A3" s="10" t="s">
        <v>53</v>
      </c>
      <c r="B3" s="10" t="s">
        <v>269</v>
      </c>
      <c r="C3" s="10" t="s">
        <v>218</v>
      </c>
      <c r="D3" s="10" t="s">
        <v>1543</v>
      </c>
      <c r="E3" s="10" t="s">
        <v>370</v>
      </c>
      <c r="F3" s="10" t="s">
        <v>119</v>
      </c>
      <c r="G3" s="10" t="s">
        <v>281</v>
      </c>
      <c r="H3" s="15" t="s">
        <v>276</v>
      </c>
      <c r="I3" s="10" t="s">
        <v>424</v>
      </c>
      <c r="J3" s="15" t="s">
        <v>425</v>
      </c>
      <c r="K3" s="10" t="s">
        <v>131</v>
      </c>
      <c r="L3" s="10" t="s">
        <v>138</v>
      </c>
      <c r="M3" s="10" t="s">
        <v>143</v>
      </c>
      <c r="N3" s="10" t="s">
        <v>147</v>
      </c>
      <c r="O3" s="10" t="s">
        <v>152</v>
      </c>
      <c r="P3" s="15" t="s">
        <v>188</v>
      </c>
      <c r="Q3" s="10" t="s">
        <v>1630</v>
      </c>
      <c r="R3" s="10" t="s">
        <v>1715</v>
      </c>
      <c r="S3" s="10" t="s">
        <v>3</v>
      </c>
      <c r="T3" s="10" t="s">
        <v>54</v>
      </c>
      <c r="U3" s="10" t="s">
        <v>437</v>
      </c>
      <c r="V3" s="10" t="s">
        <v>438</v>
      </c>
      <c r="W3" s="10" t="s">
        <v>230</v>
      </c>
      <c r="X3" s="10" t="s">
        <v>935</v>
      </c>
      <c r="Y3" s="10" t="s">
        <v>283</v>
      </c>
      <c r="Z3" s="10" t="s">
        <v>44</v>
      </c>
      <c r="AA3" s="10" t="s">
        <v>45</v>
      </c>
      <c r="AB3" s="10" t="s">
        <v>46</v>
      </c>
      <c r="AC3" s="10" t="s">
        <v>47</v>
      </c>
      <c r="AD3" s="10" t="s">
        <v>48</v>
      </c>
      <c r="AE3" s="10" t="s">
        <v>78</v>
      </c>
      <c r="AF3" s="10" t="s">
        <v>435</v>
      </c>
      <c r="AG3" s="10" t="s">
        <v>481</v>
      </c>
      <c r="AH3" s="10" t="s">
        <v>639</v>
      </c>
      <c r="AI3" s="10" t="s">
        <v>644</v>
      </c>
      <c r="AJ3" s="10" t="s">
        <v>703</v>
      </c>
      <c r="AK3" s="10" t="s">
        <v>690</v>
      </c>
      <c r="AL3" s="10" t="s">
        <v>704</v>
      </c>
      <c r="AM3" s="10" t="s">
        <v>720</v>
      </c>
      <c r="AN3" s="10" t="s">
        <v>719</v>
      </c>
      <c r="AO3" s="10" t="s">
        <v>1428</v>
      </c>
    </row>
    <row r="4" spans="1:41" ht="60" x14ac:dyDescent="0.25">
      <c r="A4" s="10" t="s">
        <v>214</v>
      </c>
      <c r="B4" s="13" t="s">
        <v>1539</v>
      </c>
      <c r="C4" s="13" t="s">
        <v>270</v>
      </c>
      <c r="D4" s="13" t="s">
        <v>1540</v>
      </c>
      <c r="E4" s="13" t="s">
        <v>372</v>
      </c>
      <c r="F4" s="13" t="s">
        <v>1106</v>
      </c>
      <c r="G4" s="13"/>
      <c r="H4" s="16" t="str" cm="1">
        <f t="array" ref="H4">LookupNames(SanitizeInput($G4),'Attack Steps'!$A:$B)</f>
        <v/>
      </c>
      <c r="I4" s="13"/>
      <c r="J4" s="36" t="str" cm="1">
        <f t="array" ref="J4">IF($I4="","",SUBSTITUTE(SUBSTITUTE(SUBSTITUTE(SUBSTITUTE(SUBSTITUTE(SUBSTITUTE(SUBSTITUTE(SUBSTITUTE(SUBSTITUTE(
GetTransformation(SanitizeInput($I4),'Damage Scenarios'!$A:$J,COLUMNS('Damage Scenarios'!$A:$J),CHAR(10),"[#0][#1][#2]")&amp;"§",
"[#1][#2]",""),
"[#2]",""),
"[#0][#1]","[#1]"),
"[#0]","Removes:"&amp;CHAR(10)),
"[#1]","Transforms:"&amp;CHAR(10)),
CHAR(10)&amp;"§",""),
"§",""),
CHAR(10),CHAR(10)&amp;"   "),
"   "&amp;"Transforms:","Transforms:"))</f>
        <v/>
      </c>
      <c r="K4" s="13"/>
      <c r="L4" s="13"/>
      <c r="M4" s="13"/>
      <c r="N4" s="13"/>
      <c r="O4" s="13"/>
      <c r="P4" s="16" t="str">
        <f ca="1">IF($A4="","",IFERROR(VLOOKUP($AE4,Definitions!$V:$W,COLUMNS(Definitions!$V:$W),TRUE),""))</f>
        <v>Basic</v>
      </c>
      <c r="Q4" s="13" t="s">
        <v>609</v>
      </c>
      <c r="R4" s="13"/>
      <c r="S4" s="13"/>
      <c r="T4" s="10" cm="1">
        <f t="array" ref="T4">IF(ROW()=ROW($T$3)+1,0,INDEX($T:$T,ROW()-1))+IF($A4="",0,1)</f>
        <v>1</v>
      </c>
      <c r="U4" s="14" t="b">
        <f ca="1">OR(CheckRelevance(SanitizeInput(F4),Questionnaire!$I:$I),IFERROR(_xlfn.XMATCH("*,"&amp;$A4&amp;",*",Countermeasures!$AG:$AG,2)&gt;0,FALSE))</f>
        <v>0</v>
      </c>
      <c r="V4" s="14" t="b">
        <f>IFERROR(_xlfn.XMATCH("*,"&amp;$A4&amp;",*",Mitigation!$X:$X,2)&gt;0,FALSE)</f>
        <v>0</v>
      </c>
      <c r="W4" s="14" cm="1">
        <f t="array" ref="W4">CreateTaskID($W$3,$W:$W,Tasks!$B$17,$S4)</f>
        <v>0</v>
      </c>
      <c r="X4" s="14" t="str" cm="1">
        <f t="array" aca="1" ref="X4" ca="1">IF(OR($G4="",NOT($U4)),"",","&amp;SanitizeInput($G4))</f>
        <v/>
      </c>
      <c r="Y4" s="14" t="str" cm="1">
        <f t="array" ref="Y4">IF($G4="","",","&amp;SanitizeInput($G4))</f>
        <v/>
      </c>
      <c r="Z4" s="20">
        <f>IF(K4="",0,VLOOKUP(K4,Definitions!$Z:$AA,COLUMNS(Definitions!$Z:$AA),FALSE))</f>
        <v>0</v>
      </c>
      <c r="AA4" s="20">
        <f>IF(L4="",0,VLOOKUP(L4,Definitions!$Z:$AA,COLUMNS(Definitions!$Z:$AA),FALSE))</f>
        <v>0</v>
      </c>
      <c r="AB4" s="20">
        <f>IF(M4="",0,VLOOKUP(M4,Definitions!$Z:$AA,COLUMNS(Definitions!$Z:$AA),FALSE))</f>
        <v>0</v>
      </c>
      <c r="AC4" s="20">
        <f>IF(N4="",0,VLOOKUP(N4,Definitions!$Z:$AA,COLUMNS(Definitions!$Z:$AA),FALSE))</f>
        <v>0</v>
      </c>
      <c r="AD4" s="20">
        <f>IF(O4="",0,VLOOKUP(O4,Definitions!$Z:$AA,COLUMNS(Definitions!$Z:$AA),FALSE))</f>
        <v>0</v>
      </c>
      <c r="AE4" s="20">
        <f t="shared" ref="AE4:AE45" ca="1" si="0">SUM(OFFSET($Z4,0,0,1,COLUMNS($Z:$AD)))</f>
        <v>0</v>
      </c>
      <c r="AF4" s="20" t="str" cm="1">
        <f t="array" ref="AF4">SUBSTITUTE(IF($V4,IF($I4="","",","&amp;SanitizeInput($I4)),""),"&gt;",",")</f>
        <v/>
      </c>
      <c r="AG4" s="20" cm="1">
        <f t="array" aca="1" ref="AG4" ca="1">IF(ROW()=ROW($AG$3)+1,0,INDEX($AG:$AG,ROW()-1))+IF(OR($U4,$V4),1,0)</f>
        <v>0</v>
      </c>
      <c r="AH4" s="20" t="str" cm="1">
        <f t="array" aca="1" ref="AH4" ca="1">IF(OR($U4,$V4),IF($Q4="","",","&amp;SanitizeInput($Q4)),"")</f>
        <v/>
      </c>
      <c r="AI4" s="20" t="str">
        <f t="shared" ref="AI4:AI45" si="1">$B4&amp;" ["&amp;$E4&amp;"]"</f>
        <v>SDR 1.3 – Product cannot film people [Customer]</v>
      </c>
      <c r="AJ4" s="20" t="str" cm="1">
        <f t="array" aca="1" ref="AJ4" ca="1">IF($F4="*","",InverseLookupList(SanitizeInput($F4),Questionnaire!$AA$3,Questionnaire!$A$3,Helper!$B$12,","))</f>
        <v/>
      </c>
      <c r="AK4" s="20" t="str" cm="1">
        <f t="array" aca="1" ref="AK4" ca="1">RemoveDelimiter(GetValues($AJ4,Questionnaire!$A:$G," ",CHAR(10)&amp;CHAR(10),TRUE),CHAR(10)&amp;CHAR(10))</f>
        <v/>
      </c>
      <c r="AL4" s="20" t="str" cm="1">
        <f t="array" aca="1" ref="AL4" ca="1">CreateSearchString($AJ4)</f>
        <v/>
      </c>
      <c r="AM4" s="20" t="str" cm="1">
        <f t="array" aca="1" ref="AM4" ca="1">InverseLookup($A4,Mitigation!$AD$2,Mitigation!$A$2,1,Helper!$B$5,",")</f>
        <v/>
      </c>
      <c r="AN4" s="20" t="str" cm="1">
        <f t="array" aca="1" ref="AN4" ca="1">CreateSearchString(GetValues($AM4,'Attack Steps'!$A:$O,"",",",FALSE))</f>
        <v/>
      </c>
      <c r="AO4" s="20" t="str">
        <f t="shared" ref="AO4:AO45" si="2">IF($A4="","",$A4)</f>
        <v>A1</v>
      </c>
    </row>
    <row r="5" spans="1:41" ht="105" x14ac:dyDescent="0.25">
      <c r="A5" s="10" t="s">
        <v>215</v>
      </c>
      <c r="B5" s="13" t="s">
        <v>1542</v>
      </c>
      <c r="C5" s="13" t="s">
        <v>390</v>
      </c>
      <c r="D5" s="13" t="s">
        <v>1538</v>
      </c>
      <c r="E5" s="13" t="s">
        <v>372</v>
      </c>
      <c r="F5" s="13" t="s">
        <v>1107</v>
      </c>
      <c r="G5" s="13"/>
      <c r="H5" s="33" t="str" cm="1">
        <f t="array" ref="H5">LookupNames(SanitizeInput($G5),'Attack Steps'!$A:$B)</f>
        <v/>
      </c>
      <c r="I5" s="23"/>
      <c r="J5" s="37" t="str" cm="1">
        <f t="array" ref="J5">IF($I5="","",SUBSTITUTE(SUBSTITUTE(SUBSTITUTE(SUBSTITUTE(SUBSTITUTE(SUBSTITUTE(SUBSTITUTE(SUBSTITUTE(SUBSTITUTE(
GetTransformation(SanitizeInput($I5),'Damage Scenarios'!$A:$J,COLUMNS('Damage Scenarios'!$A:$J),CHAR(10),"[#0][#1][#2]")&amp;"§",
"[#1][#2]",""),
"[#2]",""),
"[#0][#1]","[#1]"),
"[#0]","Removes:"&amp;CHAR(10)),
"[#1]","Transforms:"&amp;CHAR(10)),
CHAR(10)&amp;"§",""),
"§",""),
CHAR(10),CHAR(10)&amp;"   "),
"   "&amp;"Transforms:","Transforms:"))</f>
        <v/>
      </c>
      <c r="K5" s="13"/>
      <c r="L5" s="13"/>
      <c r="M5" s="13"/>
      <c r="N5" s="13"/>
      <c r="O5" s="13"/>
      <c r="P5" s="16" t="str">
        <f ca="1">IF($A5="","",IFERROR(VLOOKUP($AE5,Definitions!$V:$W,COLUMNS(Definitions!$V:$W),TRUE),""))</f>
        <v>Basic</v>
      </c>
      <c r="Q5" s="13" t="s">
        <v>1656</v>
      </c>
      <c r="R5" s="13"/>
      <c r="S5" s="13"/>
      <c r="T5" s="10" cm="1">
        <f t="array" ref="T5">IF(ROW()=ROW($T$3)+1,0,INDEX($T:$T,ROW()-1))+IF($A5="",0,1)</f>
        <v>2</v>
      </c>
      <c r="U5" s="20" t="b">
        <f ca="1">OR(CheckRelevance(SanitizeInput(F5),Questionnaire!$I:$I),IFERROR(_xlfn.XMATCH("*,"&amp;$A5&amp;",*",Countermeasures!$AG:$AG,2)&gt;0,FALSE))</f>
        <v>0</v>
      </c>
      <c r="V5" s="20" t="b">
        <f>IFERROR(_xlfn.XMATCH("*,"&amp;$A5&amp;",*",Mitigation!$X:$X,2)&gt;0,FALSE)</f>
        <v>0</v>
      </c>
      <c r="W5" s="20" cm="1">
        <f t="array" ref="W5">CreateTaskID($W$3,$W:$W,Tasks!$B$17,$S5)</f>
        <v>0</v>
      </c>
      <c r="X5" s="20" t="str" cm="1">
        <f t="array" aca="1" ref="X5" ca="1">IF(OR($G5="",NOT($U5)),"",","&amp;SanitizeInput($G5))</f>
        <v/>
      </c>
      <c r="Y5" s="20" t="str" cm="1">
        <f t="array" ref="Y5">IF($G5="","",","&amp;SanitizeInput($G5))</f>
        <v/>
      </c>
      <c r="Z5" s="20">
        <f>IF(K5="",0,VLOOKUP(K5,Definitions!$Z:$AA,COLUMNS(Definitions!$Z:$AA),FALSE))</f>
        <v>0</v>
      </c>
      <c r="AA5" s="20">
        <f>IF(L5="",0,VLOOKUP(L5,Definitions!$Z:$AA,COLUMNS(Definitions!$Z:$AA),FALSE))</f>
        <v>0</v>
      </c>
      <c r="AB5" s="20">
        <f>IF(M5="",0,VLOOKUP(M5,Definitions!$Z:$AA,COLUMNS(Definitions!$Z:$AA),FALSE))</f>
        <v>0</v>
      </c>
      <c r="AC5" s="20">
        <f>IF(N5="",0,VLOOKUP(N5,Definitions!$Z:$AA,COLUMNS(Definitions!$Z:$AA),FALSE))</f>
        <v>0</v>
      </c>
      <c r="AD5" s="20">
        <f>IF(O5="",0,VLOOKUP(O5,Definitions!$Z:$AA,COLUMNS(Definitions!$Z:$AA),FALSE))</f>
        <v>0</v>
      </c>
      <c r="AE5" s="20">
        <f t="shared" ca="1" si="0"/>
        <v>0</v>
      </c>
      <c r="AF5" s="20" t="str" cm="1">
        <f t="array" ref="AF5">SUBSTITUTE(IF($V5,IF($I5="","",","&amp;SanitizeInput($I5)),""),"&gt;",",")</f>
        <v/>
      </c>
      <c r="AG5" s="20" cm="1">
        <f t="array" aca="1" ref="AG5" ca="1">IF(ROW()=ROW($AG$3)+1,0,INDEX($AG:$AG,ROW()-1))+IF(OR($U5,$V5),1,0)</f>
        <v>0</v>
      </c>
      <c r="AH5" s="20" t="str" cm="1">
        <f t="array" aca="1" ref="AH5" ca="1">IF(OR($U5,$V5),IF($Q5="","",","&amp;SanitizeInput($Q5)),"")</f>
        <v/>
      </c>
      <c r="AI5" s="20" t="str">
        <f t="shared" si="1"/>
        <v>SDR 1.4 – Privacy-compliant handling of camera data [Customer]</v>
      </c>
      <c r="AJ5" s="20" t="str" cm="1">
        <f t="array" aca="1" ref="AJ5" ca="1">IF($F5="*","",InverseLookupList(SanitizeInput($F5),Questionnaire!$AA$3,Questionnaire!$A$3,Helper!$B$12,","))</f>
        <v/>
      </c>
      <c r="AK5" s="20" t="str" cm="1">
        <f t="array" aca="1" ref="AK5" ca="1">RemoveDelimiter(GetValues($AJ5,Questionnaire!$A:$G," ",CHAR(10)&amp;CHAR(10),TRUE),CHAR(10)&amp;CHAR(10))</f>
        <v/>
      </c>
      <c r="AL5" s="20" t="str" cm="1">
        <f t="array" aca="1" ref="AL5" ca="1">CreateSearchString($AJ5)</f>
        <v/>
      </c>
      <c r="AM5" s="20" t="str" cm="1">
        <f t="array" aca="1" ref="AM5" ca="1">InverseLookup($A5,Mitigation!$AD$2,Mitigation!$A$2,1,Helper!$B$5,",")</f>
        <v/>
      </c>
      <c r="AN5" s="20" t="str" cm="1">
        <f t="array" aca="1" ref="AN5" ca="1">CreateSearchString(GetValues($AM5,'Attack Steps'!$A:$O,"",",",FALSE))</f>
        <v/>
      </c>
      <c r="AO5" s="20" t="str">
        <f t="shared" si="2"/>
        <v>A2</v>
      </c>
    </row>
    <row r="6" spans="1:41" ht="105" x14ac:dyDescent="0.25">
      <c r="A6" s="10" t="s">
        <v>272</v>
      </c>
      <c r="B6" s="13" t="s">
        <v>1537</v>
      </c>
      <c r="C6" s="13" t="s">
        <v>391</v>
      </c>
      <c r="D6" s="13" t="s">
        <v>1538</v>
      </c>
      <c r="E6" s="13" t="s">
        <v>372</v>
      </c>
      <c r="F6" s="13" t="s">
        <v>1108</v>
      </c>
      <c r="G6" s="13"/>
      <c r="H6" s="33" t="str" cm="1">
        <f t="array" ref="H6">LookupNames(SanitizeInput($G6),'Attack Steps'!$A:$B)</f>
        <v/>
      </c>
      <c r="I6" s="23"/>
      <c r="J6" s="37" t="str" cm="1">
        <f t="array" ref="J6">IF($I6="","",SUBSTITUTE(SUBSTITUTE(SUBSTITUTE(SUBSTITUTE(SUBSTITUTE(SUBSTITUTE(SUBSTITUTE(SUBSTITUTE(SUBSTITUTE(
GetTransformation(SanitizeInput($I6),'Damage Scenarios'!$A:$J,COLUMNS('Damage Scenarios'!$A:$J),CHAR(10),"[#0][#1][#2]")&amp;"§",
"[#1][#2]",""),
"[#2]",""),
"[#0][#1]","[#1]"),
"[#0]","Removes:"&amp;CHAR(10)),
"[#1]","Transforms:"&amp;CHAR(10)),
CHAR(10)&amp;"§",""),
"§",""),
CHAR(10),CHAR(10)&amp;"   "),
"   "&amp;"Transforms:","Transforms:"))</f>
        <v/>
      </c>
      <c r="K6" s="13"/>
      <c r="L6" s="13"/>
      <c r="M6" s="13"/>
      <c r="N6" s="13"/>
      <c r="O6" s="13"/>
      <c r="P6" s="16" t="str">
        <f ca="1">IF($A6="","",IFERROR(VLOOKUP($AE6,Definitions!$V:$W,COLUMNS(Definitions!$V:$W),TRUE),""))</f>
        <v>Basic</v>
      </c>
      <c r="Q6" s="13" t="s">
        <v>1656</v>
      </c>
      <c r="R6" s="13"/>
      <c r="S6" s="13"/>
      <c r="T6" s="10" cm="1">
        <f t="array" ref="T6">IF(ROW()=ROW($T$3)+1,0,INDEX($T:$T,ROW()-1))+IF($A6="",0,1)</f>
        <v>3</v>
      </c>
      <c r="U6" s="20" t="b">
        <f ca="1">OR(CheckRelevance(SanitizeInput(F6),Questionnaire!$I:$I),IFERROR(_xlfn.XMATCH("*,"&amp;$A6&amp;",*",Countermeasures!$AG:$AG,2)&gt;0,FALSE))</f>
        <v>0</v>
      </c>
      <c r="V6" s="20" t="b">
        <f>IFERROR(_xlfn.XMATCH("*,"&amp;$A6&amp;",*",Mitigation!$X:$X,2)&gt;0,FALSE)</f>
        <v>0</v>
      </c>
      <c r="W6" s="20" cm="1">
        <f t="array" ref="W6">CreateTaskID($W$3,$W:$W,Tasks!$B$17,$S6)</f>
        <v>0</v>
      </c>
      <c r="X6" s="20" t="str" cm="1">
        <f t="array" aca="1" ref="X6" ca="1">IF(OR($G6="",NOT($U6)),"",","&amp;SanitizeInput($G6))</f>
        <v/>
      </c>
      <c r="Y6" s="20" t="str" cm="1">
        <f t="array" ref="Y6">IF($G6="","",","&amp;SanitizeInput($G6))</f>
        <v/>
      </c>
      <c r="Z6" s="20">
        <f>IF(K6="",0,VLOOKUP(K6,Definitions!$Z:$AA,COLUMNS(Definitions!$Z:$AA),FALSE))</f>
        <v>0</v>
      </c>
      <c r="AA6" s="20">
        <f>IF(L6="",0,VLOOKUP(L6,Definitions!$Z:$AA,COLUMNS(Definitions!$Z:$AA),FALSE))</f>
        <v>0</v>
      </c>
      <c r="AB6" s="20">
        <f>IF(M6="",0,VLOOKUP(M6,Definitions!$Z:$AA,COLUMNS(Definitions!$Z:$AA),FALSE))</f>
        <v>0</v>
      </c>
      <c r="AC6" s="20">
        <f>IF(N6="",0,VLOOKUP(N6,Definitions!$Z:$AA,COLUMNS(Definitions!$Z:$AA),FALSE))</f>
        <v>0</v>
      </c>
      <c r="AD6" s="20">
        <f>IF(O6="",0,VLOOKUP(O6,Definitions!$Z:$AA,COLUMNS(Definitions!$Z:$AA),FALSE))</f>
        <v>0</v>
      </c>
      <c r="AE6" s="20">
        <f t="shared" ca="1" si="0"/>
        <v>0</v>
      </c>
      <c r="AF6" s="20" t="str" cm="1">
        <f t="array" ref="AF6">SUBSTITUTE(IF($V6,IF($I6="","",","&amp;SanitizeInput($I6)),""),"&gt;",",")</f>
        <v/>
      </c>
      <c r="AG6" s="20" cm="1">
        <f t="array" aca="1" ref="AG6" ca="1">IF(ROW()=ROW($AG$3)+1,0,INDEX($AG:$AG,ROW()-1))+IF(OR($U6,$V6),1,0)</f>
        <v>0</v>
      </c>
      <c r="AH6" s="20" t="str" cm="1">
        <f t="array" aca="1" ref="AH6" ca="1">IF(OR($U6,$V6),IF($Q6="","",","&amp;SanitizeInput($Q6)),"")</f>
        <v/>
      </c>
      <c r="AI6" s="20" t="str">
        <f t="shared" si="1"/>
        <v>SDR 1.2 – Handling of personal data [Customer]</v>
      </c>
      <c r="AJ6" s="20" t="str" cm="1">
        <f t="array" aca="1" ref="AJ6" ca="1">IF($F6="*","",InverseLookupList(SanitizeInput($F6),Questionnaire!$AA$3,Questionnaire!$A$3,Helper!$B$12,","))</f>
        <v/>
      </c>
      <c r="AK6" s="20" t="str" cm="1">
        <f t="array" aca="1" ref="AK6" ca="1">RemoveDelimiter(GetValues($AJ6,Questionnaire!$A:$G," ",CHAR(10)&amp;CHAR(10),TRUE),CHAR(10)&amp;CHAR(10))</f>
        <v/>
      </c>
      <c r="AL6" s="20" t="str" cm="1">
        <f t="array" aca="1" ref="AL6" ca="1">CreateSearchString($AJ6)</f>
        <v/>
      </c>
      <c r="AM6" s="20" t="str" cm="1">
        <f t="array" aca="1" ref="AM6" ca="1">InverseLookup($A6,Mitigation!$AD$2,Mitigation!$A$2,1,Helper!$B$5,",")</f>
        <v/>
      </c>
      <c r="AN6" s="20" t="str" cm="1">
        <f t="array" aca="1" ref="AN6" ca="1">CreateSearchString(GetValues($AM6,'Attack Steps'!$A:$O,"",",",FALSE))</f>
        <v/>
      </c>
      <c r="AO6" s="20" t="str">
        <f t="shared" si="2"/>
        <v>A3</v>
      </c>
    </row>
    <row r="7" spans="1:41" ht="75" x14ac:dyDescent="0.25">
      <c r="A7" s="10" t="s">
        <v>339</v>
      </c>
      <c r="B7" s="13" t="s">
        <v>1594</v>
      </c>
      <c r="C7" s="13" t="s">
        <v>392</v>
      </c>
      <c r="D7" s="13" t="s">
        <v>1595</v>
      </c>
      <c r="E7" s="13" t="str">
        <f>Definitions!$C$4</f>
        <v>&lt;OEM name&gt;</v>
      </c>
      <c r="F7" s="13" t="s">
        <v>1096</v>
      </c>
      <c r="G7" s="13"/>
      <c r="H7" s="33" t="str" cm="1">
        <f t="array" ref="H7">LookupNames(SanitizeInput($G7),'Attack Steps'!$A:$B)</f>
        <v/>
      </c>
      <c r="I7" s="23"/>
      <c r="J7" s="37" t="str" cm="1">
        <f t="array" ref="J7">IF($I7="","",SUBSTITUTE(SUBSTITUTE(SUBSTITUTE(SUBSTITUTE(SUBSTITUTE(SUBSTITUTE(SUBSTITUTE(SUBSTITUTE(SUBSTITUTE(
GetTransformation(SanitizeInput($I7),'Damage Scenarios'!$A:$J,COLUMNS('Damage Scenarios'!$A:$J),CHAR(10),"[#0][#1][#2]")&amp;"§",
"[#1][#2]",""),
"[#2]",""),
"[#0][#1]","[#1]"),
"[#0]","Removes:"&amp;CHAR(10)),
"[#1]","Transforms:"&amp;CHAR(10)),
CHAR(10)&amp;"§",""),
"§",""),
CHAR(10),CHAR(10)&amp;"   "),
"   "&amp;"Transforms:","Transforms:"))</f>
        <v/>
      </c>
      <c r="K7" s="13"/>
      <c r="L7" s="13"/>
      <c r="M7" s="13"/>
      <c r="N7" s="13"/>
      <c r="O7" s="13"/>
      <c r="P7" s="16" t="str">
        <f ca="1">IF($A7="","",IFERROR(VLOOKUP($AE7,Definitions!$V:$W,COLUMNS(Definitions!$V:$W),TRUE),""))</f>
        <v>Basic</v>
      </c>
      <c r="Q7" s="13" t="s">
        <v>608</v>
      </c>
      <c r="R7" s="13"/>
      <c r="S7" s="13" t="s">
        <v>388</v>
      </c>
      <c r="T7" s="10" cm="1">
        <f t="array" ref="T7">IF(ROW()=ROW($T$3)+1,0,INDEX($T:$T,ROW()-1))+IF($A7="",0,1)</f>
        <v>4</v>
      </c>
      <c r="U7" s="20" t="b">
        <f ca="1">OR(CheckRelevance(SanitizeInput(F7),Questionnaire!$I:$I),IFERROR(_xlfn.XMATCH("*,"&amp;$A7&amp;",*",Countermeasures!$AG:$AG,2)&gt;0,FALSE))</f>
        <v>0</v>
      </c>
      <c r="V7" s="20" t="b">
        <f>IFERROR(_xlfn.XMATCH("*,"&amp;$A7&amp;",*",Mitigation!$X:$X,2)&gt;0,FALSE)</f>
        <v>0</v>
      </c>
      <c r="W7" s="20" cm="1">
        <f t="array" ref="W7">CreateTaskID($W$3,$W:$W,Tasks!$B$17,$S7)</f>
        <v>0</v>
      </c>
      <c r="X7" s="20" t="str" cm="1">
        <f t="array" aca="1" ref="X7" ca="1">IF(OR($G7="",NOT($U7)),"",","&amp;SanitizeInput($G7))</f>
        <v/>
      </c>
      <c r="Y7" s="20" t="str" cm="1">
        <f t="array" ref="Y7">IF($G7="","",","&amp;SanitizeInput($G7))</f>
        <v/>
      </c>
      <c r="Z7" s="20">
        <f>IF(K7="",0,VLOOKUP(K7,Definitions!$Z:$AA,COLUMNS(Definitions!$Z:$AA),FALSE))</f>
        <v>0</v>
      </c>
      <c r="AA7" s="20">
        <f>IF(L7="",0,VLOOKUP(L7,Definitions!$Z:$AA,COLUMNS(Definitions!$Z:$AA),FALSE))</f>
        <v>0</v>
      </c>
      <c r="AB7" s="20">
        <f>IF(M7="",0,VLOOKUP(M7,Definitions!$Z:$AA,COLUMNS(Definitions!$Z:$AA),FALSE))</f>
        <v>0</v>
      </c>
      <c r="AC7" s="20">
        <f>IF(N7="",0,VLOOKUP(N7,Definitions!$Z:$AA,COLUMNS(Definitions!$Z:$AA),FALSE))</f>
        <v>0</v>
      </c>
      <c r="AD7" s="20">
        <f>IF(O7="",0,VLOOKUP(O7,Definitions!$Z:$AA,COLUMNS(Definitions!$Z:$AA),FALSE))</f>
        <v>0</v>
      </c>
      <c r="AE7" s="20">
        <f t="shared" ca="1" si="0"/>
        <v>0</v>
      </c>
      <c r="AF7" s="20" t="str" cm="1">
        <f t="array" ref="AF7">SUBSTITUTE(IF($V7,IF($I7="","",","&amp;SanitizeInput($I7)),""),"&gt;",",")</f>
        <v/>
      </c>
      <c r="AG7" s="20" cm="1">
        <f t="array" aca="1" ref="AG7" ca="1">IF(ROW()=ROW($AG$3)+1,0,INDEX($AG:$AG,ROW()-1))+IF(OR($U7,$V7),1,0)</f>
        <v>0</v>
      </c>
      <c r="AH7" s="20" t="str" cm="1">
        <f t="array" aca="1" ref="AH7" ca="1">IF(OR($U7,$V7),IF($Q7="","",","&amp;SanitizeInput($Q7)),"")</f>
        <v/>
      </c>
      <c r="AI7" s="20" t="str">
        <f t="shared" si="1"/>
        <v>SDR 2.1 – No legal or contractual obligations for data confidentiality [&lt;OEM name&gt;]</v>
      </c>
      <c r="AJ7" s="20" t="str" cm="1">
        <f t="array" aca="1" ref="AJ7" ca="1">IF($F7="*","",InverseLookupList(SanitizeInput($F7),Questionnaire!$AA$3,Questionnaire!$A$3,Helper!$B$12,","))</f>
        <v/>
      </c>
      <c r="AK7" s="20" t="str" cm="1">
        <f t="array" aca="1" ref="AK7" ca="1">RemoveDelimiter(GetValues($AJ7,Questionnaire!$A:$G," ",CHAR(10)&amp;CHAR(10),TRUE),CHAR(10)&amp;CHAR(10))</f>
        <v/>
      </c>
      <c r="AL7" s="20" t="str" cm="1">
        <f t="array" aca="1" ref="AL7" ca="1">CreateSearchString($AJ7)</f>
        <v/>
      </c>
      <c r="AM7" s="20" t="str" cm="1">
        <f t="array" aca="1" ref="AM7" ca="1">InverseLookup($A7,Mitigation!$AD$2,Mitigation!$A$2,1,Helper!$B$5,",")</f>
        <v/>
      </c>
      <c r="AN7" s="20" t="str" cm="1">
        <f t="array" aca="1" ref="AN7" ca="1">CreateSearchString(GetValues($AM7,'Attack Steps'!$A:$O,"",",",FALSE))</f>
        <v/>
      </c>
      <c r="AO7" s="20" t="str">
        <f t="shared" si="2"/>
        <v>A4</v>
      </c>
    </row>
    <row r="8" spans="1:41" ht="30" x14ac:dyDescent="0.25">
      <c r="A8" s="10" t="s">
        <v>340</v>
      </c>
      <c r="B8" s="13" t="s">
        <v>1545</v>
      </c>
      <c r="C8" s="13" t="s">
        <v>393</v>
      </c>
      <c r="D8" s="13" t="s">
        <v>1546</v>
      </c>
      <c r="E8" s="13" t="s">
        <v>372</v>
      </c>
      <c r="F8" s="13" t="s">
        <v>1083</v>
      </c>
      <c r="G8" s="13"/>
      <c r="H8" s="33" t="str" cm="1">
        <f t="array" ref="H8">LookupNames(SanitizeInput($G8),'Attack Steps'!$A:$B)</f>
        <v/>
      </c>
      <c r="I8" s="23"/>
      <c r="J8" s="37" t="str" cm="1">
        <f t="array" ref="J8">IF($I8="","",SUBSTITUTE(SUBSTITUTE(SUBSTITUTE(SUBSTITUTE(SUBSTITUTE(SUBSTITUTE(SUBSTITUTE(SUBSTITUTE(SUBSTITUTE(
GetTransformation(SanitizeInput($I8),'Damage Scenarios'!$A:$J,COLUMNS('Damage Scenarios'!$A:$J),CHAR(10),"[#0][#1][#2]")&amp;"§",
"[#1][#2]",""),
"[#2]",""),
"[#0][#1]","[#1]"),
"[#0]","Removes:"&amp;CHAR(10)),
"[#1]","Transforms:"&amp;CHAR(10)),
CHAR(10)&amp;"§",""),
"§",""),
CHAR(10),CHAR(10)&amp;"   "),
"   "&amp;"Transforms:","Transforms:"))</f>
        <v/>
      </c>
      <c r="K8" s="13"/>
      <c r="L8" s="13"/>
      <c r="M8" s="13"/>
      <c r="N8" s="13"/>
      <c r="O8" s="13"/>
      <c r="P8" s="16" t="str">
        <f ca="1">IF($A8="","",IFERROR(VLOOKUP($AE8,Definitions!$V:$W,COLUMNS(Definitions!$V:$W),TRUE),""))</f>
        <v>Basic</v>
      </c>
      <c r="Q8" s="13" t="s">
        <v>62</v>
      </c>
      <c r="R8" s="13"/>
      <c r="S8" s="13"/>
      <c r="T8" s="10" cm="1">
        <f t="array" ref="T8">IF(ROW()=ROW($T$3)+1,0,INDEX($T:$T,ROW()-1))+IF($A8="",0,1)</f>
        <v>5</v>
      </c>
      <c r="U8" s="20" t="b">
        <f ca="1">OR(CheckRelevance(SanitizeInput(F8),Questionnaire!$I:$I),IFERROR(_xlfn.XMATCH("*,"&amp;$A8&amp;",*",Countermeasures!$AG:$AG,2)&gt;0,FALSE))</f>
        <v>0</v>
      </c>
      <c r="V8" s="20" t="b">
        <f>IFERROR(_xlfn.XMATCH("*,"&amp;$A8&amp;",*",Mitigation!$X:$X,2)&gt;0,FALSE)</f>
        <v>0</v>
      </c>
      <c r="W8" s="20" cm="1">
        <f t="array" ref="W8">CreateTaskID($W$3,$W:$W,Tasks!$B$17,$S8)</f>
        <v>0</v>
      </c>
      <c r="X8" s="20" t="str" cm="1">
        <f t="array" aca="1" ref="X8" ca="1">IF(OR($G8="",NOT($U8)),"",","&amp;SanitizeInput($G8))</f>
        <v/>
      </c>
      <c r="Y8" s="20" t="str" cm="1">
        <f t="array" ref="Y8">IF($G8="","",","&amp;SanitizeInput($G8))</f>
        <v/>
      </c>
      <c r="Z8" s="20">
        <f>IF(K8="",0,VLOOKUP(K8,Definitions!$Z:$AA,COLUMNS(Definitions!$Z:$AA),FALSE))</f>
        <v>0</v>
      </c>
      <c r="AA8" s="20">
        <f>IF(L8="",0,VLOOKUP(L8,Definitions!$Z:$AA,COLUMNS(Definitions!$Z:$AA),FALSE))</f>
        <v>0</v>
      </c>
      <c r="AB8" s="20">
        <f>IF(M8="",0,VLOOKUP(M8,Definitions!$Z:$AA,COLUMNS(Definitions!$Z:$AA),FALSE))</f>
        <v>0</v>
      </c>
      <c r="AC8" s="20">
        <f>IF(N8="",0,VLOOKUP(N8,Definitions!$Z:$AA,COLUMNS(Definitions!$Z:$AA),FALSE))</f>
        <v>0</v>
      </c>
      <c r="AD8" s="20">
        <f>IF(O8="",0,VLOOKUP(O8,Definitions!$Z:$AA,COLUMNS(Definitions!$Z:$AA),FALSE))</f>
        <v>0</v>
      </c>
      <c r="AE8" s="20">
        <f t="shared" ca="1" si="0"/>
        <v>0</v>
      </c>
      <c r="AF8" s="20" t="str" cm="1">
        <f t="array" ref="AF8">SUBSTITUTE(IF($V8,IF($I8="","",","&amp;SanitizeInput($I8)),""),"&gt;",",")</f>
        <v/>
      </c>
      <c r="AG8" s="20" cm="1">
        <f t="array" aca="1" ref="AG8" ca="1">IF(ROW()=ROW($AG$3)+1,0,INDEX($AG:$AG,ROW()-1))+IF(OR($U8,$V8),1,0)</f>
        <v>0</v>
      </c>
      <c r="AH8" s="20" t="str" cm="1">
        <f t="array" aca="1" ref="AH8" ca="1">IF(OR($U8,$V8),IF($Q8="","",","&amp;SanitizeInput($Q8)),"")</f>
        <v/>
      </c>
      <c r="AI8" s="20" t="str">
        <f t="shared" si="1"/>
        <v>SDR 1.5 – Product is not used for safety-relevant use cases [Customer]</v>
      </c>
      <c r="AJ8" s="20" t="str" cm="1">
        <f t="array" aca="1" ref="AJ8" ca="1">IF($F8="*","",InverseLookupList(SanitizeInput($F8),Questionnaire!$AA$3,Questionnaire!$A$3,Helper!$B$12,","))</f>
        <v/>
      </c>
      <c r="AK8" s="20" t="str" cm="1">
        <f t="array" aca="1" ref="AK8" ca="1">RemoveDelimiter(GetValues($AJ8,Questionnaire!$A:$G," ",CHAR(10)&amp;CHAR(10),TRUE),CHAR(10)&amp;CHAR(10))</f>
        <v/>
      </c>
      <c r="AL8" s="20" t="str" cm="1">
        <f t="array" aca="1" ref="AL8" ca="1">CreateSearchString($AJ8)</f>
        <v/>
      </c>
      <c r="AM8" s="20" t="str" cm="1">
        <f t="array" aca="1" ref="AM8" ca="1">InverseLookup($A8,Mitigation!$AD$2,Mitigation!$A$2,1,Helper!$B$5,",")</f>
        <v/>
      </c>
      <c r="AN8" s="20" t="str" cm="1">
        <f t="array" aca="1" ref="AN8" ca="1">CreateSearchString(GetValues($AM8,'Attack Steps'!$A:$O,"",",",FALSE))</f>
        <v/>
      </c>
      <c r="AO8" s="20" t="str">
        <f t="shared" si="2"/>
        <v>A5</v>
      </c>
    </row>
    <row r="9" spans="1:41" ht="45" x14ac:dyDescent="0.25">
      <c r="A9" s="10" t="s">
        <v>367</v>
      </c>
      <c r="B9" s="13" t="s">
        <v>1547</v>
      </c>
      <c r="C9" s="13" t="s">
        <v>753</v>
      </c>
      <c r="D9" s="13" t="s">
        <v>1548</v>
      </c>
      <c r="E9" s="13" t="s">
        <v>372</v>
      </c>
      <c r="F9" s="13" t="s">
        <v>1112</v>
      </c>
      <c r="G9" s="13"/>
      <c r="H9" s="33" t="str" cm="1">
        <f t="array" ref="H9">LookupNames(SanitizeInput($G9),'Attack Steps'!$A:$B)</f>
        <v/>
      </c>
      <c r="I9" s="23"/>
      <c r="J9" s="37" t="str" cm="1">
        <f t="array" ref="J9">IF($I9="","",SUBSTITUTE(SUBSTITUTE(SUBSTITUTE(SUBSTITUTE(SUBSTITUTE(SUBSTITUTE(SUBSTITUTE(SUBSTITUTE(SUBSTITUTE(
GetTransformation(SanitizeInput($I9),'Damage Scenarios'!$A:$J,COLUMNS('Damage Scenarios'!$A:$J),CHAR(10),"[#0][#1][#2]")&amp;"§",
"[#1][#2]",""),
"[#2]",""),
"[#0][#1]","[#1]"),
"[#0]","Removes:"&amp;CHAR(10)),
"[#1]","Transforms:"&amp;CHAR(10)),
CHAR(10)&amp;"§",""),
"§",""),
CHAR(10),CHAR(10)&amp;"   "),
"   "&amp;"Transforms:","Transforms:"))</f>
        <v/>
      </c>
      <c r="K9" s="13"/>
      <c r="L9" s="13"/>
      <c r="M9" s="13"/>
      <c r="N9" s="13"/>
      <c r="O9" s="13"/>
      <c r="P9" s="16" t="str">
        <f ca="1">IF($A9="","",IFERROR(VLOOKUP($AE9,Definitions!$V:$W,COLUMNS(Definitions!$V:$W),TRUE),""))</f>
        <v>Basic</v>
      </c>
      <c r="Q9" s="13" t="s">
        <v>606</v>
      </c>
      <c r="R9" s="13"/>
      <c r="S9" s="13"/>
      <c r="T9" s="10" cm="1">
        <f t="array" ref="T9">IF(ROW()=ROW($T$3)+1,0,INDEX($T:$T,ROW()-1))+IF($A9="",0,1)</f>
        <v>6</v>
      </c>
      <c r="U9" s="20" t="b">
        <f ca="1">OR(CheckRelevance(SanitizeInput(F9),Questionnaire!$I:$I),IFERROR(_xlfn.XMATCH("*,"&amp;$A9&amp;",*",Countermeasures!$AG:$AG,2)&gt;0,FALSE))</f>
        <v>0</v>
      </c>
      <c r="V9" s="20" t="b">
        <f>IFERROR(_xlfn.XMATCH("*,"&amp;$A9&amp;",*",Mitigation!$X:$X,2)&gt;0,FALSE)</f>
        <v>0</v>
      </c>
      <c r="W9" s="20" cm="1">
        <f t="array" ref="W9">CreateTaskID($W$3,$W:$W,Tasks!$B$17,$S9)</f>
        <v>0</v>
      </c>
      <c r="X9" s="20" t="str" cm="1">
        <f t="array" aca="1" ref="X9" ca="1">IF(OR($G9="",NOT($U9)),"",","&amp;SanitizeInput($G9))</f>
        <v/>
      </c>
      <c r="Y9" s="20" t="str" cm="1">
        <f t="array" ref="Y9">IF($G9="","",","&amp;SanitizeInput($G9))</f>
        <v/>
      </c>
      <c r="Z9" s="20">
        <f>IF(K9="",0,VLOOKUP(K9,Definitions!$Z:$AA,COLUMNS(Definitions!$Z:$AA),FALSE))</f>
        <v>0</v>
      </c>
      <c r="AA9" s="20">
        <f>IF(L9="",0,VLOOKUP(L9,Definitions!$Z:$AA,COLUMNS(Definitions!$Z:$AA),FALSE))</f>
        <v>0</v>
      </c>
      <c r="AB9" s="20">
        <f>IF(M9="",0,VLOOKUP(M9,Definitions!$Z:$AA,COLUMNS(Definitions!$Z:$AA),FALSE))</f>
        <v>0</v>
      </c>
      <c r="AC9" s="20">
        <f>IF(N9="",0,VLOOKUP(N9,Definitions!$Z:$AA,COLUMNS(Definitions!$Z:$AA),FALSE))</f>
        <v>0</v>
      </c>
      <c r="AD9" s="20">
        <f>IF(O9="",0,VLOOKUP(O9,Definitions!$Z:$AA,COLUMNS(Definitions!$Z:$AA),FALSE))</f>
        <v>0</v>
      </c>
      <c r="AE9" s="20">
        <f t="shared" ca="1" si="0"/>
        <v>0</v>
      </c>
      <c r="AF9" s="20" t="str" cm="1">
        <f t="array" ref="AF9">SUBSTITUTE(IF($V9,IF($I9="","",","&amp;SanitizeInput($I9)),""),"&gt;",",")</f>
        <v/>
      </c>
      <c r="AG9" s="20" cm="1">
        <f t="array" aca="1" ref="AG9" ca="1">IF(ROW()=ROW($AG$3)+1,0,INDEX($AG:$AG,ROW()-1))+IF(OR($U9,$V9),1,0)</f>
        <v>0</v>
      </c>
      <c r="AH9" s="20" t="str" cm="1">
        <f t="array" aca="1" ref="AH9" ca="1">IF(OR($U9,$V9),IF($Q9="","",","&amp;SanitizeInput($Q9)),"")</f>
        <v/>
      </c>
      <c r="AI9" s="20" t="str">
        <f t="shared" si="1"/>
        <v>SDR 1.6 – Product not relevant for availability of operational environment [Customer]</v>
      </c>
      <c r="AJ9" s="20" t="str" cm="1">
        <f t="array" aca="1" ref="AJ9" ca="1">IF($F9="*","",InverseLookupList(SanitizeInput($F9),Questionnaire!$AA$3,Questionnaire!$A$3,Helper!$B$12,","))</f>
        <v/>
      </c>
      <c r="AK9" s="20" t="str" cm="1">
        <f t="array" aca="1" ref="AK9" ca="1">RemoveDelimiter(GetValues($AJ9,Questionnaire!$A:$G," ",CHAR(10)&amp;CHAR(10),TRUE),CHAR(10)&amp;CHAR(10))</f>
        <v/>
      </c>
      <c r="AL9" s="20" t="str" cm="1">
        <f t="array" aca="1" ref="AL9" ca="1">CreateSearchString($AJ9)</f>
        <v/>
      </c>
      <c r="AM9" s="20" t="str" cm="1">
        <f t="array" aca="1" ref="AM9" ca="1">InverseLookup($A9,Mitigation!$AD$2,Mitigation!$A$2,1,Helper!$B$5,",")</f>
        <v/>
      </c>
      <c r="AN9" s="20" t="str" cm="1">
        <f t="array" aca="1" ref="AN9" ca="1">CreateSearchString(GetValues($AM9,'Attack Steps'!$A:$O,"",",",FALSE))</f>
        <v/>
      </c>
      <c r="AO9" s="20" t="str">
        <f t="shared" si="2"/>
        <v>A6</v>
      </c>
    </row>
    <row r="10" spans="1:41" ht="45" x14ac:dyDescent="0.25">
      <c r="A10" s="10" t="s">
        <v>375</v>
      </c>
      <c r="B10" s="13" t="s">
        <v>1549</v>
      </c>
      <c r="C10" s="13" t="str" cm="1">
        <f t="array" aca="1" ref="C10" ca="1">"If the product stops working, then the damages to its operational environment are at most: "&amp;IFERROR(SimpleLookup(SimpleLookup("QI7",Questionnaire!$A:$E),Definitions!$H:$J),"")</f>
        <v xml:space="preserve">If the product stops working, then the damages to its operational environment are at most: </v>
      </c>
      <c r="D10" s="13" t="s">
        <v>1552</v>
      </c>
      <c r="E10" s="13" t="s">
        <v>372</v>
      </c>
      <c r="F10" s="13" t="s">
        <v>1089</v>
      </c>
      <c r="G10" s="13"/>
      <c r="H10" s="33" t="str" cm="1">
        <f t="array" ref="H10">LookupNames(SanitizeInput($G10),'Attack Steps'!$A:$B)</f>
        <v/>
      </c>
      <c r="I10" s="23"/>
      <c r="J10" s="37" t="str" cm="1">
        <f t="array" ref="J10">IF($I10="","",SUBSTITUTE(SUBSTITUTE(SUBSTITUTE(SUBSTITUTE(SUBSTITUTE(SUBSTITUTE(SUBSTITUTE(SUBSTITUTE(SUBSTITUTE(
GetTransformation(SanitizeInput($I10),'Damage Scenarios'!$A:$J,COLUMNS('Damage Scenarios'!$A:$J),CHAR(10),"[#0][#1][#2]")&amp;"§",
"[#1][#2]",""),
"[#2]",""),
"[#0][#1]","[#1]"),
"[#0]","Removes:"&amp;CHAR(10)),
"[#1]","Transforms:"&amp;CHAR(10)),
CHAR(10)&amp;"§",""),
"§",""),
CHAR(10),CHAR(10)&amp;"   "),
"   "&amp;"Transforms:","Transforms:"))</f>
        <v/>
      </c>
      <c r="K10" s="13"/>
      <c r="L10" s="13"/>
      <c r="M10" s="13"/>
      <c r="N10" s="13"/>
      <c r="O10" s="13"/>
      <c r="P10" s="16" t="str">
        <f ca="1">IF($A10="","",IFERROR(VLOOKUP($AE10,Definitions!$V:$W,COLUMNS(Definitions!$V:$W),TRUE),""))</f>
        <v>Basic</v>
      </c>
      <c r="Q10" s="13" t="s">
        <v>606</v>
      </c>
      <c r="R10" s="13"/>
      <c r="S10" s="13"/>
      <c r="T10" s="10" cm="1">
        <f t="array" ref="T10">IF(ROW()=ROW($T$3)+1,0,INDEX($T:$T,ROW()-1))+IF($A10="",0,1)</f>
        <v>7</v>
      </c>
      <c r="U10" s="20" t="b">
        <f ca="1">OR(CheckRelevance(SanitizeInput(F10),Questionnaire!$I:$I),IFERROR(_xlfn.XMATCH("*,"&amp;$A10&amp;",*",Countermeasures!$AG:$AG,2)&gt;0,FALSE))</f>
        <v>0</v>
      </c>
      <c r="V10" s="20" t="b">
        <f>IFERROR(_xlfn.XMATCH("*,"&amp;$A10&amp;",*",Mitigation!$X:$X,2)&gt;0,FALSE)</f>
        <v>0</v>
      </c>
      <c r="W10" s="20" cm="1">
        <f t="array" ref="W10">CreateTaskID($W$3,$W:$W,Tasks!$B$17,$S10)</f>
        <v>0</v>
      </c>
      <c r="X10" s="20" t="str" cm="1">
        <f t="array" aca="1" ref="X10" ca="1">IF(OR($G10="",NOT($U10)),"",","&amp;SanitizeInput($G10))</f>
        <v/>
      </c>
      <c r="Y10" s="20" t="str" cm="1">
        <f t="array" ref="Y10">IF($G10="","",","&amp;SanitizeInput($G10))</f>
        <v/>
      </c>
      <c r="Z10" s="20">
        <f>IF(K10="",0,VLOOKUP(K10,Definitions!$Z:$AA,COLUMNS(Definitions!$Z:$AA),FALSE))</f>
        <v>0</v>
      </c>
      <c r="AA10" s="20">
        <f>IF(L10="",0,VLOOKUP(L10,Definitions!$Z:$AA,COLUMNS(Definitions!$Z:$AA),FALSE))</f>
        <v>0</v>
      </c>
      <c r="AB10" s="20">
        <f>IF(M10="",0,VLOOKUP(M10,Definitions!$Z:$AA,COLUMNS(Definitions!$Z:$AA),FALSE))</f>
        <v>0</v>
      </c>
      <c r="AC10" s="20">
        <f>IF(N10="",0,VLOOKUP(N10,Definitions!$Z:$AA,COLUMNS(Definitions!$Z:$AA),FALSE))</f>
        <v>0</v>
      </c>
      <c r="AD10" s="20">
        <f>IF(O10="",0,VLOOKUP(O10,Definitions!$Z:$AA,COLUMNS(Definitions!$Z:$AA),FALSE))</f>
        <v>0</v>
      </c>
      <c r="AE10" s="20">
        <f t="shared" ca="1" si="0"/>
        <v>0</v>
      </c>
      <c r="AF10" s="20" t="str" cm="1">
        <f t="array" ref="AF10">SUBSTITUTE(IF($V10,IF($I10="","",","&amp;SanitizeInput($I10)),""),"&gt;",",")</f>
        <v/>
      </c>
      <c r="AG10" s="20" cm="1">
        <f t="array" aca="1" ref="AG10" ca="1">IF(ROW()=ROW($AG$3)+1,0,INDEX($AG:$AG,ROW()-1))+IF(OR($U10,$V10),1,0)</f>
        <v>0</v>
      </c>
      <c r="AH10" s="20" t="str" cm="1">
        <f t="array" aca="1" ref="AH10" ca="1">IF(OR($U10,$V10),IF($Q10="","",","&amp;SanitizeInput($Q10)),"")</f>
        <v/>
      </c>
      <c r="AI10" s="20" t="str">
        <f t="shared" si="1"/>
        <v>SDR 1.7 – Limited damages in case of loss of availability  [Customer]</v>
      </c>
      <c r="AJ10" s="20" t="str" cm="1">
        <f t="array" aca="1" ref="AJ10" ca="1">IF($F10="*","",InverseLookupList(SanitizeInput($F10),Questionnaire!$AA$3,Questionnaire!$A$3,Helper!$B$12,","))</f>
        <v/>
      </c>
      <c r="AK10" s="20" t="str" cm="1">
        <f t="array" aca="1" ref="AK10" ca="1">RemoveDelimiter(GetValues($AJ10,Questionnaire!$A:$G," ",CHAR(10)&amp;CHAR(10),TRUE),CHAR(10)&amp;CHAR(10))</f>
        <v/>
      </c>
      <c r="AL10" s="20" t="str" cm="1">
        <f t="array" aca="1" ref="AL10" ca="1">CreateSearchString($AJ10)</f>
        <v/>
      </c>
      <c r="AM10" s="20" t="str" cm="1">
        <f t="array" aca="1" ref="AM10" ca="1">InverseLookup($A10,Mitigation!$AD$2,Mitigation!$A$2,1,Helper!$B$5,",")</f>
        <v/>
      </c>
      <c r="AN10" s="20" t="str" cm="1">
        <f t="array" aca="1" ref="AN10" ca="1">CreateSearchString(GetValues($AM10,'Attack Steps'!$A:$O,"",",",FALSE))</f>
        <v/>
      </c>
      <c r="AO10" s="20" t="str">
        <f t="shared" si="2"/>
        <v>A7</v>
      </c>
    </row>
    <row r="11" spans="1:41" ht="75" x14ac:dyDescent="0.25">
      <c r="A11" s="10" t="s">
        <v>376</v>
      </c>
      <c r="B11" s="13" t="s">
        <v>1550</v>
      </c>
      <c r="C11" s="13" t="str" cm="1">
        <f t="array" aca="1" ref="C11" ca="1">"If the product malfunctions, then the damages to its operational environment are at most: "&amp;IFERROR(SimpleLookup(SimpleLookup("QI14",Questionnaire!$A:$E),Definitions!$H:$J),"")</f>
        <v xml:space="preserve">If the product malfunctions, then the damages to its operational environment are at most: </v>
      </c>
      <c r="D11" s="13" t="s">
        <v>1553</v>
      </c>
      <c r="E11" s="13" t="s">
        <v>372</v>
      </c>
      <c r="F11" s="13" t="s">
        <v>1076</v>
      </c>
      <c r="G11" s="13"/>
      <c r="H11" s="33" t="str" cm="1">
        <f t="array" ref="H11">LookupNames(SanitizeInput($G11),'Attack Steps'!$A:$B)</f>
        <v/>
      </c>
      <c r="I11" s="23"/>
      <c r="J11" s="37" t="str" cm="1">
        <f t="array" ref="J11">IF($I11="","",SUBSTITUTE(SUBSTITUTE(SUBSTITUTE(SUBSTITUTE(SUBSTITUTE(SUBSTITUTE(SUBSTITUTE(SUBSTITUTE(SUBSTITUTE(
GetTransformation(SanitizeInput($I11),'Damage Scenarios'!$A:$J,COLUMNS('Damage Scenarios'!$A:$J),CHAR(10),"[#0][#1][#2]")&amp;"§",
"[#1][#2]",""),
"[#2]",""),
"[#0][#1]","[#1]"),
"[#0]","Removes:"&amp;CHAR(10)),
"[#1]","Transforms:"&amp;CHAR(10)),
CHAR(10)&amp;"§",""),
"§",""),
CHAR(10),CHAR(10)&amp;"   "),
"   "&amp;"Transforms:","Transforms:"))</f>
        <v/>
      </c>
      <c r="K11" s="13"/>
      <c r="L11" s="13"/>
      <c r="M11" s="13"/>
      <c r="N11" s="13"/>
      <c r="O11" s="13"/>
      <c r="P11" s="16" t="str">
        <f ca="1">IF($A11="","",IFERROR(VLOOKUP($AE11,Definitions!$V:$W,COLUMNS(Definitions!$V:$W),TRUE),""))</f>
        <v>Basic</v>
      </c>
      <c r="Q11" s="13" t="s">
        <v>606</v>
      </c>
      <c r="R11" s="13"/>
      <c r="S11" s="13"/>
      <c r="T11" s="10" cm="1">
        <f t="array" ref="T11">IF(ROW()=ROW($T$3)+1,0,INDEX($T:$T,ROW()-1))+IF($A11="",0,1)</f>
        <v>8</v>
      </c>
      <c r="U11" s="20" t="b">
        <f ca="1">OR(CheckRelevance(SanitizeInput(F11),Questionnaire!$I:$I),IFERROR(_xlfn.XMATCH("*,"&amp;$A11&amp;",*",Countermeasures!$AG:$AG,2)&gt;0,FALSE))</f>
        <v>0</v>
      </c>
      <c r="V11" s="20" t="b">
        <f>IFERROR(_xlfn.XMATCH("*,"&amp;$A11&amp;",*",Mitigation!$X:$X,2)&gt;0,FALSE)</f>
        <v>0</v>
      </c>
      <c r="W11" s="20" cm="1">
        <f t="array" ref="W11">CreateTaskID($W$3,$W:$W,Tasks!$B$17,$S11)</f>
        <v>0</v>
      </c>
      <c r="X11" s="20" t="str" cm="1">
        <f t="array" aca="1" ref="X11" ca="1">IF(OR($G11="",NOT($U11)),"",","&amp;SanitizeInput($G11))</f>
        <v/>
      </c>
      <c r="Y11" s="20" t="str" cm="1">
        <f t="array" ref="Y11">IF($G11="","",","&amp;SanitizeInput($G11))</f>
        <v/>
      </c>
      <c r="Z11" s="20">
        <f>IF(K11="",0,VLOOKUP(K11,Definitions!$Z:$AA,COLUMNS(Definitions!$Z:$AA),FALSE))</f>
        <v>0</v>
      </c>
      <c r="AA11" s="20">
        <f>IF(L11="",0,VLOOKUP(L11,Definitions!$Z:$AA,COLUMNS(Definitions!$Z:$AA),FALSE))</f>
        <v>0</v>
      </c>
      <c r="AB11" s="20">
        <f>IF(M11="",0,VLOOKUP(M11,Definitions!$Z:$AA,COLUMNS(Definitions!$Z:$AA),FALSE))</f>
        <v>0</v>
      </c>
      <c r="AC11" s="20">
        <f>IF(N11="",0,VLOOKUP(N11,Definitions!$Z:$AA,COLUMNS(Definitions!$Z:$AA),FALSE))</f>
        <v>0</v>
      </c>
      <c r="AD11" s="20">
        <f>IF(O11="",0,VLOOKUP(O11,Definitions!$Z:$AA,COLUMNS(Definitions!$Z:$AA),FALSE))</f>
        <v>0</v>
      </c>
      <c r="AE11" s="20">
        <f t="shared" ca="1" si="0"/>
        <v>0</v>
      </c>
      <c r="AF11" s="20" t="str" cm="1">
        <f t="array" ref="AF11">SUBSTITUTE(IF($V11,IF($I11="","",","&amp;SanitizeInput($I11)),""),"&gt;",",")</f>
        <v/>
      </c>
      <c r="AG11" s="20" cm="1">
        <f t="array" aca="1" ref="AG11" ca="1">IF(ROW()=ROW($AG$3)+1,0,INDEX($AG:$AG,ROW()-1))+IF(OR($U11,$V11),1,0)</f>
        <v>0</v>
      </c>
      <c r="AH11" s="20" t="str" cm="1">
        <f t="array" aca="1" ref="AH11" ca="1">IF(OR($U11,$V11),IF($Q11="","",","&amp;SanitizeInput($Q11)),"")</f>
        <v/>
      </c>
      <c r="AI11" s="20" t="str">
        <f t="shared" si="1"/>
        <v>SDR 1.8 – Limited damages in case of a loss of integrity of the product [Customer]</v>
      </c>
      <c r="AJ11" s="20" t="str" cm="1">
        <f t="array" aca="1" ref="AJ11" ca="1">IF($F11="*","",InverseLookupList(SanitizeInput($F11),Questionnaire!$AA$3,Questionnaire!$A$3,Helper!$B$12,","))</f>
        <v/>
      </c>
      <c r="AK11" s="20" t="str" cm="1">
        <f t="array" aca="1" ref="AK11" ca="1">RemoveDelimiter(GetValues($AJ11,Questionnaire!$A:$G," ",CHAR(10)&amp;CHAR(10),TRUE),CHAR(10)&amp;CHAR(10))</f>
        <v/>
      </c>
      <c r="AL11" s="20" t="str" cm="1">
        <f t="array" aca="1" ref="AL11" ca="1">CreateSearchString($AJ11)</f>
        <v/>
      </c>
      <c r="AM11" s="20" t="str" cm="1">
        <f t="array" aca="1" ref="AM11" ca="1">InverseLookup($A11,Mitigation!$AD$2,Mitigation!$A$2,1,Helper!$B$5,",")</f>
        <v/>
      </c>
      <c r="AN11" s="20" t="str" cm="1">
        <f t="array" aca="1" ref="AN11" ca="1">CreateSearchString(GetValues($AM11,'Attack Steps'!$A:$O,"",",",FALSE))</f>
        <v/>
      </c>
      <c r="AO11" s="20" t="str">
        <f t="shared" si="2"/>
        <v>A8</v>
      </c>
    </row>
    <row r="12" spans="1:41" ht="60" x14ac:dyDescent="0.25">
      <c r="A12" s="10" t="s">
        <v>377</v>
      </c>
      <c r="B12" s="13" t="s">
        <v>1551</v>
      </c>
      <c r="C12" s="13" t="s">
        <v>394</v>
      </c>
      <c r="D12" s="13" t="s">
        <v>1554</v>
      </c>
      <c r="E12" s="13" t="s">
        <v>372</v>
      </c>
      <c r="F12" s="13" t="s">
        <v>1087</v>
      </c>
      <c r="G12" s="13"/>
      <c r="H12" s="33" t="str" cm="1">
        <f t="array" ref="H12">LookupNames(SanitizeInput($G12),'Attack Steps'!$A:$B)</f>
        <v/>
      </c>
      <c r="I12" s="23"/>
      <c r="J12" s="37" t="str" cm="1">
        <f t="array" ref="J12">IF($I12="","",SUBSTITUTE(SUBSTITUTE(SUBSTITUTE(SUBSTITUTE(SUBSTITUTE(SUBSTITUTE(SUBSTITUTE(SUBSTITUTE(SUBSTITUTE(
GetTransformation(SanitizeInput($I12),'Damage Scenarios'!$A:$J,COLUMNS('Damage Scenarios'!$A:$J),CHAR(10),"[#0][#1][#2]")&amp;"§",
"[#1][#2]",""),
"[#2]",""),
"[#0][#1]","[#1]"),
"[#0]","Removes:"&amp;CHAR(10)),
"[#1]","Transforms:"&amp;CHAR(10)),
CHAR(10)&amp;"§",""),
"§",""),
CHAR(10),CHAR(10)&amp;"   "),
"   "&amp;"Transforms:","Transforms:"))</f>
        <v/>
      </c>
      <c r="K12" s="13"/>
      <c r="L12" s="13"/>
      <c r="M12" s="13"/>
      <c r="N12" s="13"/>
      <c r="O12" s="13"/>
      <c r="P12" s="16" t="str">
        <f ca="1">IF($A12="","",IFERROR(VLOOKUP($AE12,Definitions!$V:$W,COLUMNS(Definitions!$V:$W),TRUE),""))</f>
        <v>Basic</v>
      </c>
      <c r="Q12" s="13" t="s">
        <v>62</v>
      </c>
      <c r="R12" s="13"/>
      <c r="S12" s="13"/>
      <c r="T12" s="10" cm="1">
        <f t="array" ref="T12">IF(ROW()=ROW($T$3)+1,0,INDEX($T:$T,ROW()-1))+IF($A12="",0,1)</f>
        <v>9</v>
      </c>
      <c r="U12" s="20" t="b">
        <f ca="1">OR(CheckRelevance(SanitizeInput(F12),Questionnaire!$I:$I),IFERROR(_xlfn.XMATCH("*,"&amp;$A12&amp;",*",Countermeasures!$AG:$AG,2)&gt;0,FALSE))</f>
        <v>0</v>
      </c>
      <c r="V12" s="20" t="b">
        <f>IFERROR(_xlfn.XMATCH("*,"&amp;$A12&amp;",*",Mitigation!$X:$X,2)&gt;0,FALSE)</f>
        <v>0</v>
      </c>
      <c r="W12" s="20" cm="1">
        <f t="array" ref="W12">CreateTaskID($W$3,$W:$W,Tasks!$B$17,$S12)</f>
        <v>0</v>
      </c>
      <c r="X12" s="20" t="str" cm="1">
        <f t="array" aca="1" ref="X12" ca="1">IF(OR($G12="",NOT($U12)),"",","&amp;SanitizeInput($G12))</f>
        <v/>
      </c>
      <c r="Y12" s="20" t="str" cm="1">
        <f t="array" ref="Y12">IF($G12="","",","&amp;SanitizeInput($G12))</f>
        <v/>
      </c>
      <c r="Z12" s="20">
        <f>IF(K12="",0,VLOOKUP(K12,Definitions!$Z:$AA,COLUMNS(Definitions!$Z:$AA),FALSE))</f>
        <v>0</v>
      </c>
      <c r="AA12" s="20">
        <f>IF(L12="",0,VLOOKUP(L12,Definitions!$Z:$AA,COLUMNS(Definitions!$Z:$AA),FALSE))</f>
        <v>0</v>
      </c>
      <c r="AB12" s="20">
        <f>IF(M12="",0,VLOOKUP(M12,Definitions!$Z:$AA,COLUMNS(Definitions!$Z:$AA),FALSE))</f>
        <v>0</v>
      </c>
      <c r="AC12" s="20">
        <f>IF(N12="",0,VLOOKUP(N12,Definitions!$Z:$AA,COLUMNS(Definitions!$Z:$AA),FALSE))</f>
        <v>0</v>
      </c>
      <c r="AD12" s="20">
        <f>IF(O12="",0,VLOOKUP(O12,Definitions!$Z:$AA,COLUMNS(Definitions!$Z:$AA),FALSE))</f>
        <v>0</v>
      </c>
      <c r="AE12" s="20">
        <f t="shared" ca="1" si="0"/>
        <v>0</v>
      </c>
      <c r="AF12" s="20" t="str" cm="1">
        <f t="array" ref="AF12">SUBSTITUTE(IF($V12,IF($I12="","",","&amp;SanitizeInput($I12)),""),"&gt;",",")</f>
        <v/>
      </c>
      <c r="AG12" s="20" cm="1">
        <f t="array" aca="1" ref="AG12" ca="1">IF(ROW()=ROW($AG$3)+1,0,INDEX($AG:$AG,ROW()-1))+IF(OR($U12,$V12),1,0)</f>
        <v>0</v>
      </c>
      <c r="AH12" s="20" t="str" cm="1">
        <f t="array" aca="1" ref="AH12" ca="1">IF(OR($U12,$V12),IF($Q12="","",","&amp;SanitizeInput($Q12)),"")</f>
        <v/>
      </c>
      <c r="AI12" s="20" t="str">
        <f t="shared" si="1"/>
        <v>SDR 1.9 – Not used for access control [Customer]</v>
      </c>
      <c r="AJ12" s="20" t="str" cm="1">
        <f t="array" aca="1" ref="AJ12" ca="1">IF($F12="*","",InverseLookupList(SanitizeInput($F12),Questionnaire!$AA$3,Questionnaire!$A$3,Helper!$B$12,","))</f>
        <v/>
      </c>
      <c r="AK12" s="20" t="str" cm="1">
        <f t="array" aca="1" ref="AK12" ca="1">RemoveDelimiter(GetValues($AJ12,Questionnaire!$A:$G," ",CHAR(10)&amp;CHAR(10),TRUE),CHAR(10)&amp;CHAR(10))</f>
        <v/>
      </c>
      <c r="AL12" s="20" t="str" cm="1">
        <f t="array" aca="1" ref="AL12" ca="1">CreateSearchString($AJ12)</f>
        <v/>
      </c>
      <c r="AM12" s="20" t="str" cm="1">
        <f t="array" aca="1" ref="AM12" ca="1">InverseLookup($A12,Mitigation!$AD$2,Mitigation!$A$2,1,Helper!$B$5,",")</f>
        <v/>
      </c>
      <c r="AN12" s="20" t="str" cm="1">
        <f t="array" aca="1" ref="AN12" ca="1">CreateSearchString(GetValues($AM12,'Attack Steps'!$A:$O,"",",",FALSE))</f>
        <v/>
      </c>
      <c r="AO12" s="20" t="str">
        <f t="shared" si="2"/>
        <v>A9</v>
      </c>
    </row>
    <row r="13" spans="1:41" ht="45" x14ac:dyDescent="0.25">
      <c r="A13" s="10" t="s">
        <v>378</v>
      </c>
      <c r="B13" s="13" t="s">
        <v>1596</v>
      </c>
      <c r="C13" s="13" t="s">
        <v>395</v>
      </c>
      <c r="D13" s="13" t="s">
        <v>1598</v>
      </c>
      <c r="E13" s="13" t="str">
        <f>Definitions!$C$4</f>
        <v>&lt;OEM name&gt;</v>
      </c>
      <c r="F13" s="13" t="s">
        <v>1085</v>
      </c>
      <c r="G13" s="13"/>
      <c r="H13" s="33" t="str" cm="1">
        <f t="array" ref="H13">LookupNames(SanitizeInput($G13),'Attack Steps'!$A:$B)</f>
        <v/>
      </c>
      <c r="I13" s="23"/>
      <c r="J13" s="37" t="str" cm="1">
        <f t="array" ref="J13">IF($I13="","",SUBSTITUTE(SUBSTITUTE(SUBSTITUTE(SUBSTITUTE(SUBSTITUTE(SUBSTITUTE(SUBSTITUTE(SUBSTITUTE(SUBSTITUTE(
GetTransformation(SanitizeInput($I13),'Damage Scenarios'!$A:$J,COLUMNS('Damage Scenarios'!$A:$J),CHAR(10),"[#0][#1][#2]")&amp;"§",
"[#1][#2]",""),
"[#2]",""),
"[#0][#1]","[#1]"),
"[#0]","Removes:"&amp;CHAR(10)),
"[#1]","Transforms:"&amp;CHAR(10)),
CHAR(10)&amp;"§",""),
"§",""),
CHAR(10),CHAR(10)&amp;"   "),
"   "&amp;"Transforms:","Transforms:"))</f>
        <v/>
      </c>
      <c r="K13" s="13"/>
      <c r="L13" s="13"/>
      <c r="M13" s="13"/>
      <c r="N13" s="13"/>
      <c r="O13" s="13"/>
      <c r="P13" s="16" t="str">
        <f ca="1">IF($A13="","",IFERROR(VLOOKUP($AE13,Definitions!$V:$W,COLUMNS(Definitions!$V:$W),TRUE),""))</f>
        <v>Basic</v>
      </c>
      <c r="Q13" s="13" t="s">
        <v>62</v>
      </c>
      <c r="R13" s="13"/>
      <c r="S13" s="13"/>
      <c r="T13" s="10" cm="1">
        <f t="array" ref="T13">IF(ROW()=ROW($T$3)+1,0,INDEX($T:$T,ROW()-1))+IF($A13="",0,1)</f>
        <v>10</v>
      </c>
      <c r="U13" s="20" t="b">
        <f ca="1">OR(CheckRelevance(SanitizeInput(F13),Questionnaire!$I:$I),IFERROR(_xlfn.XMATCH("*,"&amp;$A13&amp;",*",Countermeasures!$AG:$AG,2)&gt;0,FALSE))</f>
        <v>0</v>
      </c>
      <c r="V13" s="20" t="b">
        <f>IFERROR(_xlfn.XMATCH("*,"&amp;$A13&amp;",*",Mitigation!$X:$X,2)&gt;0,FALSE)</f>
        <v>0</v>
      </c>
      <c r="W13" s="20" cm="1">
        <f t="array" ref="W13">CreateTaskID($W$3,$W:$W,Tasks!$B$17,$S13)</f>
        <v>0</v>
      </c>
      <c r="X13" s="20" t="str" cm="1">
        <f t="array" aca="1" ref="X13" ca="1">IF(OR($G13="",NOT($U13)),"",","&amp;SanitizeInput($G13))</f>
        <v/>
      </c>
      <c r="Y13" s="20" t="str" cm="1">
        <f t="array" ref="Y13">IF($G13="","",","&amp;SanitizeInput($G13))</f>
        <v/>
      </c>
      <c r="Z13" s="20">
        <f>IF(K13="",0,VLOOKUP(K13,Definitions!$Z:$AA,COLUMNS(Definitions!$Z:$AA),FALSE))</f>
        <v>0</v>
      </c>
      <c r="AA13" s="20">
        <f>IF(L13="",0,VLOOKUP(L13,Definitions!$Z:$AA,COLUMNS(Definitions!$Z:$AA),FALSE))</f>
        <v>0</v>
      </c>
      <c r="AB13" s="20">
        <f>IF(M13="",0,VLOOKUP(M13,Definitions!$Z:$AA,COLUMNS(Definitions!$Z:$AA),FALSE))</f>
        <v>0</v>
      </c>
      <c r="AC13" s="20">
        <f>IF(N13="",0,VLOOKUP(N13,Definitions!$Z:$AA,COLUMNS(Definitions!$Z:$AA),FALSE))</f>
        <v>0</v>
      </c>
      <c r="AD13" s="20">
        <f>IF(O13="",0,VLOOKUP(O13,Definitions!$Z:$AA,COLUMNS(Definitions!$Z:$AA),FALSE))</f>
        <v>0</v>
      </c>
      <c r="AE13" s="20">
        <f t="shared" ca="1" si="0"/>
        <v>0</v>
      </c>
      <c r="AF13" s="20" t="str" cm="1">
        <f t="array" ref="AF13">SUBSTITUTE(IF($V13,IF($I13="","",","&amp;SanitizeInput($I13)),""),"&gt;",",")</f>
        <v/>
      </c>
      <c r="AG13" s="20" cm="1">
        <f t="array" aca="1" ref="AG13" ca="1">IF(ROW()=ROW($AG$3)+1,0,INDEX($AG:$AG,ROW()-1))+IF(OR($U13,$V13),1,0)</f>
        <v>0</v>
      </c>
      <c r="AH13" s="20" t="str" cm="1">
        <f t="array" aca="1" ref="AH13" ca="1">IF(OR($U13,$V13),IF($Q13="","",","&amp;SanitizeInput($Q13)),"")</f>
        <v/>
      </c>
      <c r="AI13" s="20" t="str">
        <f t="shared" si="1"/>
        <v>SDR 2.2 – No contractual obligations regarding product availability [&lt;OEM name&gt;]</v>
      </c>
      <c r="AJ13" s="20" t="str" cm="1">
        <f t="array" aca="1" ref="AJ13" ca="1">IF($F13="*","",InverseLookupList(SanitizeInput($F13),Questionnaire!$AA$3,Questionnaire!$A$3,Helper!$B$12,","))</f>
        <v/>
      </c>
      <c r="AK13" s="20" t="str" cm="1">
        <f t="array" aca="1" ref="AK13" ca="1">RemoveDelimiter(GetValues($AJ13,Questionnaire!$A:$G," ",CHAR(10)&amp;CHAR(10),TRUE),CHAR(10)&amp;CHAR(10))</f>
        <v/>
      </c>
      <c r="AL13" s="20" t="str" cm="1">
        <f t="array" aca="1" ref="AL13" ca="1">CreateSearchString($AJ13)</f>
        <v/>
      </c>
      <c r="AM13" s="20" t="str" cm="1">
        <f t="array" aca="1" ref="AM13" ca="1">InverseLookup($A13,Mitigation!$AD$2,Mitigation!$A$2,1,Helper!$B$5,",")</f>
        <v/>
      </c>
      <c r="AN13" s="20" t="str" cm="1">
        <f t="array" aca="1" ref="AN13" ca="1">CreateSearchString(GetValues($AM13,'Attack Steps'!$A:$O,"",",",FALSE))</f>
        <v/>
      </c>
      <c r="AO13" s="20" t="str">
        <f t="shared" si="2"/>
        <v>A10</v>
      </c>
    </row>
    <row r="14" spans="1:41" ht="45" x14ac:dyDescent="0.25">
      <c r="A14" s="10" t="s">
        <v>379</v>
      </c>
      <c r="B14" s="13" t="s">
        <v>1597</v>
      </c>
      <c r="C14" s="13" t="s">
        <v>396</v>
      </c>
      <c r="D14" s="13" t="s">
        <v>1599</v>
      </c>
      <c r="E14" s="13" t="str">
        <f>Definitions!$C$4</f>
        <v>&lt;OEM name&gt;</v>
      </c>
      <c r="F14" s="13" t="s">
        <v>1073</v>
      </c>
      <c r="G14" s="13"/>
      <c r="H14" s="33" t="str" cm="1">
        <f t="array" ref="H14">LookupNames(SanitizeInput($G14),'Attack Steps'!$A:$B)</f>
        <v/>
      </c>
      <c r="I14" s="23"/>
      <c r="J14" s="37" t="str" cm="1">
        <f t="array" ref="J14">IF($I14="","",SUBSTITUTE(SUBSTITUTE(SUBSTITUTE(SUBSTITUTE(SUBSTITUTE(SUBSTITUTE(SUBSTITUTE(SUBSTITUTE(SUBSTITUTE(
GetTransformation(SanitizeInput($I14),'Damage Scenarios'!$A:$J,COLUMNS('Damage Scenarios'!$A:$J),CHAR(10),"[#0][#1][#2]")&amp;"§",
"[#1][#2]",""),
"[#2]",""),
"[#0][#1]","[#1]"),
"[#0]","Removes:"&amp;CHAR(10)),
"[#1]","Transforms:"&amp;CHAR(10)),
CHAR(10)&amp;"§",""),
"§",""),
CHAR(10),CHAR(10)&amp;"   "),
"   "&amp;"Transforms:","Transforms:"))</f>
        <v/>
      </c>
      <c r="K14" s="13"/>
      <c r="L14" s="13"/>
      <c r="M14" s="13"/>
      <c r="N14" s="13"/>
      <c r="O14" s="13"/>
      <c r="P14" s="16" t="str">
        <f ca="1">IF($A14="","",IFERROR(VLOOKUP($AE14,Definitions!$V:$W,COLUMNS(Definitions!$V:$W),TRUE),""))</f>
        <v>Basic</v>
      </c>
      <c r="Q14" s="13" t="s">
        <v>62</v>
      </c>
      <c r="R14" s="13"/>
      <c r="S14" s="13"/>
      <c r="T14" s="10" cm="1">
        <f t="array" ref="T14">IF(ROW()=ROW($T$3)+1,0,INDEX($T:$T,ROW()-1))+IF($A14="",0,1)</f>
        <v>11</v>
      </c>
      <c r="U14" s="20" t="b">
        <f ca="1">OR(CheckRelevance(SanitizeInput(F14),Questionnaire!$I:$I),IFERROR(_xlfn.XMATCH("*,"&amp;$A14&amp;",*",Countermeasures!$AG:$AG,2)&gt;0,FALSE))</f>
        <v>0</v>
      </c>
      <c r="V14" s="20" t="b">
        <f>IFERROR(_xlfn.XMATCH("*,"&amp;$A14&amp;",*",Mitigation!$X:$X,2)&gt;0,FALSE)</f>
        <v>0</v>
      </c>
      <c r="W14" s="20" cm="1">
        <f t="array" ref="W14">CreateTaskID($W$3,$W:$W,Tasks!$B$17,$S14)</f>
        <v>0</v>
      </c>
      <c r="X14" s="20" t="str" cm="1">
        <f t="array" aca="1" ref="X14" ca="1">IF(OR($G14="",NOT($U14)),"",","&amp;SanitizeInput($G14))</f>
        <v/>
      </c>
      <c r="Y14" s="20" t="str" cm="1">
        <f t="array" ref="Y14">IF($G14="","",","&amp;SanitizeInput($G14))</f>
        <v/>
      </c>
      <c r="Z14" s="20">
        <f>IF(K14="",0,VLOOKUP(K14,Definitions!$Z:$AA,COLUMNS(Definitions!$Z:$AA),FALSE))</f>
        <v>0</v>
      </c>
      <c r="AA14" s="20">
        <f>IF(L14="",0,VLOOKUP(L14,Definitions!$Z:$AA,COLUMNS(Definitions!$Z:$AA),FALSE))</f>
        <v>0</v>
      </c>
      <c r="AB14" s="20">
        <f>IF(M14="",0,VLOOKUP(M14,Definitions!$Z:$AA,COLUMNS(Definitions!$Z:$AA),FALSE))</f>
        <v>0</v>
      </c>
      <c r="AC14" s="20">
        <f>IF(N14="",0,VLOOKUP(N14,Definitions!$Z:$AA,COLUMNS(Definitions!$Z:$AA),FALSE))</f>
        <v>0</v>
      </c>
      <c r="AD14" s="20">
        <f>IF(O14="",0,VLOOKUP(O14,Definitions!$Z:$AA,COLUMNS(Definitions!$Z:$AA),FALSE))</f>
        <v>0</v>
      </c>
      <c r="AE14" s="20">
        <f t="shared" ca="1" si="0"/>
        <v>0</v>
      </c>
      <c r="AF14" s="20" t="str" cm="1">
        <f t="array" ref="AF14">SUBSTITUTE(IF($V14,IF($I14="","",","&amp;SanitizeInput($I14)),""),"&gt;",",")</f>
        <v/>
      </c>
      <c r="AG14" s="20" cm="1">
        <f t="array" aca="1" ref="AG14" ca="1">IF(ROW()=ROW($AG$3)+1,0,INDEX($AG:$AG,ROW()-1))+IF(OR($U14,$V14),1,0)</f>
        <v>0</v>
      </c>
      <c r="AH14" s="20" t="str" cm="1">
        <f t="array" aca="1" ref="AH14" ca="1">IF(OR($U14,$V14),IF($Q14="","",","&amp;SanitizeInput($Q14)),"")</f>
        <v/>
      </c>
      <c r="AI14" s="20" t="str">
        <f t="shared" si="1"/>
        <v>SDR 2.3 – No legal or contractual obligations for product integrity [&lt;OEM name&gt;]</v>
      </c>
      <c r="AJ14" s="20" t="str" cm="1">
        <f t="array" aca="1" ref="AJ14" ca="1">IF($F14="*","",InverseLookupList(SanitizeInput($F14),Questionnaire!$AA$3,Questionnaire!$A$3,Helper!$B$12,","))</f>
        <v/>
      </c>
      <c r="AK14" s="20" t="str" cm="1">
        <f t="array" aca="1" ref="AK14" ca="1">RemoveDelimiter(GetValues($AJ14,Questionnaire!$A:$G," ",CHAR(10)&amp;CHAR(10),TRUE),CHAR(10)&amp;CHAR(10))</f>
        <v/>
      </c>
      <c r="AL14" s="20" t="str" cm="1">
        <f t="array" aca="1" ref="AL14" ca="1">CreateSearchString($AJ14)</f>
        <v/>
      </c>
      <c r="AM14" s="20" t="str" cm="1">
        <f t="array" aca="1" ref="AM14" ca="1">InverseLookup($A14,Mitigation!$AD$2,Mitigation!$A$2,1,Helper!$B$5,",")</f>
        <v/>
      </c>
      <c r="AN14" s="20" t="str" cm="1">
        <f t="array" aca="1" ref="AN14" ca="1">CreateSearchString(GetValues($AM14,'Attack Steps'!$A:$O,"",",",FALSE))</f>
        <v/>
      </c>
      <c r="AO14" s="20" t="str">
        <f t="shared" si="2"/>
        <v>A11</v>
      </c>
    </row>
    <row r="15" spans="1:41" ht="45" x14ac:dyDescent="0.25">
      <c r="A15" s="10" t="s">
        <v>380</v>
      </c>
      <c r="B15" s="13" t="s">
        <v>1555</v>
      </c>
      <c r="C15" s="13" t="s">
        <v>271</v>
      </c>
      <c r="D15" s="13" t="s">
        <v>1560</v>
      </c>
      <c r="E15" s="13" t="s">
        <v>372</v>
      </c>
      <c r="F15" s="13" t="s">
        <v>1253</v>
      </c>
      <c r="G15" s="13" t="s">
        <v>106</v>
      </c>
      <c r="H15" s="16" t="str" cm="1">
        <f t="array" aca="1" ref="H15" ca="1">LookupNames(SanitizeInput($G15),'Attack Steps'!$A:$B)</f>
        <v>AS1 Getting access to a trusted operational environment</v>
      </c>
      <c r="I15" s="13"/>
      <c r="J15" s="36" t="str" cm="1">
        <f t="array" ref="J15">IF($I15="","",SUBSTITUTE(SUBSTITUTE(SUBSTITUTE(SUBSTITUTE(SUBSTITUTE(SUBSTITUTE(SUBSTITUTE(SUBSTITUTE(SUBSTITUTE(
GetTransformation(SanitizeInput($I15),'Damage Scenarios'!$A:$J,COLUMNS('Damage Scenarios'!$A:$J),CHAR(10),"[#0][#1][#2]")&amp;"§",
"[#1][#2]",""),
"[#2]",""),
"[#0][#1]","[#1]"),
"[#0]","Removes:"&amp;CHAR(10)),
"[#1]","Transforms:"&amp;CHAR(10)),
CHAR(10)&amp;"§",""),
"§",""),
CHAR(10),CHAR(10)&amp;"   "),
"   "&amp;"Transforms:","Transforms:"))</f>
        <v/>
      </c>
      <c r="K15" s="13"/>
      <c r="L15" s="13"/>
      <c r="M15" s="13"/>
      <c r="N15" s="13" t="s">
        <v>151</v>
      </c>
      <c r="O15" s="13"/>
      <c r="P15" s="16" t="str">
        <f ca="1">IF($A15="","",IFERROR(VLOOKUP($AE15,Definitions!$V:$W,COLUMNS(Definitions!$V:$W),TRUE),""))</f>
        <v>Beyond High</v>
      </c>
      <c r="Q15" s="13" t="s">
        <v>1633</v>
      </c>
      <c r="R15" s="13"/>
      <c r="S15" s="13" t="s">
        <v>1025</v>
      </c>
      <c r="T15" s="10" cm="1">
        <f t="array" ref="T15">IF(ROW()=ROW($T$3)+1,0,INDEX($T:$T,ROW()-1))+IF($A15="",0,1)</f>
        <v>12</v>
      </c>
      <c r="U15" s="14" t="b">
        <f ca="1">OR(CheckRelevance(SanitizeInput(F15),Questionnaire!$I:$I),IFERROR(_xlfn.XMATCH("*,"&amp;$A15&amp;",*",Countermeasures!$AG:$AG,2)&gt;0,FALSE))</f>
        <v>0</v>
      </c>
      <c r="V15" s="14" t="b">
        <f>IFERROR(_xlfn.XMATCH("*,"&amp;$A15&amp;",*",Mitigation!$X:$X,2)&gt;0,FALSE)</f>
        <v>0</v>
      </c>
      <c r="W15" s="14" cm="1">
        <f t="array" ref="W15">CreateTaskID($W$3,$W:$W,Tasks!$B$17,$S15)</f>
        <v>0</v>
      </c>
      <c r="X15" s="14" t="str" cm="1">
        <f t="array" aca="1" ref="X15" ca="1">IF(OR($G15="",NOT($U15)),"",","&amp;SanitizeInput($G15))</f>
        <v/>
      </c>
      <c r="Y15" s="14" t="str" cm="1">
        <f t="array" ref="Y15">IF($G15="","",","&amp;SanitizeInput($G15))</f>
        <v>,AS1,</v>
      </c>
      <c r="Z15" s="20">
        <f>IF(K15="",0,VLOOKUP(K15,Definitions!$Z:$AA,COLUMNS(Definitions!$Z:$AA),FALSE))</f>
        <v>0</v>
      </c>
      <c r="AA15" s="20">
        <f>IF(L15="",0,VLOOKUP(L15,Definitions!$Z:$AA,COLUMNS(Definitions!$Z:$AA),FALSE))</f>
        <v>0</v>
      </c>
      <c r="AB15" s="20">
        <f>IF(M15="",0,VLOOKUP(M15,Definitions!$Z:$AA,COLUMNS(Definitions!$Z:$AA),FALSE))</f>
        <v>0</v>
      </c>
      <c r="AC15" s="20">
        <f>IF(N15="",0,VLOOKUP(N15,Definitions!$Z:$AA,COLUMNS(Definitions!$Z:$AA),FALSE))</f>
        <v>25</v>
      </c>
      <c r="AD15" s="20">
        <f>IF(O15="",0,VLOOKUP(O15,Definitions!$Z:$AA,COLUMNS(Definitions!$Z:$AA),FALSE))</f>
        <v>0</v>
      </c>
      <c r="AE15" s="20">
        <f t="shared" ca="1" si="0"/>
        <v>25</v>
      </c>
      <c r="AF15" s="20" t="str" cm="1">
        <f t="array" ref="AF15">SUBSTITUTE(IF($V15,IF($I15="","",","&amp;SanitizeInput($I15)),""),"&gt;",",")</f>
        <v/>
      </c>
      <c r="AG15" s="20" cm="1">
        <f t="array" aca="1" ref="AG15" ca="1">IF(ROW()=ROW($AG$3)+1,0,INDEX($AG:$AG,ROW()-1))+IF(OR($U15,$V15),1,0)</f>
        <v>0</v>
      </c>
      <c r="AH15" s="20" t="str" cm="1">
        <f t="array" aca="1" ref="AH15" ca="1">IF(OR($U15,$V15),IF($Q15="","",","&amp;SanitizeInput($Q15)),"")</f>
        <v/>
      </c>
      <c r="AI15" s="20" t="str">
        <f t="shared" si="1"/>
        <v>SDR 1.10 – Device operates in trustworthy operational environment [Customer]</v>
      </c>
      <c r="AJ15" s="20" t="str" cm="1">
        <f t="array" aca="1" ref="AJ15" ca="1">IF($F15="*","",InverseLookupList(SanitizeInput($F15),Questionnaire!$AA$3,Questionnaire!$A$3,Helper!$B$12,","))</f>
        <v/>
      </c>
      <c r="AK15" s="20" t="str" cm="1">
        <f t="array" aca="1" ref="AK15" ca="1">RemoveDelimiter(GetValues($AJ15,Questionnaire!$A:$G," ",CHAR(10)&amp;CHAR(10),TRUE),CHAR(10)&amp;CHAR(10))</f>
        <v/>
      </c>
      <c r="AL15" s="20" t="str" cm="1">
        <f t="array" aca="1" ref="AL15" ca="1">CreateSearchString($AJ15)</f>
        <v/>
      </c>
      <c r="AM15" s="20" t="str" cm="1">
        <f t="array" aca="1" ref="AM15" ca="1">InverseLookup($A15,Mitigation!$AD$2,Mitigation!$A$2,1,Helper!$B$5,",")</f>
        <v/>
      </c>
      <c r="AN15" s="20" t="str" cm="1">
        <f t="array" aca="1" ref="AN15" ca="1">CreateSearchString(GetValues($AM15,'Attack Steps'!$A:$O,"",",",FALSE))</f>
        <v/>
      </c>
      <c r="AO15" s="20" t="str">
        <f t="shared" si="2"/>
        <v>A12</v>
      </c>
    </row>
    <row r="16" spans="1:41" ht="45" x14ac:dyDescent="0.25">
      <c r="A16" s="10" t="s">
        <v>381</v>
      </c>
      <c r="B16" s="13" t="s">
        <v>1556</v>
      </c>
      <c r="C16" s="13" t="s">
        <v>273</v>
      </c>
      <c r="D16" s="13" t="s">
        <v>1561</v>
      </c>
      <c r="E16" s="13" t="s">
        <v>373</v>
      </c>
      <c r="F16" s="13" t="s">
        <v>1249</v>
      </c>
      <c r="G16" s="13" t="s">
        <v>365</v>
      </c>
      <c r="H16" s="16" t="str" cm="1">
        <f t="array" aca="1" ref="H16" ca="1">LookupNames(SanitizeInput($G16),'Attack Steps'!$A:$B)</f>
        <v>AS28 Getting access to a trusted entity</v>
      </c>
      <c r="I16" s="13"/>
      <c r="J16" s="36" t="str" cm="1">
        <f t="array" ref="J16">IF($I16="","",SUBSTITUTE(SUBSTITUTE(SUBSTITUTE(SUBSTITUTE(SUBSTITUTE(SUBSTITUTE(SUBSTITUTE(SUBSTITUTE(SUBSTITUTE(
GetTransformation(SanitizeInput($I16),'Damage Scenarios'!$A:$J,COLUMNS('Damage Scenarios'!$A:$J),CHAR(10),"[#0][#1][#2]")&amp;"§",
"[#1][#2]",""),
"[#2]",""),
"[#0][#1]","[#1]"),
"[#0]","Removes:"&amp;CHAR(10)),
"[#1]","Transforms:"&amp;CHAR(10)),
CHAR(10)&amp;"§",""),
"§",""),
CHAR(10),CHAR(10)&amp;"   "),
"   "&amp;"Transforms:","Transforms:"))</f>
        <v/>
      </c>
      <c r="K16" s="13"/>
      <c r="L16" s="13"/>
      <c r="M16" s="13"/>
      <c r="N16" s="13" t="s">
        <v>151</v>
      </c>
      <c r="O16" s="13"/>
      <c r="P16" s="16" t="str">
        <f ca="1">IF($A16="","",IFERROR(VLOOKUP($AE16,Definitions!$V:$W,COLUMNS(Definitions!$V:$W),TRUE),""))</f>
        <v>Beyond High</v>
      </c>
      <c r="Q16" s="13" t="s">
        <v>1626</v>
      </c>
      <c r="R16" s="13"/>
      <c r="S16" s="13" t="str">
        <f>"The responsible party depends on whether the trusted communication partner is operated by "&amp;Definitions!$C$4&amp;", the customer, or another party. Please list all responsible parties in the documentation.
The communication partner is considered as trustworthy and currently not considered as the origin of attacks"</f>
        <v>The responsible party depends on whether the trusted communication partner is operated by &lt;OEM name&gt;, the customer, or another party. Please list all responsible parties in the documentation.
The communication partner is considered as trustworthy and currently not considered as the origin of attacks</v>
      </c>
      <c r="T16" s="10" cm="1">
        <f t="array" ref="T16">IF(ROW()=ROW($T$3)+1,0,INDEX($T:$T,ROW()-1))+IF($A16="",0,1)</f>
        <v>13</v>
      </c>
      <c r="U16" s="14" t="b">
        <f ca="1">OR(CheckRelevance(SanitizeInput(F16),Questionnaire!$I:$I),IFERROR(_xlfn.XMATCH("*,"&amp;$A16&amp;",*",Countermeasures!$AG:$AG,2)&gt;0,FALSE))</f>
        <v>0</v>
      </c>
      <c r="V16" s="14" t="b">
        <f>IFERROR(_xlfn.XMATCH("*,"&amp;$A16&amp;",*",Mitigation!$X:$X,2)&gt;0,FALSE)</f>
        <v>0</v>
      </c>
      <c r="W16" s="14" cm="1">
        <f t="array" ref="W16">CreateTaskID($W$3,$W:$W,Tasks!$B$17,$S16)</f>
        <v>0</v>
      </c>
      <c r="X16" s="14" t="str" cm="1">
        <f t="array" aca="1" ref="X16" ca="1">IF(OR($G16="",NOT($U16)),"",","&amp;SanitizeInput($G16))</f>
        <v/>
      </c>
      <c r="Y16" s="14" t="str" cm="1">
        <f t="array" ref="Y16">IF($G16="","",","&amp;SanitizeInput($G16))</f>
        <v>,AS28,</v>
      </c>
      <c r="Z16" s="20">
        <f>IF(K16="",0,VLOOKUP(K16,Definitions!$Z:$AA,COLUMNS(Definitions!$Z:$AA),FALSE))</f>
        <v>0</v>
      </c>
      <c r="AA16" s="20">
        <f>IF(L16="",0,VLOOKUP(L16,Definitions!$Z:$AA,COLUMNS(Definitions!$Z:$AA),FALSE))</f>
        <v>0</v>
      </c>
      <c r="AB16" s="20">
        <f>IF(M16="",0,VLOOKUP(M16,Definitions!$Z:$AA,COLUMNS(Definitions!$Z:$AA),FALSE))</f>
        <v>0</v>
      </c>
      <c r="AC16" s="20">
        <f>IF(N16="",0,VLOOKUP(N16,Definitions!$Z:$AA,COLUMNS(Definitions!$Z:$AA),FALSE))</f>
        <v>25</v>
      </c>
      <c r="AD16" s="20">
        <f>IF(O16="",0,VLOOKUP(O16,Definitions!$Z:$AA,COLUMNS(Definitions!$Z:$AA),FALSE))</f>
        <v>0</v>
      </c>
      <c r="AE16" s="20">
        <f t="shared" ca="1" si="0"/>
        <v>25</v>
      </c>
      <c r="AF16" s="20" t="str" cm="1">
        <f t="array" ref="AF16">SUBSTITUTE(IF($V16,IF($I16="","",","&amp;SanitizeInput($I16)),""),"&gt;",",")</f>
        <v/>
      </c>
      <c r="AG16" s="20" cm="1">
        <f t="array" aca="1" ref="AG16" ca="1">IF(ROW()=ROW($AG$3)+1,0,INDEX($AG:$AG,ROW()-1))+IF(OR($U16,$V16),1,0)</f>
        <v>0</v>
      </c>
      <c r="AH16" s="20" t="str" cm="1">
        <f t="array" aca="1" ref="AH16" ca="1">IF(OR($U16,$V16),IF($Q16="","",","&amp;SanitizeInput($Q16)),"")</f>
        <v/>
      </c>
      <c r="AI16" s="20" t="str">
        <f t="shared" si="1"/>
        <v>SDR 1.11 – Trustworthy communication partner [Other (see comment)]</v>
      </c>
      <c r="AJ16" s="20" t="str" cm="1">
        <f t="array" aca="1" ref="AJ16" ca="1">IF($F16="*","",InverseLookupList(SanitizeInput($F16),Questionnaire!$AA$3,Questionnaire!$A$3,Helper!$B$12,","))</f>
        <v/>
      </c>
      <c r="AK16" s="20" t="str" cm="1">
        <f t="array" aca="1" ref="AK16" ca="1">RemoveDelimiter(GetValues($AJ16,Questionnaire!$A:$G," ",CHAR(10)&amp;CHAR(10),TRUE),CHAR(10)&amp;CHAR(10))</f>
        <v/>
      </c>
      <c r="AL16" s="20" t="str" cm="1">
        <f t="array" aca="1" ref="AL16" ca="1">CreateSearchString($AJ16)</f>
        <v/>
      </c>
      <c r="AM16" s="20" t="str" cm="1">
        <f t="array" aca="1" ref="AM16" ca="1">InverseLookup($A16,Mitigation!$AD$2,Mitigation!$A$2,1,Helper!$B$5,",")</f>
        <v/>
      </c>
      <c r="AN16" s="20" t="str" cm="1">
        <f t="array" aca="1" ref="AN16" ca="1">CreateSearchString(GetValues($AM16,'Attack Steps'!$A:$O,"",",",FALSE))</f>
        <v/>
      </c>
      <c r="AO16" s="20" t="str">
        <f t="shared" si="2"/>
        <v>A13</v>
      </c>
    </row>
    <row r="17" spans="1:41" ht="45" x14ac:dyDescent="0.25">
      <c r="A17" s="10" t="s">
        <v>382</v>
      </c>
      <c r="B17" s="13" t="s">
        <v>1557</v>
      </c>
      <c r="C17" s="13" t="s">
        <v>597</v>
      </c>
      <c r="D17" s="13" t="s">
        <v>1562</v>
      </c>
      <c r="E17" s="13" t="s">
        <v>372</v>
      </c>
      <c r="F17" s="13" t="s">
        <v>1062</v>
      </c>
      <c r="G17" s="13" t="s">
        <v>331</v>
      </c>
      <c r="H17" s="33" t="str" cm="1">
        <f t="array" aca="1" ref="H17" ca="1">LookupNames(SanitizeInput($G17),'Attack Steps'!$A:$B)</f>
        <v>AS21 Gaining physical access to the product (3rd party)</v>
      </c>
      <c r="I17" s="23"/>
      <c r="J17" s="37" t="str" cm="1">
        <f t="array" ref="J17">IF($I17="","",SUBSTITUTE(SUBSTITUTE(SUBSTITUTE(SUBSTITUTE(SUBSTITUTE(SUBSTITUTE(SUBSTITUTE(SUBSTITUTE(SUBSTITUTE(
GetTransformation(SanitizeInput($I17),'Damage Scenarios'!$A:$J,COLUMNS('Damage Scenarios'!$A:$J),CHAR(10),"[#0][#1][#2]")&amp;"§",
"[#1][#2]",""),
"[#2]",""),
"[#0][#1]","[#1]"),
"[#0]","Removes:"&amp;CHAR(10)),
"[#1]","Transforms:"&amp;CHAR(10)),
CHAR(10)&amp;"§",""),
"§",""),
CHAR(10),CHAR(10)&amp;"   "),
"   "&amp;"Transforms:","Transforms:"))</f>
        <v/>
      </c>
      <c r="K17" s="13"/>
      <c r="L17" s="13"/>
      <c r="M17" s="13"/>
      <c r="N17" s="13" t="s">
        <v>150</v>
      </c>
      <c r="O17" s="13"/>
      <c r="P17" s="16" t="str">
        <f ca="1">IF($A17="","",IFERROR(VLOOKUP($AE17,Definitions!$V:$W,COLUMNS(Definitions!$V:$W),TRUE),""))</f>
        <v>Enhanced-Basic</v>
      </c>
      <c r="Q17" s="13" t="s">
        <v>62</v>
      </c>
      <c r="R17" s="13"/>
      <c r="S17" s="13" t="s">
        <v>1026</v>
      </c>
      <c r="T17" s="10" cm="1">
        <f t="array" ref="T17">IF(ROW()=ROW($T$3)+1,0,INDEX($T:$T,ROW()-1))+IF($A17="",0,1)</f>
        <v>14</v>
      </c>
      <c r="U17" s="20" t="b">
        <f ca="1">OR(CheckRelevance(SanitizeInput(F17),Questionnaire!$I:$I),IFERROR(_xlfn.XMATCH("*,"&amp;$A17&amp;",*",Countermeasures!$AG:$AG,2)&gt;0,FALSE))</f>
        <v>0</v>
      </c>
      <c r="V17" s="20" t="b">
        <f>IFERROR(_xlfn.XMATCH("*,"&amp;$A17&amp;",*",Mitigation!$X:$X,2)&gt;0,FALSE)</f>
        <v>0</v>
      </c>
      <c r="W17" s="20" cm="1">
        <f t="array" ref="W17">CreateTaskID($W$3,$W:$W,Tasks!$B$17,$S17)</f>
        <v>0</v>
      </c>
      <c r="X17" s="20" t="str" cm="1">
        <f t="array" aca="1" ref="X17" ca="1">IF(OR($G17="",NOT($U17)),"",","&amp;SanitizeInput($G17))</f>
        <v/>
      </c>
      <c r="Y17" s="20" t="str" cm="1">
        <f t="array" ref="Y17">IF($G17="","",","&amp;SanitizeInput($G17))</f>
        <v>,AS21,</v>
      </c>
      <c r="Z17" s="20">
        <f>IF(K17="",0,VLOOKUP(K17,Definitions!$Z:$AA,COLUMNS(Definitions!$Z:$AA),FALSE))</f>
        <v>0</v>
      </c>
      <c r="AA17" s="20">
        <f>IF(L17="",0,VLOOKUP(L17,Definitions!$Z:$AA,COLUMNS(Definitions!$Z:$AA),FALSE))</f>
        <v>0</v>
      </c>
      <c r="AB17" s="20">
        <f>IF(M17="",0,VLOOKUP(M17,Definitions!$Z:$AA,COLUMNS(Definitions!$Z:$AA),FALSE))</f>
        <v>0</v>
      </c>
      <c r="AC17" s="20">
        <f>IF(N17="",0,VLOOKUP(N17,Definitions!$Z:$AA,COLUMNS(Definitions!$Z:$AA),FALSE))</f>
        <v>10</v>
      </c>
      <c r="AD17" s="20">
        <f>IF(O17="",0,VLOOKUP(O17,Definitions!$Z:$AA,COLUMNS(Definitions!$Z:$AA),FALSE))</f>
        <v>0</v>
      </c>
      <c r="AE17" s="20">
        <f t="shared" ca="1" si="0"/>
        <v>10</v>
      </c>
      <c r="AF17" s="20" t="str" cm="1">
        <f t="array" ref="AF17">SUBSTITUTE(IF($V17,IF($I17="","",","&amp;SanitizeInput($I17)),""),"&gt;",",")</f>
        <v/>
      </c>
      <c r="AG17" s="20" cm="1">
        <f t="array" aca="1" ref="AG17" ca="1">IF(ROW()=ROW($AG$3)+1,0,INDEX($AG:$AG,ROW()-1))+IF(OR($U17,$V17),1,0)</f>
        <v>0</v>
      </c>
      <c r="AH17" s="20" t="str" cm="1">
        <f t="array" aca="1" ref="AH17" ca="1">IF(OR($U17,$V17),IF($Q17="","",","&amp;SanitizeInput($Q17)),"")</f>
        <v/>
      </c>
      <c r="AI17" s="20" t="str">
        <f t="shared" si="1"/>
        <v>SDR 1.12 – Product inaccessible [Customer]</v>
      </c>
      <c r="AJ17" s="20" t="str" cm="1">
        <f t="array" aca="1" ref="AJ17" ca="1">IF($F17="*","",InverseLookupList(SanitizeInput($F17),Questionnaire!$AA$3,Questionnaire!$A$3,Helper!$B$12,","))</f>
        <v/>
      </c>
      <c r="AK17" s="20" t="str" cm="1">
        <f t="array" aca="1" ref="AK17" ca="1">RemoveDelimiter(GetValues($AJ17,Questionnaire!$A:$G," ",CHAR(10)&amp;CHAR(10),TRUE),CHAR(10)&amp;CHAR(10))</f>
        <v/>
      </c>
      <c r="AL17" s="20" t="str" cm="1">
        <f t="array" aca="1" ref="AL17" ca="1">CreateSearchString($AJ17)</f>
        <v/>
      </c>
      <c r="AM17" s="20" t="str" cm="1">
        <f t="array" aca="1" ref="AM17" ca="1">InverseLookup($A17,Mitigation!$AD$2,Mitigation!$A$2,1,Helper!$B$5,",")</f>
        <v/>
      </c>
      <c r="AN17" s="20" t="str" cm="1">
        <f t="array" aca="1" ref="AN17" ca="1">CreateSearchString(GetValues($AM17,'Attack Steps'!$A:$O,"",",",FALSE))</f>
        <v/>
      </c>
      <c r="AO17" s="20" t="str">
        <f t="shared" si="2"/>
        <v>A14</v>
      </c>
    </row>
    <row r="18" spans="1:41" ht="45" x14ac:dyDescent="0.25">
      <c r="A18" s="10" t="s">
        <v>383</v>
      </c>
      <c r="B18" s="13" t="s">
        <v>1558</v>
      </c>
      <c r="C18" s="13" t="s">
        <v>338</v>
      </c>
      <c r="D18" s="13" t="s">
        <v>1563</v>
      </c>
      <c r="E18" s="13" t="s">
        <v>372</v>
      </c>
      <c r="F18" s="13" t="s">
        <v>1064</v>
      </c>
      <c r="G18" s="13" t="s">
        <v>331</v>
      </c>
      <c r="H18" s="16" t="str" cm="1">
        <f t="array" aca="1" ref="H18" ca="1">LookupNames(SanitizeInput($G18),'Attack Steps'!$A:$B)</f>
        <v>AS21 Gaining physical access to the product (3rd party)</v>
      </c>
      <c r="I18" s="13"/>
      <c r="J18" s="36" t="str" cm="1">
        <f t="array" ref="J18">IF($I18="","",SUBSTITUTE(SUBSTITUTE(SUBSTITUTE(SUBSTITUTE(SUBSTITUTE(SUBSTITUTE(SUBSTITUTE(SUBSTITUTE(SUBSTITUTE(
GetTransformation(SanitizeInput($I18),'Damage Scenarios'!$A:$J,COLUMNS('Damage Scenarios'!$A:$J),CHAR(10),"[#0][#1][#2]")&amp;"§",
"[#1][#2]",""),
"[#2]",""),
"[#0][#1]","[#1]"),
"[#0]","Removes:"&amp;CHAR(10)),
"[#1]","Transforms:"&amp;CHAR(10)),
CHAR(10)&amp;"§",""),
"§",""),
CHAR(10),CHAR(10)&amp;"   "),
"   "&amp;"Transforms:","Transforms:"))</f>
        <v/>
      </c>
      <c r="K18" s="13"/>
      <c r="L18" s="13"/>
      <c r="M18" s="13"/>
      <c r="N18" s="13" t="s">
        <v>151</v>
      </c>
      <c r="O18" s="13"/>
      <c r="P18" s="16" t="str">
        <f ca="1">IF($A18="","",IFERROR(VLOOKUP($AE18,Definitions!$V:$W,COLUMNS(Definitions!$V:$W),TRUE),""))</f>
        <v>Beyond High</v>
      </c>
      <c r="Q18" s="13" t="s">
        <v>62</v>
      </c>
      <c r="R18" s="13"/>
      <c r="S18" s="13" t="s">
        <v>1027</v>
      </c>
      <c r="T18" s="10" cm="1">
        <f t="array" ref="T18">IF(ROW()=ROW($T$3)+1,0,INDEX($T:$T,ROW()-1))+IF($A18="",0,1)</f>
        <v>15</v>
      </c>
      <c r="U18" s="14" t="b">
        <f ca="1">OR(CheckRelevance(SanitizeInput(F18),Questionnaire!$I:$I),IFERROR(_xlfn.XMATCH("*,"&amp;$A18&amp;",*",Countermeasures!$AG:$AG,2)&gt;0,FALSE))</f>
        <v>0</v>
      </c>
      <c r="V18" s="14" t="b">
        <f>IFERROR(_xlfn.XMATCH("*,"&amp;$A18&amp;",*",Mitigation!$X:$X,2)&gt;0,FALSE)</f>
        <v>0</v>
      </c>
      <c r="W18" s="14" cm="1">
        <f t="array" ref="W18">CreateTaskID($W$3,$W:$W,Tasks!$B$17,$S18)</f>
        <v>0</v>
      </c>
      <c r="X18" s="14" t="str" cm="1">
        <f t="array" aca="1" ref="X18" ca="1">IF(OR($G18="",NOT($U18)),"",","&amp;SanitizeInput($G18))</f>
        <v/>
      </c>
      <c r="Y18" s="14" t="str" cm="1">
        <f t="array" ref="Y18">IF($G18="","",","&amp;SanitizeInput($G18))</f>
        <v>,AS21,</v>
      </c>
      <c r="Z18" s="20">
        <f>IF(K18="",0,VLOOKUP(K18,Definitions!$Z:$AA,COLUMNS(Definitions!$Z:$AA),FALSE))</f>
        <v>0</v>
      </c>
      <c r="AA18" s="20">
        <f>IF(L18="",0,VLOOKUP(L18,Definitions!$Z:$AA,COLUMNS(Definitions!$Z:$AA),FALSE))</f>
        <v>0</v>
      </c>
      <c r="AB18" s="20">
        <f>IF(M18="",0,VLOOKUP(M18,Definitions!$Z:$AA,COLUMNS(Definitions!$Z:$AA),FALSE))</f>
        <v>0</v>
      </c>
      <c r="AC18" s="20">
        <f>IF(N18="",0,VLOOKUP(N18,Definitions!$Z:$AA,COLUMNS(Definitions!$Z:$AA),FALSE))</f>
        <v>25</v>
      </c>
      <c r="AD18" s="20">
        <f>IF(O18="",0,VLOOKUP(O18,Definitions!$Z:$AA,COLUMNS(Definitions!$Z:$AA),FALSE))</f>
        <v>0</v>
      </c>
      <c r="AE18" s="20">
        <f t="shared" ca="1" si="0"/>
        <v>25</v>
      </c>
      <c r="AF18" s="20" t="str" cm="1">
        <f t="array" ref="AF18">SUBSTITUTE(IF($V18,IF($I18="","",","&amp;SanitizeInput($I18)),""),"&gt;",",")</f>
        <v/>
      </c>
      <c r="AG18" s="20" cm="1">
        <f t="array" aca="1" ref="AG18" ca="1">IF(ROW()=ROW($AG$3)+1,0,INDEX($AG:$AG,ROW()-1))+IF(OR($U18,$V18),1,0)</f>
        <v>0</v>
      </c>
      <c r="AH18" s="20" t="str" cm="1">
        <f t="array" aca="1" ref="AH18" ca="1">IF(OR($U18,$V18),IF($Q18="","",","&amp;SanitizeInput($Q18)),"")</f>
        <v/>
      </c>
      <c r="AI18" s="20" t="str">
        <f t="shared" si="1"/>
        <v>SDR 1.13 – Area with restricted access [Customer]</v>
      </c>
      <c r="AJ18" s="20" t="str" cm="1">
        <f t="array" aca="1" ref="AJ18" ca="1">IF($F18="*","",InverseLookupList(SanitizeInput($F18),Questionnaire!$AA$3,Questionnaire!$A$3,Helper!$B$12,","))</f>
        <v/>
      </c>
      <c r="AK18" s="20" t="str" cm="1">
        <f t="array" aca="1" ref="AK18" ca="1">RemoveDelimiter(GetValues($AJ18,Questionnaire!$A:$G," ",CHAR(10)&amp;CHAR(10),TRUE),CHAR(10)&amp;CHAR(10))</f>
        <v/>
      </c>
      <c r="AL18" s="20" t="str" cm="1">
        <f t="array" aca="1" ref="AL18" ca="1">CreateSearchString($AJ18)</f>
        <v/>
      </c>
      <c r="AM18" s="20" t="str" cm="1">
        <f t="array" aca="1" ref="AM18" ca="1">InverseLookup($A18,Mitigation!$AD$2,Mitigation!$A$2,1,Helper!$B$5,",")</f>
        <v/>
      </c>
      <c r="AN18" s="20" t="str" cm="1">
        <f t="array" aca="1" ref="AN18" ca="1">CreateSearchString(GetValues($AM18,'Attack Steps'!$A:$O,"",",",FALSE))</f>
        <v/>
      </c>
      <c r="AO18" s="20" t="str">
        <f t="shared" si="2"/>
        <v>A15</v>
      </c>
    </row>
    <row r="19" spans="1:41" ht="45" x14ac:dyDescent="0.25">
      <c r="A19" s="10" t="s">
        <v>384</v>
      </c>
      <c r="B19" s="13" t="s">
        <v>1559</v>
      </c>
      <c r="C19" s="13" t="s">
        <v>341</v>
      </c>
      <c r="D19" s="13" t="s">
        <v>1564</v>
      </c>
      <c r="E19" s="13" t="s">
        <v>372</v>
      </c>
      <c r="F19" s="13" t="s">
        <v>1066</v>
      </c>
      <c r="G19" s="13" t="s">
        <v>360</v>
      </c>
      <c r="H19" s="16" t="str" cm="1">
        <f t="array" aca="1" ref="H19" ca="1">LookupNames(SanitizeInput($G19),'Attack Steps'!$A:$B)</f>
        <v>AS27 Getting physical access to the product's linked communication media (e.g., field buses)</v>
      </c>
      <c r="I19" s="13"/>
      <c r="J19" s="36" t="str" cm="1">
        <f t="array" ref="J19">IF($I19="","",SUBSTITUTE(SUBSTITUTE(SUBSTITUTE(SUBSTITUTE(SUBSTITUTE(SUBSTITUTE(SUBSTITUTE(SUBSTITUTE(SUBSTITUTE(
GetTransformation(SanitizeInput($I19),'Damage Scenarios'!$A:$J,COLUMNS('Damage Scenarios'!$A:$J),CHAR(10),"[#0][#1][#2]")&amp;"§",
"[#1][#2]",""),
"[#2]",""),
"[#0][#1]","[#1]"),
"[#0]","Removes:"&amp;CHAR(10)),
"[#1]","Transforms:"&amp;CHAR(10)),
CHAR(10)&amp;"§",""),
"§",""),
CHAR(10),CHAR(10)&amp;"   "),
"   "&amp;"Transforms:","Transforms:"))</f>
        <v/>
      </c>
      <c r="K19" s="13"/>
      <c r="L19" s="13"/>
      <c r="M19" s="13"/>
      <c r="N19" s="13" t="s">
        <v>151</v>
      </c>
      <c r="O19" s="13"/>
      <c r="P19" s="16" t="str">
        <f ca="1">IF($A19="","",IFERROR(VLOOKUP($AE19,Definitions!$V:$W,COLUMNS(Definitions!$V:$W),TRUE),""))</f>
        <v>Beyond High</v>
      </c>
      <c r="Q19" s="13" t="s">
        <v>62</v>
      </c>
      <c r="R19" s="13"/>
      <c r="S19" s="13" t="s">
        <v>1027</v>
      </c>
      <c r="T19" s="10" cm="1">
        <f t="array" ref="T19">IF(ROW()=ROW($T$3)+1,0,INDEX($T:$T,ROW()-1))+IF($A19="",0,1)</f>
        <v>16</v>
      </c>
      <c r="U19" s="14" t="b">
        <f ca="1">OR(CheckRelevance(SanitizeInput(F19),Questionnaire!$I:$I),IFERROR(_xlfn.XMATCH("*,"&amp;$A19&amp;",*",Countermeasures!$AG:$AG,2)&gt;0,FALSE))</f>
        <v>0</v>
      </c>
      <c r="V19" s="14" t="b">
        <f>IFERROR(_xlfn.XMATCH("*,"&amp;$A19&amp;",*",Mitigation!$X:$X,2)&gt;0,FALSE)</f>
        <v>0</v>
      </c>
      <c r="W19" s="14" cm="1">
        <f t="array" ref="W19">CreateTaskID($W$3,$W:$W,Tasks!$B$17,$S19)</f>
        <v>0</v>
      </c>
      <c r="X19" s="14" t="str" cm="1">
        <f t="array" aca="1" ref="X19" ca="1">IF(OR($G19="",NOT($U19)),"",","&amp;SanitizeInput($G19))</f>
        <v/>
      </c>
      <c r="Y19" s="14" t="str" cm="1">
        <f t="array" ref="Y19">IF($G19="","",","&amp;SanitizeInput($G19))</f>
        <v>,AS27,</v>
      </c>
      <c r="Z19" s="20">
        <f>IF(K19="",0,VLOOKUP(K19,Definitions!$Z:$AA,COLUMNS(Definitions!$Z:$AA),FALSE))</f>
        <v>0</v>
      </c>
      <c r="AA19" s="20">
        <f>IF(L19="",0,VLOOKUP(L19,Definitions!$Z:$AA,COLUMNS(Definitions!$Z:$AA),FALSE))</f>
        <v>0</v>
      </c>
      <c r="AB19" s="20">
        <f>IF(M19="",0,VLOOKUP(M19,Definitions!$Z:$AA,COLUMNS(Definitions!$Z:$AA),FALSE))</f>
        <v>0</v>
      </c>
      <c r="AC19" s="20">
        <f>IF(N19="",0,VLOOKUP(N19,Definitions!$Z:$AA,COLUMNS(Definitions!$Z:$AA),FALSE))</f>
        <v>25</v>
      </c>
      <c r="AD19" s="20">
        <f>IF(O19="",0,VLOOKUP(O19,Definitions!$Z:$AA,COLUMNS(Definitions!$Z:$AA),FALSE))</f>
        <v>0</v>
      </c>
      <c r="AE19" s="20">
        <f t="shared" ca="1" si="0"/>
        <v>25</v>
      </c>
      <c r="AF19" s="20" t="str" cm="1">
        <f t="array" ref="AF19">SUBSTITUTE(IF($V19,IF($I19="","",","&amp;SanitizeInput($I19)),""),"&gt;",",")</f>
        <v/>
      </c>
      <c r="AG19" s="20" cm="1">
        <f t="array" aca="1" ref="AG19" ca="1">IF(ROW()=ROW($AG$3)+1,0,INDEX($AG:$AG,ROW()-1))+IF(OR($U19,$V19),1,0)</f>
        <v>0</v>
      </c>
      <c r="AH19" s="20" t="str" cm="1">
        <f t="array" aca="1" ref="AH19" ca="1">IF(OR($U19,$V19),IF($Q19="","",","&amp;SanitizeInput($Q19)),"")</f>
        <v/>
      </c>
      <c r="AI19" s="20" t="str">
        <f t="shared" si="1"/>
        <v>SDR 1.14 – Communication media located in restricted access area [Customer]</v>
      </c>
      <c r="AJ19" s="20" t="str" cm="1">
        <f t="array" aca="1" ref="AJ19" ca="1">IF($F19="*","",InverseLookupList(SanitizeInput($F19),Questionnaire!$AA$3,Questionnaire!$A$3,Helper!$B$12,","))</f>
        <v/>
      </c>
      <c r="AK19" s="20" t="str" cm="1">
        <f t="array" aca="1" ref="AK19" ca="1">RemoveDelimiter(GetValues($AJ19,Questionnaire!$A:$G," ",CHAR(10)&amp;CHAR(10),TRUE),CHAR(10)&amp;CHAR(10))</f>
        <v/>
      </c>
      <c r="AL19" s="20" t="str" cm="1">
        <f t="array" aca="1" ref="AL19" ca="1">CreateSearchString($AJ19)</f>
        <v/>
      </c>
      <c r="AM19" s="20" t="str" cm="1">
        <f t="array" aca="1" ref="AM19" ca="1">InverseLookup($A19,Mitigation!$AD$2,Mitigation!$A$2,1,Helper!$B$5,",")</f>
        <v/>
      </c>
      <c r="AN19" s="20" t="str" cm="1">
        <f t="array" aca="1" ref="AN19" ca="1">CreateSearchString(GetValues($AM19,'Attack Steps'!$A:$O,"",",",FALSE))</f>
        <v/>
      </c>
      <c r="AO19" s="20" t="str">
        <f t="shared" si="2"/>
        <v>A16</v>
      </c>
    </row>
    <row r="20" spans="1:41" ht="30" x14ac:dyDescent="0.25">
      <c r="A20" s="10" t="s">
        <v>385</v>
      </c>
      <c r="B20" s="13" t="s">
        <v>1600</v>
      </c>
      <c r="C20" s="13" t="str">
        <f>Definitions!$C$4&amp;"'s products are produced in a secure operational environment."</f>
        <v>&lt;OEM name&gt;'s products are produced in a secure operational environment.</v>
      </c>
      <c r="D20" s="13" t="str">
        <f>"The "&amp;Definitions!$C$4&amp;" product shall be produced in a secure operational environment."</f>
        <v>The &lt;OEM name&gt; product shall be produced in a secure operational environment.</v>
      </c>
      <c r="E20" s="13" t="str">
        <f>Definitions!$C$4</f>
        <v>&lt;OEM name&gt;</v>
      </c>
      <c r="F20" s="13" t="s">
        <v>1143</v>
      </c>
      <c r="G20" s="13" t="s">
        <v>1116</v>
      </c>
      <c r="H20" s="16" t="str" cm="1">
        <f t="array" aca="1" ref="H20" ca="1">LookupNames(SanitizeInput($G20),'Attack Steps'!$A:$B)</f>
        <v>AS37 The product is manipulated during production and consequently behaves maliciously</v>
      </c>
      <c r="I20" s="13"/>
      <c r="J20" s="36" t="str" cm="1">
        <f t="array" ref="J20">IF($I20="","",SUBSTITUTE(SUBSTITUTE(SUBSTITUTE(SUBSTITUTE(SUBSTITUTE(SUBSTITUTE(SUBSTITUTE(SUBSTITUTE(SUBSTITUTE(
GetTransformation(SanitizeInput($I20),'Damage Scenarios'!$A:$J,COLUMNS('Damage Scenarios'!$A:$J),CHAR(10),"[#0][#1][#2]")&amp;"§",
"[#1][#2]",""),
"[#2]",""),
"[#0][#1]","[#1]"),
"[#0]","Removes:"&amp;CHAR(10)),
"[#1]","Transforms:"&amp;CHAR(10)),
CHAR(10)&amp;"§",""),
"§",""),
CHAR(10),CHAR(10)&amp;"   "),
"   "&amp;"Transforms:","Transforms:"))</f>
        <v/>
      </c>
      <c r="K20" s="13"/>
      <c r="L20" s="13"/>
      <c r="M20" s="13"/>
      <c r="N20" s="13" t="s">
        <v>151</v>
      </c>
      <c r="O20" s="13"/>
      <c r="P20" s="16" t="str">
        <f ca="1">IF($A20="","",IFERROR(VLOOKUP($AE20,Definitions!$V:$W,COLUMNS(Definitions!$V:$W),TRUE),""))</f>
        <v>Beyond High</v>
      </c>
      <c r="Q20" s="13" t="s">
        <v>62</v>
      </c>
      <c r="R20" s="13"/>
      <c r="S20" s="13" t="str">
        <f>"None: "&amp;Definitions!$C$4&amp;"'s production environment is protected against attacks"</f>
        <v>None: &lt;OEM name&gt;'s production environment is protected against attacks</v>
      </c>
      <c r="T20" s="10" cm="1">
        <f t="array" ref="T20">IF(ROW()=ROW($T$3)+1,0,INDEX($T:$T,ROW()-1))+IF($A20="",0,1)</f>
        <v>17</v>
      </c>
      <c r="U20" s="14" t="b">
        <f ca="1">OR(CheckRelevance(SanitizeInput(F20),Questionnaire!$I:$I),IFERROR(_xlfn.XMATCH("*,"&amp;$A20&amp;",*",Countermeasures!$AG:$AG,2)&gt;0,FALSE))</f>
        <v>0</v>
      </c>
      <c r="V20" s="14" t="b">
        <f>IFERROR(_xlfn.XMATCH("*,"&amp;$A20&amp;",*",Mitigation!$X:$X,2)&gt;0,FALSE)</f>
        <v>0</v>
      </c>
      <c r="W20" s="14" cm="1">
        <f t="array" ref="W20">CreateTaskID($W$3,$W:$W,Tasks!$B$17,$S20)</f>
        <v>0</v>
      </c>
      <c r="X20" s="14" t="str" cm="1">
        <f t="array" aca="1" ref="X20" ca="1">IF(OR($G20="",NOT($U20)),"",","&amp;SanitizeInput($G20))</f>
        <v/>
      </c>
      <c r="Y20" s="14" t="str" cm="1">
        <f t="array" ref="Y20">IF($G20="","",","&amp;SanitizeInput($G20))</f>
        <v>,AS37,</v>
      </c>
      <c r="Z20" s="20">
        <f>IF(K20="",0,VLOOKUP(K20,Definitions!$Z:$AA,COLUMNS(Definitions!$Z:$AA),FALSE))</f>
        <v>0</v>
      </c>
      <c r="AA20" s="20">
        <f>IF(L20="",0,VLOOKUP(L20,Definitions!$Z:$AA,COLUMNS(Definitions!$Z:$AA),FALSE))</f>
        <v>0</v>
      </c>
      <c r="AB20" s="20">
        <f>IF(M20="",0,VLOOKUP(M20,Definitions!$Z:$AA,COLUMNS(Definitions!$Z:$AA),FALSE))</f>
        <v>0</v>
      </c>
      <c r="AC20" s="20">
        <f>IF(N20="",0,VLOOKUP(N20,Definitions!$Z:$AA,COLUMNS(Definitions!$Z:$AA),FALSE))</f>
        <v>25</v>
      </c>
      <c r="AD20" s="20">
        <f>IF(O20="",0,VLOOKUP(O20,Definitions!$Z:$AA,COLUMNS(Definitions!$Z:$AA),FALSE))</f>
        <v>0</v>
      </c>
      <c r="AE20" s="20">
        <f t="shared" ca="1" si="0"/>
        <v>25</v>
      </c>
      <c r="AF20" s="20" t="str" cm="1">
        <f t="array" ref="AF20">SUBSTITUTE(IF($V20,IF($I20="","",","&amp;SanitizeInput($I20)),""),"&gt;",",")</f>
        <v/>
      </c>
      <c r="AG20" s="20" cm="1">
        <f t="array" aca="1" ref="AG20" ca="1">IF(ROW()=ROW($AG$3)+1,0,INDEX($AG:$AG,ROW()-1))+IF(OR($U20,$V20),1,0)</f>
        <v>0</v>
      </c>
      <c r="AH20" s="20" t="str" cm="1">
        <f t="array" aca="1" ref="AH20" ca="1">IF(OR($U20,$V20),IF($Q20="","",","&amp;SanitizeInput($Q20)),"")</f>
        <v/>
      </c>
      <c r="AI20" s="20" t="str">
        <f t="shared" si="1"/>
        <v>SDR 2.4 – Secure production [&lt;OEM name&gt;]</v>
      </c>
      <c r="AJ20" s="20" t="str" cm="1">
        <f t="array" aca="1" ref="AJ20" ca="1">IF($F20="*","",InverseLookupList(SanitizeInput($F20),Questionnaire!$AA$3,Questionnaire!$A$3,Helper!$B$12,","))</f>
        <v/>
      </c>
      <c r="AK20" s="20" t="str" cm="1">
        <f t="array" aca="1" ref="AK20" ca="1">RemoveDelimiter(GetValues($AJ20,Questionnaire!$A:$G," ",CHAR(10)&amp;CHAR(10),TRUE),CHAR(10)&amp;CHAR(10))</f>
        <v/>
      </c>
      <c r="AL20" s="20" t="str" cm="1">
        <f t="array" aca="1" ref="AL20" ca="1">CreateSearchString($AJ20)</f>
        <v/>
      </c>
      <c r="AM20" s="20" t="str" cm="1">
        <f t="array" aca="1" ref="AM20" ca="1">InverseLookup($A20,Mitigation!$AD$2,Mitigation!$A$2,1,Helper!$B$5,",")</f>
        <v/>
      </c>
      <c r="AN20" s="20" t="str" cm="1">
        <f t="array" aca="1" ref="AN20" ca="1">CreateSearchString(GetValues($AM20,'Attack Steps'!$A:$O,"",",",FALSE))</f>
        <v/>
      </c>
      <c r="AO20" s="20" t="str">
        <f t="shared" si="2"/>
        <v>A17</v>
      </c>
    </row>
    <row r="21" spans="1:41" ht="120" x14ac:dyDescent="0.25">
      <c r="A21" s="10" t="s">
        <v>386</v>
      </c>
      <c r="B21" s="13" t="s">
        <v>1601</v>
      </c>
      <c r="C21" s="13" t="str">
        <f>Definitions!$C$4&amp;"'s suppliers are trustworthy and their products are not manipulated. The suppliers provide updates when needed."</f>
        <v>&lt;OEM name&gt;'s suppliers are trustworthy and their products are not manipulated. The suppliers provide updates when needed.</v>
      </c>
      <c r="D21" s="13" t="str">
        <f>"The procurement process of external software and hardware components for the solution shall contain checks and guarantees that "&amp;Definitions!$C$4&amp;"'s suppliers are trustworthy and their products are not manipulated.
This should be done by the supplier complying with the "&amp;Definitions!$C$4&amp;" Cybersecurity supplier requirements or in the case of Open Source through the reputation, number of people, history of using the component, committing and other factors."</f>
        <v>The procurement process of external software and hardware components for the solution shall contain checks and guarantees that &lt;OEM name&gt;'s suppliers are trustworthy and their products are not manipulated.
This should be done by the supplier complying with the &lt;OEM name&gt; Cybersecurity supplier requirements or in the case of Open Source through the reputation, number of people, history of using the component, committing and other factors.</v>
      </c>
      <c r="E21" s="13" t="str">
        <f>Definitions!$C$4</f>
        <v>&lt;OEM name&gt;</v>
      </c>
      <c r="F21" s="13" t="s">
        <v>1145</v>
      </c>
      <c r="G21" s="13" t="s">
        <v>1118</v>
      </c>
      <c r="H21" s="16" t="str" cm="1">
        <f t="array" aca="1" ref="H21" ca="1">LookupNames(SanitizeInput($G21),'Attack Steps'!$A:$B)</f>
        <v>AS38 Manipulated parts from the supply chain are integrated into the product, leading to the product behaving maliciously</v>
      </c>
      <c r="I21" s="13"/>
      <c r="J21" s="36" t="str" cm="1">
        <f t="array" ref="J21">IF($I21="","",SUBSTITUTE(SUBSTITUTE(SUBSTITUTE(SUBSTITUTE(SUBSTITUTE(SUBSTITUTE(SUBSTITUTE(SUBSTITUTE(SUBSTITUTE(
GetTransformation(SanitizeInput($I21),'Damage Scenarios'!$A:$J,COLUMNS('Damage Scenarios'!$A:$J),CHAR(10),"[#0][#1][#2]")&amp;"§",
"[#1][#2]",""),
"[#2]",""),
"[#0][#1]","[#1]"),
"[#0]","Removes:"&amp;CHAR(10)),
"[#1]","Transforms:"&amp;CHAR(10)),
CHAR(10)&amp;"§",""),
"§",""),
CHAR(10),CHAR(10)&amp;"   "),
"   "&amp;"Transforms:","Transforms:"))</f>
        <v/>
      </c>
      <c r="K21" s="13"/>
      <c r="L21" s="13"/>
      <c r="M21" s="13"/>
      <c r="N21" s="13" t="s">
        <v>151</v>
      </c>
      <c r="O21" s="13"/>
      <c r="P21" s="16" t="str">
        <f ca="1">IF($A21="","",IFERROR(VLOOKUP($AE21,Definitions!$V:$W,COLUMNS(Definitions!$V:$W),TRUE),""))</f>
        <v>Beyond High</v>
      </c>
      <c r="Q21" s="13" t="s">
        <v>62</v>
      </c>
      <c r="R21" s="13"/>
      <c r="S21" s="13" t="s">
        <v>1232</v>
      </c>
      <c r="T21" s="10" cm="1">
        <f t="array" ref="T21">IF(ROW()=ROW($T$3)+1,0,INDEX($T:$T,ROW()-1))+IF($A21="",0,1)</f>
        <v>18</v>
      </c>
      <c r="U21" s="14" t="b">
        <f ca="1">OR(CheckRelevance(SanitizeInput(F21),Questionnaire!$I:$I),IFERROR(_xlfn.XMATCH("*,"&amp;$A21&amp;",*",Countermeasures!$AG:$AG,2)&gt;0,FALSE))</f>
        <v>0</v>
      </c>
      <c r="V21" s="14" t="b">
        <f>IFERROR(_xlfn.XMATCH("*,"&amp;$A21&amp;",*",Mitigation!$X:$X,2)&gt;0,FALSE)</f>
        <v>0</v>
      </c>
      <c r="W21" s="14" cm="1">
        <f t="array" ref="W21">CreateTaskID($W$3,$W:$W,Tasks!$B$17,$S21)</f>
        <v>0</v>
      </c>
      <c r="X21" s="14" t="str" cm="1">
        <f t="array" aca="1" ref="X21" ca="1">IF(OR($G21="",NOT($U21)),"",","&amp;SanitizeInput($G21))</f>
        <v/>
      </c>
      <c r="Y21" s="14" t="str" cm="1">
        <f t="array" ref="Y21">IF($G21="","",","&amp;SanitizeInput($G21))</f>
        <v>,AS38,</v>
      </c>
      <c r="Z21" s="20">
        <f>IF(K21="",0,VLOOKUP(K21,Definitions!$Z:$AA,COLUMNS(Definitions!$Z:$AA),FALSE))</f>
        <v>0</v>
      </c>
      <c r="AA21" s="20">
        <f>IF(L21="",0,VLOOKUP(L21,Definitions!$Z:$AA,COLUMNS(Definitions!$Z:$AA),FALSE))</f>
        <v>0</v>
      </c>
      <c r="AB21" s="20">
        <f>IF(M21="",0,VLOOKUP(M21,Definitions!$Z:$AA,COLUMNS(Definitions!$Z:$AA),FALSE))</f>
        <v>0</v>
      </c>
      <c r="AC21" s="20">
        <f>IF(N21="",0,VLOOKUP(N21,Definitions!$Z:$AA,COLUMNS(Definitions!$Z:$AA),FALSE))</f>
        <v>25</v>
      </c>
      <c r="AD21" s="20">
        <f>IF(O21="",0,VLOOKUP(O21,Definitions!$Z:$AA,COLUMNS(Definitions!$Z:$AA),FALSE))</f>
        <v>0</v>
      </c>
      <c r="AE21" s="20">
        <f t="shared" ca="1" si="0"/>
        <v>25</v>
      </c>
      <c r="AF21" s="20" t="str" cm="1">
        <f t="array" ref="AF21">SUBSTITUTE(IF($V21,IF($I21="","",","&amp;SanitizeInput($I21)),""),"&gt;",",")</f>
        <v/>
      </c>
      <c r="AG21" s="20" cm="1">
        <f t="array" aca="1" ref="AG21" ca="1">IF(ROW()=ROW($AG$3)+1,0,INDEX($AG:$AG,ROW()-1))+IF(OR($U21,$V21),1,0)</f>
        <v>0</v>
      </c>
      <c r="AH21" s="20" t="str" cm="1">
        <f t="array" aca="1" ref="AH21" ca="1">IF(OR($U21,$V21),IF($Q21="","",","&amp;SanitizeInput($Q21)),"")</f>
        <v/>
      </c>
      <c r="AI21" s="20" t="str">
        <f t="shared" si="1"/>
        <v>SDR 2.5 – Secure supply chain [&lt;OEM name&gt;]</v>
      </c>
      <c r="AJ21" s="20" t="str" cm="1">
        <f t="array" aca="1" ref="AJ21" ca="1">IF($F21="*","",InverseLookupList(SanitizeInput($F21),Questionnaire!$AA$3,Questionnaire!$A$3,Helper!$B$12,","))</f>
        <v/>
      </c>
      <c r="AK21" s="20" t="str" cm="1">
        <f t="array" aca="1" ref="AK21" ca="1">RemoveDelimiter(GetValues($AJ21,Questionnaire!$A:$G," ",CHAR(10)&amp;CHAR(10),TRUE),CHAR(10)&amp;CHAR(10))</f>
        <v/>
      </c>
      <c r="AL21" s="20" t="str" cm="1">
        <f t="array" aca="1" ref="AL21" ca="1">CreateSearchString($AJ21)</f>
        <v/>
      </c>
      <c r="AM21" s="20" t="str" cm="1">
        <f t="array" aca="1" ref="AM21" ca="1">InverseLookup($A21,Mitigation!$AD$2,Mitigation!$A$2,1,Helper!$B$5,",")</f>
        <v/>
      </c>
      <c r="AN21" s="20" t="str" cm="1">
        <f t="array" aca="1" ref="AN21" ca="1">CreateSearchString(GetValues($AM21,'Attack Steps'!$A:$O,"",",",FALSE))</f>
        <v/>
      </c>
      <c r="AO21" s="20" t="str">
        <f t="shared" si="2"/>
        <v>A18</v>
      </c>
    </row>
    <row r="22" spans="1:41" ht="45" x14ac:dyDescent="0.25">
      <c r="A22" s="10" t="s">
        <v>387</v>
      </c>
      <c r="B22" s="13" t="s">
        <v>1565</v>
      </c>
      <c r="C22" s="13" t="s">
        <v>419</v>
      </c>
      <c r="D22" s="13" t="s">
        <v>1567</v>
      </c>
      <c r="E22" s="13" t="s">
        <v>372</v>
      </c>
      <c r="F22" s="13"/>
      <c r="G22" s="13"/>
      <c r="H22" s="16" t="str" cm="1">
        <f t="array" ref="H22">LookupNames(SanitizeInput($G22),'Attack Steps'!$A:$B)</f>
        <v/>
      </c>
      <c r="I22" s="13"/>
      <c r="J22" s="36" t="str" cm="1">
        <f t="array" ref="J22">IF($I22="","",SUBSTITUTE(SUBSTITUTE(SUBSTITUTE(SUBSTITUTE(SUBSTITUTE(SUBSTITUTE(SUBSTITUTE(SUBSTITUTE(SUBSTITUTE(
GetTransformation(SanitizeInput($I22),'Damage Scenarios'!$A:$J,COLUMNS('Damage Scenarios'!$A:$J),CHAR(10),"[#0][#1][#2]")&amp;"§",
"[#1][#2]",""),
"[#2]",""),
"[#0][#1]","[#1]"),
"[#0]","Removes:"&amp;CHAR(10)),
"[#1]","Transforms:"&amp;CHAR(10)),
CHAR(10)&amp;"§",""),
"§",""),
CHAR(10),CHAR(10)&amp;"   "),
"   "&amp;"Transforms:","Transforms:"))</f>
        <v/>
      </c>
      <c r="K22" s="13"/>
      <c r="L22" s="13"/>
      <c r="M22" s="13"/>
      <c r="N22" s="13"/>
      <c r="O22" s="13"/>
      <c r="P22" s="16" t="str">
        <f ca="1">IF($A22="","",IFERROR(VLOOKUP($AE22,Definitions!$V:$W,COLUMNS(Definitions!$V:$W),TRUE),""))</f>
        <v>Basic</v>
      </c>
      <c r="Q22" s="13" t="s">
        <v>607</v>
      </c>
      <c r="R22" s="13"/>
      <c r="S22" s="13"/>
      <c r="T22" s="10" cm="1">
        <f t="array" ref="T22">IF(ROW()=ROW($T$3)+1,0,INDEX($T:$T,ROW()-1))+IF($A22="",0,1)</f>
        <v>19</v>
      </c>
      <c r="U22" s="14" t="b">
        <f ca="1">OR(CheckRelevance(SanitizeInput(F22),Questionnaire!$I:$I),IFERROR(_xlfn.XMATCH("*,"&amp;$A22&amp;",*",Countermeasures!$AG:$AG,2)&gt;0,FALSE))</f>
        <v>0</v>
      </c>
      <c r="V22" s="14" t="b">
        <f>IFERROR(_xlfn.XMATCH("*,"&amp;$A22&amp;",*",Mitigation!$X:$X,2)&gt;0,FALSE)</f>
        <v>0</v>
      </c>
      <c r="W22" s="14" cm="1">
        <f t="array" ref="W22">CreateTaskID($W$3,$W:$W,Tasks!$B$17,$S22)</f>
        <v>0</v>
      </c>
      <c r="X22" s="14" t="str" cm="1">
        <f t="array" aca="1" ref="X22" ca="1">IF(OR($G22="",NOT($U22)),"",","&amp;SanitizeInput($G22))</f>
        <v/>
      </c>
      <c r="Y22" s="14" t="str" cm="1">
        <f t="array" ref="Y22">IF($G22="","",","&amp;SanitizeInput($G22))</f>
        <v/>
      </c>
      <c r="Z22" s="20">
        <f>IF(K22="",0,VLOOKUP(K22,Definitions!$Z:$AA,COLUMNS(Definitions!$Z:$AA),FALSE))</f>
        <v>0</v>
      </c>
      <c r="AA22" s="20">
        <f>IF(L22="",0,VLOOKUP(L22,Definitions!$Z:$AA,COLUMNS(Definitions!$Z:$AA),FALSE))</f>
        <v>0</v>
      </c>
      <c r="AB22" s="20">
        <f>IF(M22="",0,VLOOKUP(M22,Definitions!$Z:$AA,COLUMNS(Definitions!$Z:$AA),FALSE))</f>
        <v>0</v>
      </c>
      <c r="AC22" s="20">
        <f>IF(N22="",0,VLOOKUP(N22,Definitions!$Z:$AA,COLUMNS(Definitions!$Z:$AA),FALSE))</f>
        <v>0</v>
      </c>
      <c r="AD22" s="20">
        <f>IF(O22="",0,VLOOKUP(O22,Definitions!$Z:$AA,COLUMNS(Definitions!$Z:$AA),FALSE))</f>
        <v>0</v>
      </c>
      <c r="AE22" s="20">
        <f t="shared" ca="1" si="0"/>
        <v>0</v>
      </c>
      <c r="AF22" s="20" t="str" cm="1">
        <f t="array" ref="AF22">SUBSTITUTE(IF($V22,IF($I22="","",","&amp;SanitizeInput($I22)),""),"&gt;",",")</f>
        <v/>
      </c>
      <c r="AG22" s="20" cm="1">
        <f t="array" aca="1" ref="AG22" ca="1">IF(ROW()=ROW($AG$3)+1,0,INDEX($AG:$AG,ROW()-1))+IF(OR($U22,$V22),1,0)</f>
        <v>0</v>
      </c>
      <c r="AH22" s="20" t="str" cm="1">
        <f t="array" aca="1" ref="AH22" ca="1">IF(OR($U22,$V22),IF($Q22="","",","&amp;SanitizeInput($Q22)),"")</f>
        <v/>
      </c>
      <c r="AI22" s="20" t="str">
        <f t="shared" si="1"/>
        <v>SDR 1.15 – Password security [Customer]</v>
      </c>
      <c r="AJ22" s="20" t="str" cm="1">
        <f t="array" ref="AJ22">IF($F22="*","",InverseLookupList(SanitizeInput($F22),Questionnaire!$AA$3,Questionnaire!$A$3,Helper!$B$12,","))</f>
        <v/>
      </c>
      <c r="AK22" s="20" t="str" cm="1">
        <f t="array" ref="AK22">RemoveDelimiter(GetValues($AJ22,Questionnaire!$A:$G," ",CHAR(10)&amp;CHAR(10),TRUE),CHAR(10)&amp;CHAR(10))</f>
        <v/>
      </c>
      <c r="AL22" s="20" t="str" cm="1">
        <f t="array" ref="AL22">CreateSearchString($AJ22)</f>
        <v/>
      </c>
      <c r="AM22" s="20" t="str" cm="1">
        <f t="array" aca="1" ref="AM22" ca="1">InverseLookup($A22,Mitigation!$AD$2,Mitigation!$A$2,1,Helper!$B$5,",")</f>
        <v/>
      </c>
      <c r="AN22" s="20" t="str" cm="1">
        <f t="array" aca="1" ref="AN22" ca="1">CreateSearchString(GetValues($AM22,'Attack Steps'!$A:$O,"",",",FALSE))</f>
        <v/>
      </c>
      <c r="AO22" s="20" t="str">
        <f t="shared" si="2"/>
        <v>A19</v>
      </c>
    </row>
    <row r="23" spans="1:41" ht="60" x14ac:dyDescent="0.25">
      <c r="A23" s="10" t="s">
        <v>389</v>
      </c>
      <c r="B23" s="13" t="s">
        <v>1566</v>
      </c>
      <c r="C23" s="13" t="s">
        <v>420</v>
      </c>
      <c r="D23" s="13" t="s">
        <v>1568</v>
      </c>
      <c r="E23" s="13" t="s">
        <v>372</v>
      </c>
      <c r="F23" s="13"/>
      <c r="G23" s="13"/>
      <c r="H23" s="16" t="str" cm="1">
        <f t="array" ref="H23">LookupNames(SanitizeInput($G23),'Attack Steps'!$A:$B)</f>
        <v/>
      </c>
      <c r="I23" s="13"/>
      <c r="J23" s="36" t="str" cm="1">
        <f t="array" ref="J23">IF($I23="","",SUBSTITUTE(SUBSTITUTE(SUBSTITUTE(SUBSTITUTE(SUBSTITUTE(SUBSTITUTE(SUBSTITUTE(SUBSTITUTE(SUBSTITUTE(
GetTransformation(SanitizeInput($I23),'Damage Scenarios'!$A:$J,COLUMNS('Damage Scenarios'!$A:$J),CHAR(10),"[#0][#1][#2]")&amp;"§",
"[#1][#2]",""),
"[#2]",""),
"[#0][#1]","[#1]"),
"[#0]","Removes:"&amp;CHAR(10)),
"[#1]","Transforms:"&amp;CHAR(10)),
CHAR(10)&amp;"§",""),
"§",""),
CHAR(10),CHAR(10)&amp;"   "),
"   "&amp;"Transforms:","Transforms:"))</f>
        <v/>
      </c>
      <c r="K23" s="13"/>
      <c r="L23" s="13"/>
      <c r="M23" s="13"/>
      <c r="N23" s="13"/>
      <c r="O23" s="13"/>
      <c r="P23" s="16" t="str">
        <f ca="1">IF($A23="","",IFERROR(VLOOKUP($AE23,Definitions!$V:$W,COLUMNS(Definitions!$V:$W),TRUE),""))</f>
        <v>Basic</v>
      </c>
      <c r="Q23" s="13" t="s">
        <v>607</v>
      </c>
      <c r="R23" s="13"/>
      <c r="S23" s="13"/>
      <c r="T23" s="10" cm="1">
        <f t="array" ref="T23">IF(ROW()=ROW($T$3)+1,0,INDEX($T:$T,ROW()-1))+IF($A23="",0,1)</f>
        <v>20</v>
      </c>
      <c r="U23" s="14" t="b">
        <f ca="1">OR(CheckRelevance(SanitizeInput(F23),Questionnaire!$I:$I),IFERROR(_xlfn.XMATCH("*,"&amp;$A23&amp;",*",Countermeasures!$AG:$AG,2)&gt;0,FALSE))</f>
        <v>0</v>
      </c>
      <c r="V23" s="14" t="b">
        <f>IFERROR(_xlfn.XMATCH("*,"&amp;$A23&amp;",*",Mitigation!$X:$X,2)&gt;0,FALSE)</f>
        <v>0</v>
      </c>
      <c r="W23" s="14" cm="1">
        <f t="array" ref="W23">CreateTaskID($W$3,$W:$W,Tasks!$B$17,$S23)</f>
        <v>0</v>
      </c>
      <c r="X23" s="14" t="str" cm="1">
        <f t="array" aca="1" ref="X23" ca="1">IF(OR($G23="",NOT($U23)),"",","&amp;SanitizeInput($G23))</f>
        <v/>
      </c>
      <c r="Y23" s="14" t="str" cm="1">
        <f t="array" ref="Y23">IF($G23="","",","&amp;SanitizeInput($G23))</f>
        <v/>
      </c>
      <c r="Z23" s="20">
        <f>IF(K23="",0,VLOOKUP(K23,Definitions!$Z:$AA,COLUMNS(Definitions!$Z:$AA),FALSE))</f>
        <v>0</v>
      </c>
      <c r="AA23" s="20">
        <f>IF(L23="",0,VLOOKUP(L23,Definitions!$Z:$AA,COLUMNS(Definitions!$Z:$AA),FALSE))</f>
        <v>0</v>
      </c>
      <c r="AB23" s="20">
        <f>IF(M23="",0,VLOOKUP(M23,Definitions!$Z:$AA,COLUMNS(Definitions!$Z:$AA),FALSE))</f>
        <v>0</v>
      </c>
      <c r="AC23" s="20">
        <f>IF(N23="",0,VLOOKUP(N23,Definitions!$Z:$AA,COLUMNS(Definitions!$Z:$AA),FALSE))</f>
        <v>0</v>
      </c>
      <c r="AD23" s="20">
        <f>IF(O23="",0,VLOOKUP(O23,Definitions!$Z:$AA,COLUMNS(Definitions!$Z:$AA),FALSE))</f>
        <v>0</v>
      </c>
      <c r="AE23" s="20">
        <f t="shared" ca="1" si="0"/>
        <v>0</v>
      </c>
      <c r="AF23" s="20" t="str" cm="1">
        <f t="array" ref="AF23">SUBSTITUTE(IF($V23,IF($I23="","",","&amp;SanitizeInput($I23)),""),"&gt;",",")</f>
        <v/>
      </c>
      <c r="AG23" s="20" cm="1">
        <f t="array" aca="1" ref="AG23" ca="1">IF(ROW()=ROW($AG$3)+1,0,INDEX($AG:$AG,ROW()-1))+IF(OR($U23,$V23),1,0)</f>
        <v>0</v>
      </c>
      <c r="AH23" s="20" t="str" cm="1">
        <f t="array" aca="1" ref="AH23" ca="1">IF(OR($U23,$V23),IF($Q23="","",","&amp;SanitizeInput($Q23)),"")</f>
        <v/>
      </c>
      <c r="AI23" s="20" t="str">
        <f t="shared" si="1"/>
        <v>SDR 1.16 – Private key security [Customer]</v>
      </c>
      <c r="AJ23" s="20" t="str" cm="1">
        <f t="array" ref="AJ23">IF($F23="*","",InverseLookupList(SanitizeInput($F23),Questionnaire!$AA$3,Questionnaire!$A$3,Helper!$B$12,","))</f>
        <v/>
      </c>
      <c r="AK23" s="20" t="str" cm="1">
        <f t="array" ref="AK23">RemoveDelimiter(GetValues($AJ23,Questionnaire!$A:$G," ",CHAR(10)&amp;CHAR(10),TRUE),CHAR(10)&amp;CHAR(10))</f>
        <v/>
      </c>
      <c r="AL23" s="20" t="str" cm="1">
        <f t="array" ref="AL23">CreateSearchString($AJ23)</f>
        <v/>
      </c>
      <c r="AM23" s="20" t="str" cm="1">
        <f t="array" aca="1" ref="AM23" ca="1">InverseLookup($A23,Mitigation!$AD$2,Mitigation!$A$2,1,Helper!$B$5,",")</f>
        <v/>
      </c>
      <c r="AN23" s="20" t="str" cm="1">
        <f t="array" aca="1" ref="AN23" ca="1">CreateSearchString(GetValues($AM23,'Attack Steps'!$A:$O,"",",",FALSE))</f>
        <v/>
      </c>
      <c r="AO23" s="20" t="str">
        <f t="shared" si="2"/>
        <v>A20</v>
      </c>
    </row>
    <row r="24" spans="1:41" ht="168.75" x14ac:dyDescent="0.25">
      <c r="A24" s="10" t="s">
        <v>422</v>
      </c>
      <c r="B24" s="13" t="s">
        <v>1604</v>
      </c>
      <c r="C24" s="13" t="s">
        <v>423</v>
      </c>
      <c r="D24" s="13" t="str">
        <f>"The customer is not expected to take actions against the solution that impacts its security.
If the customer is expected to take actions against the product that impact its security, re-evaluate the risk-assessment."&amp;"
Evaluation of such kind should consider economic factors and damages to "&amp;Definitions!$C$4&amp;"."</f>
        <v>The customer is not expected to take actions against the solution that impacts its security.
If the customer is expected to take actions against the product that impact its security, re-evaluate the risk-assessment.
Evaluation of such kind should consider economic factors and damages to &lt;OEM name&gt;.</v>
      </c>
      <c r="E24" s="13" t="str">
        <f>Definitions!$C$4</f>
        <v>&lt;OEM name&gt;</v>
      </c>
      <c r="F24" s="13" t="s">
        <v>418</v>
      </c>
      <c r="G24" s="13" t="s">
        <v>332</v>
      </c>
      <c r="H24" s="16" t="str" cm="1">
        <f t="array" aca="1" ref="H24" ca="1">LookupNames(SanitizeInput($G24),'Attack Steps'!$A:$B)</f>
        <v>AS22 Gaining physical access to the product (customer)</v>
      </c>
      <c r="I24" s="13" t="s">
        <v>1661</v>
      </c>
      <c r="J24" s="36" t="str" cm="1">
        <f t="array" aca="1" ref="J24" ca="1">IF($I24="","",SUBSTITUTE(SUBSTITUTE(SUBSTITUTE(SUBSTITUTE(SUBSTITUTE(SUBSTITUTE(SUBSTITUTE(SUBSTITUTE(SUBSTITUTE(
GetTransformation(SanitizeInput($I24),'Damage Scenarios'!$A:$J,COLUMNS('Damage Scenarios'!$A:$J),CHAR(10),"[#0][#1][#2]")&amp;"§",
"[#1][#2]",""),
"[#2]",""),
"[#0][#1]","[#1]"),
"[#0]","Removes:"&amp;CHAR(10)),
"[#1]","Transforms:"&amp;CHAR(10)),
CHAR(10)&amp;"§",""),
"§",""),
CHAR(10),CHAR(10)&amp;"   "),
"   "&amp;"Transforms:","Transforms:"))</f>
        <v xml:space="preserve">Removes:
   DS1 
   DS2 
   DS4 
   DS5 
   DS7 
   DS8 
   DS9 
   DS10 
   DS11 
   DS13 
   DS14 
   DS15 
   DS16 </v>
      </c>
      <c r="K24" s="13"/>
      <c r="L24" s="13"/>
      <c r="M24" s="13"/>
      <c r="N24" s="13"/>
      <c r="O24" s="13"/>
      <c r="P24" s="16" t="str">
        <f ca="1">IF($A24="","",IFERROR(VLOOKUP($AE24,Definitions!$V:$W,COLUMNS(Definitions!$V:$W),TRUE),""))</f>
        <v>Basic</v>
      </c>
      <c r="Q24" s="13" t="s">
        <v>62</v>
      </c>
      <c r="R24" s="13"/>
      <c r="S24" s="13" t="s">
        <v>1406</v>
      </c>
      <c r="T24" s="10" cm="1">
        <f t="array" ref="T24">IF(ROW()=ROW($T$3)+1,0,INDEX($T:$T,ROW()-1))+IF($A24="",0,1)</f>
        <v>21</v>
      </c>
      <c r="U24" s="14" t="b">
        <f ca="1">OR(CheckRelevance(SanitizeInput(F24),Questionnaire!$I:$I),IFERROR(_xlfn.XMATCH("*,"&amp;$A24&amp;",*",Countermeasures!$AG:$AG,2)&gt;0,FALSE))</f>
        <v>1</v>
      </c>
      <c r="V24" s="14" t="b">
        <f>IFERROR(_xlfn.XMATCH("*,"&amp;$A24&amp;",*",Mitigation!$X:$X,2)&gt;0,FALSE)</f>
        <v>0</v>
      </c>
      <c r="W24" s="14" cm="1">
        <f t="array" ref="W24">CreateTaskID($W$3,$W:$W,Tasks!$B$17,$S24)</f>
        <v>0</v>
      </c>
      <c r="X24" s="14" t="str" cm="1">
        <f t="array" aca="1" ref="X24" ca="1">IF(OR($G24="",NOT($U24)),"",","&amp;SanitizeInput($G24))</f>
        <v>,AS22,</v>
      </c>
      <c r="Y24" s="14" t="str" cm="1">
        <f t="array" ref="Y24">IF($G24="","",","&amp;SanitizeInput($G24))</f>
        <v>,AS22,</v>
      </c>
      <c r="Z24" s="20">
        <f>IF(K24="",0,VLOOKUP(K24,Definitions!$Z:$AA,COLUMNS(Definitions!$Z:$AA),FALSE))</f>
        <v>0</v>
      </c>
      <c r="AA24" s="20">
        <f>IF(L24="",0,VLOOKUP(L24,Definitions!$Z:$AA,COLUMNS(Definitions!$Z:$AA),FALSE))</f>
        <v>0</v>
      </c>
      <c r="AB24" s="20">
        <f>IF(M24="",0,VLOOKUP(M24,Definitions!$Z:$AA,COLUMNS(Definitions!$Z:$AA),FALSE))</f>
        <v>0</v>
      </c>
      <c r="AC24" s="20">
        <f>IF(N24="",0,VLOOKUP(N24,Definitions!$Z:$AA,COLUMNS(Definitions!$Z:$AA),FALSE))</f>
        <v>0</v>
      </c>
      <c r="AD24" s="20">
        <f>IF(O24="",0,VLOOKUP(O24,Definitions!$Z:$AA,COLUMNS(Definitions!$Z:$AA),FALSE))</f>
        <v>0</v>
      </c>
      <c r="AE24" s="20">
        <f t="shared" ca="1" si="0"/>
        <v>0</v>
      </c>
      <c r="AF24" s="20" t="str" cm="1">
        <f t="array" ref="AF24">SUBSTITUTE(IF($V24,IF($I24="","",","&amp;SanitizeInput($I24)),""),"&gt;",",")</f>
        <v/>
      </c>
      <c r="AG24" s="20" cm="1">
        <f t="array" aca="1" ref="AG24" ca="1">IF(ROW()=ROW($AG$3)+1,0,INDEX($AG:$AG,ROW()-1))+IF(OR($U24,$V24),1,0)</f>
        <v>1</v>
      </c>
      <c r="AH24" s="20" t="str" cm="1">
        <f t="array" aca="1" ref="AH24" ca="1">IF(OR($U24,$V24),IF($Q24="","",","&amp;SanitizeInput($Q24)),"")</f>
        <v/>
      </c>
      <c r="AI24" s="20" t="str">
        <f t="shared" si="1"/>
        <v>SDR 2.7 - Scope for customer-based attacks [&lt;OEM name&gt;]</v>
      </c>
      <c r="AJ24" s="20" t="str" cm="1">
        <f t="array" ref="AJ24">IF($F24="*","",InverseLookupList(SanitizeInput($F24),Questionnaire!$AA$3,Questionnaire!$A$3,Helper!$B$12,","))</f>
        <v/>
      </c>
      <c r="AK24" s="20" t="str" cm="1">
        <f t="array" ref="AK24">RemoveDelimiter(GetValues($AJ24,Questionnaire!$A:$G," ",CHAR(10)&amp;CHAR(10),TRUE),CHAR(10)&amp;CHAR(10))</f>
        <v/>
      </c>
      <c r="AL24" s="20" t="str" cm="1">
        <f t="array" ref="AL24">CreateSearchString($AJ24)</f>
        <v/>
      </c>
      <c r="AM24" s="20" t="str" cm="1">
        <f t="array" aca="1" ref="AM24" ca="1">InverseLookup($A24,Mitigation!$AD$2,Mitigation!$A$2,1,Helper!$B$5,",")</f>
        <v/>
      </c>
      <c r="AN24" s="20" t="str" cm="1">
        <f t="array" aca="1" ref="AN24" ca="1">CreateSearchString(GetValues($AM24,'Attack Steps'!$A:$O,"",",",FALSE))</f>
        <v/>
      </c>
      <c r="AO24" s="20" t="str">
        <f t="shared" si="2"/>
        <v>A21</v>
      </c>
    </row>
    <row r="25" spans="1:41" ht="180.75" x14ac:dyDescent="0.25">
      <c r="A25" s="10" t="s">
        <v>612</v>
      </c>
      <c r="B25" s="13" t="s">
        <v>1605</v>
      </c>
      <c r="C25" s="13" t="s">
        <v>613</v>
      </c>
      <c r="D25" s="13" t="s">
        <v>1607</v>
      </c>
      <c r="E25" s="13" t="str">
        <f>Definitions!$C$4</f>
        <v>&lt;OEM name&gt;</v>
      </c>
      <c r="F25" s="13"/>
      <c r="G25" s="13" t="s">
        <v>610</v>
      </c>
      <c r="H25" s="33" t="str" cm="1">
        <f t="array" aca="1" ref="H25" ca="1">LookupNames(SanitizeInput($G25),'Attack Steps'!$A:$B)</f>
        <v>AS29 Brute-forcing the authentication mechanism over IP</v>
      </c>
      <c r="I25" s="13" t="s">
        <v>467</v>
      </c>
      <c r="J25" s="37" t="str" cm="1">
        <f t="array" aca="1" ref="J25" ca="1">IF($I25="","",SUBSTITUTE(SUBSTITUTE(SUBSTITUTE(SUBSTITUTE(SUBSTITUTE(SUBSTITUTE(SUBSTITUTE(SUBSTITUTE(SUBSTITUTE(
GetTransformation(SanitizeInput($I25),'Damage Scenarios'!$A:$J,COLUMNS('Damage Scenarios'!$A:$J),CHAR(10),"[#0][#1][#2]")&amp;"§",
"[#1][#2]",""),
"[#2]",""),
"[#0][#1]","[#1]"),
"[#0]","Removes:"&amp;CHAR(10)),
"[#1]","Transforms:"&amp;CHAR(10)),
CHAR(10)&amp;"§",""),
"§",""),
CHAR(10),CHAR(10)&amp;"   "),
"   "&amp;"Transforms:","Transforms:"))</f>
        <v xml:space="preserve">Removes:
   DS1 
   DS2 
   DS4 
   DS5 
   DS6 
   DS7 
   DS8 
   DS9 
   DS10 
   DS11 
   DS13 
   DS14 
   DS15 
   DS16 </v>
      </c>
      <c r="K25" s="13"/>
      <c r="L25" s="13"/>
      <c r="M25" s="13"/>
      <c r="N25" s="13"/>
      <c r="O25" s="13"/>
      <c r="P25" s="33" t="str">
        <f ca="1">IF($A25="","",IFERROR(VLOOKUP($AE25,Definitions!$V:$W,COLUMNS(Definitions!$V:$W),TRUE),""))</f>
        <v>Basic</v>
      </c>
      <c r="Q25" s="13" t="s">
        <v>62</v>
      </c>
      <c r="R25" s="13"/>
      <c r="S25" s="13" t="s">
        <v>614</v>
      </c>
      <c r="T25" s="10" cm="1">
        <f t="array" ref="T25">IF(ROW()=ROW($T$3)+1,0,INDEX($T:$T,ROW()-1))+IF($A25="",0,1)</f>
        <v>22</v>
      </c>
      <c r="U25" s="20" t="b">
        <f ca="1">OR(CheckRelevance(SanitizeInput(F25),Questionnaire!$I:$I),IFERROR(_xlfn.XMATCH("*,"&amp;$A25&amp;",*",Countermeasures!$AG:$AG,2)&gt;0,FALSE))</f>
        <v>0</v>
      </c>
      <c r="V25" s="20" t="b">
        <f>IFERROR(_xlfn.XMATCH("*,"&amp;$A25&amp;",*",Mitigation!$X:$X,2)&gt;0,FALSE)</f>
        <v>0</v>
      </c>
      <c r="W25" s="20" cm="1">
        <f t="array" ref="W25">CreateTaskID($W$3,$W:$W,Tasks!$B$17,$S25)</f>
        <v>0</v>
      </c>
      <c r="X25" s="20" t="str" cm="1">
        <f t="array" aca="1" ref="X25" ca="1">IF(OR($G25="",NOT($U25)),"",","&amp;SanitizeInput($G25))</f>
        <v/>
      </c>
      <c r="Y25" s="20" t="str" cm="1">
        <f t="array" ref="Y25">IF($G25="","",","&amp;SanitizeInput($G25))</f>
        <v>,AS29,</v>
      </c>
      <c r="Z25" s="20">
        <f>IF(K25="",0,VLOOKUP(K25,Definitions!$Z:$AA,COLUMNS(Definitions!$Z:$AA),FALSE))</f>
        <v>0</v>
      </c>
      <c r="AA25" s="20">
        <f>IF(L25="",0,VLOOKUP(L25,Definitions!$Z:$AA,COLUMNS(Definitions!$Z:$AA),FALSE))</f>
        <v>0</v>
      </c>
      <c r="AB25" s="20">
        <f>IF(M25="",0,VLOOKUP(M25,Definitions!$Z:$AA,COLUMNS(Definitions!$Z:$AA),FALSE))</f>
        <v>0</v>
      </c>
      <c r="AC25" s="20">
        <f>IF(N25="",0,VLOOKUP(N25,Definitions!$Z:$AA,COLUMNS(Definitions!$Z:$AA),FALSE))</f>
        <v>0</v>
      </c>
      <c r="AD25" s="20">
        <f>IF(O25="",0,VLOOKUP(O25,Definitions!$Z:$AA,COLUMNS(Definitions!$Z:$AA),FALSE))</f>
        <v>0</v>
      </c>
      <c r="AE25" s="20">
        <f t="shared" ca="1" si="0"/>
        <v>0</v>
      </c>
      <c r="AF25" s="20" t="str" cm="1">
        <f t="array" ref="AF25">SUBSTITUTE(IF($V25,IF($I25="","",","&amp;SanitizeInput($I25)),""),"&gt;",",")</f>
        <v/>
      </c>
      <c r="AG25" s="20" cm="1">
        <f t="array" aca="1" ref="AG25" ca="1">IF(ROW()=ROW($AG$3)+1,0,INDEX($AG:$AG,ROW()-1))+IF(OR($U25,$V25),1,0)</f>
        <v>1</v>
      </c>
      <c r="AH25" s="20" t="str" cm="1">
        <f t="array" aca="1" ref="AH25" ca="1">IF(OR($U25,$V25),IF($Q25="","",","&amp;SanitizeInput($Q25)),"")</f>
        <v/>
      </c>
      <c r="AI25" s="20" t="str">
        <f t="shared" si="1"/>
        <v>SDR 2.8 - No authentication over the IP stack possible [&lt;OEM name&gt;]</v>
      </c>
      <c r="AJ25" s="20" t="str" cm="1">
        <f t="array" ref="AJ25">IF($F25="*","",InverseLookupList(SanitizeInput($F25),Questionnaire!$AA$3,Questionnaire!$A$3,Helper!$B$12,","))</f>
        <v/>
      </c>
      <c r="AK25" s="20" t="str" cm="1">
        <f t="array" ref="AK25">RemoveDelimiter(GetValues($AJ25,Questionnaire!$A:$G," ",CHAR(10)&amp;CHAR(10),TRUE),CHAR(10)&amp;CHAR(10))</f>
        <v/>
      </c>
      <c r="AL25" s="20" t="str" cm="1">
        <f t="array" ref="AL25">CreateSearchString($AJ25)</f>
        <v/>
      </c>
      <c r="AM25" s="20" t="str" cm="1">
        <f t="array" aca="1" ref="AM25" ca="1">InverseLookup($A25,Mitigation!$AD$2,Mitigation!$A$2,1,Helper!$B$5,",")</f>
        <v/>
      </c>
      <c r="AN25" s="20" t="str" cm="1">
        <f t="array" aca="1" ref="AN25" ca="1">CreateSearchString(GetValues($AM25,'Attack Steps'!$A:$O,"",",",FALSE))</f>
        <v/>
      </c>
      <c r="AO25" s="20" t="str">
        <f t="shared" si="2"/>
        <v>A22</v>
      </c>
    </row>
    <row r="26" spans="1:41" ht="45" x14ac:dyDescent="0.25">
      <c r="A26" s="10" t="s">
        <v>772</v>
      </c>
      <c r="B26" s="13" t="s">
        <v>1606</v>
      </c>
      <c r="C26" s="13" t="s">
        <v>773</v>
      </c>
      <c r="D26" s="13" t="s">
        <v>1608</v>
      </c>
      <c r="E26" s="13" t="str">
        <f>Definitions!$C$4</f>
        <v>&lt;OEM name&gt;</v>
      </c>
      <c r="F26" s="13" t="s">
        <v>1051</v>
      </c>
      <c r="G26" s="13"/>
      <c r="H26" s="33" t="str" cm="1">
        <f t="array" ref="H26">LookupNames(SanitizeInput($G26),'Attack Steps'!$A:$B)</f>
        <v/>
      </c>
      <c r="I26" s="13"/>
      <c r="J26" s="37" t="str" cm="1">
        <f t="array" ref="J26">IF($I26="","",SUBSTITUTE(SUBSTITUTE(SUBSTITUTE(SUBSTITUTE(SUBSTITUTE(SUBSTITUTE(SUBSTITUTE(SUBSTITUTE(SUBSTITUTE(
GetTransformation(SanitizeInput($I26),'Damage Scenarios'!$A:$J,COLUMNS('Damage Scenarios'!$A:$J),CHAR(10),"[#0][#1][#2]")&amp;"§",
"[#1][#2]",""),
"[#2]",""),
"[#0][#1]","[#1]"),
"[#0]","Removes:"&amp;CHAR(10)),
"[#1]","Transforms:"&amp;CHAR(10)),
CHAR(10)&amp;"§",""),
"§",""),
CHAR(10),CHAR(10)&amp;"   "),
"   "&amp;"Transforms:","Transforms:"))</f>
        <v/>
      </c>
      <c r="K26" s="13"/>
      <c r="L26" s="13"/>
      <c r="M26" s="13"/>
      <c r="N26" s="13"/>
      <c r="O26" s="13"/>
      <c r="P26" s="33" t="str">
        <f ca="1">IF($A26="","",IFERROR(VLOOKUP($AE26,Definitions!$V:$W,COLUMNS(Definitions!$V:$W),TRUE),""))</f>
        <v>Basic</v>
      </c>
      <c r="Q26" s="13" t="s">
        <v>62</v>
      </c>
      <c r="R26" s="13"/>
      <c r="S26" s="13"/>
      <c r="T26" s="10" cm="1">
        <f t="array" ref="T26">IF(ROW()=ROW($T$3)+1,0,INDEX($T:$T,ROW()-1))+IF($A26="",0,1)</f>
        <v>23</v>
      </c>
      <c r="U26" s="20" t="b">
        <f ca="1">OR(CheckRelevance(SanitizeInput(F26),Questionnaire!$I:$I),IFERROR(_xlfn.XMATCH("*,"&amp;$A26&amp;",*",Countermeasures!$AG:$AG,2)&gt;0,FALSE))</f>
        <v>0</v>
      </c>
      <c r="V26" s="20" t="b">
        <f>IFERROR(_xlfn.XMATCH("*,"&amp;$A26&amp;",*",Mitigation!$X:$X,2)&gt;0,FALSE)</f>
        <v>0</v>
      </c>
      <c r="W26" s="20" cm="1">
        <f t="array" ref="W26">CreateTaskID($W$3,$W:$W,Tasks!$B$17,$S26)</f>
        <v>0</v>
      </c>
      <c r="X26" s="20" t="str" cm="1">
        <f t="array" aca="1" ref="X26" ca="1">IF(OR($G26="",NOT($U26)),"",","&amp;SanitizeInput($G26))</f>
        <v/>
      </c>
      <c r="Y26" s="20" t="str" cm="1">
        <f t="array" ref="Y26">IF($G26="","",","&amp;SanitizeInput($G26))</f>
        <v/>
      </c>
      <c r="Z26" s="20">
        <f>IF(K26="",0,VLOOKUP(K26,Definitions!$Z:$AA,COLUMNS(Definitions!$Z:$AA),FALSE))</f>
        <v>0</v>
      </c>
      <c r="AA26" s="20">
        <f>IF(L26="",0,VLOOKUP(L26,Definitions!$Z:$AA,COLUMNS(Definitions!$Z:$AA),FALSE))</f>
        <v>0</v>
      </c>
      <c r="AB26" s="20">
        <f>IF(M26="",0,VLOOKUP(M26,Definitions!$Z:$AA,COLUMNS(Definitions!$Z:$AA),FALSE))</f>
        <v>0</v>
      </c>
      <c r="AC26" s="20">
        <f>IF(N26="",0,VLOOKUP(N26,Definitions!$Z:$AA,COLUMNS(Definitions!$Z:$AA),FALSE))</f>
        <v>0</v>
      </c>
      <c r="AD26" s="20">
        <f>IF(O26="",0,VLOOKUP(O26,Definitions!$Z:$AA,COLUMNS(Definitions!$Z:$AA),FALSE))</f>
        <v>0</v>
      </c>
      <c r="AE26" s="20">
        <f t="shared" ca="1" si="0"/>
        <v>0</v>
      </c>
      <c r="AF26" s="20" t="str" cm="1">
        <f t="array" ref="AF26">SUBSTITUTE(IF($V26,IF($I26="","",","&amp;SanitizeInput($I26)),""),"&gt;",",")</f>
        <v/>
      </c>
      <c r="AG26" s="20" cm="1">
        <f t="array" aca="1" ref="AG26" ca="1">IF(ROW()=ROW($AG$3)+1,0,INDEX($AG:$AG,ROW()-1))+IF(OR($U26,$V26),1,0)</f>
        <v>1</v>
      </c>
      <c r="AH26" s="20" t="str" cm="1">
        <f t="array" aca="1" ref="AH26" ca="1">IF(OR($U26,$V26),IF($Q26="","",","&amp;SanitizeInput($Q26)),"")</f>
        <v/>
      </c>
      <c r="AI26" s="20" t="str">
        <f t="shared" si="1"/>
        <v>SDR 2.9 - No configuration interface required [&lt;OEM name&gt;]</v>
      </c>
      <c r="AJ26" s="20" t="str" cm="1">
        <f t="array" aca="1" ref="AJ26" ca="1">IF($F26="*","",InverseLookupList(SanitizeInput($F26),Questionnaire!$AA$3,Questionnaire!$A$3,Helper!$B$12,","))</f>
        <v/>
      </c>
      <c r="AK26" s="20" t="str" cm="1">
        <f t="array" aca="1" ref="AK26" ca="1">RemoveDelimiter(GetValues($AJ26,Questionnaire!$A:$G," ",CHAR(10)&amp;CHAR(10),TRUE),CHAR(10)&amp;CHAR(10))</f>
        <v/>
      </c>
      <c r="AL26" s="20" t="str" cm="1">
        <f t="array" aca="1" ref="AL26" ca="1">CreateSearchString($AJ26)</f>
        <v/>
      </c>
      <c r="AM26" s="20" t="str" cm="1">
        <f t="array" aca="1" ref="AM26" ca="1">InverseLookup($A26,Mitigation!$AD$2,Mitigation!$A$2,1,Helper!$B$5,",")</f>
        <v/>
      </c>
      <c r="AN26" s="20" t="str" cm="1">
        <f t="array" aca="1" ref="AN26" ca="1">CreateSearchString(GetValues($AM26,'Attack Steps'!$A:$O,"",",",FALSE))</f>
        <v/>
      </c>
      <c r="AO26" s="20" t="str">
        <f t="shared" si="2"/>
        <v>A23</v>
      </c>
    </row>
    <row r="27" spans="1:41" ht="45" x14ac:dyDescent="0.25">
      <c r="A27" s="10" t="s">
        <v>942</v>
      </c>
      <c r="B27" s="13" t="s">
        <v>1577</v>
      </c>
      <c r="C27" s="13" t="s">
        <v>943</v>
      </c>
      <c r="D27" s="13" t="s">
        <v>1578</v>
      </c>
      <c r="E27" s="13" t="s">
        <v>372</v>
      </c>
      <c r="F27" s="13" t="s">
        <v>1094</v>
      </c>
      <c r="G27" s="13"/>
      <c r="H27" s="33" t="str" cm="1">
        <f t="array" ref="H27">LookupNames(SanitizeInput($G27),'Attack Steps'!$A:$B)</f>
        <v/>
      </c>
      <c r="I27" s="13"/>
      <c r="J27" s="37" t="str" cm="1">
        <f t="array" ref="J27">IF($I27="","",SUBSTITUTE(SUBSTITUTE(SUBSTITUTE(SUBSTITUTE(SUBSTITUTE(SUBSTITUTE(SUBSTITUTE(SUBSTITUTE(SUBSTITUTE(
GetTransformation(SanitizeInput($I27),'Damage Scenarios'!$A:$J,COLUMNS('Damage Scenarios'!$A:$J),CHAR(10),"[#0][#1][#2]")&amp;"§",
"[#1][#2]",""),
"[#2]",""),
"[#0][#1]","[#1]"),
"[#0]","Removes:"&amp;CHAR(10)),
"[#1]","Transforms:"&amp;CHAR(10)),
CHAR(10)&amp;"§",""),
"§",""),
CHAR(10),CHAR(10)&amp;"   "),
"   "&amp;"Transforms:","Transforms:"))</f>
        <v/>
      </c>
      <c r="K27" s="13"/>
      <c r="L27" s="13"/>
      <c r="M27" s="13"/>
      <c r="N27" s="13"/>
      <c r="O27" s="13"/>
      <c r="P27" s="33" t="str">
        <f ca="1">IF($A27="","",IFERROR(VLOOKUP($AE27,Definitions!$V:$W,COLUMNS(Definitions!$V:$W),TRUE),""))</f>
        <v>Basic</v>
      </c>
      <c r="Q27" s="13" t="s">
        <v>608</v>
      </c>
      <c r="R27" s="13"/>
      <c r="S27" s="13"/>
      <c r="T27" s="10" cm="1">
        <f t="array" ref="T27">IF(ROW()=ROW($T$3)+1,0,INDEX($T:$T,ROW()-1))+IF($A27="",0,1)</f>
        <v>24</v>
      </c>
      <c r="U27" s="20" t="b">
        <f ca="1">OR(CheckRelevance(SanitizeInput(F27),Questionnaire!$I:$I),IFERROR(_xlfn.XMATCH("*,"&amp;$A27&amp;",*",Countermeasures!$AG:$AG,2)&gt;0,FALSE))</f>
        <v>0</v>
      </c>
      <c r="V27" s="20" t="b">
        <f>IFERROR(_xlfn.XMATCH("*,"&amp;$A27&amp;",*",Mitigation!$X:$X,2)&gt;0,FALSE)</f>
        <v>0</v>
      </c>
      <c r="W27" s="20" cm="1">
        <f t="array" ref="W27">CreateTaskID($W$3,$W:$W,Tasks!$B$17,$S27)</f>
        <v>0</v>
      </c>
      <c r="X27" s="20" t="str" cm="1">
        <f t="array" aca="1" ref="X27" ca="1">IF(OR($G27="",NOT($U27)),"",","&amp;SanitizeInput($G27))</f>
        <v/>
      </c>
      <c r="Y27" s="20" t="str" cm="1">
        <f t="array" ref="Y27">IF($G27="","",","&amp;SanitizeInput($G27))</f>
        <v/>
      </c>
      <c r="Z27" s="20">
        <f>IF(K27="",0,VLOOKUP(K27,Definitions!$Z:$AA,COLUMNS(Definitions!$Z:$AA),FALSE))</f>
        <v>0</v>
      </c>
      <c r="AA27" s="20">
        <f>IF(L27="",0,VLOOKUP(L27,Definitions!$Z:$AA,COLUMNS(Definitions!$Z:$AA),FALSE))</f>
        <v>0</v>
      </c>
      <c r="AB27" s="20">
        <f>IF(M27="",0,VLOOKUP(M27,Definitions!$Z:$AA,COLUMNS(Definitions!$Z:$AA),FALSE))</f>
        <v>0</v>
      </c>
      <c r="AC27" s="20">
        <f>IF(N27="",0,VLOOKUP(N27,Definitions!$Z:$AA,COLUMNS(Definitions!$Z:$AA),FALSE))</f>
        <v>0</v>
      </c>
      <c r="AD27" s="20">
        <f>IF(O27="",0,VLOOKUP(O27,Definitions!$Z:$AA,COLUMNS(Definitions!$Z:$AA),FALSE))</f>
        <v>0</v>
      </c>
      <c r="AE27" s="20">
        <f t="shared" ca="1" si="0"/>
        <v>0</v>
      </c>
      <c r="AF27" s="20" t="str" cm="1">
        <f t="array" ref="AF27">SUBSTITUTE(IF($V27,IF($I27="","",","&amp;SanitizeInput($I27)),""),"&gt;",",")</f>
        <v/>
      </c>
      <c r="AG27" s="20" cm="1">
        <f t="array" aca="1" ref="AG27" ca="1">IF(ROW()=ROW($AG$3)+1,0,INDEX($AG:$AG,ROW()-1))+IF(OR($U27,$V27),1,0)</f>
        <v>1</v>
      </c>
      <c r="AH27" s="20" t="str" cm="1">
        <f t="array" aca="1" ref="AH27" ca="1">IF(OR($U27,$V27),IF($Q27="","",","&amp;SanitizeInput($Q27)),"")</f>
        <v/>
      </c>
      <c r="AI27" s="20" t="str">
        <f t="shared" si="1"/>
        <v>SDR 1.21 - Product not storing secrets [Customer]</v>
      </c>
      <c r="AJ27" s="20" t="str" cm="1">
        <f t="array" aca="1" ref="AJ27" ca="1">IF($F27="*","",InverseLookupList(SanitizeInput($F27),Questionnaire!$AA$3,Questionnaire!$A$3,Helper!$B$12,","))</f>
        <v/>
      </c>
      <c r="AK27" s="20" t="str" cm="1">
        <f t="array" aca="1" ref="AK27" ca="1">RemoveDelimiter(GetValues($AJ27,Questionnaire!$A:$G," ",CHAR(10)&amp;CHAR(10),TRUE),CHAR(10)&amp;CHAR(10))</f>
        <v/>
      </c>
      <c r="AL27" s="20" t="str" cm="1">
        <f t="array" aca="1" ref="AL27" ca="1">CreateSearchString($AJ27)</f>
        <v/>
      </c>
      <c r="AM27" s="20" t="str" cm="1">
        <f t="array" aca="1" ref="AM27" ca="1">InverseLookup($A27,Mitigation!$AD$2,Mitigation!$A$2,1,Helper!$B$5,",")</f>
        <v/>
      </c>
      <c r="AN27" s="20" t="str" cm="1">
        <f t="array" aca="1" ref="AN27" ca="1">CreateSearchString(GetValues($AM27,'Attack Steps'!$A:$O,"",",",FALSE))</f>
        <v/>
      </c>
      <c r="AO27" s="20" t="str">
        <f t="shared" si="2"/>
        <v>A24</v>
      </c>
    </row>
    <row r="28" spans="1:41" ht="72.75" x14ac:dyDescent="0.25">
      <c r="A28" s="10" t="s">
        <v>974</v>
      </c>
      <c r="B28" s="13" t="s">
        <v>1579</v>
      </c>
      <c r="C28" s="13" t="s">
        <v>975</v>
      </c>
      <c r="D28" s="13" t="s">
        <v>1584</v>
      </c>
      <c r="E28" s="13" t="s">
        <v>372</v>
      </c>
      <c r="F28" s="13"/>
      <c r="G28" s="13" t="s">
        <v>971</v>
      </c>
      <c r="H28" s="33" t="str" cm="1">
        <f t="array" aca="1" ref="H28" ca="1">LookupNames(SanitizeInput($G28),'Attack Steps'!$A:$B)</f>
        <v>AS33 Disclosure of data by an untrusted entity receiving data from the product</v>
      </c>
      <c r="I28" s="13" t="s">
        <v>976</v>
      </c>
      <c r="J28" s="37" t="str" cm="1">
        <f t="array" aca="1" ref="J28" ca="1">IF($I28="","",SUBSTITUTE(SUBSTITUTE(SUBSTITUTE(SUBSTITUTE(SUBSTITUTE(SUBSTITUTE(SUBSTITUTE(SUBSTITUTE(SUBSTITUTE(
GetTransformation(SanitizeInput($I28),'Damage Scenarios'!$A:$J,COLUMNS('Damage Scenarios'!$A:$J),CHAR(10),"[#0][#1][#2]")&amp;"§",
"[#1][#2]",""),
"[#2]",""),
"[#0][#1]","[#1]"),
"[#0]","Removes:"&amp;CHAR(10)),
"[#1]","Transforms:"&amp;CHAR(10)),
CHAR(10)&amp;"§",""),
"§",""),
CHAR(10),CHAR(10)&amp;"   "),
"   "&amp;"Transforms:","Transforms:"))</f>
        <v xml:space="preserve">Removes:
   DS1 
   DS2 
   DS3 
   DS4 
   DS5 </v>
      </c>
      <c r="K28" s="13"/>
      <c r="L28" s="13"/>
      <c r="M28" s="13"/>
      <c r="N28" s="13"/>
      <c r="O28" s="13"/>
      <c r="P28" s="33" t="str">
        <f ca="1">IF($A28="","",IFERROR(VLOOKUP($AE28,Definitions!$V:$W,COLUMNS(Definitions!$V:$W),TRUE),""))</f>
        <v>Basic</v>
      </c>
      <c r="Q28" s="13" t="s">
        <v>62</v>
      </c>
      <c r="R28" s="13"/>
      <c r="S28" s="13" t="s">
        <v>1028</v>
      </c>
      <c r="T28" s="10" cm="1">
        <f t="array" ref="T28">IF(ROW()=ROW($T$3)+1,0,INDEX($T:$T,ROW()-1))+IF($A28="",0,1)</f>
        <v>25</v>
      </c>
      <c r="U28" s="20" t="b">
        <f ca="1">OR(CheckRelevance(SanitizeInput(F28),Questionnaire!$I:$I),IFERROR(_xlfn.XMATCH("*,"&amp;$A28&amp;",*",Countermeasures!$AG:$AG,2)&gt;0,FALSE))</f>
        <v>0</v>
      </c>
      <c r="V28" s="20" t="b">
        <f>IFERROR(_xlfn.XMATCH("*,"&amp;$A28&amp;",*",Mitigation!$X:$X,2)&gt;0,FALSE)</f>
        <v>0</v>
      </c>
      <c r="W28" s="20" cm="1">
        <f t="array" ref="W28">CreateTaskID($W$3,$W:$W,Tasks!$B$17,$S28)</f>
        <v>0</v>
      </c>
      <c r="X28" s="20" t="str" cm="1">
        <f t="array" aca="1" ref="X28" ca="1">IF(OR($G28="",NOT($U28)),"",","&amp;SanitizeInput($G28))</f>
        <v/>
      </c>
      <c r="Y28" s="20" t="str" cm="1">
        <f t="array" ref="Y28">IF($G28="","",","&amp;SanitizeInput($G28))</f>
        <v>,AS33,</v>
      </c>
      <c r="Z28" s="20">
        <f>IF(K28="",0,VLOOKUP(K28,Definitions!$Z:$AA,COLUMNS(Definitions!$Z:$AA),FALSE))</f>
        <v>0</v>
      </c>
      <c r="AA28" s="20">
        <f>IF(L28="",0,VLOOKUP(L28,Definitions!$Z:$AA,COLUMNS(Definitions!$Z:$AA),FALSE))</f>
        <v>0</v>
      </c>
      <c r="AB28" s="20">
        <f>IF(M28="",0,VLOOKUP(M28,Definitions!$Z:$AA,COLUMNS(Definitions!$Z:$AA),FALSE))</f>
        <v>0</v>
      </c>
      <c r="AC28" s="20">
        <f>IF(N28="",0,VLOOKUP(N28,Definitions!$Z:$AA,COLUMNS(Definitions!$Z:$AA),FALSE))</f>
        <v>0</v>
      </c>
      <c r="AD28" s="20">
        <f>IF(O28="",0,VLOOKUP(O28,Definitions!$Z:$AA,COLUMNS(Definitions!$Z:$AA),FALSE))</f>
        <v>0</v>
      </c>
      <c r="AE28" s="20">
        <f t="shared" ca="1" si="0"/>
        <v>0</v>
      </c>
      <c r="AF28" s="20" t="str" cm="1">
        <f t="array" ref="AF28">SUBSTITUTE(IF($V28,IF($I28="","",","&amp;SanitizeInput($I28)),""),"&gt;",",")</f>
        <v/>
      </c>
      <c r="AG28" s="20" cm="1">
        <f t="array" aca="1" ref="AG28" ca="1">IF(ROW()=ROW($AG$3)+1,0,INDEX($AG:$AG,ROW()-1))+IF(OR($U28,$V28),1,0)</f>
        <v>1</v>
      </c>
      <c r="AH28" s="20" t="str" cm="1">
        <f t="array" aca="1" ref="AH28" ca="1">IF(OR($U28,$V28),IF($Q28="","",","&amp;SanitizeInput($Q28)),"")</f>
        <v/>
      </c>
      <c r="AI28" s="20" t="str">
        <f t="shared" si="1"/>
        <v>SDR 1.22 - The product does not communicate any confidential data to an external communication partner [Customer]</v>
      </c>
      <c r="AJ28" s="20" t="str" cm="1">
        <f t="array" ref="AJ28">IF($F28="*","",InverseLookupList(SanitizeInput($F28),Questionnaire!$AA$3,Questionnaire!$A$3,Helper!$B$12,","))</f>
        <v/>
      </c>
      <c r="AK28" s="20" t="str" cm="1">
        <f t="array" ref="AK28">RemoveDelimiter(GetValues($AJ28,Questionnaire!$A:$G," ",CHAR(10)&amp;CHAR(10),TRUE),CHAR(10)&amp;CHAR(10))</f>
        <v/>
      </c>
      <c r="AL28" s="20" t="str" cm="1">
        <f t="array" ref="AL28">CreateSearchString($AJ28)</f>
        <v/>
      </c>
      <c r="AM28" s="20" t="str" cm="1">
        <f t="array" aca="1" ref="AM28" ca="1">InverseLookup($A28,Mitigation!$AD$2,Mitigation!$A$2,1,Helper!$B$5,",")</f>
        <v/>
      </c>
      <c r="AN28" s="20" t="str" cm="1">
        <f t="array" aca="1" ref="AN28" ca="1">CreateSearchString(GetValues($AM28,'Attack Steps'!$A:$O,"",",",FALSE))</f>
        <v/>
      </c>
      <c r="AO28" s="20" t="str">
        <f t="shared" si="2"/>
        <v>A25</v>
      </c>
    </row>
    <row r="29" spans="1:41" ht="60" x14ac:dyDescent="0.25">
      <c r="A29" s="10" t="s">
        <v>987</v>
      </c>
      <c r="B29" s="13" t="s">
        <v>1580</v>
      </c>
      <c r="C29" s="13" t="str">
        <f>"As the product does not send any sensitive data (i.e., data that must be confidential or authentic) to an external communication partner, attacks on external communication partners via the link to the "&amp;Definitions!$C$4&amp;" product are not in scope for the analysis."</f>
        <v>As the product does not send any sensitive data (i.e., data that must be confidential or authentic) to an external communication partner, attacks on external communication partners via the link to the &lt;OEM name&gt; product are not in scope for the analysis.</v>
      </c>
      <c r="D29" s="13" t="s">
        <v>1781</v>
      </c>
      <c r="E29" s="13" t="str">
        <f>Definitions!$C$4</f>
        <v>&lt;OEM name&gt;</v>
      </c>
      <c r="F29" s="13"/>
      <c r="G29" s="13" t="s">
        <v>985</v>
      </c>
      <c r="H29" s="33" t="str" cm="1">
        <f t="array" aca="1" ref="H29" ca="1">LookupNames(SanitizeInput($G29),'Attack Steps'!$A:$B)</f>
        <v>AS34 Attacking the product's outgoing communication to an external communication partner over the Internet or a mobile network</v>
      </c>
      <c r="I29" s="13"/>
      <c r="J29" s="37" t="str" cm="1">
        <f t="array" ref="J29">IF($I29="","",SUBSTITUTE(SUBSTITUTE(SUBSTITUTE(SUBSTITUTE(SUBSTITUTE(SUBSTITUTE(SUBSTITUTE(SUBSTITUTE(SUBSTITUTE(
GetTransformation(SanitizeInput($I29),'Damage Scenarios'!$A:$J,COLUMNS('Damage Scenarios'!$A:$J),CHAR(10),"[#0][#1][#2]")&amp;"§",
"[#1][#2]",""),
"[#2]",""),
"[#0][#1]","[#1]"),
"[#0]","Removes:"&amp;CHAR(10)),
"[#1]","Transforms:"&amp;CHAR(10)),
CHAR(10)&amp;"§",""),
"§",""),
CHAR(10),CHAR(10)&amp;"   "),
"   "&amp;"Transforms:","Transforms:"))</f>
        <v/>
      </c>
      <c r="K29" s="13"/>
      <c r="L29" s="13"/>
      <c r="M29" s="13"/>
      <c r="N29" s="13" t="s">
        <v>151</v>
      </c>
      <c r="O29" s="13"/>
      <c r="P29" s="33" t="str">
        <f ca="1">IF($A29="","",IFERROR(VLOOKUP($AE29,Definitions!$V:$W,COLUMNS(Definitions!$V:$W),TRUE),""))</f>
        <v>Beyond High</v>
      </c>
      <c r="Q29" s="13" t="s">
        <v>62</v>
      </c>
      <c r="R29" s="13"/>
      <c r="S29" s="13" t="s">
        <v>1024</v>
      </c>
      <c r="T29" s="10" cm="1">
        <f t="array" ref="T29">IF(ROW()=ROW($T$3)+1,0,INDEX($T:$T,ROW()-1))+IF($A29="",0,1)</f>
        <v>26</v>
      </c>
      <c r="U29" s="20" t="b">
        <f ca="1">OR(CheckRelevance(SanitizeInput(F29),Questionnaire!$I:$I),IFERROR(_xlfn.XMATCH("*,"&amp;$A29&amp;",*",Countermeasures!$AG:$AG,2)&gt;0,FALSE))</f>
        <v>0</v>
      </c>
      <c r="V29" s="20" t="b">
        <f>IFERROR(_xlfn.XMATCH("*,"&amp;$A29&amp;",*",Mitigation!$X:$X,2)&gt;0,FALSE)</f>
        <v>0</v>
      </c>
      <c r="W29" s="20" cm="1">
        <f t="array" ref="W29">CreateTaskID($W$3,$W:$W,Tasks!$B$17,$S29)</f>
        <v>0</v>
      </c>
      <c r="X29" s="20" t="str" cm="1">
        <f t="array" aca="1" ref="X29" ca="1">IF(OR($G29="",NOT($U29)),"",","&amp;SanitizeInput($G29))</f>
        <v/>
      </c>
      <c r="Y29" s="20" t="str" cm="1">
        <f t="array" ref="Y29">IF($G29="","",","&amp;SanitizeInput($G29))</f>
        <v>,AS34,</v>
      </c>
      <c r="Z29" s="20">
        <f>IF(K29="",0,VLOOKUP(K29,Definitions!$Z:$AA,COLUMNS(Definitions!$Z:$AA),FALSE))</f>
        <v>0</v>
      </c>
      <c r="AA29" s="20">
        <f>IF(L29="",0,VLOOKUP(L29,Definitions!$Z:$AA,COLUMNS(Definitions!$Z:$AA),FALSE))</f>
        <v>0</v>
      </c>
      <c r="AB29" s="20">
        <f>IF(M29="",0,VLOOKUP(M29,Definitions!$Z:$AA,COLUMNS(Definitions!$Z:$AA),FALSE))</f>
        <v>0</v>
      </c>
      <c r="AC29" s="20">
        <f>IF(N29="",0,VLOOKUP(N29,Definitions!$Z:$AA,COLUMNS(Definitions!$Z:$AA),FALSE))</f>
        <v>25</v>
      </c>
      <c r="AD29" s="20">
        <f>IF(O29="",0,VLOOKUP(O29,Definitions!$Z:$AA,COLUMNS(Definitions!$Z:$AA),FALSE))</f>
        <v>0</v>
      </c>
      <c r="AE29" s="20">
        <f t="shared" ca="1" si="0"/>
        <v>25</v>
      </c>
      <c r="AF29" s="20" t="str" cm="1">
        <f t="array" ref="AF29">SUBSTITUTE(IF($V29,IF($I29="","",","&amp;SanitizeInput($I29)),""),"&gt;",",")</f>
        <v/>
      </c>
      <c r="AG29" s="20" cm="1">
        <f t="array" aca="1" ref="AG29" ca="1">IF(ROW()=ROW($AG$3)+1,0,INDEX($AG:$AG,ROW()-1))+IF(OR($U29,$V29),1,0)</f>
        <v>1</v>
      </c>
      <c r="AH29" s="20" t="str" cm="1">
        <f t="array" aca="1" ref="AH29" ca="1">IF(OR($U29,$V29),IF($Q29="","",","&amp;SanitizeInput($Q29)),"")</f>
        <v/>
      </c>
      <c r="AI29" s="20" t="str">
        <f t="shared" si="1"/>
        <v>SDR 1.23 - The product does not send any sensitive data to external communication partners over the Internet or a mobile network [&lt;OEM name&gt;]</v>
      </c>
      <c r="AJ29" s="20" t="str" cm="1">
        <f t="array" ref="AJ29">IF($F29="*","",InverseLookupList(SanitizeInput($F29),Questionnaire!$AA$3,Questionnaire!$A$3,Helper!$B$12,","))</f>
        <v/>
      </c>
      <c r="AK29" s="20" t="str" cm="1">
        <f t="array" ref="AK29">RemoveDelimiter(GetValues($AJ29,Questionnaire!$A:$G," ",CHAR(10)&amp;CHAR(10),TRUE),CHAR(10)&amp;CHAR(10))</f>
        <v/>
      </c>
      <c r="AL29" s="20" t="str" cm="1">
        <f t="array" ref="AL29">CreateSearchString($AJ29)</f>
        <v/>
      </c>
      <c r="AM29" s="20" t="str" cm="1">
        <f t="array" aca="1" ref="AM29" ca="1">InverseLookup($A29,Mitigation!$AD$2,Mitigation!$A$2,1,Helper!$B$5,",")</f>
        <v/>
      </c>
      <c r="AN29" s="20" t="str" cm="1">
        <f t="array" aca="1" ref="AN29" ca="1">CreateSearchString(GetValues($AM29,'Attack Steps'!$A:$O,"",",",FALSE))</f>
        <v/>
      </c>
      <c r="AO29" s="20" t="str">
        <f t="shared" si="2"/>
        <v>A26</v>
      </c>
    </row>
    <row r="30" spans="1:41" ht="75" x14ac:dyDescent="0.25">
      <c r="A30" s="10" t="s">
        <v>988</v>
      </c>
      <c r="B30" s="13" t="s">
        <v>1581</v>
      </c>
      <c r="C30" s="13" t="s">
        <v>1147</v>
      </c>
      <c r="D30" s="13" t="s">
        <v>1585</v>
      </c>
      <c r="E30" s="13" t="str">
        <f>Definitions!$C$4</f>
        <v>&lt;OEM name&gt;</v>
      </c>
      <c r="F30" s="13"/>
      <c r="G30" s="13" t="s">
        <v>1008</v>
      </c>
      <c r="H30" s="33" t="str" cm="1">
        <f t="array" aca="1" ref="H30" ca="1">LookupNames(SanitizeInput($G30),'Attack Steps'!$A:$B)</f>
        <v>AS36 Attacking the product's incoming communication from the Internet or a mobile network</v>
      </c>
      <c r="I30" s="13"/>
      <c r="J30" s="37" t="str" cm="1">
        <f t="array" ref="J30">IF($I30="","",SUBSTITUTE(SUBSTITUTE(SUBSTITUTE(SUBSTITUTE(SUBSTITUTE(SUBSTITUTE(SUBSTITUTE(SUBSTITUTE(SUBSTITUTE(
GetTransformation(SanitizeInput($I30),'Damage Scenarios'!$A:$J,COLUMNS('Damage Scenarios'!$A:$J),CHAR(10),"[#0][#1][#2]")&amp;"§",
"[#1][#2]",""),
"[#2]",""),
"[#0][#1]","[#1]"),
"[#0]","Removes:"&amp;CHAR(10)),
"[#1]","Transforms:"&amp;CHAR(10)),
CHAR(10)&amp;"§",""),
"§",""),
CHAR(10),CHAR(10)&amp;"   "),
"   "&amp;"Transforms:","Transforms:"))</f>
        <v/>
      </c>
      <c r="K30" s="13"/>
      <c r="L30" s="13"/>
      <c r="M30" s="13"/>
      <c r="N30" s="13" t="s">
        <v>151</v>
      </c>
      <c r="O30" s="13"/>
      <c r="P30" s="33" t="str">
        <f ca="1">IF($A30="","",IFERROR(VLOOKUP($AE30,Definitions!$V:$W,COLUMNS(Definitions!$V:$W),TRUE),""))</f>
        <v>Beyond High</v>
      </c>
      <c r="Q30" s="13" t="s">
        <v>62</v>
      </c>
      <c r="R30" s="13"/>
      <c r="S30" s="13" t="s">
        <v>1148</v>
      </c>
      <c r="T30" s="10" cm="1">
        <f t="array" ref="T30">IF(ROW()=ROW($T$3)+1,0,INDEX($T:$T,ROW()-1))+IF($A30="",0,1)</f>
        <v>27</v>
      </c>
      <c r="U30" s="20" t="b">
        <f ca="1">OR(CheckRelevance(SanitizeInput(F30),Questionnaire!$I:$I),IFERROR(_xlfn.XMATCH("*,"&amp;$A30&amp;",*",Countermeasures!$AG:$AG,2)&gt;0,FALSE))</f>
        <v>0</v>
      </c>
      <c r="V30" s="20" t="b">
        <f>IFERROR(_xlfn.XMATCH("*,"&amp;$A30&amp;",*",Mitigation!$X:$X,2)&gt;0,FALSE)</f>
        <v>0</v>
      </c>
      <c r="W30" s="20" cm="1">
        <f t="array" ref="W30">CreateTaskID($W$3,$W:$W,Tasks!$B$17,$S30)</f>
        <v>0</v>
      </c>
      <c r="X30" s="20" t="str" cm="1">
        <f t="array" aca="1" ref="X30" ca="1">IF(OR($G30="",NOT($U30)),"",","&amp;SanitizeInput($G30))</f>
        <v/>
      </c>
      <c r="Y30" s="20" t="str" cm="1">
        <f t="array" ref="Y30">IF($G30="","",","&amp;SanitizeInput($G30))</f>
        <v>,AS36,</v>
      </c>
      <c r="Z30" s="20">
        <f>IF(K30="",0,VLOOKUP(K30,Definitions!$Z:$AA,COLUMNS(Definitions!$Z:$AA),FALSE))</f>
        <v>0</v>
      </c>
      <c r="AA30" s="20">
        <f>IF(L30="",0,VLOOKUP(L30,Definitions!$Z:$AA,COLUMNS(Definitions!$Z:$AA),FALSE))</f>
        <v>0</v>
      </c>
      <c r="AB30" s="20">
        <f>IF(M30="",0,VLOOKUP(M30,Definitions!$Z:$AA,COLUMNS(Definitions!$Z:$AA),FALSE))</f>
        <v>0</v>
      </c>
      <c r="AC30" s="20">
        <f>IF(N30="",0,VLOOKUP(N30,Definitions!$Z:$AA,COLUMNS(Definitions!$Z:$AA),FALSE))</f>
        <v>25</v>
      </c>
      <c r="AD30" s="20">
        <f>IF(O30="",0,VLOOKUP(O30,Definitions!$Z:$AA,COLUMNS(Definitions!$Z:$AA),FALSE))</f>
        <v>0</v>
      </c>
      <c r="AE30" s="20">
        <f t="shared" ca="1" si="0"/>
        <v>25</v>
      </c>
      <c r="AF30" s="20" t="str" cm="1">
        <f t="array" ref="AF30">SUBSTITUTE(IF($V30,IF($I30="","",","&amp;SanitizeInput($I30)),""),"&gt;",",")</f>
        <v/>
      </c>
      <c r="AG30" s="20" cm="1">
        <f t="array" aca="1" ref="AG30" ca="1">IF(ROW()=ROW($AG$3)+1,0,INDEX($AG:$AG,ROW()-1))+IF(OR($U30,$V30),1,0)</f>
        <v>1</v>
      </c>
      <c r="AH30" s="20" t="str" cm="1">
        <f t="array" aca="1" ref="AH30" ca="1">IF(OR($U30,$V30),IF($Q30="","",","&amp;SanitizeInput($Q30)),"")</f>
        <v/>
      </c>
      <c r="AI30" s="20" t="str">
        <f t="shared" si="1"/>
        <v>SDR 1.24 - The product does not receive any sensitive data (except updates / configuration / debug communication) from external communication partners over the Internet or a mobile network [&lt;OEM name&gt;]</v>
      </c>
      <c r="AJ30" s="20" t="str" cm="1">
        <f t="array" ref="AJ30">IF($F30="*","",InverseLookupList(SanitizeInput($F30),Questionnaire!$AA$3,Questionnaire!$A$3,Helper!$B$12,","))</f>
        <v/>
      </c>
      <c r="AK30" s="20" t="str" cm="1">
        <f t="array" ref="AK30">RemoveDelimiter(GetValues($AJ30,Questionnaire!$A:$G," ",CHAR(10)&amp;CHAR(10),TRUE),CHAR(10)&amp;CHAR(10))</f>
        <v/>
      </c>
      <c r="AL30" s="20" t="str" cm="1">
        <f t="array" ref="AL30">CreateSearchString($AJ30)</f>
        <v/>
      </c>
      <c r="AM30" s="20" t="str" cm="1">
        <f t="array" aca="1" ref="AM30" ca="1">InverseLookup($A30,Mitigation!$AD$2,Mitigation!$A$2,1,Helper!$B$5,",")</f>
        <v/>
      </c>
      <c r="AN30" s="20" t="str" cm="1">
        <f t="array" aca="1" ref="AN30" ca="1">CreateSearchString(GetValues($AM30,'Attack Steps'!$A:$O,"",",",FALSE))</f>
        <v/>
      </c>
      <c r="AO30" s="20" t="str">
        <f t="shared" si="2"/>
        <v>A27</v>
      </c>
    </row>
    <row r="31" spans="1:41" ht="60" x14ac:dyDescent="0.25">
      <c r="A31" s="10" t="s">
        <v>992</v>
      </c>
      <c r="B31" s="13" t="s">
        <v>1582</v>
      </c>
      <c r="C31" s="13" t="s">
        <v>997</v>
      </c>
      <c r="D31" s="13" t="s">
        <v>1586</v>
      </c>
      <c r="E31" s="13" t="s">
        <v>372</v>
      </c>
      <c r="F31" s="13"/>
      <c r="G31" s="13" t="s">
        <v>111</v>
      </c>
      <c r="H31" s="33" t="str" cm="1">
        <f t="array" aca="1" ref="H31" ca="1">LookupNames(SanitizeInput($G31),'Attack Steps'!$A:$B)</f>
        <v>AS5 Eavesdropping on the product's communication</v>
      </c>
      <c r="I31" s="13" t="s">
        <v>162</v>
      </c>
      <c r="J31" s="37" t="str" cm="1">
        <f t="array" aca="1" ref="J31" ca="1">IF($I31="","",SUBSTITUTE(SUBSTITUTE(SUBSTITUTE(SUBSTITUTE(SUBSTITUTE(SUBSTITUTE(SUBSTITUTE(SUBSTITUTE(SUBSTITUTE(
GetTransformation(SanitizeInput($I31),'Damage Scenarios'!$A:$J,COLUMNS('Damage Scenarios'!$A:$J),CHAR(10),"[#0][#1][#2]")&amp;"§",
"[#1][#2]",""),
"[#2]",""),
"[#0][#1]","[#1]"),
"[#0]","Removes:"&amp;CHAR(10)),
"[#1]","Transforms:"&amp;CHAR(10)),
CHAR(10)&amp;"§",""),
"§",""),
CHAR(10),CHAR(10)&amp;"   "),
"   "&amp;"Transforms:","Transforms:"))</f>
        <v xml:space="preserve">Removes:
   DS5 </v>
      </c>
      <c r="K31" s="13"/>
      <c r="L31" s="13"/>
      <c r="M31" s="13"/>
      <c r="N31" s="13"/>
      <c r="O31" s="13"/>
      <c r="P31" s="33" t="str">
        <f ca="1">IF($A31="","",IFERROR(VLOOKUP($AE31,Definitions!$V:$W,COLUMNS(Definitions!$V:$W),TRUE),""))</f>
        <v>Basic</v>
      </c>
      <c r="Q31" s="13" t="s">
        <v>608</v>
      </c>
      <c r="R31" s="13"/>
      <c r="S31" s="13" t="s">
        <v>1029</v>
      </c>
      <c r="T31" s="10" cm="1">
        <f t="array" ref="T31">IF(ROW()=ROW($T$3)+1,0,INDEX($T:$T,ROW()-1))+IF($A31="",0,1)</f>
        <v>28</v>
      </c>
      <c r="U31" s="20" t="b">
        <f ca="1">OR(CheckRelevance(SanitizeInput(F31),Questionnaire!$I:$I),IFERROR(_xlfn.XMATCH("*,"&amp;$A31&amp;",*",Countermeasures!$AG:$AG,2)&gt;0,FALSE))</f>
        <v>0</v>
      </c>
      <c r="V31" s="20" t="b">
        <f>IFERROR(_xlfn.XMATCH("*,"&amp;$A31&amp;",*",Mitigation!$X:$X,2)&gt;0,FALSE)</f>
        <v>0</v>
      </c>
      <c r="W31" s="20" cm="1">
        <f t="array" ref="W31">CreateTaskID($W$3,$W:$W,Tasks!$B$17,$S31)</f>
        <v>0</v>
      </c>
      <c r="X31" s="20" t="str" cm="1">
        <f t="array" aca="1" ref="X31" ca="1">IF(OR($G31="",NOT($U31)),"",","&amp;SanitizeInput($G31))</f>
        <v/>
      </c>
      <c r="Y31" s="20" t="str" cm="1">
        <f t="array" ref="Y31">IF($G31="","",","&amp;SanitizeInput($G31))</f>
        <v>,AS5,</v>
      </c>
      <c r="Z31" s="20">
        <f>IF(K31="",0,VLOOKUP(K31,Definitions!$Z:$AA,COLUMNS(Definitions!$Z:$AA),FALSE))</f>
        <v>0</v>
      </c>
      <c r="AA31" s="20">
        <f>IF(L31="",0,VLOOKUP(L31,Definitions!$Z:$AA,COLUMNS(Definitions!$Z:$AA),FALSE))</f>
        <v>0</v>
      </c>
      <c r="AB31" s="20">
        <f>IF(M31="",0,VLOOKUP(M31,Definitions!$Z:$AA,COLUMNS(Definitions!$Z:$AA),FALSE))</f>
        <v>0</v>
      </c>
      <c r="AC31" s="20">
        <f>IF(N31="",0,VLOOKUP(N31,Definitions!$Z:$AA,COLUMNS(Definitions!$Z:$AA),FALSE))</f>
        <v>0</v>
      </c>
      <c r="AD31" s="20">
        <f>IF(O31="",0,VLOOKUP(O31,Definitions!$Z:$AA,COLUMNS(Definitions!$Z:$AA),FALSE))</f>
        <v>0</v>
      </c>
      <c r="AE31" s="20">
        <f t="shared" ca="1" si="0"/>
        <v>0</v>
      </c>
      <c r="AF31" s="20" t="str" cm="1">
        <f t="array" ref="AF31">SUBSTITUTE(IF($V31,IF($I31="","",","&amp;SanitizeInput($I31)),""),"&gt;",",")</f>
        <v/>
      </c>
      <c r="AG31" s="20" cm="1">
        <f t="array" aca="1" ref="AG31" ca="1">IF(ROW()=ROW($AG$3)+1,0,INDEX($AG:$AG,ROW()-1))+IF(OR($U31,$V31),1,0)</f>
        <v>1</v>
      </c>
      <c r="AH31" s="20" t="str" cm="1">
        <f t="array" aca="1" ref="AH31" ca="1">IF(OR($U31,$V31),IF($Q31="","",","&amp;SanitizeInput($Q31)),"")</f>
        <v/>
      </c>
      <c r="AI31" s="20" t="str">
        <f t="shared" si="1"/>
        <v>SDR 1.25 - The product does not transmit confidential cryptographic material (such as passwords) [Customer]</v>
      </c>
      <c r="AJ31" s="20" t="str" cm="1">
        <f t="array" ref="AJ31">IF($F31="*","",InverseLookupList(SanitizeInput($F31),Questionnaire!$AA$3,Questionnaire!$A$3,Helper!$B$12,","))</f>
        <v/>
      </c>
      <c r="AK31" s="20" t="str" cm="1">
        <f t="array" ref="AK31">RemoveDelimiter(GetValues($AJ31,Questionnaire!$A:$G," ",CHAR(10)&amp;CHAR(10),TRUE),CHAR(10)&amp;CHAR(10))</f>
        <v/>
      </c>
      <c r="AL31" s="20" t="str" cm="1">
        <f t="array" ref="AL31">CreateSearchString($AJ31)</f>
        <v/>
      </c>
      <c r="AM31" s="20" t="str" cm="1">
        <f t="array" aca="1" ref="AM31" ca="1">InverseLookup($A31,Mitigation!$AD$2,Mitigation!$A$2,1,Helper!$B$5,",")</f>
        <v/>
      </c>
      <c r="AN31" s="20" t="str" cm="1">
        <f t="array" aca="1" ref="AN31" ca="1">CreateSearchString(GetValues($AM31,'Attack Steps'!$A:$O,"",",",FALSE))</f>
        <v/>
      </c>
      <c r="AO31" s="20" t="str">
        <f t="shared" si="2"/>
        <v>A28</v>
      </c>
    </row>
    <row r="32" spans="1:41" ht="75" x14ac:dyDescent="0.25">
      <c r="A32" s="10" t="s">
        <v>995</v>
      </c>
      <c r="B32" s="13" t="s">
        <v>1583</v>
      </c>
      <c r="C32" s="13" t="s">
        <v>996</v>
      </c>
      <c r="D32" s="13" t="s">
        <v>1587</v>
      </c>
      <c r="E32" s="13" t="s">
        <v>372</v>
      </c>
      <c r="F32" s="13"/>
      <c r="G32" s="13" t="s">
        <v>118</v>
      </c>
      <c r="H32" s="33" t="str" cm="1">
        <f t="array" aca="1" ref="H32" ca="1">LookupNames(SanitizeInput($G32),'Attack Steps'!$A:$B)</f>
        <v>AS8 Disrupting the product's communication over the wireless network</v>
      </c>
      <c r="I32" s="13" t="s">
        <v>998</v>
      </c>
      <c r="J32" s="37" t="str" cm="1">
        <f t="array" aca="1" ref="J32" ca="1">IF($I32="","",SUBSTITUTE(SUBSTITUTE(SUBSTITUTE(SUBSTITUTE(SUBSTITUTE(SUBSTITUTE(SUBSTITUTE(SUBSTITUTE(SUBSTITUTE(
GetTransformation(SanitizeInput($I32),'Damage Scenarios'!$A:$J,COLUMNS('Damage Scenarios'!$A:$J),CHAR(10),"[#0][#1][#2]")&amp;"§",
"[#1][#2]",""),
"[#2]",""),
"[#0][#1]","[#1]"),
"[#0]","Removes:"&amp;CHAR(10)),
"[#1]","Transforms:"&amp;CHAR(10)),
CHAR(10)&amp;"§",""),
"§",""),
CHAR(10),CHAR(10)&amp;"   "),
"   "&amp;"Transforms:","Transforms:"))</f>
        <v xml:space="preserve">Removes:
   DS7 
   DS9 </v>
      </c>
      <c r="K32" s="13"/>
      <c r="L32" s="13"/>
      <c r="M32" s="13"/>
      <c r="N32" s="13"/>
      <c r="O32" s="13"/>
      <c r="P32" s="33" t="str">
        <f ca="1">IF($A32="","",IFERROR(VLOOKUP($AE32,Definitions!$V:$W,COLUMNS(Definitions!$V:$W),TRUE),""))</f>
        <v>Basic</v>
      </c>
      <c r="Q32" s="13" t="s">
        <v>606</v>
      </c>
      <c r="R32" s="13"/>
      <c r="S32" s="13" t="s">
        <v>1030</v>
      </c>
      <c r="T32" s="10" cm="1">
        <f t="array" ref="T32">IF(ROW()=ROW($T$3)+1,0,INDEX($T:$T,ROW()-1))+IF($A32="",0,1)</f>
        <v>29</v>
      </c>
      <c r="U32" s="20" t="b">
        <f ca="1">OR(CheckRelevance(SanitizeInput(F32),Questionnaire!$I:$I),IFERROR(_xlfn.XMATCH("*,"&amp;$A32&amp;",*",Countermeasures!$AG:$AG,2)&gt;0,FALSE))</f>
        <v>0</v>
      </c>
      <c r="V32" s="20" t="b">
        <f>IFERROR(_xlfn.XMATCH("*,"&amp;$A32&amp;",*",Mitigation!$X:$X,2)&gt;0,FALSE)</f>
        <v>0</v>
      </c>
      <c r="W32" s="20" cm="1">
        <f t="array" ref="W32">CreateTaskID($W$3,$W:$W,Tasks!$B$17,$S32)</f>
        <v>0</v>
      </c>
      <c r="X32" s="20" t="str" cm="1">
        <f t="array" aca="1" ref="X32" ca="1">IF(OR($G32="",NOT($U32)),"",","&amp;SanitizeInput($G32))</f>
        <v/>
      </c>
      <c r="Y32" s="20" t="str" cm="1">
        <f t="array" ref="Y32">IF($G32="","",","&amp;SanitizeInput($G32))</f>
        <v>,AS8,</v>
      </c>
      <c r="Z32" s="20">
        <f>IF(K32="",0,VLOOKUP(K32,Definitions!$Z:$AA,COLUMNS(Definitions!$Z:$AA),FALSE))</f>
        <v>0</v>
      </c>
      <c r="AA32" s="20">
        <f>IF(L32="",0,VLOOKUP(L32,Definitions!$Z:$AA,COLUMNS(Definitions!$Z:$AA),FALSE))</f>
        <v>0</v>
      </c>
      <c r="AB32" s="20">
        <f>IF(M32="",0,VLOOKUP(M32,Definitions!$Z:$AA,COLUMNS(Definitions!$Z:$AA),FALSE))</f>
        <v>0</v>
      </c>
      <c r="AC32" s="20">
        <f>IF(N32="",0,VLOOKUP(N32,Definitions!$Z:$AA,COLUMNS(Definitions!$Z:$AA),FALSE))</f>
        <v>0</v>
      </c>
      <c r="AD32" s="20">
        <f>IF(O32="",0,VLOOKUP(O32,Definitions!$Z:$AA,COLUMNS(Definitions!$Z:$AA),FALSE))</f>
        <v>0</v>
      </c>
      <c r="AE32" s="20">
        <f t="shared" ca="1" si="0"/>
        <v>0</v>
      </c>
      <c r="AF32" s="20" t="str" cm="1">
        <f t="array" ref="AF32">SUBSTITUTE(IF($V32,IF($I32="","",","&amp;SanitizeInput($I32)),""),"&gt;",",")</f>
        <v/>
      </c>
      <c r="AG32" s="20" cm="1">
        <f t="array" aca="1" ref="AG32" ca="1">IF(ROW()=ROW($AG$3)+1,0,INDEX($AG:$AG,ROW()-1))+IF(OR($U32,$V32),1,0)</f>
        <v>1</v>
      </c>
      <c r="AH32" s="20" t="str" cm="1">
        <f t="array" aca="1" ref="AH32" ca="1">IF(OR($U32,$V32),IF($Q32="","",","&amp;SanitizeInput($Q32)),"")</f>
        <v/>
      </c>
      <c r="AI32" s="20" t="str">
        <f t="shared" si="1"/>
        <v>SDR 1.26 - The customer ensures that a loss of wireless communication with the product is manageable [Customer]</v>
      </c>
      <c r="AJ32" s="20" t="str" cm="1">
        <f t="array" ref="AJ32">IF($F32="*","",InverseLookupList(SanitizeInput($F32),Questionnaire!$AA$3,Questionnaire!$A$3,Helper!$B$12,","))</f>
        <v/>
      </c>
      <c r="AK32" s="20" t="str" cm="1">
        <f t="array" ref="AK32">RemoveDelimiter(GetValues($AJ32,Questionnaire!$A:$G," ",CHAR(10)&amp;CHAR(10),TRUE),CHAR(10)&amp;CHAR(10))</f>
        <v/>
      </c>
      <c r="AL32" s="20" t="str" cm="1">
        <f t="array" ref="AL32">CreateSearchString($AJ32)</f>
        <v/>
      </c>
      <c r="AM32" s="20" t="str" cm="1">
        <f t="array" aca="1" ref="AM32" ca="1">InverseLookup($A32,Mitigation!$AD$2,Mitigation!$A$2,1,Helper!$B$5,",")</f>
        <v/>
      </c>
      <c r="AN32" s="20" t="str" cm="1">
        <f t="array" aca="1" ref="AN32" ca="1">CreateSearchString(GetValues($AM32,'Attack Steps'!$A:$O,"",",",FALSE))</f>
        <v/>
      </c>
      <c r="AO32" s="20" t="str">
        <f t="shared" si="2"/>
        <v>A29</v>
      </c>
    </row>
    <row r="33" spans="1:41" ht="75" x14ac:dyDescent="0.25">
      <c r="A33" s="10" t="s">
        <v>1001</v>
      </c>
      <c r="B33" s="13" t="s">
        <v>1574</v>
      </c>
      <c r="C33" s="13" t="s">
        <v>1002</v>
      </c>
      <c r="D33" s="13" t="s">
        <v>1575</v>
      </c>
      <c r="E33" s="13" t="s">
        <v>373</v>
      </c>
      <c r="F33" s="13" t="s">
        <v>418</v>
      </c>
      <c r="G33" s="13"/>
      <c r="H33" s="33" t="str" cm="1">
        <f t="array" ref="H33">LookupNames(SanitizeInput($G33),'Attack Steps'!$A:$B)</f>
        <v/>
      </c>
      <c r="I33" s="13"/>
      <c r="J33" s="37" t="str" cm="1">
        <f t="array" ref="J33">IF($I33="","",SUBSTITUTE(SUBSTITUTE(SUBSTITUTE(SUBSTITUTE(SUBSTITUTE(SUBSTITUTE(SUBSTITUTE(SUBSTITUTE(SUBSTITUTE(
GetTransformation(SanitizeInput($I33),'Damage Scenarios'!$A:$J,COLUMNS('Damage Scenarios'!$A:$J),CHAR(10),"[#0][#1][#2]")&amp;"§",
"[#1][#2]",""),
"[#2]",""),
"[#0][#1]","[#1]"),
"[#0]","Removes:"&amp;CHAR(10)),
"[#1]","Transforms:"&amp;CHAR(10)),
CHAR(10)&amp;"§",""),
"§",""),
CHAR(10),CHAR(10)&amp;"   "),
"   "&amp;"Transforms:","Transforms:"))</f>
        <v/>
      </c>
      <c r="K33" s="13"/>
      <c r="L33" s="13"/>
      <c r="M33" s="13"/>
      <c r="N33" s="13"/>
      <c r="O33" s="13"/>
      <c r="P33" s="33" t="str">
        <f ca="1">IF($A33="","",IFERROR(VLOOKUP($AE33,Definitions!$V:$W,COLUMNS(Definitions!$V:$W),TRUE),""))</f>
        <v>Basic</v>
      </c>
      <c r="Q33" s="13" t="s">
        <v>62</v>
      </c>
      <c r="R33" s="13"/>
      <c r="S33" s="13" t="s">
        <v>1003</v>
      </c>
      <c r="T33" s="10" cm="1">
        <f t="array" ref="T33">IF(ROW()=ROW($T$3)+1,0,INDEX($T:$T,ROW()-1))+IF($A33="",0,1)</f>
        <v>30</v>
      </c>
      <c r="U33" s="20" t="b">
        <f ca="1">OR(CheckRelevance(SanitizeInput(F33),Questionnaire!$I:$I),IFERROR(_xlfn.XMATCH("*,"&amp;$A33&amp;",*",Countermeasures!$AG:$AG,2)&gt;0,FALSE))</f>
        <v>1</v>
      </c>
      <c r="V33" s="20" t="b">
        <f>IFERROR(_xlfn.XMATCH("*,"&amp;$A33&amp;",*",Mitigation!$X:$X,2)&gt;0,FALSE)</f>
        <v>0</v>
      </c>
      <c r="W33" s="20" cm="1">
        <f t="array" ref="W33">CreateTaskID($W$3,$W:$W,Tasks!$B$17,$S33)</f>
        <v>0</v>
      </c>
      <c r="X33" s="20" t="str" cm="1">
        <f t="array" aca="1" ref="X33" ca="1">IF(OR($G33="",NOT($U33)),"",","&amp;SanitizeInput($G33))</f>
        <v/>
      </c>
      <c r="Y33" s="20" t="str" cm="1">
        <f t="array" ref="Y33">IF($G33="","",","&amp;SanitizeInput($G33))</f>
        <v/>
      </c>
      <c r="Z33" s="20">
        <f>IF(K33="",0,VLOOKUP(K33,Definitions!$Z:$AA,COLUMNS(Definitions!$Z:$AA),FALSE))</f>
        <v>0</v>
      </c>
      <c r="AA33" s="20">
        <f>IF(L33="",0,VLOOKUP(L33,Definitions!$Z:$AA,COLUMNS(Definitions!$Z:$AA),FALSE))</f>
        <v>0</v>
      </c>
      <c r="AB33" s="20">
        <f>IF(M33="",0,VLOOKUP(M33,Definitions!$Z:$AA,COLUMNS(Definitions!$Z:$AA),FALSE))</f>
        <v>0</v>
      </c>
      <c r="AC33" s="20">
        <f>IF(N33="",0,VLOOKUP(N33,Definitions!$Z:$AA,COLUMNS(Definitions!$Z:$AA),FALSE))</f>
        <v>0</v>
      </c>
      <c r="AD33" s="20">
        <f>IF(O33="",0,VLOOKUP(O33,Definitions!$Z:$AA,COLUMNS(Definitions!$Z:$AA),FALSE))</f>
        <v>0</v>
      </c>
      <c r="AE33" s="20">
        <f t="shared" ca="1" si="0"/>
        <v>0</v>
      </c>
      <c r="AF33" s="20" t="str" cm="1">
        <f t="array" ref="AF33">SUBSTITUTE(IF($V33,IF($I33="","",","&amp;SanitizeInput($I33)),""),"&gt;",",")</f>
        <v/>
      </c>
      <c r="AG33" s="20" cm="1">
        <f t="array" aca="1" ref="AG33" ca="1">IF(ROW()=ROW($AG$3)+1,0,INDEX($AG:$AG,ROW()-1))+IF(OR($U33,$V33),1,0)</f>
        <v>2</v>
      </c>
      <c r="AH33" s="20" t="str" cm="1">
        <f t="array" aca="1" ref="AH33" ca="1">IF(OR($U33,$V33),IF($Q33="","",","&amp;SanitizeInput($Q33)),"")</f>
        <v/>
      </c>
      <c r="AI33" s="20" t="str">
        <f t="shared" si="1"/>
        <v>SDR 1.19 - Physical destruction [Other (see comment)]</v>
      </c>
      <c r="AJ33" s="20" t="str" cm="1">
        <f t="array" ref="AJ33">IF($F33="*","",InverseLookupList(SanitizeInput($F33),Questionnaire!$AA$3,Questionnaire!$A$3,Helper!$B$12,","))</f>
        <v/>
      </c>
      <c r="AK33" s="20" t="str" cm="1">
        <f t="array" ref="AK33">RemoveDelimiter(GetValues($AJ33,Questionnaire!$A:$G," ",CHAR(10)&amp;CHAR(10),TRUE),CHAR(10)&amp;CHAR(10))</f>
        <v/>
      </c>
      <c r="AL33" s="20" t="str" cm="1">
        <f t="array" ref="AL33">CreateSearchString($AJ33)</f>
        <v/>
      </c>
      <c r="AM33" s="20" t="str" cm="1">
        <f t="array" aca="1" ref="AM33" ca="1">InverseLookup($A33,Mitigation!$AD$2,Mitigation!$A$2,1,Helper!$B$5,",")</f>
        <v/>
      </c>
      <c r="AN33" s="20" t="str" cm="1">
        <f t="array" aca="1" ref="AN33" ca="1">CreateSearchString(GetValues($AM33,'Attack Steps'!$A:$O,"",",",FALSE))</f>
        <v/>
      </c>
      <c r="AO33" s="20" t="str">
        <f t="shared" si="2"/>
        <v>A30</v>
      </c>
    </row>
    <row r="34" spans="1:41" ht="75" x14ac:dyDescent="0.25">
      <c r="A34" s="10" t="s">
        <v>1005</v>
      </c>
      <c r="B34" s="13" t="s">
        <v>1673</v>
      </c>
      <c r="C34" s="13" t="s">
        <v>1641</v>
      </c>
      <c r="D34" s="13"/>
      <c r="E34" s="13" t="s">
        <v>372</v>
      </c>
      <c r="F34" s="13" t="s">
        <v>1640</v>
      </c>
      <c r="G34" s="13"/>
      <c r="H34" s="33" t="str" cm="1">
        <f t="array" ref="H34">LookupNames(SanitizeInput($G34),'Attack Steps'!$A:$B)</f>
        <v/>
      </c>
      <c r="I34" s="13"/>
      <c r="J34" s="37" t="str" cm="1">
        <f t="array" ref="J34">IF($I34="","",SUBSTITUTE(SUBSTITUTE(SUBSTITUTE(SUBSTITUTE(SUBSTITUTE(SUBSTITUTE(SUBSTITUTE(SUBSTITUTE(SUBSTITUTE(
GetTransformation(SanitizeInput($I34),'Damage Scenarios'!$A:$J,COLUMNS('Damage Scenarios'!$A:$J),CHAR(10),"[#0][#1][#2]")&amp;"§",
"[#1][#2]",""),
"[#2]",""),
"[#0][#1]","[#1]"),
"[#0]","Removes:"&amp;CHAR(10)),
"[#1]","Transforms:"&amp;CHAR(10)),
CHAR(10)&amp;"§",""),
"§",""),
CHAR(10),CHAR(10)&amp;"   "),
"   "&amp;"Transforms:","Transforms:"))</f>
        <v/>
      </c>
      <c r="K34" s="13"/>
      <c r="L34" s="13"/>
      <c r="M34" s="13"/>
      <c r="N34" s="13"/>
      <c r="O34" s="13"/>
      <c r="P34" s="33" t="str">
        <f ca="1">IF($A34="","",IFERROR(VLOOKUP($AE34,Definitions!$V:$W,COLUMNS(Definitions!$V:$W),TRUE),""))</f>
        <v>Basic</v>
      </c>
      <c r="Q34" s="13" t="s">
        <v>606</v>
      </c>
      <c r="R34" s="13"/>
      <c r="S34" s="13"/>
      <c r="T34" s="10" cm="1">
        <f t="array" ref="T34">IF(ROW()=ROW($T$3)+1,0,INDEX($T:$T,ROW()-1))+IF($A34="",0,1)</f>
        <v>31</v>
      </c>
      <c r="U34" s="20" t="b">
        <f ca="1">OR(CheckRelevance(SanitizeInput(F34),Questionnaire!$I:$I),IFERROR(_xlfn.XMATCH("*,"&amp;$A34&amp;",*",Countermeasures!$AG:$AG,2)&gt;0,FALSE))</f>
        <v>1</v>
      </c>
      <c r="V34" s="20" t="b">
        <f>IFERROR(_xlfn.XMATCH("*,"&amp;$A34&amp;",*",Mitigation!$X:$X,2)&gt;0,FALSE)</f>
        <v>0</v>
      </c>
      <c r="W34" s="20" cm="1">
        <f t="array" ref="W34">CreateTaskID($W$3,$W:$W,Tasks!$B$17,$S34)</f>
        <v>0</v>
      </c>
      <c r="X34" s="20" t="str" cm="1">
        <f t="array" aca="1" ref="X34" ca="1">IF(OR($G34="",NOT($U34)),"",","&amp;SanitizeInput($G34))</f>
        <v/>
      </c>
      <c r="Y34" s="20" t="str" cm="1">
        <f t="array" ref="Y34">IF($G34="","",","&amp;SanitizeInput($G34))</f>
        <v/>
      </c>
      <c r="Z34" s="20">
        <f>IF(K34="",0,VLOOKUP(K34,Definitions!$Z:$AA,COLUMNS(Definitions!$Z:$AA),FALSE))</f>
        <v>0</v>
      </c>
      <c r="AA34" s="20">
        <f>IF(L34="",0,VLOOKUP(L34,Definitions!$Z:$AA,COLUMNS(Definitions!$Z:$AA),FALSE))</f>
        <v>0</v>
      </c>
      <c r="AB34" s="20">
        <f>IF(M34="",0,VLOOKUP(M34,Definitions!$Z:$AA,COLUMNS(Definitions!$Z:$AA),FALSE))</f>
        <v>0</v>
      </c>
      <c r="AC34" s="20">
        <f>IF(N34="",0,VLOOKUP(N34,Definitions!$Z:$AA,COLUMNS(Definitions!$Z:$AA),FALSE))</f>
        <v>0</v>
      </c>
      <c r="AD34" s="20">
        <f>IF(O34="",0,VLOOKUP(O34,Definitions!$Z:$AA,COLUMNS(Definitions!$Z:$AA),FALSE))</f>
        <v>0</v>
      </c>
      <c r="AE34" s="20">
        <f t="shared" ca="1" si="0"/>
        <v>0</v>
      </c>
      <c r="AF34" s="20" t="str" cm="1">
        <f t="array" ref="AF34">SUBSTITUTE(IF($V34,IF($I34="","",","&amp;SanitizeInput($I34)),""),"&gt;",",")</f>
        <v/>
      </c>
      <c r="AG34" s="20" cm="1">
        <f t="array" aca="1" ref="AG34" ca="1">IF(ROW()=ROW($AG$3)+1,0,INDEX($AG:$AG,ROW()-1))+IF(OR($U34,$V34),1,0)</f>
        <v>3</v>
      </c>
      <c r="AH34" s="20" t="str" cm="1">
        <f t="array" aca="1" ref="AH34" ca="1">IF(OR($U34,$V34),IF($Q34="","",","&amp;SanitizeInput($Q34)),"")</f>
        <v>,i,</v>
      </c>
      <c r="AI34" s="20" t="str">
        <f t="shared" si="1"/>
        <v>SDR 1.5 - The product's availability is not relevant for safety [Customer]</v>
      </c>
      <c r="AJ34" s="20" t="str" cm="1">
        <f t="array" aca="1" ref="AJ34" ca="1">IF($F34="*","",InverseLookupList(SanitizeInput($F34),Questionnaire!$AA$3,Questionnaire!$A$3,Helper!$B$12,","))</f>
        <v>QI6,</v>
      </c>
      <c r="AK34" s="20" t="str" cm="1">
        <f t="array" aca="1" ref="AK34" ca="1">RemoveDelimiter(GetValues($AJ34,Questionnaire!$A:$G," ",CHAR(10)&amp;CHAR(10),TRUE),CHAR(10)&amp;CHAR(10))</f>
        <v xml:space="preserve">QI6 </v>
      </c>
      <c r="AL34" s="20" t="str" cm="1">
        <f t="array" aca="1" ref="AL34" ca="1">CreateSearchString($AJ34)</f>
        <v>,QI6,</v>
      </c>
      <c r="AM34" s="20" t="str" cm="1">
        <f t="array" aca="1" ref="AM34" ca="1">InverseLookup($A34,Mitigation!$AD$2,Mitigation!$A$2,1,Helper!$B$5,",")</f>
        <v/>
      </c>
      <c r="AN34" s="20" t="str" cm="1">
        <f t="array" aca="1" ref="AN34" ca="1">CreateSearchString(GetValues($AM34,'Attack Steps'!$A:$O,"",",",FALSE))</f>
        <v/>
      </c>
      <c r="AO34" s="20" t="str">
        <f t="shared" si="2"/>
        <v>A31</v>
      </c>
    </row>
    <row r="35" spans="1:41" ht="60" x14ac:dyDescent="0.25">
      <c r="A35" s="10" t="s">
        <v>1109</v>
      </c>
      <c r="B35" s="13" t="s">
        <v>1588</v>
      </c>
      <c r="C35" s="13" t="s">
        <v>1110</v>
      </c>
      <c r="D35" s="13" t="s">
        <v>1590</v>
      </c>
      <c r="E35" s="13" t="s">
        <v>372</v>
      </c>
      <c r="F35" s="13" t="s">
        <v>1111</v>
      </c>
      <c r="G35" s="13"/>
      <c r="H35" s="33" t="str" cm="1">
        <f t="array" ref="H35">LookupNames(SanitizeInput($G35),'Attack Steps'!$A:$B)</f>
        <v/>
      </c>
      <c r="I35" s="13"/>
      <c r="J35" s="37" t="str" cm="1">
        <f t="array" ref="J35">IF($I35="","",SUBSTITUTE(SUBSTITUTE(SUBSTITUTE(SUBSTITUTE(SUBSTITUTE(SUBSTITUTE(SUBSTITUTE(SUBSTITUTE(SUBSTITUTE(
GetTransformation(SanitizeInput($I35),'Damage Scenarios'!$A:$J,COLUMNS('Damage Scenarios'!$A:$J),CHAR(10),"[#0][#1][#2]")&amp;"§",
"[#1][#2]",""),
"[#2]",""),
"[#0][#1]","[#1]"),
"[#0]","Removes:"&amp;CHAR(10)),
"[#1]","Transforms:"&amp;CHAR(10)),
CHAR(10)&amp;"§",""),
"§",""),
CHAR(10),CHAR(10)&amp;"   "),
"   "&amp;"Transforms:","Transforms:"))</f>
        <v/>
      </c>
      <c r="K35" s="13"/>
      <c r="L35" s="13"/>
      <c r="M35" s="13"/>
      <c r="N35" s="13"/>
      <c r="O35" s="13"/>
      <c r="P35" s="33" t="str">
        <f ca="1">IF($A35="","",IFERROR(VLOOKUP($AE35,Definitions!$V:$W,COLUMNS(Definitions!$V:$W),TRUE),""))</f>
        <v>Basic</v>
      </c>
      <c r="Q35" s="13" t="s">
        <v>62</v>
      </c>
      <c r="R35" s="13"/>
      <c r="S35" s="13"/>
      <c r="T35" s="10" cm="1">
        <f t="array" ref="T35">IF(ROW()=ROW($T$3)+1,0,INDEX($T:$T,ROW()-1))+IF($A35="",0,1)</f>
        <v>32</v>
      </c>
      <c r="U35" s="20" t="b">
        <f ca="1">OR(CheckRelevance(SanitizeInput(F35),Questionnaire!$I:$I),IFERROR(_xlfn.XMATCH("*,"&amp;$A35&amp;",*",Countermeasures!$AG:$AG,2)&gt;0,FALSE))</f>
        <v>0</v>
      </c>
      <c r="V35" s="20" t="b">
        <f>IFERROR(_xlfn.XMATCH("*,"&amp;$A35&amp;",*",Mitigation!$X:$X,2)&gt;0,FALSE)</f>
        <v>0</v>
      </c>
      <c r="W35" s="20" cm="1">
        <f t="array" ref="W35">CreateTaskID($W$3,$W:$W,Tasks!$B$17,$S35)</f>
        <v>0</v>
      </c>
      <c r="X35" s="20" t="str" cm="1">
        <f t="array" aca="1" ref="X35" ca="1">IF(OR($G35="",NOT($U35)),"",","&amp;SanitizeInput($G35))</f>
        <v/>
      </c>
      <c r="Y35" s="20" t="str" cm="1">
        <f t="array" ref="Y35">IF($G35="","",","&amp;SanitizeInput($G35))</f>
        <v/>
      </c>
      <c r="Z35" s="20">
        <f>IF(K35="",0,VLOOKUP(K35,Definitions!$Z:$AA,COLUMNS(Definitions!$Z:$AA),FALSE))</f>
        <v>0</v>
      </c>
      <c r="AA35" s="20">
        <f>IF(L35="",0,VLOOKUP(L35,Definitions!$Z:$AA,COLUMNS(Definitions!$Z:$AA),FALSE))</f>
        <v>0</v>
      </c>
      <c r="AB35" s="20">
        <f>IF(M35="",0,VLOOKUP(M35,Definitions!$Z:$AA,COLUMNS(Definitions!$Z:$AA),FALSE))</f>
        <v>0</v>
      </c>
      <c r="AC35" s="20">
        <f>IF(N35="",0,VLOOKUP(N35,Definitions!$Z:$AA,COLUMNS(Definitions!$Z:$AA),FALSE))</f>
        <v>0</v>
      </c>
      <c r="AD35" s="20">
        <f>IF(O35="",0,VLOOKUP(O35,Definitions!$Z:$AA,COLUMNS(Definitions!$Z:$AA),FALSE))</f>
        <v>0</v>
      </c>
      <c r="AE35" s="20">
        <f t="shared" ca="1" si="0"/>
        <v>0</v>
      </c>
      <c r="AF35" s="20" t="str" cm="1">
        <f t="array" ref="AF35">SUBSTITUTE(IF($V35,IF($I35="","",","&amp;SanitizeInput($I35)),""),"&gt;",",")</f>
        <v/>
      </c>
      <c r="AG35" s="20" cm="1">
        <f t="array" aca="1" ref="AG35" ca="1">IF(ROW()=ROW($AG$3)+1,0,INDEX($AG:$AG,ROW()-1))+IF(OR($U35,$V35),1,0)</f>
        <v>3</v>
      </c>
      <c r="AH35" s="20" t="str" cm="1">
        <f t="array" aca="1" ref="AH35" ca="1">IF(OR($U35,$V35),IF($Q35="","",","&amp;SanitizeInput($Q35)),"")</f>
        <v/>
      </c>
      <c r="AI35" s="20" t="str">
        <f t="shared" si="1"/>
        <v>SDR 1.27 - The product has no access to personal data [Customer]</v>
      </c>
      <c r="AJ35" s="20" t="str" cm="1">
        <f t="array" aca="1" ref="AJ35" ca="1">IF($F35="*","",InverseLookupList(SanitizeInput($F35),Questionnaire!$AA$3,Questionnaire!$A$3,Helper!$B$12,","))</f>
        <v/>
      </c>
      <c r="AK35" s="20" t="str" cm="1">
        <f t="array" aca="1" ref="AK35" ca="1">RemoveDelimiter(GetValues($AJ35,Questionnaire!$A:$G," ",CHAR(10)&amp;CHAR(10),TRUE),CHAR(10)&amp;CHAR(10))</f>
        <v/>
      </c>
      <c r="AL35" s="20" t="str" cm="1">
        <f t="array" aca="1" ref="AL35" ca="1">CreateSearchString($AJ35)</f>
        <v/>
      </c>
      <c r="AM35" s="20" t="str" cm="1">
        <f t="array" aca="1" ref="AM35" ca="1">InverseLookup($A35,Mitigation!$AD$2,Mitigation!$A$2,1,Helper!$B$5,",")</f>
        <v/>
      </c>
      <c r="AN35" s="20" t="str" cm="1">
        <f t="array" aca="1" ref="AN35" ca="1">CreateSearchString(GetValues($AM35,'Attack Steps'!$A:$O,"",",",FALSE))</f>
        <v/>
      </c>
      <c r="AO35" s="20" t="str">
        <f t="shared" si="2"/>
        <v>A32</v>
      </c>
    </row>
    <row r="36" spans="1:41" ht="45" x14ac:dyDescent="0.25">
      <c r="A36" s="10" t="s">
        <v>1113</v>
      </c>
      <c r="B36" s="13" t="s">
        <v>1589</v>
      </c>
      <c r="C36" s="13" t="s">
        <v>1114</v>
      </c>
      <c r="D36" s="13" t="s">
        <v>1591</v>
      </c>
      <c r="E36" s="13" t="s">
        <v>372</v>
      </c>
      <c r="F36" s="13" t="s">
        <v>1115</v>
      </c>
      <c r="G36" s="13"/>
      <c r="H36" s="33" t="str" cm="1">
        <f t="array" ref="H36">LookupNames(SanitizeInput($G36),'Attack Steps'!$A:$B)</f>
        <v/>
      </c>
      <c r="I36" s="13"/>
      <c r="J36" s="37" t="str" cm="1">
        <f t="array" ref="J36">IF($I36="","",SUBSTITUTE(SUBSTITUTE(SUBSTITUTE(SUBSTITUTE(SUBSTITUTE(SUBSTITUTE(SUBSTITUTE(SUBSTITUTE(SUBSTITUTE(
GetTransformation(SanitizeInput($I36),'Damage Scenarios'!$A:$J,COLUMNS('Damage Scenarios'!$A:$J),CHAR(10),"[#0][#1][#2]")&amp;"§",
"[#1][#2]",""),
"[#2]",""),
"[#0][#1]","[#1]"),
"[#0]","Removes:"&amp;CHAR(10)),
"[#1]","Transforms:"&amp;CHAR(10)),
CHAR(10)&amp;"§",""),
"§",""),
CHAR(10),CHAR(10)&amp;"   "),
"   "&amp;"Transforms:","Transforms:"))</f>
        <v/>
      </c>
      <c r="K36" s="13"/>
      <c r="L36" s="13"/>
      <c r="M36" s="13"/>
      <c r="N36" s="13"/>
      <c r="O36" s="13"/>
      <c r="P36" s="33" t="str">
        <f ca="1">IF($A36="","",IFERROR(VLOOKUP($AE36,Definitions!$V:$W,COLUMNS(Definitions!$V:$W),TRUE),""))</f>
        <v>Basic</v>
      </c>
      <c r="Q36" s="13" t="s">
        <v>62</v>
      </c>
      <c r="R36" s="13"/>
      <c r="S36" s="13"/>
      <c r="T36" s="10" cm="1">
        <f t="array" ref="T36">IF(ROW()=ROW($T$3)+1,0,INDEX($T:$T,ROW()-1))+IF($A36="",0,1)</f>
        <v>33</v>
      </c>
      <c r="U36" s="20" t="b">
        <f ca="1">OR(CheckRelevance(SanitizeInput(F36),Questionnaire!$I:$I),IFERROR(_xlfn.XMATCH("*,"&amp;$A36&amp;",*",Countermeasures!$AG:$AG,2)&gt;0,FALSE))</f>
        <v>0</v>
      </c>
      <c r="V36" s="20" t="b">
        <f>IFERROR(_xlfn.XMATCH("*,"&amp;$A36&amp;",*",Mitigation!$X:$X,2)&gt;0,FALSE)</f>
        <v>0</v>
      </c>
      <c r="W36" s="20" cm="1">
        <f t="array" ref="W36">CreateTaskID($W$3,$W:$W,Tasks!$B$17,$S36)</f>
        <v>0</v>
      </c>
      <c r="X36" s="20" t="str" cm="1">
        <f t="array" aca="1" ref="X36" ca="1">IF(OR($G36="",NOT($U36)),"",","&amp;SanitizeInput($G36))</f>
        <v/>
      </c>
      <c r="Y36" s="20" t="str" cm="1">
        <f t="array" ref="Y36">IF($G36="","",","&amp;SanitizeInput($G36))</f>
        <v/>
      </c>
      <c r="Z36" s="20">
        <f>IF(K36="",0,VLOOKUP(K36,Definitions!$Z:$AA,COLUMNS(Definitions!$Z:$AA),FALSE))</f>
        <v>0</v>
      </c>
      <c r="AA36" s="20">
        <f>IF(L36="",0,VLOOKUP(L36,Definitions!$Z:$AA,COLUMNS(Definitions!$Z:$AA),FALSE))</f>
        <v>0</v>
      </c>
      <c r="AB36" s="20">
        <f>IF(M36="",0,VLOOKUP(M36,Definitions!$Z:$AA,COLUMNS(Definitions!$Z:$AA),FALSE))</f>
        <v>0</v>
      </c>
      <c r="AC36" s="20">
        <f>IF(N36="",0,VLOOKUP(N36,Definitions!$Z:$AA,COLUMNS(Definitions!$Z:$AA),FALSE))</f>
        <v>0</v>
      </c>
      <c r="AD36" s="20">
        <f>IF(O36="",0,VLOOKUP(O36,Definitions!$Z:$AA,COLUMNS(Definitions!$Z:$AA),FALSE))</f>
        <v>0</v>
      </c>
      <c r="AE36" s="20">
        <f t="shared" ca="1" si="0"/>
        <v>0</v>
      </c>
      <c r="AF36" s="20" t="str" cm="1">
        <f t="array" ref="AF36">SUBSTITUTE(IF($V36,IF($I36="","",","&amp;SanitizeInput($I36)),""),"&gt;",",")</f>
        <v/>
      </c>
      <c r="AG36" s="20" cm="1">
        <f t="array" aca="1" ref="AG36" ca="1">IF(ROW()=ROW($AG$3)+1,0,INDEX($AG:$AG,ROW()-1))+IF(OR($U36,$V36),1,0)</f>
        <v>3</v>
      </c>
      <c r="AH36" s="20" t="str" cm="1">
        <f t="array" aca="1" ref="AH36" ca="1">IF(OR($U36,$V36),IF($Q36="","",","&amp;SanitizeInput($Q36)),"")</f>
        <v/>
      </c>
      <c r="AI36" s="20" t="str">
        <f t="shared" si="1"/>
        <v>SDR 1.28 - The product cannot affect the availability of its operational environment [Customer]</v>
      </c>
      <c r="AJ36" s="20" t="str" cm="1">
        <f t="array" aca="1" ref="AJ36" ca="1">IF($F36="*","",InverseLookupList(SanitizeInput($F36),Questionnaire!$AA$3,Questionnaire!$A$3,Helper!$B$12,","))</f>
        <v/>
      </c>
      <c r="AK36" s="20" t="str" cm="1">
        <f t="array" aca="1" ref="AK36" ca="1">RemoveDelimiter(GetValues($AJ36,Questionnaire!$A:$G," ",CHAR(10)&amp;CHAR(10),TRUE),CHAR(10)&amp;CHAR(10))</f>
        <v/>
      </c>
      <c r="AL36" s="20" t="str" cm="1">
        <f t="array" aca="1" ref="AL36" ca="1">CreateSearchString($AJ36)</f>
        <v/>
      </c>
      <c r="AM36" s="20" t="str" cm="1">
        <f t="array" aca="1" ref="AM36" ca="1">InverseLookup($A36,Mitigation!$AD$2,Mitigation!$A$2,1,Helper!$B$5,",")</f>
        <v/>
      </c>
      <c r="AN36" s="20" t="str" cm="1">
        <f t="array" aca="1" ref="AN36" ca="1">CreateSearchString(GetValues($AM36,'Attack Steps'!$A:$O,"",",",FALSE))</f>
        <v/>
      </c>
      <c r="AO36" s="20" t="str">
        <f t="shared" si="2"/>
        <v>A33</v>
      </c>
    </row>
    <row r="37" spans="1:41" ht="60" x14ac:dyDescent="0.25">
      <c r="A37" s="10" t="s">
        <v>1221</v>
      </c>
      <c r="B37" s="13" t="s">
        <v>1609</v>
      </c>
      <c r="C37" s="13" t="s">
        <v>1222</v>
      </c>
      <c r="D37" s="13" t="s">
        <v>1610</v>
      </c>
      <c r="E37" s="13" t="str">
        <f>Definitions!$C$4</f>
        <v>&lt;OEM name&gt;</v>
      </c>
      <c r="F37" s="13" t="s">
        <v>418</v>
      </c>
      <c r="G37" s="13"/>
      <c r="H37" s="33" t="str" cm="1">
        <f t="array" ref="H37">LookupNames(SanitizeInput($G37),'Attack Steps'!$A:$B)</f>
        <v/>
      </c>
      <c r="I37" s="13"/>
      <c r="J37" s="37" t="str" cm="1">
        <f t="array" ref="J37">IF($I37="","",SUBSTITUTE(SUBSTITUTE(SUBSTITUTE(SUBSTITUTE(SUBSTITUTE(SUBSTITUTE(SUBSTITUTE(SUBSTITUTE(SUBSTITUTE(
GetTransformation(SanitizeInput($I37),'Damage Scenarios'!$A:$J,COLUMNS('Damage Scenarios'!$A:$J),CHAR(10),"[#0][#1][#2]")&amp;"§",
"[#1][#2]",""),
"[#2]",""),
"[#0][#1]","[#1]"),
"[#0]","Removes:"&amp;CHAR(10)),
"[#1]","Transforms:"&amp;CHAR(10)),
CHAR(10)&amp;"§",""),
"§",""),
CHAR(10),CHAR(10)&amp;"   "),
"   "&amp;"Transforms:","Transforms:"))</f>
        <v/>
      </c>
      <c r="K37" s="13"/>
      <c r="L37" s="13"/>
      <c r="M37" s="13"/>
      <c r="N37" s="13"/>
      <c r="O37" s="13"/>
      <c r="P37" s="33" t="str">
        <f ca="1">IF($A37="","",IFERROR(VLOOKUP($AE37,Definitions!$V:$W,COLUMNS(Definitions!$V:$W),TRUE),""))</f>
        <v>Basic</v>
      </c>
      <c r="Q37" s="13" t="s">
        <v>600</v>
      </c>
      <c r="R37" s="13"/>
      <c r="S37" s="13"/>
      <c r="T37" s="10" cm="1">
        <f t="array" ref="T37">IF(ROW()=ROW($T$3)+1,0,INDEX($T:$T,ROW()-1))+IF($A37="",0,1)</f>
        <v>34</v>
      </c>
      <c r="U37" s="20" t="b">
        <f ca="1">OR(CheckRelevance(SanitizeInput(F37),Questionnaire!$I:$I),IFERROR(_xlfn.XMATCH("*,"&amp;$A37&amp;",*",Countermeasures!$AG:$AG,2)&gt;0,FALSE))</f>
        <v>1</v>
      </c>
      <c r="V37" s="20" t="b">
        <f>IFERROR(_xlfn.XMATCH("*,"&amp;$A37&amp;",*",Mitigation!$X:$X,2)&gt;0,FALSE)</f>
        <v>0</v>
      </c>
      <c r="W37" s="20" cm="1">
        <f t="array" ref="W37">CreateTaskID($W$3,$W:$W,Tasks!$B$17,$S37)</f>
        <v>0</v>
      </c>
      <c r="X37" s="20" t="str" cm="1">
        <f t="array" aca="1" ref="X37" ca="1">IF(OR($G37="",NOT($U37)),"",","&amp;SanitizeInput($G37))</f>
        <v/>
      </c>
      <c r="Y37" s="20" t="str" cm="1">
        <f t="array" ref="Y37">IF($G37="","",","&amp;SanitizeInput($G37))</f>
        <v/>
      </c>
      <c r="Z37" s="20">
        <f>IF(K37="",0,VLOOKUP(K37,Definitions!$Z:$AA,COLUMNS(Definitions!$Z:$AA),FALSE))</f>
        <v>0</v>
      </c>
      <c r="AA37" s="20">
        <f>IF(L37="",0,VLOOKUP(L37,Definitions!$Z:$AA,COLUMNS(Definitions!$Z:$AA),FALSE))</f>
        <v>0</v>
      </c>
      <c r="AB37" s="20">
        <f>IF(M37="",0,VLOOKUP(M37,Definitions!$Z:$AA,COLUMNS(Definitions!$Z:$AA),FALSE))</f>
        <v>0</v>
      </c>
      <c r="AC37" s="20">
        <f>IF(N37="",0,VLOOKUP(N37,Definitions!$Z:$AA,COLUMNS(Definitions!$Z:$AA),FALSE))</f>
        <v>0</v>
      </c>
      <c r="AD37" s="20">
        <f>IF(O37="",0,VLOOKUP(O37,Definitions!$Z:$AA,COLUMNS(Definitions!$Z:$AA),FALSE))</f>
        <v>0</v>
      </c>
      <c r="AE37" s="20">
        <f t="shared" ca="1" si="0"/>
        <v>0</v>
      </c>
      <c r="AF37" s="20" t="str" cm="1">
        <f t="array" ref="AF37">SUBSTITUTE(IF($V37,IF($I37="","",","&amp;SanitizeInput($I37)),""),"&gt;",",")</f>
        <v/>
      </c>
      <c r="AG37" s="20" cm="1">
        <f t="array" aca="1" ref="AG37" ca="1">IF(ROW()=ROW($AG$3)+1,0,INDEX($AG:$AG,ROW()-1))+IF(OR($U37,$V37),1,0)</f>
        <v>4</v>
      </c>
      <c r="AH37" s="20" t="str" cm="1">
        <f t="array" aca="1" ref="AH37" ca="1">IF(OR($U37,$V37),IF($Q37="","",","&amp;SanitizeInput($Q37)),"")</f>
        <v>,b,</v>
      </c>
      <c r="AI37" s="20" t="str">
        <f t="shared" si="1"/>
        <v>SDR 2.10 - The product is delivered with a secure by default configuration [&lt;OEM name&gt;]</v>
      </c>
      <c r="AJ37" s="20" t="str" cm="1">
        <f t="array" ref="AJ37">IF($F37="*","",InverseLookupList(SanitizeInput($F37),Questionnaire!$AA$3,Questionnaire!$A$3,Helper!$B$12,","))</f>
        <v/>
      </c>
      <c r="AK37" s="20" t="str" cm="1">
        <f t="array" ref="AK37">RemoveDelimiter(GetValues($AJ37,Questionnaire!$A:$G," ",CHAR(10)&amp;CHAR(10),TRUE),CHAR(10)&amp;CHAR(10))</f>
        <v/>
      </c>
      <c r="AL37" s="20" t="str" cm="1">
        <f t="array" ref="AL37">CreateSearchString($AJ37)</f>
        <v/>
      </c>
      <c r="AM37" s="20" t="str" cm="1">
        <f t="array" aca="1" ref="AM37" ca="1">InverseLookup($A37,Mitigation!$AD$2,Mitigation!$A$2,1,Helper!$B$5,",")</f>
        <v/>
      </c>
      <c r="AN37" s="20" t="str" cm="1">
        <f t="array" aca="1" ref="AN37" ca="1">CreateSearchString(GetValues($AM37,'Attack Steps'!$A:$O,"",",",FALSE))</f>
        <v/>
      </c>
      <c r="AO37" s="20" t="str">
        <f t="shared" si="2"/>
        <v>A34</v>
      </c>
    </row>
    <row r="38" spans="1:41" ht="60" x14ac:dyDescent="0.25">
      <c r="A38" s="10" t="s">
        <v>1237</v>
      </c>
      <c r="B38" s="13" t="s">
        <v>1238</v>
      </c>
      <c r="C38" s="13" t="s">
        <v>1239</v>
      </c>
      <c r="D38" s="13"/>
      <c r="E38" s="13" t="s">
        <v>373</v>
      </c>
      <c r="F38" s="13"/>
      <c r="G38" s="13"/>
      <c r="H38" s="33" t="str" cm="1">
        <f t="array" ref="H38">LookupNames(SanitizeInput($G38),'Attack Steps'!$A:$B)</f>
        <v/>
      </c>
      <c r="I38" s="13"/>
      <c r="J38" s="37" t="str" cm="1">
        <f t="array" ref="J38">IF($I38="","",SUBSTITUTE(SUBSTITUTE(SUBSTITUTE(SUBSTITUTE(SUBSTITUTE(SUBSTITUTE(SUBSTITUTE(SUBSTITUTE(SUBSTITUTE(
GetTransformation(SanitizeInput($I38),'Damage Scenarios'!$A:$J,COLUMNS('Damage Scenarios'!$A:$J),CHAR(10),"[#0][#1][#2]")&amp;"§",
"[#1][#2]",""),
"[#2]",""),
"[#0][#1]","[#1]"),
"[#0]","Removes:"&amp;CHAR(10)),
"[#1]","Transforms:"&amp;CHAR(10)),
CHAR(10)&amp;"§",""),
"§",""),
CHAR(10),CHAR(10)&amp;"   "),
"   "&amp;"Transforms:","Transforms:"))</f>
        <v/>
      </c>
      <c r="K38" s="13"/>
      <c r="L38" s="13"/>
      <c r="M38" s="13"/>
      <c r="N38" s="13"/>
      <c r="O38" s="13"/>
      <c r="P38" s="33" t="str">
        <f ca="1">IF($A38="","",IFERROR(VLOOKUP($AE38,Definitions!$V:$W,COLUMNS(Definitions!$V:$W),TRUE),""))</f>
        <v>Basic</v>
      </c>
      <c r="Q38" s="13" t="s">
        <v>62</v>
      </c>
      <c r="R38" s="13"/>
      <c r="S38" s="13" t="s">
        <v>1745</v>
      </c>
      <c r="T38" s="10" cm="1">
        <f t="array" ref="T38">IF(ROW()=ROW($T$3)+1,0,INDEX($T:$T,ROW()-1))+IF($A38="",0,1)</f>
        <v>35</v>
      </c>
      <c r="U38" s="20" t="b">
        <f ca="1">OR(CheckRelevance(SanitizeInput(F38),Questionnaire!$I:$I),IFERROR(_xlfn.XMATCH("*,"&amp;$A38&amp;",*",Countermeasures!$AG:$AG,2)&gt;0,FALSE))</f>
        <v>0</v>
      </c>
      <c r="V38" s="20" t="b">
        <f>IFERROR(_xlfn.XMATCH("*,"&amp;$A38&amp;",*",Mitigation!$X:$X,2)&gt;0,FALSE)</f>
        <v>0</v>
      </c>
      <c r="W38" s="20" cm="1">
        <f t="array" ref="W38">CreateTaskID($W$3,$W:$W,Tasks!$B$17,$S38)</f>
        <v>0</v>
      </c>
      <c r="X38" s="20" t="str" cm="1">
        <f t="array" aca="1" ref="X38" ca="1">IF(OR($G38="",NOT($U38)),"",","&amp;SanitizeInput($G38))</f>
        <v/>
      </c>
      <c r="Y38" s="20" t="str" cm="1">
        <f t="array" ref="Y38">IF($G38="","",","&amp;SanitizeInput($G38))</f>
        <v/>
      </c>
      <c r="Z38" s="20">
        <f>IF(K38="",0,VLOOKUP(K38,Definitions!$Z:$AA,COLUMNS(Definitions!$Z:$AA),FALSE))</f>
        <v>0</v>
      </c>
      <c r="AA38" s="20">
        <f>IF(L38="",0,VLOOKUP(L38,Definitions!$Z:$AA,COLUMNS(Definitions!$Z:$AA),FALSE))</f>
        <v>0</v>
      </c>
      <c r="AB38" s="20">
        <f>IF(M38="",0,VLOOKUP(M38,Definitions!$Z:$AA,COLUMNS(Definitions!$Z:$AA),FALSE))</f>
        <v>0</v>
      </c>
      <c r="AC38" s="20">
        <f>IF(N38="",0,VLOOKUP(N38,Definitions!$Z:$AA,COLUMNS(Definitions!$Z:$AA),FALSE))</f>
        <v>0</v>
      </c>
      <c r="AD38" s="20">
        <f>IF(O38="",0,VLOOKUP(O38,Definitions!$Z:$AA,COLUMNS(Definitions!$Z:$AA),FALSE))</f>
        <v>0</v>
      </c>
      <c r="AE38" s="20">
        <f t="shared" ca="1" si="0"/>
        <v>0</v>
      </c>
      <c r="AF38" s="20" t="str" cm="1">
        <f t="array" ref="AF38">SUBSTITUTE(IF($V38,IF($I38="","",","&amp;SanitizeInput($I38)),""),"&gt;",",")</f>
        <v/>
      </c>
      <c r="AG38" s="20" cm="1">
        <f t="array" aca="1" ref="AG38" ca="1">IF(ROW()=ROW($AG$3)+1,0,INDEX($AG:$AG,ROW()-1))+IF(OR($U38,$V38),1,0)</f>
        <v>4</v>
      </c>
      <c r="AH38" s="20" t="str" cm="1">
        <f t="array" aca="1" ref="AH38" ca="1">IF(OR($U38,$V38),IF($Q38="","",","&amp;SanitizeInput($Q38)),"")</f>
        <v/>
      </c>
      <c r="AI38" s="20" t="str">
        <f t="shared" si="1"/>
        <v>Attack path not applicable or not plausible [Other (see comment)]</v>
      </c>
      <c r="AJ38" s="20" t="str" cm="1">
        <f t="array" ref="AJ38">IF($F38="*","",InverseLookupList(SanitizeInput($F38),Questionnaire!$AA$3,Questionnaire!$A$3,Helper!$B$12,","))</f>
        <v/>
      </c>
      <c r="AK38" s="20" t="str" cm="1">
        <f t="array" ref="AK38">RemoveDelimiter(GetValues($AJ38,Questionnaire!$A:$G," ",CHAR(10)&amp;CHAR(10),TRUE),CHAR(10)&amp;CHAR(10))</f>
        <v/>
      </c>
      <c r="AL38" s="20" t="str" cm="1">
        <f t="array" ref="AL38">CreateSearchString($AJ38)</f>
        <v/>
      </c>
      <c r="AM38" s="20" t="str" cm="1">
        <f t="array" aca="1" ref="AM38" ca="1">InverseLookup($A38,Mitigation!$AD$2,Mitigation!$A$2,1,Helper!$B$5,",")</f>
        <v/>
      </c>
      <c r="AN38" s="20" t="str" cm="1">
        <f t="array" aca="1" ref="AN38" ca="1">CreateSearchString(GetValues($AM38,'Attack Steps'!$A:$O,"",",",FALSE))</f>
        <v/>
      </c>
      <c r="AO38" s="20" t="str">
        <f t="shared" si="2"/>
        <v>A35</v>
      </c>
    </row>
    <row r="39" spans="1:41" ht="75" x14ac:dyDescent="0.25">
      <c r="A39" s="10" t="s">
        <v>1254</v>
      </c>
      <c r="B39" s="13" t="s">
        <v>1572</v>
      </c>
      <c r="C39" s="13" t="s">
        <v>1255</v>
      </c>
      <c r="D39" s="13" t="s">
        <v>1573</v>
      </c>
      <c r="E39" s="13" t="s">
        <v>372</v>
      </c>
      <c r="F39" s="13" t="s">
        <v>1256</v>
      </c>
      <c r="G39" s="13" t="s">
        <v>108</v>
      </c>
      <c r="H39" s="33" t="str" cm="1">
        <f t="array" aca="1" ref="H39" ca="1">LookupNames(SanitizeInput($G39),'Attack Steps'!$A:$B)</f>
        <v>AS2 Getting access to a wireless network</v>
      </c>
      <c r="I39" s="13"/>
      <c r="J39" s="37" t="str" cm="1">
        <f t="array" ref="J39">IF($I39="","",SUBSTITUTE(SUBSTITUTE(SUBSTITUTE(SUBSTITUTE(SUBSTITUTE(SUBSTITUTE(SUBSTITUTE(SUBSTITUTE(SUBSTITUTE(
GetTransformation(SanitizeInput($I39),'Damage Scenarios'!$A:$J,COLUMNS('Damage Scenarios'!$A:$J),CHAR(10),"[#0][#1][#2]")&amp;"§",
"[#1][#2]",""),
"[#2]",""),
"[#0][#1]","[#1]"),
"[#0]","Removes:"&amp;CHAR(10)),
"[#1]","Transforms:"&amp;CHAR(10)),
CHAR(10)&amp;"§",""),
"§",""),
CHAR(10),CHAR(10)&amp;"   "),
"   "&amp;"Transforms:","Transforms:"))</f>
        <v/>
      </c>
      <c r="K39" s="13"/>
      <c r="L39" s="13"/>
      <c r="M39" s="13"/>
      <c r="N39" s="13" t="s">
        <v>151</v>
      </c>
      <c r="O39" s="13"/>
      <c r="P39" s="33" t="str">
        <f ca="1">IF($A39="","",IFERROR(VLOOKUP($AE39,Definitions!$V:$W,COLUMNS(Definitions!$V:$W),TRUE),""))</f>
        <v>Beyond High</v>
      </c>
      <c r="Q39" s="13" t="s">
        <v>1633</v>
      </c>
      <c r="R39" s="13"/>
      <c r="S39" s="13" t="s">
        <v>1257</v>
      </c>
      <c r="T39" s="10" cm="1">
        <f t="array" ref="T39">IF(ROW()=ROW($T$3)+1,0,INDEX($T:$T,ROW()-1))+IF($A39="",0,1)</f>
        <v>36</v>
      </c>
      <c r="U39" s="20" t="b">
        <f ca="1">OR(CheckRelevance(SanitizeInput(F39),Questionnaire!$I:$I),IFERROR(_xlfn.XMATCH("*,"&amp;$A39&amp;",*",Countermeasures!$AG:$AG,2)&gt;0,FALSE))</f>
        <v>0</v>
      </c>
      <c r="V39" s="20" t="b">
        <f>IFERROR(_xlfn.XMATCH("*,"&amp;$A39&amp;",*",Mitigation!$X:$X,2)&gt;0,FALSE)</f>
        <v>0</v>
      </c>
      <c r="W39" s="20" cm="1">
        <f t="array" ref="W39">CreateTaskID($W$3,$W:$W,Tasks!$B$17,$S39)</f>
        <v>0</v>
      </c>
      <c r="X39" s="20" t="str" cm="1">
        <f t="array" aca="1" ref="X39" ca="1">IF(OR($G39="",NOT($U39)),"",","&amp;SanitizeInput($G39))</f>
        <v/>
      </c>
      <c r="Y39" s="20" t="str" cm="1">
        <f t="array" ref="Y39">IF($G39="","",","&amp;SanitizeInput($G39))</f>
        <v>,AS2,</v>
      </c>
      <c r="Z39" s="20">
        <f>IF(K39="",0,VLOOKUP(K39,Definitions!$Z:$AA,COLUMNS(Definitions!$Z:$AA),FALSE))</f>
        <v>0</v>
      </c>
      <c r="AA39" s="20">
        <f>IF(L39="",0,VLOOKUP(L39,Definitions!$Z:$AA,COLUMNS(Definitions!$Z:$AA),FALSE))</f>
        <v>0</v>
      </c>
      <c r="AB39" s="20">
        <f>IF(M39="",0,VLOOKUP(M39,Definitions!$Z:$AA,COLUMNS(Definitions!$Z:$AA),FALSE))</f>
        <v>0</v>
      </c>
      <c r="AC39" s="20">
        <f>IF(N39="",0,VLOOKUP(N39,Definitions!$Z:$AA,COLUMNS(Definitions!$Z:$AA),FALSE))</f>
        <v>25</v>
      </c>
      <c r="AD39" s="20">
        <f>IF(O39="",0,VLOOKUP(O39,Definitions!$Z:$AA,COLUMNS(Definitions!$Z:$AA),FALSE))</f>
        <v>0</v>
      </c>
      <c r="AE39" s="20">
        <f t="shared" ca="1" si="0"/>
        <v>25</v>
      </c>
      <c r="AF39" s="20" t="str" cm="1">
        <f t="array" ref="AF39">SUBSTITUTE(IF($V39,IF($I39="","",","&amp;SanitizeInput($I39)),""),"&gt;",",")</f>
        <v/>
      </c>
      <c r="AG39" s="20" cm="1">
        <f t="array" aca="1" ref="AG39" ca="1">IF(ROW()=ROW($AG$3)+1,0,INDEX($AG:$AG,ROW()-1))+IF(OR($U39,$V39),1,0)</f>
        <v>4</v>
      </c>
      <c r="AH39" s="20" t="str" cm="1">
        <f t="array" aca="1" ref="AH39" ca="1">IF(OR($U39,$V39),IF($Q39="","",","&amp;SanitizeInput($Q39)),"")</f>
        <v/>
      </c>
      <c r="AI39" s="20" t="str">
        <f t="shared" si="1"/>
        <v>SDR 1.18 - Well-protected trustworthy wireless network [Customer]</v>
      </c>
      <c r="AJ39" s="20" t="str" cm="1">
        <f t="array" aca="1" ref="AJ39" ca="1">IF($F39="*","",InverseLookupList(SanitizeInput($F39),Questionnaire!$AA$3,Questionnaire!$A$3,Helper!$B$12,","))</f>
        <v/>
      </c>
      <c r="AK39" s="20" t="str" cm="1">
        <f t="array" aca="1" ref="AK39" ca="1">RemoveDelimiter(GetValues($AJ39,Questionnaire!$A:$G," ",CHAR(10)&amp;CHAR(10),TRUE),CHAR(10)&amp;CHAR(10))</f>
        <v/>
      </c>
      <c r="AL39" s="20" t="str" cm="1">
        <f t="array" aca="1" ref="AL39" ca="1">CreateSearchString($AJ39)</f>
        <v/>
      </c>
      <c r="AM39" s="20" t="str" cm="1">
        <f t="array" aca="1" ref="AM39" ca="1">InverseLookup($A39,Mitigation!$AD$2,Mitigation!$A$2,1,Helper!$B$5,",")</f>
        <v/>
      </c>
      <c r="AN39" s="20" t="str" cm="1">
        <f t="array" aca="1" ref="AN39" ca="1">CreateSearchString(GetValues($AM39,'Attack Steps'!$A:$O,"",",",FALSE))</f>
        <v/>
      </c>
      <c r="AO39" s="20" t="str">
        <f t="shared" si="2"/>
        <v>A36</v>
      </c>
    </row>
    <row r="40" spans="1:41" ht="60" x14ac:dyDescent="0.25">
      <c r="A40" s="10" t="s">
        <v>1267</v>
      </c>
      <c r="B40" s="13" t="s">
        <v>1602</v>
      </c>
      <c r="C40" s="13" t="s">
        <v>1268</v>
      </c>
      <c r="D40" s="13" t="s">
        <v>1603</v>
      </c>
      <c r="E40" s="13" t="str">
        <f>Definitions!$C$4</f>
        <v>&lt;OEM name&gt;</v>
      </c>
      <c r="F40" s="13"/>
      <c r="G40" s="13" t="s">
        <v>1269</v>
      </c>
      <c r="H40" s="33" t="str" cm="1">
        <f t="array" aca="1" ref="H40" ca="1">LookupNames(SanitizeInput($G40),'Attack Steps'!$A:$B)</f>
        <v>AS5 Eavesdropping on the product's communication,
AS6 Spoofing / tampering with the product's outgoing communication</v>
      </c>
      <c r="I40" s="13"/>
      <c r="J40" s="37" t="str" cm="1">
        <f t="array" ref="J40">IF($I40="","",SUBSTITUTE(SUBSTITUTE(SUBSTITUTE(SUBSTITUTE(SUBSTITUTE(SUBSTITUTE(SUBSTITUTE(SUBSTITUTE(SUBSTITUTE(
GetTransformation(SanitizeInput($I40),'Damage Scenarios'!$A:$J,COLUMNS('Damage Scenarios'!$A:$J),CHAR(10),"[#0][#1][#2]")&amp;"§",
"[#1][#2]",""),
"[#2]",""),
"[#0][#1]","[#1]"),
"[#0]","Removes:"&amp;CHAR(10)),
"[#1]","Transforms:"&amp;CHAR(10)),
CHAR(10)&amp;"§",""),
"§",""),
CHAR(10),CHAR(10)&amp;"   "),
"   "&amp;"Transforms:","Transforms:"))</f>
        <v/>
      </c>
      <c r="K40" s="13"/>
      <c r="L40" s="13"/>
      <c r="M40" s="13"/>
      <c r="N40" s="13" t="s">
        <v>150</v>
      </c>
      <c r="O40" s="13"/>
      <c r="P40" s="33" t="str">
        <f ca="1">IF($A40="","",IFERROR(VLOOKUP($AE40,Definitions!$V:$W,COLUMNS(Definitions!$V:$W),TRUE),""))</f>
        <v>Enhanced-Basic</v>
      </c>
      <c r="Q40" s="13" t="s">
        <v>62</v>
      </c>
      <c r="R40" s="13"/>
      <c r="S40" s="13"/>
      <c r="T40" s="10" cm="1">
        <f t="array" ref="T40">IF(ROW()=ROW($T$3)+1,0,INDEX($T:$T,ROW()-1))+IF($A40="",0,1)</f>
        <v>37</v>
      </c>
      <c r="U40" s="20" t="b">
        <f ca="1">OR(CheckRelevance(SanitizeInput(F40),Questionnaire!$I:$I),IFERROR(_xlfn.XMATCH("*,"&amp;$A40&amp;",*",Countermeasures!$AG:$AG,2)&gt;0,FALSE))</f>
        <v>0</v>
      </c>
      <c r="V40" s="20" t="b">
        <f>IFERROR(_xlfn.XMATCH("*,"&amp;$A40&amp;",*",Mitigation!$X:$X,2)&gt;0,FALSE)</f>
        <v>0</v>
      </c>
      <c r="W40" s="20" cm="1">
        <f t="array" ref="W40">CreateTaskID($W$3,$W:$W,Tasks!$B$17,$S40)</f>
        <v>0</v>
      </c>
      <c r="X40" s="20" t="str" cm="1">
        <f t="array" aca="1" ref="X40" ca="1">IF(OR($G40="",NOT($U40)),"",","&amp;SanitizeInput($G40))</f>
        <v/>
      </c>
      <c r="Y40" s="20" t="str" cm="1">
        <f t="array" ref="Y40">IF($G40="","",","&amp;SanitizeInput($G40))</f>
        <v>,AS5,AS6,</v>
      </c>
      <c r="Z40" s="20">
        <f>IF(K40="",0,VLOOKUP(K40,Definitions!$Z:$AA,COLUMNS(Definitions!$Z:$AA),FALSE))</f>
        <v>0</v>
      </c>
      <c r="AA40" s="20">
        <f>IF(L40="",0,VLOOKUP(L40,Definitions!$Z:$AA,COLUMNS(Definitions!$Z:$AA),FALSE))</f>
        <v>0</v>
      </c>
      <c r="AB40" s="20">
        <f>IF(M40="",0,VLOOKUP(M40,Definitions!$Z:$AA,COLUMNS(Definitions!$Z:$AA),FALSE))</f>
        <v>0</v>
      </c>
      <c r="AC40" s="20">
        <f>IF(N40="",0,VLOOKUP(N40,Definitions!$Z:$AA,COLUMNS(Definitions!$Z:$AA),FALSE))</f>
        <v>10</v>
      </c>
      <c r="AD40" s="20">
        <f>IF(O40="",0,VLOOKUP(O40,Definitions!$Z:$AA,COLUMNS(Definitions!$Z:$AA),FALSE))</f>
        <v>0</v>
      </c>
      <c r="AE40" s="20">
        <f t="shared" ca="1" si="0"/>
        <v>10</v>
      </c>
      <c r="AF40" s="20" t="str" cm="1">
        <f t="array" ref="AF40">SUBSTITUTE(IF($V40,IF($I40="","",","&amp;SanitizeInput($I40)),""),"&gt;",",")</f>
        <v/>
      </c>
      <c r="AG40" s="20" cm="1">
        <f t="array" aca="1" ref="AG40" ca="1">IF(ROW()=ROW($AG$3)+1,0,INDEX($AG:$AG,ROW()-1))+IF(OR($U40,$V40),1,0)</f>
        <v>4</v>
      </c>
      <c r="AH40" s="20" t="str" cm="1">
        <f t="array" aca="1" ref="AH40" ca="1">IF(OR($U40,$V40),IF($Q40="","",","&amp;SanitizeInput($Q40)),"")</f>
        <v/>
      </c>
      <c r="AI40" s="20" t="str">
        <f t="shared" si="1"/>
        <v>SDR 2.6 - Limited accessibility of short-range wireless communication [&lt;OEM name&gt;]</v>
      </c>
      <c r="AJ40" s="20" t="str" cm="1">
        <f t="array" ref="AJ40">IF($F40="*","",InverseLookupList(SanitizeInput($F40),Questionnaire!$AA$3,Questionnaire!$A$3,Helper!$B$12,","))</f>
        <v/>
      </c>
      <c r="AK40" s="20" t="str" cm="1">
        <f t="array" ref="AK40">RemoveDelimiter(GetValues($AJ40,Questionnaire!$A:$G," ",CHAR(10)&amp;CHAR(10),TRUE),CHAR(10)&amp;CHAR(10))</f>
        <v/>
      </c>
      <c r="AL40" s="20" t="str" cm="1">
        <f t="array" ref="AL40">CreateSearchString($AJ40)</f>
        <v/>
      </c>
      <c r="AM40" s="20" t="str" cm="1">
        <f t="array" aca="1" ref="AM40" ca="1">InverseLookup($A40,Mitigation!$AD$2,Mitigation!$A$2,1,Helper!$B$5,",")</f>
        <v/>
      </c>
      <c r="AN40" s="20" t="str" cm="1">
        <f t="array" aca="1" ref="AN40" ca="1">CreateSearchString(GetValues($AM40,'Attack Steps'!$A:$O,"",",",FALSE))</f>
        <v/>
      </c>
      <c r="AO40" s="20" t="str">
        <f t="shared" si="2"/>
        <v>A37</v>
      </c>
    </row>
    <row r="41" spans="1:41" ht="150" x14ac:dyDescent="0.25">
      <c r="A41" s="10" t="s">
        <v>1363</v>
      </c>
      <c r="B41" s="13" t="s">
        <v>1576</v>
      </c>
      <c r="C41" s="13" t="str" cm="1">
        <f t="array" ref="C41">"As the credentials stored on the product are exclusively used for the intended purpose, the resulting damages are at most: "&amp;IFERROR(SimpleLookup*(SimpleLookup*(Questions!$A$13,Questionnaire!$A:$E),Definitions!$H:$J),"")&amp;CHAR(10)&amp;CHAR(10)&amp;
"The customer applies the principle of least privilege to access rights allowing changes to the product or its configuration:"&amp;CHAR(10)&amp;
"Applying the principle of least privilege to access rights that allow changes to the product (including its configuration), the customer prevents workers from disabling safety measures."&amp;" It is up to the customer to ensure that the privileged persons act responsibly and that they do not disable safety measures."</f>
        <v>As the credentials stored on the product are exclusively used for the intended purpose, the resulting damages are at most: 
The customer applies the principle of least privilege to access rights allowing changes to the product or its configuration:
Applying the principle of least privilege to access rights that allow changes to the product (including its configuration), the customer prevents workers from disabling safety measures. It is up to the customer to ensure that the privileged persons act responsibly and that they do not disable safety measures.</v>
      </c>
      <c r="D41" s="13" t="s">
        <v>1642</v>
      </c>
      <c r="E41" s="13" t="s">
        <v>372</v>
      </c>
      <c r="F41" s="13" t="s">
        <v>1643</v>
      </c>
      <c r="G41" s="13"/>
      <c r="H41" s="33" t="str" cm="1">
        <f t="array" ref="H41">LookupNames(SanitizeInput($G41),'Attack Steps'!$A:$B)</f>
        <v/>
      </c>
      <c r="I41" s="13"/>
      <c r="J41" s="37" t="str" cm="1">
        <f t="array" ref="J41">IF($I41="","",SUBSTITUTE(SUBSTITUTE(SUBSTITUTE(SUBSTITUTE(SUBSTITUTE(SUBSTITUTE(SUBSTITUTE(SUBSTITUTE(SUBSTITUTE(
GetTransformation(SanitizeInput($I41),'Damage Scenarios'!$A:$J,COLUMNS('Damage Scenarios'!$A:$J),CHAR(10),"[#0][#1][#2]")&amp;"§",
"[#1][#2]",""),
"[#2]",""),
"[#0][#1]","[#1]"),
"[#0]","Removes:"&amp;CHAR(10)),
"[#1]","Transforms:"&amp;CHAR(10)),
CHAR(10)&amp;"§",""),
"§",""),
CHAR(10),CHAR(10)&amp;"   "),
"   "&amp;"Transforms:","Transforms:"))</f>
        <v/>
      </c>
      <c r="K41" s="13"/>
      <c r="L41" s="13"/>
      <c r="M41" s="13"/>
      <c r="N41" s="13"/>
      <c r="O41" s="13"/>
      <c r="P41" s="33" t="str">
        <f ca="1">IF($A41="","",IFERROR(VLOOKUP($AE41,Definitions!$V:$W,COLUMNS(Definitions!$V:$W),TRUE),""))</f>
        <v>Basic</v>
      </c>
      <c r="Q41" s="13" t="s">
        <v>637</v>
      </c>
      <c r="R41" s="13"/>
      <c r="S41" s="13" t="str">
        <f>"Note that the effects of this are modeled in countermeasure "&amp;Countermeasures!A6&amp;", as the product must offer the functionality to apply the principle of least privilege."&amp;"
Note that a device with no credentials fulfills this requirement."</f>
        <v>Note that the effects of this are modeled in countermeasure C3, as the product must offer the functionality to apply the principle of least privilege.
Note that a device with no credentials fulfills this requirement.</v>
      </c>
      <c r="T41" s="10" cm="1">
        <f t="array" ref="T41">IF(ROW()=ROW($T$3)+1,0,INDEX($T:$T,ROW()-1))+IF($A41="",0,1)</f>
        <v>38</v>
      </c>
      <c r="U41" s="20" t="b">
        <f ca="1">OR(CheckRelevance(SanitizeInput(F41),Questionnaire!$I:$I),IFERROR(_xlfn.XMATCH("*,"&amp;$A41&amp;",*",Countermeasures!$AG:$AG,2)&gt;0,FALSE))</f>
        <v>1</v>
      </c>
      <c r="V41" s="20" t="b">
        <f>IFERROR(_xlfn.XMATCH("*,"&amp;$A41&amp;",*",Mitigation!$X:$X,2)&gt;0,FALSE)</f>
        <v>0</v>
      </c>
      <c r="W41" s="20" cm="1">
        <f t="array" ref="W41">CreateTaskID($W$3,$W:$W,Tasks!$B$17,$S41)</f>
        <v>0</v>
      </c>
      <c r="X41" s="20" t="str" cm="1">
        <f t="array" aca="1" ref="X41" ca="1">IF(OR($G41="",NOT($U41)),"",","&amp;SanitizeInput($G41))</f>
        <v/>
      </c>
      <c r="Y41" s="20" t="str" cm="1">
        <f t="array" ref="Y41">IF($G41="","",","&amp;SanitizeInput($G41))</f>
        <v/>
      </c>
      <c r="Z41" s="20">
        <f>IF(K41="",0,VLOOKUP(K41,Definitions!$Z:$AA,COLUMNS(Definitions!$Z:$AA),FALSE))</f>
        <v>0</v>
      </c>
      <c r="AA41" s="20">
        <f>IF(L41="",0,VLOOKUP(L41,Definitions!$Z:$AA,COLUMNS(Definitions!$Z:$AA),FALSE))</f>
        <v>0</v>
      </c>
      <c r="AB41" s="20">
        <f>IF(M41="",0,VLOOKUP(M41,Definitions!$Z:$AA,COLUMNS(Definitions!$Z:$AA),FALSE))</f>
        <v>0</v>
      </c>
      <c r="AC41" s="20">
        <f>IF(N41="",0,VLOOKUP(N41,Definitions!$Z:$AA,COLUMNS(Definitions!$Z:$AA),FALSE))</f>
        <v>0</v>
      </c>
      <c r="AD41" s="20">
        <f>IF(O41="",0,VLOOKUP(O41,Definitions!$Z:$AA,COLUMNS(Definitions!$Z:$AA),FALSE))</f>
        <v>0</v>
      </c>
      <c r="AE41" s="20">
        <f t="shared" ca="1" si="0"/>
        <v>0</v>
      </c>
      <c r="AF41" s="20" t="str" cm="1">
        <f t="array" ref="AF41">SUBSTITUTE(IF($V41,IF($I41="","",","&amp;SanitizeInput($I41)),""),"&gt;",",")</f>
        <v/>
      </c>
      <c r="AG41" s="20" cm="1">
        <f t="array" aca="1" ref="AG41" ca="1">IF(ROW()=ROW($AG$3)+1,0,INDEX($AG:$AG,ROW()-1))+IF(OR($U41,$V41),1,0)</f>
        <v>5</v>
      </c>
      <c r="AH41" s="20" t="str" cm="1">
        <f t="array" aca="1" ref="AH41" ca="1">IF(OR($U41,$V41),IF($Q41="","",","&amp;SanitizeInput($Q41)),"")</f>
        <v>,j,</v>
      </c>
      <c r="AI41" s="20" t="str">
        <f t="shared" si="1"/>
        <v>SDR 1.20 - Least privilege for provided credentials [Customer]</v>
      </c>
      <c r="AJ41" s="20" t="str" cm="1">
        <f t="array" aca="1" ref="AJ41" ca="1">IF($F41="*","",InverseLookupList(SanitizeInput($F41),Questionnaire!$AA$3,Questionnaire!$A$3,Helper!$B$12,","))</f>
        <v>QI5,</v>
      </c>
      <c r="AK41" s="20" t="str" cm="1">
        <f t="array" aca="1" ref="AK41" ca="1">RemoveDelimiter(GetValues($AJ41,Questionnaire!$A:$G," ",CHAR(10)&amp;CHAR(10),TRUE),CHAR(10)&amp;CHAR(10))</f>
        <v xml:space="preserve">QI5 </v>
      </c>
      <c r="AL41" s="20" t="str" cm="1">
        <f t="array" aca="1" ref="AL41" ca="1">CreateSearchString($AJ41)</f>
        <v>,QI5,</v>
      </c>
      <c r="AM41" s="20" t="str" cm="1">
        <f t="array" aca="1" ref="AM41" ca="1">InverseLookup($A41,Mitigation!$AD$2,Mitigation!$A$2,1,Helper!$B$5,",")</f>
        <v/>
      </c>
      <c r="AN41" s="20" t="str" cm="1">
        <f t="array" aca="1" ref="AN41" ca="1">CreateSearchString(GetValues($AM41,'Attack Steps'!$A:$O,"",",",FALSE))</f>
        <v/>
      </c>
      <c r="AO41" s="20" t="str">
        <f t="shared" si="2"/>
        <v>A38</v>
      </c>
    </row>
    <row r="42" spans="1:41" ht="60" x14ac:dyDescent="0.25">
      <c r="A42" s="10" t="s">
        <v>1390</v>
      </c>
      <c r="B42" s="13" t="str">
        <f>"SDR 2.11 - The customer is trusted not to extract "&amp;Definitions!$C$4&amp;" IP"</f>
        <v>SDR 2.11 - The customer is trusted not to extract &lt;OEM name&gt; IP</v>
      </c>
      <c r="C42" s="13" t="str">
        <f>"Customers buying the product are trusted not to extract "&amp;Definitions!$C$4&amp;" intellectual property from the product. Note that this implies that the product cannot be bought freely by any party, but only by selected customers."</f>
        <v>Customers buying the product are trusted not to extract &lt;OEM name&gt; intellectual property from the product. Note that this implies that the product cannot be bought freely by any party, but only by selected customers.</v>
      </c>
      <c r="D42" s="13" t="str">
        <f>"Customers buying the product are trusted not to extract "&amp;Definitions!$C$4&amp;" intellectual property from the product. This is only valid if the product cannot be bought freely by any party, but only by selected customers."</f>
        <v>Customers buying the product are trusted not to extract &lt;OEM name&gt; intellectual property from the product. This is only valid if the product cannot be bought freely by any party, but only by selected customers.</v>
      </c>
      <c r="E42" s="13" t="str">
        <f>Definitions!$C$4</f>
        <v>&lt;OEM name&gt;</v>
      </c>
      <c r="F42" s="13"/>
      <c r="G42" s="13" t="s">
        <v>332</v>
      </c>
      <c r="H42" s="33" t="str" cm="1">
        <f t="array" aca="1" ref="H42" ca="1">LookupNames(SanitizeInput($G42),'Attack Steps'!$A:$B)</f>
        <v>AS22 Gaining physical access to the product (customer)</v>
      </c>
      <c r="I42" s="13" t="s">
        <v>1391</v>
      </c>
      <c r="J42" s="37" t="str" cm="1">
        <f t="array" aca="1" ref="J42" ca="1">IF($I42="","",SUBSTITUTE(SUBSTITUTE(SUBSTITUTE(SUBSTITUTE(SUBSTITUTE(SUBSTITUTE(SUBSTITUTE(SUBSTITUTE(SUBSTITUTE(
GetTransformation(SanitizeInput($I42),'Damage Scenarios'!$A:$J,COLUMNS('Damage Scenarios'!$A:$J),CHAR(10),"[#0][#1][#2]")&amp;"§",
"[#1][#2]",""),
"[#2]",""),
"[#0][#1]","[#1]"),
"[#0]","Removes:"&amp;CHAR(10)),
"[#1]","Transforms:"&amp;CHAR(10)),
CHAR(10)&amp;"§",""),
"§",""),
CHAR(10),CHAR(10)&amp;"   "),
"   "&amp;"Transforms:","Transforms:"))</f>
        <v xml:space="preserve">Removes:
   DS3 
   DS12 </v>
      </c>
      <c r="K42" s="13"/>
      <c r="L42" s="13"/>
      <c r="M42" s="13"/>
      <c r="N42" s="13"/>
      <c r="O42" s="13"/>
      <c r="P42" s="33" t="str">
        <f ca="1">IF($A42="","",IFERROR(VLOOKUP($AE42,Definitions!$V:$W,COLUMNS(Definitions!$V:$W),TRUE),""))</f>
        <v>Basic</v>
      </c>
      <c r="Q42" s="13" t="s">
        <v>62</v>
      </c>
      <c r="R42" s="13"/>
      <c r="S42" s="13" t="str" cm="1">
        <f t="array" aca="1" ref="S42" ca="1">"If this assumption is assigned to AS22 in the "&amp;GetSheetName(Mitigation!$P$2)&amp;" sheet, then all attack paths with AS22 as attack preparation ignore IP-related damages."</f>
        <v>If this assumption is assigned to AS22 in the Mitigation sheet, then all attack paths with AS22 as attack preparation ignore IP-related damages.</v>
      </c>
      <c r="T42" s="10" cm="1">
        <f t="array" ref="T42">IF(ROW()=ROW($T$3)+1,0,INDEX($T:$T,ROW()-1))+IF($A42="",0,1)</f>
        <v>39</v>
      </c>
      <c r="U42" s="20" t="b">
        <f ca="1">OR(CheckRelevance(SanitizeInput(F42),Questionnaire!$I:$I),IFERROR(_xlfn.XMATCH("*,"&amp;$A42&amp;",*",Countermeasures!$AG:$AG,2)&gt;0,FALSE))</f>
        <v>0</v>
      </c>
      <c r="V42" s="20" t="b">
        <f>IFERROR(_xlfn.XMATCH("*,"&amp;$A42&amp;",*",Mitigation!$X:$X,2)&gt;0,FALSE)</f>
        <v>0</v>
      </c>
      <c r="W42" s="20" cm="1">
        <f t="array" aca="1" ref="W42" ca="1">CreateTaskID($W$3,$W:$W,Tasks!$B$17,$S42)</f>
        <v>0</v>
      </c>
      <c r="X42" s="20" t="str" cm="1">
        <f t="array" aca="1" ref="X42" ca="1">IF(OR($G42="",NOT($U42)),"",","&amp;SanitizeInput($G42))</f>
        <v/>
      </c>
      <c r="Y42" s="20" t="str" cm="1">
        <f t="array" ref="Y42">IF($G42="","",","&amp;SanitizeInput($G42))</f>
        <v>,AS22,</v>
      </c>
      <c r="Z42" s="20">
        <f>IF(K42="",0,VLOOKUP(K42,Definitions!$Z:$AA,COLUMNS(Definitions!$Z:$AA),FALSE))</f>
        <v>0</v>
      </c>
      <c r="AA42" s="20">
        <f>IF(L42="",0,VLOOKUP(L42,Definitions!$Z:$AA,COLUMNS(Definitions!$Z:$AA),FALSE))</f>
        <v>0</v>
      </c>
      <c r="AB42" s="20">
        <f>IF(M42="",0,VLOOKUP(M42,Definitions!$Z:$AA,COLUMNS(Definitions!$Z:$AA),FALSE))</f>
        <v>0</v>
      </c>
      <c r="AC42" s="20">
        <f>IF(N42="",0,VLOOKUP(N42,Definitions!$Z:$AA,COLUMNS(Definitions!$Z:$AA),FALSE))</f>
        <v>0</v>
      </c>
      <c r="AD42" s="20">
        <f>IF(O42="",0,VLOOKUP(O42,Definitions!$Z:$AA,COLUMNS(Definitions!$Z:$AA),FALSE))</f>
        <v>0</v>
      </c>
      <c r="AE42" s="20">
        <f t="shared" ca="1" si="0"/>
        <v>0</v>
      </c>
      <c r="AF42" s="20" t="str" cm="1">
        <f t="array" ref="AF42">SUBSTITUTE(IF($V42,IF($I42="","",","&amp;SanitizeInput($I42)),""),"&gt;",",")</f>
        <v/>
      </c>
      <c r="AG42" s="20" cm="1">
        <f t="array" aca="1" ref="AG42" ca="1">IF(ROW()=ROW($AG$3)+1,0,INDEX($AG:$AG,ROW()-1))+IF(OR($U42,$V42),1,0)</f>
        <v>5</v>
      </c>
      <c r="AH42" s="20" t="str" cm="1">
        <f t="array" aca="1" ref="AH42" ca="1">IF(OR($U42,$V42),IF($Q42="","",","&amp;SanitizeInput($Q42)),"")</f>
        <v/>
      </c>
      <c r="AI42" s="20" t="str">
        <f t="shared" si="1"/>
        <v>SDR 2.11 - The customer is trusted not to extract &lt;OEM name&gt; IP [&lt;OEM name&gt;]</v>
      </c>
      <c r="AJ42" s="20" t="str" cm="1">
        <f t="array" ref="AJ42">IF($F42="*","",InverseLookupList(SanitizeInput($F42),Questionnaire!$AA$3,Questionnaire!$A$3,Helper!$B$12,","))</f>
        <v/>
      </c>
      <c r="AK42" s="20" t="str" cm="1">
        <f t="array" ref="AK42">RemoveDelimiter(GetValues($AJ42,Questionnaire!$A:$G," ",CHAR(10)&amp;CHAR(10),TRUE),CHAR(10)&amp;CHAR(10))</f>
        <v/>
      </c>
      <c r="AL42" s="20" t="str" cm="1">
        <f t="array" ref="AL42">CreateSearchString($AJ42)</f>
        <v/>
      </c>
      <c r="AM42" s="20" t="str" cm="1">
        <f t="array" aca="1" ref="AM42" ca="1">InverseLookup($A42,Mitigation!$AD$2,Mitigation!$A$2,1,Helper!$B$5,",")</f>
        <v/>
      </c>
      <c r="AN42" s="20" t="str" cm="1">
        <f t="array" aca="1" ref="AN42" ca="1">CreateSearchString(GetValues($AM42,'Attack Steps'!$A:$O,"",",",FALSE))</f>
        <v/>
      </c>
      <c r="AO42" s="20" t="str">
        <f t="shared" si="2"/>
        <v>A39</v>
      </c>
    </row>
    <row r="43" spans="1:41" ht="105" x14ac:dyDescent="0.25">
      <c r="A43" s="10" t="s">
        <v>1478</v>
      </c>
      <c r="B43" s="13" t="s">
        <v>1592</v>
      </c>
      <c r="C43" s="13" t="s">
        <v>1479</v>
      </c>
      <c r="D43" s="13" t="s">
        <v>1593</v>
      </c>
      <c r="E43" s="13" t="str">
        <f>Definitions!$C$4</f>
        <v>&lt;OEM name&gt;</v>
      </c>
      <c r="F43" s="13"/>
      <c r="G43" s="13" t="s">
        <v>989</v>
      </c>
      <c r="H43" s="33" t="str" cm="1">
        <f t="array" aca="1" ref="H43" ca="1">LookupNames(SanitizeInput($G43),'Attack Steps'!$A:$B)</f>
        <v>AS35 Disrupting the product's communication with an external entity (with communication over the Internet or a mobile network)</v>
      </c>
      <c r="I43" s="13" t="s">
        <v>1480</v>
      </c>
      <c r="J43" s="37" t="str" cm="1">
        <f t="array" aca="1" ref="J43" ca="1">IF($I43="","",SUBSTITUTE(SUBSTITUTE(SUBSTITUTE(SUBSTITUTE(SUBSTITUTE(SUBSTITUTE(SUBSTITUTE(SUBSTITUTE(SUBSTITUTE(
GetTransformation(SanitizeInput($I43),'Damage Scenarios'!$A:$J,COLUMNS('Damage Scenarios'!$A:$J),CHAR(10),"[#0][#1][#2]")&amp;"§",
"[#1][#2]",""),
"[#2]",""),
"[#0][#1]","[#1]"),
"[#0]","Removes:"&amp;CHAR(10)),
"[#1]","Transforms:"&amp;CHAR(10)),
CHAR(10)&amp;"§",""),
"§",""),
CHAR(10),CHAR(10)&amp;"   "),
"   "&amp;"Transforms:","Transforms:"))</f>
        <v xml:space="preserve">Removes:
   DS6 
   DS7 
   DS8 </v>
      </c>
      <c r="K43" s="13"/>
      <c r="L43" s="13"/>
      <c r="M43" s="13"/>
      <c r="N43" s="13"/>
      <c r="O43" s="13"/>
      <c r="P43" s="33" t="str">
        <f ca="1">IF($A43="","",IFERROR(VLOOKUP($AE43,Definitions!$V:$W,COLUMNS(Definitions!$V:$W),TRUE),""))</f>
        <v>Basic</v>
      </c>
      <c r="Q43" s="13" t="s">
        <v>62</v>
      </c>
      <c r="R43" s="13"/>
      <c r="S43" s="13" t="s">
        <v>1481</v>
      </c>
      <c r="T43" s="10" cm="1">
        <f t="array" ref="T43">IF(ROW()=ROW($T$3)+1,0,INDEX($T:$T,ROW()-1))+IF($A43="",0,1)</f>
        <v>40</v>
      </c>
      <c r="U43" s="20" t="b">
        <f ca="1">OR(CheckRelevance(SanitizeInput(F43),Questionnaire!$I:$I),IFERROR(_xlfn.XMATCH("*,"&amp;$A43&amp;",*",Countermeasures!$AG:$AG,2)&gt;0,FALSE))</f>
        <v>0</v>
      </c>
      <c r="V43" s="20" t="b">
        <f>IFERROR(_xlfn.XMATCH("*,"&amp;$A43&amp;",*",Mitigation!$X:$X,2)&gt;0,FALSE)</f>
        <v>0</v>
      </c>
      <c r="W43" s="20" cm="1">
        <f t="array" aca="1" ref="W43" ca="1">CreateTaskID($W$3,$W:$W,Tasks!$B$17,$S43)</f>
        <v>0</v>
      </c>
      <c r="X43" s="20" t="str" cm="1">
        <f t="array" aca="1" ref="X43" ca="1">IF(OR($G43="",NOT($U43)),"",","&amp;SanitizeInput($G43))</f>
        <v/>
      </c>
      <c r="Y43" s="20" t="str" cm="1">
        <f t="array" ref="Y43">IF($G43="","",","&amp;SanitizeInput($G43))</f>
        <v>,AS35,</v>
      </c>
      <c r="Z43" s="20">
        <f>IF(K43="",0,VLOOKUP(K43,Definitions!$Z:$AA,COLUMNS(Definitions!$Z:$AA),FALSE))</f>
        <v>0</v>
      </c>
      <c r="AA43" s="20">
        <f>IF(L43="",0,VLOOKUP(L43,Definitions!$Z:$AA,COLUMNS(Definitions!$Z:$AA),FALSE))</f>
        <v>0</v>
      </c>
      <c r="AB43" s="20">
        <f>IF(M43="",0,VLOOKUP(M43,Definitions!$Z:$AA,COLUMNS(Definitions!$Z:$AA),FALSE))</f>
        <v>0</v>
      </c>
      <c r="AC43" s="20">
        <f>IF(N43="",0,VLOOKUP(N43,Definitions!$Z:$AA,COLUMNS(Definitions!$Z:$AA),FALSE))</f>
        <v>0</v>
      </c>
      <c r="AD43" s="20">
        <f>IF(O43="",0,VLOOKUP(O43,Definitions!$Z:$AA,COLUMNS(Definitions!$Z:$AA),FALSE))</f>
        <v>0</v>
      </c>
      <c r="AE43" s="20">
        <f t="shared" ca="1" si="0"/>
        <v>0</v>
      </c>
      <c r="AF43" s="20" t="str" cm="1">
        <f t="array" ref="AF43">SUBSTITUTE(IF($V43,IF($I43="","",","&amp;SanitizeInput($I43)),""),"&gt;",",")</f>
        <v/>
      </c>
      <c r="AG43" s="20" cm="1">
        <f t="array" aca="1" ref="AG43" ca="1">IF(ROW()=ROW($AG$3)+1,0,INDEX($AG:$AG,ROW()-1))+IF(OR($U43,$V43),1,0)</f>
        <v>5</v>
      </c>
      <c r="AH43" s="20" t="str" cm="1">
        <f t="array" aca="1" ref="AH43" ca="1">IF(OR($U43,$V43),IF($Q43="","",","&amp;SanitizeInput($Q43)),"")</f>
        <v/>
      </c>
      <c r="AI43" s="20" t="str">
        <f t="shared" si="1"/>
        <v>SDR 1.29 - Loss of external connectivity (Internet, mobile network) only leads to quality-related issues [&lt;OEM name&gt;]</v>
      </c>
      <c r="AJ43" s="20" t="str" cm="1">
        <f t="array" ref="AJ43">IF($F43="*","",InverseLookupList(SanitizeInput($F43),Questionnaire!$AA$3,Questionnaire!$A$3,Helper!$B$12,","))</f>
        <v/>
      </c>
      <c r="AK43" s="20" t="str" cm="1">
        <f t="array" ref="AK43">RemoveDelimiter(GetValues($AJ43,Questionnaire!$A:$G," ",CHAR(10)&amp;CHAR(10),TRUE),CHAR(10)&amp;CHAR(10))</f>
        <v/>
      </c>
      <c r="AL43" s="20" t="str" cm="1">
        <f t="array" ref="AL43">CreateSearchString($AJ43)</f>
        <v/>
      </c>
      <c r="AM43" s="20" t="str" cm="1">
        <f t="array" aca="1" ref="AM43" ca="1">InverseLookup($A43,Mitigation!$AD$2,Mitigation!$A$2,1,Helper!$B$5,",")</f>
        <v/>
      </c>
      <c r="AN43" s="20" t="str" cm="1">
        <f t="array" aca="1" ref="AN43" ca="1">CreateSearchString(GetValues($AM43,'Attack Steps'!$A:$O,"",",",FALSE))</f>
        <v/>
      </c>
      <c r="AO43" s="20" t="str">
        <f t="shared" si="2"/>
        <v>A41</v>
      </c>
    </row>
    <row r="44" spans="1:41" ht="45" x14ac:dyDescent="0.25">
      <c r="A44" s="10" t="s">
        <v>1534</v>
      </c>
      <c r="B44" s="13" t="s">
        <v>1535</v>
      </c>
      <c r="C44" s="13" t="s">
        <v>1541</v>
      </c>
      <c r="D44" s="13" t="s">
        <v>1536</v>
      </c>
      <c r="E44" s="13" t="str">
        <f>Definitions!$C$4</f>
        <v>&lt;OEM name&gt;</v>
      </c>
      <c r="F44" s="13" t="s">
        <v>1637</v>
      </c>
      <c r="G44" s="13"/>
      <c r="H44" s="33" t="str" cm="1">
        <f t="array" ref="H44">LookupNames(SanitizeInput($G44),'Attack Steps'!$A:$B)</f>
        <v/>
      </c>
      <c r="I44" s="13"/>
      <c r="J44" s="37" t="str" cm="1">
        <f t="array" ref="J44">IF($I44="","",SUBSTITUTE(SUBSTITUTE(SUBSTITUTE(SUBSTITUTE(SUBSTITUTE(SUBSTITUTE(SUBSTITUTE(SUBSTITUTE(SUBSTITUTE(
GetTransformation(SanitizeInput($I44),'Damage Scenarios'!$A:$J,COLUMNS('Damage Scenarios'!$A:$J),CHAR(10),"[#0][#1][#2]")&amp;"§",
"[#1][#2]",""),
"[#2]",""),
"[#0][#1]","[#1]"),
"[#0]","Removes:"&amp;CHAR(10)),
"[#1]","Transforms:"&amp;CHAR(10)),
CHAR(10)&amp;"§",""),
"§",""),
CHAR(10),CHAR(10)&amp;"   "),
"   "&amp;"Transforms:","Transforms:"))</f>
        <v/>
      </c>
      <c r="K44" s="13"/>
      <c r="L44" s="13"/>
      <c r="M44" s="13"/>
      <c r="N44" s="13"/>
      <c r="O44" s="13"/>
      <c r="P44" s="33" t="str">
        <f ca="1">IF($A44="","",IFERROR(VLOOKUP($AE44,Definitions!$V:$W,COLUMNS(Definitions!$V:$W),TRUE),""))</f>
        <v>Basic</v>
      </c>
      <c r="Q44" s="13" t="s">
        <v>62</v>
      </c>
      <c r="R44" s="13"/>
      <c r="S44" s="13" t="s">
        <v>1658</v>
      </c>
      <c r="T44" s="10" cm="1">
        <f t="array" ref="T44">IF(ROW()=ROW($T$3)+1,0,INDEX($T:$T,ROW()-1))+IF($A44="",0,1)</f>
        <v>41</v>
      </c>
      <c r="U44" s="20" t="b">
        <f ca="1">OR(CheckRelevance(SanitizeInput(F44),Questionnaire!$I:$I),IFERROR(_xlfn.XMATCH("*,"&amp;$A44&amp;",*",Countermeasures!$AG:$AG,2)&gt;0,FALSE))</f>
        <v>0</v>
      </c>
      <c r="V44" s="20" t="b">
        <f>IFERROR(_xlfn.XMATCH("*,"&amp;$A44&amp;",*",Mitigation!$X:$X,2)&gt;0,FALSE)</f>
        <v>0</v>
      </c>
      <c r="W44" s="20" cm="1">
        <f t="array" aca="1" ref="W44" ca="1">CreateTaskID($W$3,$W:$W,Tasks!$B$17,$S44)</f>
        <v>0</v>
      </c>
      <c r="X44" s="20" t="str" cm="1">
        <f t="array" aca="1" ref="X44" ca="1">IF(OR($G44="",NOT($U44)),"",","&amp;SanitizeInput($G44))</f>
        <v/>
      </c>
      <c r="Y44" s="20" t="str" cm="1">
        <f t="array" ref="Y44">IF($G44="","",","&amp;SanitizeInput($G44))</f>
        <v/>
      </c>
      <c r="Z44" s="20">
        <f>IF(K44="",0,VLOOKUP(K44,Definitions!$Z:$AA,COLUMNS(Definitions!$Z:$AA),FALSE))</f>
        <v>0</v>
      </c>
      <c r="AA44" s="20">
        <f>IF(L44="",0,VLOOKUP(L44,Definitions!$Z:$AA,COLUMNS(Definitions!$Z:$AA),FALSE))</f>
        <v>0</v>
      </c>
      <c r="AB44" s="20">
        <f>IF(M44="",0,VLOOKUP(M44,Definitions!$Z:$AA,COLUMNS(Definitions!$Z:$AA),FALSE))</f>
        <v>0</v>
      </c>
      <c r="AC44" s="20">
        <f>IF(N44="",0,VLOOKUP(N44,Definitions!$Z:$AA,COLUMNS(Definitions!$Z:$AA),FALSE))</f>
        <v>0</v>
      </c>
      <c r="AD44" s="20">
        <f>IF(O44="",0,VLOOKUP(O44,Definitions!$Z:$AA,COLUMNS(Definitions!$Z:$AA),FALSE))</f>
        <v>0</v>
      </c>
      <c r="AE44" s="20">
        <f t="shared" ca="1" si="0"/>
        <v>0</v>
      </c>
      <c r="AF44" s="20" t="str" cm="1">
        <f t="array" ref="AF44">SUBSTITUTE(IF($V44,IF($I44="","",","&amp;SanitizeInput($I44)),""),"&gt;",",")</f>
        <v/>
      </c>
      <c r="AG44" s="20" cm="1">
        <f t="array" aca="1" ref="AG44" ca="1">IF(ROW()=ROW($AG$3)+1,0,INDEX($AG:$AG,ROW()-1))+IF(OR($U44,$V44),1,0)</f>
        <v>5</v>
      </c>
      <c r="AH44" s="20" t="str" cm="1">
        <f t="array" aca="1" ref="AH44" ca="1">IF(OR($U44,$V44),IF($Q44="","",","&amp;SanitizeInput($Q44)),"")</f>
        <v/>
      </c>
      <c r="AI44" s="20" t="str">
        <f t="shared" si="1"/>
        <v>SDR 1.1 – List all network traffic [&lt;OEM name&gt;]</v>
      </c>
      <c r="AJ44" s="20" t="str" cm="1">
        <f t="array" aca="1" ref="AJ44" ca="1">IF($F44="*","",InverseLookupList(SanitizeInput($F44),Questionnaire!$AA$3,Questionnaire!$A$3,Helper!$B$12,","))</f>
        <v/>
      </c>
      <c r="AK44" s="20" t="str" cm="1">
        <f t="array" aca="1" ref="AK44" ca="1">RemoveDelimiter(GetValues($AJ44,Questionnaire!$A:$G," ",CHAR(10)&amp;CHAR(10),TRUE),CHAR(10)&amp;CHAR(10))</f>
        <v/>
      </c>
      <c r="AL44" s="20" t="str" cm="1">
        <f t="array" aca="1" ref="AL44" ca="1">CreateSearchString($AJ44)</f>
        <v/>
      </c>
      <c r="AM44" s="20" t="str" cm="1">
        <f t="array" aca="1" ref="AM44" ca="1">InverseLookup($A44,Mitigation!$AD$2,Mitigation!$A$2,1,Helper!$B$5,",")</f>
        <v/>
      </c>
      <c r="AN44" s="20" t="str" cm="1">
        <f t="array" aca="1" ref="AN44" ca="1">CreateSearchString(GetValues($AM44,'Attack Steps'!$A:$O,"",",",FALSE))</f>
        <v/>
      </c>
      <c r="AO44" s="20" t="str">
        <f t="shared" si="2"/>
        <v>A42</v>
      </c>
    </row>
    <row r="45" spans="1:41" ht="30" x14ac:dyDescent="0.25">
      <c r="A45" s="10" t="s">
        <v>1571</v>
      </c>
      <c r="B45" s="13" t="s">
        <v>1569</v>
      </c>
      <c r="C45" s="13" t="s">
        <v>1570</v>
      </c>
      <c r="D45" s="13" t="s">
        <v>1638</v>
      </c>
      <c r="E45" s="13" t="str">
        <f>Definitions!$C$4</f>
        <v>&lt;OEM name&gt;</v>
      </c>
      <c r="F45" s="13" t="s">
        <v>418</v>
      </c>
      <c r="G45" s="13"/>
      <c r="H45" s="33" t="str" cm="1">
        <f t="array" ref="H45">LookupNames(SanitizeInput($G45),'Attack Steps'!$A:$B)</f>
        <v/>
      </c>
      <c r="I45" s="13"/>
      <c r="J45" s="37" t="str" cm="1">
        <f t="array" ref="J45">IF($I45="","",SUBSTITUTE(SUBSTITUTE(SUBSTITUTE(SUBSTITUTE(SUBSTITUTE(SUBSTITUTE(SUBSTITUTE(SUBSTITUTE(SUBSTITUTE(
GetTransformation(SanitizeInput($I45),'Damage Scenarios'!$A:$J,COLUMNS('Damage Scenarios'!$A:$J),CHAR(10),"[#0][#1][#2]")&amp;"§",
"[#1][#2]",""),
"[#2]",""),
"[#0][#1]","[#1]"),
"[#0]","Removes:"&amp;CHAR(10)),
"[#1]","Transforms:"&amp;CHAR(10)),
CHAR(10)&amp;"§",""),
"§",""),
CHAR(10),CHAR(10)&amp;"   "),
"   "&amp;"Transforms:","Transforms:"))</f>
        <v/>
      </c>
      <c r="K45" s="13"/>
      <c r="L45" s="13"/>
      <c r="M45" s="13"/>
      <c r="N45" s="13"/>
      <c r="O45" s="13"/>
      <c r="P45" s="33" t="str">
        <f ca="1">IF($A45="","",IFERROR(VLOOKUP($AE45,Definitions!$V:$W,COLUMNS(Definitions!$V:$W),TRUE),""))</f>
        <v>Basic</v>
      </c>
      <c r="Q45" s="13" t="s">
        <v>62</v>
      </c>
      <c r="R45" s="13"/>
      <c r="S45" s="13"/>
      <c r="T45" s="10" cm="1">
        <f t="array" ref="T45">IF(ROW()=ROW($T$3)+1,0,INDEX($T:$T,ROW()-1))+IF($A45="",0,1)</f>
        <v>42</v>
      </c>
      <c r="U45" s="20" t="b">
        <f ca="1">OR(CheckRelevance(SanitizeInput(F45),Questionnaire!$I:$I),IFERROR(_xlfn.XMATCH("*,"&amp;$A45&amp;",*",Countermeasures!$AG:$AG,2)&gt;0,FALSE))</f>
        <v>1</v>
      </c>
      <c r="V45" s="20" t="b">
        <f>IFERROR(_xlfn.XMATCH("*,"&amp;$A45&amp;",*",Mitigation!$X:$X,2)&gt;0,FALSE)</f>
        <v>0</v>
      </c>
      <c r="W45" s="20" cm="1">
        <f t="array" aca="1" ref="W45" ca="1">CreateTaskID($W$3,$W:$W,Tasks!$B$17,$S45)</f>
        <v>0</v>
      </c>
      <c r="X45" s="20" t="str" cm="1">
        <f t="array" aca="1" ref="X45" ca="1">IF(OR($G45="",NOT($U45)),"",","&amp;SanitizeInput($G45))</f>
        <v/>
      </c>
      <c r="Y45" s="20" t="str" cm="1">
        <f t="array" ref="Y45">IF($G45="","",","&amp;SanitizeInput($G45))</f>
        <v/>
      </c>
      <c r="Z45" s="20">
        <f>IF(K45="",0,VLOOKUP(K45,Definitions!$Z:$AA,COLUMNS(Definitions!$Z:$AA),FALSE))</f>
        <v>0</v>
      </c>
      <c r="AA45" s="20">
        <f>IF(L45="",0,VLOOKUP(L45,Definitions!$Z:$AA,COLUMNS(Definitions!$Z:$AA),FALSE))</f>
        <v>0</v>
      </c>
      <c r="AB45" s="20">
        <f>IF(M45="",0,VLOOKUP(M45,Definitions!$Z:$AA,COLUMNS(Definitions!$Z:$AA),FALSE))</f>
        <v>0</v>
      </c>
      <c r="AC45" s="20">
        <f>IF(N45="",0,VLOOKUP(N45,Definitions!$Z:$AA,COLUMNS(Definitions!$Z:$AA),FALSE))</f>
        <v>0</v>
      </c>
      <c r="AD45" s="20">
        <f>IF(O45="",0,VLOOKUP(O45,Definitions!$Z:$AA,COLUMNS(Definitions!$Z:$AA),FALSE))</f>
        <v>0</v>
      </c>
      <c r="AE45" s="20">
        <f t="shared" ca="1" si="0"/>
        <v>0</v>
      </c>
      <c r="AF45" s="20" t="str" cm="1">
        <f t="array" ref="AF45">SUBSTITUTE(IF($V45,IF($I45="","",","&amp;SanitizeInput($I45)),""),"&gt;",",")</f>
        <v/>
      </c>
      <c r="AG45" s="20" cm="1">
        <f t="array" aca="1" ref="AG45" ca="1">IF(ROW()=ROW($AG$3)+1,0,INDEX($AG:$AG,ROW()-1))+IF(OR($U45,$V45),1,0)</f>
        <v>6</v>
      </c>
      <c r="AH45" s="20" t="str" cm="1">
        <f t="array" aca="1" ref="AH45" ca="1">IF(OR($U45,$V45),IF($Q45="","",","&amp;SanitizeInput($Q45)),"")</f>
        <v/>
      </c>
      <c r="AI45" s="20" t="str">
        <f t="shared" si="1"/>
        <v>SDR 1.17 - Sensing capabilities [&lt;OEM name&gt;]</v>
      </c>
      <c r="AJ45" s="20" t="str" cm="1">
        <f t="array" ref="AJ45">IF($F45="*","",InverseLookupList(SanitizeInput($F45),Questionnaire!$AA$3,Questionnaire!$A$3,Helper!$B$12,","))</f>
        <v/>
      </c>
      <c r="AK45" s="20" t="str" cm="1">
        <f t="array" ref="AK45">RemoveDelimiter(GetValues($AJ45,Questionnaire!$A:$G," ",CHAR(10)&amp;CHAR(10),TRUE),CHAR(10)&amp;CHAR(10))</f>
        <v/>
      </c>
      <c r="AL45" s="20" t="str" cm="1">
        <f t="array" ref="AL45">CreateSearchString($AJ45)</f>
        <v/>
      </c>
      <c r="AM45" s="20" t="str" cm="1">
        <f t="array" aca="1" ref="AM45" ca="1">InverseLookup($A45,Mitigation!$AD$2,Mitigation!$A$2,1,Helper!$B$5,",")</f>
        <v/>
      </c>
      <c r="AN45" s="20" t="str" cm="1">
        <f t="array" aca="1" ref="AN45" ca="1">CreateSearchString(GetValues($AM45,'Attack Steps'!$A:$O,"",",",FALSE))</f>
        <v/>
      </c>
      <c r="AO45" s="20" t="str">
        <f t="shared" si="2"/>
        <v>A43</v>
      </c>
    </row>
    <row r="46" spans="1:41" ht="72.75" x14ac:dyDescent="0.25">
      <c r="A46" s="10" t="s">
        <v>1694</v>
      </c>
      <c r="B46" s="13" t="s">
        <v>1695</v>
      </c>
      <c r="C46" s="13" t="s">
        <v>1696</v>
      </c>
      <c r="D46" s="13"/>
      <c r="E46" s="13" t="s">
        <v>372</v>
      </c>
      <c r="F46" s="13"/>
      <c r="G46" s="13" t="s">
        <v>201</v>
      </c>
      <c r="H46" s="33" t="str" cm="1">
        <f t="array" aca="1" ref="H46" ca="1">LookupNames(SanitizeInput($G46),'Attack Steps'!$A:$B)</f>
        <v>AS14 Disrupting the product's communication over the local network</v>
      </c>
      <c r="I46" s="13" t="s">
        <v>1697</v>
      </c>
      <c r="J46" s="37" t="str" cm="1">
        <f t="array" aca="1" ref="J46" ca="1">IF($I46="","",SUBSTITUTE(SUBSTITUTE(SUBSTITUTE(SUBSTITUTE(SUBSTITUTE(SUBSTITUTE(SUBSTITUTE(SUBSTITUTE(SUBSTITUTE(
GetTransformation(SanitizeInput($I46),'Damage Scenarios'!$A:$J,COLUMNS('Damage Scenarios'!$A:$J),CHAR(10),"[#0][#1][#2]")&amp;"§",
"[#1][#2]",""),
"[#2]",""),
"[#0][#1]","[#1]"),
"[#0]","Removes:"&amp;CHAR(10)),
"[#1]","Transforms:"&amp;CHAR(10)),
CHAR(10)&amp;"§",""),
"§",""),
CHAR(10),CHAR(10)&amp;"   "),
"   "&amp;"Transforms:","Transforms:"))</f>
        <v>Removes:
   DS7 
   DS9 
   DS17 Disturbance of function until restore
   DS18 Limited response of the product during DoS attack, recovery afterwards</v>
      </c>
      <c r="K46" s="13"/>
      <c r="L46" s="13"/>
      <c r="M46" s="13"/>
      <c r="N46" s="13"/>
      <c r="O46" s="13"/>
      <c r="P46" s="33" t="str">
        <f ca="1">IF($A46="","",IFERROR(VLOOKUP($AE46,Definitions!$V:$W,COLUMNS(Definitions!$V:$W),TRUE),""))</f>
        <v>Basic</v>
      </c>
      <c r="Q46" s="13"/>
      <c r="R46" s="13"/>
      <c r="S46" s="13"/>
      <c r="T46" s="10" cm="1">
        <f t="array" ref="T46">IF(ROW()=ROW($T$3)+1,0,INDEX($T:$T,ROW()-1))+IF($A46="",0,1)</f>
        <v>43</v>
      </c>
      <c r="U46" s="20" t="b">
        <f ca="1">OR(CheckRelevance(SanitizeInput(F46),Questionnaire!$I:$I),IFERROR(_xlfn.XMATCH("*,"&amp;$A46&amp;",*",Countermeasures!$AG:$AG,2)&gt;0,FALSE))</f>
        <v>0</v>
      </c>
      <c r="V46" s="20" t="b">
        <f>IFERROR(_xlfn.XMATCH("*,"&amp;$A46&amp;",*",Mitigation!$X:$X,2)&gt;0,FALSE)</f>
        <v>0</v>
      </c>
      <c r="W46" s="20" cm="1">
        <f t="array" aca="1" ref="W46" ca="1">CreateTaskID($W$3,$W:$W,Tasks!$B$17,$S46)</f>
        <v>0</v>
      </c>
      <c r="X46" s="20" t="str" cm="1">
        <f t="array" aca="1" ref="X46" ca="1">IF(OR($G46="",NOT($U46)),"",","&amp;SanitizeInput($G46))</f>
        <v/>
      </c>
      <c r="Y46" s="20" t="str" cm="1">
        <f t="array" ref="Y46">IF($G46="","",","&amp;SanitizeInput($G46))</f>
        <v>,AS14,</v>
      </c>
      <c r="Z46" s="20">
        <f>IF(K46="",0,VLOOKUP(K46,Definitions!$Z:$AA,COLUMNS(Definitions!$Z:$AA),FALSE))</f>
        <v>0</v>
      </c>
      <c r="AA46" s="20">
        <f>IF(L46="",0,VLOOKUP(L46,Definitions!$Z:$AA,COLUMNS(Definitions!$Z:$AA),FALSE))</f>
        <v>0</v>
      </c>
      <c r="AB46" s="20">
        <f>IF(M46="",0,VLOOKUP(M46,Definitions!$Z:$AA,COLUMNS(Definitions!$Z:$AA),FALSE))</f>
        <v>0</v>
      </c>
      <c r="AC46" s="20">
        <f>IF(N46="",0,VLOOKUP(N46,Definitions!$Z:$AA,COLUMNS(Definitions!$Z:$AA),FALSE))</f>
        <v>0</v>
      </c>
      <c r="AD46" s="20">
        <f>IF(O46="",0,VLOOKUP(O46,Definitions!$Z:$AA,COLUMNS(Definitions!$Z:$AA),FALSE))</f>
        <v>0</v>
      </c>
      <c r="AE46" s="20">
        <f ca="1">SUM(OFFSET($Z46,0,0,1,COLUMNS($Z:$AD)))</f>
        <v>0</v>
      </c>
      <c r="AF46" s="20" t="str" cm="1">
        <f t="array" ref="AF46">SUBSTITUTE(IF($V46,IF($I46="","",","&amp;SanitizeInput($I46)),""),"&gt;",",")</f>
        <v/>
      </c>
      <c r="AG46" s="20" cm="1">
        <f t="array" aca="1" ref="AG46" ca="1">IF(ROW()=ROW($AG$3)+1,0,INDEX($AG:$AG,ROW()-1))+IF(OR($U46,$V46),1,0)</f>
        <v>6</v>
      </c>
      <c r="AH46" s="20" t="str" cm="1">
        <f t="array" aca="1" ref="AH46" ca="1">IF(OR($U46,$V46),IF($Q46="","",","&amp;SanitizeInput($Q46)),"")</f>
        <v/>
      </c>
      <c r="AI46" s="20" t="str">
        <f>$B46&amp;" ["&amp;$E46&amp;"]"</f>
        <v>Network monitoring [Customer]</v>
      </c>
      <c r="AJ46" s="20" t="str" cm="1">
        <f t="array" ref="AJ46">IF($F46="*","",InverseLookupList(SanitizeInput($F46),Questionnaire!$AA$3,Questionnaire!$A$3,Helper!$B$12,","))</f>
        <v/>
      </c>
      <c r="AK46" s="20" t="str" cm="1">
        <f t="array" ref="AK46">RemoveDelimiter(GetValues($AJ46,Questionnaire!$A:$G," ",CHAR(10)&amp;CHAR(10),TRUE),CHAR(10)&amp;CHAR(10))</f>
        <v/>
      </c>
      <c r="AL46" s="20" t="str" cm="1">
        <f t="array" ref="AL46">CreateSearchString($AJ46)</f>
        <v/>
      </c>
      <c r="AM46" s="20" t="str" cm="1">
        <f t="array" aca="1" ref="AM46" ca="1">InverseLookup($A46,Mitigation!$AD$2,Mitigation!$A$2,1,Helper!$B$5,",")</f>
        <v/>
      </c>
      <c r="AN46" s="20" t="str" cm="1">
        <f t="array" aca="1" ref="AN46" ca="1">CreateSearchString(GetValues($AM46,'Attack Steps'!$A:$O,"",",",FALSE))</f>
        <v/>
      </c>
      <c r="AO46" s="20" t="str">
        <f>IF($A46="","",$A46)</f>
        <v>A44</v>
      </c>
    </row>
    <row r="47" spans="1:41" ht="60" x14ac:dyDescent="0.25">
      <c r="A47" s="10" t="s">
        <v>1702</v>
      </c>
      <c r="B47" s="13" t="s">
        <v>1703</v>
      </c>
      <c r="C47" s="13" t="s">
        <v>1704</v>
      </c>
      <c r="D47" s="13"/>
      <c r="E47" s="13" t="s">
        <v>372</v>
      </c>
      <c r="F47" s="13" t="s">
        <v>1706</v>
      </c>
      <c r="G47" s="13" t="s">
        <v>331</v>
      </c>
      <c r="H47" s="33" t="str" cm="1">
        <f t="array" aca="1" ref="H47" ca="1">LookupNames(SanitizeInput($G47),'Attack Steps'!$A:$B)</f>
        <v>AS21 Gaining physical access to the product (3rd party)</v>
      </c>
      <c r="I47" s="13"/>
      <c r="J47" s="37" t="str" cm="1">
        <f t="array" ref="J47">IF($I47="","",SUBSTITUTE(SUBSTITUTE(SUBSTITUTE(SUBSTITUTE(SUBSTITUTE(SUBSTITUTE(SUBSTITUTE(SUBSTITUTE(SUBSTITUTE(
GetTransformation(SanitizeInput($I47),'Damage Scenarios'!$A:$J,COLUMNS('Damage Scenarios'!$A:$J),CHAR(10),"[#0][#1][#2]")&amp;"§",
"[#1][#2]",""),
"[#2]",""),
"[#0][#1]","[#1]"),
"[#0]","Removes:"&amp;CHAR(10)),
"[#1]","Transforms:"&amp;CHAR(10)),
CHAR(10)&amp;"§",""),
"§",""),
CHAR(10),CHAR(10)&amp;"   "),
"   "&amp;"Transforms:","Transforms:"))</f>
        <v/>
      </c>
      <c r="K47" s="13"/>
      <c r="L47" s="13"/>
      <c r="M47" s="13"/>
      <c r="N47" s="13" t="s">
        <v>151</v>
      </c>
      <c r="O47" s="13"/>
      <c r="P47" s="33" t="str">
        <f ca="1">IF($A47="","",IFERROR(VLOOKUP($AE47,Definitions!$V:$W,COLUMNS(Definitions!$V:$W),TRUE),""))</f>
        <v>Beyond High</v>
      </c>
      <c r="Q47" s="13"/>
      <c r="R47" s="13"/>
      <c r="S47" s="13" t="s">
        <v>1705</v>
      </c>
      <c r="T47" s="10" cm="1">
        <f t="array" ref="T47">IF(ROW()=ROW($T$3)+1,0,INDEX($T:$T,ROW()-1))+IF($A47="",0,1)</f>
        <v>44</v>
      </c>
      <c r="U47" s="20" t="b">
        <f ca="1">OR(CheckRelevance(SanitizeInput(F47),Questionnaire!$I:$I),IFERROR(_xlfn.XMATCH("*,"&amp;$A47&amp;",*",Countermeasures!$AG:$AG,2)&gt;0,FALSE))</f>
        <v>0</v>
      </c>
      <c r="V47" s="20" t="b">
        <f>IFERROR(_xlfn.XMATCH("*,"&amp;$A47&amp;",*",Mitigation!$X:$X,2)&gt;0,FALSE)</f>
        <v>0</v>
      </c>
      <c r="W47" s="20" cm="1">
        <f t="array" aca="1" ref="W47" ca="1">CreateTaskID($W$3,$W:$W,Tasks!$B$17,$S47)</f>
        <v>0</v>
      </c>
      <c r="X47" s="20" t="str" cm="1">
        <f t="array" aca="1" ref="X47" ca="1">IF(OR($G47="",NOT($U47)),"",","&amp;SanitizeInput($G47))</f>
        <v/>
      </c>
      <c r="Y47" s="20" t="str" cm="1">
        <f t="array" ref="Y47">IF($G47="","",","&amp;SanitizeInput($G47))</f>
        <v>,AS21,</v>
      </c>
      <c r="Z47" s="20">
        <f>IF(K47="",0,VLOOKUP(K47,Definitions!$Z:$AA,COLUMNS(Definitions!$Z:$AA),FALSE))</f>
        <v>0</v>
      </c>
      <c r="AA47" s="20">
        <f>IF(L47="",0,VLOOKUP(L47,Definitions!$Z:$AA,COLUMNS(Definitions!$Z:$AA),FALSE))</f>
        <v>0</v>
      </c>
      <c r="AB47" s="20">
        <f>IF(M47="",0,VLOOKUP(M47,Definitions!$Z:$AA,COLUMNS(Definitions!$Z:$AA),FALSE))</f>
        <v>0</v>
      </c>
      <c r="AC47" s="20">
        <f>IF(N47="",0,VLOOKUP(N47,Definitions!$Z:$AA,COLUMNS(Definitions!$Z:$AA),FALSE))</f>
        <v>25</v>
      </c>
      <c r="AD47" s="20">
        <f>IF(O47="",0,VLOOKUP(O47,Definitions!$Z:$AA,COLUMNS(Definitions!$Z:$AA),FALSE))</f>
        <v>0</v>
      </c>
      <c r="AE47" s="20">
        <f ca="1">SUM(OFFSET($Z47,0,0,1,COLUMNS($Z:$AD)))</f>
        <v>25</v>
      </c>
      <c r="AF47" s="20" t="str" cm="1">
        <f t="array" ref="AF47">SUBSTITUTE(IF($V47,IF($I47="","",","&amp;SanitizeInput($I47)),""),"&gt;",",")</f>
        <v/>
      </c>
      <c r="AG47" s="20" cm="1">
        <f t="array" aca="1" ref="AG47" ca="1">IF(ROW()=ROW($AG$3)+1,0,INDEX($AG:$AG,ROW()-1))+IF(OR($U47,$V47),1,0)</f>
        <v>6</v>
      </c>
      <c r="AH47" s="20" t="str" cm="1">
        <f t="array" aca="1" ref="AH47" ca="1">IF(OR($U47,$V47),IF($Q47="","",","&amp;SanitizeInput($Q47)),"")</f>
        <v/>
      </c>
      <c r="AI47" s="20" t="str">
        <f>$B47&amp;" ["&amp;$E47&amp;"]"</f>
        <v>Physical tampering with the product not plausible [Customer]</v>
      </c>
      <c r="AJ47" s="20" t="str" cm="1">
        <f t="array" aca="1" ref="AJ47" ca="1">IF($F47="*","",InverseLookupList(SanitizeInput($F47),Questionnaire!$AA$3,Questionnaire!$A$3,Helper!$B$12,","))</f>
        <v/>
      </c>
      <c r="AK47" s="20" t="str" cm="1">
        <f t="array" aca="1" ref="AK47" ca="1">RemoveDelimiter(GetValues($AJ47,Questionnaire!$A:$G," ",CHAR(10)&amp;CHAR(10),TRUE),CHAR(10)&amp;CHAR(10))</f>
        <v/>
      </c>
      <c r="AL47" s="20" t="str" cm="1">
        <f t="array" aca="1" ref="AL47" ca="1">CreateSearchString($AJ47)</f>
        <v/>
      </c>
      <c r="AM47" s="20" t="str" cm="1">
        <f t="array" aca="1" ref="AM47" ca="1">InverseLookup($A47,Mitigation!$AD$2,Mitigation!$A$2,1,Helper!$B$5,",")</f>
        <v/>
      </c>
      <c r="AN47" s="20" t="str" cm="1">
        <f t="array" aca="1" ref="AN47" ca="1">CreateSearchString(GetValues($AM47,'Attack Steps'!$A:$O,"",",",FALSE))</f>
        <v/>
      </c>
      <c r="AO47" s="20" t="str">
        <f>IF($A47="","",$A47)</f>
        <v>A45</v>
      </c>
    </row>
  </sheetData>
  <phoneticPr fontId="4" type="noConversion"/>
  <conditionalFormatting sqref="A1 A3:A1048576">
    <cfRule type="expression" dxfId="61" priority="1">
      <formula>MATCH(A1,$A:$A,0)&lt;ROW(A1)</formula>
    </cfRule>
  </conditionalFormatting>
  <conditionalFormatting sqref="A1:R1 A3:R1048576">
    <cfRule type="expression" dxfId="60" priority="427">
      <formula>AND(ROW(A1)&gt;ROW($A$3),$U1&lt;&gt;TRUE)</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2" id="{5B6D9F6A-C04C-42F3-9C1D-BDD22AD58B2C}">
            <xm:f>IFERROR(FIND(Tasks!$B$17,S1)&gt;0,FALSE)</xm:f>
            <x14:dxf>
              <font>
                <b/>
                <i val="0"/>
                <color rgb="FF99FFCC"/>
              </font>
            </x14:dxf>
          </x14:cfRule>
          <xm:sqref>S1 S3:S1048576</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A3FB7985-1E19-4912-BD8C-15474024CC86}">
          <x14:formula1>
            <xm:f>Definitions!$AO$4:$AO$6</xm:f>
          </x14:formula1>
          <xm:sqref>E4:E47</xm:sqref>
        </x14:dataValidation>
        <x14:dataValidation type="list" allowBlank="1" showInputMessage="1" showErrorMessage="1" xr:uid="{6268F6A1-5251-4A5D-A357-C91641119137}">
          <x14:formula1>
            <xm:f>OFFSET(Definitions!$Z$2,MATCH(COLUMN()-COLUMN($K$3)+1,Definitions!$AB:$AB,0)-ROW(Definitions!$Z$2),0,COUNTIF(Definitions!$AB:$AB,COLUMN()-COLUMN($K$3)+1),1)</xm:f>
          </x14:formula1>
          <xm:sqref>K4:O47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5BC7C-4A6C-41ED-99E6-EADA5FDFD218}">
  <sheetPr>
    <tabColor theme="6"/>
  </sheetPr>
  <dimension ref="A1:AR66"/>
  <sheetViews>
    <sheetView zoomScaleNormal="100" workbookViewId="0">
      <pane xSplit="3" ySplit="2" topLeftCell="D3" activePane="bottomRight" state="frozen"/>
      <selection pane="topRight" activeCell="D1" sqref="D1"/>
      <selection pane="bottomLeft" activeCell="A3" sqref="A3"/>
      <selection pane="bottomRight" activeCell="A2" sqref="A2"/>
    </sheetView>
  </sheetViews>
  <sheetFormatPr defaultColWidth="9.140625" defaultRowHeight="15" outlineLevelCol="1" x14ac:dyDescent="0.25"/>
  <cols>
    <col min="1" max="1" width="9.140625" style="2"/>
    <col min="2" max="2" width="45.7109375" style="2" customWidth="1"/>
    <col min="3" max="3" width="60.7109375" style="2" customWidth="1"/>
    <col min="4" max="4" width="30.7109375" style="2" customWidth="1"/>
    <col min="5" max="5" width="17.42578125" style="2" customWidth="1"/>
    <col min="6" max="6" width="60.7109375" style="9" customWidth="1"/>
    <col min="7" max="7" width="10.7109375" style="2" customWidth="1"/>
    <col min="8" max="8" width="45.7109375" style="9" customWidth="1"/>
    <col min="9" max="9" width="15.7109375" style="2" customWidth="1"/>
    <col min="10" max="10" width="45.7109375" style="9" customWidth="1"/>
    <col min="11" max="15" width="25.7109375" style="2" customWidth="1" outlineLevel="1"/>
    <col min="16" max="16" width="15.7109375" style="2" customWidth="1" outlineLevel="1"/>
    <col min="17" max="17" width="30.140625" style="2" bestFit="1" customWidth="1" outlineLevel="1"/>
    <col min="18" max="18" width="20.7109375" style="2" customWidth="1" outlineLevel="1"/>
    <col min="19" max="19" width="60.7109375" style="2" customWidth="1"/>
    <col min="20" max="20" width="15.42578125" style="2" hidden="1" customWidth="1"/>
    <col min="21" max="21" width="21.28515625" style="2" hidden="1" customWidth="1"/>
    <col min="22" max="22" width="26.140625" style="2" hidden="1" customWidth="1"/>
    <col min="23" max="23" width="9.140625" style="2" hidden="1" customWidth="1"/>
    <col min="24" max="24" width="19.85546875" style="2" hidden="1" customWidth="1"/>
    <col min="25" max="30" width="9.140625" style="2" hidden="1" customWidth="1"/>
    <col min="31" max="31" width="21" style="2" hidden="1" customWidth="1"/>
    <col min="32" max="32" width="42.7109375" style="2" hidden="1" customWidth="1"/>
    <col min="33" max="33" width="29" style="2" hidden="1" customWidth="1"/>
    <col min="34" max="34" width="33.140625" style="2" hidden="1" customWidth="1"/>
    <col min="35" max="35" width="26.85546875" style="2" hidden="1" customWidth="1"/>
    <col min="36" max="36" width="38.42578125" style="2" hidden="1" customWidth="1"/>
    <col min="37" max="38" width="25.7109375" style="2" hidden="1" customWidth="1"/>
    <col min="39" max="39" width="22.7109375" style="2" hidden="1" customWidth="1"/>
    <col min="40" max="40" width="39.7109375" style="2" hidden="1" customWidth="1"/>
    <col min="41" max="41" width="26" style="2" hidden="1" customWidth="1"/>
    <col min="42" max="42" width="23.28515625" style="2" hidden="1" customWidth="1"/>
    <col min="43" max="43" width="47" style="2" hidden="1" customWidth="1"/>
    <col min="44" max="44" width="27" style="2" hidden="1" customWidth="1"/>
    <col min="45" max="16384" width="9.140625" style="2"/>
  </cols>
  <sheetData>
    <row r="1" spans="1:44" s="115" customFormat="1" x14ac:dyDescent="0.25">
      <c r="A1" s="115"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HYPERLINK("#'"&amp;Helper!$G$2&amp;"'!"&amp;CHAR(CODE("A")+COLUMN(_xlpm._columnNameHeader)-1)&amp;_xlpm._entryOffset,Definitions!$AY$4)))(Helper!$G$8,A$2,README!$E:$E,README!$I$36,README!$B$36)</f>
        <v>◈</v>
      </c>
      <c r="B1" s="115"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HYPERLINK("#'"&amp;Helper!$G$2&amp;"'!"&amp;CHAR(CODE("A")+COLUMN(_xlpm._columnNameHeader)-1)&amp;_xlpm._entryOffset,Definitions!$AY$4)))(Helper!$G$8,B$2,README!$E:$E,README!$I$36,README!$B$36)</f>
        <v>◈</v>
      </c>
      <c r="C1" s="115"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HYPERLINK("#'"&amp;Helper!$G$2&amp;"'!"&amp;CHAR(CODE("A")+COLUMN(_xlpm._columnNameHeader)-1)&amp;_xlpm._entryOffset,Definitions!$AY$4)))(Helper!$G$8,C$2,README!$E:$E,README!$I$36,README!$B$36)</f>
        <v>◈</v>
      </c>
      <c r="D1" s="115"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HYPERLINK("#'"&amp;Helper!$G$2&amp;"'!"&amp;CHAR(CODE("A")+COLUMN(_xlpm._columnNameHeader)-1)&amp;_xlpm._entryOffset,Definitions!$AY$4)))(Helper!$G$8,D$2,README!$E:$E,README!$I$36,README!$B$36)</f>
        <v>◈</v>
      </c>
      <c r="E1" s="115"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HYPERLINK("#'"&amp;Helper!$G$2&amp;"'!"&amp;CHAR(CODE("A")+COLUMN(_xlpm._columnNameHeader)-1)&amp;_xlpm._entryOffset,Definitions!$AY$4)))(Helper!$G$8,E$2,README!$E:$E,README!$I$36,README!$B$36)</f>
        <v>◈</v>
      </c>
      <c r="F1" s="115"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HYPERLINK("#'"&amp;Helper!$G$2&amp;"'!"&amp;CHAR(CODE("A")+COLUMN(_xlpm._columnNameHeader)-1)&amp;_xlpm._entryOffset,Definitions!$AY$4)))(Helper!$G$8,F$2,README!$E:$E,README!$I$36,README!$B$36)</f>
        <v>◈</v>
      </c>
      <c r="G1" s="115"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HYPERLINK("#'"&amp;Helper!$G$2&amp;"'!"&amp;CHAR(CODE("A")+COLUMN(_xlpm._columnNameHeader)-1)&amp;_xlpm._entryOffset,Definitions!$AY$4)))(Helper!$G$8,G$2,README!$E:$E,README!$I$36,README!$B$36)</f>
        <v>◈</v>
      </c>
      <c r="H1" s="115"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HYPERLINK("#'"&amp;Helper!$G$2&amp;"'!"&amp;CHAR(CODE("A")+COLUMN(_xlpm._columnNameHeader)-1)&amp;_xlpm._entryOffset,Definitions!$AY$4)))(Helper!$G$8,H$2,README!$E:$E,README!$I$36,README!$B$36)</f>
        <v>◈</v>
      </c>
      <c r="I1" s="115"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HYPERLINK("#'"&amp;Helper!$G$2&amp;"'!"&amp;CHAR(CODE("A")+COLUMN(_xlpm._columnNameHeader)-1)&amp;_xlpm._entryOffset,Definitions!$AY$4)))(Helper!$G$8,I$2,README!$E:$E,README!$I$36,README!$B$36)</f>
        <v>◈</v>
      </c>
      <c r="J1" s="115"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HYPERLINK("#'"&amp;Helper!$G$2&amp;"'!"&amp;CHAR(CODE("A")+COLUMN(_xlpm._columnNameHeader)-1)&amp;_xlpm._entryOffset,Definitions!$AY$4)))(Helper!$G$8,J$2,README!$E:$E,README!$I$36,README!$B$36)</f>
        <v>◈</v>
      </c>
      <c r="K1" s="115"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HYPERLINK("#'"&amp;Helper!$G$2&amp;"'!"&amp;CHAR(CODE("A")+COLUMN(_xlpm._columnNameHeader)-1)&amp;_xlpm._entryOffset,Definitions!$AY$4)))(Helper!$G$8,K$2,README!$E:$E,README!$I$36,README!$B$36)</f>
        <v>◈</v>
      </c>
      <c r="L1" s="115"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HYPERLINK("#'"&amp;Helper!$G$2&amp;"'!"&amp;CHAR(CODE("A")+COLUMN(_xlpm._columnNameHeader)-1)&amp;_xlpm._entryOffset,Definitions!$AY$4)))(Helper!$G$8,L$2,README!$E:$E,README!$I$36,README!$B$36)</f>
        <v>◈</v>
      </c>
      <c r="M1" s="115"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HYPERLINK("#'"&amp;Helper!$G$2&amp;"'!"&amp;CHAR(CODE("A")+COLUMN(_xlpm._columnNameHeader)-1)&amp;_xlpm._entryOffset,Definitions!$AY$4)))(Helper!$G$8,M$2,README!$E:$E,README!$I$36,README!$B$36)</f>
        <v>◈</v>
      </c>
      <c r="N1" s="115"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HYPERLINK("#'"&amp;Helper!$G$2&amp;"'!"&amp;CHAR(CODE("A")+COLUMN(_xlpm._columnNameHeader)-1)&amp;_xlpm._entryOffset,Definitions!$AY$4)))(Helper!$G$8,N$2,README!$E:$E,README!$I$36,README!$B$36)</f>
        <v>◈</v>
      </c>
      <c r="O1" s="115"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HYPERLINK("#'"&amp;Helper!$G$2&amp;"'!"&amp;CHAR(CODE("A")+COLUMN(_xlpm._columnNameHeader)-1)&amp;_xlpm._entryOffset,Definitions!$AY$4)))(Helper!$G$8,O$2,README!$E:$E,README!$I$36,README!$B$36)</f>
        <v>◈</v>
      </c>
      <c r="P1" s="115" t="str" cm="1">
        <f t="array" aca="1" ref="P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HYPERLINK("#'"&amp;Helper!$G$2&amp;"'!"&amp;CHAR(CODE("A")+COLUMN(_xlpm._columnNameHeader)-1)&amp;_xlpm._entryOffset,Definitions!$AY$4)))(Helper!$G$8,P$2,README!$E:$E,README!$I$36,README!$B$36)</f>
        <v>◈</v>
      </c>
      <c r="Q1" s="115" t="str" cm="1">
        <f t="array" aca="1" ref="Q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HYPERLINK("#'"&amp;Helper!$G$2&amp;"'!"&amp;CHAR(CODE("A")+COLUMN(_xlpm._columnNameHeader)-1)&amp;_xlpm._entryOffset,Definitions!$AY$4)))(Helper!$G$8,Q$2,README!$E:$E,README!$I$36,README!$B$36)</f>
        <v>◈</v>
      </c>
      <c r="R1" s="115" t="str" cm="1">
        <f t="array" aca="1" ref="R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HYPERLINK("#'"&amp;Helper!$G$2&amp;"'!"&amp;CHAR(CODE("A")+COLUMN(_xlpm._columnNameHeader)-1)&amp;_xlpm._entryOffset,Definitions!$AY$4)))(Helper!$G$8,R$2,README!$E:$E,README!$I$36,README!$B$36)</f>
        <v>◈</v>
      </c>
      <c r="S1" s="115" t="str" cm="1">
        <f t="array" aca="1" ref="S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HYPERLINK("#'"&amp;Helper!$G$2&amp;"'!"&amp;CHAR(CODE("A")+COLUMN(_xlpm._columnNameHeader)-1)&amp;_xlpm._entryOffset,Definitions!$AY$4)))(Helper!$G$8,S$2,README!$E:$E,README!$I$36,README!$B$36)</f>
        <v>◈</v>
      </c>
    </row>
    <row r="2" spans="1:44" x14ac:dyDescent="0.25">
      <c r="A2" s="10" t="s">
        <v>53</v>
      </c>
      <c r="B2" s="10" t="s">
        <v>274</v>
      </c>
      <c r="C2" s="10" t="s">
        <v>218</v>
      </c>
      <c r="D2" s="10" t="s">
        <v>119</v>
      </c>
      <c r="E2" s="10" t="s">
        <v>966</v>
      </c>
      <c r="F2" s="15" t="s">
        <v>965</v>
      </c>
      <c r="G2" s="10" t="s">
        <v>416</v>
      </c>
      <c r="H2" s="15" t="s">
        <v>417</v>
      </c>
      <c r="I2" s="10" t="s">
        <v>424</v>
      </c>
      <c r="J2" s="15" t="s">
        <v>425</v>
      </c>
      <c r="K2" s="10" t="s">
        <v>131</v>
      </c>
      <c r="L2" s="10" t="s">
        <v>138</v>
      </c>
      <c r="M2" s="10" t="s">
        <v>143</v>
      </c>
      <c r="N2" s="10" t="s">
        <v>147</v>
      </c>
      <c r="O2" s="10" t="s">
        <v>152</v>
      </c>
      <c r="P2" s="15" t="s">
        <v>188</v>
      </c>
      <c r="Q2" s="10" t="s">
        <v>1630</v>
      </c>
      <c r="R2" s="10" t="s">
        <v>1715</v>
      </c>
      <c r="S2" s="10" t="s">
        <v>3</v>
      </c>
      <c r="T2" s="10" t="s">
        <v>54</v>
      </c>
      <c r="U2" s="10" t="s">
        <v>437</v>
      </c>
      <c r="V2" s="10" t="s">
        <v>438</v>
      </c>
      <c r="W2" s="10" t="s">
        <v>230</v>
      </c>
      <c r="X2" s="10" t="s">
        <v>283</v>
      </c>
      <c r="Y2" s="10" t="s">
        <v>44</v>
      </c>
      <c r="Z2" s="10" t="s">
        <v>45</v>
      </c>
      <c r="AA2" s="10" t="s">
        <v>46</v>
      </c>
      <c r="AB2" s="10" t="s">
        <v>47</v>
      </c>
      <c r="AC2" s="10" t="s">
        <v>48</v>
      </c>
      <c r="AD2" s="10" t="s">
        <v>78</v>
      </c>
      <c r="AE2" s="10" t="s">
        <v>486</v>
      </c>
      <c r="AF2" s="10" t="s">
        <v>485</v>
      </c>
      <c r="AG2" s="10" t="s">
        <v>430</v>
      </c>
      <c r="AH2" s="10" t="s">
        <v>436</v>
      </c>
      <c r="AI2" s="10" t="s">
        <v>484</v>
      </c>
      <c r="AJ2" s="10" t="s">
        <v>638</v>
      </c>
      <c r="AK2" s="10" t="s">
        <v>652</v>
      </c>
      <c r="AL2" s="10" t="s">
        <v>1664</v>
      </c>
      <c r="AM2" s="10" t="s">
        <v>703</v>
      </c>
      <c r="AN2" s="10" t="s">
        <v>690</v>
      </c>
      <c r="AO2" s="10" t="s">
        <v>704</v>
      </c>
      <c r="AP2" s="10" t="s">
        <v>718</v>
      </c>
      <c r="AQ2" s="10" t="s">
        <v>719</v>
      </c>
      <c r="AR2" s="10" t="s">
        <v>1428</v>
      </c>
    </row>
    <row r="3" spans="1:44" x14ac:dyDescent="0.25">
      <c r="A3" s="10" t="s">
        <v>1774</v>
      </c>
      <c r="B3" s="13" t="s">
        <v>1773</v>
      </c>
      <c r="C3" s="13" t="s">
        <v>1746</v>
      </c>
      <c r="D3" s="13" t="s">
        <v>418</v>
      </c>
      <c r="E3" s="13"/>
      <c r="F3" s="16" t="str" cm="1">
        <f t="array" ref="F3">LookupNames(SanitizeInput($E3),'Attack Steps'!$A:$B)</f>
        <v/>
      </c>
      <c r="G3" s="13"/>
      <c r="H3" s="16" t="str" cm="1">
        <f t="array" ref="H3">RemoveDelimiter(GetValuesWithFallback(SanitizeInput($G3),$A:$B,Assumptions!$A:$B," ",","&amp;CHAR(10),TRUE),","&amp;CHAR(10))</f>
        <v/>
      </c>
      <c r="I3" s="13"/>
      <c r="J3" s="36" t="str" cm="1">
        <f t="array" ref="J3">IF($I3="","",SUBSTITUTE(SUBSTITUTE(SUBSTITUTE(SUBSTITUTE(SUBSTITUTE(SUBSTITUTE(SUBSTITUTE(SUBSTITUTE(SUBSTITUTE(
GetTransformation(SanitizeInput($I3),'Damage Scenarios'!$A:$J,COLUMNS('Damage Scenarios'!$A:$J),CHAR(10),"[#0][#1][#2]")&amp;"§",
"[#1][#2]",""),
"[#2]",""),
"[#0][#1]","[#1]"),
"[#0]","Removes:"&amp;CHAR(10)),
"[#1]","Transforms:"&amp;CHAR(10)),
CHAR(10)&amp;"§",""),
"§",""),
CHAR(10),CHAR(10)&amp;"   "),
"   "&amp;"Transforms:","Transforms:"))</f>
        <v/>
      </c>
      <c r="K3" s="13"/>
      <c r="L3" s="13"/>
      <c r="M3" s="13"/>
      <c r="N3" s="13"/>
      <c r="O3" s="13"/>
      <c r="P3" s="16" t="str">
        <f ca="1">IF($A3="","",IFERROR(VLOOKUP($AD3,Definitions!$V:$W,COLUMNS(Definitions!$V:$W),TRUE),""))</f>
        <v>Basic</v>
      </c>
      <c r="Q3" s="13" t="s">
        <v>62</v>
      </c>
      <c r="R3" s="13"/>
      <c r="S3" s="13"/>
      <c r="T3" s="10" cm="1">
        <f t="array" ref="T3">IF(ROW()=ROW($T$2)+1,0,INDEX($T:$T,ROW()-1))+IF($A3="",0,1)</f>
        <v>1</v>
      </c>
      <c r="U3" s="14" t="b" cm="1">
        <f t="array" ref="U3">CheckRelevance(SanitizeInput(E3),Questionnaire!$I:$I)</f>
        <v>0</v>
      </c>
      <c r="V3" s="14" t="b">
        <f>IFERROR(_xlfn.XMATCH("*,"&amp;$A3&amp;",*",Mitigation!$X:$X,2)&gt;0,FALSE)</f>
        <v>0</v>
      </c>
      <c r="W3" s="14" cm="1">
        <f t="array" ref="W3">CreateTaskID($W$2,$W:$W,Tasks!$B$17,$S3)</f>
        <v>0</v>
      </c>
      <c r="X3" s="14" t="str" cm="1">
        <f t="array" ref="X3">IF($E3="","",","&amp;SanitizeInput($E3))</f>
        <v/>
      </c>
      <c r="Y3" s="20">
        <f>IF(K3="",0,VLOOKUP(K3,Definitions!$Z:$AA,COLUMNS(Definitions!$Z:$AA),FALSE))</f>
        <v>0</v>
      </c>
      <c r="Z3" s="20">
        <f>IF(L3="",0,VLOOKUP(L3,Definitions!$Z:$AA,COLUMNS(Definitions!$Z:$AA),FALSE))</f>
        <v>0</v>
      </c>
      <c r="AA3" s="20">
        <f>IF(M3="",0,VLOOKUP(M3,Definitions!$Z:$AA,COLUMNS(Definitions!$Z:$AA),FALSE))</f>
        <v>0</v>
      </c>
      <c r="AB3" s="20">
        <f>IF(N3="",0,VLOOKUP(N3,Definitions!$Z:$AA,COLUMNS(Definitions!$Z:$AA),FALSE))</f>
        <v>0</v>
      </c>
      <c r="AC3" s="20">
        <f>IF(O3="",0,VLOOKUP(O3,Definitions!$Z:$AA,COLUMNS(Definitions!$Z:$AA),FALSE))</f>
        <v>0</v>
      </c>
      <c r="AD3" s="20">
        <f t="shared" ref="AD3:AD34" ca="1" si="0">SUM(OFFSET($Y3,0,0,1,COLUMNS($Y:$AC)))</f>
        <v>0</v>
      </c>
      <c r="AE3" s="20" t="str" cm="1">
        <f t="array" ref="AE3">IF($G3="","",","&amp;SanitizeInput($G3))</f>
        <v/>
      </c>
      <c r="AF3" s="20" t="b" cm="1">
        <f t="array" aca="1" ref="AF3" ca="1">OR($AK3,_xlfn.LAMBDA(_xlpm._ownID,_xlpm._searchHeader,_xlpm._resultHeader,_xlpm._elementCount,_xlpm._delimiter,_xlpm._activeInTreatmentRange,_xlpm._activeByAnswersRange,_xlpm._dependencies,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InverseLookup(_xlpm._ownID,_xlpm._searchHeader,_xlpm._resultHeader,1,_xlpm._elementCount,_xlpm._delimiter))))))($A3,$AE$2,$A$2,Helper!$B$4,",",$A:$V,$A:$AK,InverseLookup($A3,$AE$2,$A$2,1,Helper!$B$4,",")))</f>
        <v>1</v>
      </c>
      <c r="AG3" s="20" t="str" cm="1">
        <f t="array" aca="1" ref="AG3" ca="1">IF(OR($V3,$AF3,$AK3),IF($G3="","",","&amp;SanitizeInput($G3)),"")</f>
        <v/>
      </c>
      <c r="AH3" s="20" t="str" cm="1">
        <f t="array" ref="AH3">SUBSTITUTE(IF($V3,IF($I3="","",","&amp;SanitizeInput($I3)),""),"&gt;",",")</f>
        <v/>
      </c>
      <c r="AI3" s="20" cm="1">
        <f t="array" aca="1" ref="AI3" ca="1">IF(ROW()=ROW($AI$2)+1,0,INDEX($AI:$AI,ROW()-1))+IF($AF3,1,0)</f>
        <v>1</v>
      </c>
      <c r="AJ3" s="20" t="str" cm="1">
        <f t="array" aca="1" ref="AJ3" ca="1">IF($AF3,IF($Q3="","",","&amp;SanitizeInput($Q3)),"")</f>
        <v/>
      </c>
      <c r="AK3" s="20" t="b">
        <f>OR(CheckRelevance(SanitizeInput($D3),Questionnaire!$I:$I),CheckRelevance(SanitizeInput($D3),Questionnaire!$J:$J))</f>
        <v>1</v>
      </c>
      <c r="AL3" s="20" t="str" cm="1">
        <f t="array" ref="AL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FilterPreconditionCandidates(RemoveFirstElement(_xlpm._preconditionCandidates),_xlpm._searchColumn,_xlpm._delimiter))))(SanitizeInput($D3),Questionnaire!$AA:$AA,",")</f>
        <v>*,</v>
      </c>
      <c r="AM3" s="20" t="str" cm="1">
        <f t="array" ref="AM3">IF($D3="*","",InverseLookupList($AL3,Questionnaire!$AA$3,Questionnaire!$A$3,Helper!$B$12,","))</f>
        <v/>
      </c>
      <c r="AN3" s="20" t="str" cm="1">
        <f t="array" ref="AN3">RemoveDelimiter(GetValues($AM3,Questionnaire!$A:$G," ",CHAR(10)&amp;CHAR(10),TRUE),CHAR(10)&amp;CHAR(10))</f>
        <v/>
      </c>
      <c r="AO3" s="20" t="str" cm="1">
        <f t="array" ref="AO3">CreateSearchString($AM3)</f>
        <v/>
      </c>
      <c r="AP3" s="20" t="str" cm="1">
        <f t="array" aca="1" ref="AP3" ca="1">InverseLookup($A3,Mitigation!$AD$2,Mitigation!$A$2,1,Helper!$B$5,",")</f>
        <v/>
      </c>
      <c r="AQ3" s="20" t="str" cm="1">
        <f t="array" aca="1" ref="AQ3" ca="1">CreateSearchString(GetValues($AP3,'Attack Steps'!$A:$O,"",",",FALSE))</f>
        <v/>
      </c>
      <c r="AR3" s="20" t="str">
        <f t="shared" ref="AR3:AR32" si="1">IF($A3="","",$A3)</f>
        <v>C0</v>
      </c>
    </row>
    <row r="4" spans="1:44" x14ac:dyDescent="0.25">
      <c r="A4" s="10" t="s">
        <v>275</v>
      </c>
      <c r="B4" s="13" t="s">
        <v>726</v>
      </c>
      <c r="C4" s="13" t="s">
        <v>1775</v>
      </c>
      <c r="D4" s="13"/>
      <c r="E4" s="13"/>
      <c r="F4" s="33" t="str" cm="1">
        <f t="array" ref="F4">LookupNames(SanitizeInput($E4),'Attack Steps'!$A:$B)</f>
        <v/>
      </c>
      <c r="G4" s="23"/>
      <c r="H4" s="33" t="str" cm="1">
        <f t="array" ref="H4">RemoveDelimiter(GetValuesWithFallback(SanitizeInput($G4),$A:$B,Assumptions!$A:$B," ",","&amp;CHAR(10),TRUE),","&amp;CHAR(10))</f>
        <v/>
      </c>
      <c r="I4" s="23"/>
      <c r="J4" s="37" t="str" cm="1">
        <f t="array" ref="J4">IF($I4="","",SUBSTITUTE(SUBSTITUTE(SUBSTITUTE(SUBSTITUTE(SUBSTITUTE(SUBSTITUTE(SUBSTITUTE(SUBSTITUTE(SUBSTITUTE(
GetTransformation(SanitizeInput($I4),'Damage Scenarios'!$A:$J,COLUMNS('Damage Scenarios'!$A:$J),CHAR(10),"[#0][#1][#2]")&amp;"§",
"[#1][#2]",""),
"[#2]",""),
"[#0][#1]","[#1]"),
"[#0]","Removes:"&amp;CHAR(10)),
"[#1]","Transforms:"&amp;CHAR(10)),
CHAR(10)&amp;"§",""),
"§",""),
CHAR(10),CHAR(10)&amp;"   "),
"   "&amp;"Transforms:","Transforms:"))</f>
        <v/>
      </c>
      <c r="K4" s="13"/>
      <c r="L4" s="13"/>
      <c r="M4" s="13"/>
      <c r="N4" s="13"/>
      <c r="O4" s="13"/>
      <c r="P4" s="33" t="str">
        <f ca="1">IF($A4="","",IFERROR(VLOOKUP($AD4,Definitions!$V:$W,COLUMNS(Definitions!$V:$W),TRUE),""))</f>
        <v>Basic</v>
      </c>
      <c r="Q4" s="23" t="s">
        <v>603</v>
      </c>
      <c r="R4" s="23"/>
      <c r="S4" s="13"/>
      <c r="T4" s="10" cm="1">
        <f t="array" ref="T4">IF(ROW()=ROW($T$2)+1,0,INDEX($T:$T,ROW()-1))+IF($A4="",0,1)</f>
        <v>2</v>
      </c>
      <c r="U4" s="20" t="b" cm="1">
        <f t="array" ref="U4">CheckRelevance(SanitizeInput(E4),Questionnaire!$I:$I)</f>
        <v>0</v>
      </c>
      <c r="V4" s="20" t="b">
        <f>IFERROR(_xlfn.XMATCH("*,"&amp;$A4&amp;",*",Mitigation!$X:$X,2)&gt;0,FALSE)</f>
        <v>0</v>
      </c>
      <c r="W4" s="20" cm="1">
        <f t="array" ref="W4">CreateTaskID($W$2,$W:$W,Tasks!$B$17,$S4)</f>
        <v>0</v>
      </c>
      <c r="X4" s="20" t="str" cm="1">
        <f t="array" ref="X4">IF($E4="","",","&amp;SanitizeInput($E4))</f>
        <v/>
      </c>
      <c r="Y4" s="20">
        <f>IF(K4="",0,VLOOKUP(K4,Definitions!$Z:$AA,COLUMNS(Definitions!$Z:$AA),FALSE))</f>
        <v>0</v>
      </c>
      <c r="Z4" s="20">
        <f>IF(L4="",0,VLOOKUP(L4,Definitions!$Z:$AA,COLUMNS(Definitions!$Z:$AA),FALSE))</f>
        <v>0</v>
      </c>
      <c r="AA4" s="20">
        <f>IF(M4="",0,VLOOKUP(M4,Definitions!$Z:$AA,COLUMNS(Definitions!$Z:$AA),FALSE))</f>
        <v>0</v>
      </c>
      <c r="AB4" s="20">
        <f>IF(N4="",0,VLOOKUP(N4,Definitions!$Z:$AA,COLUMNS(Definitions!$Z:$AA),FALSE))</f>
        <v>0</v>
      </c>
      <c r="AC4" s="20">
        <f>IF(O4="",0,VLOOKUP(O4,Definitions!$Z:$AA,COLUMNS(Definitions!$Z:$AA),FALSE))</f>
        <v>0</v>
      </c>
      <c r="AD4" s="20">
        <f t="shared" ca="1" si="0"/>
        <v>0</v>
      </c>
      <c r="AE4" s="20" t="str" cm="1">
        <f t="array" ref="AE4">IF($G4="","",","&amp;SanitizeInput($G4))</f>
        <v/>
      </c>
      <c r="AF4" s="20" t="b" cm="1">
        <f t="array" aca="1" ref="AF4" ca="1">OR($AK4,_xlfn.LAMBDA(_xlpm._ownID,_xlpm._searchHeader,_xlpm._resultHeader,_xlpm._elementCount,_xlpm._delimiter,_xlpm._activeInTreatmentRange,_xlpm._activeByAnswersRange,_xlpm._dependencies,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InverseLookup(_xlpm._ownID,_xlpm._searchHeader,_xlpm._resultHeader,1,_xlpm._elementCount,_xlpm._delimiter))))))($A4,$AE$2,$A$2,Helper!$B$4,",",$A:$V,$A:$AK,InverseLookup($A4,$AE$2,$A$2,1,Helper!$B$4,",")))</f>
        <v>0</v>
      </c>
      <c r="AG4" s="20" t="str" cm="1">
        <f t="array" aca="1" ref="AG4" ca="1">IF(OR($V4,$AF4,$AK4),IF($G4="","",","&amp;SanitizeInput($G4)),"")</f>
        <v/>
      </c>
      <c r="AH4" s="20" t="str" cm="1">
        <f t="array" ref="AH4">SUBSTITUTE(IF($V4,IF($I4="","",","&amp;SanitizeInput($I4)),""),"&gt;",",")</f>
        <v/>
      </c>
      <c r="AI4" s="20" cm="1">
        <f t="array" aca="1" ref="AI4" ca="1">IF(ROW()=ROW($AI$2)+1,0,INDEX($AI:$AI,ROW()-1))+IF($AF4,1,0)</f>
        <v>1</v>
      </c>
      <c r="AJ4" s="20" t="str" cm="1">
        <f t="array" aca="1" ref="AJ4" ca="1">IF($AF4,IF($Q4="","",","&amp;SanitizeInput($Q4)),"")</f>
        <v/>
      </c>
      <c r="AK4" s="20" t="b">
        <f>OR(CheckRelevance(SanitizeInput($D4),Questionnaire!$I:$I),CheckRelevance(SanitizeInput($D4),Questionnaire!$J:$J))</f>
        <v>0</v>
      </c>
      <c r="AL4" s="20" t="str" cm="1">
        <f t="array" ref="AL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FilterPreconditionCandidates(RemoveFirstElement(_xlpm._preconditionCandidates),_xlpm._searchColumn,_xlpm._delimiter))))(SanitizeInput($D4),Questionnaire!$AA:$AA,",")</f>
        <v/>
      </c>
      <c r="AM4" s="20" t="str" cm="1">
        <f t="array" ref="AM4">IF($D4="*","",InverseLookupList($AL4,Questionnaire!$AA$3,Questionnaire!$A$3,Helper!$B$12,","))</f>
        <v/>
      </c>
      <c r="AN4" s="20" t="str" cm="1">
        <f t="array" ref="AN4">RemoveDelimiter(GetValues($AM4,Questionnaire!$A:$G," ",CHAR(10)&amp;CHAR(10),TRUE),CHAR(10)&amp;CHAR(10))</f>
        <v/>
      </c>
      <c r="AO4" s="20" t="str" cm="1">
        <f t="array" ref="AO4">CreateSearchString($AM4)</f>
        <v/>
      </c>
      <c r="AP4" s="20" t="str" cm="1">
        <f t="array" aca="1" ref="AP4" ca="1">InverseLookup($A4,Mitigation!$AD$2,Mitigation!$A$2,1,Helper!$B$5,",")</f>
        <v/>
      </c>
      <c r="AQ4" s="20" t="str" cm="1">
        <f t="array" aca="1" ref="AQ4" ca="1">CreateSearchString(GetValues($AP4,'Attack Steps'!$A:$O,"",",",FALSE))</f>
        <v/>
      </c>
      <c r="AR4" s="20" t="str">
        <f t="shared" si="1"/>
        <v>C1</v>
      </c>
    </row>
    <row r="5" spans="1:44" ht="75" x14ac:dyDescent="0.25">
      <c r="A5" s="10" t="s">
        <v>277</v>
      </c>
      <c r="B5" s="13" t="s">
        <v>727</v>
      </c>
      <c r="C5" s="13" t="s">
        <v>1775</v>
      </c>
      <c r="D5" s="13" t="s">
        <v>1067</v>
      </c>
      <c r="E5" s="13"/>
      <c r="F5" s="33" t="str" cm="1">
        <f t="array" ref="F5">LookupNames(SanitizeInput($E5),'Attack Steps'!$A:$B)</f>
        <v/>
      </c>
      <c r="G5" s="23"/>
      <c r="H5" s="33" t="str" cm="1">
        <f t="array" ref="H5">RemoveDelimiter(GetValuesWithFallback(SanitizeInput($G5),$A:$B,Assumptions!$A:$B," ",","&amp;CHAR(10),TRUE),","&amp;CHAR(10))</f>
        <v/>
      </c>
      <c r="I5" s="23"/>
      <c r="J5" s="37" t="str" cm="1">
        <f t="array" ref="J5">IF($I5="","",SUBSTITUTE(SUBSTITUTE(SUBSTITUTE(SUBSTITUTE(SUBSTITUTE(SUBSTITUTE(SUBSTITUTE(SUBSTITUTE(SUBSTITUTE(
GetTransformation(SanitizeInput($I5),'Damage Scenarios'!$A:$J,COLUMNS('Damage Scenarios'!$A:$J),CHAR(10),"[#0][#1][#2]")&amp;"§",
"[#1][#2]",""),
"[#2]",""),
"[#0][#1]","[#1]"),
"[#0]","Removes:"&amp;CHAR(10)),
"[#1]","Transforms:"&amp;CHAR(10)),
CHAR(10)&amp;"§",""),
"§",""),
CHAR(10),CHAR(10)&amp;"   "),
"   "&amp;"Transforms:","Transforms:"))</f>
        <v/>
      </c>
      <c r="K5" s="13"/>
      <c r="L5" s="13"/>
      <c r="M5" s="13"/>
      <c r="N5" s="13"/>
      <c r="O5" s="13"/>
      <c r="P5" s="33" t="str">
        <f ca="1">IF($A5="","",IFERROR(VLOOKUP($AD5,Definitions!$V:$W,COLUMNS(Definitions!$V:$W),TRUE),""))</f>
        <v>Basic</v>
      </c>
      <c r="Q5" s="23"/>
      <c r="R5" s="23"/>
      <c r="S5" s="13" t="s">
        <v>1259</v>
      </c>
      <c r="T5" s="10" cm="1">
        <f t="array" ref="T5">IF(ROW()=ROW($T$2)+1,0,INDEX($T:$T,ROW()-1))+IF($A5="",0,1)</f>
        <v>3</v>
      </c>
      <c r="U5" s="20" t="b" cm="1">
        <f t="array" ref="U5">CheckRelevance(SanitizeInput(E5),Questionnaire!$I:$I)</f>
        <v>0</v>
      </c>
      <c r="V5" s="20" t="b">
        <f>IFERROR(_xlfn.XMATCH("*,"&amp;$A5&amp;",*",Mitigation!$X:$X,2)&gt;0,FALSE)</f>
        <v>0</v>
      </c>
      <c r="W5" s="20" cm="1">
        <f t="array" ref="W5">CreateTaskID($W$2,$W:$W,Tasks!$B$17,$S5)</f>
        <v>0</v>
      </c>
      <c r="X5" s="20" t="str" cm="1">
        <f t="array" ref="X5">IF($E5="","",","&amp;SanitizeInput($E5))</f>
        <v/>
      </c>
      <c r="Y5" s="20">
        <f>IF(K5="",0,VLOOKUP(K5,Definitions!$Z:$AA,COLUMNS(Definitions!$Z:$AA),FALSE))</f>
        <v>0</v>
      </c>
      <c r="Z5" s="20">
        <f>IF(L5="",0,VLOOKUP(L5,Definitions!$Z:$AA,COLUMNS(Definitions!$Z:$AA),FALSE))</f>
        <v>0</v>
      </c>
      <c r="AA5" s="20">
        <f>IF(M5="",0,VLOOKUP(M5,Definitions!$Z:$AA,COLUMNS(Definitions!$Z:$AA),FALSE))</f>
        <v>0</v>
      </c>
      <c r="AB5" s="20">
        <f>IF(N5="",0,VLOOKUP(N5,Definitions!$Z:$AA,COLUMNS(Definitions!$Z:$AA),FALSE))</f>
        <v>0</v>
      </c>
      <c r="AC5" s="20">
        <f>IF(O5="",0,VLOOKUP(O5,Definitions!$Z:$AA,COLUMNS(Definitions!$Z:$AA),FALSE))</f>
        <v>0</v>
      </c>
      <c r="AD5" s="20">
        <f t="shared" ca="1" si="0"/>
        <v>0</v>
      </c>
      <c r="AE5" s="20" t="str" cm="1">
        <f t="array" ref="AE5">IF($G5="","",","&amp;SanitizeInput($G5))</f>
        <v/>
      </c>
      <c r="AF5" s="20" t="b" cm="1">
        <f t="array" aca="1" ref="AF5" ca="1">OR($AK5,_xlfn.LAMBDA(_xlpm._ownID,_xlpm._searchHeader,_xlpm._resultHeader,_xlpm._elementCount,_xlpm._delimiter,_xlpm._activeInTreatmentRange,_xlpm._activeByAnswersRange,_xlpm._dependencies,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InverseLookup(_xlpm._ownID,_xlpm._searchHeader,_xlpm._resultHeader,1,_xlpm._elementCount,_xlpm._delimiter))))))($A5,$AE$2,$A$2,Helper!$B$4,",",$A:$V,$A:$AK,InverseLookup($A5,$AE$2,$A$2,1,Helper!$B$4,",")))</f>
        <v>0</v>
      </c>
      <c r="AG5" s="20" t="str" cm="1">
        <f t="array" aca="1" ref="AG5" ca="1">IF(OR($V5,$AF5,$AK5),IF($G5="","",","&amp;SanitizeInput($G5)),"")</f>
        <v/>
      </c>
      <c r="AH5" s="20" t="str" cm="1">
        <f t="array" ref="AH5">SUBSTITUTE(IF($V5,IF($I5="","",","&amp;SanitizeInput($I5)),""),"&gt;",",")</f>
        <v/>
      </c>
      <c r="AI5" s="20" cm="1">
        <f t="array" aca="1" ref="AI5" ca="1">IF(ROW()=ROW($AI$2)+1,0,INDEX($AI:$AI,ROW()-1))+IF($AF5,1,0)</f>
        <v>1</v>
      </c>
      <c r="AJ5" s="20" t="str" cm="1">
        <f t="array" aca="1" ref="AJ5" ca="1">IF($AF5,IF($Q5="","",","&amp;SanitizeInput($Q5)),"")</f>
        <v/>
      </c>
      <c r="AK5" s="20" t="b">
        <f ca="1">OR(CheckRelevance(SanitizeInput($D5),Questionnaire!$I:$I),CheckRelevance(SanitizeInput($D5),Questionnaire!$J:$J))</f>
        <v>0</v>
      </c>
      <c r="AL5" s="20" t="str" cm="1">
        <f t="array" aca="1" ref="AL5"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FilterPreconditionCandidates(RemoveFirstElement(_xlpm._preconditionCandidates),_xlpm._searchColumn,_xlpm._delimiter))))(SanitizeInput($D5),Questionnaire!$AA:$AA,",")</f>
        <v/>
      </c>
      <c r="AM5" s="20" t="str" cm="1">
        <f t="array" aca="1" ref="AM5" ca="1">IF($D5="*","",InverseLookupList($AL5,Questionnaire!$AA$3,Questionnaire!$A$3,Helper!$B$12,","))</f>
        <v/>
      </c>
      <c r="AN5" s="20" t="str" cm="1">
        <f t="array" aca="1" ref="AN5" ca="1">RemoveDelimiter(GetValues($AM5,Questionnaire!$A:$G," ",CHAR(10)&amp;CHAR(10),TRUE),CHAR(10)&amp;CHAR(10))</f>
        <v/>
      </c>
      <c r="AO5" s="20" t="str" cm="1">
        <f t="array" aca="1" ref="AO5" ca="1">CreateSearchString($AM5)</f>
        <v/>
      </c>
      <c r="AP5" s="20" t="str" cm="1">
        <f t="array" aca="1" ref="AP5" ca="1">InverseLookup($A5,Mitigation!$AD$2,Mitigation!$A$2,1,Helper!$B$5,",")</f>
        <v/>
      </c>
      <c r="AQ5" s="20" t="str" cm="1">
        <f t="array" aca="1" ref="AQ5" ca="1">CreateSearchString(GetValues($AP5,'Attack Steps'!$A:$O,"",",",FALSE))</f>
        <v/>
      </c>
      <c r="AR5" s="20" t="str">
        <f t="shared" si="1"/>
        <v>C2</v>
      </c>
    </row>
    <row r="6" spans="1:44" ht="36.75" x14ac:dyDescent="0.25">
      <c r="A6" s="10" t="s">
        <v>368</v>
      </c>
      <c r="B6" s="13" t="s">
        <v>728</v>
      </c>
      <c r="C6" s="13" t="s">
        <v>1775</v>
      </c>
      <c r="D6" s="13"/>
      <c r="E6" s="13" t="s">
        <v>332</v>
      </c>
      <c r="F6" s="33" t="str" cm="1">
        <f t="array" aca="1" ref="F6" ca="1">LookupNames(SanitizeInput($E6),'Attack Steps'!$A:$B)</f>
        <v>AS22 Gaining physical access to the product (customer)</v>
      </c>
      <c r="G6" s="23" t="s">
        <v>1363</v>
      </c>
      <c r="H6" s="33" t="str" cm="1">
        <f t="array" aca="1" ref="H6" ca="1">RemoveDelimiter(GetValuesWithFallback(SanitizeInput($G6),$A:$B,Assumptions!$A:$B," ",","&amp;CHAR(10),TRUE),","&amp;CHAR(10))</f>
        <v>A38 SDR 1.20 - Least privilege for provided credentials</v>
      </c>
      <c r="I6" s="23" t="s">
        <v>1407</v>
      </c>
      <c r="J6" s="37" t="str" cm="1">
        <f t="array" aca="1" ref="J6" ca="1">IF($I6="","",SUBSTITUTE(SUBSTITUTE(SUBSTITUTE(SUBSTITUTE(SUBSTITUTE(SUBSTITUTE(SUBSTITUTE(SUBSTITUTE(SUBSTITUTE(
GetTransformation(SanitizeInput($I6),'Damage Scenarios'!$A:$J,COLUMNS('Damage Scenarios'!$A:$J),CHAR(10),"[#0][#1][#2]")&amp;"§",
"[#1][#2]",""),
"[#2]",""),
"[#0][#1]","[#1]"),
"[#0]","Removes:"&amp;CHAR(10)),
"[#1]","Transforms:"&amp;CHAR(10)),
CHAR(10)&amp;"§",""),
"§",""),
CHAR(10),CHAR(10)&amp;"   "),
"   "&amp;"Transforms:","Transforms:"))</f>
        <v xml:space="preserve">Removes:
   DS6 
   DS10 </v>
      </c>
      <c r="K6" s="13"/>
      <c r="L6" s="13"/>
      <c r="M6" s="13"/>
      <c r="N6" s="13"/>
      <c r="O6" s="13"/>
      <c r="P6" s="33" t="str">
        <f ca="1">IF($A6="","",IFERROR(VLOOKUP($AD6,Definitions!$V:$W,COLUMNS(Definitions!$V:$W),TRUE),""))</f>
        <v>Basic</v>
      </c>
      <c r="Q6" s="23" t="s">
        <v>606</v>
      </c>
      <c r="R6" s="23"/>
      <c r="S6" s="13" t="s">
        <v>1408</v>
      </c>
      <c r="T6" s="10" cm="1">
        <f t="array" ref="T6">IF(ROW()=ROW($T$2)+1,0,INDEX($T:$T,ROW()-1))+IF($A6="",0,1)</f>
        <v>4</v>
      </c>
      <c r="U6" s="20" t="b" cm="1">
        <f t="array" aca="1" ref="U6" ca="1">CheckRelevance(SanitizeInput(E6),Questionnaire!$I:$I)</f>
        <v>0</v>
      </c>
      <c r="V6" s="20" t="b">
        <f>IFERROR(_xlfn.XMATCH("*,"&amp;$A6&amp;",*",Mitigation!$X:$X,2)&gt;0,FALSE)</f>
        <v>0</v>
      </c>
      <c r="W6" s="20" cm="1">
        <f t="array" ref="W6">CreateTaskID($W$2,$W:$W,Tasks!$B$17,$S6)</f>
        <v>0</v>
      </c>
      <c r="X6" s="20" t="str" cm="1">
        <f t="array" ref="X6">IF($E6="","",","&amp;SanitizeInput($E6))</f>
        <v>,AS22,</v>
      </c>
      <c r="Y6" s="20">
        <f>IF(K6="",0,VLOOKUP(K6,Definitions!$Z:$AA,COLUMNS(Definitions!$Z:$AA),FALSE))</f>
        <v>0</v>
      </c>
      <c r="Z6" s="20">
        <f>IF(L6="",0,VLOOKUP(L6,Definitions!$Z:$AA,COLUMNS(Definitions!$Z:$AA),FALSE))</f>
        <v>0</v>
      </c>
      <c r="AA6" s="20">
        <f>IF(M6="",0,VLOOKUP(M6,Definitions!$Z:$AA,COLUMNS(Definitions!$Z:$AA),FALSE))</f>
        <v>0</v>
      </c>
      <c r="AB6" s="20">
        <f>IF(N6="",0,VLOOKUP(N6,Definitions!$Z:$AA,COLUMNS(Definitions!$Z:$AA),FALSE))</f>
        <v>0</v>
      </c>
      <c r="AC6" s="20">
        <f>IF(O6="",0,VLOOKUP(O6,Definitions!$Z:$AA,COLUMNS(Definitions!$Z:$AA),FALSE))</f>
        <v>0</v>
      </c>
      <c r="AD6" s="20">
        <f t="shared" ca="1" si="0"/>
        <v>0</v>
      </c>
      <c r="AE6" s="20" t="str" cm="1">
        <f t="array" ref="AE6">IF($G6="","",","&amp;SanitizeInput($G6))</f>
        <v>,A38,</v>
      </c>
      <c r="AF6" s="20" t="b" cm="1">
        <f t="array" aca="1" ref="AF6" ca="1">OR($AK6,_xlfn.LAMBDA(_xlpm._ownID,_xlpm._searchHeader,_xlpm._resultHeader,_xlpm._elementCount,_xlpm._delimiter,_xlpm._activeInTreatmentRange,_xlpm._activeByAnswersRange,_xlpm._dependencies,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InverseLookup(_xlpm._ownID,_xlpm._searchHeader,_xlpm._resultHeader,1,_xlpm._elementCount,_xlpm._delimiter))))))($A6,$AE$2,$A$2,Helper!$B$4,",",$A:$V,$A:$AK,InverseLookup($A6,$AE$2,$A$2,1,Helper!$B$4,",")))</f>
        <v>0</v>
      </c>
      <c r="AG6" s="20" t="str" cm="1">
        <f t="array" aca="1" ref="AG6" ca="1">IF(OR($V6,$AF6,$AK6),IF($G6="","",","&amp;SanitizeInput($G6)),"")</f>
        <v/>
      </c>
      <c r="AH6" s="20" t="str" cm="1">
        <f t="array" ref="AH6">SUBSTITUTE(IF($V6,IF($I6="","",","&amp;SanitizeInput($I6)),""),"&gt;",",")</f>
        <v/>
      </c>
      <c r="AI6" s="20" cm="1">
        <f t="array" aca="1" ref="AI6" ca="1">IF(ROW()=ROW($AI$2)+1,0,INDEX($AI:$AI,ROW()-1))+IF($AF6,1,0)</f>
        <v>1</v>
      </c>
      <c r="AJ6" s="20" t="str" cm="1">
        <f t="array" aca="1" ref="AJ6" ca="1">IF($AF6,IF($Q6="","",","&amp;SanitizeInput($Q6)),"")</f>
        <v/>
      </c>
      <c r="AK6" s="20" t="b">
        <f>OR(CheckRelevance(SanitizeInput($D6),Questionnaire!$I:$I),CheckRelevance(SanitizeInput($D6),Questionnaire!$J:$J))</f>
        <v>0</v>
      </c>
      <c r="AL6" s="20" t="str" cm="1">
        <f t="array" ref="AL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FilterPreconditionCandidates(RemoveFirstElement(_xlpm._preconditionCandidates),_xlpm._searchColumn,_xlpm._delimiter))))(SanitizeInput($D6),Questionnaire!$AA:$AA,",")</f>
        <v/>
      </c>
      <c r="AM6" s="20" t="str" cm="1">
        <f t="array" ref="AM6">IF($D6="*","",InverseLookupList($AL6,Questionnaire!$AA$3,Questionnaire!$A$3,Helper!$B$12,","))</f>
        <v/>
      </c>
      <c r="AN6" s="20" t="str" cm="1">
        <f t="array" ref="AN6">RemoveDelimiter(GetValues($AM6,Questionnaire!$A:$G," ",CHAR(10)&amp;CHAR(10),TRUE),CHAR(10)&amp;CHAR(10))</f>
        <v/>
      </c>
      <c r="AO6" s="20" t="str" cm="1">
        <f t="array" ref="AO6">CreateSearchString($AM6)</f>
        <v/>
      </c>
      <c r="AP6" s="20" t="str" cm="1">
        <f t="array" aca="1" ref="AP6" ca="1">InverseLookup($A6,Mitigation!$AD$2,Mitigation!$A$2,1,Helper!$B$5,",")</f>
        <v/>
      </c>
      <c r="AQ6" s="20" t="str" cm="1">
        <f t="array" aca="1" ref="AQ6" ca="1">CreateSearchString(GetValues($AP6,'Attack Steps'!$A:$O,"",",",FALSE))</f>
        <v/>
      </c>
      <c r="AR6" s="20" t="str">
        <f t="shared" si="1"/>
        <v>C3</v>
      </c>
    </row>
    <row r="7" spans="1:44" ht="105" x14ac:dyDescent="0.25">
      <c r="A7" s="10" t="s">
        <v>369</v>
      </c>
      <c r="B7" s="13" t="s">
        <v>729</v>
      </c>
      <c r="C7" s="13" t="s">
        <v>1746</v>
      </c>
      <c r="D7" s="13"/>
      <c r="E7" s="13"/>
      <c r="F7" s="33" t="str" cm="1">
        <f t="array" ref="F7">LookupNames(SanitizeInput($E7),'Attack Steps'!$A:$B)</f>
        <v/>
      </c>
      <c r="G7" s="23" t="s">
        <v>1149</v>
      </c>
      <c r="H7" s="33" t="str" cm="1">
        <f t="array" aca="1" ref="H7" ca="1">RemoveDelimiter(GetValuesWithFallback(SanitizeInput($G7),$A:$B,Assumptions!$A:$B," ",","&amp;CHAR(10),TRUE),","&amp;CHAR(10))</f>
        <v>C1 CCSC 1: Support of essential functions,
C3 CCSC 3: Least privilege,
C5 CR 1.3 – Account management,
C6 CR 1.4 – Identifier management,
C7 CR 1.12 – System use notification,
C8 CR 2.1 – Authorization enforcement,
C28 CR 1.5 – Authenticator management</v>
      </c>
      <c r="I7" s="23"/>
      <c r="J7" s="37" t="str" cm="1">
        <f t="array" ref="J7">IF($I7="","",SUBSTITUTE(SUBSTITUTE(SUBSTITUTE(SUBSTITUTE(SUBSTITUTE(SUBSTITUTE(SUBSTITUTE(SUBSTITUTE(SUBSTITUTE(
GetTransformation(SanitizeInput($I7),'Damage Scenarios'!$A:$J,COLUMNS('Damage Scenarios'!$A:$J),CHAR(10),"[#0][#1][#2]")&amp;"§",
"[#1][#2]",""),
"[#2]",""),
"[#0][#1]","[#1]"),
"[#0]","Removes:"&amp;CHAR(10)),
"[#1]","Transforms:"&amp;CHAR(10)),
CHAR(10)&amp;"§",""),
"§",""),
CHAR(10),CHAR(10)&amp;"   "),
"   "&amp;"Transforms:","Transforms:"))</f>
        <v/>
      </c>
      <c r="K7" s="13"/>
      <c r="L7" s="13"/>
      <c r="M7" s="13"/>
      <c r="N7" s="13"/>
      <c r="O7" s="13"/>
      <c r="P7" s="33" t="str">
        <f ca="1">IF($A7="","",IFERROR(VLOOKUP($AD7,Definitions!$V:$W,COLUMNS(Definitions!$V:$W),TRUE),""))</f>
        <v>Basic</v>
      </c>
      <c r="Q7" s="23" t="s">
        <v>607</v>
      </c>
      <c r="R7" s="23"/>
      <c r="S7" s="13"/>
      <c r="T7" s="10" cm="1">
        <f t="array" ref="T7">IF(ROW()=ROW($T$2)+1,0,INDEX($T:$T,ROW()-1))+IF($A7="",0,1)</f>
        <v>5</v>
      </c>
      <c r="U7" s="20" t="b" cm="1">
        <f t="array" ref="U7">CheckRelevance(SanitizeInput(E7),Questionnaire!$I:$I)</f>
        <v>0</v>
      </c>
      <c r="V7" s="20" t="b">
        <f>IFERROR(_xlfn.XMATCH("*,"&amp;$A7&amp;",*",Mitigation!$X:$X,2)&gt;0,FALSE)</f>
        <v>0</v>
      </c>
      <c r="W7" s="20" cm="1">
        <f t="array" ref="W7">CreateTaskID($W$2,$W:$W,Tasks!$B$17,$S7)</f>
        <v>0</v>
      </c>
      <c r="X7" s="20" t="str" cm="1">
        <f t="array" ref="X7">IF($E7="","",","&amp;SanitizeInput($E7))</f>
        <v/>
      </c>
      <c r="Y7" s="20">
        <f>IF(K7="",0,VLOOKUP(K7,Definitions!$Z:$AA,COLUMNS(Definitions!$Z:$AA),FALSE))</f>
        <v>0</v>
      </c>
      <c r="Z7" s="20">
        <f>IF(L7="",0,VLOOKUP(L7,Definitions!$Z:$AA,COLUMNS(Definitions!$Z:$AA),FALSE))</f>
        <v>0</v>
      </c>
      <c r="AA7" s="20">
        <f>IF(M7="",0,VLOOKUP(M7,Definitions!$Z:$AA,COLUMNS(Definitions!$Z:$AA),FALSE))</f>
        <v>0</v>
      </c>
      <c r="AB7" s="20">
        <f>IF(N7="",0,VLOOKUP(N7,Definitions!$Z:$AA,COLUMNS(Definitions!$Z:$AA),FALSE))</f>
        <v>0</v>
      </c>
      <c r="AC7" s="20">
        <f>IF(O7="",0,VLOOKUP(O7,Definitions!$Z:$AA,COLUMNS(Definitions!$Z:$AA),FALSE))</f>
        <v>0</v>
      </c>
      <c r="AD7" s="20">
        <f t="shared" ca="1" si="0"/>
        <v>0</v>
      </c>
      <c r="AE7" s="20" t="str" cm="1">
        <f t="array" ref="AE7">IF($G7="","",","&amp;SanitizeInput($G7))</f>
        <v>,C1,C3,C5,C6,C7,C8,C28,</v>
      </c>
      <c r="AF7" s="20" t="b" cm="1">
        <f t="array" aca="1" ref="AF7" ca="1">OR($AK7,_xlfn.LAMBDA(_xlpm._ownID,_xlpm._searchHeader,_xlpm._resultHeader,_xlpm._elementCount,_xlpm._delimiter,_xlpm._activeInTreatmentRange,_xlpm._activeByAnswersRange,_xlpm._dependencies,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InverseLookup(_xlpm._ownID,_xlpm._searchHeader,_xlpm._resultHeader,1,_xlpm._elementCount,_xlpm._delimiter))))))($A7,$AE$2,$A$2,Helper!$B$4,",",$A:$V,$A:$AK,InverseLookup($A7,$AE$2,$A$2,1,Helper!$B$4,",")))</f>
        <v>0</v>
      </c>
      <c r="AG7" s="20" t="str" cm="1">
        <f t="array" aca="1" ref="AG7" ca="1">IF(OR($V7,$AF7,$AK7),IF($G7="","",","&amp;SanitizeInput($G7)),"")</f>
        <v/>
      </c>
      <c r="AH7" s="20" t="str" cm="1">
        <f t="array" ref="AH7">SUBSTITUTE(IF($V7,IF($I7="","",","&amp;SanitizeInput($I7)),""),"&gt;",",")</f>
        <v/>
      </c>
      <c r="AI7" s="20" cm="1">
        <f t="array" aca="1" ref="AI7" ca="1">IF(ROW()=ROW($AI$2)+1,0,INDEX($AI:$AI,ROW()-1))+IF($AF7,1,0)</f>
        <v>1</v>
      </c>
      <c r="AJ7" s="20" t="str" cm="1">
        <f t="array" aca="1" ref="AJ7" ca="1">IF($AF7,IF($Q7="","",","&amp;SanitizeInput($Q7)),"")</f>
        <v/>
      </c>
      <c r="AK7" s="20" t="b">
        <f>OR(CheckRelevance(SanitizeInput($D7),Questionnaire!$I:$I),CheckRelevance(SanitizeInput($D7),Questionnaire!$J:$J))</f>
        <v>0</v>
      </c>
      <c r="AL7" s="20" t="str" cm="1">
        <f t="array" ref="AL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FilterPreconditionCandidates(RemoveFirstElement(_xlpm._preconditionCandidates),_xlpm._searchColumn,_xlpm._delimiter))))(SanitizeInput($D7),Questionnaire!$AA:$AA,",")</f>
        <v/>
      </c>
      <c r="AM7" s="20" t="str" cm="1">
        <f t="array" ref="AM7">IF($D7="*","",InverseLookupList($AL7,Questionnaire!$AA$3,Questionnaire!$A$3,Helper!$B$12,","))</f>
        <v/>
      </c>
      <c r="AN7" s="20" t="str" cm="1">
        <f t="array" ref="AN7">RemoveDelimiter(GetValues($AM7,Questionnaire!$A:$G," ",CHAR(10)&amp;CHAR(10),TRUE),CHAR(10)&amp;CHAR(10))</f>
        <v/>
      </c>
      <c r="AO7" s="20" t="str" cm="1">
        <f t="array" ref="AO7">CreateSearchString($AM7)</f>
        <v/>
      </c>
      <c r="AP7" s="20" t="str" cm="1">
        <f t="array" aca="1" ref="AP7" ca="1">InverseLookup($A7,Mitigation!$AD$2,Mitigation!$A$2,1,Helper!$B$5,",")</f>
        <v/>
      </c>
      <c r="AQ7" s="20" t="str" cm="1">
        <f t="array" aca="1" ref="AQ7" ca="1">CreateSearchString(GetValues($AP7,'Attack Steps'!$A:$O,"",",",FALSE))</f>
        <v/>
      </c>
      <c r="AR7" s="20" t="str">
        <f t="shared" si="1"/>
        <v>C4</v>
      </c>
    </row>
    <row r="8" spans="1:44" x14ac:dyDescent="0.25">
      <c r="A8" s="10" t="s">
        <v>399</v>
      </c>
      <c r="B8" s="13" t="s">
        <v>730</v>
      </c>
      <c r="C8" s="13" t="s">
        <v>1746</v>
      </c>
      <c r="D8" s="13"/>
      <c r="E8" s="13"/>
      <c r="F8" s="33" t="str" cm="1">
        <f t="array" ref="F8">LookupNames(SanitizeInput($E8),'Attack Steps'!$A:$B)</f>
        <v/>
      </c>
      <c r="G8" s="23"/>
      <c r="H8" s="33" t="str" cm="1">
        <f t="array" ref="H8">RemoveDelimiter(GetValuesWithFallback(SanitizeInput($G8),$A:$B,Assumptions!$A:$B," ",","&amp;CHAR(10),TRUE),","&amp;CHAR(10))</f>
        <v/>
      </c>
      <c r="I8" s="23"/>
      <c r="J8" s="37" t="str" cm="1">
        <f t="array" ref="J8">IF($I8="","",SUBSTITUTE(SUBSTITUTE(SUBSTITUTE(SUBSTITUTE(SUBSTITUTE(SUBSTITUTE(SUBSTITUTE(SUBSTITUTE(SUBSTITUTE(
GetTransformation(SanitizeInput($I8),'Damage Scenarios'!$A:$J,COLUMNS('Damage Scenarios'!$A:$J),CHAR(10),"[#0][#1][#2]")&amp;"§",
"[#1][#2]",""),
"[#2]",""),
"[#0][#1]","[#1]"),
"[#0]","Removes:"&amp;CHAR(10)),
"[#1]","Transforms:"&amp;CHAR(10)),
CHAR(10)&amp;"§",""),
"§",""),
CHAR(10),CHAR(10)&amp;"   "),
"   "&amp;"Transforms:","Transforms:"))</f>
        <v/>
      </c>
      <c r="K8" s="13"/>
      <c r="L8" s="13"/>
      <c r="M8" s="13"/>
      <c r="N8" s="13"/>
      <c r="O8" s="13"/>
      <c r="P8" s="33" t="str">
        <f ca="1">IF($A8="","",IFERROR(VLOOKUP($AD8,Definitions!$V:$W,COLUMNS(Definitions!$V:$W),TRUE),""))</f>
        <v>Basic</v>
      </c>
      <c r="Q8" s="23" t="s">
        <v>607</v>
      </c>
      <c r="R8" s="23"/>
      <c r="S8" s="13"/>
      <c r="T8" s="10" cm="1">
        <f t="array" ref="T8">IF(ROW()=ROW($T$2)+1,0,INDEX($T:$T,ROW()-1))+IF($A8="",0,1)</f>
        <v>6</v>
      </c>
      <c r="U8" s="20" t="b" cm="1">
        <f t="array" ref="U8">CheckRelevance(SanitizeInput(E8),Questionnaire!$I:$I)</f>
        <v>0</v>
      </c>
      <c r="V8" s="20" t="b">
        <f>IFERROR(_xlfn.XMATCH("*,"&amp;$A8&amp;",*",Mitigation!$X:$X,2)&gt;0,FALSE)</f>
        <v>0</v>
      </c>
      <c r="W8" s="20" cm="1">
        <f t="array" ref="W8">CreateTaskID($W$2,$W:$W,Tasks!$B$17,$S8)</f>
        <v>0</v>
      </c>
      <c r="X8" s="20" t="str" cm="1">
        <f t="array" ref="X8">IF($E8="","",","&amp;SanitizeInput($E8))</f>
        <v/>
      </c>
      <c r="Y8" s="20">
        <f>IF(K8="",0,VLOOKUP(K8,Definitions!$Z:$AA,COLUMNS(Definitions!$Z:$AA),FALSE))</f>
        <v>0</v>
      </c>
      <c r="Z8" s="20">
        <f>IF(L8="",0,VLOOKUP(L8,Definitions!$Z:$AA,COLUMNS(Definitions!$Z:$AA),FALSE))</f>
        <v>0</v>
      </c>
      <c r="AA8" s="20">
        <f>IF(M8="",0,VLOOKUP(M8,Definitions!$Z:$AA,COLUMNS(Definitions!$Z:$AA),FALSE))</f>
        <v>0</v>
      </c>
      <c r="AB8" s="20">
        <f>IF(N8="",0,VLOOKUP(N8,Definitions!$Z:$AA,COLUMNS(Definitions!$Z:$AA),FALSE))</f>
        <v>0</v>
      </c>
      <c r="AC8" s="20">
        <f>IF(O8="",0,VLOOKUP(O8,Definitions!$Z:$AA,COLUMNS(Definitions!$Z:$AA),FALSE))</f>
        <v>0</v>
      </c>
      <c r="AD8" s="20">
        <f t="shared" ca="1" si="0"/>
        <v>0</v>
      </c>
      <c r="AE8" s="20" t="str" cm="1">
        <f t="array" ref="AE8">IF($G8="","",","&amp;SanitizeInput($G8))</f>
        <v/>
      </c>
      <c r="AF8" s="20" t="b" cm="1">
        <f t="array" aca="1" ref="AF8" ca="1">OR($AK8,_xlfn.LAMBDA(_xlpm._ownID,_xlpm._searchHeader,_xlpm._resultHeader,_xlpm._elementCount,_xlpm._delimiter,_xlpm._activeInTreatmentRange,_xlpm._activeByAnswersRange,_xlpm._dependencies,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InverseLookup(_xlpm._ownID,_xlpm._searchHeader,_xlpm._resultHeader,1,_xlpm._elementCount,_xlpm._delimiter))))))($A8,$AE$2,$A$2,Helper!$B$4,",",$A:$V,$A:$AK,InverseLookup($A8,$AE$2,$A$2,1,Helper!$B$4,",")))</f>
        <v>0</v>
      </c>
      <c r="AG8" s="20" t="str" cm="1">
        <f t="array" aca="1" ref="AG8" ca="1">IF(OR($V8,$AF8,$AK8),IF($G8="","",","&amp;SanitizeInput($G8)),"")</f>
        <v/>
      </c>
      <c r="AH8" s="20" t="str" cm="1">
        <f t="array" ref="AH8">SUBSTITUTE(IF($V8,IF($I8="","",","&amp;SanitizeInput($I8)),""),"&gt;",",")</f>
        <v/>
      </c>
      <c r="AI8" s="20" cm="1">
        <f t="array" aca="1" ref="AI8" ca="1">IF(ROW()=ROW($AI$2)+1,0,INDEX($AI:$AI,ROW()-1))+IF($AF8,1,0)</f>
        <v>1</v>
      </c>
      <c r="AJ8" s="20" t="str" cm="1">
        <f t="array" aca="1" ref="AJ8" ca="1">IF($AF8,IF($Q8="","",","&amp;SanitizeInput($Q8)),"")</f>
        <v/>
      </c>
      <c r="AK8" s="20" t="b">
        <f>OR(CheckRelevance(SanitizeInput($D8),Questionnaire!$I:$I),CheckRelevance(SanitizeInput($D8),Questionnaire!$J:$J))</f>
        <v>0</v>
      </c>
      <c r="AL8" s="20" t="str" cm="1">
        <f t="array" ref="AL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FilterPreconditionCandidates(RemoveFirstElement(_xlpm._preconditionCandidates),_xlpm._searchColumn,_xlpm._delimiter))))(SanitizeInput($D8),Questionnaire!$AA:$AA,",")</f>
        <v/>
      </c>
      <c r="AM8" s="20" t="str" cm="1">
        <f t="array" ref="AM8">IF($D8="*","",InverseLookupList($AL8,Questionnaire!$AA$3,Questionnaire!$A$3,Helper!$B$12,","))</f>
        <v/>
      </c>
      <c r="AN8" s="20" t="str" cm="1">
        <f t="array" ref="AN8">RemoveDelimiter(GetValues($AM8,Questionnaire!$A:$G," ",CHAR(10)&amp;CHAR(10),TRUE),CHAR(10)&amp;CHAR(10))</f>
        <v/>
      </c>
      <c r="AO8" s="20" t="str" cm="1">
        <f t="array" ref="AO8">CreateSearchString($AM8)</f>
        <v/>
      </c>
      <c r="AP8" s="20" t="str" cm="1">
        <f t="array" aca="1" ref="AP8" ca="1">InverseLookup($A8,Mitigation!$AD$2,Mitigation!$A$2,1,Helper!$B$5,",")</f>
        <v/>
      </c>
      <c r="AQ8" s="20" t="str" cm="1">
        <f t="array" aca="1" ref="AQ8" ca="1">CreateSearchString(GetValues($AP8,'Attack Steps'!$A:$O,"",",",FALSE))</f>
        <v/>
      </c>
      <c r="AR8" s="20" t="str">
        <f t="shared" si="1"/>
        <v>C5</v>
      </c>
    </row>
    <row r="9" spans="1:44" x14ac:dyDescent="0.25">
      <c r="A9" s="10" t="s">
        <v>400</v>
      </c>
      <c r="B9" s="13" t="s">
        <v>731</v>
      </c>
      <c r="C9" s="13" t="s">
        <v>1746</v>
      </c>
      <c r="D9" s="13"/>
      <c r="E9" s="13"/>
      <c r="F9" s="33" t="str" cm="1">
        <f t="array" ref="F9">LookupNames(SanitizeInput($E9),'Attack Steps'!$A:$B)</f>
        <v/>
      </c>
      <c r="G9" s="23"/>
      <c r="H9" s="33" t="str" cm="1">
        <f t="array" ref="H9">RemoveDelimiter(GetValuesWithFallback(SanitizeInput($G9),$A:$B,Assumptions!$A:$B," ",","&amp;CHAR(10),TRUE),","&amp;CHAR(10))</f>
        <v/>
      </c>
      <c r="I9" s="23"/>
      <c r="J9" s="37" t="str" cm="1">
        <f t="array" ref="J9">IF($I9="","",SUBSTITUTE(SUBSTITUTE(SUBSTITUTE(SUBSTITUTE(SUBSTITUTE(SUBSTITUTE(SUBSTITUTE(SUBSTITUTE(SUBSTITUTE(
GetTransformation(SanitizeInput($I9),'Damage Scenarios'!$A:$J,COLUMNS('Damage Scenarios'!$A:$J),CHAR(10),"[#0][#1][#2]")&amp;"§",
"[#1][#2]",""),
"[#2]",""),
"[#0][#1]","[#1]"),
"[#0]","Removes:"&amp;CHAR(10)),
"[#1]","Transforms:"&amp;CHAR(10)),
CHAR(10)&amp;"§",""),
"§",""),
CHAR(10),CHAR(10)&amp;"   "),
"   "&amp;"Transforms:","Transforms:"))</f>
        <v/>
      </c>
      <c r="K9" s="13"/>
      <c r="L9" s="13"/>
      <c r="M9" s="13"/>
      <c r="N9" s="13"/>
      <c r="O9" s="13"/>
      <c r="P9" s="33" t="str">
        <f ca="1">IF($A9="","",IFERROR(VLOOKUP($AD9,Definitions!$V:$W,COLUMNS(Definitions!$V:$W),TRUE),""))</f>
        <v>Basic</v>
      </c>
      <c r="Q9" s="23" t="s">
        <v>607</v>
      </c>
      <c r="R9" s="23"/>
      <c r="S9" s="13"/>
      <c r="T9" s="10" cm="1">
        <f t="array" ref="T9">IF(ROW()=ROW($T$2)+1,0,INDEX($T:$T,ROW()-1))+IF($A9="",0,1)</f>
        <v>7</v>
      </c>
      <c r="U9" s="20" t="b" cm="1">
        <f t="array" ref="U9">CheckRelevance(SanitizeInput(E9),Questionnaire!$I:$I)</f>
        <v>0</v>
      </c>
      <c r="V9" s="20" t="b">
        <f>IFERROR(_xlfn.XMATCH("*,"&amp;$A9&amp;",*",Mitigation!$X:$X,2)&gt;0,FALSE)</f>
        <v>0</v>
      </c>
      <c r="W9" s="20" cm="1">
        <f t="array" ref="W9">CreateTaskID($W$2,$W:$W,Tasks!$B$17,$S9)</f>
        <v>0</v>
      </c>
      <c r="X9" s="20" t="str" cm="1">
        <f t="array" ref="X9">IF($E9="","",","&amp;SanitizeInput($E9))</f>
        <v/>
      </c>
      <c r="Y9" s="20">
        <f>IF(K9="",0,VLOOKUP(K9,Definitions!$Z:$AA,COLUMNS(Definitions!$Z:$AA),FALSE))</f>
        <v>0</v>
      </c>
      <c r="Z9" s="20">
        <f>IF(L9="",0,VLOOKUP(L9,Definitions!$Z:$AA,COLUMNS(Definitions!$Z:$AA),FALSE))</f>
        <v>0</v>
      </c>
      <c r="AA9" s="20">
        <f>IF(M9="",0,VLOOKUP(M9,Definitions!$Z:$AA,COLUMNS(Definitions!$Z:$AA),FALSE))</f>
        <v>0</v>
      </c>
      <c r="AB9" s="20">
        <f>IF(N9="",0,VLOOKUP(N9,Definitions!$Z:$AA,COLUMNS(Definitions!$Z:$AA),FALSE))</f>
        <v>0</v>
      </c>
      <c r="AC9" s="20">
        <f>IF(O9="",0,VLOOKUP(O9,Definitions!$Z:$AA,COLUMNS(Definitions!$Z:$AA),FALSE))</f>
        <v>0</v>
      </c>
      <c r="AD9" s="20">
        <f t="shared" ca="1" si="0"/>
        <v>0</v>
      </c>
      <c r="AE9" s="20" t="str" cm="1">
        <f t="array" ref="AE9">IF($G9="","",","&amp;SanitizeInput($G9))</f>
        <v/>
      </c>
      <c r="AF9" s="20" t="b" cm="1">
        <f t="array" aca="1" ref="AF9" ca="1">OR($AK9,_xlfn.LAMBDA(_xlpm._ownID,_xlpm._searchHeader,_xlpm._resultHeader,_xlpm._elementCount,_xlpm._delimiter,_xlpm._activeInTreatmentRange,_xlpm._activeByAnswersRange,_xlpm._dependencies,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InverseLookup(_xlpm._ownID,_xlpm._searchHeader,_xlpm._resultHeader,1,_xlpm._elementCount,_xlpm._delimiter))))))($A9,$AE$2,$A$2,Helper!$B$4,",",$A:$V,$A:$AK,InverseLookup($A9,$AE$2,$A$2,1,Helper!$B$4,",")))</f>
        <v>0</v>
      </c>
      <c r="AG9" s="20" t="str" cm="1">
        <f t="array" aca="1" ref="AG9" ca="1">IF(OR($V9,$AF9,$AK9),IF($G9="","",","&amp;SanitizeInput($G9)),"")</f>
        <v/>
      </c>
      <c r="AH9" s="20" t="str" cm="1">
        <f t="array" ref="AH9">SUBSTITUTE(IF($V9,IF($I9="","",","&amp;SanitizeInput($I9)),""),"&gt;",",")</f>
        <v/>
      </c>
      <c r="AI9" s="20" cm="1">
        <f t="array" aca="1" ref="AI9" ca="1">IF(ROW()=ROW($AI$2)+1,0,INDEX($AI:$AI,ROW()-1))+IF($AF9,1,0)</f>
        <v>1</v>
      </c>
      <c r="AJ9" s="20" t="str" cm="1">
        <f t="array" aca="1" ref="AJ9" ca="1">IF($AF9,IF($Q9="","",","&amp;SanitizeInput($Q9)),"")</f>
        <v/>
      </c>
      <c r="AK9" s="20" t="b">
        <f>OR(CheckRelevance(SanitizeInput($D9),Questionnaire!$I:$I),CheckRelevance(SanitizeInput($D9),Questionnaire!$J:$J))</f>
        <v>0</v>
      </c>
      <c r="AL9" s="20" t="str" cm="1">
        <f t="array" ref="AL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FilterPreconditionCandidates(RemoveFirstElement(_xlpm._preconditionCandidates),_xlpm._searchColumn,_xlpm._delimiter))))(SanitizeInput($D9),Questionnaire!$AA:$AA,",")</f>
        <v/>
      </c>
      <c r="AM9" s="20" t="str" cm="1">
        <f t="array" ref="AM9">IF($D9="*","",InverseLookupList($AL9,Questionnaire!$AA$3,Questionnaire!$A$3,Helper!$B$12,","))</f>
        <v/>
      </c>
      <c r="AN9" s="20" t="str" cm="1">
        <f t="array" ref="AN9">RemoveDelimiter(GetValues($AM9,Questionnaire!$A:$G," ",CHAR(10)&amp;CHAR(10),TRUE),CHAR(10)&amp;CHAR(10))</f>
        <v/>
      </c>
      <c r="AO9" s="20" t="str" cm="1">
        <f t="array" ref="AO9">CreateSearchString($AM9)</f>
        <v/>
      </c>
      <c r="AP9" s="20" t="str" cm="1">
        <f t="array" aca="1" ref="AP9" ca="1">InverseLookup($A9,Mitigation!$AD$2,Mitigation!$A$2,1,Helper!$B$5,",")</f>
        <v/>
      </c>
      <c r="AQ9" s="20" t="str" cm="1">
        <f t="array" aca="1" ref="AQ9" ca="1">CreateSearchString(GetValues($AP9,'Attack Steps'!$A:$O,"",",",FALSE))</f>
        <v/>
      </c>
      <c r="AR9" s="20" t="str">
        <f t="shared" si="1"/>
        <v>C6</v>
      </c>
    </row>
    <row r="10" spans="1:44" ht="30" x14ac:dyDescent="0.25">
      <c r="A10" s="10" t="s">
        <v>401</v>
      </c>
      <c r="B10" s="13" t="s">
        <v>732</v>
      </c>
      <c r="C10" s="13" t="s">
        <v>1746</v>
      </c>
      <c r="D10" s="13" t="s">
        <v>1382</v>
      </c>
      <c r="E10" s="13"/>
      <c r="F10" s="33" t="str" cm="1">
        <f t="array" ref="F10">LookupNames(SanitizeInput($E10),'Attack Steps'!$A:$B)</f>
        <v/>
      </c>
      <c r="G10" s="23"/>
      <c r="H10" s="33" t="str" cm="1">
        <f t="array" ref="H10">RemoveDelimiter(GetValuesWithFallback(SanitizeInput($G10),$A:$B,Assumptions!$A:$B," ",","&amp;CHAR(10),TRUE),","&amp;CHAR(10))</f>
        <v/>
      </c>
      <c r="I10" s="23"/>
      <c r="J10" s="37" t="str" cm="1">
        <f t="array" ref="J10">IF($I10="","",SUBSTITUTE(SUBSTITUTE(SUBSTITUTE(SUBSTITUTE(SUBSTITUTE(SUBSTITUTE(SUBSTITUTE(SUBSTITUTE(SUBSTITUTE(
GetTransformation(SanitizeInput($I10),'Damage Scenarios'!$A:$J,COLUMNS('Damage Scenarios'!$A:$J),CHAR(10),"[#0][#1][#2]")&amp;"§",
"[#1][#2]",""),
"[#2]",""),
"[#0][#1]","[#1]"),
"[#0]","Removes:"&amp;CHAR(10)),
"[#1]","Transforms:"&amp;CHAR(10)),
CHAR(10)&amp;"§",""),
"§",""),
CHAR(10),CHAR(10)&amp;"   "),
"   "&amp;"Transforms:","Transforms:"))</f>
        <v/>
      </c>
      <c r="K10" s="13"/>
      <c r="L10" s="13"/>
      <c r="M10" s="13"/>
      <c r="N10" s="13"/>
      <c r="O10" s="13"/>
      <c r="P10" s="33" t="str">
        <f ca="1">IF($A10="","",IFERROR(VLOOKUP($AD10,Definitions!$V:$W,COLUMNS(Definitions!$V:$W),TRUE),""))</f>
        <v>Basic</v>
      </c>
      <c r="Q10" s="23" t="s">
        <v>609</v>
      </c>
      <c r="R10" s="23"/>
      <c r="S10" s="13"/>
      <c r="T10" s="10" cm="1">
        <f t="array" ref="T10">IF(ROW()=ROW($T$2)+1,0,INDEX($T:$T,ROW()-1))+IF($A10="",0,1)</f>
        <v>8</v>
      </c>
      <c r="U10" s="20" t="b" cm="1">
        <f t="array" ref="U10">CheckRelevance(SanitizeInput(E10),Questionnaire!$I:$I)</f>
        <v>0</v>
      </c>
      <c r="V10" s="20" t="b">
        <f>IFERROR(_xlfn.XMATCH("*,"&amp;$A10&amp;",*",Mitigation!$X:$X,2)&gt;0,FALSE)</f>
        <v>0</v>
      </c>
      <c r="W10" s="20" cm="1">
        <f t="array" ref="W10">CreateTaskID($W$2,$W:$W,Tasks!$B$17,$S10)</f>
        <v>0</v>
      </c>
      <c r="X10" s="20" t="str" cm="1">
        <f t="array" ref="X10">IF($E10="","",","&amp;SanitizeInput($E10))</f>
        <v/>
      </c>
      <c r="Y10" s="20">
        <f>IF(K10="",0,VLOOKUP(K10,Definitions!$Z:$AA,COLUMNS(Definitions!$Z:$AA),FALSE))</f>
        <v>0</v>
      </c>
      <c r="Z10" s="20">
        <f>IF(L10="",0,VLOOKUP(L10,Definitions!$Z:$AA,COLUMNS(Definitions!$Z:$AA),FALSE))</f>
        <v>0</v>
      </c>
      <c r="AA10" s="20">
        <f>IF(M10="",0,VLOOKUP(M10,Definitions!$Z:$AA,COLUMNS(Definitions!$Z:$AA),FALSE))</f>
        <v>0</v>
      </c>
      <c r="AB10" s="20">
        <f>IF(N10="",0,VLOOKUP(N10,Definitions!$Z:$AA,COLUMNS(Definitions!$Z:$AA),FALSE))</f>
        <v>0</v>
      </c>
      <c r="AC10" s="20">
        <f>IF(O10="",0,VLOOKUP(O10,Definitions!$Z:$AA,COLUMNS(Definitions!$Z:$AA),FALSE))</f>
        <v>0</v>
      </c>
      <c r="AD10" s="20">
        <f t="shared" ca="1" si="0"/>
        <v>0</v>
      </c>
      <c r="AE10" s="20" t="str" cm="1">
        <f t="array" ref="AE10">IF($G10="","",","&amp;SanitizeInput($G10))</f>
        <v/>
      </c>
      <c r="AF10" s="20" t="b" cm="1">
        <f t="array" aca="1" ref="AF10" ca="1">OR($AK10,_xlfn.LAMBDA(_xlpm._ownID,_xlpm._searchHeader,_xlpm._resultHeader,_xlpm._elementCount,_xlpm._delimiter,_xlpm._activeInTreatmentRange,_xlpm._activeByAnswersRange,_xlpm._dependencies,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InverseLookup(_xlpm._ownID,_xlpm._searchHeader,_xlpm._resultHeader,1,_xlpm._elementCount,_xlpm._delimiter))))))($A10,$AE$2,$A$2,Helper!$B$4,",",$A:$V,$A:$AK,InverseLookup($A10,$AE$2,$A$2,1,Helper!$B$4,",")))</f>
        <v>0</v>
      </c>
      <c r="AG10" s="20" t="str" cm="1">
        <f t="array" aca="1" ref="AG10" ca="1">IF(OR($V10,$AF10,$AK10),IF($G10="","",","&amp;SanitizeInput($G10)),"")</f>
        <v/>
      </c>
      <c r="AH10" s="20" t="str" cm="1">
        <f t="array" ref="AH10">SUBSTITUTE(IF($V10,IF($I10="","",","&amp;SanitizeInput($I10)),""),"&gt;",",")</f>
        <v/>
      </c>
      <c r="AI10" s="20" cm="1">
        <f t="array" aca="1" ref="AI10" ca="1">IF(ROW()=ROW($AI$2)+1,0,INDEX($AI:$AI,ROW()-1))+IF($AF10,1,0)</f>
        <v>1</v>
      </c>
      <c r="AJ10" s="20" t="str" cm="1">
        <f t="array" aca="1" ref="AJ10" ca="1">IF($AF10,IF($Q10="","",","&amp;SanitizeInput($Q10)),"")</f>
        <v/>
      </c>
      <c r="AK10" s="20" t="b">
        <f ca="1">OR(CheckRelevance(SanitizeInput($D10),Questionnaire!$I:$I),CheckRelevance(SanitizeInput($D10),Questionnaire!$J:$J))</f>
        <v>0</v>
      </c>
      <c r="AL10" s="20" t="str" cm="1">
        <f t="array" aca="1" ref="AL10"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FilterPreconditionCandidates(RemoveFirstElement(_xlpm._preconditionCandidates),_xlpm._searchColumn,_xlpm._delimiter))))(SanitizeInput($D10),Questionnaire!$AA:$AA,",")</f>
        <v/>
      </c>
      <c r="AM10" s="20" t="str" cm="1">
        <f t="array" aca="1" ref="AM10" ca="1">IF($D10="*","",InverseLookupList($AL10,Questionnaire!$AA$3,Questionnaire!$A$3,Helper!$B$12,","))</f>
        <v/>
      </c>
      <c r="AN10" s="20" t="str" cm="1">
        <f t="array" aca="1" ref="AN10" ca="1">RemoveDelimiter(GetValues($AM10,Questionnaire!$A:$G," ",CHAR(10)&amp;CHAR(10),TRUE),CHAR(10)&amp;CHAR(10))</f>
        <v/>
      </c>
      <c r="AO10" s="20" t="str" cm="1">
        <f t="array" aca="1" ref="AO10" ca="1">CreateSearchString($AM10)</f>
        <v/>
      </c>
      <c r="AP10" s="20" t="str" cm="1">
        <f t="array" aca="1" ref="AP10" ca="1">InverseLookup($A10,Mitigation!$AD$2,Mitigation!$A$2,1,Helper!$B$5,",")</f>
        <v/>
      </c>
      <c r="AQ10" s="20" t="str" cm="1">
        <f t="array" aca="1" ref="AQ10" ca="1">CreateSearchString(GetValues($AP10,'Attack Steps'!$A:$O,"",",",FALSE))</f>
        <v/>
      </c>
      <c r="AR10" s="20" t="str">
        <f t="shared" si="1"/>
        <v>C7</v>
      </c>
    </row>
    <row r="11" spans="1:44" x14ac:dyDescent="0.25">
      <c r="A11" s="10" t="s">
        <v>402</v>
      </c>
      <c r="B11" s="13" t="s">
        <v>733</v>
      </c>
      <c r="C11" s="13" t="s">
        <v>1746</v>
      </c>
      <c r="D11" s="13"/>
      <c r="E11" s="13"/>
      <c r="F11" s="33" t="str" cm="1">
        <f t="array" ref="F11">LookupNames(SanitizeInput($E11),'Attack Steps'!$A:$B)</f>
        <v/>
      </c>
      <c r="G11" s="23"/>
      <c r="H11" s="33" t="str" cm="1">
        <f t="array" ref="H11">RemoveDelimiter(GetValuesWithFallback(SanitizeInput($G11),$A:$B,Assumptions!$A:$B," ",","&amp;CHAR(10),TRUE),","&amp;CHAR(10))</f>
        <v/>
      </c>
      <c r="I11" s="23"/>
      <c r="J11" s="37" t="str" cm="1">
        <f t="array" ref="J11">IF($I11="","",SUBSTITUTE(SUBSTITUTE(SUBSTITUTE(SUBSTITUTE(SUBSTITUTE(SUBSTITUTE(SUBSTITUTE(SUBSTITUTE(SUBSTITUTE(
GetTransformation(SanitizeInput($I11),'Damage Scenarios'!$A:$J,COLUMNS('Damage Scenarios'!$A:$J),CHAR(10),"[#0][#1][#2]")&amp;"§",
"[#1][#2]",""),
"[#2]",""),
"[#0][#1]","[#1]"),
"[#0]","Removes:"&amp;CHAR(10)),
"[#1]","Transforms:"&amp;CHAR(10)),
CHAR(10)&amp;"§",""),
"§",""),
CHAR(10),CHAR(10)&amp;"   "),
"   "&amp;"Transforms:","Transforms:"))</f>
        <v/>
      </c>
      <c r="K11" s="13"/>
      <c r="L11" s="13"/>
      <c r="M11" s="13"/>
      <c r="N11" s="13"/>
      <c r="O11" s="13"/>
      <c r="P11" s="33" t="str">
        <f ca="1">IF($A11="","",IFERROR(VLOOKUP($AD11,Definitions!$V:$W,COLUMNS(Definitions!$V:$W),TRUE),""))</f>
        <v>Basic</v>
      </c>
      <c r="Q11" s="23" t="s">
        <v>607</v>
      </c>
      <c r="R11" s="23"/>
      <c r="S11" s="13"/>
      <c r="T11" s="10" cm="1">
        <f t="array" ref="T11">IF(ROW()=ROW($T$2)+1,0,INDEX($T:$T,ROW()-1))+IF($A11="",0,1)</f>
        <v>9</v>
      </c>
      <c r="U11" s="20" t="b" cm="1">
        <f t="array" ref="U11">CheckRelevance(SanitizeInput(E11),Questionnaire!$I:$I)</f>
        <v>0</v>
      </c>
      <c r="V11" s="20" t="b">
        <f>IFERROR(_xlfn.XMATCH("*,"&amp;$A11&amp;",*",Mitigation!$X:$X,2)&gt;0,FALSE)</f>
        <v>0</v>
      </c>
      <c r="W11" s="20" cm="1">
        <f t="array" ref="W11">CreateTaskID($W$2,$W:$W,Tasks!$B$17,$S11)</f>
        <v>0</v>
      </c>
      <c r="X11" s="20" t="str" cm="1">
        <f t="array" ref="X11">IF($E11="","",","&amp;SanitizeInput($E11))</f>
        <v/>
      </c>
      <c r="Y11" s="20">
        <f>IF(K11="",0,VLOOKUP(K11,Definitions!$Z:$AA,COLUMNS(Definitions!$Z:$AA),FALSE))</f>
        <v>0</v>
      </c>
      <c r="Z11" s="20">
        <f>IF(L11="",0,VLOOKUP(L11,Definitions!$Z:$AA,COLUMNS(Definitions!$Z:$AA),FALSE))</f>
        <v>0</v>
      </c>
      <c r="AA11" s="20">
        <f>IF(M11="",0,VLOOKUP(M11,Definitions!$Z:$AA,COLUMNS(Definitions!$Z:$AA),FALSE))</f>
        <v>0</v>
      </c>
      <c r="AB11" s="20">
        <f>IF(N11="",0,VLOOKUP(N11,Definitions!$Z:$AA,COLUMNS(Definitions!$Z:$AA),FALSE))</f>
        <v>0</v>
      </c>
      <c r="AC11" s="20">
        <f>IF(O11="",0,VLOOKUP(O11,Definitions!$Z:$AA,COLUMNS(Definitions!$Z:$AA),FALSE))</f>
        <v>0</v>
      </c>
      <c r="AD11" s="20">
        <f t="shared" ca="1" si="0"/>
        <v>0</v>
      </c>
      <c r="AE11" s="20" t="str" cm="1">
        <f t="array" ref="AE11">IF($G11="","",","&amp;SanitizeInput($G11))</f>
        <v/>
      </c>
      <c r="AF11" s="20" t="b" cm="1">
        <f t="array" aca="1" ref="AF11" ca="1">OR($AK11,_xlfn.LAMBDA(_xlpm._ownID,_xlpm._searchHeader,_xlpm._resultHeader,_xlpm._elementCount,_xlpm._delimiter,_xlpm._activeInTreatmentRange,_xlpm._activeByAnswersRange,_xlpm._dependencies,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InverseLookup(_xlpm._ownID,_xlpm._searchHeader,_xlpm._resultHeader,1,_xlpm._elementCount,_xlpm._delimiter))))))($A11,$AE$2,$A$2,Helper!$B$4,",",$A:$V,$A:$AK,InverseLookup($A11,$AE$2,$A$2,1,Helper!$B$4,",")))</f>
        <v>0</v>
      </c>
      <c r="AG11" s="20" t="str" cm="1">
        <f t="array" aca="1" ref="AG11" ca="1">IF(OR($V11,$AF11,$AK11),IF($G11="","",","&amp;SanitizeInput($G11)),"")</f>
        <v/>
      </c>
      <c r="AH11" s="20" t="str" cm="1">
        <f t="array" ref="AH11">SUBSTITUTE(IF($V11,IF($I11="","",","&amp;SanitizeInput($I11)),""),"&gt;",",")</f>
        <v/>
      </c>
      <c r="AI11" s="20" cm="1">
        <f t="array" aca="1" ref="AI11" ca="1">IF(ROW()=ROW($AI$2)+1,0,INDEX($AI:$AI,ROW()-1))+IF($AF11,1,0)</f>
        <v>1</v>
      </c>
      <c r="AJ11" s="20" t="str" cm="1">
        <f t="array" aca="1" ref="AJ11" ca="1">IF($AF11,IF($Q11="","",","&amp;SanitizeInput($Q11)),"")</f>
        <v/>
      </c>
      <c r="AK11" s="20" t="b">
        <f>OR(CheckRelevance(SanitizeInput($D11),Questionnaire!$I:$I),CheckRelevance(SanitizeInput($D11),Questionnaire!$J:$J))</f>
        <v>0</v>
      </c>
      <c r="AL11" s="20" t="str" cm="1">
        <f t="array" ref="AL1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FilterPreconditionCandidates(RemoveFirstElement(_xlpm._preconditionCandidates),_xlpm._searchColumn,_xlpm._delimiter))))(SanitizeInput($D11),Questionnaire!$AA:$AA,",")</f>
        <v/>
      </c>
      <c r="AM11" s="20" t="str" cm="1">
        <f t="array" ref="AM11">IF($D11="*","",InverseLookupList($AL11,Questionnaire!$AA$3,Questionnaire!$A$3,Helper!$B$12,","))</f>
        <v/>
      </c>
      <c r="AN11" s="20" t="str" cm="1">
        <f t="array" ref="AN11">RemoveDelimiter(GetValues($AM11,Questionnaire!$A:$G," ",CHAR(10)&amp;CHAR(10),TRUE),CHAR(10)&amp;CHAR(10))</f>
        <v/>
      </c>
      <c r="AO11" s="20" t="str" cm="1">
        <f t="array" ref="AO11">CreateSearchString($AM11)</f>
        <v/>
      </c>
      <c r="AP11" s="20" t="str" cm="1">
        <f t="array" aca="1" ref="AP11" ca="1">InverseLookup($A11,Mitigation!$AD$2,Mitigation!$A$2,1,Helper!$B$5,",")</f>
        <v/>
      </c>
      <c r="AQ11" s="20" t="str" cm="1">
        <f t="array" aca="1" ref="AQ11" ca="1">CreateSearchString(GetValues($AP11,'Attack Steps'!$A:$O,"",",",FALSE))</f>
        <v/>
      </c>
      <c r="AR11" s="20" t="str">
        <f t="shared" si="1"/>
        <v>C8</v>
      </c>
    </row>
    <row r="12" spans="1:44" x14ac:dyDescent="0.25">
      <c r="A12" s="10" t="s">
        <v>403</v>
      </c>
      <c r="B12" s="13" t="s">
        <v>734</v>
      </c>
      <c r="C12" s="13" t="s">
        <v>1746</v>
      </c>
      <c r="D12" s="13" t="s">
        <v>1699</v>
      </c>
      <c r="E12" s="13"/>
      <c r="F12" s="33" t="str" cm="1">
        <f t="array" ref="F12">LookupNames(SanitizeInput($E12),'Attack Steps'!$A:$B)</f>
        <v/>
      </c>
      <c r="G12" s="23"/>
      <c r="H12" s="33" t="str" cm="1">
        <f t="array" ref="H12">RemoveDelimiter(GetValuesWithFallback(SanitizeInput($G12),$A:$B,Assumptions!$A:$B," ",","&amp;CHAR(10),TRUE),","&amp;CHAR(10))</f>
        <v/>
      </c>
      <c r="I12" s="23"/>
      <c r="J12" s="37" t="str" cm="1">
        <f t="array" ref="J12">IF($I12="","",SUBSTITUTE(SUBSTITUTE(SUBSTITUTE(SUBSTITUTE(SUBSTITUTE(SUBSTITUTE(SUBSTITUTE(SUBSTITUTE(SUBSTITUTE(
GetTransformation(SanitizeInput($I12),'Damage Scenarios'!$A:$J,COLUMNS('Damage Scenarios'!$A:$J),CHAR(10),"[#0][#1][#2]")&amp;"§",
"[#1][#2]",""),
"[#2]",""),
"[#0][#1]","[#1]"),
"[#0]","Removes:"&amp;CHAR(10)),
"[#1]","Transforms:"&amp;CHAR(10)),
CHAR(10)&amp;"§",""),
"§",""),
CHAR(10),CHAR(10)&amp;"   "),
"   "&amp;"Transforms:","Transforms:"))</f>
        <v/>
      </c>
      <c r="K12" s="13"/>
      <c r="L12" s="13"/>
      <c r="M12" s="13"/>
      <c r="N12" s="13"/>
      <c r="O12" s="13"/>
      <c r="P12" s="33" t="str">
        <f ca="1">IF($A12="","",IFERROR(VLOOKUP($AD12,Definitions!$V:$W,COLUMNS(Definitions!$V:$W),TRUE),""))</f>
        <v>Basic</v>
      </c>
      <c r="Q12" s="23" t="s">
        <v>1632</v>
      </c>
      <c r="R12" s="23"/>
      <c r="S12" s="13"/>
      <c r="T12" s="10" cm="1">
        <f t="array" ref="T12">IF(ROW()=ROW($T$2)+1,0,INDEX($T:$T,ROW()-1))+IF($A12="",0,1)</f>
        <v>10</v>
      </c>
      <c r="U12" s="20" t="b" cm="1">
        <f t="array" ref="U12">CheckRelevance(SanitizeInput(E12),Questionnaire!$I:$I)</f>
        <v>0</v>
      </c>
      <c r="V12" s="20" t="b">
        <f>IFERROR(_xlfn.XMATCH("*,"&amp;$A12&amp;",*",Mitigation!$X:$X,2)&gt;0,FALSE)</f>
        <v>0</v>
      </c>
      <c r="W12" s="20" cm="1">
        <f t="array" ref="W12">CreateTaskID($W$2,$W:$W,Tasks!$B$17,$S12)</f>
        <v>0</v>
      </c>
      <c r="X12" s="20" t="str" cm="1">
        <f t="array" ref="X12">IF($E12="","",","&amp;SanitizeInput($E12))</f>
        <v/>
      </c>
      <c r="Y12" s="20">
        <f>IF(K12="",0,VLOOKUP(K12,Definitions!$Z:$AA,COLUMNS(Definitions!$Z:$AA),FALSE))</f>
        <v>0</v>
      </c>
      <c r="Z12" s="20">
        <f>IF(L12="",0,VLOOKUP(L12,Definitions!$Z:$AA,COLUMNS(Definitions!$Z:$AA),FALSE))</f>
        <v>0</v>
      </c>
      <c r="AA12" s="20">
        <f>IF(M12="",0,VLOOKUP(M12,Definitions!$Z:$AA,COLUMNS(Definitions!$Z:$AA),FALSE))</f>
        <v>0</v>
      </c>
      <c r="AB12" s="20">
        <f>IF(N12="",0,VLOOKUP(N12,Definitions!$Z:$AA,COLUMNS(Definitions!$Z:$AA),FALSE))</f>
        <v>0</v>
      </c>
      <c r="AC12" s="20">
        <f>IF(O12="",0,VLOOKUP(O12,Definitions!$Z:$AA,COLUMNS(Definitions!$Z:$AA),FALSE))</f>
        <v>0</v>
      </c>
      <c r="AD12" s="20">
        <f t="shared" ca="1" si="0"/>
        <v>0</v>
      </c>
      <c r="AE12" s="20" t="str" cm="1">
        <f t="array" ref="AE12">IF($G12="","",","&amp;SanitizeInput($G12))</f>
        <v/>
      </c>
      <c r="AF12" s="20" t="b" cm="1">
        <f t="array" aca="1" ref="AF12" ca="1">OR($AK12,_xlfn.LAMBDA(_xlpm._ownID,_xlpm._searchHeader,_xlpm._resultHeader,_xlpm._elementCount,_xlpm._delimiter,_xlpm._activeInTreatmentRange,_xlpm._activeByAnswersRange,_xlpm._dependencies,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InverseLookup(_xlpm._ownID,_xlpm._searchHeader,_xlpm._resultHeader,1,_xlpm._elementCount,_xlpm._delimiter))))))($A12,$AE$2,$A$2,Helper!$B$4,",",$A:$V,$A:$AK,InverseLookup($A12,$AE$2,$A$2,1,Helper!$B$4,",")))</f>
        <v>0</v>
      </c>
      <c r="AG12" s="20" t="str" cm="1">
        <f t="array" aca="1" ref="AG12" ca="1">IF(OR($V12,$AF12,$AK12),IF($G12="","",","&amp;SanitizeInput($G12)),"")</f>
        <v/>
      </c>
      <c r="AH12" s="20" t="str" cm="1">
        <f t="array" ref="AH12">SUBSTITUTE(IF($V12,IF($I12="","",","&amp;SanitizeInput($I12)),""),"&gt;",",")</f>
        <v/>
      </c>
      <c r="AI12" s="20" cm="1">
        <f t="array" aca="1" ref="AI12" ca="1">IF(ROW()=ROW($AI$2)+1,0,INDEX($AI:$AI,ROW()-1))+IF($AF12,1,0)</f>
        <v>1</v>
      </c>
      <c r="AJ12" s="20" t="str" cm="1">
        <f t="array" aca="1" ref="AJ12" ca="1">IF($AF12,IF($Q12="","",","&amp;SanitizeInput($Q12)),"")</f>
        <v/>
      </c>
      <c r="AK12" s="20" t="b">
        <f ca="1">OR(CheckRelevance(SanitizeInput($D12),Questionnaire!$I:$I),CheckRelevance(SanitizeInput($D12),Questionnaire!$J:$J))</f>
        <v>0</v>
      </c>
      <c r="AL12" s="20" t="str" cm="1">
        <f t="array" aca="1" ref="AL12"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FilterPreconditionCandidates(RemoveFirstElement(_xlpm._preconditionCandidates),_xlpm._searchColumn,_xlpm._delimiter))))(SanitizeInput($D12),Questionnaire!$AA:$AA,",")</f>
        <v/>
      </c>
      <c r="AM12" s="20" t="str" cm="1">
        <f t="array" aca="1" ref="AM12" ca="1">IF($D12="*","",InverseLookupList($AL12,Questionnaire!$AA$3,Questionnaire!$A$3,Helper!$B$12,","))</f>
        <v/>
      </c>
      <c r="AN12" s="20" t="str" cm="1">
        <f t="array" aca="1" ref="AN12" ca="1">RemoveDelimiter(GetValues($AM12,Questionnaire!$A:$G," ",CHAR(10)&amp;CHAR(10),TRUE),CHAR(10)&amp;CHAR(10))</f>
        <v/>
      </c>
      <c r="AO12" s="20" t="str" cm="1">
        <f t="array" aca="1" ref="AO12" ca="1">CreateSearchString($AM12)</f>
        <v/>
      </c>
      <c r="AP12" s="20" t="str" cm="1">
        <f t="array" aca="1" ref="AP12" ca="1">InverseLookup($A12,Mitigation!$AD$2,Mitigation!$A$2,1,Helper!$B$5,",")</f>
        <v/>
      </c>
      <c r="AQ12" s="20" t="str" cm="1">
        <f t="array" aca="1" ref="AQ12" ca="1">CreateSearchString(GetValues($AP12,'Attack Steps'!$A:$O,"",",",FALSE))</f>
        <v/>
      </c>
      <c r="AR12" s="20" t="str">
        <f t="shared" si="1"/>
        <v>C9</v>
      </c>
    </row>
    <row r="13" spans="1:44" ht="45" x14ac:dyDescent="0.25">
      <c r="A13" s="10" t="s">
        <v>404</v>
      </c>
      <c r="B13" s="13" t="s">
        <v>735</v>
      </c>
      <c r="C13" s="13" t="s">
        <v>1746</v>
      </c>
      <c r="D13" s="13" t="s">
        <v>1677</v>
      </c>
      <c r="E13" s="13"/>
      <c r="F13" s="33" t="str" cm="1">
        <f t="array" ref="F13">LookupNames(SanitizeInput($E13),'Attack Steps'!$A:$B)</f>
        <v/>
      </c>
      <c r="G13" s="23" t="s">
        <v>767</v>
      </c>
      <c r="H13" s="33" t="str" cm="1">
        <f t="array" aca="1" ref="H13" ca="1">RemoveDelimiter(GetValuesWithFallback(SanitizeInput($G13),$A:$B,Assumptions!$A:$B," ",","&amp;CHAR(10),TRUE),","&amp;CHAR(10))</f>
        <v>C11 CR 2.10 – Response to audit processing failures,
C12 CR 2.11 – Timestamps</v>
      </c>
      <c r="I13" s="23"/>
      <c r="J13" s="37" t="str" cm="1">
        <f t="array" ref="J13">IF($I13="","",SUBSTITUTE(SUBSTITUTE(SUBSTITUTE(SUBSTITUTE(SUBSTITUTE(SUBSTITUTE(SUBSTITUTE(SUBSTITUTE(SUBSTITUTE(
GetTransformation(SanitizeInput($I13),'Damage Scenarios'!$A:$J,COLUMNS('Damage Scenarios'!$A:$J),CHAR(10),"[#0][#1][#2]")&amp;"§",
"[#1][#2]",""),
"[#2]",""),
"[#0][#1]","[#1]"),
"[#0]","Removes:"&amp;CHAR(10)),
"[#1]","Transforms:"&amp;CHAR(10)),
CHAR(10)&amp;"§",""),
"§",""),
CHAR(10),CHAR(10)&amp;"   "),
"   "&amp;"Transforms:","Transforms:"))</f>
        <v/>
      </c>
      <c r="K13" s="13"/>
      <c r="L13" s="13"/>
      <c r="M13" s="13"/>
      <c r="N13" s="13"/>
      <c r="O13" s="13"/>
      <c r="P13" s="33" t="str">
        <f ca="1">IF($A13="","",IFERROR(VLOOKUP($AD13,Definitions!$V:$W,COLUMNS(Definitions!$V:$W),TRUE),""))</f>
        <v>Basic</v>
      </c>
      <c r="Q13" s="23" t="s">
        <v>1613</v>
      </c>
      <c r="R13" s="23"/>
      <c r="S13" s="13"/>
      <c r="T13" s="10" cm="1">
        <f t="array" ref="T13">IF(ROW()=ROW($T$2)+1,0,INDEX($T:$T,ROW()-1))+IF($A13="",0,1)</f>
        <v>11</v>
      </c>
      <c r="U13" s="20" t="b" cm="1">
        <f t="array" ref="U13">CheckRelevance(SanitizeInput(E13),Questionnaire!$I:$I)</f>
        <v>0</v>
      </c>
      <c r="V13" s="20" t="b">
        <f>IFERROR(_xlfn.XMATCH("*,"&amp;$A13&amp;",*",Mitigation!$X:$X,2)&gt;0,FALSE)</f>
        <v>0</v>
      </c>
      <c r="W13" s="20" cm="1">
        <f t="array" ref="W13">CreateTaskID($W$2,$W:$W,Tasks!$B$17,$S13)</f>
        <v>0</v>
      </c>
      <c r="X13" s="20" t="str" cm="1">
        <f t="array" ref="X13">IF($E13="","",","&amp;SanitizeInput($E13))</f>
        <v/>
      </c>
      <c r="Y13" s="20">
        <f>IF(K13="",0,VLOOKUP(K13,Definitions!$Z:$AA,COLUMNS(Definitions!$Z:$AA),FALSE))</f>
        <v>0</v>
      </c>
      <c r="Z13" s="20">
        <f>IF(L13="",0,VLOOKUP(L13,Definitions!$Z:$AA,COLUMNS(Definitions!$Z:$AA),FALSE))</f>
        <v>0</v>
      </c>
      <c r="AA13" s="20">
        <f>IF(M13="",0,VLOOKUP(M13,Definitions!$Z:$AA,COLUMNS(Definitions!$Z:$AA),FALSE))</f>
        <v>0</v>
      </c>
      <c r="AB13" s="20">
        <f>IF(N13="",0,VLOOKUP(N13,Definitions!$Z:$AA,COLUMNS(Definitions!$Z:$AA),FALSE))</f>
        <v>0</v>
      </c>
      <c r="AC13" s="20">
        <f>IF(O13="",0,VLOOKUP(O13,Definitions!$Z:$AA,COLUMNS(Definitions!$Z:$AA),FALSE))</f>
        <v>0</v>
      </c>
      <c r="AD13" s="20">
        <f t="shared" ca="1" si="0"/>
        <v>0</v>
      </c>
      <c r="AE13" s="20" t="str" cm="1">
        <f t="array" ref="AE13">IF($G13="","",","&amp;SanitizeInput($G13))</f>
        <v>,C11,C12,</v>
      </c>
      <c r="AF13" s="20" t="b" cm="1">
        <f t="array" aca="1" ref="AF13" ca="1">OR($AK13,_xlfn.LAMBDA(_xlpm._ownID,_xlpm._searchHeader,_xlpm._resultHeader,_xlpm._elementCount,_xlpm._delimiter,_xlpm._activeInTreatmentRange,_xlpm._activeByAnswersRange,_xlpm._dependencies,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InverseLookup(_xlpm._ownID,_xlpm._searchHeader,_xlpm._resultHeader,1,_xlpm._elementCount,_xlpm._delimiter))))))($A13,$AE$2,$A$2,Helper!$B$4,",",$A:$V,$A:$AK,InverseLookup($A13,$AE$2,$A$2,1,Helper!$B$4,",")))</f>
        <v>0</v>
      </c>
      <c r="AG13" s="20" t="str" cm="1">
        <f t="array" aca="1" ref="AG13" ca="1">IF(OR($V13,$AF13,$AK13),IF($G13="","",","&amp;SanitizeInput($G13)),"")</f>
        <v/>
      </c>
      <c r="AH13" s="20" t="str" cm="1">
        <f t="array" ref="AH13">SUBSTITUTE(IF($V13,IF($I13="","",","&amp;SanitizeInput($I13)),""),"&gt;",",")</f>
        <v/>
      </c>
      <c r="AI13" s="20" cm="1">
        <f t="array" aca="1" ref="AI13" ca="1">IF(ROW()=ROW($AI$2)+1,0,INDEX($AI:$AI,ROW()-1))+IF($AF13,1,0)</f>
        <v>1</v>
      </c>
      <c r="AJ13" s="20" t="str" cm="1">
        <f t="array" aca="1" ref="AJ13" ca="1">IF($AF13,IF($Q13="","",","&amp;SanitizeInput($Q13)),"")</f>
        <v/>
      </c>
      <c r="AK13" s="20" t="b">
        <f ca="1">OR(CheckRelevance(SanitizeInput($D13),Questionnaire!$I:$I),CheckRelevance(SanitizeInput($D13),Questionnaire!$J:$J))</f>
        <v>0</v>
      </c>
      <c r="AL13" s="20" t="str" cm="1">
        <f t="array" aca="1" ref="AL13"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FilterPreconditionCandidates(RemoveFirstElement(_xlpm._preconditionCandidates),_xlpm._searchColumn,_xlpm._delimiter))))(SanitizeInput($D13),Questionnaire!$AA:$AA,",")</f>
        <v/>
      </c>
      <c r="AM13" s="20" t="str" cm="1">
        <f t="array" aca="1" ref="AM13" ca="1">IF($D13="*","",InverseLookupList($AL13,Questionnaire!$AA$3,Questionnaire!$A$3,Helper!$B$12,","))</f>
        <v/>
      </c>
      <c r="AN13" s="20" t="str" cm="1">
        <f t="array" aca="1" ref="AN13" ca="1">RemoveDelimiter(GetValues($AM13,Questionnaire!$A:$G," ",CHAR(10)&amp;CHAR(10),TRUE),CHAR(10)&amp;CHAR(10))</f>
        <v/>
      </c>
      <c r="AO13" s="20" t="str" cm="1">
        <f t="array" aca="1" ref="AO13" ca="1">CreateSearchString($AM13)</f>
        <v/>
      </c>
      <c r="AP13" s="20" t="str" cm="1">
        <f t="array" aca="1" ref="AP13" ca="1">InverseLookup($A13,Mitigation!$AD$2,Mitigation!$A$2,1,Helper!$B$5,",")</f>
        <v/>
      </c>
      <c r="AQ13" s="20" t="str" cm="1">
        <f t="array" aca="1" ref="AQ13" ca="1">CreateSearchString(GetValues($AP13,'Attack Steps'!$A:$O,"",",",FALSE))</f>
        <v/>
      </c>
      <c r="AR13" s="20" t="str">
        <f t="shared" si="1"/>
        <v>C10</v>
      </c>
    </row>
    <row r="14" spans="1:44" x14ac:dyDescent="0.25">
      <c r="A14" s="10" t="s">
        <v>405</v>
      </c>
      <c r="B14" s="13" t="s">
        <v>736</v>
      </c>
      <c r="C14" s="13" t="s">
        <v>1746</v>
      </c>
      <c r="D14" s="13"/>
      <c r="E14" s="13"/>
      <c r="F14" s="33" t="str" cm="1">
        <f t="array" ref="F14">LookupNames(SanitizeInput($E14),'Attack Steps'!$A:$B)</f>
        <v/>
      </c>
      <c r="G14" s="23"/>
      <c r="H14" s="33" t="str" cm="1">
        <f t="array" ref="H14">RemoveDelimiter(GetValuesWithFallback(SanitizeInput($G14),$A:$B,Assumptions!$A:$B," ",","&amp;CHAR(10),TRUE),","&amp;CHAR(10))</f>
        <v/>
      </c>
      <c r="I14" s="23"/>
      <c r="J14" s="37" t="str" cm="1">
        <f t="array" ref="J14">IF($I14="","",SUBSTITUTE(SUBSTITUTE(SUBSTITUTE(SUBSTITUTE(SUBSTITUTE(SUBSTITUTE(SUBSTITUTE(SUBSTITUTE(SUBSTITUTE(
GetTransformation(SanitizeInput($I14),'Damage Scenarios'!$A:$J,COLUMNS('Damage Scenarios'!$A:$J),CHAR(10),"[#0][#1][#2]")&amp;"§",
"[#1][#2]",""),
"[#2]",""),
"[#0][#1]","[#1]"),
"[#0]","Removes:"&amp;CHAR(10)),
"[#1]","Transforms:"&amp;CHAR(10)),
CHAR(10)&amp;"§",""),
"§",""),
CHAR(10),CHAR(10)&amp;"   "),
"   "&amp;"Transforms:","Transforms:"))</f>
        <v/>
      </c>
      <c r="K14" s="13"/>
      <c r="L14" s="13"/>
      <c r="M14" s="13"/>
      <c r="N14" s="13"/>
      <c r="O14" s="13"/>
      <c r="P14" s="33" t="str">
        <f ca="1">IF($A14="","",IFERROR(VLOOKUP($AD14,Definitions!$V:$W,COLUMNS(Definitions!$V:$W),TRUE),""))</f>
        <v>Basic</v>
      </c>
      <c r="Q14" s="23" t="s">
        <v>606</v>
      </c>
      <c r="R14" s="23"/>
      <c r="S14" s="13"/>
      <c r="T14" s="10" cm="1">
        <f t="array" ref="T14">IF(ROW()=ROW($T$2)+1,0,INDEX($T:$T,ROW()-1))+IF($A14="",0,1)</f>
        <v>12</v>
      </c>
      <c r="U14" s="20" t="b" cm="1">
        <f t="array" ref="U14">CheckRelevance(SanitizeInput(E14),Questionnaire!$I:$I)</f>
        <v>0</v>
      </c>
      <c r="V14" s="20" t="b">
        <f>IFERROR(_xlfn.XMATCH("*,"&amp;$A14&amp;",*",Mitigation!$X:$X,2)&gt;0,FALSE)</f>
        <v>0</v>
      </c>
      <c r="W14" s="20" cm="1">
        <f t="array" ref="W14">CreateTaskID($W$2,$W:$W,Tasks!$B$17,$S14)</f>
        <v>0</v>
      </c>
      <c r="X14" s="20" t="str" cm="1">
        <f t="array" ref="X14">IF($E14="","",","&amp;SanitizeInput($E14))</f>
        <v/>
      </c>
      <c r="Y14" s="20">
        <f>IF(K14="",0,VLOOKUP(K14,Definitions!$Z:$AA,COLUMNS(Definitions!$Z:$AA),FALSE))</f>
        <v>0</v>
      </c>
      <c r="Z14" s="20">
        <f>IF(L14="",0,VLOOKUP(L14,Definitions!$Z:$AA,COLUMNS(Definitions!$Z:$AA),FALSE))</f>
        <v>0</v>
      </c>
      <c r="AA14" s="20">
        <f>IF(M14="",0,VLOOKUP(M14,Definitions!$Z:$AA,COLUMNS(Definitions!$Z:$AA),FALSE))</f>
        <v>0</v>
      </c>
      <c r="AB14" s="20">
        <f>IF(N14="",0,VLOOKUP(N14,Definitions!$Z:$AA,COLUMNS(Definitions!$Z:$AA),FALSE))</f>
        <v>0</v>
      </c>
      <c r="AC14" s="20">
        <f>IF(O14="",0,VLOOKUP(O14,Definitions!$Z:$AA,COLUMNS(Definitions!$Z:$AA),FALSE))</f>
        <v>0</v>
      </c>
      <c r="AD14" s="20">
        <f t="shared" ca="1" si="0"/>
        <v>0</v>
      </c>
      <c r="AE14" s="20" t="str" cm="1">
        <f t="array" ref="AE14">IF($G14="","",","&amp;SanitizeInput($G14))</f>
        <v/>
      </c>
      <c r="AF14" s="20" t="b" cm="1">
        <f t="array" aca="1" ref="AF14" ca="1">OR($AK14,_xlfn.LAMBDA(_xlpm._ownID,_xlpm._searchHeader,_xlpm._resultHeader,_xlpm._elementCount,_xlpm._delimiter,_xlpm._activeInTreatmentRange,_xlpm._activeByAnswersRange,_xlpm._dependencies,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InverseLookup(_xlpm._ownID,_xlpm._searchHeader,_xlpm._resultHeader,1,_xlpm._elementCount,_xlpm._delimiter))))))($A14,$AE$2,$A$2,Helper!$B$4,",",$A:$V,$A:$AK,InverseLookup($A14,$AE$2,$A$2,1,Helper!$B$4,",")))</f>
        <v>0</v>
      </c>
      <c r="AG14" s="20" t="str" cm="1">
        <f t="array" aca="1" ref="AG14" ca="1">IF(OR($V14,$AF14,$AK14),IF($G14="","",","&amp;SanitizeInput($G14)),"")</f>
        <v/>
      </c>
      <c r="AH14" s="20" t="str" cm="1">
        <f t="array" ref="AH14">SUBSTITUTE(IF($V14,IF($I14="","",","&amp;SanitizeInput($I14)),""),"&gt;",",")</f>
        <v/>
      </c>
      <c r="AI14" s="20" cm="1">
        <f t="array" aca="1" ref="AI14" ca="1">IF(ROW()=ROW($AI$2)+1,0,INDEX($AI:$AI,ROW()-1))+IF($AF14,1,0)</f>
        <v>1</v>
      </c>
      <c r="AJ14" s="20" t="str" cm="1">
        <f t="array" aca="1" ref="AJ14" ca="1">IF($AF14,IF($Q14="","",","&amp;SanitizeInput($Q14)),"")</f>
        <v/>
      </c>
      <c r="AK14" s="20" t="b">
        <f>OR(CheckRelevance(SanitizeInput($D14),Questionnaire!$I:$I),CheckRelevance(SanitizeInput($D14),Questionnaire!$J:$J))</f>
        <v>0</v>
      </c>
      <c r="AL14" s="20" t="str" cm="1">
        <f t="array" ref="AL1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FilterPreconditionCandidates(RemoveFirstElement(_xlpm._preconditionCandidates),_xlpm._searchColumn,_xlpm._delimiter))))(SanitizeInput($D14),Questionnaire!$AA:$AA,",")</f>
        <v/>
      </c>
      <c r="AM14" s="20" t="str" cm="1">
        <f t="array" ref="AM14">IF($D14="*","",InverseLookupList($AL14,Questionnaire!$AA$3,Questionnaire!$A$3,Helper!$B$12,","))</f>
        <v/>
      </c>
      <c r="AN14" s="20" t="str" cm="1">
        <f t="array" ref="AN14">RemoveDelimiter(GetValues($AM14,Questionnaire!$A:$G," ",CHAR(10)&amp;CHAR(10),TRUE),CHAR(10)&amp;CHAR(10))</f>
        <v/>
      </c>
      <c r="AO14" s="20" t="str" cm="1">
        <f t="array" ref="AO14">CreateSearchString($AM14)</f>
        <v/>
      </c>
      <c r="AP14" s="20" t="str" cm="1">
        <f t="array" aca="1" ref="AP14" ca="1">InverseLookup($A14,Mitigation!$AD$2,Mitigation!$A$2,1,Helper!$B$5,",")</f>
        <v/>
      </c>
      <c r="AQ14" s="20" t="str" cm="1">
        <f t="array" aca="1" ref="AQ14" ca="1">CreateSearchString(GetValues($AP14,'Attack Steps'!$A:$O,"",",",FALSE))</f>
        <v/>
      </c>
      <c r="AR14" s="20" t="str">
        <f t="shared" si="1"/>
        <v>C11</v>
      </c>
    </row>
    <row r="15" spans="1:44" x14ac:dyDescent="0.25">
      <c r="A15" s="10" t="s">
        <v>406</v>
      </c>
      <c r="B15" s="13" t="s">
        <v>1759</v>
      </c>
      <c r="C15" s="13" t="s">
        <v>1746</v>
      </c>
      <c r="D15" s="13"/>
      <c r="E15" s="13"/>
      <c r="F15" s="33" t="str" cm="1">
        <f t="array" ref="F15">LookupNames(SanitizeInput($E15),'Attack Steps'!$A:$B)</f>
        <v/>
      </c>
      <c r="G15" s="23"/>
      <c r="H15" s="33" t="str" cm="1">
        <f t="array" ref="H15">RemoveDelimiter(GetValuesWithFallback(SanitizeInput($G15),$A:$B,Assumptions!$A:$B," ",","&amp;CHAR(10),TRUE),","&amp;CHAR(10))</f>
        <v/>
      </c>
      <c r="I15" s="23"/>
      <c r="J15" s="37" t="str" cm="1">
        <f t="array" ref="J15">IF($I15="","",SUBSTITUTE(SUBSTITUTE(SUBSTITUTE(SUBSTITUTE(SUBSTITUTE(SUBSTITUTE(SUBSTITUTE(SUBSTITUTE(SUBSTITUTE(
GetTransformation(SanitizeInput($I15),'Damage Scenarios'!$A:$J,COLUMNS('Damage Scenarios'!$A:$J),CHAR(10),"[#0][#1][#2]")&amp;"§",
"[#1][#2]",""),
"[#2]",""),
"[#0][#1]","[#1]"),
"[#0]","Removes:"&amp;CHAR(10)),
"[#1]","Transforms:"&amp;CHAR(10)),
CHAR(10)&amp;"§",""),
"§",""),
CHAR(10),CHAR(10)&amp;"   "),
"   "&amp;"Transforms:","Transforms:"))</f>
        <v/>
      </c>
      <c r="K15" s="13"/>
      <c r="L15" s="13"/>
      <c r="M15" s="13"/>
      <c r="N15" s="13"/>
      <c r="O15" s="13"/>
      <c r="P15" s="33" t="str">
        <f ca="1">IF($A15="","",IFERROR(VLOOKUP($AD15,Definitions!$V:$W,COLUMNS(Definitions!$V:$W),TRUE),""))</f>
        <v>Basic</v>
      </c>
      <c r="Q15" s="23" t="s">
        <v>1613</v>
      </c>
      <c r="R15" s="23"/>
      <c r="S15" s="13"/>
      <c r="T15" s="10" cm="1">
        <f t="array" ref="T15">IF(ROW()=ROW($T$2)+1,0,INDEX($T:$T,ROW()-1))+IF($A15="",0,1)</f>
        <v>13</v>
      </c>
      <c r="U15" s="20" t="b" cm="1">
        <f t="array" ref="U15">CheckRelevance(SanitizeInput(E15),Questionnaire!$I:$I)</f>
        <v>0</v>
      </c>
      <c r="V15" s="20" t="b">
        <f>IFERROR(_xlfn.XMATCH("*,"&amp;$A15&amp;",*",Mitigation!$X:$X,2)&gt;0,FALSE)</f>
        <v>0</v>
      </c>
      <c r="W15" s="20" cm="1">
        <f t="array" ref="W15">CreateTaskID($W$2,$W:$W,Tasks!$B$17,$S15)</f>
        <v>0</v>
      </c>
      <c r="X15" s="20" t="str" cm="1">
        <f t="array" ref="X15">IF($E15="","",","&amp;SanitizeInput($E15))</f>
        <v/>
      </c>
      <c r="Y15" s="20">
        <f>IF(K15="",0,VLOOKUP(K15,Definitions!$Z:$AA,COLUMNS(Definitions!$Z:$AA),FALSE))</f>
        <v>0</v>
      </c>
      <c r="Z15" s="20">
        <f>IF(L15="",0,VLOOKUP(L15,Definitions!$Z:$AA,COLUMNS(Definitions!$Z:$AA),FALSE))</f>
        <v>0</v>
      </c>
      <c r="AA15" s="20">
        <f>IF(M15="",0,VLOOKUP(M15,Definitions!$Z:$AA,COLUMNS(Definitions!$Z:$AA),FALSE))</f>
        <v>0</v>
      </c>
      <c r="AB15" s="20">
        <f>IF(N15="",0,VLOOKUP(N15,Definitions!$Z:$AA,COLUMNS(Definitions!$Z:$AA),FALSE))</f>
        <v>0</v>
      </c>
      <c r="AC15" s="20">
        <f>IF(O15="",0,VLOOKUP(O15,Definitions!$Z:$AA,COLUMNS(Definitions!$Z:$AA),FALSE))</f>
        <v>0</v>
      </c>
      <c r="AD15" s="20">
        <f t="shared" ca="1" si="0"/>
        <v>0</v>
      </c>
      <c r="AE15" s="20" t="str" cm="1">
        <f t="array" ref="AE15">IF($G15="","",","&amp;SanitizeInput($G15))</f>
        <v/>
      </c>
      <c r="AF15" s="20" t="b" cm="1">
        <f t="array" aca="1" ref="AF15" ca="1">OR($AK15,_xlfn.LAMBDA(_xlpm._ownID,_xlpm._searchHeader,_xlpm._resultHeader,_xlpm._elementCount,_xlpm._delimiter,_xlpm._activeInTreatmentRange,_xlpm._activeByAnswersRange,_xlpm._dependencies,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InverseLookup(_xlpm._ownID,_xlpm._searchHeader,_xlpm._resultHeader,1,_xlpm._elementCount,_xlpm._delimiter))))))($A15,$AE$2,$A$2,Helper!$B$4,",",$A:$V,$A:$AK,InverseLookup($A15,$AE$2,$A$2,1,Helper!$B$4,",")))</f>
        <v>0</v>
      </c>
      <c r="AG15" s="20" t="str" cm="1">
        <f t="array" aca="1" ref="AG15" ca="1">IF(OR($V15,$AF15,$AK15),IF($G15="","",","&amp;SanitizeInput($G15)),"")</f>
        <v/>
      </c>
      <c r="AH15" s="20" t="str" cm="1">
        <f t="array" ref="AH15">SUBSTITUTE(IF($V15,IF($I15="","",","&amp;SanitizeInput($I15)),""),"&gt;",",")</f>
        <v/>
      </c>
      <c r="AI15" s="20" cm="1">
        <f t="array" aca="1" ref="AI15" ca="1">IF(ROW()=ROW($AI$2)+1,0,INDEX($AI:$AI,ROW()-1))+IF($AF15,1,0)</f>
        <v>1</v>
      </c>
      <c r="AJ15" s="20" t="str" cm="1">
        <f t="array" aca="1" ref="AJ15" ca="1">IF($AF15,IF($Q15="","",","&amp;SanitizeInput($Q15)),"")</f>
        <v/>
      </c>
      <c r="AK15" s="20" t="b">
        <f>OR(CheckRelevance(SanitizeInput($D15),Questionnaire!$I:$I),CheckRelevance(SanitizeInput($D15),Questionnaire!$J:$J))</f>
        <v>0</v>
      </c>
      <c r="AL15" s="20" t="str" cm="1">
        <f t="array" ref="AL1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FilterPreconditionCandidates(RemoveFirstElement(_xlpm._preconditionCandidates),_xlpm._searchColumn,_xlpm._delimiter))))(SanitizeInput($D15),Questionnaire!$AA:$AA,",")</f>
        <v/>
      </c>
      <c r="AM15" s="20" t="str" cm="1">
        <f t="array" ref="AM15">IF($D15="*","",InverseLookupList($AL15,Questionnaire!$AA$3,Questionnaire!$A$3,Helper!$B$12,","))</f>
        <v/>
      </c>
      <c r="AN15" s="20" t="str" cm="1">
        <f t="array" ref="AN15">RemoveDelimiter(GetValues($AM15,Questionnaire!$A:$G," ",CHAR(10)&amp;CHAR(10),TRUE),CHAR(10)&amp;CHAR(10))</f>
        <v/>
      </c>
      <c r="AO15" s="20" t="str" cm="1">
        <f t="array" ref="AO15">CreateSearchString($AM15)</f>
        <v/>
      </c>
      <c r="AP15" s="20" t="str" cm="1">
        <f t="array" aca="1" ref="AP15" ca="1">InverseLookup($A15,Mitigation!$AD$2,Mitigation!$A$2,1,Helper!$B$5,",")</f>
        <v/>
      </c>
      <c r="AQ15" s="20" t="str" cm="1">
        <f t="array" aca="1" ref="AQ15" ca="1">CreateSearchString(GetValues($AP15,'Attack Steps'!$A:$O,"",",",FALSE))</f>
        <v/>
      </c>
      <c r="AR15" s="20" t="str">
        <f t="shared" si="1"/>
        <v>C12</v>
      </c>
    </row>
    <row r="16" spans="1:44" x14ac:dyDescent="0.25">
      <c r="A16" s="10" t="s">
        <v>407</v>
      </c>
      <c r="B16" s="13" t="s">
        <v>737</v>
      </c>
      <c r="C16" s="13" t="s">
        <v>1746</v>
      </c>
      <c r="D16" s="13" t="s">
        <v>418</v>
      </c>
      <c r="E16" s="13"/>
      <c r="F16" s="33" t="str" cm="1">
        <f t="array" ref="F16">LookupNames(SanitizeInput($E16),'Attack Steps'!$A:$B)</f>
        <v/>
      </c>
      <c r="G16" s="23"/>
      <c r="H16" s="33" t="str" cm="1">
        <f t="array" ref="H16">RemoveDelimiter(GetValuesWithFallback(SanitizeInput($G16),$A:$B,Assumptions!$A:$B," ",","&amp;CHAR(10),TRUE),","&amp;CHAR(10))</f>
        <v/>
      </c>
      <c r="I16" s="23"/>
      <c r="J16" s="37" t="str" cm="1">
        <f t="array" ref="J16">IF($I16="","",SUBSTITUTE(SUBSTITUTE(SUBSTITUTE(SUBSTITUTE(SUBSTITUTE(SUBSTITUTE(SUBSTITUTE(SUBSTITUTE(SUBSTITUTE(
GetTransformation(SanitizeInput($I16),'Damage Scenarios'!$A:$J,COLUMNS('Damage Scenarios'!$A:$J),CHAR(10),"[#0][#1][#2]")&amp;"§",
"[#1][#2]",""),
"[#2]",""),
"[#0][#1]","[#1]"),
"[#0]","Removes:"&amp;CHAR(10)),
"[#1]","Transforms:"&amp;CHAR(10)),
CHAR(10)&amp;"§",""),
"§",""),
CHAR(10),CHAR(10)&amp;"   "),
"   "&amp;"Transforms:","Transforms:"))</f>
        <v/>
      </c>
      <c r="K16" s="13"/>
      <c r="L16" s="13"/>
      <c r="M16" s="13"/>
      <c r="N16" s="13"/>
      <c r="O16" s="13"/>
      <c r="P16" s="33" t="str">
        <f ca="1">IF($A16="","",IFERROR(VLOOKUP($AD16,Definitions!$V:$W,COLUMNS(Definitions!$V:$W),TRUE),""))</f>
        <v>Basic</v>
      </c>
      <c r="Q16" s="23" t="s">
        <v>604</v>
      </c>
      <c r="R16" s="23"/>
      <c r="S16" s="13"/>
      <c r="T16" s="10" cm="1">
        <f t="array" ref="T16">IF(ROW()=ROW($T$2)+1,0,INDEX($T:$T,ROW()-1))+IF($A16="",0,1)</f>
        <v>14</v>
      </c>
      <c r="U16" s="20" t="b" cm="1">
        <f t="array" ref="U16">CheckRelevance(SanitizeInput(E16),Questionnaire!$I:$I)</f>
        <v>0</v>
      </c>
      <c r="V16" s="20" t="b">
        <f>IFERROR(_xlfn.XMATCH("*,"&amp;$A16&amp;",*",Mitigation!$X:$X,2)&gt;0,FALSE)</f>
        <v>0</v>
      </c>
      <c r="W16" s="20" cm="1">
        <f t="array" ref="W16">CreateTaskID($W$2,$W:$W,Tasks!$B$17,$S16)</f>
        <v>0</v>
      </c>
      <c r="X16" s="20" t="str" cm="1">
        <f t="array" ref="X16">IF($E16="","",","&amp;SanitizeInput($E16))</f>
        <v/>
      </c>
      <c r="Y16" s="20">
        <f>IF(K16="",0,VLOOKUP(K16,Definitions!$Z:$AA,COLUMNS(Definitions!$Z:$AA),FALSE))</f>
        <v>0</v>
      </c>
      <c r="Z16" s="20">
        <f>IF(L16="",0,VLOOKUP(L16,Definitions!$Z:$AA,COLUMNS(Definitions!$Z:$AA),FALSE))</f>
        <v>0</v>
      </c>
      <c r="AA16" s="20">
        <f>IF(M16="",0,VLOOKUP(M16,Definitions!$Z:$AA,COLUMNS(Definitions!$Z:$AA),FALSE))</f>
        <v>0</v>
      </c>
      <c r="AB16" s="20">
        <f>IF(N16="",0,VLOOKUP(N16,Definitions!$Z:$AA,COLUMNS(Definitions!$Z:$AA),FALSE))</f>
        <v>0</v>
      </c>
      <c r="AC16" s="20">
        <f>IF(O16="",0,VLOOKUP(O16,Definitions!$Z:$AA,COLUMNS(Definitions!$Z:$AA),FALSE))</f>
        <v>0</v>
      </c>
      <c r="AD16" s="20">
        <f t="shared" ca="1" si="0"/>
        <v>0</v>
      </c>
      <c r="AE16" s="20" t="str" cm="1">
        <f t="array" ref="AE16">IF($G16="","",","&amp;SanitizeInput($G16))</f>
        <v/>
      </c>
      <c r="AF16" s="20" t="b" cm="1">
        <f t="array" aca="1" ref="AF16" ca="1">OR($AK16,_xlfn.LAMBDA(_xlpm._ownID,_xlpm._searchHeader,_xlpm._resultHeader,_xlpm._elementCount,_xlpm._delimiter,_xlpm._activeInTreatmentRange,_xlpm._activeByAnswersRange,_xlpm._dependencies,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InverseLookup(_xlpm._ownID,_xlpm._searchHeader,_xlpm._resultHeader,1,_xlpm._elementCount,_xlpm._delimiter))))))($A16,$AE$2,$A$2,Helper!$B$4,",",$A:$V,$A:$AK,InverseLookup($A16,$AE$2,$A$2,1,Helper!$B$4,",")))</f>
        <v>1</v>
      </c>
      <c r="AG16" s="20" t="str" cm="1">
        <f t="array" aca="1" ref="AG16" ca="1">IF(OR($V16,$AF16,$AK16),IF($G16="","",","&amp;SanitizeInput($G16)),"")</f>
        <v/>
      </c>
      <c r="AH16" s="20" t="str" cm="1">
        <f t="array" ref="AH16">SUBSTITUTE(IF($V16,IF($I16="","",","&amp;SanitizeInput($I16)),""),"&gt;",",")</f>
        <v/>
      </c>
      <c r="AI16" s="20" cm="1">
        <f t="array" aca="1" ref="AI16" ca="1">IF(ROW()=ROW($AI$2)+1,0,INDEX($AI:$AI,ROW()-1))+IF($AF16,1,0)</f>
        <v>2</v>
      </c>
      <c r="AJ16" s="20" t="str" cm="1">
        <f t="array" aca="1" ref="AJ16" ca="1">IF($AF16,IF($Q16="","",","&amp;SanitizeInput($Q16)),"")</f>
        <v>,f,</v>
      </c>
      <c r="AK16" s="20" t="b">
        <f>OR(CheckRelevance(SanitizeInput($D16),Questionnaire!$I:$I),CheckRelevance(SanitizeInput($D16),Questionnaire!$J:$J))</f>
        <v>1</v>
      </c>
      <c r="AL16" s="20" t="str" cm="1">
        <f t="array" ref="AL1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FilterPreconditionCandidates(RemoveFirstElement(_xlpm._preconditionCandidates),_xlpm._searchColumn,_xlpm._delimiter))))(SanitizeInput($D16),Questionnaire!$AA:$AA,",")</f>
        <v>*,</v>
      </c>
      <c r="AM16" s="20" t="str" cm="1">
        <f t="array" ref="AM16">IF($D16="*","",InverseLookupList($AL16,Questionnaire!$AA$3,Questionnaire!$A$3,Helper!$B$12,","))</f>
        <v/>
      </c>
      <c r="AN16" s="20" t="str" cm="1">
        <f t="array" ref="AN16">RemoveDelimiter(GetValues($AM16,Questionnaire!$A:$G," ",CHAR(10)&amp;CHAR(10),TRUE),CHAR(10)&amp;CHAR(10))</f>
        <v/>
      </c>
      <c r="AO16" s="20" t="str" cm="1">
        <f t="array" ref="AO16">CreateSearchString($AM16)</f>
        <v/>
      </c>
      <c r="AP16" s="20" t="str" cm="1">
        <f t="array" aca="1" ref="AP16" ca="1">InverseLookup($A16,Mitigation!$AD$2,Mitigation!$A$2,1,Helper!$B$5,",")</f>
        <v/>
      </c>
      <c r="AQ16" s="20" t="str" cm="1">
        <f t="array" aca="1" ref="AQ16" ca="1">CreateSearchString(GetValues($AP16,'Attack Steps'!$A:$O,"",",",FALSE))</f>
        <v/>
      </c>
      <c r="AR16" s="20" t="str">
        <f t="shared" si="1"/>
        <v>C13</v>
      </c>
    </row>
    <row r="17" spans="1:44" ht="30" x14ac:dyDescent="0.25">
      <c r="A17" s="10" t="s">
        <v>408</v>
      </c>
      <c r="B17" s="13" t="s">
        <v>738</v>
      </c>
      <c r="C17" s="13" t="s">
        <v>1746</v>
      </c>
      <c r="D17" s="13" t="s">
        <v>1677</v>
      </c>
      <c r="E17" s="13"/>
      <c r="F17" s="33" t="str" cm="1">
        <f t="array" ref="F17">LookupNames(SanitizeInput($E17),'Attack Steps'!$A:$B)</f>
        <v/>
      </c>
      <c r="G17" s="23"/>
      <c r="H17" s="33" t="str" cm="1">
        <f t="array" ref="H17">RemoveDelimiter(GetValuesWithFallback(SanitizeInput($G17),$A:$B,Assumptions!$A:$B," ",","&amp;CHAR(10),TRUE),","&amp;CHAR(10))</f>
        <v/>
      </c>
      <c r="I17" s="23"/>
      <c r="J17" s="37" t="str" cm="1">
        <f t="array" ref="J17">IF($I17="","",SUBSTITUTE(SUBSTITUTE(SUBSTITUTE(SUBSTITUTE(SUBSTITUTE(SUBSTITUTE(SUBSTITUTE(SUBSTITUTE(SUBSTITUTE(
GetTransformation(SanitizeInput($I17),'Damage Scenarios'!$A:$J,COLUMNS('Damage Scenarios'!$A:$J),CHAR(10),"[#0][#1][#2]")&amp;"§",
"[#1][#2]",""),
"[#2]",""),
"[#0][#1]","[#1]"),
"[#0]","Removes:"&amp;CHAR(10)),
"[#1]","Transforms:"&amp;CHAR(10)),
CHAR(10)&amp;"§",""),
"§",""),
CHAR(10),CHAR(10)&amp;"   "),
"   "&amp;"Transforms:","Transforms:"))</f>
        <v/>
      </c>
      <c r="K17" s="13"/>
      <c r="L17" s="13"/>
      <c r="M17" s="13"/>
      <c r="N17" s="13"/>
      <c r="O17" s="13"/>
      <c r="P17" s="33" t="str">
        <f ca="1">IF($A17="","",IFERROR(VLOOKUP($AD17,Definitions!$V:$W,COLUMNS(Definitions!$V:$W),TRUE),""))</f>
        <v>Basic</v>
      </c>
      <c r="Q17" s="23" t="s">
        <v>604</v>
      </c>
      <c r="R17" s="23"/>
      <c r="S17" s="13"/>
      <c r="T17" s="10" cm="1">
        <f t="array" ref="T17">IF(ROW()=ROW($T$2)+1,0,INDEX($T:$T,ROW()-1))+IF($A17="",0,1)</f>
        <v>15</v>
      </c>
      <c r="U17" s="20" t="b" cm="1">
        <f t="array" ref="U17">CheckRelevance(SanitizeInput(E17),Questionnaire!$I:$I)</f>
        <v>0</v>
      </c>
      <c r="V17" s="20" t="b">
        <f>IFERROR(_xlfn.XMATCH("*,"&amp;$A17&amp;",*",Mitigation!$X:$X,2)&gt;0,FALSE)</f>
        <v>0</v>
      </c>
      <c r="W17" s="20" cm="1">
        <f t="array" ref="W17">CreateTaskID($W$2,$W:$W,Tasks!$B$17,$S17)</f>
        <v>0</v>
      </c>
      <c r="X17" s="20" t="str" cm="1">
        <f t="array" ref="X17">IF($E17="","",","&amp;SanitizeInput($E17))</f>
        <v/>
      </c>
      <c r="Y17" s="20">
        <f>IF(K17="",0,VLOOKUP(K17,Definitions!$Z:$AA,COLUMNS(Definitions!$Z:$AA),FALSE))</f>
        <v>0</v>
      </c>
      <c r="Z17" s="20">
        <f>IF(L17="",0,VLOOKUP(L17,Definitions!$Z:$AA,COLUMNS(Definitions!$Z:$AA),FALSE))</f>
        <v>0</v>
      </c>
      <c r="AA17" s="20">
        <f>IF(M17="",0,VLOOKUP(M17,Definitions!$Z:$AA,COLUMNS(Definitions!$Z:$AA),FALSE))</f>
        <v>0</v>
      </c>
      <c r="AB17" s="20">
        <f>IF(N17="",0,VLOOKUP(N17,Definitions!$Z:$AA,COLUMNS(Definitions!$Z:$AA),FALSE))</f>
        <v>0</v>
      </c>
      <c r="AC17" s="20">
        <f>IF(O17="",0,VLOOKUP(O17,Definitions!$Z:$AA,COLUMNS(Definitions!$Z:$AA),FALSE))</f>
        <v>0</v>
      </c>
      <c r="AD17" s="20">
        <f t="shared" ca="1" si="0"/>
        <v>0</v>
      </c>
      <c r="AE17" s="20" t="str" cm="1">
        <f t="array" ref="AE17">IF($G17="","",","&amp;SanitizeInput($G17))</f>
        <v/>
      </c>
      <c r="AF17" s="20" t="b" cm="1">
        <f t="array" aca="1" ref="AF17" ca="1">OR($AK17,_xlfn.LAMBDA(_xlpm._ownID,_xlpm._searchHeader,_xlpm._resultHeader,_xlpm._elementCount,_xlpm._delimiter,_xlpm._activeInTreatmentRange,_xlpm._activeByAnswersRange,_xlpm._dependencies,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InverseLookup(_xlpm._ownID,_xlpm._searchHeader,_xlpm._resultHeader,1,_xlpm._elementCount,_xlpm._delimiter))))))($A17,$AE$2,$A$2,Helper!$B$4,",",$A:$V,$A:$AK,InverseLookup($A17,$AE$2,$A$2,1,Helper!$B$4,",")))</f>
        <v>0</v>
      </c>
      <c r="AG17" s="20" t="str" cm="1">
        <f t="array" aca="1" ref="AG17" ca="1">IF(OR($V17,$AF17,$AK17),IF($G17="","",","&amp;SanitizeInput($G17)),"")</f>
        <v/>
      </c>
      <c r="AH17" s="20" t="str" cm="1">
        <f t="array" ref="AH17">SUBSTITUTE(IF($V17,IF($I17="","",","&amp;SanitizeInput($I17)),""),"&gt;",",")</f>
        <v/>
      </c>
      <c r="AI17" s="20" cm="1">
        <f t="array" aca="1" ref="AI17" ca="1">IF(ROW()=ROW($AI$2)+1,0,INDEX($AI:$AI,ROW()-1))+IF($AF17,1,0)</f>
        <v>2</v>
      </c>
      <c r="AJ17" s="20" t="str" cm="1">
        <f t="array" aca="1" ref="AJ17" ca="1">IF($AF17,IF($Q17="","",","&amp;SanitizeInput($Q17)),"")</f>
        <v/>
      </c>
      <c r="AK17" s="20" t="b">
        <f ca="1">OR(CheckRelevance(SanitizeInput($D17),Questionnaire!$I:$I),CheckRelevance(SanitizeInput($D17),Questionnaire!$J:$J))</f>
        <v>0</v>
      </c>
      <c r="AL17" s="20" t="str" cm="1">
        <f t="array" aca="1" ref="AL17"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FilterPreconditionCandidates(RemoveFirstElement(_xlpm._preconditionCandidates),_xlpm._searchColumn,_xlpm._delimiter))))(SanitizeInput($D17),Questionnaire!$AA:$AA,",")</f>
        <v/>
      </c>
      <c r="AM17" s="20" t="str" cm="1">
        <f t="array" aca="1" ref="AM17" ca="1">IF($D17="*","",InverseLookupList($AL17,Questionnaire!$AA$3,Questionnaire!$A$3,Helper!$B$12,","))</f>
        <v/>
      </c>
      <c r="AN17" s="20" t="str" cm="1">
        <f t="array" aca="1" ref="AN17" ca="1">RemoveDelimiter(GetValues($AM17,Questionnaire!$A:$G," ",CHAR(10)&amp;CHAR(10),TRUE),CHAR(10)&amp;CHAR(10))</f>
        <v/>
      </c>
      <c r="AO17" s="20" t="str" cm="1">
        <f t="array" aca="1" ref="AO17" ca="1">CreateSearchString($AM17)</f>
        <v/>
      </c>
      <c r="AP17" s="20" t="str" cm="1">
        <f t="array" aca="1" ref="AP17" ca="1">InverseLookup($A17,Mitigation!$AD$2,Mitigation!$A$2,1,Helper!$B$5,",")</f>
        <v/>
      </c>
      <c r="AQ17" s="20" t="str" cm="1">
        <f t="array" aca="1" ref="AQ17" ca="1">CreateSearchString(GetValues($AP17,'Attack Steps'!$A:$O,"",",",FALSE))</f>
        <v/>
      </c>
      <c r="AR17" s="20" t="str">
        <f t="shared" si="1"/>
        <v>C14</v>
      </c>
    </row>
    <row r="18" spans="1:44" ht="90" x14ac:dyDescent="0.25">
      <c r="A18" s="10" t="s">
        <v>409</v>
      </c>
      <c r="B18" s="13" t="s">
        <v>739</v>
      </c>
      <c r="C18" s="13" t="s">
        <v>1746</v>
      </c>
      <c r="D18" s="13" t="s">
        <v>418</v>
      </c>
      <c r="E18" s="13" t="s">
        <v>472</v>
      </c>
      <c r="F18" s="33" t="str" cm="1">
        <f t="array" aca="1" ref="F18" ca="1">LookupNames(SanitizeInput($E18),'Attack Steps'!$A:$B)</f>
        <v>AS12 Compromising an untrusted device that communicates directly with the product,
AS17 Sending manipulated or malicious data to the product (from an untrusted source)</v>
      </c>
      <c r="G18" s="23"/>
      <c r="H18" s="33" t="str" cm="1">
        <f t="array" ref="H18">RemoveDelimiter(GetValuesWithFallback(SanitizeInput($G18),$A:$B,Assumptions!$A:$B," ",","&amp;CHAR(10),TRUE),","&amp;CHAR(10))</f>
        <v/>
      </c>
      <c r="I18" s="23"/>
      <c r="J18" s="37" t="str" cm="1">
        <f t="array" ref="J18">IF($I18="","",SUBSTITUTE(SUBSTITUTE(SUBSTITUTE(SUBSTITUTE(SUBSTITUTE(SUBSTITUTE(SUBSTITUTE(SUBSTITUTE(SUBSTITUTE(
GetTransformation(SanitizeInput($I18),'Damage Scenarios'!$A:$J,COLUMNS('Damage Scenarios'!$A:$J),CHAR(10),"[#0][#1][#2]")&amp;"§",
"[#1][#2]",""),
"[#2]",""),
"[#0][#1]","[#1]"),
"[#0]","Removes:"&amp;CHAR(10)),
"[#1]","Transforms:"&amp;CHAR(10)),
CHAR(10)&amp;"§",""),
"§",""),
CHAR(10),CHAR(10)&amp;"   "),
"   "&amp;"Transforms:","Transforms:"))</f>
        <v/>
      </c>
      <c r="K18" s="13" t="s">
        <v>133</v>
      </c>
      <c r="L18" s="13" t="s">
        <v>141</v>
      </c>
      <c r="M18" s="13" t="s">
        <v>146</v>
      </c>
      <c r="N18" s="13"/>
      <c r="O18" s="13"/>
      <c r="P18" s="33" t="str">
        <f ca="1">IF($A18="","",IFERROR(VLOOKUP($AD18,Definitions!$V:$W,COLUMNS(Definitions!$V:$W),TRUE),""))</f>
        <v>Moderate</v>
      </c>
      <c r="Q18" s="23" t="s">
        <v>1627</v>
      </c>
      <c r="R18" s="23"/>
      <c r="S18" s="13" t="s">
        <v>1252</v>
      </c>
      <c r="T18" s="10" cm="1">
        <f t="array" ref="T18">IF(ROW()=ROW($T$2)+1,0,INDEX($T:$T,ROW()-1))+IF($A18="",0,1)</f>
        <v>16</v>
      </c>
      <c r="U18" s="20" t="b" cm="1">
        <f t="array" aca="1" ref="U18" ca="1">CheckRelevance(SanitizeInput(E18),Questionnaire!$I:$I)</f>
        <v>0</v>
      </c>
      <c r="V18" s="20" t="b">
        <f>IFERROR(_xlfn.XMATCH("*,"&amp;$A18&amp;",*",Mitigation!$X:$X,2)&gt;0,FALSE)</f>
        <v>0</v>
      </c>
      <c r="W18" s="20" cm="1">
        <f t="array" ref="W18">CreateTaskID($W$2,$W:$W,Tasks!$B$17,$S18)</f>
        <v>0</v>
      </c>
      <c r="X18" s="20" t="str" cm="1">
        <f t="array" ref="X18">IF($E18="","",","&amp;SanitizeInput($E18))</f>
        <v>,AS12,AS17,</v>
      </c>
      <c r="Y18" s="20">
        <f>IF(K18="",0,VLOOKUP(K18,Definitions!$Z:$AA,COLUMNS(Definitions!$Z:$AA),FALSE))</f>
        <v>1</v>
      </c>
      <c r="Z18" s="20">
        <f>IF(L18="",0,VLOOKUP(L18,Definitions!$Z:$AA,COLUMNS(Definitions!$Z:$AA),FALSE))</f>
        <v>6</v>
      </c>
      <c r="AA18" s="20">
        <f>IF(M18="",0,VLOOKUP(M18,Definitions!$Z:$AA,COLUMNS(Definitions!$Z:$AA),FALSE))</f>
        <v>7</v>
      </c>
      <c r="AB18" s="20">
        <f>IF(N18="",0,VLOOKUP(N18,Definitions!$Z:$AA,COLUMNS(Definitions!$Z:$AA),FALSE))</f>
        <v>0</v>
      </c>
      <c r="AC18" s="20">
        <f>IF(O18="",0,VLOOKUP(O18,Definitions!$Z:$AA,COLUMNS(Definitions!$Z:$AA),FALSE))</f>
        <v>0</v>
      </c>
      <c r="AD18" s="20">
        <f t="shared" ca="1" si="0"/>
        <v>14</v>
      </c>
      <c r="AE18" s="20" t="str" cm="1">
        <f t="array" ref="AE18">IF($G18="","",","&amp;SanitizeInput($G18))</f>
        <v/>
      </c>
      <c r="AF18" s="20" t="b" cm="1">
        <f t="array" aca="1" ref="AF18" ca="1">OR($AK18,_xlfn.LAMBDA(_xlpm._ownID,_xlpm._searchHeader,_xlpm._resultHeader,_xlpm._elementCount,_xlpm._delimiter,_xlpm._activeInTreatmentRange,_xlpm._activeByAnswersRange,_xlpm._dependencies,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InverseLookup(_xlpm._ownID,_xlpm._searchHeader,_xlpm._resultHeader,1,_xlpm._elementCount,_xlpm._delimiter))))))($A18,$AE$2,$A$2,Helper!$B$4,",",$A:$V,$A:$AK,InverseLookup($A18,$AE$2,$A$2,1,Helper!$B$4,",")))</f>
        <v>1</v>
      </c>
      <c r="AG18" s="20" t="str" cm="1">
        <f t="array" aca="1" ref="AG18" ca="1">IF(OR($V18,$AF18,$AK18),IF($G18="","",","&amp;SanitizeInput($G18)),"")</f>
        <v/>
      </c>
      <c r="AH18" s="20" t="str" cm="1">
        <f t="array" ref="AH18">SUBSTITUTE(IF($V18,IF($I18="","",","&amp;SanitizeInput($I18)),""),"&gt;",",")</f>
        <v/>
      </c>
      <c r="AI18" s="20" cm="1">
        <f t="array" aca="1" ref="AI18" ca="1">IF(ROW()=ROW($AI$2)+1,0,INDEX($AI:$AI,ROW()-1))+IF($AF18,1,0)</f>
        <v>3</v>
      </c>
      <c r="AJ18" s="20" t="str" cm="1">
        <f t="array" aca="1" ref="AJ18" ca="1">IF($AF18,IF($Q18="","",","&amp;SanitizeInput($Q18)),"")</f>
        <v>,j,k,</v>
      </c>
      <c r="AK18" s="20" t="b">
        <f>OR(CheckRelevance(SanitizeInput($D18),Questionnaire!$I:$I),CheckRelevance(SanitizeInput($D18),Questionnaire!$J:$J))</f>
        <v>1</v>
      </c>
      <c r="AL18" s="20" t="str" cm="1">
        <f t="array" ref="AL1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FilterPreconditionCandidates(RemoveFirstElement(_xlpm._preconditionCandidates),_xlpm._searchColumn,_xlpm._delimiter))))(SanitizeInput($D18),Questionnaire!$AA:$AA,",")</f>
        <v>*,</v>
      </c>
      <c r="AM18" s="20" t="str" cm="1">
        <f t="array" ref="AM18">IF($D18="*","",InverseLookupList($AL18,Questionnaire!$AA$3,Questionnaire!$A$3,Helper!$B$12,","))</f>
        <v/>
      </c>
      <c r="AN18" s="20" t="str" cm="1">
        <f t="array" ref="AN18">RemoveDelimiter(GetValues($AM18,Questionnaire!$A:$G," ",CHAR(10)&amp;CHAR(10),TRUE),CHAR(10)&amp;CHAR(10))</f>
        <v/>
      </c>
      <c r="AO18" s="20" t="str" cm="1">
        <f t="array" ref="AO18">CreateSearchString($AM18)</f>
        <v/>
      </c>
      <c r="AP18" s="20" t="str" cm="1">
        <f t="array" aca="1" ref="AP18" ca="1">InverseLookup($A18,Mitigation!$AD$2,Mitigation!$A$2,1,Helper!$B$5,",")</f>
        <v/>
      </c>
      <c r="AQ18" s="20" t="str" cm="1">
        <f t="array" aca="1" ref="AQ18" ca="1">CreateSearchString(GetValues($AP18,'Attack Steps'!$A:$O,"",",",FALSE))</f>
        <v/>
      </c>
      <c r="AR18" s="20" t="str">
        <f t="shared" si="1"/>
        <v>C15</v>
      </c>
    </row>
    <row r="19" spans="1:44" x14ac:dyDescent="0.25">
      <c r="A19" s="10" t="s">
        <v>410</v>
      </c>
      <c r="B19" s="13" t="s">
        <v>740</v>
      </c>
      <c r="C19" s="13" t="s">
        <v>1746</v>
      </c>
      <c r="D19" s="13" t="s">
        <v>1663</v>
      </c>
      <c r="E19" s="13"/>
      <c r="F19" s="33" t="str" cm="1">
        <f t="array" ref="F19">LookupNames(SanitizeInput($E19),'Attack Steps'!$A:$B)</f>
        <v/>
      </c>
      <c r="G19" s="23"/>
      <c r="H19" s="33" t="str" cm="1">
        <f t="array" ref="H19">RemoveDelimiter(GetValuesWithFallback(SanitizeInput($G19),$A:$B,Assumptions!$A:$B," ",","&amp;CHAR(10),TRUE),","&amp;CHAR(10))</f>
        <v/>
      </c>
      <c r="I19" s="23"/>
      <c r="J19" s="37" t="str" cm="1">
        <f t="array" ref="J19">IF($I19="","",SUBSTITUTE(SUBSTITUTE(SUBSTITUTE(SUBSTITUTE(SUBSTITUTE(SUBSTITUTE(SUBSTITUTE(SUBSTITUTE(SUBSTITUTE(
GetTransformation(SanitizeInput($I19),'Damage Scenarios'!$A:$J,COLUMNS('Damage Scenarios'!$A:$J),CHAR(10),"[#0][#1][#2]")&amp;"§",
"[#1][#2]",""),
"[#2]",""),
"[#0][#1]","[#1]"),
"[#0]","Removes:"&amp;CHAR(10)),
"[#1]","Transforms:"&amp;CHAR(10)),
CHAR(10)&amp;"§",""),
"§",""),
CHAR(10),CHAR(10)&amp;"   "),
"   "&amp;"Transforms:","Transforms:"))</f>
        <v/>
      </c>
      <c r="K19" s="13"/>
      <c r="L19" s="13"/>
      <c r="M19" s="13"/>
      <c r="N19" s="13"/>
      <c r="O19" s="13"/>
      <c r="P19" s="33" t="str">
        <f ca="1">IF($A19="","",IFERROR(VLOOKUP($AD19,Definitions!$V:$W,COLUMNS(Definitions!$V:$W),TRUE),""))</f>
        <v>Basic</v>
      </c>
      <c r="Q19" s="23" t="s">
        <v>604</v>
      </c>
      <c r="R19" s="23"/>
      <c r="S19" s="13"/>
      <c r="T19" s="10" cm="1">
        <f t="array" ref="T19">IF(ROW()=ROW($T$2)+1,0,INDEX($T:$T,ROW()-1))+IF($A19="",0,1)</f>
        <v>17</v>
      </c>
      <c r="U19" s="20" t="b" cm="1">
        <f t="array" ref="U19">CheckRelevance(SanitizeInput(E19),Questionnaire!$I:$I)</f>
        <v>0</v>
      </c>
      <c r="V19" s="20" t="b">
        <f>IFERROR(_xlfn.XMATCH("*,"&amp;$A19&amp;",*",Mitigation!$X:$X,2)&gt;0,FALSE)</f>
        <v>0</v>
      </c>
      <c r="W19" s="20" cm="1">
        <f t="array" ref="W19">CreateTaskID($W$2,$W:$W,Tasks!$B$17,$S19)</f>
        <v>0</v>
      </c>
      <c r="X19" s="20" t="str" cm="1">
        <f t="array" ref="X19">IF($E19="","",","&amp;SanitizeInput($E19))</f>
        <v/>
      </c>
      <c r="Y19" s="20">
        <f>IF(K19="",0,VLOOKUP(K19,Definitions!$Z:$AA,COLUMNS(Definitions!$Z:$AA),FALSE))</f>
        <v>0</v>
      </c>
      <c r="Z19" s="20">
        <f>IF(L19="",0,VLOOKUP(L19,Definitions!$Z:$AA,COLUMNS(Definitions!$Z:$AA),FALSE))</f>
        <v>0</v>
      </c>
      <c r="AA19" s="20">
        <f>IF(M19="",0,VLOOKUP(M19,Definitions!$Z:$AA,COLUMNS(Definitions!$Z:$AA),FALSE))</f>
        <v>0</v>
      </c>
      <c r="AB19" s="20">
        <f>IF(N19="",0,VLOOKUP(N19,Definitions!$Z:$AA,COLUMNS(Definitions!$Z:$AA),FALSE))</f>
        <v>0</v>
      </c>
      <c r="AC19" s="20">
        <f>IF(O19="",0,VLOOKUP(O19,Definitions!$Z:$AA,COLUMNS(Definitions!$Z:$AA),FALSE))</f>
        <v>0</v>
      </c>
      <c r="AD19" s="20">
        <f t="shared" ca="1" si="0"/>
        <v>0</v>
      </c>
      <c r="AE19" s="20" t="str" cm="1">
        <f t="array" ref="AE19">IF($G19="","",","&amp;SanitizeInput($G19))</f>
        <v/>
      </c>
      <c r="AF19" s="20" t="b" cm="1">
        <f t="array" aca="1" ref="AF19" ca="1">OR($AK19,_xlfn.LAMBDA(_xlpm._ownID,_xlpm._searchHeader,_xlpm._resultHeader,_xlpm._elementCount,_xlpm._delimiter,_xlpm._activeInTreatmentRange,_xlpm._activeByAnswersRange,_xlpm._dependencies,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InverseLookup(_xlpm._ownID,_xlpm._searchHeader,_xlpm._resultHeader,1,_xlpm._elementCount,_xlpm._delimiter))))))($A19,$AE$2,$A$2,Helper!$B$4,",",$A:$V,$A:$AK,InverseLookup($A19,$AE$2,$A$2,1,Helper!$B$4,",")))</f>
        <v>0</v>
      </c>
      <c r="AG19" s="20" t="str" cm="1">
        <f t="array" aca="1" ref="AG19" ca="1">IF(OR($V19,$AF19,$AK19),IF($G19="","",","&amp;SanitizeInput($G19)),"")</f>
        <v/>
      </c>
      <c r="AH19" s="20" t="str" cm="1">
        <f t="array" ref="AH19">SUBSTITUTE(IF($V19,IF($I19="","",","&amp;SanitizeInput($I19)),""),"&gt;",",")</f>
        <v/>
      </c>
      <c r="AI19" s="20" cm="1">
        <f t="array" aca="1" ref="AI19" ca="1">IF(ROW()=ROW($AI$2)+1,0,INDEX($AI:$AI,ROW()-1))+IF($AF19,1,0)</f>
        <v>3</v>
      </c>
      <c r="AJ19" s="20" t="str" cm="1">
        <f t="array" aca="1" ref="AJ19" ca="1">IF($AF19,IF($Q19="","",","&amp;SanitizeInput($Q19)),"")</f>
        <v/>
      </c>
      <c r="AK19" s="20" t="b">
        <f ca="1">OR(CheckRelevance(SanitizeInput($D19),Questionnaire!$I:$I),CheckRelevance(SanitizeInput($D19),Questionnaire!$J:$J))</f>
        <v>0</v>
      </c>
      <c r="AL19" s="20" t="str" cm="1">
        <f t="array" aca="1" ref="AL19"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FilterPreconditionCandidates(RemoveFirstElement(_xlpm._preconditionCandidates),_xlpm._searchColumn,_xlpm._delimiter))))(SanitizeInput($D19),Questionnaire!$AA:$AA,",")</f>
        <v/>
      </c>
      <c r="AM19" s="20" t="str" cm="1">
        <f t="array" aca="1" ref="AM19" ca="1">IF($D19="*","",InverseLookupList($AL19,Questionnaire!$AA$3,Questionnaire!$A$3,Helper!$B$12,","))</f>
        <v/>
      </c>
      <c r="AN19" s="20" t="str" cm="1">
        <f t="array" aca="1" ref="AN19" ca="1">RemoveDelimiter(GetValues($AM19,Questionnaire!$A:$G," ",CHAR(10)&amp;CHAR(10),TRUE),CHAR(10)&amp;CHAR(10))</f>
        <v/>
      </c>
      <c r="AO19" s="20" t="str" cm="1">
        <f t="array" aca="1" ref="AO19" ca="1">CreateSearchString($AM19)</f>
        <v/>
      </c>
      <c r="AP19" s="20" t="str" cm="1">
        <f t="array" aca="1" ref="AP19" ca="1">InverseLookup($A19,Mitigation!$AD$2,Mitigation!$A$2,1,Helper!$B$5,",")</f>
        <v/>
      </c>
      <c r="AQ19" s="20" t="str" cm="1">
        <f t="array" aca="1" ref="AQ19" ca="1">CreateSearchString(GetValues($AP19,'Attack Steps'!$A:$O,"",",",FALSE))</f>
        <v/>
      </c>
      <c r="AR19" s="20" t="str">
        <f t="shared" si="1"/>
        <v>C16</v>
      </c>
    </row>
    <row r="20" spans="1:44" ht="60" x14ac:dyDescent="0.25">
      <c r="A20" s="10" t="s">
        <v>411</v>
      </c>
      <c r="B20" s="13" t="s">
        <v>741</v>
      </c>
      <c r="C20" s="13" t="s">
        <v>1746</v>
      </c>
      <c r="D20" s="13"/>
      <c r="E20" s="13" t="s">
        <v>1672</v>
      </c>
      <c r="F20" s="33" t="str" cm="1">
        <f t="array" aca="1" ref="F20" ca="1">LookupNames(SanitizeInput($E20),'Attack Steps'!$A:$B)</f>
        <v>AS30 Extracting information from a decommissioned or second-hand device's persistent memory,
AS41 Extracting information from a decommissioned or second-hand device's RAM</v>
      </c>
      <c r="G20" s="23" t="s">
        <v>275</v>
      </c>
      <c r="H20" s="33" t="str" cm="1">
        <f t="array" aca="1" ref="H20" ca="1">RemoveDelimiter(GetValuesWithFallback(SanitizeInput($G20),$A:$B,Assumptions!$A:$B," ",","&amp;CHAR(10),TRUE),","&amp;CHAR(10))</f>
        <v>C1 CCSC 1: Support of essential functions</v>
      </c>
      <c r="I20" s="23"/>
      <c r="J20" s="37" t="str" cm="1">
        <f t="array" ref="J20">IF($I20="","",SUBSTITUTE(SUBSTITUTE(SUBSTITUTE(SUBSTITUTE(SUBSTITUTE(SUBSTITUTE(SUBSTITUTE(SUBSTITUTE(SUBSTITUTE(
GetTransformation(SanitizeInput($I20),'Damage Scenarios'!$A:$J,COLUMNS('Damage Scenarios'!$A:$J),CHAR(10),"[#0][#1][#2]")&amp;"§",
"[#1][#2]",""),
"[#2]",""),
"[#0][#1]","[#1]"),
"[#0]","Removes:"&amp;CHAR(10)),
"[#1]","Transforms:"&amp;CHAR(10)),
CHAR(10)&amp;"§",""),
"§",""),
CHAR(10),CHAR(10)&amp;"   "),
"   "&amp;"Transforms:","Transforms:"))</f>
        <v/>
      </c>
      <c r="K20" s="13"/>
      <c r="L20" s="13"/>
      <c r="M20" s="13"/>
      <c r="N20" s="13" t="s">
        <v>151</v>
      </c>
      <c r="O20" s="13"/>
      <c r="P20" s="33" t="str">
        <f ca="1">IF($A20="","",IFERROR(VLOOKUP($AD20,Definitions!$V:$W,COLUMNS(Definitions!$V:$W),TRUE),""))</f>
        <v>Beyond High</v>
      </c>
      <c r="Q20" s="23" t="s">
        <v>1614</v>
      </c>
      <c r="R20" s="23"/>
      <c r="S20" s="13" t="s">
        <v>1612</v>
      </c>
      <c r="T20" s="10" cm="1">
        <f t="array" ref="T20">IF(ROW()=ROW($T$2)+1,0,INDEX($T:$T,ROW()-1))+IF($A20="",0,1)</f>
        <v>18</v>
      </c>
      <c r="U20" s="20" t="b" cm="1">
        <f t="array" aca="1" ref="U20" ca="1">CheckRelevance(SanitizeInput(E20),Questionnaire!$I:$I)</f>
        <v>0</v>
      </c>
      <c r="V20" s="20" t="b">
        <f>IFERROR(_xlfn.XMATCH("*,"&amp;$A20&amp;",*",Mitigation!$X:$X,2)&gt;0,FALSE)</f>
        <v>0</v>
      </c>
      <c r="W20" s="20" cm="1">
        <f t="array" ref="W20">CreateTaskID($W$2,$W:$W,Tasks!$B$17,$S20)</f>
        <v>0</v>
      </c>
      <c r="X20" s="20" t="str" cm="1">
        <f t="array" ref="X20">IF($E20="","",","&amp;SanitizeInput($E20))</f>
        <v>,AS30,AS41,</v>
      </c>
      <c r="Y20" s="20">
        <f>IF(K20="",0,VLOOKUP(K20,Definitions!$Z:$AA,COLUMNS(Definitions!$Z:$AA),FALSE))</f>
        <v>0</v>
      </c>
      <c r="Z20" s="20">
        <f>IF(L20="",0,VLOOKUP(L20,Definitions!$Z:$AA,COLUMNS(Definitions!$Z:$AA),FALSE))</f>
        <v>0</v>
      </c>
      <c r="AA20" s="20">
        <f>IF(M20="",0,VLOOKUP(M20,Definitions!$Z:$AA,COLUMNS(Definitions!$Z:$AA),FALSE))</f>
        <v>0</v>
      </c>
      <c r="AB20" s="20">
        <f>IF(N20="",0,VLOOKUP(N20,Definitions!$Z:$AA,COLUMNS(Definitions!$Z:$AA),FALSE))</f>
        <v>25</v>
      </c>
      <c r="AC20" s="20">
        <f>IF(O20="",0,VLOOKUP(O20,Definitions!$Z:$AA,COLUMNS(Definitions!$Z:$AA),FALSE))</f>
        <v>0</v>
      </c>
      <c r="AD20" s="20">
        <f t="shared" ca="1" si="0"/>
        <v>25</v>
      </c>
      <c r="AE20" s="20" t="str" cm="1">
        <f t="array" ref="AE20">IF($G20="","",","&amp;SanitizeInput($G20))</f>
        <v>,C1,</v>
      </c>
      <c r="AF20" s="20" t="b" cm="1">
        <f t="array" aca="1" ref="AF20" ca="1">OR($AK20,_xlfn.LAMBDA(_xlpm._ownID,_xlpm._searchHeader,_xlpm._resultHeader,_xlpm._elementCount,_xlpm._delimiter,_xlpm._activeInTreatmentRange,_xlpm._activeByAnswersRange,_xlpm._dependencies,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InverseLookup(_xlpm._ownID,_xlpm._searchHeader,_xlpm._resultHeader,1,_xlpm._elementCount,_xlpm._delimiter))))))($A20,$AE$2,$A$2,Helper!$B$4,",",$A:$V,$A:$AK,InverseLookup($A20,$AE$2,$A$2,1,Helper!$B$4,",")))</f>
        <v>0</v>
      </c>
      <c r="AG20" s="20" t="str" cm="1">
        <f t="array" aca="1" ref="AG20" ca="1">IF(OR($V20,$AF20,$AK20),IF($G20="","",","&amp;SanitizeInput($G20)),"")</f>
        <v/>
      </c>
      <c r="AH20" s="20" t="str" cm="1">
        <f t="array" ref="AH20">SUBSTITUTE(IF($V20,IF($I20="","",","&amp;SanitizeInput($I20)),""),"&gt;",",")</f>
        <v/>
      </c>
      <c r="AI20" s="20" cm="1">
        <f t="array" aca="1" ref="AI20" ca="1">IF(ROW()=ROW($AI$2)+1,0,INDEX($AI:$AI,ROW()-1))+IF($AF20,1,0)</f>
        <v>3</v>
      </c>
      <c r="AJ20" s="20" t="str" cm="1">
        <f t="array" aca="1" ref="AJ20" ca="1">IF($AF20,IF($Q20="","",","&amp;SanitizeInput($Q20)),"")</f>
        <v/>
      </c>
      <c r="AK20" s="20" t="b">
        <f>OR(CheckRelevance(SanitizeInput($D20),Questionnaire!$I:$I),CheckRelevance(SanitizeInput($D20),Questionnaire!$J:$J))</f>
        <v>0</v>
      </c>
      <c r="AL20" s="20" t="str" cm="1">
        <f t="array" ref="AL20">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FilterPreconditionCandidates(RemoveFirstElement(_xlpm._preconditionCandidates),_xlpm._searchColumn,_xlpm._delimiter))))(SanitizeInput($D20),Questionnaire!$AA:$AA,",")</f>
        <v/>
      </c>
      <c r="AM20" s="20" t="str" cm="1">
        <f t="array" ref="AM20">IF($D20="*","",InverseLookupList($AL20,Questionnaire!$AA$3,Questionnaire!$A$3,Helper!$B$12,","))</f>
        <v/>
      </c>
      <c r="AN20" s="20" t="str" cm="1">
        <f t="array" ref="AN20">RemoveDelimiter(GetValues($AM20,Questionnaire!$A:$G," ",CHAR(10)&amp;CHAR(10),TRUE),CHAR(10)&amp;CHAR(10))</f>
        <v/>
      </c>
      <c r="AO20" s="20" t="str" cm="1">
        <f t="array" ref="AO20">CreateSearchString($AM20)</f>
        <v/>
      </c>
      <c r="AP20" s="20" t="str" cm="1">
        <f t="array" aca="1" ref="AP20" ca="1">InverseLookup($A20,Mitigation!$AD$2,Mitigation!$A$2,1,Helper!$B$5,",")</f>
        <v/>
      </c>
      <c r="AQ20" s="20" t="str" cm="1">
        <f t="array" aca="1" ref="AQ20" ca="1">CreateSearchString(GetValues($AP20,'Attack Steps'!$A:$O,"",",",FALSE))</f>
        <v/>
      </c>
      <c r="AR20" s="20" t="str">
        <f t="shared" si="1"/>
        <v>C17</v>
      </c>
    </row>
    <row r="21" spans="1:44" x14ac:dyDescent="0.25">
      <c r="A21" s="10" t="s">
        <v>412</v>
      </c>
      <c r="B21" s="13" t="s">
        <v>742</v>
      </c>
      <c r="C21" s="13" t="s">
        <v>1746</v>
      </c>
      <c r="D21" s="13"/>
      <c r="E21" s="13"/>
      <c r="F21" s="33" t="str" cm="1">
        <f t="array" ref="F21">LookupNames(SanitizeInput($E21),'Attack Steps'!$A:$B)</f>
        <v/>
      </c>
      <c r="G21" s="23"/>
      <c r="H21" s="33" t="str" cm="1">
        <f t="array" ref="H21">RemoveDelimiter(GetValuesWithFallback(SanitizeInput($G21),$A:$B,Assumptions!$A:$B," ",","&amp;CHAR(10),TRUE),","&amp;CHAR(10))</f>
        <v/>
      </c>
      <c r="I21" s="23"/>
      <c r="J21" s="37" t="str" cm="1">
        <f t="array" ref="J21">IF($I21="","",SUBSTITUTE(SUBSTITUTE(SUBSTITUTE(SUBSTITUTE(SUBSTITUTE(SUBSTITUTE(SUBSTITUTE(SUBSTITUTE(SUBSTITUTE(
GetTransformation(SanitizeInput($I21),'Damage Scenarios'!$A:$J,COLUMNS('Damage Scenarios'!$A:$J),CHAR(10),"[#0][#1][#2]")&amp;"§",
"[#1][#2]",""),
"[#2]",""),
"[#0][#1]","[#1]"),
"[#0]","Removes:"&amp;CHAR(10)),
"[#1]","Transforms:"&amp;CHAR(10)),
CHAR(10)&amp;"§",""),
"§",""),
CHAR(10),CHAR(10)&amp;"   "),
"   "&amp;"Transforms:","Transforms:"))</f>
        <v/>
      </c>
      <c r="K21" s="13"/>
      <c r="L21" s="13"/>
      <c r="M21" s="13"/>
      <c r="N21" s="13"/>
      <c r="O21" s="13"/>
      <c r="P21" s="33" t="str">
        <f ca="1">IF($A21="","",IFERROR(VLOOKUP($AD21,Definitions!$V:$W,COLUMNS(Definitions!$V:$W),TRUE),""))</f>
        <v>Basic</v>
      </c>
      <c r="Q21" s="23" t="s">
        <v>600</v>
      </c>
      <c r="R21" s="23"/>
      <c r="S21" s="13"/>
      <c r="T21" s="10" cm="1">
        <f t="array" ref="T21">IF(ROW()=ROW($T$2)+1,0,INDEX($T:$T,ROW()-1))+IF($A21="",0,1)</f>
        <v>19</v>
      </c>
      <c r="U21" s="20" t="b" cm="1">
        <f t="array" ref="U21">CheckRelevance(SanitizeInput(E21),Questionnaire!$I:$I)</f>
        <v>0</v>
      </c>
      <c r="V21" s="20" t="b">
        <f>IFERROR(_xlfn.XMATCH("*,"&amp;$A21&amp;",*",Mitigation!$X:$X,2)&gt;0,FALSE)</f>
        <v>0</v>
      </c>
      <c r="W21" s="20" cm="1">
        <f t="array" ref="W21">CreateTaskID($W$2,$W:$W,Tasks!$B$17,$S21)</f>
        <v>0</v>
      </c>
      <c r="X21" s="20" t="str" cm="1">
        <f t="array" ref="X21">IF($E21="","",","&amp;SanitizeInput($E21))</f>
        <v/>
      </c>
      <c r="Y21" s="20">
        <f>IF(K21="",0,VLOOKUP(K21,Definitions!$Z:$AA,COLUMNS(Definitions!$Z:$AA),FALSE))</f>
        <v>0</v>
      </c>
      <c r="Z21" s="20">
        <f>IF(L21="",0,VLOOKUP(L21,Definitions!$Z:$AA,COLUMNS(Definitions!$Z:$AA),FALSE))</f>
        <v>0</v>
      </c>
      <c r="AA21" s="20">
        <f>IF(M21="",0,VLOOKUP(M21,Definitions!$Z:$AA,COLUMNS(Definitions!$Z:$AA),FALSE))</f>
        <v>0</v>
      </c>
      <c r="AB21" s="20">
        <f>IF(N21="",0,VLOOKUP(N21,Definitions!$Z:$AA,COLUMNS(Definitions!$Z:$AA),FALSE))</f>
        <v>0</v>
      </c>
      <c r="AC21" s="20">
        <f>IF(O21="",0,VLOOKUP(O21,Definitions!$Z:$AA,COLUMNS(Definitions!$Z:$AA),FALSE))</f>
        <v>0</v>
      </c>
      <c r="AD21" s="20">
        <f t="shared" ca="1" si="0"/>
        <v>0</v>
      </c>
      <c r="AE21" s="20" t="str" cm="1">
        <f t="array" ref="AE21">IF($G21="","",","&amp;SanitizeInput($G21))</f>
        <v/>
      </c>
      <c r="AF21" s="20" t="b" cm="1">
        <f t="array" aca="1" ref="AF21" ca="1">OR($AK21,_xlfn.LAMBDA(_xlpm._ownID,_xlpm._searchHeader,_xlpm._resultHeader,_xlpm._elementCount,_xlpm._delimiter,_xlpm._activeInTreatmentRange,_xlpm._activeByAnswersRange,_xlpm._dependencies,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InverseLookup(_xlpm._ownID,_xlpm._searchHeader,_xlpm._resultHeader,1,_xlpm._elementCount,_xlpm._delimiter))))))($A21,$AE$2,$A$2,Helper!$B$4,",",$A:$V,$A:$AK,InverseLookup($A21,$AE$2,$A$2,1,Helper!$B$4,",")))</f>
        <v>0</v>
      </c>
      <c r="AG21" s="20" t="str" cm="1">
        <f t="array" aca="1" ref="AG21" ca="1">IF(OR($V21,$AF21,$AK21),IF($G21="","",","&amp;SanitizeInput($G21)),"")</f>
        <v/>
      </c>
      <c r="AH21" s="20" t="str" cm="1">
        <f t="array" ref="AH21">SUBSTITUTE(IF($V21,IF($I21="","",","&amp;SanitizeInput($I21)),""),"&gt;",",")</f>
        <v/>
      </c>
      <c r="AI21" s="20" cm="1">
        <f t="array" aca="1" ref="AI21" ca="1">IF(ROW()=ROW($AI$2)+1,0,INDEX($AI:$AI,ROW()-1))+IF($AF21,1,0)</f>
        <v>3</v>
      </c>
      <c r="AJ21" s="20" t="str" cm="1">
        <f t="array" aca="1" ref="AJ21" ca="1">IF($AF21,IF($Q21="","",","&amp;SanitizeInput($Q21)),"")</f>
        <v/>
      </c>
      <c r="AK21" s="20" t="b">
        <f>OR(CheckRelevance(SanitizeInput($D21),Questionnaire!$I:$I),CheckRelevance(SanitizeInput($D21),Questionnaire!$J:$J))</f>
        <v>0</v>
      </c>
      <c r="AL21" s="20" t="str" cm="1">
        <f t="array" ref="AL2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FilterPreconditionCandidates(RemoveFirstElement(_xlpm._preconditionCandidates),_xlpm._searchColumn,_xlpm._delimiter))))(SanitizeInput($D21),Questionnaire!$AA:$AA,",")</f>
        <v/>
      </c>
      <c r="AM21" s="20" t="str" cm="1">
        <f t="array" ref="AM21">IF($D21="*","",InverseLookupList($AL21,Questionnaire!$AA$3,Questionnaire!$A$3,Helper!$B$12,","))</f>
        <v/>
      </c>
      <c r="AN21" s="20" t="str" cm="1">
        <f t="array" ref="AN21">RemoveDelimiter(GetValues($AM21,Questionnaire!$A:$G," ",CHAR(10)&amp;CHAR(10),TRUE),CHAR(10)&amp;CHAR(10))</f>
        <v/>
      </c>
      <c r="AO21" s="20" t="str" cm="1">
        <f t="array" ref="AO21">CreateSearchString($AM21)</f>
        <v/>
      </c>
      <c r="AP21" s="20" t="str" cm="1">
        <f t="array" aca="1" ref="AP21" ca="1">InverseLookup($A21,Mitigation!$AD$2,Mitigation!$A$2,1,Helper!$B$5,",")</f>
        <v/>
      </c>
      <c r="AQ21" s="20" t="str" cm="1">
        <f t="array" aca="1" ref="AQ21" ca="1">CreateSearchString(GetValues($AP21,'Attack Steps'!$A:$O,"",",",FALSE))</f>
        <v/>
      </c>
      <c r="AR21" s="20" t="str">
        <f t="shared" si="1"/>
        <v>C18</v>
      </c>
    </row>
    <row r="22" spans="1:44" x14ac:dyDescent="0.25">
      <c r="A22" s="10" t="s">
        <v>413</v>
      </c>
      <c r="B22" s="13" t="s">
        <v>743</v>
      </c>
      <c r="C22" s="13" t="s">
        <v>1746</v>
      </c>
      <c r="D22" s="13" t="s">
        <v>1053</v>
      </c>
      <c r="E22" s="13"/>
      <c r="F22" s="33" t="str" cm="1">
        <f t="array" ref="F22">LookupNames(SanitizeInput($E22),'Attack Steps'!$A:$B)</f>
        <v/>
      </c>
      <c r="G22" s="23"/>
      <c r="H22" s="33" t="str" cm="1">
        <f t="array" ref="H22">RemoveDelimiter(GetValuesWithFallback(SanitizeInput($G22),$A:$B,Assumptions!$A:$B," ",","&amp;CHAR(10),TRUE),","&amp;CHAR(10))</f>
        <v/>
      </c>
      <c r="I22" s="23"/>
      <c r="J22" s="37" t="str" cm="1">
        <f t="array" ref="J22">IF($I22="","",SUBSTITUTE(SUBSTITUTE(SUBSTITUTE(SUBSTITUTE(SUBSTITUTE(SUBSTITUTE(SUBSTITUTE(SUBSTITUTE(SUBSTITUTE(
GetTransformation(SanitizeInput($I22),'Damage Scenarios'!$A:$J,COLUMNS('Damage Scenarios'!$A:$J),CHAR(10),"[#0][#1][#2]")&amp;"§",
"[#1][#2]",""),
"[#2]",""),
"[#0][#1]","[#1]"),
"[#0]","Removes:"&amp;CHAR(10)),
"[#1]","Transforms:"&amp;CHAR(10)),
CHAR(10)&amp;"§",""),
"§",""),
CHAR(10),CHAR(10)&amp;"   "),
"   "&amp;"Transforms:","Transforms:"))</f>
        <v/>
      </c>
      <c r="K22" s="13"/>
      <c r="L22" s="13"/>
      <c r="M22" s="13"/>
      <c r="N22" s="13"/>
      <c r="O22" s="13"/>
      <c r="P22" s="33" t="str">
        <f ca="1">IF($A22="","",IFERROR(VLOOKUP($AD22,Definitions!$V:$W,COLUMNS(Definitions!$V:$W),TRUE),""))</f>
        <v>Basic</v>
      </c>
      <c r="Q22" s="23" t="s">
        <v>637</v>
      </c>
      <c r="R22" s="23"/>
      <c r="S22" s="13"/>
      <c r="T22" s="10" cm="1">
        <f t="array" ref="T22">IF(ROW()=ROW($T$2)+1,0,INDEX($T:$T,ROW()-1))+IF($A22="",0,1)</f>
        <v>20</v>
      </c>
      <c r="U22" s="20" t="b" cm="1">
        <f t="array" ref="U22">CheckRelevance(SanitizeInput(E22),Questionnaire!$I:$I)</f>
        <v>0</v>
      </c>
      <c r="V22" s="20" t="b">
        <f>IFERROR(_xlfn.XMATCH("*,"&amp;$A22&amp;",*",Mitigation!$X:$X,2)&gt;0,FALSE)</f>
        <v>0</v>
      </c>
      <c r="W22" s="20" cm="1">
        <f t="array" ref="W22">CreateTaskID($W$2,$W:$W,Tasks!$B$17,$S22)</f>
        <v>0</v>
      </c>
      <c r="X22" s="20" t="str" cm="1">
        <f t="array" ref="X22">IF($E22="","",","&amp;SanitizeInput($E22))</f>
        <v/>
      </c>
      <c r="Y22" s="20">
        <f>IF(K22="",0,VLOOKUP(K22,Definitions!$Z:$AA,COLUMNS(Definitions!$Z:$AA),FALSE))</f>
        <v>0</v>
      </c>
      <c r="Z22" s="20">
        <f>IF(L22="",0,VLOOKUP(L22,Definitions!$Z:$AA,COLUMNS(Definitions!$Z:$AA),FALSE))</f>
        <v>0</v>
      </c>
      <c r="AA22" s="20">
        <f>IF(M22="",0,VLOOKUP(M22,Definitions!$Z:$AA,COLUMNS(Definitions!$Z:$AA),FALSE))</f>
        <v>0</v>
      </c>
      <c r="AB22" s="20">
        <f>IF(N22="",0,VLOOKUP(N22,Definitions!$Z:$AA,COLUMNS(Definitions!$Z:$AA),FALSE))</f>
        <v>0</v>
      </c>
      <c r="AC22" s="20">
        <f>IF(O22="",0,VLOOKUP(O22,Definitions!$Z:$AA,COLUMNS(Definitions!$Z:$AA),FALSE))</f>
        <v>0</v>
      </c>
      <c r="AD22" s="20">
        <f t="shared" ca="1" si="0"/>
        <v>0</v>
      </c>
      <c r="AE22" s="20" t="str" cm="1">
        <f t="array" ref="AE22">IF($G22="","",","&amp;SanitizeInput($G22))</f>
        <v/>
      </c>
      <c r="AF22" s="20" t="b" cm="1">
        <f t="array" aca="1" ref="AF22" ca="1">OR($AK22,_xlfn.LAMBDA(_xlpm._ownID,_xlpm._searchHeader,_xlpm._resultHeader,_xlpm._elementCount,_xlpm._delimiter,_xlpm._activeInTreatmentRange,_xlpm._activeByAnswersRange,_xlpm._dependencies,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InverseLookup(_xlpm._ownID,_xlpm._searchHeader,_xlpm._resultHeader,1,_xlpm._elementCount,_xlpm._delimiter))))))($A22,$AE$2,$A$2,Helper!$B$4,",",$A:$V,$A:$AK,InverseLookup($A22,$AE$2,$A$2,1,Helper!$B$4,",")))</f>
        <v>0</v>
      </c>
      <c r="AG22" s="20" t="str" cm="1">
        <f t="array" aca="1" ref="AG22" ca="1">IF(OR($V22,$AF22,$AK22),IF($G22="","",","&amp;SanitizeInput($G22)),"")</f>
        <v/>
      </c>
      <c r="AH22" s="20" t="str" cm="1">
        <f t="array" ref="AH22">SUBSTITUTE(IF($V22,IF($I22="","",","&amp;SanitizeInput($I22)),""),"&gt;",",")</f>
        <v/>
      </c>
      <c r="AI22" s="20" cm="1">
        <f t="array" aca="1" ref="AI22" ca="1">IF(ROW()=ROW($AI$2)+1,0,INDEX($AI:$AI,ROW()-1))+IF($AF22,1,0)</f>
        <v>3</v>
      </c>
      <c r="AJ22" s="20" t="str" cm="1">
        <f t="array" aca="1" ref="AJ22" ca="1">IF($AF22,IF($Q22="","",","&amp;SanitizeInput($Q22)),"")</f>
        <v/>
      </c>
      <c r="AK22" s="20" t="b">
        <f ca="1">OR(CheckRelevance(SanitizeInput($D22),Questionnaire!$I:$I),CheckRelevance(SanitizeInput($D22),Questionnaire!$J:$J))</f>
        <v>0</v>
      </c>
      <c r="AL22" s="20" t="str" cm="1">
        <f t="array" aca="1" ref="AL22"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FilterPreconditionCandidates(RemoveFirstElement(_xlpm._preconditionCandidates),_xlpm._searchColumn,_xlpm._delimiter))))(SanitizeInput($D22),Questionnaire!$AA:$AA,",")</f>
        <v/>
      </c>
      <c r="AM22" s="20" t="str" cm="1">
        <f t="array" aca="1" ref="AM22" ca="1">IF($D22="*","",InverseLookupList($AL22,Questionnaire!$AA$3,Questionnaire!$A$3,Helper!$B$12,","))</f>
        <v/>
      </c>
      <c r="AN22" s="20" t="str" cm="1">
        <f t="array" aca="1" ref="AN22" ca="1">RemoveDelimiter(GetValues($AM22,Questionnaire!$A:$G," ",CHAR(10)&amp;CHAR(10),TRUE),CHAR(10)&amp;CHAR(10))</f>
        <v/>
      </c>
      <c r="AO22" s="20" t="str" cm="1">
        <f t="array" aca="1" ref="AO22" ca="1">CreateSearchString($AM22)</f>
        <v/>
      </c>
      <c r="AP22" s="20" t="str" cm="1">
        <f t="array" aca="1" ref="AP22" ca="1">InverseLookup($A22,Mitigation!$AD$2,Mitigation!$A$2,1,Helper!$B$5,",")</f>
        <v/>
      </c>
      <c r="AQ22" s="20" t="str" cm="1">
        <f t="array" aca="1" ref="AQ22" ca="1">CreateSearchString(GetValues($AP22,'Attack Steps'!$A:$O,"",",",FALSE))</f>
        <v/>
      </c>
      <c r="AR22" s="20" t="str">
        <f t="shared" si="1"/>
        <v>C19</v>
      </c>
    </row>
    <row r="23" spans="1:44" ht="84.75" x14ac:dyDescent="0.25">
      <c r="A23" s="10" t="s">
        <v>414</v>
      </c>
      <c r="B23" s="13" t="s">
        <v>744</v>
      </c>
      <c r="C23" s="13" t="s">
        <v>1746</v>
      </c>
      <c r="D23" s="13"/>
      <c r="E23" s="13" t="s">
        <v>110</v>
      </c>
      <c r="F23" s="33" t="str" cm="1">
        <f t="array" aca="1" ref="F23" ca="1">LookupNames(SanitizeInput($E23),'Attack Steps'!$A:$B)</f>
        <v>AS4 Interrupting the product with a denial of service attack</v>
      </c>
      <c r="G23" s="23" t="s">
        <v>469</v>
      </c>
      <c r="H23" s="33" t="str" cm="1">
        <f t="array" aca="1" ref="H23" ca="1">RemoveDelimiter(GetValuesWithFallback(SanitizeInput($G23),$A:$B,Assumptions!$A:$B," ",","&amp;CHAR(10),TRUE),","&amp;CHAR(10))</f>
        <v>C22 CR 7.2 – Resource management</v>
      </c>
      <c r="I23" s="23" t="s">
        <v>771</v>
      </c>
      <c r="J23" s="37" t="str" cm="1">
        <f t="array" aca="1" ref="J23" ca="1">IF($I23="","",SUBSTITUTE(SUBSTITUTE(SUBSTITUTE(SUBSTITUTE(SUBSTITUTE(SUBSTITUTE(SUBSTITUTE(SUBSTITUTE(SUBSTITUTE(
GetTransformation(SanitizeInput($I23),'Damage Scenarios'!$A:$J,COLUMNS('Damage Scenarios'!$A:$J),CHAR(10),"[#0][#1][#2]")&amp;"§",
"[#1][#2]",""),
"[#2]",""),
"[#0][#1]","[#1]"),
"[#0]","Removes:"&amp;CHAR(10)),
"[#1]","Transforms:"&amp;CHAR(10)),
CHAR(10)&amp;"§",""),
"§",""),
CHAR(10),CHAR(10)&amp;"   "),
"   "&amp;"Transforms:","Transforms:"))</f>
        <v>Transforms:
   DS6 
   -----&gt; DS18 Limited response of the product during DoS attack, recovery afterwards
   DS7 
   -----&gt; DS18 Limited response of the product during DoS attack, recovery afterwards</v>
      </c>
      <c r="K23" s="13" t="s">
        <v>133</v>
      </c>
      <c r="L23" s="13" t="s">
        <v>141</v>
      </c>
      <c r="M23" s="13" t="s">
        <v>145</v>
      </c>
      <c r="N23" s="13"/>
      <c r="O23" s="13"/>
      <c r="P23" s="33" t="str">
        <f ca="1">IF($A23="","",IFERROR(VLOOKUP($AD23,Definitions!$V:$W,COLUMNS(Definitions!$V:$W),TRUE),""))</f>
        <v>Enhanced-Basic</v>
      </c>
      <c r="Q23" s="23" t="s">
        <v>603</v>
      </c>
      <c r="R23" s="23"/>
      <c r="S23" s="13" t="s">
        <v>1693</v>
      </c>
      <c r="T23" s="10" cm="1">
        <f t="array" ref="T23">IF(ROW()=ROW($T$2)+1,0,INDEX($T:$T,ROW()-1))+IF($A23="",0,1)</f>
        <v>21</v>
      </c>
      <c r="U23" s="20" t="b" cm="1">
        <f t="array" aca="1" ref="U23" ca="1">CheckRelevance(SanitizeInput(E23),Questionnaire!$I:$I)</f>
        <v>0</v>
      </c>
      <c r="V23" s="20" t="b">
        <f>IFERROR(_xlfn.XMATCH("*,"&amp;$A23&amp;",*",Mitigation!$X:$X,2)&gt;0,FALSE)</f>
        <v>0</v>
      </c>
      <c r="W23" s="20" cm="1">
        <f t="array" ref="W23">CreateTaskID($W$2,$W:$W,Tasks!$B$17,$S23)</f>
        <v>0</v>
      </c>
      <c r="X23" s="20" t="str" cm="1">
        <f t="array" ref="X23">IF($E23="","",","&amp;SanitizeInput($E23))</f>
        <v>,AS4,</v>
      </c>
      <c r="Y23" s="20">
        <f>IF(K23="",0,VLOOKUP(K23,Definitions!$Z:$AA,COLUMNS(Definitions!$Z:$AA),FALSE))</f>
        <v>1</v>
      </c>
      <c r="Z23" s="20">
        <f>IF(L23="",0,VLOOKUP(L23,Definitions!$Z:$AA,COLUMNS(Definitions!$Z:$AA),FALSE))</f>
        <v>6</v>
      </c>
      <c r="AA23" s="20">
        <f>IF(M23="",0,VLOOKUP(M23,Definitions!$Z:$AA,COLUMNS(Definitions!$Z:$AA),FALSE))</f>
        <v>3</v>
      </c>
      <c r="AB23" s="20">
        <f>IF(N23="",0,VLOOKUP(N23,Definitions!$Z:$AA,COLUMNS(Definitions!$Z:$AA),FALSE))</f>
        <v>0</v>
      </c>
      <c r="AC23" s="20">
        <f>IF(O23="",0,VLOOKUP(O23,Definitions!$Z:$AA,COLUMNS(Definitions!$Z:$AA),FALSE))</f>
        <v>0</v>
      </c>
      <c r="AD23" s="20">
        <f t="shared" ca="1" si="0"/>
        <v>10</v>
      </c>
      <c r="AE23" s="20" t="str" cm="1">
        <f t="array" ref="AE23">IF($G23="","",","&amp;SanitizeInput($G23))</f>
        <v>,C22,</v>
      </c>
      <c r="AF23" s="20" t="b" cm="1">
        <f t="array" aca="1" ref="AF23" ca="1">OR($AK23,_xlfn.LAMBDA(_xlpm._ownID,_xlpm._searchHeader,_xlpm._resultHeader,_xlpm._elementCount,_xlpm._delimiter,_xlpm._activeInTreatmentRange,_xlpm._activeByAnswersRange,_xlpm._dependencies,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InverseLookup(_xlpm._ownID,_xlpm._searchHeader,_xlpm._resultHeader,1,_xlpm._elementCount,_xlpm._delimiter))))))($A23,$AE$2,$A$2,Helper!$B$4,",",$A:$V,$A:$AK,InverseLookup($A23,$AE$2,$A$2,1,Helper!$B$4,",")))</f>
        <v>0</v>
      </c>
      <c r="AG23" s="20" t="str" cm="1">
        <f t="array" aca="1" ref="AG23" ca="1">IF(OR($V23,$AF23,$AK23),IF($G23="","",","&amp;SanitizeInput($G23)),"")</f>
        <v/>
      </c>
      <c r="AH23" s="20" t="str" cm="1">
        <f t="array" ref="AH23">SUBSTITUTE(IF($V23,IF($I23="","",","&amp;SanitizeInput($I23)),""),"&gt;",",")</f>
        <v/>
      </c>
      <c r="AI23" s="20" cm="1">
        <f t="array" aca="1" ref="AI23" ca="1">IF(ROW()=ROW($AI$2)+1,0,INDEX($AI:$AI,ROW()-1))+IF($AF23,1,0)</f>
        <v>3</v>
      </c>
      <c r="AJ23" s="20" t="str" cm="1">
        <f t="array" aca="1" ref="AJ23" ca="1">IF($AF23,IF($Q23="","",","&amp;SanitizeInput($Q23)),"")</f>
        <v/>
      </c>
      <c r="AK23" s="20" t="b">
        <f>OR(CheckRelevance(SanitizeInput($D23),Questionnaire!$I:$I),CheckRelevance(SanitizeInput($D23),Questionnaire!$J:$J))</f>
        <v>0</v>
      </c>
      <c r="AL23" s="20" t="str" cm="1">
        <f t="array" ref="AL2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FilterPreconditionCandidates(RemoveFirstElement(_xlpm._preconditionCandidates),_xlpm._searchColumn,_xlpm._delimiter))))(SanitizeInput($D23),Questionnaire!$AA:$AA,",")</f>
        <v/>
      </c>
      <c r="AM23" s="20" t="str" cm="1">
        <f t="array" ref="AM23">IF($D23="*","",InverseLookupList($AL23,Questionnaire!$AA$3,Questionnaire!$A$3,Helper!$B$12,","))</f>
        <v/>
      </c>
      <c r="AN23" s="20" t="str" cm="1">
        <f t="array" ref="AN23">RemoveDelimiter(GetValues($AM23,Questionnaire!$A:$G," ",CHAR(10)&amp;CHAR(10),TRUE),CHAR(10)&amp;CHAR(10))</f>
        <v/>
      </c>
      <c r="AO23" s="20" t="str" cm="1">
        <f t="array" ref="AO23">CreateSearchString($AM23)</f>
        <v/>
      </c>
      <c r="AP23" s="20" t="str" cm="1">
        <f t="array" aca="1" ref="AP23" ca="1">InverseLookup($A23,Mitigation!$AD$2,Mitigation!$A$2,1,Helper!$B$5,",")</f>
        <v/>
      </c>
      <c r="AQ23" s="20" t="str" cm="1">
        <f t="array" aca="1" ref="AQ23" ca="1">CreateSearchString(GetValues($AP23,'Attack Steps'!$A:$O,"",",",FALSE))</f>
        <v/>
      </c>
      <c r="AR23" s="20" t="str">
        <f t="shared" si="1"/>
        <v>C20</v>
      </c>
    </row>
    <row r="24" spans="1:44" ht="156.75" x14ac:dyDescent="0.25">
      <c r="A24" s="10" t="s">
        <v>415</v>
      </c>
      <c r="B24" s="13" t="s">
        <v>745</v>
      </c>
      <c r="C24" s="13" t="s">
        <v>1746</v>
      </c>
      <c r="D24" s="13"/>
      <c r="E24" s="13" t="s">
        <v>110</v>
      </c>
      <c r="F24" s="33" t="str" cm="1">
        <f t="array" aca="1" ref="F24" ca="1">LookupNames(SanitizeInput($E24),'Attack Steps'!$A:$B)</f>
        <v>AS4 Interrupting the product with a denial of service attack</v>
      </c>
      <c r="G24" s="23" t="s">
        <v>414</v>
      </c>
      <c r="H24" s="33" t="str" cm="1">
        <f t="array" aca="1" ref="H24" ca="1">RemoveDelimiter(GetValuesWithFallback(SanitizeInput($G24),$A:$B,Assumptions!$A:$B," ",","&amp;CHAR(10),TRUE),","&amp;CHAR(10))</f>
        <v>C20 CR 7.1 – Denial of service protection</v>
      </c>
      <c r="I24" s="23" t="s">
        <v>443</v>
      </c>
      <c r="J24" s="37" t="str" cm="1">
        <f t="array" aca="1" ref="J24" ca="1">IF($I24="","",SUBSTITUTE(SUBSTITUTE(SUBSTITUTE(SUBSTITUTE(SUBSTITUTE(SUBSTITUTE(SUBSTITUTE(SUBSTITUTE(SUBSTITUTE(
GetTransformation(SanitizeInput($I24),'Damage Scenarios'!$A:$J,COLUMNS('Damage Scenarios'!$A:$J),CHAR(10),"[#0][#1][#2]")&amp;"§",
"[#1][#2]",""),
"[#2]",""),
"[#0][#1]","[#1]"),
"[#0]","Removes:"&amp;CHAR(10)),
"[#1]","Transforms:"&amp;CHAR(10)),
CHAR(10)&amp;"§",""),
"§",""),
CHAR(10),CHAR(10)&amp;"   "),
"   "&amp;"Transforms:","Transforms:"))</f>
        <v>Transforms:
   DS6 
   -----&gt; DS18 Limited response of the product during DoS attack, recovery afterwards
   DS7 
   -----&gt; DS18 Limited response of the product during DoS attack, recovery afterwards
   DS8 
   -----&gt; DS18 Limited response of the product during DoS attack, recovery afterwards
   DS9 
   -----&gt; DS18 Limited response of the product during DoS attack, recovery afterwards</v>
      </c>
      <c r="K24" s="13"/>
      <c r="L24" s="13"/>
      <c r="M24" s="13"/>
      <c r="N24" s="13"/>
      <c r="O24" s="13"/>
      <c r="P24" s="33" t="str">
        <f ca="1">IF($A24="","",IFERROR(VLOOKUP($AD24,Definitions!$V:$W,COLUMNS(Definitions!$V:$W),TRUE),""))</f>
        <v>Basic</v>
      </c>
      <c r="Q24" s="23" t="s">
        <v>603</v>
      </c>
      <c r="R24" s="23"/>
      <c r="S24" s="13" t="s">
        <v>1031</v>
      </c>
      <c r="T24" s="10" cm="1">
        <f t="array" ref="T24">IF(ROW()=ROW($T$2)+1,0,INDEX($T:$T,ROW()-1))+IF($A24="",0,1)</f>
        <v>22</v>
      </c>
      <c r="U24" s="20" t="b" cm="1">
        <f t="array" aca="1" ref="U24" ca="1">CheckRelevance(SanitizeInput(E24),Questionnaire!$I:$I)</f>
        <v>0</v>
      </c>
      <c r="V24" s="20" t="b">
        <f>IFERROR(_xlfn.XMATCH("*,"&amp;$A24&amp;",*",Mitigation!$X:$X,2)&gt;0,FALSE)</f>
        <v>0</v>
      </c>
      <c r="W24" s="20" cm="1">
        <f t="array" ref="W24">CreateTaskID($W$2,$W:$W,Tasks!$B$17,$S24)</f>
        <v>0</v>
      </c>
      <c r="X24" s="20" t="str" cm="1">
        <f t="array" ref="X24">IF($E24="","",","&amp;SanitizeInput($E24))</f>
        <v>,AS4,</v>
      </c>
      <c r="Y24" s="20">
        <f>IF(K24="",0,VLOOKUP(K24,Definitions!$Z:$AA,COLUMNS(Definitions!$Z:$AA),FALSE))</f>
        <v>0</v>
      </c>
      <c r="Z24" s="20">
        <f>IF(L24="",0,VLOOKUP(L24,Definitions!$Z:$AA,COLUMNS(Definitions!$Z:$AA),FALSE))</f>
        <v>0</v>
      </c>
      <c r="AA24" s="20">
        <f>IF(M24="",0,VLOOKUP(M24,Definitions!$Z:$AA,COLUMNS(Definitions!$Z:$AA),FALSE))</f>
        <v>0</v>
      </c>
      <c r="AB24" s="20">
        <f>IF(N24="",0,VLOOKUP(N24,Definitions!$Z:$AA,COLUMNS(Definitions!$Z:$AA),FALSE))</f>
        <v>0</v>
      </c>
      <c r="AC24" s="20">
        <f>IF(O24="",0,VLOOKUP(O24,Definitions!$Z:$AA,COLUMNS(Definitions!$Z:$AA),FALSE))</f>
        <v>0</v>
      </c>
      <c r="AD24" s="20">
        <f t="shared" ca="1" si="0"/>
        <v>0</v>
      </c>
      <c r="AE24" s="20" t="str" cm="1">
        <f t="array" ref="AE24">IF($G24="","",","&amp;SanitizeInput($G24))</f>
        <v>,C20,</v>
      </c>
      <c r="AF24" s="20" t="b" cm="1">
        <f t="array" aca="1" ref="AF24" ca="1">OR($AK24,_xlfn.LAMBDA(_xlpm._ownID,_xlpm._searchHeader,_xlpm._resultHeader,_xlpm._elementCount,_xlpm._delimiter,_xlpm._activeInTreatmentRange,_xlpm._activeByAnswersRange,_xlpm._dependencies,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InverseLookup(_xlpm._ownID,_xlpm._searchHeader,_xlpm._resultHeader,1,_xlpm._elementCount,_xlpm._delimiter))))))($A24,$AE$2,$A$2,Helper!$B$4,",",$A:$V,$A:$AK,InverseLookup($A24,$AE$2,$A$2,1,Helper!$B$4,",")))</f>
        <v>0</v>
      </c>
      <c r="AG24" s="20" t="str" cm="1">
        <f t="array" aca="1" ref="AG24" ca="1">IF(OR($V24,$AF24,$AK24),IF($G24="","",","&amp;SanitizeInput($G24)),"")</f>
        <v/>
      </c>
      <c r="AH24" s="20" t="str" cm="1">
        <f t="array" ref="AH24">SUBSTITUTE(IF($V24,IF($I24="","",","&amp;SanitizeInput($I24)),""),"&gt;",",")</f>
        <v/>
      </c>
      <c r="AI24" s="20" cm="1">
        <f t="array" aca="1" ref="AI24" ca="1">IF(ROW()=ROW($AI$2)+1,0,INDEX($AI:$AI,ROW()-1))+IF($AF24,1,0)</f>
        <v>3</v>
      </c>
      <c r="AJ24" s="20" t="str" cm="1">
        <f t="array" aca="1" ref="AJ24" ca="1">IF($AF24,IF($Q24="","",","&amp;SanitizeInput($Q24)),"")</f>
        <v/>
      </c>
      <c r="AK24" s="20" t="b">
        <f>OR(CheckRelevance(SanitizeInput($D24),Questionnaire!$I:$I),CheckRelevance(SanitizeInput($D24),Questionnaire!$J:$J))</f>
        <v>0</v>
      </c>
      <c r="AL24" s="20" t="str" cm="1">
        <f t="array" ref="AL2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FilterPreconditionCandidates(RemoveFirstElement(_xlpm._preconditionCandidates),_xlpm._searchColumn,_xlpm._delimiter))))(SanitizeInput($D24),Questionnaire!$AA:$AA,",")</f>
        <v/>
      </c>
      <c r="AM24" s="20" t="str" cm="1">
        <f t="array" ref="AM24">IF($D24="*","",InverseLookupList($AL24,Questionnaire!$AA$3,Questionnaire!$A$3,Helper!$B$12,","))</f>
        <v/>
      </c>
      <c r="AN24" s="20" t="str" cm="1">
        <f t="array" ref="AN24">RemoveDelimiter(GetValues($AM24,Questionnaire!$A:$G," ",CHAR(10)&amp;CHAR(10),TRUE),CHAR(10)&amp;CHAR(10))</f>
        <v/>
      </c>
      <c r="AO24" s="20" t="str" cm="1">
        <f t="array" ref="AO24">CreateSearchString($AM24)</f>
        <v/>
      </c>
      <c r="AP24" s="20" t="str" cm="1">
        <f t="array" aca="1" ref="AP24" ca="1">InverseLookup($A24,Mitigation!$AD$2,Mitigation!$A$2,1,Helper!$B$5,",")</f>
        <v/>
      </c>
      <c r="AQ24" s="20" t="str" cm="1">
        <f t="array" aca="1" ref="AQ24" ca="1">CreateSearchString(GetValues($AP24,'Attack Steps'!$A:$O,"",",",FALSE))</f>
        <v/>
      </c>
      <c r="AR24" s="20" t="str">
        <f t="shared" si="1"/>
        <v>C21</v>
      </c>
    </row>
    <row r="25" spans="1:44" x14ac:dyDescent="0.25">
      <c r="A25" s="10" t="s">
        <v>469</v>
      </c>
      <c r="B25" s="13" t="s">
        <v>746</v>
      </c>
      <c r="C25" s="13" t="s">
        <v>1746</v>
      </c>
      <c r="D25" s="13"/>
      <c r="E25" s="13"/>
      <c r="F25" s="33" t="str" cm="1">
        <f t="array" ref="F25">LookupNames(SanitizeInput($E25),'Attack Steps'!$A:$B)</f>
        <v/>
      </c>
      <c r="G25" s="23"/>
      <c r="H25" s="33" t="str" cm="1">
        <f t="array" ref="H25">RemoveDelimiter(GetValuesWithFallback(SanitizeInput($G25),$A:$B,Assumptions!$A:$B," ",","&amp;CHAR(10),TRUE),","&amp;CHAR(10))</f>
        <v/>
      </c>
      <c r="I25" s="23"/>
      <c r="J25" s="37" t="str" cm="1">
        <f t="array" ref="J25">IF($I25="","",SUBSTITUTE(SUBSTITUTE(SUBSTITUTE(SUBSTITUTE(SUBSTITUTE(SUBSTITUTE(SUBSTITUTE(SUBSTITUTE(SUBSTITUTE(
GetTransformation(SanitizeInput($I25),'Damage Scenarios'!$A:$J,COLUMNS('Damage Scenarios'!$A:$J),CHAR(10),"[#0][#1][#2]")&amp;"§",
"[#1][#2]",""),
"[#2]",""),
"[#0][#1]","[#1]"),
"[#0]","Removes:"&amp;CHAR(10)),
"[#1]","Transforms:"&amp;CHAR(10)),
CHAR(10)&amp;"§",""),
"§",""),
CHAR(10),CHAR(10)&amp;"   "),
"   "&amp;"Transforms:","Transforms:"))</f>
        <v/>
      </c>
      <c r="K25" s="13"/>
      <c r="L25" s="13"/>
      <c r="M25" s="13"/>
      <c r="N25" s="13"/>
      <c r="O25" s="13"/>
      <c r="P25" s="33" t="str">
        <f ca="1">IF($A25="","",IFERROR(VLOOKUP($AD25,Definitions!$V:$W,COLUMNS(Definitions!$V:$W),TRUE),""))</f>
        <v>Basic</v>
      </c>
      <c r="Q25" s="23" t="s">
        <v>603</v>
      </c>
      <c r="R25" s="23"/>
      <c r="S25" s="13"/>
      <c r="T25" s="10" cm="1">
        <f t="array" ref="T25">IF(ROW()=ROW($T$2)+1,0,INDEX($T:$T,ROW()-1))+IF($A25="",0,1)</f>
        <v>23</v>
      </c>
      <c r="U25" s="20" t="b" cm="1">
        <f t="array" ref="U25">CheckRelevance(SanitizeInput(E25),Questionnaire!$I:$I)</f>
        <v>0</v>
      </c>
      <c r="V25" s="20" t="b">
        <f>IFERROR(_xlfn.XMATCH("*,"&amp;$A25&amp;",*",Mitigation!$X:$X,2)&gt;0,FALSE)</f>
        <v>0</v>
      </c>
      <c r="W25" s="20" cm="1">
        <f t="array" ref="W25">CreateTaskID($W$2,$W:$W,Tasks!$B$17,$S25)</f>
        <v>0</v>
      </c>
      <c r="X25" s="20" t="str" cm="1">
        <f t="array" ref="X25">IF($E25="","",","&amp;SanitizeInput($E25))</f>
        <v/>
      </c>
      <c r="Y25" s="20">
        <f>IF(K25="",0,VLOOKUP(K25,Definitions!$Z:$AA,COLUMNS(Definitions!$Z:$AA),FALSE))</f>
        <v>0</v>
      </c>
      <c r="Z25" s="20">
        <f>IF(L25="",0,VLOOKUP(L25,Definitions!$Z:$AA,COLUMNS(Definitions!$Z:$AA),FALSE))</f>
        <v>0</v>
      </c>
      <c r="AA25" s="20">
        <f>IF(M25="",0,VLOOKUP(M25,Definitions!$Z:$AA,COLUMNS(Definitions!$Z:$AA),FALSE))</f>
        <v>0</v>
      </c>
      <c r="AB25" s="20">
        <f>IF(N25="",0,VLOOKUP(N25,Definitions!$Z:$AA,COLUMNS(Definitions!$Z:$AA),FALSE))</f>
        <v>0</v>
      </c>
      <c r="AC25" s="20">
        <f>IF(O25="",0,VLOOKUP(O25,Definitions!$Z:$AA,COLUMNS(Definitions!$Z:$AA),FALSE))</f>
        <v>0</v>
      </c>
      <c r="AD25" s="20">
        <f t="shared" ca="1" si="0"/>
        <v>0</v>
      </c>
      <c r="AE25" s="20" t="str" cm="1">
        <f t="array" ref="AE25">IF($G25="","",","&amp;SanitizeInput($G25))</f>
        <v/>
      </c>
      <c r="AF25" s="20" t="b" cm="1">
        <f t="array" aca="1" ref="AF25" ca="1">OR($AK25,_xlfn.LAMBDA(_xlpm._ownID,_xlpm._searchHeader,_xlpm._resultHeader,_xlpm._elementCount,_xlpm._delimiter,_xlpm._activeInTreatmentRange,_xlpm._activeByAnswersRange,_xlpm._dependencies,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InverseLookup(_xlpm._ownID,_xlpm._searchHeader,_xlpm._resultHeader,1,_xlpm._elementCount,_xlpm._delimiter))))))($A25,$AE$2,$A$2,Helper!$B$4,",",$A:$V,$A:$AK,InverseLookup($A25,$AE$2,$A$2,1,Helper!$B$4,",")))</f>
        <v>0</v>
      </c>
      <c r="AG25" s="20" t="str" cm="1">
        <f t="array" aca="1" ref="AG25" ca="1">IF(OR($V25,$AF25,$AK25),IF($G25="","",","&amp;SanitizeInput($G25)),"")</f>
        <v/>
      </c>
      <c r="AH25" s="20" t="str" cm="1">
        <f t="array" ref="AH25">SUBSTITUTE(IF($V25,IF($I25="","",","&amp;SanitizeInput($I25)),""),"&gt;",",")</f>
        <v/>
      </c>
      <c r="AI25" s="20" cm="1">
        <f t="array" aca="1" ref="AI25" ca="1">IF(ROW()=ROW($AI$2)+1,0,INDEX($AI:$AI,ROW()-1))+IF($AF25,1,0)</f>
        <v>3</v>
      </c>
      <c r="AJ25" s="20" t="str" cm="1">
        <f t="array" aca="1" ref="AJ25" ca="1">IF($AF25,IF($Q25="","",","&amp;SanitizeInput($Q25)),"")</f>
        <v/>
      </c>
      <c r="AK25" s="20" t="b">
        <f>OR(CheckRelevance(SanitizeInput($D25),Questionnaire!$I:$I),CheckRelevance(SanitizeInput($D25),Questionnaire!$J:$J))</f>
        <v>0</v>
      </c>
      <c r="AL25" s="20" t="str" cm="1">
        <f t="array" ref="AL2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FilterPreconditionCandidates(RemoveFirstElement(_xlpm._preconditionCandidates),_xlpm._searchColumn,_xlpm._delimiter))))(SanitizeInput($D25),Questionnaire!$AA:$AA,",")</f>
        <v/>
      </c>
      <c r="AM25" s="20" t="str" cm="1">
        <f t="array" ref="AM25">IF($D25="*","",InverseLookupList($AL25,Questionnaire!$AA$3,Questionnaire!$A$3,Helper!$B$12,","))</f>
        <v/>
      </c>
      <c r="AN25" s="20" t="str" cm="1">
        <f t="array" ref="AN25">RemoveDelimiter(GetValues($AM25,Questionnaire!$A:$G," ",CHAR(10)&amp;CHAR(10),TRUE),CHAR(10)&amp;CHAR(10))</f>
        <v/>
      </c>
      <c r="AO25" s="20" t="str" cm="1">
        <f t="array" ref="AO25">CreateSearchString($AM25)</f>
        <v/>
      </c>
      <c r="AP25" s="20" t="str" cm="1">
        <f t="array" aca="1" ref="AP25" ca="1">InverseLookup($A25,Mitigation!$AD$2,Mitigation!$A$2,1,Helper!$B$5,",")</f>
        <v/>
      </c>
      <c r="AQ25" s="20" t="str" cm="1">
        <f t="array" aca="1" ref="AQ25" ca="1">CreateSearchString(GetValues($AP25,'Attack Steps'!$A:$O,"",",",FALSE))</f>
        <v/>
      </c>
      <c r="AR25" s="20" t="str">
        <f t="shared" si="1"/>
        <v>C22</v>
      </c>
    </row>
    <row r="26" spans="1:44" ht="30" x14ac:dyDescent="0.25">
      <c r="A26" s="10" t="s">
        <v>470</v>
      </c>
      <c r="B26" s="13" t="s">
        <v>747</v>
      </c>
      <c r="C26" s="13" t="s">
        <v>1746</v>
      </c>
      <c r="D26" s="13" t="s">
        <v>1050</v>
      </c>
      <c r="E26" s="13"/>
      <c r="F26" s="33" t="str" cm="1">
        <f t="array" ref="F26">LookupNames(SanitizeInput($E26),'Attack Steps'!$A:$B)</f>
        <v/>
      </c>
      <c r="G26" s="23"/>
      <c r="H26" s="33" t="str" cm="1">
        <f t="array" ref="H26">RemoveDelimiter(GetValuesWithFallback(SanitizeInput($G26),$A:$B,Assumptions!$A:$B," ",","&amp;CHAR(10),TRUE),","&amp;CHAR(10))</f>
        <v/>
      </c>
      <c r="I26" s="23"/>
      <c r="J26" s="37" t="str" cm="1">
        <f t="array" ref="J26">IF($I26="","",SUBSTITUTE(SUBSTITUTE(SUBSTITUTE(SUBSTITUTE(SUBSTITUTE(SUBSTITUTE(SUBSTITUTE(SUBSTITUTE(SUBSTITUTE(
GetTransformation(SanitizeInput($I26),'Damage Scenarios'!$A:$J,COLUMNS('Damage Scenarios'!$A:$J),CHAR(10),"[#0][#1][#2]")&amp;"§",
"[#1][#2]",""),
"[#2]",""),
"[#0][#1]","[#1]"),
"[#0]","Removes:"&amp;CHAR(10)),
"[#1]","Transforms:"&amp;CHAR(10)),
CHAR(10)&amp;"§",""),
"§",""),
CHAR(10),CHAR(10)&amp;"   "),
"   "&amp;"Transforms:","Transforms:"))</f>
        <v/>
      </c>
      <c r="K26" s="13"/>
      <c r="L26" s="13"/>
      <c r="M26" s="13"/>
      <c r="N26" s="13"/>
      <c r="O26" s="13"/>
      <c r="P26" s="33" t="str">
        <f ca="1">IF($A26="","",IFERROR(VLOOKUP($AD26,Definitions!$V:$W,COLUMNS(Definitions!$V:$W),TRUE),""))</f>
        <v>Basic</v>
      </c>
      <c r="Q26" s="23" t="s">
        <v>637</v>
      </c>
      <c r="R26" s="23"/>
      <c r="S26" s="13"/>
      <c r="T26" s="10" cm="1">
        <f t="array" ref="T26">IF(ROW()=ROW($T$2)+1,0,INDEX($T:$T,ROW()-1))+IF($A26="",0,1)</f>
        <v>24</v>
      </c>
      <c r="U26" s="20" t="b" cm="1">
        <f t="array" ref="U26">CheckRelevance(SanitizeInput(E26),Questionnaire!$I:$I)</f>
        <v>0</v>
      </c>
      <c r="V26" s="20" t="b">
        <f>IFERROR(_xlfn.XMATCH("*,"&amp;$A26&amp;",*",Mitigation!$X:$X,2)&gt;0,FALSE)</f>
        <v>0</v>
      </c>
      <c r="W26" s="20" cm="1">
        <f t="array" ref="W26">CreateTaskID($W$2,$W:$W,Tasks!$B$17,$S26)</f>
        <v>0</v>
      </c>
      <c r="X26" s="20" t="str" cm="1">
        <f t="array" ref="X26">IF($E26="","",","&amp;SanitizeInput($E26))</f>
        <v/>
      </c>
      <c r="Y26" s="20">
        <f>IF(K26="",0,VLOOKUP(K26,Definitions!$Z:$AA,COLUMNS(Definitions!$Z:$AA),FALSE))</f>
        <v>0</v>
      </c>
      <c r="Z26" s="20">
        <f>IF(L26="",0,VLOOKUP(L26,Definitions!$Z:$AA,COLUMNS(Definitions!$Z:$AA),FALSE))</f>
        <v>0</v>
      </c>
      <c r="AA26" s="20">
        <f>IF(M26="",0,VLOOKUP(M26,Definitions!$Z:$AA,COLUMNS(Definitions!$Z:$AA),FALSE))</f>
        <v>0</v>
      </c>
      <c r="AB26" s="20">
        <f>IF(N26="",0,VLOOKUP(N26,Definitions!$Z:$AA,COLUMNS(Definitions!$Z:$AA),FALSE))</f>
        <v>0</v>
      </c>
      <c r="AC26" s="20">
        <f>IF(O26="",0,VLOOKUP(O26,Definitions!$Z:$AA,COLUMNS(Definitions!$Z:$AA),FALSE))</f>
        <v>0</v>
      </c>
      <c r="AD26" s="20">
        <f t="shared" ca="1" si="0"/>
        <v>0</v>
      </c>
      <c r="AE26" s="20" t="str" cm="1">
        <f t="array" ref="AE26">IF($G26="","",","&amp;SanitizeInput($G26))</f>
        <v/>
      </c>
      <c r="AF26" s="20" t="b" cm="1">
        <f t="array" aca="1" ref="AF26" ca="1">OR($AK26,_xlfn.LAMBDA(_xlpm._ownID,_xlpm._searchHeader,_xlpm._resultHeader,_xlpm._elementCount,_xlpm._delimiter,_xlpm._activeInTreatmentRange,_xlpm._activeByAnswersRange,_xlpm._dependencies,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InverseLookup(_xlpm._ownID,_xlpm._searchHeader,_xlpm._resultHeader,1,_xlpm._elementCount,_xlpm._delimiter))))))($A26,$AE$2,$A$2,Helper!$B$4,",",$A:$V,$A:$AK,InverseLookup($A26,$AE$2,$A$2,1,Helper!$B$4,",")))</f>
        <v>0</v>
      </c>
      <c r="AG26" s="20" t="str" cm="1">
        <f t="array" aca="1" ref="AG26" ca="1">IF(OR($V26,$AF26,$AK26),IF($G26="","",","&amp;SanitizeInput($G26)),"")</f>
        <v/>
      </c>
      <c r="AH26" s="20" t="str" cm="1">
        <f t="array" ref="AH26">SUBSTITUTE(IF($V26,IF($I26="","",","&amp;SanitizeInput($I26)),""),"&gt;",",")</f>
        <v/>
      </c>
      <c r="AI26" s="20" cm="1">
        <f t="array" aca="1" ref="AI26" ca="1">IF(ROW()=ROW($AI$2)+1,0,INDEX($AI:$AI,ROW()-1))+IF($AF26,1,0)</f>
        <v>3</v>
      </c>
      <c r="AJ26" s="20" t="str" cm="1">
        <f t="array" aca="1" ref="AJ26" ca="1">IF($AF26,IF($Q26="","",","&amp;SanitizeInput($Q26)),"")</f>
        <v/>
      </c>
      <c r="AK26" s="20" t="b">
        <f ca="1">OR(CheckRelevance(SanitizeInput($D26),Questionnaire!$I:$I),CheckRelevance(SanitizeInput($D26),Questionnaire!$J:$J))</f>
        <v>0</v>
      </c>
      <c r="AL26" s="20" t="str" cm="1">
        <f t="array" aca="1" ref="AL26"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FilterPreconditionCandidates(RemoveFirstElement(_xlpm._preconditionCandidates),_xlpm._searchColumn,_xlpm._delimiter))))(SanitizeInput($D26),Questionnaire!$AA:$AA,",")</f>
        <v/>
      </c>
      <c r="AM26" s="20" t="str" cm="1">
        <f t="array" aca="1" ref="AM26" ca="1">IF($D26="*","",InverseLookupList($AL26,Questionnaire!$AA$3,Questionnaire!$A$3,Helper!$B$12,","))</f>
        <v/>
      </c>
      <c r="AN26" s="20" t="str" cm="1">
        <f t="array" aca="1" ref="AN26" ca="1">RemoveDelimiter(GetValues($AM26,Questionnaire!$A:$G," ",CHAR(10)&amp;CHAR(10),TRUE),CHAR(10)&amp;CHAR(10))</f>
        <v/>
      </c>
      <c r="AO26" s="20" t="str" cm="1">
        <f t="array" aca="1" ref="AO26" ca="1">CreateSearchString($AM26)</f>
        <v/>
      </c>
      <c r="AP26" s="20" t="str" cm="1">
        <f t="array" aca="1" ref="AP26" ca="1">InverseLookup($A26,Mitigation!$AD$2,Mitigation!$A$2,1,Helper!$B$5,",")</f>
        <v/>
      </c>
      <c r="AQ26" s="20" t="str" cm="1">
        <f t="array" aca="1" ref="AQ26" ca="1">CreateSearchString(GetValues($AP26,'Attack Steps'!$A:$O,"",",",FALSE))</f>
        <v/>
      </c>
      <c r="AR26" s="20" t="str">
        <f t="shared" si="1"/>
        <v>C23</v>
      </c>
    </row>
    <row r="27" spans="1:44" x14ac:dyDescent="0.25">
      <c r="A27" s="10" t="s">
        <v>471</v>
      </c>
      <c r="B27" s="13" t="s">
        <v>748</v>
      </c>
      <c r="C27" s="13" t="s">
        <v>1746</v>
      </c>
      <c r="D27" s="13" t="s">
        <v>418</v>
      </c>
      <c r="E27" s="13"/>
      <c r="F27" s="33" t="str" cm="1">
        <f t="array" ref="F27">LookupNames(SanitizeInput($E27),'Attack Steps'!$A:$B)</f>
        <v/>
      </c>
      <c r="G27" s="23"/>
      <c r="H27" s="33" t="str" cm="1">
        <f t="array" ref="H27">RemoveDelimiter(GetValuesWithFallback(SanitizeInput($G27),$A:$B,Assumptions!$A:$B," ",","&amp;CHAR(10),TRUE),","&amp;CHAR(10))</f>
        <v/>
      </c>
      <c r="I27" s="23"/>
      <c r="J27" s="37" t="str" cm="1">
        <f t="array" ref="J27">IF($I27="","",SUBSTITUTE(SUBSTITUTE(SUBSTITUTE(SUBSTITUTE(SUBSTITUTE(SUBSTITUTE(SUBSTITUTE(SUBSTITUTE(SUBSTITUTE(
GetTransformation(SanitizeInput($I27),'Damage Scenarios'!$A:$J,COLUMNS('Damage Scenarios'!$A:$J),CHAR(10),"[#0][#1][#2]")&amp;"§",
"[#1][#2]",""),
"[#2]",""),
"[#0][#1]","[#1]"),
"[#0]","Removes:"&amp;CHAR(10)),
"[#1]","Transforms:"&amp;CHAR(10)),
CHAR(10)&amp;"§",""),
"§",""),
CHAR(10),CHAR(10)&amp;"   "),
"   "&amp;"Transforms:","Transforms:"))</f>
        <v/>
      </c>
      <c r="K27" s="13"/>
      <c r="L27" s="13"/>
      <c r="M27" s="13"/>
      <c r="N27" s="13"/>
      <c r="O27" s="13"/>
      <c r="P27" s="33" t="str">
        <f ca="1">IF($A27="","",IFERROR(VLOOKUP($AD27,Definitions!$V:$W,COLUMNS(Definitions!$V:$W),TRUE),""))</f>
        <v>Basic</v>
      </c>
      <c r="Q27" s="23" t="s">
        <v>637</v>
      </c>
      <c r="R27" s="23"/>
      <c r="S27" s="13"/>
      <c r="T27" s="10" cm="1">
        <f t="array" ref="T27">IF(ROW()=ROW($T$2)+1,0,INDEX($T:$T,ROW()-1))+IF($A27="",0,1)</f>
        <v>25</v>
      </c>
      <c r="U27" s="20" t="b" cm="1">
        <f t="array" ref="U27">CheckRelevance(SanitizeInput(E27),Questionnaire!$I:$I)</f>
        <v>0</v>
      </c>
      <c r="V27" s="20" t="b">
        <f>IFERROR(_xlfn.XMATCH("*,"&amp;$A27&amp;",*",Mitigation!$X:$X,2)&gt;0,FALSE)</f>
        <v>0</v>
      </c>
      <c r="W27" s="20" cm="1">
        <f t="array" ref="W27">CreateTaskID($W$2,$W:$W,Tasks!$B$17,$S27)</f>
        <v>0</v>
      </c>
      <c r="X27" s="20" t="str" cm="1">
        <f t="array" ref="X27">IF($E27="","",","&amp;SanitizeInput($E27))</f>
        <v/>
      </c>
      <c r="Y27" s="20">
        <f>IF(K27="",0,VLOOKUP(K27,Definitions!$Z:$AA,COLUMNS(Definitions!$Z:$AA),FALSE))</f>
        <v>0</v>
      </c>
      <c r="Z27" s="20">
        <f>IF(L27="",0,VLOOKUP(L27,Definitions!$Z:$AA,COLUMNS(Definitions!$Z:$AA),FALSE))</f>
        <v>0</v>
      </c>
      <c r="AA27" s="20">
        <f>IF(M27="",0,VLOOKUP(M27,Definitions!$Z:$AA,COLUMNS(Definitions!$Z:$AA),FALSE))</f>
        <v>0</v>
      </c>
      <c r="AB27" s="20">
        <f>IF(N27="",0,VLOOKUP(N27,Definitions!$Z:$AA,COLUMNS(Definitions!$Z:$AA),FALSE))</f>
        <v>0</v>
      </c>
      <c r="AC27" s="20">
        <f>IF(O27="",0,VLOOKUP(O27,Definitions!$Z:$AA,COLUMNS(Definitions!$Z:$AA),FALSE))</f>
        <v>0</v>
      </c>
      <c r="AD27" s="20">
        <f t="shared" ca="1" si="0"/>
        <v>0</v>
      </c>
      <c r="AE27" s="20" t="str" cm="1">
        <f t="array" ref="AE27">IF($G27="","",","&amp;SanitizeInput($G27))</f>
        <v/>
      </c>
      <c r="AF27" s="20" t="b" cm="1">
        <f t="array" aca="1" ref="AF27" ca="1">OR($AK27,_xlfn.LAMBDA(_xlpm._ownID,_xlpm._searchHeader,_xlpm._resultHeader,_xlpm._elementCount,_xlpm._delimiter,_xlpm._activeInTreatmentRange,_xlpm._activeByAnswersRange,_xlpm._dependencies,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InverseLookup(_xlpm._ownID,_xlpm._searchHeader,_xlpm._resultHeader,1,_xlpm._elementCount,_xlpm._delimiter))))))($A27,$AE$2,$A$2,Helper!$B$4,",",$A:$V,$A:$AK,InverseLookup($A27,$AE$2,$A$2,1,Helper!$B$4,",")))</f>
        <v>1</v>
      </c>
      <c r="AG27" s="20" t="str" cm="1">
        <f t="array" aca="1" ref="AG27" ca="1">IF(OR($V27,$AF27,$AK27),IF($G27="","",","&amp;SanitizeInput($G27)),"")</f>
        <v/>
      </c>
      <c r="AH27" s="20" t="str" cm="1">
        <f t="array" ref="AH27">SUBSTITUTE(IF($V27,IF($I27="","",","&amp;SanitizeInput($I27)),""),"&gt;",",")</f>
        <v/>
      </c>
      <c r="AI27" s="20" cm="1">
        <f t="array" aca="1" ref="AI27" ca="1">IF(ROW()=ROW($AI$2)+1,0,INDEX($AI:$AI,ROW()-1))+IF($AF27,1,0)</f>
        <v>4</v>
      </c>
      <c r="AJ27" s="20" t="str" cm="1">
        <f t="array" aca="1" ref="AJ27" ca="1">IF($AF27,IF($Q27="","",","&amp;SanitizeInput($Q27)),"")</f>
        <v>,j,</v>
      </c>
      <c r="AK27" s="20" t="b">
        <f>OR(CheckRelevance(SanitizeInput($D27),Questionnaire!$I:$I),CheckRelevance(SanitizeInput($D27),Questionnaire!$J:$J))</f>
        <v>1</v>
      </c>
      <c r="AL27" s="20" t="str" cm="1">
        <f t="array" ref="AL2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FilterPreconditionCandidates(RemoveFirstElement(_xlpm._preconditionCandidates),_xlpm._searchColumn,_xlpm._delimiter))))(SanitizeInput($D27),Questionnaire!$AA:$AA,",")</f>
        <v>*,</v>
      </c>
      <c r="AM27" s="20" t="str" cm="1">
        <f t="array" ref="AM27">IF($D27="*","",InverseLookupList($AL27,Questionnaire!$AA$3,Questionnaire!$A$3,Helper!$B$12,","))</f>
        <v/>
      </c>
      <c r="AN27" s="20" t="str" cm="1">
        <f t="array" ref="AN27">RemoveDelimiter(GetValues($AM27,Questionnaire!$A:$G," ",CHAR(10)&amp;CHAR(10),TRUE),CHAR(10)&amp;CHAR(10))</f>
        <v/>
      </c>
      <c r="AO27" s="20" t="str" cm="1">
        <f t="array" ref="AO27">CreateSearchString($AM27)</f>
        <v/>
      </c>
      <c r="AP27" s="20" t="str" cm="1">
        <f t="array" aca="1" ref="AP27" ca="1">InverseLookup($A27,Mitigation!$AD$2,Mitigation!$A$2,1,Helper!$B$5,",")</f>
        <v/>
      </c>
      <c r="AQ27" s="20" t="str" cm="1">
        <f t="array" aca="1" ref="AQ27" ca="1">CreateSearchString(GetValues($AP27,'Attack Steps'!$A:$O,"",",",FALSE))</f>
        <v/>
      </c>
      <c r="AR27" s="20" t="str">
        <f t="shared" si="1"/>
        <v>C24</v>
      </c>
    </row>
    <row r="28" spans="1:44" ht="345" x14ac:dyDescent="0.25">
      <c r="A28" s="10" t="s">
        <v>474</v>
      </c>
      <c r="B28" s="13" t="s">
        <v>776</v>
      </c>
      <c r="C28" s="13" t="s">
        <v>1746</v>
      </c>
      <c r="D28" s="13"/>
      <c r="E28" s="13"/>
      <c r="F28" s="33" t="str" cm="1">
        <f t="array" ref="F28">LookupNames(SanitizeInput($E28),'Attack Steps'!$A:$B)</f>
        <v/>
      </c>
      <c r="G28" s="23"/>
      <c r="H28" s="33" t="str" cm="1">
        <f t="array" ref="H28">RemoveDelimiter(GetValuesWithFallback(SanitizeInput($G28),$A:$B,Assumptions!$A:$B," ",","&amp;CHAR(10),TRUE),","&amp;CHAR(10))</f>
        <v/>
      </c>
      <c r="I28" s="23"/>
      <c r="J28" s="37" t="str" cm="1">
        <f t="array" ref="J28">IF($I28="","",SUBSTITUTE(SUBSTITUTE(SUBSTITUTE(SUBSTITUTE(SUBSTITUTE(SUBSTITUTE(SUBSTITUTE(SUBSTITUTE(SUBSTITUTE(
GetTransformation(SanitizeInput($I28),'Damage Scenarios'!$A:$J,COLUMNS('Damage Scenarios'!$A:$J),CHAR(10),"[#0][#1][#2]")&amp;"§",
"[#1][#2]",""),
"[#2]",""),
"[#0][#1]","[#1]"),
"[#0]","Removes:"&amp;CHAR(10)),
"[#1]","Transforms:"&amp;CHAR(10)),
CHAR(10)&amp;"§",""),
"§",""),
CHAR(10),CHAR(10)&amp;"   "),
"   "&amp;"Transforms:","Transforms:"))</f>
        <v/>
      </c>
      <c r="K28" s="13"/>
      <c r="L28" s="13"/>
      <c r="M28" s="13"/>
      <c r="N28" s="13"/>
      <c r="O28" s="13"/>
      <c r="P28" s="33" t="str">
        <f ca="1">IF($A28="","",IFERROR(VLOOKUP($AD28,Definitions!$V:$W,COLUMNS(Definitions!$V:$W),TRUE),""))</f>
        <v>Basic</v>
      </c>
      <c r="Q28" s="23" t="s">
        <v>601</v>
      </c>
      <c r="R28" s="23"/>
      <c r="S28" s="13" t="s">
        <v>1529</v>
      </c>
      <c r="T28" s="10" cm="1">
        <f t="array" ref="T28">IF(ROW()=ROW($T$2)+1,0,INDEX($T:$T,ROW()-1))+IF($A28="",0,1)</f>
        <v>26</v>
      </c>
      <c r="U28" s="20" t="b" cm="1">
        <f t="array" ref="U28">CheckRelevance(SanitizeInput(E28),Questionnaire!$I:$I)</f>
        <v>0</v>
      </c>
      <c r="V28" s="20" t="b">
        <f>IFERROR(_xlfn.XMATCH("*,"&amp;$A28&amp;",*",Mitigation!$X:$X,2)&gt;0,FALSE)</f>
        <v>0</v>
      </c>
      <c r="W28" s="20" cm="1">
        <f t="array" ref="W28">CreateTaskID($W$2,$W:$W,Tasks!$B$17,$S28)</f>
        <v>0</v>
      </c>
      <c r="X28" s="20" t="str" cm="1">
        <f t="array" ref="X28">IF($E28="","",","&amp;SanitizeInput($E28))</f>
        <v/>
      </c>
      <c r="Y28" s="20">
        <f>IF(K28="",0,VLOOKUP(K28,Definitions!$Z:$AA,COLUMNS(Definitions!$Z:$AA),FALSE))</f>
        <v>0</v>
      </c>
      <c r="Z28" s="20">
        <f>IF(L28="",0,VLOOKUP(L28,Definitions!$Z:$AA,COLUMNS(Definitions!$Z:$AA),FALSE))</f>
        <v>0</v>
      </c>
      <c r="AA28" s="20">
        <f>IF(M28="",0,VLOOKUP(M28,Definitions!$Z:$AA,COLUMNS(Definitions!$Z:$AA),FALSE))</f>
        <v>0</v>
      </c>
      <c r="AB28" s="20">
        <f>IF(N28="",0,VLOOKUP(N28,Definitions!$Z:$AA,COLUMNS(Definitions!$Z:$AA),FALSE))</f>
        <v>0</v>
      </c>
      <c r="AC28" s="20">
        <f>IF(O28="",0,VLOOKUP(O28,Definitions!$Z:$AA,COLUMNS(Definitions!$Z:$AA),FALSE))</f>
        <v>0</v>
      </c>
      <c r="AD28" s="20">
        <f t="shared" ca="1" si="0"/>
        <v>0</v>
      </c>
      <c r="AE28" s="20" t="str" cm="1">
        <f t="array" ref="AE28">IF($G28="","",","&amp;SanitizeInput($G28))</f>
        <v/>
      </c>
      <c r="AF28" s="20" t="b" cm="1">
        <f t="array" aca="1" ref="AF28" ca="1">OR($AK28,_xlfn.LAMBDA(_xlpm._ownID,_xlpm._searchHeader,_xlpm._resultHeader,_xlpm._elementCount,_xlpm._delimiter,_xlpm._activeInTreatmentRange,_xlpm._activeByAnswersRange,_xlpm._dependencies,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InverseLookup(_xlpm._ownID,_xlpm._searchHeader,_xlpm._resultHeader,1,_xlpm._elementCount,_xlpm._delimiter))))))($A28,$AE$2,$A$2,Helper!$B$4,",",$A:$V,$A:$AK,InverseLookup($A28,$AE$2,$A$2,1,Helper!$B$4,",")))</f>
        <v>0</v>
      </c>
      <c r="AG28" s="20" t="str" cm="1">
        <f t="array" aca="1" ref="AG28" ca="1">IF(OR($V28,$AF28,$AK28),IF($G28="","",","&amp;SanitizeInput($G28)),"")</f>
        <v/>
      </c>
      <c r="AH28" s="20" t="str" cm="1">
        <f t="array" ref="AH28">SUBSTITUTE(IF($V28,IF($I28="","",","&amp;SanitizeInput($I28)),""),"&gt;",",")</f>
        <v/>
      </c>
      <c r="AI28" s="20" cm="1">
        <f t="array" aca="1" ref="AI28" ca="1">IF(ROW()=ROW($AI$2)+1,0,INDEX($AI:$AI,ROW()-1))+IF($AF28,1,0)</f>
        <v>4</v>
      </c>
      <c r="AJ28" s="20" t="str" cm="1">
        <f t="array" aca="1" ref="AJ28" ca="1">IF($AF28,IF($Q28="","",","&amp;SanitizeInput($Q28)),"")</f>
        <v/>
      </c>
      <c r="AK28" s="20" t="b">
        <f>OR(CheckRelevance(SanitizeInput($D28),Questionnaire!$I:$I),CheckRelevance(SanitizeInput($D28),Questionnaire!$J:$J))</f>
        <v>0</v>
      </c>
      <c r="AL28" s="20" t="str" cm="1">
        <f t="array" ref="AL2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FilterPreconditionCandidates(RemoveFirstElement(_xlpm._preconditionCandidates),_xlpm._searchColumn,_xlpm._delimiter))))(SanitizeInput($D28),Questionnaire!$AA:$AA,",")</f>
        <v/>
      </c>
      <c r="AM28" s="20" t="str" cm="1">
        <f t="array" ref="AM28">IF($D28="*","",InverseLookupList($AL28,Questionnaire!$AA$3,Questionnaire!$A$3,Helper!$B$12,","))</f>
        <v/>
      </c>
      <c r="AN28" s="20" t="str" cm="1">
        <f t="array" ref="AN28">RemoveDelimiter(GetValues($AM28,Questionnaire!$A:$G," ",CHAR(10)&amp;CHAR(10),TRUE),CHAR(10)&amp;CHAR(10))</f>
        <v/>
      </c>
      <c r="AO28" s="20" t="str" cm="1">
        <f t="array" ref="AO28">CreateSearchString($AM28)</f>
        <v/>
      </c>
      <c r="AP28" s="20" t="str" cm="1">
        <f t="array" aca="1" ref="AP28" ca="1">InverseLookup($A28,Mitigation!$AD$2,Mitigation!$A$2,1,Helper!$B$5,",")</f>
        <v/>
      </c>
      <c r="AQ28" s="20" t="str" cm="1">
        <f t="array" aca="1" ref="AQ28" ca="1">CreateSearchString(GetValues($AP28,'Attack Steps'!$A:$O,"",",",FALSE))</f>
        <v/>
      </c>
      <c r="AR28" s="20" t="str">
        <f t="shared" si="1"/>
        <v>C25</v>
      </c>
    </row>
    <row r="29" spans="1:44" ht="255" x14ac:dyDescent="0.25">
      <c r="A29" s="10" t="s">
        <v>654</v>
      </c>
      <c r="B29" s="13" t="s">
        <v>778</v>
      </c>
      <c r="C29" s="13" t="s">
        <v>1746</v>
      </c>
      <c r="D29" s="13" t="s">
        <v>1070</v>
      </c>
      <c r="E29" s="13"/>
      <c r="F29" s="33" t="str" cm="1">
        <f t="array" ref="F29">LookupNames(SanitizeInput($E29),'Attack Steps'!$A:$B)</f>
        <v/>
      </c>
      <c r="G29" s="23"/>
      <c r="H29" s="33" t="str" cm="1">
        <f t="array" ref="H29">RemoveDelimiter(GetValuesWithFallback(SanitizeInput($G29),$A:$B,Assumptions!$A:$B," ",","&amp;CHAR(10),TRUE),","&amp;CHAR(10))</f>
        <v/>
      </c>
      <c r="I29" s="23"/>
      <c r="J29" s="37" t="str" cm="1">
        <f t="array" ref="J29">IF($I29="","",SUBSTITUTE(SUBSTITUTE(SUBSTITUTE(SUBSTITUTE(SUBSTITUTE(SUBSTITUTE(SUBSTITUTE(SUBSTITUTE(SUBSTITUTE(
GetTransformation(SanitizeInput($I29),'Damage Scenarios'!$A:$J,COLUMNS('Damage Scenarios'!$A:$J),CHAR(10),"[#0][#1][#2]")&amp;"§",
"[#1][#2]",""),
"[#2]",""),
"[#0][#1]","[#1]"),
"[#0]","Removes:"&amp;CHAR(10)),
"[#1]","Transforms:"&amp;CHAR(10)),
CHAR(10)&amp;"§",""),
"§",""),
CHAR(10),CHAR(10)&amp;"   "),
"   "&amp;"Transforms:","Transforms:"))</f>
        <v/>
      </c>
      <c r="K29" s="13"/>
      <c r="L29" s="13"/>
      <c r="M29" s="13"/>
      <c r="N29" s="13"/>
      <c r="O29" s="13"/>
      <c r="P29" s="33" t="str">
        <f ca="1">IF($A29="","",IFERROR(VLOOKUP($AD29,Definitions!$V:$W,COLUMNS(Definitions!$V:$W),TRUE),""))</f>
        <v>Basic</v>
      </c>
      <c r="Q29" s="23" t="s">
        <v>607</v>
      </c>
      <c r="R29" s="23"/>
      <c r="S29" s="13" t="s">
        <v>1530</v>
      </c>
      <c r="T29" s="10" cm="1">
        <f t="array" ref="T29">IF(ROW()=ROW($T$2)+1,0,INDEX($T:$T,ROW()-1))+IF($A29="",0,1)</f>
        <v>27</v>
      </c>
      <c r="U29" s="20" t="b" cm="1">
        <f t="array" ref="U29">CheckRelevance(SanitizeInput(E29),Questionnaire!$I:$I)</f>
        <v>0</v>
      </c>
      <c r="V29" s="20" t="b">
        <f>IFERROR(_xlfn.XMATCH("*,"&amp;$A29&amp;",*",Mitigation!$X:$X,2)&gt;0,FALSE)</f>
        <v>0</v>
      </c>
      <c r="W29" s="20" cm="1">
        <f t="array" ref="W29">CreateTaskID($W$2,$W:$W,Tasks!$B$17,$S29)</f>
        <v>0</v>
      </c>
      <c r="X29" s="20" t="str" cm="1">
        <f t="array" ref="X29">IF($E29="","",","&amp;SanitizeInput($E29))</f>
        <v/>
      </c>
      <c r="Y29" s="20">
        <f>IF(K29="",0,VLOOKUP(K29,Definitions!$Z:$AA,COLUMNS(Definitions!$Z:$AA),FALSE))</f>
        <v>0</v>
      </c>
      <c r="Z29" s="20">
        <f>IF(L29="",0,VLOOKUP(L29,Definitions!$Z:$AA,COLUMNS(Definitions!$Z:$AA),FALSE))</f>
        <v>0</v>
      </c>
      <c r="AA29" s="20">
        <f>IF(M29="",0,VLOOKUP(M29,Definitions!$Z:$AA,COLUMNS(Definitions!$Z:$AA),FALSE))</f>
        <v>0</v>
      </c>
      <c r="AB29" s="20">
        <f>IF(N29="",0,VLOOKUP(N29,Definitions!$Z:$AA,COLUMNS(Definitions!$Z:$AA),FALSE))</f>
        <v>0</v>
      </c>
      <c r="AC29" s="20">
        <f>IF(O29="",0,VLOOKUP(O29,Definitions!$Z:$AA,COLUMNS(Definitions!$Z:$AA),FALSE))</f>
        <v>0</v>
      </c>
      <c r="AD29" s="20">
        <f t="shared" ca="1" si="0"/>
        <v>0</v>
      </c>
      <c r="AE29" s="20" t="str" cm="1">
        <f t="array" ref="AE29">IF($G29="","",","&amp;SanitizeInput($G29))</f>
        <v/>
      </c>
      <c r="AF29" s="20" t="b" cm="1">
        <f t="array" aca="1" ref="AF29" ca="1">OR($AK29,_xlfn.LAMBDA(_xlpm._ownID,_xlpm._searchHeader,_xlpm._resultHeader,_xlpm._elementCount,_xlpm._delimiter,_xlpm._activeInTreatmentRange,_xlpm._activeByAnswersRange,_xlpm._dependencies,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InverseLookup(_xlpm._ownID,_xlpm._searchHeader,_xlpm._resultHeader,1,_xlpm._elementCount,_xlpm._delimiter))))))($A29,$AE$2,$A$2,Helper!$B$4,",",$A:$V,$A:$AK,InverseLookup($A29,$AE$2,$A$2,1,Helper!$B$4,",")))</f>
        <v>0</v>
      </c>
      <c r="AG29" s="20" t="str" cm="1">
        <f t="array" aca="1" ref="AG29" ca="1">IF(OR($V29,$AF29,$AK29),IF($G29="","",","&amp;SanitizeInput($G29)),"")</f>
        <v/>
      </c>
      <c r="AH29" s="20" t="str" cm="1">
        <f t="array" ref="AH29">SUBSTITUTE(IF($V29,IF($I29="","",","&amp;SanitizeInput($I29)),""),"&gt;",",")</f>
        <v/>
      </c>
      <c r="AI29" s="20" cm="1">
        <f t="array" aca="1" ref="AI29" ca="1">IF(ROW()=ROW($AI$2)+1,0,INDEX($AI:$AI,ROW()-1))+IF($AF29,1,0)</f>
        <v>4</v>
      </c>
      <c r="AJ29" s="20" t="str" cm="1">
        <f t="array" aca="1" ref="AJ29" ca="1">IF($AF29,IF($Q29="","",","&amp;SanitizeInput($Q29)),"")</f>
        <v/>
      </c>
      <c r="AK29" s="20" t="b">
        <f ca="1">OR(CheckRelevance(SanitizeInput($D29),Questionnaire!$I:$I),CheckRelevance(SanitizeInput($D29),Questionnaire!$J:$J))</f>
        <v>0</v>
      </c>
      <c r="AL29" s="20" t="str" cm="1">
        <f t="array" aca="1" ref="AL29"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FilterPreconditionCandidates(RemoveFirstElement(_xlpm._preconditionCandidates),_xlpm._searchColumn,_xlpm._delimiter))))(SanitizeInput($D29),Questionnaire!$AA:$AA,",")</f>
        <v/>
      </c>
      <c r="AM29" s="20" t="str" cm="1">
        <f t="array" aca="1" ref="AM29" ca="1">IF($D29="*","",InverseLookupList($AL29,Questionnaire!$AA$3,Questionnaire!$A$3,Helper!$B$12,","))</f>
        <v/>
      </c>
      <c r="AN29" s="20" t="str" cm="1">
        <f t="array" aca="1" ref="AN29" ca="1">RemoveDelimiter(GetValues($AM29,Questionnaire!$A:$G," ",CHAR(10)&amp;CHAR(10),TRUE),CHAR(10)&amp;CHAR(10))</f>
        <v/>
      </c>
      <c r="AO29" s="20" t="str" cm="1">
        <f t="array" aca="1" ref="AO29" ca="1">CreateSearchString($AM29)</f>
        <v/>
      </c>
      <c r="AP29" s="20" t="str" cm="1">
        <f t="array" aca="1" ref="AP29" ca="1">InverseLookup($A29,Mitigation!$AD$2,Mitigation!$A$2,1,Helper!$B$5,",")</f>
        <v/>
      </c>
      <c r="AQ29" s="20" t="str" cm="1">
        <f t="array" aca="1" ref="AQ29" ca="1">CreateSearchString(GetValues($AP29,'Attack Steps'!$A:$O,"",",",FALSE))</f>
        <v/>
      </c>
      <c r="AR29" s="20" t="str">
        <f t="shared" si="1"/>
        <v>C26</v>
      </c>
    </row>
    <row r="30" spans="1:44" ht="285" x14ac:dyDescent="0.25">
      <c r="A30" s="10" t="s">
        <v>749</v>
      </c>
      <c r="B30" s="13" t="s">
        <v>777</v>
      </c>
      <c r="C30" s="13" t="s">
        <v>1746</v>
      </c>
      <c r="D30" s="13" t="s">
        <v>1383</v>
      </c>
      <c r="E30" s="13" t="s">
        <v>1371</v>
      </c>
      <c r="F30" s="33" t="str" cm="1">
        <f t="array" aca="1" ref="F30" ca="1">LookupNames(SanitizeInput($E30),'Attack Steps'!$A:$B)</f>
        <v>AS40 Abusing the lack of a software update functionality to exploit an unpatched vulnerability</v>
      </c>
      <c r="G30" s="23"/>
      <c r="H30" s="33" t="str" cm="1">
        <f t="array" ref="H30">RemoveDelimiter(GetValuesWithFallback(SanitizeInput($G30),$A:$B,Assumptions!$A:$B," ",","&amp;CHAR(10),TRUE),","&amp;CHAR(10))</f>
        <v/>
      </c>
      <c r="I30" s="23"/>
      <c r="J30" s="37" t="str" cm="1">
        <f t="array" ref="J30">IF($I30="","",SUBSTITUTE(SUBSTITUTE(SUBSTITUTE(SUBSTITUTE(SUBSTITUTE(SUBSTITUTE(SUBSTITUTE(SUBSTITUTE(SUBSTITUTE(
GetTransformation(SanitizeInput($I30),'Damage Scenarios'!$A:$J,COLUMNS('Damage Scenarios'!$A:$J),CHAR(10),"[#0][#1][#2]")&amp;"§",
"[#1][#2]",""),
"[#2]",""),
"[#0][#1]","[#1]"),
"[#0]","Removes:"&amp;CHAR(10)),
"[#1]","Transforms:"&amp;CHAR(10)),
CHAR(10)&amp;"§",""),
"§",""),
CHAR(10),CHAR(10)&amp;"   "),
"   "&amp;"Transforms:","Transforms:"))</f>
        <v/>
      </c>
      <c r="K30" s="13"/>
      <c r="L30" s="13"/>
      <c r="M30" s="13"/>
      <c r="N30" s="13" t="s">
        <v>151</v>
      </c>
      <c r="O30" s="13"/>
      <c r="P30" s="33" t="str">
        <f ca="1">IF($A30="","",IFERROR(VLOOKUP($AD30,Definitions!$V:$W,COLUMNS(Definitions!$V:$W),TRUE),""))</f>
        <v>Beyond High</v>
      </c>
      <c r="Q30" s="23" t="s">
        <v>605</v>
      </c>
      <c r="R30" s="23"/>
      <c r="S30" s="13" t="s">
        <v>1531</v>
      </c>
      <c r="T30" s="10" cm="1">
        <f t="array" ref="T30">IF(ROW()=ROW($T$2)+1,0,INDEX($T:$T,ROW()-1))+IF($A30="",0,1)</f>
        <v>28</v>
      </c>
      <c r="U30" s="20" t="b" cm="1">
        <f t="array" aca="1" ref="U30" ca="1">CheckRelevance(SanitizeInput(E30),Questionnaire!$I:$I)</f>
        <v>0</v>
      </c>
      <c r="V30" s="20" t="b">
        <f>IFERROR(_xlfn.XMATCH("*,"&amp;$A30&amp;",*",Mitigation!$X:$X,2)&gt;0,FALSE)</f>
        <v>0</v>
      </c>
      <c r="W30" s="20" cm="1">
        <f t="array" ref="W30">CreateTaskID($W$2,$W:$W,Tasks!$B$17,$S30)</f>
        <v>0</v>
      </c>
      <c r="X30" s="20" t="str" cm="1">
        <f t="array" ref="X30">IF($E30="","",","&amp;SanitizeInput($E30))</f>
        <v>,AS40,</v>
      </c>
      <c r="Y30" s="20">
        <f>IF(K30="",0,VLOOKUP(K30,Definitions!$Z:$AA,COLUMNS(Definitions!$Z:$AA),FALSE))</f>
        <v>0</v>
      </c>
      <c r="Z30" s="20">
        <f>IF(L30="",0,VLOOKUP(L30,Definitions!$Z:$AA,COLUMNS(Definitions!$Z:$AA),FALSE))</f>
        <v>0</v>
      </c>
      <c r="AA30" s="20">
        <f>IF(M30="",0,VLOOKUP(M30,Definitions!$Z:$AA,COLUMNS(Definitions!$Z:$AA),FALSE))</f>
        <v>0</v>
      </c>
      <c r="AB30" s="20">
        <f>IF(N30="",0,VLOOKUP(N30,Definitions!$Z:$AA,COLUMNS(Definitions!$Z:$AA),FALSE))</f>
        <v>25</v>
      </c>
      <c r="AC30" s="20">
        <f>IF(O30="",0,VLOOKUP(O30,Definitions!$Z:$AA,COLUMNS(Definitions!$Z:$AA),FALSE))</f>
        <v>0</v>
      </c>
      <c r="AD30" s="20">
        <f t="shared" ca="1" si="0"/>
        <v>25</v>
      </c>
      <c r="AE30" s="20" t="str" cm="1">
        <f t="array" ref="AE30">IF($G30="","",","&amp;SanitizeInput($G30))</f>
        <v/>
      </c>
      <c r="AF30" s="20" t="b" cm="1">
        <f t="array" aca="1" ref="AF30" ca="1">OR($AK30,_xlfn.LAMBDA(_xlpm._ownID,_xlpm._searchHeader,_xlpm._resultHeader,_xlpm._elementCount,_xlpm._delimiter,_xlpm._activeInTreatmentRange,_xlpm._activeByAnswersRange,_xlpm._dependencies,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InverseLookup(_xlpm._ownID,_xlpm._searchHeader,_xlpm._resultHeader,1,_xlpm._elementCount,_xlpm._delimiter))))))($A30,$AE$2,$A$2,Helper!$B$4,",",$A:$V,$A:$AK,InverseLookup($A30,$AE$2,$A$2,1,Helper!$B$4,",")))</f>
        <v>0</v>
      </c>
      <c r="AG30" s="20" t="str" cm="1">
        <f t="array" aca="1" ref="AG30" ca="1">IF(OR($V30,$AF30,$AK30),IF($G30="","",","&amp;SanitizeInput($G30)),"")</f>
        <v/>
      </c>
      <c r="AH30" s="20" t="str" cm="1">
        <f t="array" ref="AH30">SUBSTITUTE(IF($V30,IF($I30="","",","&amp;SanitizeInput($I30)),""),"&gt;",",")</f>
        <v/>
      </c>
      <c r="AI30" s="20" cm="1">
        <f t="array" aca="1" ref="AI30" ca="1">IF(ROW()=ROW($AI$2)+1,0,INDEX($AI:$AI,ROW()-1))+IF($AF30,1,0)</f>
        <v>4</v>
      </c>
      <c r="AJ30" s="20" t="str" cm="1">
        <f t="array" aca="1" ref="AJ30" ca="1">IF($AF30,IF($Q30="","",","&amp;SanitizeInput($Q30)),"")</f>
        <v/>
      </c>
      <c r="AK30" s="20" t="b">
        <f ca="1">OR(CheckRelevance(SanitizeInput($D30),Questionnaire!$I:$I),CheckRelevance(SanitizeInput($D30),Questionnaire!$J:$J))</f>
        <v>0</v>
      </c>
      <c r="AL30" s="20" t="str" cm="1">
        <f t="array" aca="1" ref="AL30"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FilterPreconditionCandidates(RemoveFirstElement(_xlpm._preconditionCandidates),_xlpm._searchColumn,_xlpm._delimiter))))(SanitizeInput($D30),Questionnaire!$AA:$AA,",")</f>
        <v/>
      </c>
      <c r="AM30" s="20" t="str" cm="1">
        <f t="array" aca="1" ref="AM30" ca="1">IF($D30="*","",InverseLookupList($AL30,Questionnaire!$AA$3,Questionnaire!$A$3,Helper!$B$12,","))</f>
        <v/>
      </c>
      <c r="AN30" s="20" t="str" cm="1">
        <f t="array" aca="1" ref="AN30" ca="1">RemoveDelimiter(GetValues($AM30,Questionnaire!$A:$G," ",CHAR(10)&amp;CHAR(10),TRUE),CHAR(10)&amp;CHAR(10))</f>
        <v/>
      </c>
      <c r="AO30" s="20" t="str" cm="1">
        <f t="array" aca="1" ref="AO30" ca="1">CreateSearchString($AM30)</f>
        <v/>
      </c>
      <c r="AP30" s="20" t="str" cm="1">
        <f t="array" aca="1" ref="AP30" ca="1">InverseLookup($A30,Mitigation!$AD$2,Mitigation!$A$2,1,Helper!$B$5,",")</f>
        <v/>
      </c>
      <c r="AQ30" s="20" t="str" cm="1">
        <f t="array" aca="1" ref="AQ30" ca="1">CreateSearchString(GetValues($AP30,'Attack Steps'!$A:$O,"",",",FALSE))</f>
        <v/>
      </c>
      <c r="AR30" s="20" t="str">
        <f t="shared" si="1"/>
        <v>C27</v>
      </c>
    </row>
    <row r="31" spans="1:44" x14ac:dyDescent="0.25">
      <c r="A31" s="10" t="s">
        <v>750</v>
      </c>
      <c r="B31" s="13" t="s">
        <v>1769</v>
      </c>
      <c r="C31" s="13" t="s">
        <v>1746</v>
      </c>
      <c r="D31" s="13"/>
      <c r="E31" s="13"/>
      <c r="F31" s="33" t="str" cm="1">
        <f t="array" ref="F31">LookupNames(SanitizeInput($E31),'Attack Steps'!$A:$B)</f>
        <v/>
      </c>
      <c r="G31" s="23"/>
      <c r="H31" s="33" t="str" cm="1">
        <f t="array" ref="H31">RemoveDelimiter(GetValuesWithFallback(SanitizeInput($G31),$A:$B,Assumptions!$A:$B," ",","&amp;CHAR(10),TRUE),","&amp;CHAR(10))</f>
        <v/>
      </c>
      <c r="I31" s="23"/>
      <c r="J31" s="37" t="str" cm="1">
        <f t="array" ref="J31">IF($I31="","",SUBSTITUTE(SUBSTITUTE(SUBSTITUTE(SUBSTITUTE(SUBSTITUTE(SUBSTITUTE(SUBSTITUTE(SUBSTITUTE(SUBSTITUTE(
GetTransformation(SanitizeInput($I31),'Damage Scenarios'!$A:$J,COLUMNS('Damage Scenarios'!$A:$J),CHAR(10),"[#0][#1][#2]")&amp;"§",
"[#1][#2]",""),
"[#2]",""),
"[#0][#1]","[#1]"),
"[#0]","Removes:"&amp;CHAR(10)),
"[#1]","Transforms:"&amp;CHAR(10)),
CHAR(10)&amp;"§",""),
"§",""),
CHAR(10),CHAR(10)&amp;"   "),
"   "&amp;"Transforms:","Transforms:"))</f>
        <v/>
      </c>
      <c r="K31" s="13"/>
      <c r="L31" s="13"/>
      <c r="M31" s="13"/>
      <c r="N31" s="13"/>
      <c r="O31" s="13"/>
      <c r="P31" s="33" t="str">
        <f ca="1">IF($A31="","",IFERROR(VLOOKUP($AD31,Definitions!$V:$W,COLUMNS(Definitions!$V:$W),TRUE),""))</f>
        <v>Basic</v>
      </c>
      <c r="Q31" s="23" t="s">
        <v>607</v>
      </c>
      <c r="R31" s="23"/>
      <c r="S31" s="13"/>
      <c r="T31" s="10" cm="1">
        <f t="array" ref="T31">IF(ROW()=ROW($T$2)+1,0,INDEX($T:$T,ROW()-1))+IF($A31="",0,1)</f>
        <v>29</v>
      </c>
      <c r="U31" s="20" t="b" cm="1">
        <f t="array" ref="U31">CheckRelevance(SanitizeInput(E31),Questionnaire!$I:$I)</f>
        <v>0</v>
      </c>
      <c r="V31" s="20" t="b">
        <f>IFERROR(_xlfn.XMATCH("*,"&amp;$A31&amp;",*",Mitigation!$X:$X,2)&gt;0,FALSE)</f>
        <v>0</v>
      </c>
      <c r="W31" s="20" cm="1">
        <f t="array" ref="W31">CreateTaskID($W$2,$W:$W,Tasks!$B$17,$S31)</f>
        <v>0</v>
      </c>
      <c r="X31" s="20" t="str" cm="1">
        <f t="array" ref="X31">IF($E31="","",","&amp;SanitizeInput($E31))</f>
        <v/>
      </c>
      <c r="Y31" s="20">
        <f>IF(K31="",0,VLOOKUP(K31,Definitions!$Z:$AA,COLUMNS(Definitions!$Z:$AA),FALSE))</f>
        <v>0</v>
      </c>
      <c r="Z31" s="20">
        <f>IF(L31="",0,VLOOKUP(L31,Definitions!$Z:$AA,COLUMNS(Definitions!$Z:$AA),FALSE))</f>
        <v>0</v>
      </c>
      <c r="AA31" s="20">
        <f>IF(M31="",0,VLOOKUP(M31,Definitions!$Z:$AA,COLUMNS(Definitions!$Z:$AA),FALSE))</f>
        <v>0</v>
      </c>
      <c r="AB31" s="20">
        <f>IF(N31="",0,VLOOKUP(N31,Definitions!$Z:$AA,COLUMNS(Definitions!$Z:$AA),FALSE))</f>
        <v>0</v>
      </c>
      <c r="AC31" s="20">
        <f>IF(O31="",0,VLOOKUP(O31,Definitions!$Z:$AA,COLUMNS(Definitions!$Z:$AA),FALSE))</f>
        <v>0</v>
      </c>
      <c r="AD31" s="20">
        <f t="shared" ca="1" si="0"/>
        <v>0</v>
      </c>
      <c r="AE31" s="20" t="str" cm="1">
        <f t="array" ref="AE31">IF($G31="","",","&amp;SanitizeInput($G31))</f>
        <v/>
      </c>
      <c r="AF31" s="20" t="b" cm="1">
        <f t="array" aca="1" ref="AF31" ca="1">OR($AK31,_xlfn.LAMBDA(_xlpm._ownID,_xlpm._searchHeader,_xlpm._resultHeader,_xlpm._elementCount,_xlpm._delimiter,_xlpm._activeInTreatmentRange,_xlpm._activeByAnswersRange,_xlpm._dependencies,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InverseLookup(_xlpm._ownID,_xlpm._searchHeader,_xlpm._resultHeader,1,_xlpm._elementCount,_xlpm._delimiter))))))($A31,$AE$2,$A$2,Helper!$B$4,",",$A:$V,$A:$AK,InverseLookup($A31,$AE$2,$A$2,1,Helper!$B$4,",")))</f>
        <v>0</v>
      </c>
      <c r="AG31" s="20" t="str" cm="1">
        <f t="array" aca="1" ref="AG31" ca="1">IF(OR($V31,$AF31,$AK31),IF($G31="","",","&amp;SanitizeInput($G31)),"")</f>
        <v/>
      </c>
      <c r="AH31" s="20" t="str" cm="1">
        <f t="array" ref="AH31">SUBSTITUTE(IF($V31,IF($I31="","",","&amp;SanitizeInput($I31)),""),"&gt;",",")</f>
        <v/>
      </c>
      <c r="AI31" s="20" cm="1">
        <f t="array" aca="1" ref="AI31" ca="1">IF(ROW()=ROW($AI$2)+1,0,INDEX($AI:$AI,ROW()-1))+IF($AF31,1,0)</f>
        <v>4</v>
      </c>
      <c r="AJ31" s="20" t="str" cm="1">
        <f t="array" aca="1" ref="AJ31" ca="1">IF($AF31,IF($Q31="","",","&amp;SanitizeInput($Q31)),"")</f>
        <v/>
      </c>
      <c r="AK31" s="20" t="b">
        <f>OR(CheckRelevance(SanitizeInput($D31),Questionnaire!$I:$I),CheckRelevance(SanitizeInput($D31),Questionnaire!$J:$J))</f>
        <v>0</v>
      </c>
      <c r="AL31" s="20" t="str" cm="1">
        <f t="array" ref="AL3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FilterPreconditionCandidates(RemoveFirstElement(_xlpm._preconditionCandidates),_xlpm._searchColumn,_xlpm._delimiter))))(SanitizeInput($D31),Questionnaire!$AA:$AA,",")</f>
        <v/>
      </c>
      <c r="AM31" s="20" t="str" cm="1">
        <f t="array" ref="AM31">IF($D31="*","",InverseLookupList($AL31,Questionnaire!$AA$3,Questionnaire!$A$3,Helper!$B$12,","))</f>
        <v/>
      </c>
      <c r="AN31" s="20" t="str" cm="1">
        <f t="array" ref="AN31">RemoveDelimiter(GetValues($AM31,Questionnaire!$A:$G," ",CHAR(10)&amp;CHAR(10),TRUE),CHAR(10)&amp;CHAR(10))</f>
        <v/>
      </c>
      <c r="AO31" s="20" t="str" cm="1">
        <f t="array" ref="AO31">CreateSearchString($AM31)</f>
        <v/>
      </c>
      <c r="AP31" s="20" t="str" cm="1">
        <f t="array" aca="1" ref="AP31" ca="1">InverseLookup($A31,Mitigation!$AD$2,Mitigation!$A$2,1,Helper!$B$5,",")</f>
        <v/>
      </c>
      <c r="AQ31" s="20" t="str" cm="1">
        <f t="array" aca="1" ref="AQ31" ca="1">CreateSearchString(GetValues($AP31,'Attack Steps'!$A:$O,"",",",FALSE))</f>
        <v/>
      </c>
      <c r="AR31" s="20" t="str">
        <f t="shared" si="1"/>
        <v>C28</v>
      </c>
    </row>
    <row r="32" spans="1:44" ht="120" x14ac:dyDescent="0.25">
      <c r="A32" s="10" t="s">
        <v>751</v>
      </c>
      <c r="B32" s="13" t="s">
        <v>1770</v>
      </c>
      <c r="C32" s="13" t="s">
        <v>1746</v>
      </c>
      <c r="D32" s="13"/>
      <c r="E32" s="13" t="s">
        <v>111</v>
      </c>
      <c r="F32" s="33" t="str" cm="1">
        <f t="array" aca="1" ref="F32" ca="1">LookupNames(SanitizeInput($E32),'Attack Steps'!$A:$B)</f>
        <v>AS5 Eavesdropping on the product's communication</v>
      </c>
      <c r="G32" s="23" t="s">
        <v>412</v>
      </c>
      <c r="H32" s="33" t="str" cm="1">
        <f t="array" aca="1" ref="H32" ca="1">RemoveDelimiter(GetValuesWithFallback(SanitizeInput($G32),$A:$B,Assumptions!$A:$B," ",","&amp;CHAR(10),TRUE),","&amp;CHAR(10))</f>
        <v>C18 CR 4.3 – Use of cryptography</v>
      </c>
      <c r="I32" s="23"/>
      <c r="J32" s="37" t="str" cm="1">
        <f t="array" ref="J32">IF($I32="","",SUBSTITUTE(SUBSTITUTE(SUBSTITUTE(SUBSTITUTE(SUBSTITUTE(SUBSTITUTE(SUBSTITUTE(SUBSTITUTE(SUBSTITUTE(
GetTransformation(SanitizeInput($I32),'Damage Scenarios'!$A:$J,COLUMNS('Damage Scenarios'!$A:$J),CHAR(10),"[#0][#1][#2]")&amp;"§",
"[#1][#2]",""),
"[#2]",""),
"[#0][#1]","[#1]"),
"[#0]","Removes:"&amp;CHAR(10)),
"[#1]","Transforms:"&amp;CHAR(10)),
CHAR(10)&amp;"§",""),
"§",""),
CHAR(10),CHAR(10)&amp;"   "),
"   "&amp;"Transforms:","Transforms:"))</f>
        <v/>
      </c>
      <c r="K32" s="13" t="s">
        <v>137</v>
      </c>
      <c r="L32" s="13"/>
      <c r="M32" s="13"/>
      <c r="N32" s="13"/>
      <c r="O32" s="13"/>
      <c r="P32" s="33" t="str">
        <f ca="1">IF($A32="","",IFERROR(VLOOKUP($AD32,Definitions!$V:$W,COLUMNS(Definitions!$V:$W),TRUE),""))</f>
        <v>Beyond High</v>
      </c>
      <c r="Q32" s="23" t="s">
        <v>608</v>
      </c>
      <c r="R32" s="23"/>
      <c r="S32" s="13" t="s">
        <v>1700</v>
      </c>
      <c r="T32" s="10" cm="1">
        <f t="array" ref="T32">IF(ROW()=ROW($T$2)+1,0,INDEX($T:$T,ROW()-1))+IF($A32="",0,1)</f>
        <v>30</v>
      </c>
      <c r="U32" s="20" t="b" cm="1">
        <f t="array" aca="1" ref="U32" ca="1">CheckRelevance(SanitizeInput(E32),Questionnaire!$I:$I)</f>
        <v>0</v>
      </c>
      <c r="V32" s="20" t="b">
        <f>IFERROR(_xlfn.XMATCH("*,"&amp;$A32&amp;",*",Mitigation!$X:$X,2)&gt;0,FALSE)</f>
        <v>0</v>
      </c>
      <c r="W32" s="20" cm="1">
        <f t="array" ref="W32">CreateTaskID($W$2,$W:$W,Tasks!$B$17,$S32)</f>
        <v>0</v>
      </c>
      <c r="X32" s="20" t="str" cm="1">
        <f t="array" ref="X32">IF($E32="","",","&amp;SanitizeInput($E32))</f>
        <v>,AS5,</v>
      </c>
      <c r="Y32" s="20">
        <f>IF(K32="",0,VLOOKUP(K32,Definitions!$Z:$AA,COLUMNS(Definitions!$Z:$AA),FALSE))</f>
        <v>25</v>
      </c>
      <c r="Z32" s="20">
        <f>IF(L32="",0,VLOOKUP(L32,Definitions!$Z:$AA,COLUMNS(Definitions!$Z:$AA),FALSE))</f>
        <v>0</v>
      </c>
      <c r="AA32" s="20">
        <f>IF(M32="",0,VLOOKUP(M32,Definitions!$Z:$AA,COLUMNS(Definitions!$Z:$AA),FALSE))</f>
        <v>0</v>
      </c>
      <c r="AB32" s="20">
        <f>IF(N32="",0,VLOOKUP(N32,Definitions!$Z:$AA,COLUMNS(Definitions!$Z:$AA),FALSE))</f>
        <v>0</v>
      </c>
      <c r="AC32" s="20">
        <f>IF(O32="",0,VLOOKUP(O32,Definitions!$Z:$AA,COLUMNS(Definitions!$Z:$AA),FALSE))</f>
        <v>0</v>
      </c>
      <c r="AD32" s="20">
        <f t="shared" ca="1" si="0"/>
        <v>25</v>
      </c>
      <c r="AE32" s="20" t="str" cm="1">
        <f t="array" ref="AE32">IF($G32="","",","&amp;SanitizeInput($G32))</f>
        <v>,C18,</v>
      </c>
      <c r="AF32" s="20" t="b" cm="1">
        <f t="array" aca="1" ref="AF32" ca="1">OR($AK32,_xlfn.LAMBDA(_xlpm._ownID,_xlpm._searchHeader,_xlpm._resultHeader,_xlpm._elementCount,_xlpm._delimiter,_xlpm._activeInTreatmentRange,_xlpm._activeByAnswersRange,_xlpm._dependencies,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InverseLookup(_xlpm._ownID,_xlpm._searchHeader,_xlpm._resultHeader,1,_xlpm._elementCount,_xlpm._delimiter))))))($A32,$AE$2,$A$2,Helper!$B$4,",",$A:$V,$A:$AK,InverseLookup($A32,$AE$2,$A$2,1,Helper!$B$4,",")))</f>
        <v>0</v>
      </c>
      <c r="AG32" s="20" t="str" cm="1">
        <f t="array" aca="1" ref="AG32" ca="1">IF(OR($V32,$AF32,$AK32),IF($G32="","",","&amp;SanitizeInput($G32)),"")</f>
        <v/>
      </c>
      <c r="AH32" s="20" t="str" cm="1">
        <f t="array" ref="AH32">SUBSTITUTE(IF($V32,IF($I32="","",","&amp;SanitizeInput($I32)),""),"&gt;",",")</f>
        <v/>
      </c>
      <c r="AI32" s="20" cm="1">
        <f t="array" aca="1" ref="AI32" ca="1">IF(ROW()=ROW($AI$2)+1,0,INDEX($AI:$AI,ROW()-1))+IF($AF32,1,0)</f>
        <v>4</v>
      </c>
      <c r="AJ32" s="20" t="str" cm="1">
        <f t="array" aca="1" ref="AJ32" ca="1">IF($AF32,IF($Q32="","",","&amp;SanitizeInput($Q32)),"")</f>
        <v/>
      </c>
      <c r="AK32" s="20" t="b">
        <f>OR(CheckRelevance(SanitizeInput($D32),Questionnaire!$I:$I),CheckRelevance(SanitizeInput($D32),Questionnaire!$J:$J))</f>
        <v>0</v>
      </c>
      <c r="AL32" s="20" t="str" cm="1">
        <f t="array" ref="AL3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FilterPreconditionCandidates(RemoveFirstElement(_xlpm._preconditionCandidates),_xlpm._searchColumn,_xlpm._delimiter))))(SanitizeInput($D32),Questionnaire!$AA:$AA,",")</f>
        <v/>
      </c>
      <c r="AM32" s="20" t="str" cm="1">
        <f t="array" ref="AM32">IF($D32="*","",InverseLookupList($AL32,Questionnaire!$AA$3,Questionnaire!$A$3,Helper!$B$12,","))</f>
        <v/>
      </c>
      <c r="AN32" s="20" t="str" cm="1">
        <f t="array" ref="AN32">RemoveDelimiter(GetValues($AM32,Questionnaire!$A:$G," ",CHAR(10)&amp;CHAR(10),TRUE),CHAR(10)&amp;CHAR(10))</f>
        <v/>
      </c>
      <c r="AO32" s="20" t="str" cm="1">
        <f t="array" ref="AO32">CreateSearchString($AM32)</f>
        <v/>
      </c>
      <c r="AP32" s="20" t="str" cm="1">
        <f t="array" aca="1" ref="AP32" ca="1">InverseLookup($A32,Mitigation!$AD$2,Mitigation!$A$2,1,Helper!$B$5,",")</f>
        <v/>
      </c>
      <c r="AQ32" s="20" t="str" cm="1">
        <f t="array" aca="1" ref="AQ32" ca="1">CreateSearchString(GetValues($AP32,'Attack Steps'!$A:$O,"",",",FALSE))</f>
        <v/>
      </c>
      <c r="AR32" s="20" t="str">
        <f t="shared" si="1"/>
        <v>C29</v>
      </c>
    </row>
    <row r="33" spans="1:44" ht="30" x14ac:dyDescent="0.25">
      <c r="A33" s="10" t="s">
        <v>1674</v>
      </c>
      <c r="B33" s="13" t="s">
        <v>1675</v>
      </c>
      <c r="C33" s="13" t="s">
        <v>1746</v>
      </c>
      <c r="D33" s="13"/>
      <c r="E33" s="13"/>
      <c r="F33" s="33" t="str" cm="1">
        <f t="array" ref="F33">LookupNames(SanitizeInput($E33),'Attack Steps'!$A:$B)</f>
        <v/>
      </c>
      <c r="G33" s="23"/>
      <c r="H33" s="33" t="str" cm="1">
        <f t="array" ref="H33">RemoveDelimiter(GetValuesWithFallback(SanitizeInput($G33),$A:$B,Assumptions!$A:$B," ",","&amp;CHAR(10),TRUE),","&amp;CHAR(10))</f>
        <v/>
      </c>
      <c r="I33" s="23"/>
      <c r="J33" s="37" t="str" cm="1">
        <f t="array" ref="J33">IF($I33="","",SUBSTITUTE(SUBSTITUTE(SUBSTITUTE(SUBSTITUTE(SUBSTITUTE(SUBSTITUTE(SUBSTITUTE(SUBSTITUTE(SUBSTITUTE(
GetTransformation(SanitizeInput($I33),'Damage Scenarios'!$A:$J,COLUMNS('Damage Scenarios'!$A:$J),CHAR(10),"[#0][#1][#2]")&amp;"§",
"[#1][#2]",""),
"[#2]",""),
"[#0][#1]","[#1]"),
"[#0]","Removes:"&amp;CHAR(10)),
"[#1]","Transforms:"&amp;CHAR(10)),
CHAR(10)&amp;"§",""),
"§",""),
CHAR(10),CHAR(10)&amp;"   "),
"   "&amp;"Transforms:","Transforms:"))</f>
        <v/>
      </c>
      <c r="K33" s="13"/>
      <c r="L33" s="13"/>
      <c r="M33" s="13"/>
      <c r="N33" s="13"/>
      <c r="O33" s="13"/>
      <c r="P33" s="33" t="str">
        <f ca="1">IF($A33="","",IFERROR(VLOOKUP($AD33,Definitions!$V:$W,COLUMNS(Definitions!$V:$W),TRUE),""))</f>
        <v>Basic</v>
      </c>
      <c r="Q33" s="23" t="s">
        <v>1657</v>
      </c>
      <c r="R33" s="23"/>
      <c r="S33" s="13" t="s">
        <v>1676</v>
      </c>
      <c r="T33" s="10" cm="1">
        <f t="array" ref="T33">IF(ROW()=ROW($T$2)+1,0,INDEX($T:$T,ROW()-1))+IF($A33="",0,1)</f>
        <v>31</v>
      </c>
      <c r="U33" s="20" t="b" cm="1">
        <f t="array" ref="U33">CheckRelevance(SanitizeInput(E33),Questionnaire!$I:$I)</f>
        <v>0</v>
      </c>
      <c r="V33" s="20" t="b">
        <f>IFERROR(_xlfn.XMATCH("*,"&amp;$A33&amp;",*",Mitigation!$X:$X,2)&gt;0,FALSE)</f>
        <v>0</v>
      </c>
      <c r="W33" s="20" cm="1">
        <f t="array" ref="W33">CreateTaskID($W$2,$W:$W,Tasks!$B$17,$S33)</f>
        <v>0</v>
      </c>
      <c r="X33" s="20" t="str" cm="1">
        <f t="array" ref="X33">IF($E33="","",","&amp;SanitizeInput($E33))</f>
        <v/>
      </c>
      <c r="Y33" s="20">
        <f>IF(K33="",0,VLOOKUP(K33,Definitions!$Z:$AA,COLUMNS(Definitions!$Z:$AA),FALSE))</f>
        <v>0</v>
      </c>
      <c r="Z33" s="20">
        <f>IF(L33="",0,VLOOKUP(L33,Definitions!$Z:$AA,COLUMNS(Definitions!$Z:$AA),FALSE))</f>
        <v>0</v>
      </c>
      <c r="AA33" s="20">
        <f>IF(M33="",0,VLOOKUP(M33,Definitions!$Z:$AA,COLUMNS(Definitions!$Z:$AA),FALSE))</f>
        <v>0</v>
      </c>
      <c r="AB33" s="20">
        <f>IF(N33="",0,VLOOKUP(N33,Definitions!$Z:$AA,COLUMNS(Definitions!$Z:$AA),FALSE))</f>
        <v>0</v>
      </c>
      <c r="AC33" s="20">
        <f>IF(O33="",0,VLOOKUP(O33,Definitions!$Z:$AA,COLUMNS(Definitions!$Z:$AA),FALSE))</f>
        <v>0</v>
      </c>
      <c r="AD33" s="20">
        <f t="shared" ca="1" si="0"/>
        <v>0</v>
      </c>
      <c r="AE33" s="20" t="str" cm="1">
        <f t="array" ref="AE33">IF($G33="","",","&amp;SanitizeInput($G33))</f>
        <v/>
      </c>
      <c r="AF33" s="20" t="b" cm="1">
        <f t="array" aca="1" ref="AF33" ca="1">OR($AK33,_xlfn.LAMBDA(_xlpm._ownID,_xlpm._searchHeader,_xlpm._resultHeader,_xlpm._elementCount,_xlpm._delimiter,_xlpm._activeInTreatmentRange,_xlpm._activeByAnswersRange,_xlpm._dependencies,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InverseLookup(_xlpm._ownID,_xlpm._searchHeader,_xlpm._resultHeader,1,_xlpm._elementCount,_xlpm._delimiter))))))($A33,$AE$2,$A$2,Helper!$B$4,",",$A:$V,$A:$AK,InverseLookup($A33,$AE$2,$A$2,1,Helper!$B$4,",")))</f>
        <v>0</v>
      </c>
      <c r="AG33" s="20" t="str" cm="1">
        <f t="array" aca="1" ref="AG33" ca="1">IF(OR($V33,$AF33,$AK33),IF($G33="","",","&amp;SanitizeInput($G33)),"")</f>
        <v/>
      </c>
      <c r="AH33" s="20" t="str" cm="1">
        <f t="array" ref="AH33">SUBSTITUTE(IF($V33,IF($I33="","",","&amp;SanitizeInput($I33)),""),"&gt;",",")</f>
        <v/>
      </c>
      <c r="AI33" s="20" cm="1">
        <f t="array" aca="1" ref="AI33" ca="1">IF(ROW()=ROW($AI$2)+1,0,INDEX($AI:$AI,ROW()-1))+IF($AF33,1,0)</f>
        <v>4</v>
      </c>
      <c r="AJ33" s="20" t="str" cm="1">
        <f t="array" aca="1" ref="AJ33" ca="1">IF($AF33,IF($Q33="","",","&amp;SanitizeInput($Q33)),"")</f>
        <v/>
      </c>
      <c r="AK33" s="20" t="b">
        <f>OR(CheckRelevance(SanitizeInput($D33),Questionnaire!$I:$I),CheckRelevance(SanitizeInput($D33),Questionnaire!$J:$J))</f>
        <v>0</v>
      </c>
      <c r="AL33" s="20" t="str" cm="1">
        <f t="array" ref="AL3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FilterPreconditionCandidates(RemoveFirstElement(_xlpm._preconditionCandidates),_xlpm._searchColumn,_xlpm._delimiter))))(SanitizeInput($D33),Questionnaire!$AA:$AA,",")</f>
        <v/>
      </c>
      <c r="AM33" s="20" t="str" cm="1">
        <f t="array" ref="AM33">IF($D33="*","",InverseLookupList($AL33,Questionnaire!$AA$3,Questionnaire!$A$3,Helper!$B$12,","))</f>
        <v/>
      </c>
      <c r="AN33" s="20" t="str" cm="1">
        <f t="array" ref="AN33">RemoveDelimiter(GetValues($AM33,Questionnaire!$A:$G," ",CHAR(10)&amp;CHAR(10),TRUE),CHAR(10)&amp;CHAR(10))</f>
        <v/>
      </c>
      <c r="AO33" s="20" t="str" cm="1">
        <f t="array" ref="AO33">CreateSearchString($AM33)</f>
        <v/>
      </c>
      <c r="AP33" s="20" t="str" cm="1">
        <f t="array" aca="1" ref="AP33" ca="1">InverseLookup($A33,Mitigation!$AD$2,Mitigation!$A$2,1,Helper!$B$5,",")</f>
        <v/>
      </c>
      <c r="AQ33" s="20" t="str" cm="1">
        <f t="array" aca="1" ref="AQ33" ca="1">CreateSearchString(GetValues($AP33,'Attack Steps'!$A:$O,"",",",FALSE))</f>
        <v/>
      </c>
      <c r="AR33" s="20" t="str">
        <f>IF($A33="","",$A33)</f>
        <v>C30a</v>
      </c>
    </row>
    <row r="34" spans="1:44" ht="108.75" x14ac:dyDescent="0.25">
      <c r="A34" s="10" t="s">
        <v>752</v>
      </c>
      <c r="B34" s="13" t="s">
        <v>1771</v>
      </c>
      <c r="C34" s="13" t="s">
        <v>1746</v>
      </c>
      <c r="D34" s="13"/>
      <c r="E34" s="13" t="s">
        <v>421</v>
      </c>
      <c r="F34" s="33" t="str" cm="1">
        <f t="array" aca="1" ref="F34" ca="1">LookupNames(SanitizeInput($E34),'Attack Steps'!$A:$B)</f>
        <v>AS13 Attacking the product or its communication from an untrusted local network,
AS23 Compromising the product with direct access to its persistent memory,
AS25 Accessing the product's debug interfaces remotely</v>
      </c>
      <c r="G34" s="23" t="s">
        <v>1674</v>
      </c>
      <c r="H34" s="33" t="str" cm="1">
        <f t="array" aca="1" ref="H34" ca="1">RemoveDelimiter(GetValuesWithFallback(SanitizeInput($G34),$A:$B,Assumptions!$A:$B," ",","&amp;CHAR(10),TRUE),","&amp;CHAR(10))</f>
        <v>C30a CR 7.3 – Control system backup</v>
      </c>
      <c r="I34" s="23" t="s">
        <v>433</v>
      </c>
      <c r="J34" s="37" t="str" cm="1">
        <f t="array" aca="1" ref="J34" ca="1">IF($I34="","",SUBSTITUTE(SUBSTITUTE(SUBSTITUTE(SUBSTITUTE(SUBSTITUTE(SUBSTITUTE(SUBSTITUTE(SUBSTITUTE(SUBSTITUTE(
GetTransformation(SanitizeInput($I34),'Damage Scenarios'!$A:$J,COLUMNS('Damage Scenarios'!$A:$J),CHAR(10),"[#0][#1][#2]")&amp;"§",
"[#1][#2]",""),
"[#2]",""),
"[#0][#1]","[#1]"),
"[#0]","Removes:"&amp;CHAR(10)),
"[#1]","Transforms:"&amp;CHAR(10)),
CHAR(10)&amp;"§",""),
"§",""),
CHAR(10),CHAR(10)&amp;"   "),
"   "&amp;"Transforms:","Transforms:"))</f>
        <v>Transforms:
   DS6 
   -----&gt; DS17 Disturbance of function until restore
   DS7 
   -----&gt; DS17 Disturbance of function until restore
   DS8 
   -----&gt; DS17 Disturbance of function until restore
   DS9 
   -----&gt; DS17 Disturbance of function until restore</v>
      </c>
      <c r="K34" s="13"/>
      <c r="L34" s="13"/>
      <c r="M34" s="13"/>
      <c r="N34" s="13"/>
      <c r="O34" s="13"/>
      <c r="P34" s="33" t="str">
        <f ca="1">IF($A34="","",IFERROR(VLOOKUP($AD34,Definitions!$V:$W,COLUMNS(Definitions!$V:$W),TRUE),""))</f>
        <v>Basic</v>
      </c>
      <c r="Q34" s="23" t="s">
        <v>1657</v>
      </c>
      <c r="R34" s="23"/>
      <c r="S34" s="13" t="s">
        <v>1634</v>
      </c>
      <c r="T34" s="10" cm="1">
        <f t="array" ref="T34">IF(ROW()=ROW($T$2)+1,0,INDEX($T:$T,ROW()-1))+IF($A34="",0,1)</f>
        <v>32</v>
      </c>
      <c r="U34" s="20" t="b" cm="1">
        <f t="array" aca="1" ref="U34" ca="1">CheckRelevance(SanitizeInput(E34),Questionnaire!$I:$I)</f>
        <v>0</v>
      </c>
      <c r="V34" s="20" t="b">
        <f>IFERROR(_xlfn.XMATCH("*,"&amp;$A34&amp;",*",Mitigation!$X:$X,2)&gt;0,FALSE)</f>
        <v>0</v>
      </c>
      <c r="W34" s="20" cm="1">
        <f t="array" ref="W34">CreateTaskID($W$2,$W:$W,Tasks!$B$17,$S34)</f>
        <v>0</v>
      </c>
      <c r="X34" s="20" t="str" cm="1">
        <f t="array" ref="X34">IF($E34="","",","&amp;SanitizeInput($E34))</f>
        <v>,AS13,AS23,AS25,</v>
      </c>
      <c r="Y34" s="20">
        <f>IF(K34="",0,VLOOKUP(K34,Definitions!$Z:$AA,COLUMNS(Definitions!$Z:$AA),FALSE))</f>
        <v>0</v>
      </c>
      <c r="Z34" s="20">
        <f>IF(L34="",0,VLOOKUP(L34,Definitions!$Z:$AA,COLUMNS(Definitions!$Z:$AA),FALSE))</f>
        <v>0</v>
      </c>
      <c r="AA34" s="20">
        <f>IF(M34="",0,VLOOKUP(M34,Definitions!$Z:$AA,COLUMNS(Definitions!$Z:$AA),FALSE))</f>
        <v>0</v>
      </c>
      <c r="AB34" s="20">
        <f>IF(N34="",0,VLOOKUP(N34,Definitions!$Z:$AA,COLUMNS(Definitions!$Z:$AA),FALSE))</f>
        <v>0</v>
      </c>
      <c r="AC34" s="20">
        <f>IF(O34="",0,VLOOKUP(O34,Definitions!$Z:$AA,COLUMNS(Definitions!$Z:$AA),FALSE))</f>
        <v>0</v>
      </c>
      <c r="AD34" s="20">
        <f t="shared" ca="1" si="0"/>
        <v>0</v>
      </c>
      <c r="AE34" s="20" t="str" cm="1">
        <f t="array" ref="AE34">IF($G34="","",","&amp;SanitizeInput($G34))</f>
        <v>,C30a,</v>
      </c>
      <c r="AF34" s="20" t="b" cm="1">
        <f t="array" aca="1" ref="AF34" ca="1">OR($AK34,_xlfn.LAMBDA(_xlpm._ownID,_xlpm._searchHeader,_xlpm._resultHeader,_xlpm._elementCount,_xlpm._delimiter,_xlpm._activeInTreatmentRange,_xlpm._activeByAnswersRange,_xlpm._dependencies,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InverseLookup(_xlpm._ownID,_xlpm._searchHeader,_xlpm._resultHeader,1,_xlpm._elementCount,_xlpm._delimiter))))))($A34,$AE$2,$A$2,Helper!$B$4,",",$A:$V,$A:$AK,InverseLookup($A34,$AE$2,$A$2,1,Helper!$B$4,",")))</f>
        <v>0</v>
      </c>
      <c r="AG34" s="20" t="str" cm="1">
        <f t="array" aca="1" ref="AG34" ca="1">IF(OR($V34,$AF34,$AK34),IF($G34="","",","&amp;SanitizeInput($G34)),"")</f>
        <v/>
      </c>
      <c r="AH34" s="20" t="str" cm="1">
        <f t="array" ref="AH34">SUBSTITUTE(IF($V34,IF($I34="","",","&amp;SanitizeInput($I34)),""),"&gt;",",")</f>
        <v/>
      </c>
      <c r="AI34" s="20" cm="1">
        <f t="array" aca="1" ref="AI34" ca="1">IF(ROW()=ROW($AI$2)+1,0,INDEX($AI:$AI,ROW()-1))+IF($AF34,1,0)</f>
        <v>4</v>
      </c>
      <c r="AJ34" s="20" t="str" cm="1">
        <f t="array" aca="1" ref="AJ34" ca="1">IF($AF34,IF($Q34="","",","&amp;SanitizeInput($Q34)),"")</f>
        <v/>
      </c>
      <c r="AK34" s="20" t="b">
        <f>OR(CheckRelevance(SanitizeInput($D34),Questionnaire!$I:$I),CheckRelevance(SanitizeInput($D34),Questionnaire!$J:$J))</f>
        <v>0</v>
      </c>
      <c r="AL34" s="20" t="str" cm="1">
        <f t="array" ref="AL3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FilterPreconditionCandidates(RemoveFirstElement(_xlpm._preconditionCandidates),_xlpm._searchColumn,_xlpm._delimiter))))(SanitizeInput($D34),Questionnaire!$AA:$AA,",")</f>
        <v/>
      </c>
      <c r="AM34" s="20" t="str" cm="1">
        <f t="array" ref="AM34">IF($D34="*","",InverseLookupList($AL34,Questionnaire!$AA$3,Questionnaire!$A$3,Helper!$B$12,","))</f>
        <v/>
      </c>
      <c r="AN34" s="20" t="str" cm="1">
        <f t="array" ref="AN34">RemoveDelimiter(GetValues($AM34,Questionnaire!$A:$G," ",CHAR(10)&amp;CHAR(10),TRUE),CHAR(10)&amp;CHAR(10))</f>
        <v/>
      </c>
      <c r="AO34" s="20" t="str" cm="1">
        <f t="array" ref="AO34">CreateSearchString($AM34)</f>
        <v/>
      </c>
      <c r="AP34" s="20" t="str" cm="1">
        <f t="array" aca="1" ref="AP34" ca="1">InverseLookup($A34,Mitigation!$AD$2,Mitigation!$A$2,1,Helper!$B$5,",")</f>
        <v/>
      </c>
      <c r="AQ34" s="20" t="str" cm="1">
        <f t="array" aca="1" ref="AQ34" ca="1">CreateSearchString(GetValues($AP34,'Attack Steps'!$A:$O,"",",",FALSE))</f>
        <v/>
      </c>
      <c r="AR34" s="20" t="str">
        <f t="shared" ref="AR34:AR66" si="2">IF($A34="","",$A34)</f>
        <v>C30</v>
      </c>
    </row>
    <row r="35" spans="1:44" x14ac:dyDescent="0.25">
      <c r="A35" s="10" t="s">
        <v>1486</v>
      </c>
      <c r="B35" s="13" t="s">
        <v>1487</v>
      </c>
      <c r="C35" s="13" t="s">
        <v>1746</v>
      </c>
      <c r="D35" s="13"/>
      <c r="E35" s="13"/>
      <c r="F35" s="33" t="str" cm="1">
        <f t="array" ref="F35">LookupNames(SanitizeInput($E35),'Attack Steps'!$A:$B)</f>
        <v/>
      </c>
      <c r="G35" s="23"/>
      <c r="H35" s="33" t="str" cm="1">
        <f t="array" ref="H35">RemoveDelimiter(GetValuesWithFallback(SanitizeInput($G35),$A:$B,Assumptions!$A:$B," ",","&amp;CHAR(10),TRUE),","&amp;CHAR(10))</f>
        <v/>
      </c>
      <c r="I35" s="23"/>
      <c r="J35" s="37" t="str" cm="1">
        <f t="array" ref="J35">IF($I35="","",SUBSTITUTE(SUBSTITUTE(SUBSTITUTE(SUBSTITUTE(SUBSTITUTE(SUBSTITUTE(SUBSTITUTE(SUBSTITUTE(SUBSTITUTE(
GetTransformation(SanitizeInput($I35),'Damage Scenarios'!$A:$J,COLUMNS('Damage Scenarios'!$A:$J),CHAR(10),"[#0][#1][#2]")&amp;"§",
"[#1][#2]",""),
"[#2]",""),
"[#0][#1]","[#1]"),
"[#0]","Removes:"&amp;CHAR(10)),
"[#1]","Transforms:"&amp;CHAR(10)),
CHAR(10)&amp;"§",""),
"§",""),
CHAR(10),CHAR(10)&amp;"   "),
"   "&amp;"Transforms:","Transforms:"))</f>
        <v/>
      </c>
      <c r="K35" s="13"/>
      <c r="L35" s="13"/>
      <c r="M35" s="13"/>
      <c r="N35" s="13"/>
      <c r="O35" s="13"/>
      <c r="P35" s="33" t="str">
        <f ca="1">IF($A35="","",IFERROR(VLOOKUP($AD35,Definitions!$V:$W,COLUMNS(Definitions!$V:$W),TRUE),""))</f>
        <v>Basic</v>
      </c>
      <c r="Q35" s="23" t="s">
        <v>608</v>
      </c>
      <c r="R35" s="23"/>
      <c r="S35" s="13"/>
      <c r="T35" s="10" cm="1">
        <f t="array" ref="T35">IF(ROW()=ROW($T$2)+1,0,INDEX($T:$T,ROW()-1))+IF($A35="",0,1)</f>
        <v>33</v>
      </c>
      <c r="U35" s="20" t="b" cm="1">
        <f t="array" ref="U35">CheckRelevance(SanitizeInput(E35),Questionnaire!$I:$I)</f>
        <v>0</v>
      </c>
      <c r="V35" s="20" t="b">
        <f>IFERROR(_xlfn.XMATCH("*,"&amp;$A35&amp;",*",Mitigation!$X:$X,2)&gt;0,FALSE)</f>
        <v>0</v>
      </c>
      <c r="W35" s="20" cm="1">
        <f t="array" ref="W35">CreateTaskID($W$2,$W:$W,Tasks!$B$17,$S35)</f>
        <v>0</v>
      </c>
      <c r="X35" s="20" t="str" cm="1">
        <f t="array" ref="X35">IF($E35="","",","&amp;SanitizeInput($E35))</f>
        <v/>
      </c>
      <c r="Y35" s="20">
        <f>IF(K35="",0,VLOOKUP(K35,Definitions!$Z:$AA,COLUMNS(Definitions!$Z:$AA),FALSE))</f>
        <v>0</v>
      </c>
      <c r="Z35" s="20">
        <f>IF(L35="",0,VLOOKUP(L35,Definitions!$Z:$AA,COLUMNS(Definitions!$Z:$AA),FALSE))</f>
        <v>0</v>
      </c>
      <c r="AA35" s="20">
        <f>IF(M35="",0,VLOOKUP(M35,Definitions!$Z:$AA,COLUMNS(Definitions!$Z:$AA),FALSE))</f>
        <v>0</v>
      </c>
      <c r="AB35" s="20">
        <f>IF(N35="",0,VLOOKUP(N35,Definitions!$Z:$AA,COLUMNS(Definitions!$Z:$AA),FALSE))</f>
        <v>0</v>
      </c>
      <c r="AC35" s="20">
        <f>IF(O35="",0,VLOOKUP(O35,Definitions!$Z:$AA,COLUMNS(Definitions!$Z:$AA),FALSE))</f>
        <v>0</v>
      </c>
      <c r="AD35" s="20">
        <f t="shared" ref="AD35:AD66" ca="1" si="3">SUM(OFFSET($Y35,0,0,1,COLUMNS($Y:$AC)))</f>
        <v>0</v>
      </c>
      <c r="AE35" s="20" t="str" cm="1">
        <f t="array" ref="AE35">IF($G35="","",","&amp;SanitizeInput($G35))</f>
        <v/>
      </c>
      <c r="AF35" s="20" t="b" cm="1">
        <f t="array" aca="1" ref="AF35" ca="1">OR($AK35,_xlfn.LAMBDA(_xlpm._ownID,_xlpm._searchHeader,_xlpm._resultHeader,_xlpm._elementCount,_xlpm._delimiter,_xlpm._activeInTreatmentRange,_xlpm._activeByAnswersRange,_xlpm._dependencies,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InverseLookup(_xlpm._ownID,_xlpm._searchHeader,_xlpm._resultHeader,1,_xlpm._elementCount,_xlpm._delimiter))))))($A35,$AE$2,$A$2,Helper!$B$4,",",$A:$V,$A:$AK,InverseLookup($A35,$AE$2,$A$2,1,Helper!$B$4,",")))</f>
        <v>0</v>
      </c>
      <c r="AG35" s="20" t="str" cm="1">
        <f t="array" aca="1" ref="AG35" ca="1">IF(OR($V35,$AF35,$AK35),IF($G35="","",","&amp;SanitizeInput($G35)),"")</f>
        <v/>
      </c>
      <c r="AH35" s="20" t="str" cm="1">
        <f t="array" ref="AH35">SUBSTITUTE(IF($V35,IF($I35="","",","&amp;SanitizeInput($I35)),""),"&gt;",",")</f>
        <v/>
      </c>
      <c r="AI35" s="20" cm="1">
        <f t="array" aca="1" ref="AI35" ca="1">IF(ROW()=ROW($AI$2)+1,0,INDEX($AI:$AI,ROW()-1))+IF($AF35,1,0)</f>
        <v>4</v>
      </c>
      <c r="AJ35" s="20" t="str" cm="1">
        <f t="array" aca="1" ref="AJ35" ca="1">IF($AF35,IF($Q35="","",","&amp;SanitizeInput($Q35)),"")</f>
        <v/>
      </c>
      <c r="AK35" s="20" t="b">
        <f>OR(CheckRelevance(SanitizeInput($D35),Questionnaire!$I:$I),CheckRelevance(SanitizeInput($D35),Questionnaire!$J:$J))</f>
        <v>0</v>
      </c>
      <c r="AL35" s="20" t="str" cm="1">
        <f t="array" ref="AL3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FilterPreconditionCandidates(RemoveFirstElement(_xlpm._preconditionCandidates),_xlpm._searchColumn,_xlpm._delimiter))))(SanitizeInput($D35),Questionnaire!$AA:$AA,",")</f>
        <v/>
      </c>
      <c r="AM35" s="20" t="str" cm="1">
        <f t="array" ref="AM35">IF($D35="*","",InverseLookupList($AL35,Questionnaire!$AA$3,Questionnaire!$A$3,Helper!$B$12,","))</f>
        <v/>
      </c>
      <c r="AN35" s="20" t="str" cm="1">
        <f t="array" ref="AN35">RemoveDelimiter(GetValues($AM35,Questionnaire!$A:$G," ",CHAR(10)&amp;CHAR(10),TRUE),CHAR(10)&amp;CHAR(10))</f>
        <v/>
      </c>
      <c r="AO35" s="20" t="str" cm="1">
        <f t="array" ref="AO35">CreateSearchString($AM35)</f>
        <v/>
      </c>
      <c r="AP35" s="20" t="str" cm="1">
        <f t="array" aca="1" ref="AP35" ca="1">InverseLookup($A35,Mitigation!$AD$2,Mitigation!$A$2,1,Helper!$B$5,",")</f>
        <v/>
      </c>
      <c r="AQ35" s="20" t="str" cm="1">
        <f t="array" aca="1" ref="AQ35" ca="1">CreateSearchString(GetValues($AP35,'Attack Steps'!$A:$O,"",",",FALSE))</f>
        <v/>
      </c>
      <c r="AR35" s="20" t="str">
        <f>IF($A35="","",$A35)</f>
        <v>C31</v>
      </c>
    </row>
    <row r="36" spans="1:44" ht="30" x14ac:dyDescent="0.25">
      <c r="A36" s="10" t="s">
        <v>1488</v>
      </c>
      <c r="B36" s="13" t="s">
        <v>1772</v>
      </c>
      <c r="C36" s="13" t="s">
        <v>1746</v>
      </c>
      <c r="D36" s="13"/>
      <c r="E36" s="13" t="s">
        <v>610</v>
      </c>
      <c r="F36" s="33" t="str" cm="1">
        <f t="array" aca="1" ref="F36" ca="1">LookupNames(SanitizeInput($E36),'Attack Steps'!$A:$B)</f>
        <v>AS29 Brute-forcing the authentication mechanism over IP</v>
      </c>
      <c r="G36" s="23" t="s">
        <v>1486</v>
      </c>
      <c r="H36" s="33" t="str" cm="1">
        <f t="array" aca="1" ref="H36" ca="1">RemoveDelimiter(GetValuesWithFallback(SanitizeInput($G36),$A:$B,Assumptions!$A:$B," ",","&amp;CHAR(10),TRUE),","&amp;CHAR(10))</f>
        <v>C31 CR 1.10 – Authenticator feedback</v>
      </c>
      <c r="I36" s="23"/>
      <c r="J36" s="37" t="str" cm="1">
        <f t="array" ref="J36">IF($I36="","",SUBSTITUTE(SUBSTITUTE(SUBSTITUTE(SUBSTITUTE(SUBSTITUTE(SUBSTITUTE(SUBSTITUTE(SUBSTITUTE(SUBSTITUTE(
GetTransformation(SanitizeInput($I36),'Damage Scenarios'!$A:$J,COLUMNS('Damage Scenarios'!$A:$J),CHAR(10),"[#0][#1][#2]")&amp;"§",
"[#1][#2]",""),
"[#2]",""),
"[#0][#1]","[#1]"),
"[#0]","Removes:"&amp;CHAR(10)),
"[#1]","Transforms:"&amp;CHAR(10)),
CHAR(10)&amp;"§",""),
"§",""),
CHAR(10),CHAR(10)&amp;"   "),
"   "&amp;"Transforms:","Transforms:"))</f>
        <v/>
      </c>
      <c r="K36" s="13" t="s">
        <v>137</v>
      </c>
      <c r="L36" s="13"/>
      <c r="M36" s="13"/>
      <c r="N36" s="13"/>
      <c r="O36" s="13"/>
      <c r="P36" s="33" t="str">
        <f ca="1">IF($A36="","",IFERROR(VLOOKUP($AD36,Definitions!$V:$W,COLUMNS(Definitions!$V:$W),TRUE),""))</f>
        <v>Beyond High</v>
      </c>
      <c r="Q36" s="23" t="s">
        <v>607</v>
      </c>
      <c r="R36" s="23"/>
      <c r="S36" s="13" t="s">
        <v>1611</v>
      </c>
      <c r="T36" s="10" cm="1">
        <f t="array" ref="T36">IF(ROW()=ROW($T$2)+1,0,INDEX($T:$T,ROW()-1))+IF($A36="",0,1)</f>
        <v>34</v>
      </c>
      <c r="U36" s="20" t="b" cm="1">
        <f t="array" aca="1" ref="U36" ca="1">CheckRelevance(SanitizeInput(E36),Questionnaire!$I:$I)</f>
        <v>0</v>
      </c>
      <c r="V36" s="20" t="b">
        <f>IFERROR(_xlfn.XMATCH("*,"&amp;$A36&amp;",*",Mitigation!$X:$X,2)&gt;0,FALSE)</f>
        <v>0</v>
      </c>
      <c r="W36" s="20" cm="1">
        <f t="array" ref="W36">CreateTaskID($W$2,$W:$W,Tasks!$B$17,$S36)</f>
        <v>0</v>
      </c>
      <c r="X36" s="20" t="str" cm="1">
        <f t="array" ref="X36">IF($E36="","",","&amp;SanitizeInput($E36))</f>
        <v>,AS29,</v>
      </c>
      <c r="Y36" s="20">
        <f>IF(K36="",0,VLOOKUP(K36,Definitions!$Z:$AA,COLUMNS(Definitions!$Z:$AA),FALSE))</f>
        <v>25</v>
      </c>
      <c r="Z36" s="20">
        <f>IF(L36="",0,VLOOKUP(L36,Definitions!$Z:$AA,COLUMNS(Definitions!$Z:$AA),FALSE))</f>
        <v>0</v>
      </c>
      <c r="AA36" s="20">
        <f>IF(M36="",0,VLOOKUP(M36,Definitions!$Z:$AA,COLUMNS(Definitions!$Z:$AA),FALSE))</f>
        <v>0</v>
      </c>
      <c r="AB36" s="20">
        <f>IF(N36="",0,VLOOKUP(N36,Definitions!$Z:$AA,COLUMNS(Definitions!$Z:$AA),FALSE))</f>
        <v>0</v>
      </c>
      <c r="AC36" s="20">
        <f>IF(O36="",0,VLOOKUP(O36,Definitions!$Z:$AA,COLUMNS(Definitions!$Z:$AA),FALSE))</f>
        <v>0</v>
      </c>
      <c r="AD36" s="20">
        <f t="shared" ca="1" si="3"/>
        <v>25</v>
      </c>
      <c r="AE36" s="20" t="str" cm="1">
        <f t="array" ref="AE36">IF($G36="","",","&amp;SanitizeInput($G36))</f>
        <v>,C31,</v>
      </c>
      <c r="AF36" s="20" t="b" cm="1">
        <f t="array" aca="1" ref="AF36" ca="1">OR($AK36,_xlfn.LAMBDA(_xlpm._ownID,_xlpm._searchHeader,_xlpm._resultHeader,_xlpm._elementCount,_xlpm._delimiter,_xlpm._activeInTreatmentRange,_xlpm._activeByAnswersRange,_xlpm._dependencies,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InverseLookup(_xlpm._ownID,_xlpm._searchHeader,_xlpm._resultHeader,1,_xlpm._elementCount,_xlpm._delimiter))))))($A36,$AE$2,$A$2,Helper!$B$4,",",$A:$V,$A:$AK,InverseLookup($A36,$AE$2,$A$2,1,Helper!$B$4,",")))</f>
        <v>0</v>
      </c>
      <c r="AG36" s="20" t="str" cm="1">
        <f t="array" aca="1" ref="AG36" ca="1">IF(OR($V36,$AF36,$AK36),IF($G36="","",","&amp;SanitizeInput($G36)),"")</f>
        <v/>
      </c>
      <c r="AH36" s="20" t="str" cm="1">
        <f t="array" ref="AH36">SUBSTITUTE(IF($V36,IF($I36="","",","&amp;SanitizeInput($I36)),""),"&gt;",",")</f>
        <v/>
      </c>
      <c r="AI36" s="20" cm="1">
        <f t="array" aca="1" ref="AI36" ca="1">IF(ROW()=ROW($AI$2)+1,0,INDEX($AI:$AI,ROW()-1))+IF($AF36,1,0)</f>
        <v>4</v>
      </c>
      <c r="AJ36" s="20" t="str" cm="1">
        <f t="array" aca="1" ref="AJ36" ca="1">IF($AF36,IF($Q36="","",","&amp;SanitizeInput($Q36)),"")</f>
        <v/>
      </c>
      <c r="AK36" s="20" t="b">
        <f>OR(CheckRelevance(SanitizeInput($D36),Questionnaire!$I:$I),CheckRelevance(SanitizeInput($D36),Questionnaire!$J:$J))</f>
        <v>0</v>
      </c>
      <c r="AL36" s="20" t="str" cm="1">
        <f t="array" ref="AL3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FilterPreconditionCandidates(RemoveFirstElement(_xlpm._preconditionCandidates),_xlpm._searchColumn,_xlpm._delimiter))))(SanitizeInput($D36),Questionnaire!$AA:$AA,",")</f>
        <v/>
      </c>
      <c r="AM36" s="20" t="str" cm="1">
        <f t="array" ref="AM36">IF($D36="*","",InverseLookupList($AL36,Questionnaire!$AA$3,Questionnaire!$A$3,Helper!$B$12,","))</f>
        <v/>
      </c>
      <c r="AN36" s="20" t="str" cm="1">
        <f t="array" ref="AN36">RemoveDelimiter(GetValues($AM36,Questionnaire!$A:$G," ",CHAR(10)&amp;CHAR(10),TRUE),CHAR(10)&amp;CHAR(10))</f>
        <v/>
      </c>
      <c r="AO36" s="20" t="str" cm="1">
        <f t="array" ref="AO36">CreateSearchString($AM36)</f>
        <v/>
      </c>
      <c r="AP36" s="20" t="str" cm="1">
        <f t="array" aca="1" ref="AP36" ca="1">InverseLookup($A36,Mitigation!$AD$2,Mitigation!$A$2,1,Helper!$B$5,",")</f>
        <v/>
      </c>
      <c r="AQ36" s="20" t="str" cm="1">
        <f t="array" aca="1" ref="AQ36" ca="1">CreateSearchString(GetValues($AP36,'Attack Steps'!$A:$O,"",",",FALSE))</f>
        <v/>
      </c>
      <c r="AR36" s="20" t="str">
        <f>IF($A36="","",$A36)</f>
        <v>C32</v>
      </c>
    </row>
    <row r="37" spans="1:44" x14ac:dyDescent="0.25">
      <c r="A37" s="10" t="s">
        <v>1489</v>
      </c>
      <c r="B37" s="13" t="s">
        <v>1490</v>
      </c>
      <c r="C37" s="13" t="s">
        <v>1762</v>
      </c>
      <c r="D37" s="13" t="s">
        <v>418</v>
      </c>
      <c r="E37" s="13"/>
      <c r="F37" s="33" t="str" cm="1">
        <f t="array" ref="F37">LookupNames(SanitizeInput($E37),'Attack Steps'!$A:$B)</f>
        <v/>
      </c>
      <c r="G37" s="23"/>
      <c r="H37" s="33" t="str" cm="1">
        <f t="array" ref="H37">RemoveDelimiter(GetValuesWithFallback(SanitizeInput($G37),$A:$B,Assumptions!$A:$B," ",","&amp;CHAR(10),TRUE),","&amp;CHAR(10))</f>
        <v/>
      </c>
      <c r="I37" s="23"/>
      <c r="J37" s="37" t="str" cm="1">
        <f t="array" ref="J37">IF($I37="","",SUBSTITUTE(SUBSTITUTE(SUBSTITUTE(SUBSTITUTE(SUBSTITUTE(SUBSTITUTE(SUBSTITUTE(SUBSTITUTE(SUBSTITUTE(
GetTransformation(SanitizeInput($I37),'Damage Scenarios'!$A:$J,COLUMNS('Damage Scenarios'!$A:$J),CHAR(10),"[#0][#1][#2]")&amp;"§",
"[#1][#2]",""),
"[#2]",""),
"[#0][#1]","[#1]"),
"[#0]","Removes:"&amp;CHAR(10)),
"[#1]","Transforms:"&amp;CHAR(10)),
CHAR(10)&amp;"§",""),
"§",""),
CHAR(10),CHAR(10)&amp;"   "),
"   "&amp;"Transforms:","Transforms:"))</f>
        <v/>
      </c>
      <c r="K37" s="13"/>
      <c r="L37" s="13"/>
      <c r="M37" s="13"/>
      <c r="N37" s="13"/>
      <c r="O37" s="13"/>
      <c r="P37" s="33" t="str">
        <f ca="1">IF($A37="","",IFERROR(VLOOKUP($AD37,Definitions!$V:$W,COLUMNS(Definitions!$V:$W),TRUE),""))</f>
        <v>Basic</v>
      </c>
      <c r="Q37" s="23" t="s">
        <v>609</v>
      </c>
      <c r="R37" s="23"/>
      <c r="S37" s="13"/>
      <c r="T37" s="10" cm="1">
        <f t="array" ref="T37">IF(ROW()=ROW($T$2)+1,0,INDEX($T:$T,ROW()-1))+IF($A37="",0,1)</f>
        <v>35</v>
      </c>
      <c r="U37" s="20" t="b" cm="1">
        <f t="array" ref="U37">CheckRelevance(SanitizeInput(E37),Questionnaire!$I:$I)</f>
        <v>0</v>
      </c>
      <c r="V37" s="20" t="b">
        <f>IFERROR(_xlfn.XMATCH("*,"&amp;$A37&amp;",*",Mitigation!$X:$X,2)&gt;0,FALSE)</f>
        <v>0</v>
      </c>
      <c r="W37" s="20" cm="1">
        <f t="array" ref="W37">CreateTaskID($W$2,$W:$W,Tasks!$B$17,$S37)</f>
        <v>0</v>
      </c>
      <c r="X37" s="20" t="str" cm="1">
        <f t="array" ref="X37">IF($E37="","",","&amp;SanitizeInput($E37))</f>
        <v/>
      </c>
      <c r="Y37" s="20">
        <f>IF(K37="",0,VLOOKUP(K37,Definitions!$Z:$AA,COLUMNS(Definitions!$Z:$AA),FALSE))</f>
        <v>0</v>
      </c>
      <c r="Z37" s="20">
        <f>IF(L37="",0,VLOOKUP(L37,Definitions!$Z:$AA,COLUMNS(Definitions!$Z:$AA),FALSE))</f>
        <v>0</v>
      </c>
      <c r="AA37" s="20">
        <f>IF(M37="",0,VLOOKUP(M37,Definitions!$Z:$AA,COLUMNS(Definitions!$Z:$AA),FALSE))</f>
        <v>0</v>
      </c>
      <c r="AB37" s="20">
        <f>IF(N37="",0,VLOOKUP(N37,Definitions!$Z:$AA,COLUMNS(Definitions!$Z:$AA),FALSE))</f>
        <v>0</v>
      </c>
      <c r="AC37" s="20">
        <f>IF(O37="",0,VLOOKUP(O37,Definitions!$Z:$AA,COLUMNS(Definitions!$Z:$AA),FALSE))</f>
        <v>0</v>
      </c>
      <c r="AD37" s="20">
        <f t="shared" ca="1" si="3"/>
        <v>0</v>
      </c>
      <c r="AE37" s="20" t="str" cm="1">
        <f t="array" ref="AE37">IF($G37="","",","&amp;SanitizeInput($G37))</f>
        <v/>
      </c>
      <c r="AF37" s="20" t="b" cm="1">
        <f t="array" aca="1" ref="AF37" ca="1">OR($AK37,_xlfn.LAMBDA(_xlpm._ownID,_xlpm._searchHeader,_xlpm._resultHeader,_xlpm._elementCount,_xlpm._delimiter,_xlpm._activeInTreatmentRange,_xlpm._activeByAnswersRange,_xlpm._dependencies,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InverseLookup(_xlpm._ownID,_xlpm._searchHeader,_xlpm._resultHeader,1,_xlpm._elementCount,_xlpm._delimiter))))))($A37,$AE$2,$A$2,Helper!$B$4,",",$A:$V,$A:$AK,InverseLookup($A37,$AE$2,$A$2,1,Helper!$B$4,",")))</f>
        <v>1</v>
      </c>
      <c r="AG37" s="20" t="str" cm="1">
        <f t="array" aca="1" ref="AG37" ca="1">IF(OR($V37,$AF37,$AK37),IF($G37="","",","&amp;SanitizeInput($G37)),"")</f>
        <v/>
      </c>
      <c r="AH37" s="20" t="str" cm="1">
        <f t="array" ref="AH37">SUBSTITUTE(IF($V37,IF($I37="","",","&amp;SanitizeInput($I37)),""),"&gt;",",")</f>
        <v/>
      </c>
      <c r="AI37" s="20" cm="1">
        <f t="array" aca="1" ref="AI37" ca="1">IF(ROW()=ROW($AI$2)+1,0,INDEX($AI:$AI,ROW()-1))+IF($AF37,1,0)</f>
        <v>5</v>
      </c>
      <c r="AJ37" s="20" t="str" cm="1">
        <f t="array" aca="1" ref="AJ37" ca="1">IF($AF37,IF($Q37="","",","&amp;SanitizeInput($Q37)),"")</f>
        <v>,g,</v>
      </c>
      <c r="AK37" s="20" t="b">
        <f>OR(CheckRelevance(SanitizeInput($D37),Questionnaire!$I:$I),CheckRelevance(SanitizeInput($D37),Questionnaire!$J:$J))</f>
        <v>1</v>
      </c>
      <c r="AL37" s="20" t="str" cm="1">
        <f t="array" ref="AL3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FilterPreconditionCandidates(RemoveFirstElement(_xlpm._preconditionCandidates),_xlpm._searchColumn,_xlpm._delimiter))))(SanitizeInput($D37),Questionnaire!$AA:$AA,",")</f>
        <v>*,</v>
      </c>
      <c r="AM37" s="20" t="str" cm="1">
        <f t="array" ref="AM37">IF($D37="*","",InverseLookupList($AL37,Questionnaire!$AA$3,Questionnaire!$A$3,Helper!$B$12,","))</f>
        <v/>
      </c>
      <c r="AN37" s="20" t="str" cm="1">
        <f t="array" ref="AN37">RemoveDelimiter(GetValues($AM37,Questionnaire!$A:$G," ",CHAR(10)&amp;CHAR(10),TRUE),CHAR(10)&amp;CHAR(10))</f>
        <v/>
      </c>
      <c r="AO37" s="20" t="str" cm="1">
        <f t="array" ref="AO37">CreateSearchString($AM37)</f>
        <v/>
      </c>
      <c r="AP37" s="20" t="str" cm="1">
        <f t="array" aca="1" ref="AP37" ca="1">InverseLookup($A37,Mitigation!$AD$2,Mitigation!$A$2,1,Helper!$B$5,",")</f>
        <v/>
      </c>
      <c r="AQ37" s="20" t="str" cm="1">
        <f t="array" aca="1" ref="AQ37" ca="1">CreateSearchString(GetValues($AP37,'Attack Steps'!$A:$O,"",",",FALSE))</f>
        <v/>
      </c>
      <c r="AR37" s="20" t="str">
        <f>IF($A37="","",$A37)</f>
        <v>C33</v>
      </c>
    </row>
    <row r="38" spans="1:44" x14ac:dyDescent="0.25">
      <c r="A38" s="10" t="s">
        <v>1491</v>
      </c>
      <c r="B38" s="13" t="s">
        <v>1492</v>
      </c>
      <c r="C38" s="13" t="s">
        <v>1763</v>
      </c>
      <c r="D38" s="13" t="s">
        <v>418</v>
      </c>
      <c r="E38" s="13"/>
      <c r="F38" s="33" t="str" cm="1">
        <f t="array" ref="F38">LookupNames(SanitizeInput($E38),'Attack Steps'!$A:$B)</f>
        <v/>
      </c>
      <c r="G38" s="23"/>
      <c r="H38" s="33" t="str" cm="1">
        <f t="array" ref="H38">RemoveDelimiter(GetValuesWithFallback(SanitizeInput($G38),$A:$B,Assumptions!$A:$B," ",","&amp;CHAR(10),TRUE),","&amp;CHAR(10))</f>
        <v/>
      </c>
      <c r="I38" s="23"/>
      <c r="J38" s="37" t="str" cm="1">
        <f t="array" ref="J38">IF($I38="","",SUBSTITUTE(SUBSTITUTE(SUBSTITUTE(SUBSTITUTE(SUBSTITUTE(SUBSTITUTE(SUBSTITUTE(SUBSTITUTE(SUBSTITUTE(
GetTransformation(SanitizeInput($I38),'Damage Scenarios'!$A:$J,COLUMNS('Damage Scenarios'!$A:$J),CHAR(10),"[#0][#1][#2]")&amp;"§",
"[#1][#2]",""),
"[#2]",""),
"[#0][#1]","[#1]"),
"[#0]","Removes:"&amp;CHAR(10)),
"[#1]","Transforms:"&amp;CHAR(10)),
CHAR(10)&amp;"§",""),
"§",""),
CHAR(10),CHAR(10)&amp;"   "),
"   "&amp;"Transforms:","Transforms:"))</f>
        <v/>
      </c>
      <c r="K38" s="13"/>
      <c r="L38" s="13"/>
      <c r="M38" s="13"/>
      <c r="N38" s="13"/>
      <c r="O38" s="13"/>
      <c r="P38" s="33" t="str">
        <f ca="1">IF($A38="","",IFERROR(VLOOKUP($AD38,Definitions!$V:$W,COLUMNS(Definitions!$V:$W),TRUE),""))</f>
        <v>Basic</v>
      </c>
      <c r="Q38" s="23" t="s">
        <v>609</v>
      </c>
      <c r="R38" s="23"/>
      <c r="S38" s="13"/>
      <c r="T38" s="10" cm="1">
        <f t="array" ref="T38">IF(ROW()=ROW($T$2)+1,0,INDEX($T:$T,ROW()-1))+IF($A38="",0,1)</f>
        <v>36</v>
      </c>
      <c r="U38" s="20" t="b" cm="1">
        <f t="array" ref="U38">CheckRelevance(SanitizeInput(E38),Questionnaire!$I:$I)</f>
        <v>0</v>
      </c>
      <c r="V38" s="20" t="b">
        <f>IFERROR(_xlfn.XMATCH("*,"&amp;$A38&amp;",*",Mitigation!$X:$X,2)&gt;0,FALSE)</f>
        <v>0</v>
      </c>
      <c r="W38" s="20" cm="1">
        <f t="array" ref="W38">CreateTaskID($W$2,$W:$W,Tasks!$B$17,$S38)</f>
        <v>0</v>
      </c>
      <c r="X38" s="20" t="str" cm="1">
        <f t="array" ref="X38">IF($E38="","",","&amp;SanitizeInput($E38))</f>
        <v/>
      </c>
      <c r="Y38" s="20">
        <f>IF(K38="",0,VLOOKUP(K38,Definitions!$Z:$AA,COLUMNS(Definitions!$Z:$AA),FALSE))</f>
        <v>0</v>
      </c>
      <c r="Z38" s="20">
        <f>IF(L38="",0,VLOOKUP(L38,Definitions!$Z:$AA,COLUMNS(Definitions!$Z:$AA),FALSE))</f>
        <v>0</v>
      </c>
      <c r="AA38" s="20">
        <f>IF(M38="",0,VLOOKUP(M38,Definitions!$Z:$AA,COLUMNS(Definitions!$Z:$AA),FALSE))</f>
        <v>0</v>
      </c>
      <c r="AB38" s="20">
        <f>IF(N38="",0,VLOOKUP(N38,Definitions!$Z:$AA,COLUMNS(Definitions!$Z:$AA),FALSE))</f>
        <v>0</v>
      </c>
      <c r="AC38" s="20">
        <f>IF(O38="",0,VLOOKUP(O38,Definitions!$Z:$AA,COLUMNS(Definitions!$Z:$AA),FALSE))</f>
        <v>0</v>
      </c>
      <c r="AD38" s="20">
        <f t="shared" ca="1" si="3"/>
        <v>0</v>
      </c>
      <c r="AE38" s="20" t="str" cm="1">
        <f t="array" ref="AE38">IF($G38="","",","&amp;SanitizeInput($G38))</f>
        <v/>
      </c>
      <c r="AF38" s="20" t="b" cm="1">
        <f t="array" aca="1" ref="AF38" ca="1">OR($AK38,_xlfn.LAMBDA(_xlpm._ownID,_xlpm._searchHeader,_xlpm._resultHeader,_xlpm._elementCount,_xlpm._delimiter,_xlpm._activeInTreatmentRange,_xlpm._activeByAnswersRange,_xlpm._dependencies,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InverseLookup(_xlpm._ownID,_xlpm._searchHeader,_xlpm._resultHeader,1,_xlpm._elementCount,_xlpm._delimiter))))))($A38,$AE$2,$A$2,Helper!$B$4,",",$A:$V,$A:$AK,InverseLookup($A38,$AE$2,$A$2,1,Helper!$B$4,",")))</f>
        <v>1</v>
      </c>
      <c r="AG38" s="20" t="str" cm="1">
        <f t="array" aca="1" ref="AG38" ca="1">IF(OR($V38,$AF38,$AK38),IF($G38="","",","&amp;SanitizeInput($G38)),"")</f>
        <v/>
      </c>
      <c r="AH38" s="20" t="str" cm="1">
        <f t="array" ref="AH38">SUBSTITUTE(IF($V38,IF($I38="","",","&amp;SanitizeInput($I38)),""),"&gt;",",")</f>
        <v/>
      </c>
      <c r="AI38" s="20" cm="1">
        <f t="array" aca="1" ref="AI38" ca="1">IF(ROW()=ROW($AI$2)+1,0,INDEX($AI:$AI,ROW()-1))+IF($AF38,1,0)</f>
        <v>6</v>
      </c>
      <c r="AJ38" s="20" t="str" cm="1">
        <f t="array" aca="1" ref="AJ38" ca="1">IF($AF38,IF($Q38="","",","&amp;SanitizeInput($Q38)),"")</f>
        <v>,g,</v>
      </c>
      <c r="AK38" s="20" t="b">
        <f>OR(CheckRelevance(SanitizeInput($D38),Questionnaire!$I:$I),CheckRelevance(SanitizeInput($D38),Questionnaire!$J:$J))</f>
        <v>1</v>
      </c>
      <c r="AL38" s="20" t="str" cm="1">
        <f t="array" ref="AL3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FilterPreconditionCandidates(RemoveFirstElement(_xlpm._preconditionCandidates),_xlpm._searchColumn,_xlpm._delimiter))))(SanitizeInput($D38),Questionnaire!$AA:$AA,",")</f>
        <v>*,</v>
      </c>
      <c r="AM38" s="20" t="str" cm="1">
        <f t="array" ref="AM38">IF($D38="*","",InverseLookupList($AL38,Questionnaire!$AA$3,Questionnaire!$A$3,Helper!$B$12,","))</f>
        <v/>
      </c>
      <c r="AN38" s="20" t="str" cm="1">
        <f t="array" ref="AN38">RemoveDelimiter(GetValues($AM38,Questionnaire!$A:$G," ",CHAR(10)&amp;CHAR(10),TRUE),CHAR(10)&amp;CHAR(10))</f>
        <v/>
      </c>
      <c r="AO38" s="20" t="str" cm="1">
        <f t="array" ref="AO38">CreateSearchString($AM38)</f>
        <v/>
      </c>
      <c r="AP38" s="20" t="str" cm="1">
        <f t="array" aca="1" ref="AP38" ca="1">InverseLookup($A38,Mitigation!$AD$2,Mitigation!$A$2,1,Helper!$B$5,",")</f>
        <v/>
      </c>
      <c r="AQ38" s="20" t="str" cm="1">
        <f t="array" aca="1" ref="AQ38" ca="1">CreateSearchString(GetValues($AP38,'Attack Steps'!$A:$O,"",",",FALSE))</f>
        <v/>
      </c>
      <c r="AR38" s="20" t="str">
        <f>IF($A38="","",$A38)</f>
        <v>C34</v>
      </c>
    </row>
    <row r="39" spans="1:44" ht="30" x14ac:dyDescent="0.25">
      <c r="A39" s="10" t="s">
        <v>1532</v>
      </c>
      <c r="B39" s="13" t="s">
        <v>1533</v>
      </c>
      <c r="C39" s="13" t="s">
        <v>1746</v>
      </c>
      <c r="D39" s="13"/>
      <c r="E39" s="13" t="s">
        <v>335</v>
      </c>
      <c r="F39" s="33" t="str" cm="1">
        <f t="array" aca="1" ref="F39" ca="1">LookupNames(SanitizeInput($E39),'Attack Steps'!$A:$B)</f>
        <v>AS23 Compromising the product with direct access to its persistent memory</v>
      </c>
      <c r="G39" s="23"/>
      <c r="H39" s="33" t="str" cm="1">
        <f t="array" ref="H39">RemoveDelimiter(GetValuesWithFallback(SanitizeInput($G39),$A:$B,Assumptions!$A:$B," ",","&amp;CHAR(10),TRUE),","&amp;CHAR(10))</f>
        <v/>
      </c>
      <c r="I39" s="23"/>
      <c r="J39" s="37" t="str" cm="1">
        <f t="array" ref="J39">IF($I39="","",SUBSTITUTE(SUBSTITUTE(SUBSTITUTE(SUBSTITUTE(SUBSTITUTE(SUBSTITUTE(SUBSTITUTE(SUBSTITUTE(SUBSTITUTE(
GetTransformation(SanitizeInput($I39),'Damage Scenarios'!$A:$J,COLUMNS('Damage Scenarios'!$A:$J),CHAR(10),"[#0][#1][#2]")&amp;"§",
"[#1][#2]",""),
"[#2]",""),
"[#0][#1]","[#1]"),
"[#0]","Removes:"&amp;CHAR(10)),
"[#1]","Transforms:"&amp;CHAR(10)),
CHAR(10)&amp;"§",""),
"§",""),
CHAR(10),CHAR(10)&amp;"   "),
"   "&amp;"Transforms:","Transforms:"))</f>
        <v/>
      </c>
      <c r="K39" s="13" t="s">
        <v>133</v>
      </c>
      <c r="L39" s="13" t="s">
        <v>141</v>
      </c>
      <c r="M39" s="13" t="s">
        <v>145</v>
      </c>
      <c r="N39" s="13" t="s">
        <v>81</v>
      </c>
      <c r="O39" s="13" t="s">
        <v>154</v>
      </c>
      <c r="P39" s="33" t="str">
        <f ca="1">IF($A39="","",IFERROR(VLOOKUP($AD39,Definitions!$V:$W,COLUMNS(Definitions!$V:$W),TRUE),""))</f>
        <v>Moderate</v>
      </c>
      <c r="Q39" s="23" t="s">
        <v>604</v>
      </c>
      <c r="R39" s="23"/>
      <c r="S39" s="13" t="s">
        <v>1635</v>
      </c>
      <c r="T39" s="10" cm="1">
        <f t="array" ref="T39">IF(ROW()=ROW($T$2)+1,0,INDEX($T:$T,ROW()-1))+IF($A39="",0,1)</f>
        <v>37</v>
      </c>
      <c r="U39" s="20" t="b" cm="1">
        <f t="array" aca="1" ref="U39" ca="1">CheckRelevance(SanitizeInput(E39),Questionnaire!$I:$I)</f>
        <v>0</v>
      </c>
      <c r="V39" s="20" t="b">
        <f>IFERROR(_xlfn.XMATCH("*,"&amp;$A39&amp;",*",Mitigation!$X:$X,2)&gt;0,FALSE)</f>
        <v>0</v>
      </c>
      <c r="W39" s="20" cm="1">
        <f t="array" ref="W39">CreateTaskID($W$2,$W:$W,Tasks!$B$17,$S39)</f>
        <v>0</v>
      </c>
      <c r="X39" s="20" t="str" cm="1">
        <f t="array" ref="X39">IF($E39="","",","&amp;SanitizeInput($E39))</f>
        <v>,AS23,</v>
      </c>
      <c r="Y39" s="20">
        <f>IF(K39="",0,VLOOKUP(K39,Definitions!$Z:$AA,COLUMNS(Definitions!$Z:$AA),FALSE))</f>
        <v>1</v>
      </c>
      <c r="Z39" s="20">
        <f>IF(L39="",0,VLOOKUP(L39,Definitions!$Z:$AA,COLUMNS(Definitions!$Z:$AA),FALSE))</f>
        <v>6</v>
      </c>
      <c r="AA39" s="20">
        <f>IF(M39="",0,VLOOKUP(M39,Definitions!$Z:$AA,COLUMNS(Definitions!$Z:$AA),FALSE))</f>
        <v>3</v>
      </c>
      <c r="AB39" s="20">
        <f>IF(N39="",0,VLOOKUP(N39,Definitions!$Z:$AA,COLUMNS(Definitions!$Z:$AA),FALSE))</f>
        <v>4</v>
      </c>
      <c r="AC39" s="20">
        <f>IF(O39="",0,VLOOKUP(O39,Definitions!$Z:$AA,COLUMNS(Definitions!$Z:$AA),FALSE))</f>
        <v>4</v>
      </c>
      <c r="AD39" s="20">
        <f t="shared" ca="1" si="3"/>
        <v>18</v>
      </c>
      <c r="AE39" s="20" t="str" cm="1">
        <f t="array" ref="AE39">IF($G39="","",","&amp;SanitizeInput($G39))</f>
        <v/>
      </c>
      <c r="AF39" s="20" t="b" cm="1">
        <f t="array" aca="1" ref="AF39" ca="1">OR($AK39,_xlfn.LAMBDA(_xlpm._ownID,_xlpm._searchHeader,_xlpm._resultHeader,_xlpm._elementCount,_xlpm._delimiter,_xlpm._activeInTreatmentRange,_xlpm._activeByAnswersRange,_xlpm._dependencies,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InverseLookup(_xlpm._ownID,_xlpm._searchHeader,_xlpm._resultHeader,1,_xlpm._elementCount,_xlpm._delimiter))))))($A39,$AE$2,$A$2,Helper!$B$4,",",$A:$V,$A:$AK,InverseLookup($A39,$AE$2,$A$2,1,Helper!$B$4,",")))</f>
        <v>0</v>
      </c>
      <c r="AG39" s="20" t="str" cm="1">
        <f t="array" aca="1" ref="AG39" ca="1">IF(OR($V39,$AF39,$AK39),IF($G39="","",","&amp;SanitizeInput($G39)),"")</f>
        <v/>
      </c>
      <c r="AH39" s="20" t="str" cm="1">
        <f t="array" ref="AH39">SUBSTITUTE(IF($V39,IF($I39="","",","&amp;SanitizeInput($I39)),""),"&gt;",",")</f>
        <v/>
      </c>
      <c r="AI39" s="20" cm="1">
        <f t="array" aca="1" ref="AI39" ca="1">IF(ROW()=ROW($AI$2)+1,0,INDEX($AI:$AI,ROW()-1))+IF($AF39,1,0)</f>
        <v>6</v>
      </c>
      <c r="AJ39" s="20" t="str" cm="1">
        <f t="array" aca="1" ref="AJ39" ca="1">IF($AF39,IF($Q39="","",","&amp;SanitizeInput($Q39)),"")</f>
        <v/>
      </c>
      <c r="AK39" s="20" t="b">
        <f>OR(CheckRelevance(SanitizeInput($D39),Questionnaire!$I:$I),CheckRelevance(SanitizeInput($D39),Questionnaire!$J:$J))</f>
        <v>0</v>
      </c>
      <c r="AL39" s="20" t="str" cm="1">
        <f t="array" ref="AL3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FilterPreconditionCandidates(RemoveFirstElement(_xlpm._preconditionCandidates),_xlpm._searchColumn,_xlpm._delimiter))))(SanitizeInput($D39),Questionnaire!$AA:$AA,",")</f>
        <v/>
      </c>
      <c r="AM39" s="20" t="str" cm="1">
        <f t="array" ref="AM39">IF($D39="*","",InverseLookupList($AL39,Questionnaire!$AA$3,Questionnaire!$A$3,Helper!$B$12,","))</f>
        <v/>
      </c>
      <c r="AN39" s="20" t="str" cm="1">
        <f t="array" ref="AN39">RemoveDelimiter(GetValues($AM39,Questionnaire!$A:$G," ",CHAR(10)&amp;CHAR(10),TRUE),CHAR(10)&amp;CHAR(10))</f>
        <v/>
      </c>
      <c r="AO39" s="20" t="str" cm="1">
        <f t="array" ref="AO39">CreateSearchString($AM39)</f>
        <v/>
      </c>
      <c r="AP39" s="20" t="str" cm="1">
        <f t="array" aca="1" ref="AP39" ca="1">InverseLookup($A39,Mitigation!$AD$2,Mitigation!$A$2,1,Helper!$B$5,",")</f>
        <v/>
      </c>
      <c r="AQ39" s="20" t="str" cm="1">
        <f t="array" aca="1" ref="AQ39" ca="1">CreateSearchString(GetValues($AP39,'Attack Steps'!$A:$O,"",",",FALSE))</f>
        <v/>
      </c>
      <c r="AR39" s="20" t="str">
        <f>IF($A39="","",$A39)</f>
        <v>C35</v>
      </c>
    </row>
    <row r="40" spans="1:44" ht="210" x14ac:dyDescent="0.25">
      <c r="A40" s="10" t="s">
        <v>755</v>
      </c>
      <c r="B40" s="13" t="s">
        <v>1493</v>
      </c>
      <c r="C40" s="13" t="s">
        <v>1494</v>
      </c>
      <c r="D40" s="13"/>
      <c r="E40" s="13" t="s">
        <v>770</v>
      </c>
      <c r="F40" s="33" t="str" cm="1">
        <f t="array" aca="1" ref="F40" ca="1">LookupNames(SanitizeInput($E40),'Attack Steps'!$A:$B)</f>
        <v>AS9 Attacking the product's internal gateway from the Internet,
AS15 Attacking the product from the Internet or a mobile network,
AS31 Attacking a customer network from another customer network via the product's internal gateway</v>
      </c>
      <c r="G40" s="23" t="s">
        <v>413</v>
      </c>
      <c r="H40" s="33" t="str" cm="1">
        <f t="array" aca="1" ref="H40" ca="1">RemoveDelimiter(GetValuesWithFallback(SanitizeInput($G40),$A:$B,Assumptions!$A:$B," ",","&amp;CHAR(10),TRUE),","&amp;CHAR(10))</f>
        <v>C19 CR 5.1 – Network segmentation</v>
      </c>
      <c r="I40" s="23"/>
      <c r="J40" s="37" t="str" cm="1">
        <f t="array" ref="J40">IF($I40="","",SUBSTITUTE(SUBSTITUTE(SUBSTITUTE(SUBSTITUTE(SUBSTITUTE(SUBSTITUTE(SUBSTITUTE(SUBSTITUTE(SUBSTITUTE(
GetTransformation(SanitizeInput($I40),'Damage Scenarios'!$A:$J,COLUMNS('Damage Scenarios'!$A:$J),CHAR(10),"[#0][#1][#2]")&amp;"§",
"[#1][#2]",""),
"[#2]",""),
"[#0][#1]","[#1]"),
"[#0]","Removes:"&amp;CHAR(10)),
"[#1]","Transforms:"&amp;CHAR(10)),
CHAR(10)&amp;"§",""),
"§",""),
CHAR(10),CHAR(10)&amp;"   "),
"   "&amp;"Transforms:","Transforms:"))</f>
        <v/>
      </c>
      <c r="K40" s="13" t="s">
        <v>133</v>
      </c>
      <c r="L40" s="13" t="s">
        <v>141</v>
      </c>
      <c r="M40" s="13" t="s">
        <v>145</v>
      </c>
      <c r="N40" s="13" t="s">
        <v>150</v>
      </c>
      <c r="O40" s="13"/>
      <c r="P40" s="33" t="str">
        <f ca="1">IF($A40="","",IFERROR(VLOOKUP($AD40,Definitions!$V:$W,COLUMNS(Definitions!$V:$W),TRUE),""))</f>
        <v>High</v>
      </c>
      <c r="Q40" s="23" t="s">
        <v>637</v>
      </c>
      <c r="R40" s="23"/>
      <c r="S40" s="13" t="s">
        <v>1662</v>
      </c>
      <c r="T40" s="10" cm="1">
        <f t="array" ref="T40">IF(ROW()=ROW($T$2)+1,0,INDEX($T:$T,ROW()-1))+IF($A40="",0,1)</f>
        <v>38</v>
      </c>
      <c r="U40" s="20" t="b" cm="1">
        <f t="array" aca="1" ref="U40" ca="1">CheckRelevance(SanitizeInput(E40),Questionnaire!$I:$I)</f>
        <v>0</v>
      </c>
      <c r="V40" s="20" t="b">
        <f>IFERROR(_xlfn.XMATCH("*,"&amp;$A40&amp;",*",Mitigation!$X:$X,2)&gt;0,FALSE)</f>
        <v>0</v>
      </c>
      <c r="W40" s="20" cm="1">
        <f t="array" ref="W40">CreateTaskID($W$2,$W:$W,Tasks!$B$17,$S40)</f>
        <v>0</v>
      </c>
      <c r="X40" s="20" t="str" cm="1">
        <f t="array" ref="X40">IF($E40="","",","&amp;SanitizeInput($E40))</f>
        <v>,AS9,AS15,AS31,</v>
      </c>
      <c r="Y40" s="20">
        <f>IF(K40="",0,VLOOKUP(K40,Definitions!$Z:$AA,COLUMNS(Definitions!$Z:$AA),FALSE))</f>
        <v>1</v>
      </c>
      <c r="Z40" s="20">
        <f>IF(L40="",0,VLOOKUP(L40,Definitions!$Z:$AA,COLUMNS(Definitions!$Z:$AA),FALSE))</f>
        <v>6</v>
      </c>
      <c r="AA40" s="20">
        <f>IF(M40="",0,VLOOKUP(M40,Definitions!$Z:$AA,COLUMNS(Definitions!$Z:$AA),FALSE))</f>
        <v>3</v>
      </c>
      <c r="AB40" s="20">
        <f>IF(N40="",0,VLOOKUP(N40,Definitions!$Z:$AA,COLUMNS(Definitions!$Z:$AA),FALSE))</f>
        <v>10</v>
      </c>
      <c r="AC40" s="20">
        <f>IF(O40="",0,VLOOKUP(O40,Definitions!$Z:$AA,COLUMNS(Definitions!$Z:$AA),FALSE))</f>
        <v>0</v>
      </c>
      <c r="AD40" s="20">
        <f t="shared" ca="1" si="3"/>
        <v>20</v>
      </c>
      <c r="AE40" s="20" t="str" cm="1">
        <f t="array" ref="AE40">IF($G40="","",","&amp;SanitizeInput($G40))</f>
        <v>,C19,</v>
      </c>
      <c r="AF40" s="20" t="b" cm="1">
        <f t="array" aca="1" ref="AF40" ca="1">OR($AK40,_xlfn.LAMBDA(_xlpm._ownID,_xlpm._searchHeader,_xlpm._resultHeader,_xlpm._elementCount,_xlpm._delimiter,_xlpm._activeInTreatmentRange,_xlpm._activeByAnswersRange,_xlpm._dependencies,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InverseLookup(_xlpm._ownID,_xlpm._searchHeader,_xlpm._resultHeader,1,_xlpm._elementCount,_xlpm._delimiter))))))($A40,$AE$2,$A$2,Helper!$B$4,",",$A:$V,$A:$AK,InverseLookup($A40,$AE$2,$A$2,1,Helper!$B$4,",")))</f>
        <v>0</v>
      </c>
      <c r="AG40" s="20" t="str" cm="1">
        <f t="array" aca="1" ref="AG40" ca="1">IF(OR($V40,$AF40,$AK40),IF($G40="","",","&amp;SanitizeInput($G40)),"")</f>
        <v/>
      </c>
      <c r="AH40" s="20" t="str" cm="1">
        <f t="array" ref="AH40">SUBSTITUTE(IF($V40,IF($I40="","",","&amp;SanitizeInput($I40)),""),"&gt;",",")</f>
        <v/>
      </c>
      <c r="AI40" s="20" cm="1">
        <f t="array" aca="1" ref="AI40" ca="1">IF(ROW()=ROW($AI$2)+1,0,INDEX($AI:$AI,ROW()-1))+IF($AF40,1,0)</f>
        <v>6</v>
      </c>
      <c r="AJ40" s="20" t="str" cm="1">
        <f t="array" aca="1" ref="AJ40" ca="1">IF($AF40,IF($Q40="","",","&amp;SanitizeInput($Q40)),"")</f>
        <v/>
      </c>
      <c r="AK40" s="20" t="b">
        <f>OR(CheckRelevance(SanitizeInput($D40),Questionnaire!$I:$I),CheckRelevance(SanitizeInput($D40),Questionnaire!$J:$J))</f>
        <v>0</v>
      </c>
      <c r="AL40" s="20" t="str" cm="1">
        <f t="array" ref="AL40">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FilterPreconditionCandidates(RemoveFirstElement(_xlpm._preconditionCandidates),_xlpm._searchColumn,_xlpm._delimiter))))(SanitizeInput($D40),Questionnaire!$AA:$AA,",")</f>
        <v/>
      </c>
      <c r="AM40" s="20" t="str" cm="1">
        <f t="array" ref="AM40">IF($D40="*","",InverseLookupList($AL40,Questionnaire!$AA$3,Questionnaire!$A$3,Helper!$B$12,","))</f>
        <v/>
      </c>
      <c r="AN40" s="20" t="str" cm="1">
        <f t="array" ref="AN40">RemoveDelimiter(GetValues($AM40,Questionnaire!$A:$G," ",CHAR(10)&amp;CHAR(10),TRUE),CHAR(10)&amp;CHAR(10))</f>
        <v/>
      </c>
      <c r="AO40" s="20" t="str" cm="1">
        <f t="array" ref="AO40">CreateSearchString($AM40)</f>
        <v/>
      </c>
      <c r="AP40" s="20" t="str" cm="1">
        <f t="array" aca="1" ref="AP40" ca="1">InverseLookup($A40,Mitigation!$AD$2,Mitigation!$A$2,1,Helper!$B$5,",")</f>
        <v/>
      </c>
      <c r="AQ40" s="20" t="str" cm="1">
        <f t="array" aca="1" ref="AQ40" ca="1">CreateSearchString(GetValues($AP40,'Attack Steps'!$A:$O,"",",",FALSE))</f>
        <v/>
      </c>
      <c r="AR40" s="20" t="str">
        <f t="shared" si="2"/>
        <v>CM1</v>
      </c>
    </row>
    <row r="41" spans="1:44" ht="90" x14ac:dyDescent="0.25">
      <c r="A41" s="10" t="s">
        <v>1395</v>
      </c>
      <c r="B41" s="13" t="str">
        <f>Definitions!$C$4&amp;"-specific SDL"</f>
        <v>&lt;OEM name&gt;-specific SDL</v>
      </c>
      <c r="C41" s="13" t="str">
        <f>"The product's software is developed in compliance with the required activities according to the "&amp;Definitions!$C$4&amp;"-specific SDL"</f>
        <v>The product's software is developed in compliance with the required activities according to the &lt;OEM name&gt;-specific SDL</v>
      </c>
      <c r="D41" s="13"/>
      <c r="E41" s="13" t="s">
        <v>109</v>
      </c>
      <c r="F41" s="33" t="str" cm="1">
        <f t="array" aca="1" ref="F41" ca="1">LookupNames(SanitizeInput($E41),'Attack Steps'!$A:$B)</f>
        <v>AS3 Compromising the product using a software vulnerability</v>
      </c>
      <c r="G41" s="23" t="s">
        <v>1217</v>
      </c>
      <c r="H41" s="33" t="str" cm="1">
        <f t="array" aca="1" ref="H41" ca="1">RemoveDelimiter(GetValuesWithFallback(SanitizeInput($G41),$A:$B,Assumptions!$A:$B," ",","&amp;CHAR(10),TRUE),","&amp;CHAR(10))</f>
        <v>C14 CR 3.4 – Software and information integrity,
C15 CR 3.5 – Input validation,
C25 SAR 3.2 / EDR 3.2 / HDR 3.2 / NDR 3.2 – Protection from malicious code,
C27 EDR 3.10 / HDR 3.10 / NDR 3.10 – Support for updates</v>
      </c>
      <c r="I41" s="23"/>
      <c r="J41" s="37" t="str" cm="1">
        <f t="array" ref="J41">IF($I41="","",SUBSTITUTE(SUBSTITUTE(SUBSTITUTE(SUBSTITUTE(SUBSTITUTE(SUBSTITUTE(SUBSTITUTE(SUBSTITUTE(SUBSTITUTE(
GetTransformation(SanitizeInput($I41),'Damage Scenarios'!$A:$J,COLUMNS('Damage Scenarios'!$A:$J),CHAR(10),"[#0][#1][#2]")&amp;"§",
"[#1][#2]",""),
"[#2]",""),
"[#0][#1]","[#1]"),
"[#0]","Removes:"&amp;CHAR(10)),
"[#1]","Transforms:"&amp;CHAR(10)),
CHAR(10)&amp;"§",""),
"§",""),
CHAR(10),CHAR(10)&amp;"   "),
"   "&amp;"Transforms:","Transforms:"))</f>
        <v/>
      </c>
      <c r="K41" s="13"/>
      <c r="L41" s="13"/>
      <c r="M41" s="13"/>
      <c r="N41" s="13"/>
      <c r="O41" s="13"/>
      <c r="P41" s="33" t="str">
        <f ca="1">IF($A41="","",IFERROR(VLOOKUP($AD41,Definitions!$V:$W,COLUMNS(Definitions!$V:$W),TRUE),""))</f>
        <v>Basic</v>
      </c>
      <c r="Q41" s="23" t="s">
        <v>1631</v>
      </c>
      <c r="R41" s="23"/>
      <c r="S41" s="13" t="s">
        <v>1761</v>
      </c>
      <c r="T41" s="10" cm="1">
        <f t="array" ref="T41">IF(ROW()=ROW($T$2)+1,0,INDEX($T:$T,ROW()-1))+IF($A41="",0,1)</f>
        <v>39</v>
      </c>
      <c r="U41" s="20" t="b" cm="1">
        <f t="array" aca="1" ref="U41" ca="1">CheckRelevance(SanitizeInput(E41),Questionnaire!$I:$I)</f>
        <v>0</v>
      </c>
      <c r="V41" s="20" t="b">
        <f>IFERROR(_xlfn.XMATCH("*,"&amp;$A41&amp;",*",Mitigation!$X:$X,2)&gt;0,FALSE)</f>
        <v>0</v>
      </c>
      <c r="W41" s="20" cm="1">
        <f t="array" ref="W41">CreateTaskID($W$2,$W:$W,Tasks!$B$17,$S41)</f>
        <v>1</v>
      </c>
      <c r="X41" s="20" t="str" cm="1">
        <f t="array" ref="X41">IF($E41="","",","&amp;SanitizeInput($E41))</f>
        <v>,AS3,</v>
      </c>
      <c r="Y41" s="20">
        <f>IF(K41="",0,VLOOKUP(K41,Definitions!$Z:$AA,COLUMNS(Definitions!$Z:$AA),FALSE))</f>
        <v>0</v>
      </c>
      <c r="Z41" s="20">
        <f>IF(L41="",0,VLOOKUP(L41,Definitions!$Z:$AA,COLUMNS(Definitions!$Z:$AA),FALSE))</f>
        <v>0</v>
      </c>
      <c r="AA41" s="20">
        <f>IF(M41="",0,VLOOKUP(M41,Definitions!$Z:$AA,COLUMNS(Definitions!$Z:$AA),FALSE))</f>
        <v>0</v>
      </c>
      <c r="AB41" s="20">
        <f>IF(N41="",0,VLOOKUP(N41,Definitions!$Z:$AA,COLUMNS(Definitions!$Z:$AA),FALSE))</f>
        <v>0</v>
      </c>
      <c r="AC41" s="20">
        <f>IF(O41="",0,VLOOKUP(O41,Definitions!$Z:$AA,COLUMNS(Definitions!$Z:$AA),FALSE))</f>
        <v>0</v>
      </c>
      <c r="AD41" s="20">
        <f t="shared" ca="1" si="3"/>
        <v>0</v>
      </c>
      <c r="AE41" s="20" t="str" cm="1">
        <f t="array" ref="AE41">IF($G41="","",","&amp;SanitizeInput($G41))</f>
        <v>,C14,C15,C25,C27,</v>
      </c>
      <c r="AF41" s="20" t="b" cm="1">
        <f t="array" aca="1" ref="AF41" ca="1">OR($AK41,_xlfn.LAMBDA(_xlpm._ownID,_xlpm._searchHeader,_xlpm._resultHeader,_xlpm._elementCount,_xlpm._delimiter,_xlpm._activeInTreatmentRange,_xlpm._activeByAnswersRange,_xlpm._dependencies,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InverseLookup(_xlpm._ownID,_xlpm._searchHeader,_xlpm._resultHeader,1,_xlpm._elementCount,_xlpm._delimiter))))))($A41,$AE$2,$A$2,Helper!$B$4,",",$A:$V,$A:$AK,InverseLookup($A41,$AE$2,$A$2,1,Helper!$B$4,",")))</f>
        <v>0</v>
      </c>
      <c r="AG41" s="20" t="str" cm="1">
        <f t="array" aca="1" ref="AG41" ca="1">IF(OR($V41,$AF41,$AK41),IF($G41="","",","&amp;SanitizeInput($G41)),"")</f>
        <v/>
      </c>
      <c r="AH41" s="20" t="str" cm="1">
        <f t="array" ref="AH41">SUBSTITUTE(IF($V41,IF($I41="","",","&amp;SanitizeInput($I41)),""),"&gt;",",")</f>
        <v/>
      </c>
      <c r="AI41" s="20" cm="1">
        <f t="array" aca="1" ref="AI41" ca="1">IF(ROW()=ROW($AI$2)+1,0,INDEX($AI:$AI,ROW()-1))+IF($AF41,1,0)</f>
        <v>6</v>
      </c>
      <c r="AJ41" s="20" t="str" cm="1">
        <f t="array" aca="1" ref="AJ41" ca="1">IF($AF41,IF($Q41="","",","&amp;SanitizeInput($Q41)),"")</f>
        <v/>
      </c>
      <c r="AK41" s="20" t="b">
        <f>OR(CheckRelevance(SanitizeInput($D41),Questionnaire!$I:$I),CheckRelevance(SanitizeInput($D41),Questionnaire!$J:$J))</f>
        <v>0</v>
      </c>
      <c r="AL41" s="20" t="str" cm="1">
        <f t="array" ref="AL4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FilterPreconditionCandidates(RemoveFirstElement(_xlpm._preconditionCandidates),_xlpm._searchColumn,_xlpm._delimiter))))(SanitizeInput($D41),Questionnaire!$AA:$AA,",")</f>
        <v/>
      </c>
      <c r="AM41" s="20" t="str" cm="1">
        <f t="array" ref="AM41">IF($D41="*","",InverseLookupList($AL41,Questionnaire!$AA$3,Questionnaire!$A$3,Helper!$B$12,","))</f>
        <v/>
      </c>
      <c r="AN41" s="20" t="str" cm="1">
        <f t="array" ref="AN41">RemoveDelimiter(GetValues($AM41,Questionnaire!$A:$G," ",CHAR(10)&amp;CHAR(10),TRUE),CHAR(10)&amp;CHAR(10))</f>
        <v/>
      </c>
      <c r="AO41" s="20" t="str" cm="1">
        <f t="array" ref="AO41">CreateSearchString($AM41)</f>
        <v/>
      </c>
      <c r="AP41" s="20" t="str" cm="1">
        <f t="array" aca="1" ref="AP41" ca="1">InverseLookup($A41,Mitigation!$AD$2,Mitigation!$A$2,1,Helper!$B$5,",")</f>
        <v/>
      </c>
      <c r="AQ41" s="20" t="str" cm="1">
        <f t="array" aca="1" ref="AQ41" ca="1">CreateSearchString(GetValues($AP41,'Attack Steps'!$A:$O,"",",",FALSE))</f>
        <v/>
      </c>
      <c r="AR41" s="20" t="str">
        <f t="shared" si="2"/>
        <v>CM2a</v>
      </c>
    </row>
    <row r="42" spans="1:44" ht="165" x14ac:dyDescent="0.25">
      <c r="A42" s="10" t="s">
        <v>1396</v>
      </c>
      <c r="B42" s="13" t="s">
        <v>1405</v>
      </c>
      <c r="C42" s="13" t="s">
        <v>1397</v>
      </c>
      <c r="D42" s="13"/>
      <c r="E42" s="13" t="s">
        <v>109</v>
      </c>
      <c r="F42" s="33" t="str" cm="1">
        <f t="array" aca="1" ref="F42" ca="1">LookupNames(SanitizeInput($E42),'Attack Steps'!$A:$B)</f>
        <v>AS3 Compromising the product using a software vulnerability</v>
      </c>
      <c r="G42" s="23" t="s">
        <v>1217</v>
      </c>
      <c r="H42" s="33" t="str" cm="1">
        <f t="array" aca="1" ref="H42" ca="1">RemoveDelimiter(GetValuesWithFallback(SanitizeInput($G42),$A:$B,Assumptions!$A:$B," ",","&amp;CHAR(10),TRUE),","&amp;CHAR(10))</f>
        <v>C14 CR 3.4 – Software and information integrity,
C15 CR 3.5 – Input validation,
C25 SAR 3.2 / EDR 3.2 / HDR 3.2 / NDR 3.2 – Protection from malicious code,
C27 EDR 3.10 / HDR 3.10 / NDR 3.10 – Support for updates</v>
      </c>
      <c r="I42" s="23"/>
      <c r="J42" s="37" t="str" cm="1">
        <f t="array" ref="J42">IF($I42="","",SUBSTITUTE(SUBSTITUTE(SUBSTITUTE(SUBSTITUTE(SUBSTITUTE(SUBSTITUTE(SUBSTITUTE(SUBSTITUTE(SUBSTITUTE(
GetTransformation(SanitizeInput($I42),'Damage Scenarios'!$A:$J,COLUMNS('Damage Scenarios'!$A:$J),CHAR(10),"[#0][#1][#2]")&amp;"§",
"[#1][#2]",""),
"[#2]",""),
"[#0][#1]","[#1]"),
"[#0]","Removes:"&amp;CHAR(10)),
"[#1]","Transforms:"&amp;CHAR(10)),
CHAR(10)&amp;"§",""),
"§",""),
CHAR(10),CHAR(10)&amp;"   "),
"   "&amp;"Transforms:","Transforms:"))</f>
        <v/>
      </c>
      <c r="K42" s="13" t="s">
        <v>135</v>
      </c>
      <c r="L42" s="13" t="s">
        <v>142</v>
      </c>
      <c r="M42" s="13" t="s">
        <v>145</v>
      </c>
      <c r="N42" s="13"/>
      <c r="O42" s="13"/>
      <c r="P42" s="33" t="str">
        <f ca="1">IF($A42="","",IFERROR(VLOOKUP($AD42,Definitions!$V:$W,COLUMNS(Definitions!$V:$W),TRUE),""))</f>
        <v>High</v>
      </c>
      <c r="Q42" s="23" t="s">
        <v>1631</v>
      </c>
      <c r="R42" s="23"/>
      <c r="S42" s="13" t="s">
        <v>1398</v>
      </c>
      <c r="T42" s="10" cm="1">
        <f t="array" ref="T42">IF(ROW()=ROW($T$2)+1,0,INDEX($T:$T,ROW()-1))+IF($A42="",0,1)</f>
        <v>40</v>
      </c>
      <c r="U42" s="20" t="b" cm="1">
        <f t="array" aca="1" ref="U42" ca="1">CheckRelevance(SanitizeInput(E42),Questionnaire!$I:$I)</f>
        <v>0</v>
      </c>
      <c r="V42" s="20" t="b">
        <f>IFERROR(_xlfn.XMATCH("*,"&amp;$A42&amp;",*",Mitigation!$X:$X,2)&gt;0,FALSE)</f>
        <v>0</v>
      </c>
      <c r="W42" s="20" cm="1">
        <f t="array" ref="W42">CreateTaskID($W$2,$W:$W,Tasks!$B$17,$S42)</f>
        <v>1</v>
      </c>
      <c r="X42" s="20" t="str" cm="1">
        <f t="array" ref="X42">IF($E42="","",","&amp;SanitizeInput($E42))</f>
        <v>,AS3,</v>
      </c>
      <c r="Y42" s="20">
        <f>IF(K42="",0,VLOOKUP(K42,Definitions!$Z:$AA,COLUMNS(Definitions!$Z:$AA),FALSE))</f>
        <v>10</v>
      </c>
      <c r="Z42" s="20">
        <f>IF(L42="",0,VLOOKUP(L42,Definitions!$Z:$AA,COLUMNS(Definitions!$Z:$AA),FALSE))</f>
        <v>8</v>
      </c>
      <c r="AA42" s="20">
        <f>IF(M42="",0,VLOOKUP(M42,Definitions!$Z:$AA,COLUMNS(Definitions!$Z:$AA),FALSE))</f>
        <v>3</v>
      </c>
      <c r="AB42" s="20">
        <f>IF(N42="",0,VLOOKUP(N42,Definitions!$Z:$AA,COLUMNS(Definitions!$Z:$AA),FALSE))</f>
        <v>0</v>
      </c>
      <c r="AC42" s="20">
        <f>IF(O42="",0,VLOOKUP(O42,Definitions!$Z:$AA,COLUMNS(Definitions!$Z:$AA),FALSE))</f>
        <v>0</v>
      </c>
      <c r="AD42" s="20">
        <f t="shared" ca="1" si="3"/>
        <v>21</v>
      </c>
      <c r="AE42" s="20" t="str" cm="1">
        <f t="array" ref="AE42">IF($G42="","",","&amp;SanitizeInput($G42))</f>
        <v>,C14,C15,C25,C27,</v>
      </c>
      <c r="AF42" s="20" t="b" cm="1">
        <f t="array" aca="1" ref="AF42" ca="1">OR($AK42,_xlfn.LAMBDA(_xlpm._ownID,_xlpm._searchHeader,_xlpm._resultHeader,_xlpm._elementCount,_xlpm._delimiter,_xlpm._activeInTreatmentRange,_xlpm._activeByAnswersRange,_xlpm._dependencies,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InverseLookup(_xlpm._ownID,_xlpm._searchHeader,_xlpm._resultHeader,1,_xlpm._elementCount,_xlpm._delimiter))))))($A42,$AE$2,$A$2,Helper!$B$4,",",$A:$V,$A:$AK,InverseLookup($A42,$AE$2,$A$2,1,Helper!$B$4,",")))</f>
        <v>0</v>
      </c>
      <c r="AG42" s="20" t="str" cm="1">
        <f t="array" aca="1" ref="AG42" ca="1">IF(OR($V42,$AF42,$AK42),IF($G42="","",","&amp;SanitizeInput($G42)),"")</f>
        <v/>
      </c>
      <c r="AH42" s="20" t="str" cm="1">
        <f t="array" ref="AH42">SUBSTITUTE(IF($V42,IF($I42="","",","&amp;SanitizeInput($I42)),""),"&gt;",",")</f>
        <v/>
      </c>
      <c r="AI42" s="20" cm="1">
        <f t="array" aca="1" ref="AI42" ca="1">IF(ROW()=ROW($AI$2)+1,0,INDEX($AI:$AI,ROW()-1))+IF($AF42,1,0)</f>
        <v>6</v>
      </c>
      <c r="AJ42" s="20" t="str" cm="1">
        <f t="array" aca="1" ref="AJ42" ca="1">IF($AF42,IF($Q42="","",","&amp;SanitizeInput($Q42)),"")</f>
        <v/>
      </c>
      <c r="AK42" s="20" t="b">
        <f>OR(CheckRelevance(SanitizeInput($D42),Questionnaire!$I:$I),CheckRelevance(SanitizeInput($D42),Questionnaire!$J:$J))</f>
        <v>0</v>
      </c>
      <c r="AL42" s="20" t="str" cm="1">
        <f t="array" ref="AL4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FilterPreconditionCandidates(RemoveFirstElement(_xlpm._preconditionCandidates),_xlpm._searchColumn,_xlpm._delimiter))))(SanitizeInput($D42),Questionnaire!$AA:$AA,",")</f>
        <v/>
      </c>
      <c r="AM42" s="20" t="str" cm="1">
        <f t="array" ref="AM42">IF($D42="*","",InverseLookupList($AL42,Questionnaire!$AA$3,Questionnaire!$A$3,Helper!$B$12,","))</f>
        <v/>
      </c>
      <c r="AN42" s="20" t="str" cm="1">
        <f t="array" ref="AN42">RemoveDelimiter(GetValues($AM42,Questionnaire!$A:$G," ",CHAR(10)&amp;CHAR(10),TRUE),CHAR(10)&amp;CHAR(10))</f>
        <v/>
      </c>
      <c r="AO42" s="20" t="str" cm="1">
        <f t="array" ref="AO42">CreateSearchString($AM42)</f>
        <v/>
      </c>
      <c r="AP42" s="20" t="str" cm="1">
        <f t="array" aca="1" ref="AP42" ca="1">InverseLookup($A42,Mitigation!$AD$2,Mitigation!$A$2,1,Helper!$B$5,",")</f>
        <v/>
      </c>
      <c r="AQ42" s="20" t="str" cm="1">
        <f t="array" aca="1" ref="AQ42" ca="1">CreateSearchString(GetValues($AP42,'Attack Steps'!$A:$O,"",",",FALSE))</f>
        <v/>
      </c>
      <c r="AR42" s="20" t="str">
        <f t="shared" si="2"/>
        <v>CM2b</v>
      </c>
    </row>
    <row r="43" spans="1:44" ht="60" x14ac:dyDescent="0.25">
      <c r="A43" s="10" t="s">
        <v>756</v>
      </c>
      <c r="B43" s="13" t="s">
        <v>1510</v>
      </c>
      <c r="C43" s="13" t="s">
        <v>1511</v>
      </c>
      <c r="D43" s="13"/>
      <c r="E43" s="13" t="s">
        <v>948</v>
      </c>
      <c r="F43" s="33" t="str" cm="1">
        <f t="array" aca="1" ref="F43" ca="1">LookupNames(SanitizeInput($E43),'Attack Steps'!$A:$B)</f>
        <v>AS32 Extracting or misusing &lt;OEM name&gt; IP</v>
      </c>
      <c r="G43" s="23"/>
      <c r="H43" s="33" t="str" cm="1">
        <f t="array" ref="H43">RemoveDelimiter(GetValuesWithFallback(SanitizeInput($G43),$A:$B,Assumptions!$A:$B," ",","&amp;CHAR(10),TRUE),","&amp;CHAR(10))</f>
        <v/>
      </c>
      <c r="I43" s="23"/>
      <c r="J43" s="37" t="str" cm="1">
        <f t="array" ref="J43">IF($I43="","",SUBSTITUTE(SUBSTITUTE(SUBSTITUTE(SUBSTITUTE(SUBSTITUTE(SUBSTITUTE(SUBSTITUTE(SUBSTITUTE(SUBSTITUTE(
GetTransformation(SanitizeInput($I43),'Damage Scenarios'!$A:$J,COLUMNS('Damage Scenarios'!$A:$J),CHAR(10),"[#0][#1][#2]")&amp;"§",
"[#1][#2]",""),
"[#2]",""),
"[#0][#1]","[#1]"),
"[#0]","Removes:"&amp;CHAR(10)),
"[#1]","Transforms:"&amp;CHAR(10)),
CHAR(10)&amp;"§",""),
"§",""),
CHAR(10),CHAR(10)&amp;"   "),
"   "&amp;"Transforms:","Transforms:"))</f>
        <v/>
      </c>
      <c r="K43" s="13" t="s">
        <v>134</v>
      </c>
      <c r="L43" s="13" t="s">
        <v>141</v>
      </c>
      <c r="M43" s="13"/>
      <c r="N43" s="13"/>
      <c r="O43" s="13"/>
      <c r="P43" s="33" t="str">
        <f ca="1">IF($A43="","",IFERROR(VLOOKUP($AD43,Definitions!$V:$W,COLUMNS(Definitions!$V:$W),TRUE),""))</f>
        <v>Enhanced-Basic</v>
      </c>
      <c r="Q43" s="23" t="s">
        <v>608</v>
      </c>
      <c r="R43" s="23"/>
      <c r="S43" s="13" t="s">
        <v>1032</v>
      </c>
      <c r="T43" s="10" cm="1">
        <f t="array" ref="T43">IF(ROW()=ROW($T$2)+1,0,INDEX($T:$T,ROW()-1))+IF($A43="",0,1)</f>
        <v>41</v>
      </c>
      <c r="U43" s="20" t="b" cm="1">
        <f t="array" aca="1" ref="U43" ca="1">CheckRelevance(SanitizeInput(E43),Questionnaire!$I:$I)</f>
        <v>0</v>
      </c>
      <c r="V43" s="20" t="b">
        <f>IFERROR(_xlfn.XMATCH("*,"&amp;$A43&amp;",*",Mitigation!$X:$X,2)&gt;0,FALSE)</f>
        <v>0</v>
      </c>
      <c r="W43" s="20" cm="1">
        <f t="array" ref="W43">CreateTaskID($W$2,$W:$W,Tasks!$B$17,$S43)</f>
        <v>1</v>
      </c>
      <c r="X43" s="20" t="str" cm="1">
        <f t="array" ref="X43">IF($E43="","",","&amp;SanitizeInput($E43))</f>
        <v>,AS32,</v>
      </c>
      <c r="Y43" s="20">
        <f>IF(K43="",0,VLOOKUP(K43,Definitions!$Z:$AA,COLUMNS(Definitions!$Z:$AA),FALSE))</f>
        <v>4</v>
      </c>
      <c r="Z43" s="20">
        <f>IF(L43="",0,VLOOKUP(L43,Definitions!$Z:$AA,COLUMNS(Definitions!$Z:$AA),FALSE))</f>
        <v>6</v>
      </c>
      <c r="AA43" s="20">
        <f>IF(M43="",0,VLOOKUP(M43,Definitions!$Z:$AA,COLUMNS(Definitions!$Z:$AA),FALSE))</f>
        <v>0</v>
      </c>
      <c r="AB43" s="20">
        <f>IF(N43="",0,VLOOKUP(N43,Definitions!$Z:$AA,COLUMNS(Definitions!$Z:$AA),FALSE))</f>
        <v>0</v>
      </c>
      <c r="AC43" s="20">
        <f>IF(O43="",0,VLOOKUP(O43,Definitions!$Z:$AA,COLUMNS(Definitions!$Z:$AA),FALSE))</f>
        <v>0</v>
      </c>
      <c r="AD43" s="20">
        <f t="shared" ca="1" si="3"/>
        <v>10</v>
      </c>
      <c r="AE43" s="20" t="str" cm="1">
        <f t="array" ref="AE43">IF($G43="","",","&amp;SanitizeInput($G43))</f>
        <v/>
      </c>
      <c r="AF43" s="20" t="b" cm="1">
        <f t="array" aca="1" ref="AF43" ca="1">OR($AK43,_xlfn.LAMBDA(_xlpm._ownID,_xlpm._searchHeader,_xlpm._resultHeader,_xlpm._elementCount,_xlpm._delimiter,_xlpm._activeInTreatmentRange,_xlpm._activeByAnswersRange,_xlpm._dependencies,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InverseLookup(_xlpm._ownID,_xlpm._searchHeader,_xlpm._resultHeader,1,_xlpm._elementCount,_xlpm._delimiter))))))($A43,$AE$2,$A$2,Helper!$B$4,",",$A:$V,$A:$AK,InverseLookup($A43,$AE$2,$A$2,1,Helper!$B$4,",")))</f>
        <v>0</v>
      </c>
      <c r="AG43" s="20" t="str" cm="1">
        <f t="array" aca="1" ref="AG43" ca="1">IF(OR($V43,$AF43,$AK43),IF($G43="","",","&amp;SanitizeInput($G43)),"")</f>
        <v/>
      </c>
      <c r="AH43" s="20" t="str" cm="1">
        <f t="array" ref="AH43">SUBSTITUTE(IF($V43,IF($I43="","",","&amp;SanitizeInput($I43)),""),"&gt;",",")</f>
        <v/>
      </c>
      <c r="AI43" s="20" cm="1">
        <f t="array" aca="1" ref="AI43" ca="1">IF(ROW()=ROW($AI$2)+1,0,INDEX($AI:$AI,ROW()-1))+IF($AF43,1,0)</f>
        <v>6</v>
      </c>
      <c r="AJ43" s="20" t="str" cm="1">
        <f t="array" aca="1" ref="AJ43" ca="1">IF($AF43,IF($Q43="","",","&amp;SanitizeInput($Q43)),"")</f>
        <v/>
      </c>
      <c r="AK43" s="20" t="b">
        <f>OR(CheckRelevance(SanitizeInput($D43),Questionnaire!$I:$I),CheckRelevance(SanitizeInput($D43),Questionnaire!$J:$J))</f>
        <v>0</v>
      </c>
      <c r="AL43" s="20" t="str" cm="1">
        <f t="array" ref="AL4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FilterPreconditionCandidates(RemoveFirstElement(_xlpm._preconditionCandidates),_xlpm._searchColumn,_xlpm._delimiter))))(SanitizeInput($D43),Questionnaire!$AA:$AA,",")</f>
        <v/>
      </c>
      <c r="AM43" s="20" t="str" cm="1">
        <f t="array" ref="AM43">IF($D43="*","",InverseLookupList($AL43,Questionnaire!$AA$3,Questionnaire!$A$3,Helper!$B$12,","))</f>
        <v/>
      </c>
      <c r="AN43" s="20" t="str" cm="1">
        <f t="array" ref="AN43">RemoveDelimiter(GetValues($AM43,Questionnaire!$A:$G," ",CHAR(10)&amp;CHAR(10),TRUE),CHAR(10)&amp;CHAR(10))</f>
        <v/>
      </c>
      <c r="AO43" s="20" t="str" cm="1">
        <f t="array" ref="AO43">CreateSearchString($AM43)</f>
        <v/>
      </c>
      <c r="AP43" s="20" t="str" cm="1">
        <f t="array" aca="1" ref="AP43" ca="1">InverseLookup($A43,Mitigation!$AD$2,Mitigation!$A$2,1,Helper!$B$5,",")</f>
        <v/>
      </c>
      <c r="AQ43" s="20" t="str" cm="1">
        <f t="array" aca="1" ref="AQ43" ca="1">CreateSearchString(GetValues($AP43,'Attack Steps'!$A:$O,"",",",FALSE))</f>
        <v/>
      </c>
      <c r="AR43" s="20" t="str">
        <f t="shared" si="2"/>
        <v>CM3</v>
      </c>
    </row>
    <row r="44" spans="1:44" ht="210" x14ac:dyDescent="0.25">
      <c r="A44" s="10" t="s">
        <v>757</v>
      </c>
      <c r="B44" s="13" t="s">
        <v>1496</v>
      </c>
      <c r="C44" s="13" t="s">
        <v>1497</v>
      </c>
      <c r="D44" s="13"/>
      <c r="E44" s="13" t="s">
        <v>1666</v>
      </c>
      <c r="F44" s="33" t="str" cm="1">
        <f t="array" aca="1" ref="F44" ca="1">LookupNames(SanitizeInput($E44),'Attack Steps'!$A:$B)</f>
        <v>AS24 Data extraction from the product's persistent memory,
AS30 Extracting information from a decommissioned or second-hand device's persistent memory</v>
      </c>
      <c r="G44" s="23" t="s">
        <v>751</v>
      </c>
      <c r="H44" s="33" t="str" cm="1">
        <f t="array" aca="1" ref="H44" ca="1">RemoveDelimiter(GetValuesWithFallback(SanitizeInput($G44),$A:$B,Assumptions!$A:$B," ",","&amp;CHAR(10),TRUE),","&amp;CHAR(10))</f>
        <v>C29 CR 4.1 – Information confidentiality</v>
      </c>
      <c r="I44" s="23"/>
      <c r="J44" s="37" t="str" cm="1">
        <f t="array" ref="J44">IF($I44="","",SUBSTITUTE(SUBSTITUTE(SUBSTITUTE(SUBSTITUTE(SUBSTITUTE(SUBSTITUTE(SUBSTITUTE(SUBSTITUTE(SUBSTITUTE(
GetTransformation(SanitizeInput($I44),'Damage Scenarios'!$A:$J,COLUMNS('Damage Scenarios'!$A:$J),CHAR(10),"[#0][#1][#2]")&amp;"§",
"[#1][#2]",""),
"[#2]",""),
"[#0][#1]","[#1]"),
"[#0]","Removes:"&amp;CHAR(10)),
"[#1]","Transforms:"&amp;CHAR(10)),
CHAR(10)&amp;"§",""),
"§",""),
CHAR(10),CHAR(10)&amp;"   "),
"   "&amp;"Transforms:","Transforms:"))</f>
        <v/>
      </c>
      <c r="K44" s="13"/>
      <c r="L44" s="13"/>
      <c r="M44" s="13"/>
      <c r="N44" s="13" t="s">
        <v>151</v>
      </c>
      <c r="O44" s="13"/>
      <c r="P44" s="33" t="str">
        <f ca="1">IF($A44="","",IFERROR(VLOOKUP($AD44,Definitions!$V:$W,COLUMNS(Definitions!$V:$W),TRUE),""))</f>
        <v>Beyond High</v>
      </c>
      <c r="Q44" s="23" t="s">
        <v>608</v>
      </c>
      <c r="R44" s="23"/>
      <c r="S44" s="13" t="s">
        <v>1495</v>
      </c>
      <c r="T44" s="10" cm="1">
        <f t="array" ref="T44">IF(ROW()=ROW($T$2)+1,0,INDEX($T:$T,ROW()-1))+IF($A44="",0,1)</f>
        <v>42</v>
      </c>
      <c r="U44" s="20" t="b" cm="1">
        <f t="array" aca="1" ref="U44" ca="1">CheckRelevance(SanitizeInput(E44),Questionnaire!$I:$I)</f>
        <v>0</v>
      </c>
      <c r="V44" s="20" t="b">
        <f>IFERROR(_xlfn.XMATCH("*,"&amp;$A44&amp;",*",Mitigation!$X:$X,2)&gt;0,FALSE)</f>
        <v>0</v>
      </c>
      <c r="W44" s="20" cm="1">
        <f t="array" ref="W44">CreateTaskID($W$2,$W:$W,Tasks!$B$17,$S44)</f>
        <v>1</v>
      </c>
      <c r="X44" s="20" t="str" cm="1">
        <f t="array" ref="X44">IF($E44="","",","&amp;SanitizeInput($E44))</f>
        <v>,AS24,AS30,</v>
      </c>
      <c r="Y44" s="20">
        <f>IF(K44="",0,VLOOKUP(K44,Definitions!$Z:$AA,COLUMNS(Definitions!$Z:$AA),FALSE))</f>
        <v>0</v>
      </c>
      <c r="Z44" s="20">
        <f>IF(L44="",0,VLOOKUP(L44,Definitions!$Z:$AA,COLUMNS(Definitions!$Z:$AA),FALSE))</f>
        <v>0</v>
      </c>
      <c r="AA44" s="20">
        <f>IF(M44="",0,VLOOKUP(M44,Definitions!$Z:$AA,COLUMNS(Definitions!$Z:$AA),FALSE))</f>
        <v>0</v>
      </c>
      <c r="AB44" s="20">
        <f>IF(N44="",0,VLOOKUP(N44,Definitions!$Z:$AA,COLUMNS(Definitions!$Z:$AA),FALSE))</f>
        <v>25</v>
      </c>
      <c r="AC44" s="20">
        <f>IF(O44="",0,VLOOKUP(O44,Definitions!$Z:$AA,COLUMNS(Definitions!$Z:$AA),FALSE))</f>
        <v>0</v>
      </c>
      <c r="AD44" s="20">
        <f t="shared" ca="1" si="3"/>
        <v>25</v>
      </c>
      <c r="AE44" s="20" t="str" cm="1">
        <f t="array" ref="AE44">IF($G44="","",","&amp;SanitizeInput($G44))</f>
        <v>,C29,</v>
      </c>
      <c r="AF44" s="20" t="b" cm="1">
        <f t="array" aca="1" ref="AF44" ca="1">OR($AK44,_xlfn.LAMBDA(_xlpm._ownID,_xlpm._searchHeader,_xlpm._resultHeader,_xlpm._elementCount,_xlpm._delimiter,_xlpm._activeInTreatmentRange,_xlpm._activeByAnswersRange,_xlpm._dependencies,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InverseLookup(_xlpm._ownID,_xlpm._searchHeader,_xlpm._resultHeader,1,_xlpm._elementCount,_xlpm._delimiter))))))($A44,$AE$2,$A$2,Helper!$B$4,",",$A:$V,$A:$AK,InverseLookup($A44,$AE$2,$A$2,1,Helper!$B$4,",")))</f>
        <v>0</v>
      </c>
      <c r="AG44" s="20" t="str" cm="1">
        <f t="array" aca="1" ref="AG44" ca="1">IF(OR($V44,$AF44,$AK44),IF($G44="","",","&amp;SanitizeInput($G44)),"")</f>
        <v/>
      </c>
      <c r="AH44" s="20" t="str" cm="1">
        <f t="array" ref="AH44">SUBSTITUTE(IF($V44,IF($I44="","",","&amp;SanitizeInput($I44)),""),"&gt;",",")</f>
        <v/>
      </c>
      <c r="AI44" s="20" cm="1">
        <f t="array" aca="1" ref="AI44" ca="1">IF(ROW()=ROW($AI$2)+1,0,INDEX($AI:$AI,ROW()-1))+IF($AF44,1,0)</f>
        <v>6</v>
      </c>
      <c r="AJ44" s="20" t="str" cm="1">
        <f t="array" aca="1" ref="AJ44" ca="1">IF($AF44,IF($Q44="","",","&amp;SanitizeInput($Q44)),"")</f>
        <v/>
      </c>
      <c r="AK44" s="20" t="b">
        <f>OR(CheckRelevance(SanitizeInput($D44),Questionnaire!$I:$I),CheckRelevance(SanitizeInput($D44),Questionnaire!$J:$J))</f>
        <v>0</v>
      </c>
      <c r="AL44" s="20" t="str" cm="1">
        <f t="array" ref="AL4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FilterPreconditionCandidates(RemoveFirstElement(_xlpm._preconditionCandidates),_xlpm._searchColumn,_xlpm._delimiter))))(SanitizeInput($D44),Questionnaire!$AA:$AA,",")</f>
        <v/>
      </c>
      <c r="AM44" s="20" t="str" cm="1">
        <f t="array" ref="AM44">IF($D44="*","",InverseLookupList($AL44,Questionnaire!$AA$3,Questionnaire!$A$3,Helper!$B$12,","))</f>
        <v/>
      </c>
      <c r="AN44" s="20" t="str" cm="1">
        <f t="array" ref="AN44">RemoveDelimiter(GetValues($AM44,Questionnaire!$A:$G," ",CHAR(10)&amp;CHAR(10),TRUE),CHAR(10)&amp;CHAR(10))</f>
        <v/>
      </c>
      <c r="AO44" s="20" t="str" cm="1">
        <f t="array" ref="AO44">CreateSearchString($AM44)</f>
        <v/>
      </c>
      <c r="AP44" s="20" t="str" cm="1">
        <f t="array" aca="1" ref="AP44" ca="1">InverseLookup($A44,Mitigation!$AD$2,Mitigation!$A$2,1,Helper!$B$5,",")</f>
        <v/>
      </c>
      <c r="AQ44" s="20" t="str" cm="1">
        <f t="array" aca="1" ref="AQ44" ca="1">CreateSearchString(GetValues($AP44,'Attack Steps'!$A:$O,"",",",FALSE))</f>
        <v/>
      </c>
      <c r="AR44" s="20" t="str">
        <f t="shared" si="2"/>
        <v>CM4</v>
      </c>
    </row>
    <row r="45" spans="1:44" ht="150" x14ac:dyDescent="0.25">
      <c r="A45" s="10" t="s">
        <v>758</v>
      </c>
      <c r="B45" s="13" t="s">
        <v>1498</v>
      </c>
      <c r="C45" s="13" t="s">
        <v>1499</v>
      </c>
      <c r="D45" s="13"/>
      <c r="E45" s="13" t="s">
        <v>203</v>
      </c>
      <c r="F45" s="33" t="str" cm="1">
        <f t="array" aca="1" ref="F45" ca="1">LookupNames(SanitizeInput($E45),'Attack Steps'!$A:$B)</f>
        <v>AS16 Manipulating the product's configuration via its configuration interface</v>
      </c>
      <c r="G45" s="23" t="s">
        <v>970</v>
      </c>
      <c r="H45" s="33" t="str" cm="1">
        <f t="array" aca="1" ref="H45" ca="1">RemoveDelimiter(GetValuesWithFallback(SanitizeInput($G45),$A:$B,Assumptions!$A:$B," ",","&amp;CHAR(10),TRUE),","&amp;CHAR(10))</f>
        <v>C4 CR 1.1 – Human user identification and authentication,
A19 SDR 1.15 – Password security</v>
      </c>
      <c r="I45" s="23"/>
      <c r="J45" s="37" t="str" cm="1">
        <f t="array" ref="J45">IF($I45="","",SUBSTITUTE(SUBSTITUTE(SUBSTITUTE(SUBSTITUTE(SUBSTITUTE(SUBSTITUTE(SUBSTITUTE(SUBSTITUTE(SUBSTITUTE(
GetTransformation(SanitizeInput($I45),'Damage Scenarios'!$A:$J,COLUMNS('Damage Scenarios'!$A:$J),CHAR(10),"[#0][#1][#2]")&amp;"§",
"[#1][#2]",""),
"[#2]",""),
"[#0][#1]","[#1]"),
"[#0]","Removes:"&amp;CHAR(10)),
"[#1]","Transforms:"&amp;CHAR(10)),
CHAR(10)&amp;"§",""),
"§",""),
CHAR(10),CHAR(10)&amp;"   "),
"   "&amp;"Transforms:","Transforms:"))</f>
        <v/>
      </c>
      <c r="K45" s="13"/>
      <c r="L45" s="13"/>
      <c r="M45" s="13"/>
      <c r="N45" s="13" t="s">
        <v>151</v>
      </c>
      <c r="O45" s="13"/>
      <c r="P45" s="33" t="str">
        <f ca="1">IF($A45="","",IFERROR(VLOOKUP($AD45,Definitions!$V:$W,COLUMNS(Definitions!$V:$W),TRUE),""))</f>
        <v>Beyond High</v>
      </c>
      <c r="Q45" s="23" t="s">
        <v>607</v>
      </c>
      <c r="R45" s="23"/>
      <c r="S45" s="13" t="s">
        <v>1033</v>
      </c>
      <c r="T45" s="10" cm="1">
        <f t="array" ref="T45">IF(ROW()=ROW($T$2)+1,0,INDEX($T:$T,ROW()-1))+IF($A45="",0,1)</f>
        <v>43</v>
      </c>
      <c r="U45" s="20" t="b" cm="1">
        <f t="array" aca="1" ref="U45" ca="1">CheckRelevance(SanitizeInput(E45),Questionnaire!$I:$I)</f>
        <v>0</v>
      </c>
      <c r="V45" s="20" t="b">
        <f>IFERROR(_xlfn.XMATCH("*,"&amp;$A45&amp;",*",Mitigation!$X:$X,2)&gt;0,FALSE)</f>
        <v>0</v>
      </c>
      <c r="W45" s="20" cm="1">
        <f t="array" ref="W45">CreateTaskID($W$2,$W:$W,Tasks!$B$17,$S45)</f>
        <v>1</v>
      </c>
      <c r="X45" s="20" t="str" cm="1">
        <f t="array" ref="X45">IF($E45="","",","&amp;SanitizeInput($E45))</f>
        <v>,AS16,</v>
      </c>
      <c r="Y45" s="20">
        <f>IF(K45="",0,VLOOKUP(K45,Definitions!$Z:$AA,COLUMNS(Definitions!$Z:$AA),FALSE))</f>
        <v>0</v>
      </c>
      <c r="Z45" s="20">
        <f>IF(L45="",0,VLOOKUP(L45,Definitions!$Z:$AA,COLUMNS(Definitions!$Z:$AA),FALSE))</f>
        <v>0</v>
      </c>
      <c r="AA45" s="20">
        <f>IF(M45="",0,VLOOKUP(M45,Definitions!$Z:$AA,COLUMNS(Definitions!$Z:$AA),FALSE))</f>
        <v>0</v>
      </c>
      <c r="AB45" s="20">
        <f>IF(N45="",0,VLOOKUP(N45,Definitions!$Z:$AA,COLUMNS(Definitions!$Z:$AA),FALSE))</f>
        <v>25</v>
      </c>
      <c r="AC45" s="20">
        <f>IF(O45="",0,VLOOKUP(O45,Definitions!$Z:$AA,COLUMNS(Definitions!$Z:$AA),FALSE))</f>
        <v>0</v>
      </c>
      <c r="AD45" s="20">
        <f t="shared" ca="1" si="3"/>
        <v>25</v>
      </c>
      <c r="AE45" s="20" t="str" cm="1">
        <f t="array" ref="AE45">IF($G45="","",","&amp;SanitizeInput($G45))</f>
        <v>,C4,A19,</v>
      </c>
      <c r="AF45" s="20" t="b" cm="1">
        <f t="array" aca="1" ref="AF45" ca="1">OR($AK45,_xlfn.LAMBDA(_xlpm._ownID,_xlpm._searchHeader,_xlpm._resultHeader,_xlpm._elementCount,_xlpm._delimiter,_xlpm._activeInTreatmentRange,_xlpm._activeByAnswersRange,_xlpm._dependencies,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InverseLookup(_xlpm._ownID,_xlpm._searchHeader,_xlpm._resultHeader,1,_xlpm._elementCount,_xlpm._delimiter))))))($A45,$AE$2,$A$2,Helper!$B$4,",",$A:$V,$A:$AK,InverseLookup($A45,$AE$2,$A$2,1,Helper!$B$4,",")))</f>
        <v>0</v>
      </c>
      <c r="AG45" s="20" t="str" cm="1">
        <f t="array" aca="1" ref="AG45" ca="1">IF(OR($V45,$AF45,$AK45),IF($G45="","",","&amp;SanitizeInput($G45)),"")</f>
        <v/>
      </c>
      <c r="AH45" s="20" t="str" cm="1">
        <f t="array" ref="AH45">SUBSTITUTE(IF($V45,IF($I45="","",","&amp;SanitizeInput($I45)),""),"&gt;",",")</f>
        <v/>
      </c>
      <c r="AI45" s="20" cm="1">
        <f t="array" aca="1" ref="AI45" ca="1">IF(ROW()=ROW($AI$2)+1,0,INDEX($AI:$AI,ROW()-1))+IF($AF45,1,0)</f>
        <v>6</v>
      </c>
      <c r="AJ45" s="20" t="str" cm="1">
        <f t="array" aca="1" ref="AJ45" ca="1">IF($AF45,IF($Q45="","",","&amp;SanitizeInput($Q45)),"")</f>
        <v/>
      </c>
      <c r="AK45" s="20" t="b">
        <f>OR(CheckRelevance(SanitizeInput($D45),Questionnaire!$I:$I),CheckRelevance(SanitizeInput($D45),Questionnaire!$J:$J))</f>
        <v>0</v>
      </c>
      <c r="AL45" s="20" t="str" cm="1">
        <f t="array" ref="AL4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FilterPreconditionCandidates(RemoveFirstElement(_xlpm._preconditionCandidates),_xlpm._searchColumn,_xlpm._delimiter))))(SanitizeInput($D45),Questionnaire!$AA:$AA,",")</f>
        <v/>
      </c>
      <c r="AM45" s="20" t="str" cm="1">
        <f t="array" ref="AM45">IF($D45="*","",InverseLookupList($AL45,Questionnaire!$AA$3,Questionnaire!$A$3,Helper!$B$12,","))</f>
        <v/>
      </c>
      <c r="AN45" s="20" t="str" cm="1">
        <f t="array" ref="AN45">RemoveDelimiter(GetValues($AM45,Questionnaire!$A:$G," ",CHAR(10)&amp;CHAR(10),TRUE),CHAR(10)&amp;CHAR(10))</f>
        <v/>
      </c>
      <c r="AO45" s="20" t="str" cm="1">
        <f t="array" ref="AO45">CreateSearchString($AM45)</f>
        <v/>
      </c>
      <c r="AP45" s="20" t="str" cm="1">
        <f t="array" aca="1" ref="AP45" ca="1">InverseLookup($A45,Mitigation!$AD$2,Mitigation!$A$2,1,Helper!$B$5,",")</f>
        <v/>
      </c>
      <c r="AQ45" s="20" t="str" cm="1">
        <f t="array" aca="1" ref="AQ45" ca="1">CreateSearchString(GetValues($AP45,'Attack Steps'!$A:$O,"",",",FALSE))</f>
        <v/>
      </c>
      <c r="AR45" s="20" t="str">
        <f t="shared" si="2"/>
        <v>CM5</v>
      </c>
    </row>
    <row r="46" spans="1:44" ht="210" x14ac:dyDescent="0.25">
      <c r="A46" s="10" t="s">
        <v>759</v>
      </c>
      <c r="B46" s="13" t="s">
        <v>1500</v>
      </c>
      <c r="C46" s="13" t="s">
        <v>1501</v>
      </c>
      <c r="D46" s="13"/>
      <c r="E46" s="13" t="s">
        <v>203</v>
      </c>
      <c r="F46" s="33" t="str" cm="1">
        <f t="array" aca="1" ref="F46" ca="1">LookupNames(SanitizeInput($E46),'Attack Steps'!$A:$B)</f>
        <v>AS16 Manipulating the product's configuration via its configuration interface</v>
      </c>
      <c r="G46" s="23" t="s">
        <v>1011</v>
      </c>
      <c r="H46" s="33" t="str" cm="1">
        <f t="array" aca="1" ref="H46" ca="1">RemoveDelimiter(GetValuesWithFallback(SanitizeInput($G46),$A:$B,Assumptions!$A:$B," ",","&amp;CHAR(10),TRUE),","&amp;CHAR(10))</f>
        <v>C4 CR 1.1 – Human user identification and authentication,
C18 CR 4.3 – Use of cryptography</v>
      </c>
      <c r="I46" s="23"/>
      <c r="J46" s="37" t="str" cm="1">
        <f t="array" ref="J46">IF($I46="","",SUBSTITUTE(SUBSTITUTE(SUBSTITUTE(SUBSTITUTE(SUBSTITUTE(SUBSTITUTE(SUBSTITUTE(SUBSTITUTE(SUBSTITUTE(
GetTransformation(SanitizeInput($I46),'Damage Scenarios'!$A:$J,COLUMNS('Damage Scenarios'!$A:$J),CHAR(10),"[#0][#1][#2]")&amp;"§",
"[#1][#2]",""),
"[#2]",""),
"[#0][#1]","[#1]"),
"[#0]","Removes:"&amp;CHAR(10)),
"[#1]","Transforms:"&amp;CHAR(10)),
CHAR(10)&amp;"§",""),
"§",""),
CHAR(10),CHAR(10)&amp;"   "),
"   "&amp;"Transforms:","Transforms:"))</f>
        <v/>
      </c>
      <c r="K46" s="13"/>
      <c r="L46" s="13"/>
      <c r="M46" s="13"/>
      <c r="N46" s="13" t="s">
        <v>151</v>
      </c>
      <c r="O46" s="13"/>
      <c r="P46" s="33" t="str">
        <f ca="1">IF($A46="","",IFERROR(VLOOKUP($AD46,Definitions!$V:$W,COLUMNS(Definitions!$V:$W),TRUE),""))</f>
        <v>Beyond High</v>
      </c>
      <c r="Q46" s="23" t="s">
        <v>607</v>
      </c>
      <c r="R46" s="23"/>
      <c r="S46" s="13" t="s">
        <v>1034</v>
      </c>
      <c r="T46" s="10" cm="1">
        <f t="array" ref="T46">IF(ROW()=ROW($T$2)+1,0,INDEX($T:$T,ROW()-1))+IF($A46="",0,1)</f>
        <v>44</v>
      </c>
      <c r="U46" s="20" t="b" cm="1">
        <f t="array" aca="1" ref="U46" ca="1">CheckRelevance(SanitizeInput(E46),Questionnaire!$I:$I)</f>
        <v>0</v>
      </c>
      <c r="V46" s="20" t="b">
        <f>IFERROR(_xlfn.XMATCH("*,"&amp;$A46&amp;",*",Mitigation!$X:$X,2)&gt;0,FALSE)</f>
        <v>0</v>
      </c>
      <c r="W46" s="20" cm="1">
        <f t="array" ref="W46">CreateTaskID($W$2,$W:$W,Tasks!$B$17,$S46)</f>
        <v>1</v>
      </c>
      <c r="X46" s="20" t="str" cm="1">
        <f t="array" ref="X46">IF($E46="","",","&amp;SanitizeInput($E46))</f>
        <v>,AS16,</v>
      </c>
      <c r="Y46" s="20">
        <f>IF(K46="",0,VLOOKUP(K46,Definitions!$Z:$AA,COLUMNS(Definitions!$Z:$AA),FALSE))</f>
        <v>0</v>
      </c>
      <c r="Z46" s="20">
        <f>IF(L46="",0,VLOOKUP(L46,Definitions!$Z:$AA,COLUMNS(Definitions!$Z:$AA),FALSE))</f>
        <v>0</v>
      </c>
      <c r="AA46" s="20">
        <f>IF(M46="",0,VLOOKUP(M46,Definitions!$Z:$AA,COLUMNS(Definitions!$Z:$AA),FALSE))</f>
        <v>0</v>
      </c>
      <c r="AB46" s="20">
        <f>IF(N46="",0,VLOOKUP(N46,Definitions!$Z:$AA,COLUMNS(Definitions!$Z:$AA),FALSE))</f>
        <v>25</v>
      </c>
      <c r="AC46" s="20">
        <f>IF(O46="",0,VLOOKUP(O46,Definitions!$Z:$AA,COLUMNS(Definitions!$Z:$AA),FALSE))</f>
        <v>0</v>
      </c>
      <c r="AD46" s="20">
        <f t="shared" ca="1" si="3"/>
        <v>25</v>
      </c>
      <c r="AE46" s="20" t="str" cm="1">
        <f t="array" ref="AE46">IF($G46="","",","&amp;SanitizeInput($G46))</f>
        <v>,C4,C18,</v>
      </c>
      <c r="AF46" s="20" t="b" cm="1">
        <f t="array" aca="1" ref="AF46" ca="1">OR($AK46,_xlfn.LAMBDA(_xlpm._ownID,_xlpm._searchHeader,_xlpm._resultHeader,_xlpm._elementCount,_xlpm._delimiter,_xlpm._activeInTreatmentRange,_xlpm._activeByAnswersRange,_xlpm._dependencies,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InverseLookup(_xlpm._ownID,_xlpm._searchHeader,_xlpm._resultHeader,1,_xlpm._elementCount,_xlpm._delimiter))))))($A46,$AE$2,$A$2,Helper!$B$4,",",$A:$V,$A:$AK,InverseLookup($A46,$AE$2,$A$2,1,Helper!$B$4,",")))</f>
        <v>0</v>
      </c>
      <c r="AG46" s="20" t="str" cm="1">
        <f t="array" aca="1" ref="AG46" ca="1">IF(OR($V46,$AF46,$AK46),IF($G46="","",","&amp;SanitizeInput($G46)),"")</f>
        <v/>
      </c>
      <c r="AH46" s="20" t="str" cm="1">
        <f t="array" ref="AH46">SUBSTITUTE(IF($V46,IF($I46="","",","&amp;SanitizeInput($I46)),""),"&gt;",",")</f>
        <v/>
      </c>
      <c r="AI46" s="20" cm="1">
        <f t="array" aca="1" ref="AI46" ca="1">IF(ROW()=ROW($AI$2)+1,0,INDEX($AI:$AI,ROW()-1))+IF($AF46,1,0)</f>
        <v>6</v>
      </c>
      <c r="AJ46" s="20" t="str" cm="1">
        <f t="array" aca="1" ref="AJ46" ca="1">IF($AF46,IF($Q46="","",","&amp;SanitizeInput($Q46)),"")</f>
        <v/>
      </c>
      <c r="AK46" s="20" t="b">
        <f>OR(CheckRelevance(SanitizeInput($D46),Questionnaire!$I:$I),CheckRelevance(SanitizeInput($D46),Questionnaire!$J:$J))</f>
        <v>0</v>
      </c>
      <c r="AL46" s="20" t="str" cm="1">
        <f t="array" ref="AL4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FilterPreconditionCandidates(RemoveFirstElement(_xlpm._preconditionCandidates),_xlpm._searchColumn,_xlpm._delimiter))))(SanitizeInput($D46),Questionnaire!$AA:$AA,",")</f>
        <v/>
      </c>
      <c r="AM46" s="20" t="str" cm="1">
        <f t="array" ref="AM46">IF($D46="*","",InverseLookupList($AL46,Questionnaire!$AA$3,Questionnaire!$A$3,Helper!$B$12,","))</f>
        <v/>
      </c>
      <c r="AN46" s="20" t="str" cm="1">
        <f t="array" ref="AN46">RemoveDelimiter(GetValues($AM46,Questionnaire!$A:$G," ",CHAR(10)&amp;CHAR(10),TRUE),CHAR(10)&amp;CHAR(10))</f>
        <v/>
      </c>
      <c r="AO46" s="20" t="str" cm="1">
        <f t="array" ref="AO46">CreateSearchString($AM46)</f>
        <v/>
      </c>
      <c r="AP46" s="20" t="str" cm="1">
        <f t="array" aca="1" ref="AP46" ca="1">InverseLookup($A46,Mitigation!$AD$2,Mitigation!$A$2,1,Helper!$B$5,",")</f>
        <v/>
      </c>
      <c r="AQ46" s="20" t="str" cm="1">
        <f t="array" aca="1" ref="AQ46" ca="1">CreateSearchString(GetValues($AP46,'Attack Steps'!$A:$O,"",",",FALSE))</f>
        <v/>
      </c>
      <c r="AR46" s="20" t="str">
        <f t="shared" si="2"/>
        <v>CM6</v>
      </c>
    </row>
    <row r="47" spans="1:44" ht="210" x14ac:dyDescent="0.25">
      <c r="A47" s="10" t="s">
        <v>760</v>
      </c>
      <c r="B47" s="13" t="s">
        <v>1507</v>
      </c>
      <c r="C47" s="13" t="s">
        <v>1483</v>
      </c>
      <c r="D47" s="13"/>
      <c r="E47" s="13" t="s">
        <v>335</v>
      </c>
      <c r="F47" s="33" t="str" cm="1">
        <f t="array" aca="1" ref="F47" ca="1">LookupNames(SanitizeInput($E47),'Attack Steps'!$A:$B)</f>
        <v>AS23 Compromising the product with direct access to its persistent memory</v>
      </c>
      <c r="G47" s="23"/>
      <c r="H47" s="33" t="str" cm="1">
        <f t="array" ref="H47">RemoveDelimiter(GetValuesWithFallback(SanitizeInput($G47),$A:$B,Assumptions!$A:$B," ",","&amp;CHAR(10),TRUE),","&amp;CHAR(10))</f>
        <v/>
      </c>
      <c r="I47" s="23"/>
      <c r="J47" s="37" t="str" cm="1">
        <f t="array" ref="J47">IF($I47="","",SUBSTITUTE(SUBSTITUTE(SUBSTITUTE(SUBSTITUTE(SUBSTITUTE(SUBSTITUTE(SUBSTITUTE(SUBSTITUTE(SUBSTITUTE(
GetTransformation(SanitizeInput($I47),'Damage Scenarios'!$A:$J,COLUMNS('Damage Scenarios'!$A:$J),CHAR(10),"[#0][#1][#2]")&amp;"§",
"[#1][#2]",""),
"[#2]",""),
"[#0][#1]","[#1]"),
"[#0]","Removes:"&amp;CHAR(10)),
"[#1]","Transforms:"&amp;CHAR(10)),
CHAR(10)&amp;"§",""),
"§",""),
CHAR(10),CHAR(10)&amp;"   "),
"   "&amp;"Transforms:","Transforms:"))</f>
        <v/>
      </c>
      <c r="K47" s="13" t="s">
        <v>135</v>
      </c>
      <c r="L47" s="13" t="s">
        <v>141</v>
      </c>
      <c r="M47" s="13" t="s">
        <v>144</v>
      </c>
      <c r="N47" s="13" t="s">
        <v>150</v>
      </c>
      <c r="O47" s="13" t="s">
        <v>154</v>
      </c>
      <c r="P47" s="33" t="str">
        <f ca="1">IF($A47="","",IFERROR(VLOOKUP($AD47,Definitions!$V:$W,COLUMNS(Definitions!$V:$W),TRUE),""))</f>
        <v>Beyond High</v>
      </c>
      <c r="Q47" s="23" t="s">
        <v>604</v>
      </c>
      <c r="R47" s="23"/>
      <c r="S47" s="13" t="s">
        <v>1230</v>
      </c>
      <c r="T47" s="10" cm="1">
        <f t="array" ref="T47">IF(ROW()=ROW($T$2)+1,0,INDEX($T:$T,ROW()-1))+IF($A47="",0,1)</f>
        <v>45</v>
      </c>
      <c r="U47" s="20" t="b" cm="1">
        <f t="array" aca="1" ref="U47" ca="1">CheckRelevance(SanitizeInput(E47),Questionnaire!$I:$I)</f>
        <v>0</v>
      </c>
      <c r="V47" s="20" t="b">
        <f>IFERROR(_xlfn.XMATCH("*,"&amp;$A47&amp;",*",Mitigation!$X:$X,2)&gt;0,FALSE)</f>
        <v>0</v>
      </c>
      <c r="W47" s="20" cm="1">
        <f t="array" ref="W47">CreateTaskID($W$2,$W:$W,Tasks!$B$17,$S47)</f>
        <v>1</v>
      </c>
      <c r="X47" s="20" t="str" cm="1">
        <f t="array" ref="X47">IF($E47="","",","&amp;SanitizeInput($E47))</f>
        <v>,AS23,</v>
      </c>
      <c r="Y47" s="20">
        <f>IF(K47="",0,VLOOKUP(K47,Definitions!$Z:$AA,COLUMNS(Definitions!$Z:$AA),FALSE))</f>
        <v>10</v>
      </c>
      <c r="Z47" s="20">
        <f>IF(L47="",0,VLOOKUP(L47,Definitions!$Z:$AA,COLUMNS(Definitions!$Z:$AA),FALSE))</f>
        <v>6</v>
      </c>
      <c r="AA47" s="20">
        <f>IF(M47="",0,VLOOKUP(M47,Definitions!$Z:$AA,COLUMNS(Definitions!$Z:$AA),FALSE))</f>
        <v>0</v>
      </c>
      <c r="AB47" s="20">
        <f>IF(N47="",0,VLOOKUP(N47,Definitions!$Z:$AA,COLUMNS(Definitions!$Z:$AA),FALSE))</f>
        <v>10</v>
      </c>
      <c r="AC47" s="20">
        <f>IF(O47="",0,VLOOKUP(O47,Definitions!$Z:$AA,COLUMNS(Definitions!$Z:$AA),FALSE))</f>
        <v>4</v>
      </c>
      <c r="AD47" s="20">
        <f t="shared" ca="1" si="3"/>
        <v>30</v>
      </c>
      <c r="AE47" s="20" t="str" cm="1">
        <f t="array" ref="AE47">IF($G47="","",","&amp;SanitizeInput($G47))</f>
        <v/>
      </c>
      <c r="AF47" s="20" t="b" cm="1">
        <f t="array" aca="1" ref="AF47" ca="1">OR($AK47,_xlfn.LAMBDA(_xlpm._ownID,_xlpm._searchHeader,_xlpm._resultHeader,_xlpm._elementCount,_xlpm._delimiter,_xlpm._activeInTreatmentRange,_xlpm._activeByAnswersRange,_xlpm._dependencies,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InverseLookup(_xlpm._ownID,_xlpm._searchHeader,_xlpm._resultHeader,1,_xlpm._elementCount,_xlpm._delimiter))))))($A47,$AE$2,$A$2,Helper!$B$4,",",$A:$V,$A:$AK,InverseLookup($A47,$AE$2,$A$2,1,Helper!$B$4,",")))</f>
        <v>0</v>
      </c>
      <c r="AG47" s="20" t="str" cm="1">
        <f t="array" aca="1" ref="AG47" ca="1">IF(OR($V47,$AF47,$AK47),IF($G47="","",","&amp;SanitizeInput($G47)),"")</f>
        <v/>
      </c>
      <c r="AH47" s="20" t="str" cm="1">
        <f t="array" ref="AH47">SUBSTITUTE(IF($V47,IF($I47="","",","&amp;SanitizeInput($I47)),""),"&gt;",",")</f>
        <v/>
      </c>
      <c r="AI47" s="20" cm="1">
        <f t="array" aca="1" ref="AI47" ca="1">IF(ROW()=ROW($AI$2)+1,0,INDEX($AI:$AI,ROW()-1))+IF($AF47,1,0)</f>
        <v>6</v>
      </c>
      <c r="AJ47" s="20" t="str" cm="1">
        <f t="array" aca="1" ref="AJ47" ca="1">IF($AF47,IF($Q47="","",","&amp;SanitizeInput($Q47)),"")</f>
        <v/>
      </c>
      <c r="AK47" s="20" t="b">
        <f>OR(CheckRelevance(SanitizeInput($D47),Questionnaire!$I:$I),CheckRelevance(SanitizeInput($D47),Questionnaire!$J:$J))</f>
        <v>0</v>
      </c>
      <c r="AL47" s="20" t="str" cm="1">
        <f t="array" ref="AL4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FilterPreconditionCandidates(RemoveFirstElement(_xlpm._preconditionCandidates),_xlpm._searchColumn,_xlpm._delimiter))))(SanitizeInput($D47),Questionnaire!$AA:$AA,",")</f>
        <v/>
      </c>
      <c r="AM47" s="20" t="str" cm="1">
        <f t="array" ref="AM47">IF($D47="*","",InverseLookupList($AL47,Questionnaire!$AA$3,Questionnaire!$A$3,Helper!$B$12,","))</f>
        <v/>
      </c>
      <c r="AN47" s="20" t="str" cm="1">
        <f t="array" ref="AN47">RemoveDelimiter(GetValues($AM47,Questionnaire!$A:$G," ",CHAR(10)&amp;CHAR(10),TRUE),CHAR(10)&amp;CHAR(10))</f>
        <v/>
      </c>
      <c r="AO47" s="20" t="str" cm="1">
        <f t="array" ref="AO47">CreateSearchString($AM47)</f>
        <v/>
      </c>
      <c r="AP47" s="20" t="str" cm="1">
        <f t="array" aca="1" ref="AP47" ca="1">InverseLookup($A47,Mitigation!$AD$2,Mitigation!$A$2,1,Helper!$B$5,",")</f>
        <v/>
      </c>
      <c r="AQ47" s="20" t="str" cm="1">
        <f t="array" aca="1" ref="AQ47" ca="1">CreateSearchString(GetValues($AP47,'Attack Steps'!$A:$O,"",",",FALSE))</f>
        <v/>
      </c>
      <c r="AR47" s="20" t="str">
        <f t="shared" si="2"/>
        <v>CM7</v>
      </c>
    </row>
    <row r="48" spans="1:44" ht="60" x14ac:dyDescent="0.25">
      <c r="A48" s="10" t="s">
        <v>761</v>
      </c>
      <c r="B48" s="13" t="s">
        <v>1508</v>
      </c>
      <c r="C48" s="13" t="s">
        <v>1506</v>
      </c>
      <c r="D48" s="13"/>
      <c r="E48" s="13" t="s">
        <v>1004</v>
      </c>
      <c r="F48" s="33" t="str" cm="1">
        <f t="array" aca="1" ref="F48" ca="1">LookupNames(SanitizeInput($E48),'Attack Steps'!$A:$B)</f>
        <v>AS25 Accessing the product's debug interfaces remotely,
AS26 Accessing the product's physical debug interfaces</v>
      </c>
      <c r="G48" s="23" t="s">
        <v>654</v>
      </c>
      <c r="H48" s="33" t="str" cm="1">
        <f t="array" aca="1" ref="H48" ca="1">RemoveDelimiter(GetValuesWithFallback(SanitizeInput($G48),$A:$B,Assumptions!$A:$B," ",","&amp;CHAR(10),TRUE),","&amp;CHAR(10))</f>
        <v>C26 EDR 2.13 / HDR 2.13 / NDR 2.13 – Use of physical diagnostic and test interfaces</v>
      </c>
      <c r="I48" s="23"/>
      <c r="J48" s="37" t="str" cm="1">
        <f t="array" ref="J48">IF($I48="","",SUBSTITUTE(SUBSTITUTE(SUBSTITUTE(SUBSTITUTE(SUBSTITUTE(SUBSTITUTE(SUBSTITUTE(SUBSTITUTE(SUBSTITUTE(
GetTransformation(SanitizeInput($I48),'Damage Scenarios'!$A:$J,COLUMNS('Damage Scenarios'!$A:$J),CHAR(10),"[#0][#1][#2]")&amp;"§",
"[#1][#2]",""),
"[#2]",""),
"[#0][#1]","[#1]"),
"[#0]","Removes:"&amp;CHAR(10)),
"[#1]","Transforms:"&amp;CHAR(10)),
CHAR(10)&amp;"§",""),
"§",""),
CHAR(10),CHAR(10)&amp;"   "),
"   "&amp;"Transforms:","Transforms:"))</f>
        <v/>
      </c>
      <c r="K48" s="13"/>
      <c r="L48" s="13"/>
      <c r="M48" s="13"/>
      <c r="N48" s="13" t="s">
        <v>151</v>
      </c>
      <c r="O48" s="13"/>
      <c r="P48" s="33" t="str">
        <f ca="1">IF($A48="","",IFERROR(VLOOKUP($AD48,Definitions!$V:$W,COLUMNS(Definitions!$V:$W),TRUE),""))</f>
        <v>Beyond High</v>
      </c>
      <c r="Q48" s="23" t="s">
        <v>1628</v>
      </c>
      <c r="R48" s="23"/>
      <c r="S48" s="13" t="s">
        <v>1035</v>
      </c>
      <c r="T48" s="10" cm="1">
        <f t="array" ref="T48">IF(ROW()=ROW($T$2)+1,0,INDEX($T:$T,ROW()-1))+IF($A48="",0,1)</f>
        <v>46</v>
      </c>
      <c r="U48" s="20" t="b" cm="1">
        <f t="array" aca="1" ref="U48" ca="1">CheckRelevance(SanitizeInput(E48),Questionnaire!$I:$I)</f>
        <v>0</v>
      </c>
      <c r="V48" s="20" t="b">
        <f>IFERROR(_xlfn.XMATCH("*,"&amp;$A48&amp;",*",Mitigation!$X:$X,2)&gt;0,FALSE)</f>
        <v>0</v>
      </c>
      <c r="W48" s="20" cm="1">
        <f t="array" ref="W48">CreateTaskID($W$2,$W:$W,Tasks!$B$17,$S48)</f>
        <v>1</v>
      </c>
      <c r="X48" s="20" t="str" cm="1">
        <f t="array" ref="X48">IF($E48="","",","&amp;SanitizeInput($E48))</f>
        <v>,AS25,AS26,</v>
      </c>
      <c r="Y48" s="20">
        <f>IF(K48="",0,VLOOKUP(K48,Definitions!$Z:$AA,COLUMNS(Definitions!$Z:$AA),FALSE))</f>
        <v>0</v>
      </c>
      <c r="Z48" s="20">
        <f>IF(L48="",0,VLOOKUP(L48,Definitions!$Z:$AA,COLUMNS(Definitions!$Z:$AA),FALSE))</f>
        <v>0</v>
      </c>
      <c r="AA48" s="20">
        <f>IF(M48="",0,VLOOKUP(M48,Definitions!$Z:$AA,COLUMNS(Definitions!$Z:$AA),FALSE))</f>
        <v>0</v>
      </c>
      <c r="AB48" s="20">
        <f>IF(N48="",0,VLOOKUP(N48,Definitions!$Z:$AA,COLUMNS(Definitions!$Z:$AA),FALSE))</f>
        <v>25</v>
      </c>
      <c r="AC48" s="20">
        <f>IF(O48="",0,VLOOKUP(O48,Definitions!$Z:$AA,COLUMNS(Definitions!$Z:$AA),FALSE))</f>
        <v>0</v>
      </c>
      <c r="AD48" s="20">
        <f t="shared" ca="1" si="3"/>
        <v>25</v>
      </c>
      <c r="AE48" s="20" t="str" cm="1">
        <f t="array" ref="AE48">IF($G48="","",","&amp;SanitizeInput($G48))</f>
        <v>,C26,</v>
      </c>
      <c r="AF48" s="20" t="b" cm="1">
        <f t="array" aca="1" ref="AF48" ca="1">OR($AK48,_xlfn.LAMBDA(_xlpm._ownID,_xlpm._searchHeader,_xlpm._resultHeader,_xlpm._elementCount,_xlpm._delimiter,_xlpm._activeInTreatmentRange,_xlpm._activeByAnswersRange,_xlpm._dependencies,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InverseLookup(_xlpm._ownID,_xlpm._searchHeader,_xlpm._resultHeader,1,_xlpm._elementCount,_xlpm._delimiter))))))($A48,$AE$2,$A$2,Helper!$B$4,",",$A:$V,$A:$AK,InverseLookup($A48,$AE$2,$A$2,1,Helper!$B$4,",")))</f>
        <v>0</v>
      </c>
      <c r="AG48" s="20" t="str" cm="1">
        <f t="array" aca="1" ref="AG48" ca="1">IF(OR($V48,$AF48,$AK48),IF($G48="","",","&amp;SanitizeInput($G48)),"")</f>
        <v/>
      </c>
      <c r="AH48" s="20" t="str" cm="1">
        <f t="array" ref="AH48">SUBSTITUTE(IF($V48,IF($I48="","",","&amp;SanitizeInput($I48)),""),"&gt;",",")</f>
        <v/>
      </c>
      <c r="AI48" s="20" cm="1">
        <f t="array" aca="1" ref="AI48" ca="1">IF(ROW()=ROW($AI$2)+1,0,INDEX($AI:$AI,ROW()-1))+IF($AF48,1,0)</f>
        <v>6</v>
      </c>
      <c r="AJ48" s="20" t="str" cm="1">
        <f t="array" aca="1" ref="AJ48" ca="1">IF($AF48,IF($Q48="","",","&amp;SanitizeInput($Q48)),"")</f>
        <v/>
      </c>
      <c r="AK48" s="20" t="b">
        <f>OR(CheckRelevance(SanitizeInput($D48),Questionnaire!$I:$I),CheckRelevance(SanitizeInput($D48),Questionnaire!$J:$J))</f>
        <v>0</v>
      </c>
      <c r="AL48" s="20" t="str" cm="1">
        <f t="array" ref="AL4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FilterPreconditionCandidates(RemoveFirstElement(_xlpm._preconditionCandidates),_xlpm._searchColumn,_xlpm._delimiter))))(SanitizeInput($D48),Questionnaire!$AA:$AA,",")</f>
        <v/>
      </c>
      <c r="AM48" s="20" t="str" cm="1">
        <f t="array" ref="AM48">IF($D48="*","",InverseLookupList($AL48,Questionnaire!$AA$3,Questionnaire!$A$3,Helper!$B$12,","))</f>
        <v/>
      </c>
      <c r="AN48" s="20" t="str" cm="1">
        <f t="array" ref="AN48">RemoveDelimiter(GetValues($AM48,Questionnaire!$A:$G," ",CHAR(10)&amp;CHAR(10),TRUE),CHAR(10)&amp;CHAR(10))</f>
        <v/>
      </c>
      <c r="AO48" s="20" t="str" cm="1">
        <f t="array" ref="AO48">CreateSearchString($AM48)</f>
        <v/>
      </c>
      <c r="AP48" s="20" t="str" cm="1">
        <f t="array" aca="1" ref="AP48" ca="1">InverseLookup($A48,Mitigation!$AD$2,Mitigation!$A$2,1,Helper!$B$5,",")</f>
        <v/>
      </c>
      <c r="AQ48" s="20" t="str" cm="1">
        <f t="array" aca="1" ref="AQ48" ca="1">CreateSearchString(GetValues($AP48,'Attack Steps'!$A:$O,"",",",FALSE))</f>
        <v/>
      </c>
      <c r="AR48" s="20" t="str">
        <f t="shared" si="2"/>
        <v>CM8</v>
      </c>
    </row>
    <row r="49" spans="1:44" ht="105" x14ac:dyDescent="0.25">
      <c r="A49" s="10" t="s">
        <v>762</v>
      </c>
      <c r="B49" s="13" t="s">
        <v>1509</v>
      </c>
      <c r="C49" s="13" t="s">
        <v>1505</v>
      </c>
      <c r="D49" s="13"/>
      <c r="E49" s="13" t="s">
        <v>112</v>
      </c>
      <c r="F49" s="33" t="str" cm="1">
        <f t="array" aca="1" ref="F49" ca="1">LookupNames(SanitizeInput($E49),'Attack Steps'!$A:$B)</f>
        <v>AS6 Spoofing / tampering with the product's outgoing communication</v>
      </c>
      <c r="G49" s="23" t="s">
        <v>1150</v>
      </c>
      <c r="H49" s="33" t="str" cm="1">
        <f t="array" aca="1" ref="H49" ca="1">RemoveDelimiter(GetValuesWithFallback(SanitizeInput($G49),$A:$B,Assumptions!$A:$B," ",","&amp;CHAR(10),TRUE),","&amp;CHAR(10))</f>
        <v>C1 CCSC 1: Support of essential functions,
C18 CR 4.3 – Use of cryptography</v>
      </c>
      <c r="I49" s="23"/>
      <c r="J49" s="37" t="str" cm="1">
        <f t="array" ref="J49">IF($I49="","",SUBSTITUTE(SUBSTITUTE(SUBSTITUTE(SUBSTITUTE(SUBSTITUTE(SUBSTITUTE(SUBSTITUTE(SUBSTITUTE(SUBSTITUTE(
GetTransformation(SanitizeInput($I49),'Damage Scenarios'!$A:$J,COLUMNS('Damage Scenarios'!$A:$J),CHAR(10),"[#0][#1][#2]")&amp;"§",
"[#1][#2]",""),
"[#2]",""),
"[#0][#1]","[#1]"),
"[#0]","Removes:"&amp;CHAR(10)),
"[#1]","Transforms:"&amp;CHAR(10)),
CHAR(10)&amp;"§",""),
"§",""),
CHAR(10),CHAR(10)&amp;"   "),
"   "&amp;"Transforms:","Transforms:"))</f>
        <v/>
      </c>
      <c r="K49" s="13" t="s">
        <v>137</v>
      </c>
      <c r="L49" s="13"/>
      <c r="M49" s="13"/>
      <c r="N49" s="13"/>
      <c r="O49" s="13"/>
      <c r="P49" s="33" t="str">
        <f ca="1">IF($A49="","",IFERROR(VLOOKUP($AD49,Definitions!$V:$W,COLUMNS(Definitions!$V:$W),TRUE),""))</f>
        <v>Beyond High</v>
      </c>
      <c r="Q49" s="23" t="s">
        <v>1626</v>
      </c>
      <c r="R49" s="23"/>
      <c r="S49" s="13" t="s">
        <v>1504</v>
      </c>
      <c r="T49" s="10" cm="1">
        <f t="array" ref="T49">IF(ROW()=ROW($T$2)+1,0,INDEX($T:$T,ROW()-1))+IF($A49="",0,1)</f>
        <v>47</v>
      </c>
      <c r="U49" s="20" t="b" cm="1">
        <f t="array" aca="1" ref="U49" ca="1">CheckRelevance(SanitizeInput(E49),Questionnaire!$I:$I)</f>
        <v>0</v>
      </c>
      <c r="V49" s="20" t="b">
        <f>IFERROR(_xlfn.XMATCH("*,"&amp;$A49&amp;",*",Mitigation!$X:$X,2)&gt;0,FALSE)</f>
        <v>0</v>
      </c>
      <c r="W49" s="20" cm="1">
        <f t="array" ref="W49">CreateTaskID($W$2,$W:$W,Tasks!$B$17,$S49)</f>
        <v>1</v>
      </c>
      <c r="X49" s="20" t="str" cm="1">
        <f t="array" ref="X49">IF($E49="","",","&amp;SanitizeInput($E49))</f>
        <v>,AS6,</v>
      </c>
      <c r="Y49" s="20">
        <f>IF(K49="",0,VLOOKUP(K49,Definitions!$Z:$AA,COLUMNS(Definitions!$Z:$AA),FALSE))</f>
        <v>25</v>
      </c>
      <c r="Z49" s="20">
        <f>IF(L49="",0,VLOOKUP(L49,Definitions!$Z:$AA,COLUMNS(Definitions!$Z:$AA),FALSE))</f>
        <v>0</v>
      </c>
      <c r="AA49" s="20">
        <f>IF(M49="",0,VLOOKUP(M49,Definitions!$Z:$AA,COLUMNS(Definitions!$Z:$AA),FALSE))</f>
        <v>0</v>
      </c>
      <c r="AB49" s="20">
        <f>IF(N49="",0,VLOOKUP(N49,Definitions!$Z:$AA,COLUMNS(Definitions!$Z:$AA),FALSE))</f>
        <v>0</v>
      </c>
      <c r="AC49" s="20">
        <f>IF(O49="",0,VLOOKUP(O49,Definitions!$Z:$AA,COLUMNS(Definitions!$Z:$AA),FALSE))</f>
        <v>0</v>
      </c>
      <c r="AD49" s="20">
        <f t="shared" ca="1" si="3"/>
        <v>25</v>
      </c>
      <c r="AE49" s="20" t="str" cm="1">
        <f t="array" ref="AE49">IF($G49="","",","&amp;SanitizeInput($G49))</f>
        <v>,C1,C18,</v>
      </c>
      <c r="AF49" s="20" t="b" cm="1">
        <f t="array" aca="1" ref="AF49" ca="1">OR($AK49,_xlfn.LAMBDA(_xlpm._ownID,_xlpm._searchHeader,_xlpm._resultHeader,_xlpm._elementCount,_xlpm._delimiter,_xlpm._activeInTreatmentRange,_xlpm._activeByAnswersRange,_xlpm._dependencies,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InverseLookup(_xlpm._ownID,_xlpm._searchHeader,_xlpm._resultHeader,1,_xlpm._elementCount,_xlpm._delimiter))))))($A49,$AE$2,$A$2,Helper!$B$4,",",$A:$V,$A:$AK,InverseLookup($A49,$AE$2,$A$2,1,Helper!$B$4,",")))</f>
        <v>0</v>
      </c>
      <c r="AG49" s="20" t="str" cm="1">
        <f t="array" aca="1" ref="AG49" ca="1">IF(OR($V49,$AF49,$AK49),IF($G49="","",","&amp;SanitizeInput($G49)),"")</f>
        <v/>
      </c>
      <c r="AH49" s="20" t="str" cm="1">
        <f t="array" ref="AH49">SUBSTITUTE(IF($V49,IF($I49="","",","&amp;SanitizeInput($I49)),""),"&gt;",",")</f>
        <v/>
      </c>
      <c r="AI49" s="20" cm="1">
        <f t="array" aca="1" ref="AI49" ca="1">IF(ROW()=ROW($AI$2)+1,0,INDEX($AI:$AI,ROW()-1))+IF($AF49,1,0)</f>
        <v>6</v>
      </c>
      <c r="AJ49" s="20" t="str" cm="1">
        <f t="array" aca="1" ref="AJ49" ca="1">IF($AF49,IF($Q49="","",","&amp;SanitizeInput($Q49)),"")</f>
        <v/>
      </c>
      <c r="AK49" s="20" t="b">
        <f>OR(CheckRelevance(SanitizeInput($D49),Questionnaire!$I:$I),CheckRelevance(SanitizeInput($D49),Questionnaire!$J:$J))</f>
        <v>0</v>
      </c>
      <c r="AL49" s="20" t="str" cm="1">
        <f t="array" ref="AL4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FilterPreconditionCandidates(RemoveFirstElement(_xlpm._preconditionCandidates),_xlpm._searchColumn,_xlpm._delimiter))))(SanitizeInput($D49),Questionnaire!$AA:$AA,",")</f>
        <v/>
      </c>
      <c r="AM49" s="20" t="str" cm="1">
        <f t="array" ref="AM49">IF($D49="*","",InverseLookupList($AL49,Questionnaire!$AA$3,Questionnaire!$A$3,Helper!$B$12,","))</f>
        <v/>
      </c>
      <c r="AN49" s="20" t="str" cm="1">
        <f t="array" ref="AN49">RemoveDelimiter(GetValues($AM49,Questionnaire!$A:$G," ",CHAR(10)&amp;CHAR(10),TRUE),CHAR(10)&amp;CHAR(10))</f>
        <v/>
      </c>
      <c r="AO49" s="20" t="str" cm="1">
        <f t="array" ref="AO49">CreateSearchString($AM49)</f>
        <v/>
      </c>
      <c r="AP49" s="20" t="str" cm="1">
        <f t="array" aca="1" ref="AP49" ca="1">InverseLookup($A49,Mitigation!$AD$2,Mitigation!$A$2,1,Helper!$B$5,",")</f>
        <v/>
      </c>
      <c r="AQ49" s="20" t="str" cm="1">
        <f t="array" aca="1" ref="AQ49" ca="1">CreateSearchString(GetValues($AP49,'Attack Steps'!$A:$O,"",",",FALSE))</f>
        <v/>
      </c>
      <c r="AR49" s="20" t="str">
        <f t="shared" si="2"/>
        <v>CM10</v>
      </c>
    </row>
    <row r="50" spans="1:44" ht="135" x14ac:dyDescent="0.25">
      <c r="A50" s="10" t="s">
        <v>763</v>
      </c>
      <c r="B50" s="13" t="s">
        <v>1512</v>
      </c>
      <c r="C50" s="13" t="s">
        <v>1513</v>
      </c>
      <c r="D50" s="13"/>
      <c r="E50" s="13" t="s">
        <v>1009</v>
      </c>
      <c r="F50" s="33" t="str" cm="1">
        <f t="array" aca="1" ref="F50" ca="1">LookupNames(SanitizeInput($E50),'Attack Steps'!$A:$B)</f>
        <v>AS7 Spoofing / tampering with the product's incoming communication,
AS19 Spoofing an entity sending a software update or manipulation of the update during transmission,
AS34 Attacking the product's outgoing communication to an external communication partner over the Internet or a mobile network,
AS36 Attacking the product's incoming communication from the Internet or a mobile network</v>
      </c>
      <c r="G50" s="23" t="s">
        <v>1150</v>
      </c>
      <c r="H50" s="33" t="str" cm="1">
        <f t="array" aca="1" ref="H50" ca="1">RemoveDelimiter(GetValuesWithFallback(SanitizeInput($G50),$A:$B,Assumptions!$A:$B," ",","&amp;CHAR(10),TRUE),","&amp;CHAR(10))</f>
        <v>C1 CCSC 1: Support of essential functions,
C18 CR 4.3 – Use of cryptography</v>
      </c>
      <c r="I50" s="23"/>
      <c r="J50" s="37" t="str" cm="1">
        <f t="array" ref="J50">IF($I50="","",SUBSTITUTE(SUBSTITUTE(SUBSTITUTE(SUBSTITUTE(SUBSTITUTE(SUBSTITUTE(SUBSTITUTE(SUBSTITUTE(SUBSTITUTE(
GetTransformation(SanitizeInput($I50),'Damage Scenarios'!$A:$J,COLUMNS('Damage Scenarios'!$A:$J),CHAR(10),"[#0][#1][#2]")&amp;"§",
"[#1][#2]",""),
"[#2]",""),
"[#0][#1]","[#1]"),
"[#0]","Removes:"&amp;CHAR(10)),
"[#1]","Transforms:"&amp;CHAR(10)),
CHAR(10)&amp;"§",""),
"§",""),
CHAR(10),CHAR(10)&amp;"   "),
"   "&amp;"Transforms:","Transforms:"))</f>
        <v/>
      </c>
      <c r="K50" s="13" t="s">
        <v>137</v>
      </c>
      <c r="L50" s="13"/>
      <c r="M50" s="13"/>
      <c r="N50" s="13"/>
      <c r="O50" s="13"/>
      <c r="P50" s="33" t="str">
        <f ca="1">IF($A50="","",IFERROR(VLOOKUP($AD50,Definitions!$V:$W,COLUMNS(Definitions!$V:$W),TRUE),""))</f>
        <v>Beyond High</v>
      </c>
      <c r="Q50" s="23" t="s">
        <v>1626</v>
      </c>
      <c r="R50" s="23"/>
      <c r="S50" s="13" t="s">
        <v>1036</v>
      </c>
      <c r="T50" s="10" cm="1">
        <f t="array" ref="T50">IF(ROW()=ROW($T$2)+1,0,INDEX($T:$T,ROW()-1))+IF($A50="",0,1)</f>
        <v>48</v>
      </c>
      <c r="U50" s="20" t="b" cm="1">
        <f t="array" aca="1" ref="U50" ca="1">CheckRelevance(SanitizeInput(E50),Questionnaire!$I:$I)</f>
        <v>0</v>
      </c>
      <c r="V50" s="20" t="b">
        <f>IFERROR(_xlfn.XMATCH("*,"&amp;$A50&amp;",*",Mitigation!$X:$X,2)&gt;0,FALSE)</f>
        <v>0</v>
      </c>
      <c r="W50" s="20" cm="1">
        <f t="array" ref="W50">CreateTaskID($W$2,$W:$W,Tasks!$B$17,$S50)</f>
        <v>1</v>
      </c>
      <c r="X50" s="20" t="str" cm="1">
        <f t="array" ref="X50">IF($E50="","",","&amp;SanitizeInput($E50))</f>
        <v>,AS7,AS19,AS34,AS36,</v>
      </c>
      <c r="Y50" s="20">
        <f>IF(K50="",0,VLOOKUP(K50,Definitions!$Z:$AA,COLUMNS(Definitions!$Z:$AA),FALSE))</f>
        <v>25</v>
      </c>
      <c r="Z50" s="20">
        <f>IF(L50="",0,VLOOKUP(L50,Definitions!$Z:$AA,COLUMNS(Definitions!$Z:$AA),FALSE))</f>
        <v>0</v>
      </c>
      <c r="AA50" s="20">
        <f>IF(M50="",0,VLOOKUP(M50,Definitions!$Z:$AA,COLUMNS(Definitions!$Z:$AA),FALSE))</f>
        <v>0</v>
      </c>
      <c r="AB50" s="20">
        <f>IF(N50="",0,VLOOKUP(N50,Definitions!$Z:$AA,COLUMNS(Definitions!$Z:$AA),FALSE))</f>
        <v>0</v>
      </c>
      <c r="AC50" s="20">
        <f>IF(O50="",0,VLOOKUP(O50,Definitions!$Z:$AA,COLUMNS(Definitions!$Z:$AA),FALSE))</f>
        <v>0</v>
      </c>
      <c r="AD50" s="20">
        <f t="shared" ca="1" si="3"/>
        <v>25</v>
      </c>
      <c r="AE50" s="20" t="str" cm="1">
        <f t="array" ref="AE50">IF($G50="","",","&amp;SanitizeInput($G50))</f>
        <v>,C1,C18,</v>
      </c>
      <c r="AF50" s="20" t="b" cm="1">
        <f t="array" aca="1" ref="AF50" ca="1">OR($AK50,_xlfn.LAMBDA(_xlpm._ownID,_xlpm._searchHeader,_xlpm._resultHeader,_xlpm._elementCount,_xlpm._delimiter,_xlpm._activeInTreatmentRange,_xlpm._activeByAnswersRange,_xlpm._dependencies,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InverseLookup(_xlpm._ownID,_xlpm._searchHeader,_xlpm._resultHeader,1,_xlpm._elementCount,_xlpm._delimiter))))))($A50,$AE$2,$A$2,Helper!$B$4,",",$A:$V,$A:$AK,InverseLookup($A50,$AE$2,$A$2,1,Helper!$B$4,",")))</f>
        <v>0</v>
      </c>
      <c r="AG50" s="20" t="str" cm="1">
        <f t="array" aca="1" ref="AG50" ca="1">IF(OR($V50,$AF50,$AK50),IF($G50="","",","&amp;SanitizeInput($G50)),"")</f>
        <v/>
      </c>
      <c r="AH50" s="20" t="str" cm="1">
        <f t="array" ref="AH50">SUBSTITUTE(IF($V50,IF($I50="","",","&amp;SanitizeInput($I50)),""),"&gt;",",")</f>
        <v/>
      </c>
      <c r="AI50" s="20" cm="1">
        <f t="array" aca="1" ref="AI50" ca="1">IF(ROW()=ROW($AI$2)+1,0,INDEX($AI:$AI,ROW()-1))+IF($AF50,1,0)</f>
        <v>6</v>
      </c>
      <c r="AJ50" s="20" t="str" cm="1">
        <f t="array" aca="1" ref="AJ50" ca="1">IF($AF50,IF($Q50="","",","&amp;SanitizeInput($Q50)),"")</f>
        <v/>
      </c>
      <c r="AK50" s="20" t="b">
        <f>OR(CheckRelevance(SanitizeInput($D50),Questionnaire!$I:$I),CheckRelevance(SanitizeInput($D50),Questionnaire!$J:$J))</f>
        <v>0</v>
      </c>
      <c r="AL50" s="20" t="str" cm="1">
        <f t="array" ref="AL50">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FilterPreconditionCandidates(RemoveFirstElement(_xlpm._preconditionCandidates),_xlpm._searchColumn,_xlpm._delimiter))))(SanitizeInput($D50),Questionnaire!$AA:$AA,",")</f>
        <v/>
      </c>
      <c r="AM50" s="20" t="str" cm="1">
        <f t="array" ref="AM50">IF($D50="*","",InverseLookupList($AL50,Questionnaire!$AA$3,Questionnaire!$A$3,Helper!$B$12,","))</f>
        <v/>
      </c>
      <c r="AN50" s="20" t="str" cm="1">
        <f t="array" ref="AN50">RemoveDelimiter(GetValues($AM50,Questionnaire!$A:$G," ",CHAR(10)&amp;CHAR(10),TRUE),CHAR(10)&amp;CHAR(10))</f>
        <v/>
      </c>
      <c r="AO50" s="20" t="str" cm="1">
        <f t="array" ref="AO50">CreateSearchString($AM50)</f>
        <v/>
      </c>
      <c r="AP50" s="20" t="str" cm="1">
        <f t="array" aca="1" ref="AP50" ca="1">InverseLookup($A50,Mitigation!$AD$2,Mitigation!$A$2,1,Helper!$B$5,",")</f>
        <v/>
      </c>
      <c r="AQ50" s="20" t="str" cm="1">
        <f t="array" aca="1" ref="AQ50" ca="1">CreateSearchString(GetValues($AP50,'Attack Steps'!$A:$O,"",",",FALSE))</f>
        <v/>
      </c>
      <c r="AR50" s="20" t="str">
        <f t="shared" si="2"/>
        <v>CM11</v>
      </c>
    </row>
    <row r="51" spans="1:44" ht="75" x14ac:dyDescent="0.25">
      <c r="A51" s="10" t="s">
        <v>764</v>
      </c>
      <c r="B51" s="13" t="s">
        <v>1220</v>
      </c>
      <c r="C51" s="13" t="s">
        <v>1746</v>
      </c>
      <c r="D51" s="13"/>
      <c r="E51" s="13" t="s">
        <v>205</v>
      </c>
      <c r="F51" s="33" t="str" cm="1">
        <f t="array" aca="1" ref="F51" ca="1">LookupNames(SanitizeInput($E51),'Attack Steps'!$A:$B)</f>
        <v>AS18 Abusing the software update functionality to manipulate the product</v>
      </c>
      <c r="G51" s="23" t="s">
        <v>1151</v>
      </c>
      <c r="H51" s="33" t="str" cm="1">
        <f t="array" aca="1" ref="H51" ca="1">RemoveDelimiter(GetValuesWithFallback(SanitizeInput($G51),$A:$B,Assumptions!$A:$B," ",","&amp;CHAR(10),TRUE),","&amp;CHAR(10))</f>
        <v>C1 CCSC 1: Support of essential functions,
C27 EDR 3.10 / HDR 3.10 / NDR 3.10 – Support for updates</v>
      </c>
      <c r="I51" s="23"/>
      <c r="J51" s="37" t="str" cm="1">
        <f t="array" ref="J51">IF($I51="","",SUBSTITUTE(SUBSTITUTE(SUBSTITUTE(SUBSTITUTE(SUBSTITUTE(SUBSTITUTE(SUBSTITUTE(SUBSTITUTE(SUBSTITUTE(
GetTransformation(SanitizeInput($I51),'Damage Scenarios'!$A:$J,COLUMNS('Damage Scenarios'!$A:$J),CHAR(10),"[#0][#1][#2]")&amp;"§",
"[#1][#2]",""),
"[#2]",""),
"[#0][#1]","[#1]"),
"[#0]","Removes:"&amp;CHAR(10)),
"[#1]","Transforms:"&amp;CHAR(10)),
CHAR(10)&amp;"§",""),
"§",""),
CHAR(10),CHAR(10)&amp;"   "),
"   "&amp;"Transforms:","Transforms:"))</f>
        <v/>
      </c>
      <c r="K51" s="13" t="s">
        <v>137</v>
      </c>
      <c r="L51" s="13"/>
      <c r="M51" s="13"/>
      <c r="N51" s="13"/>
      <c r="O51" s="13"/>
      <c r="P51" s="33" t="str">
        <f ca="1">IF($A51="","",IFERROR(VLOOKUP($AD51,Definitions!$V:$W,COLUMNS(Definitions!$V:$W),TRUE),""))</f>
        <v>Beyond High</v>
      </c>
      <c r="Q51" s="23" t="s">
        <v>605</v>
      </c>
      <c r="R51" s="23"/>
      <c r="S51" s="13" t="s">
        <v>1234</v>
      </c>
      <c r="T51" s="10" cm="1">
        <f t="array" ref="T51">IF(ROW()=ROW($T$2)+1,0,INDEX($T:$T,ROW()-1))+IF($A51="",0,1)</f>
        <v>49</v>
      </c>
      <c r="U51" s="20" t="b" cm="1">
        <f t="array" aca="1" ref="U51" ca="1">CheckRelevance(SanitizeInput(E51),Questionnaire!$I:$I)</f>
        <v>0</v>
      </c>
      <c r="V51" s="20" t="b">
        <f>IFERROR(_xlfn.XMATCH("*,"&amp;$A51&amp;",*",Mitigation!$X:$X,2)&gt;0,FALSE)</f>
        <v>0</v>
      </c>
      <c r="W51" s="20" cm="1">
        <f t="array" ref="W51">CreateTaskID($W$2,$W:$W,Tasks!$B$17,$S51)</f>
        <v>1</v>
      </c>
      <c r="X51" s="20" t="str" cm="1">
        <f t="array" ref="X51">IF($E51="","",","&amp;SanitizeInput($E51))</f>
        <v>,AS18,</v>
      </c>
      <c r="Y51" s="20">
        <f>IF(K51="",0,VLOOKUP(K51,Definitions!$Z:$AA,COLUMNS(Definitions!$Z:$AA),FALSE))</f>
        <v>25</v>
      </c>
      <c r="Z51" s="20">
        <f>IF(L51="",0,VLOOKUP(L51,Definitions!$Z:$AA,COLUMNS(Definitions!$Z:$AA),FALSE))</f>
        <v>0</v>
      </c>
      <c r="AA51" s="20">
        <f>IF(M51="",0,VLOOKUP(M51,Definitions!$Z:$AA,COLUMNS(Definitions!$Z:$AA),FALSE))</f>
        <v>0</v>
      </c>
      <c r="AB51" s="20">
        <f>IF(N51="",0,VLOOKUP(N51,Definitions!$Z:$AA,COLUMNS(Definitions!$Z:$AA),FALSE))</f>
        <v>0</v>
      </c>
      <c r="AC51" s="20">
        <f>IF(O51="",0,VLOOKUP(O51,Definitions!$Z:$AA,COLUMNS(Definitions!$Z:$AA),FALSE))</f>
        <v>0</v>
      </c>
      <c r="AD51" s="20">
        <f t="shared" ca="1" si="3"/>
        <v>25</v>
      </c>
      <c r="AE51" s="20" t="str" cm="1">
        <f t="array" ref="AE51">IF($G51="","",","&amp;SanitizeInput($G51))</f>
        <v>,C1,C27,</v>
      </c>
      <c r="AF51" s="20" t="b" cm="1">
        <f t="array" aca="1" ref="AF51" ca="1">OR($AK51,_xlfn.LAMBDA(_xlpm._ownID,_xlpm._searchHeader,_xlpm._resultHeader,_xlpm._elementCount,_xlpm._delimiter,_xlpm._activeInTreatmentRange,_xlpm._activeByAnswersRange,_xlpm._dependencies,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InverseLookup(_xlpm._ownID,_xlpm._searchHeader,_xlpm._resultHeader,1,_xlpm._elementCount,_xlpm._delimiter))))))($A51,$AE$2,$A$2,Helper!$B$4,",",$A:$V,$A:$AK,InverseLookup($A51,$AE$2,$A$2,1,Helper!$B$4,",")))</f>
        <v>0</v>
      </c>
      <c r="AG51" s="20" t="str" cm="1">
        <f t="array" aca="1" ref="AG51" ca="1">IF(OR($V51,$AF51,$AK51),IF($G51="","",","&amp;SanitizeInput($G51)),"")</f>
        <v/>
      </c>
      <c r="AH51" s="20" t="str" cm="1">
        <f t="array" ref="AH51">SUBSTITUTE(IF($V51,IF($I51="","",","&amp;SanitizeInput($I51)),""),"&gt;",",")</f>
        <v/>
      </c>
      <c r="AI51" s="20" cm="1">
        <f t="array" aca="1" ref="AI51" ca="1">IF(ROW()=ROW($AI$2)+1,0,INDEX($AI:$AI,ROW()-1))+IF($AF51,1,0)</f>
        <v>6</v>
      </c>
      <c r="AJ51" s="20" t="str" cm="1">
        <f t="array" aca="1" ref="AJ51" ca="1">IF($AF51,IF($Q51="","",","&amp;SanitizeInput($Q51)),"")</f>
        <v/>
      </c>
      <c r="AK51" s="20" t="b">
        <f>OR(CheckRelevance(SanitizeInput($D51),Questionnaire!$I:$I),CheckRelevance(SanitizeInput($D51),Questionnaire!$J:$J))</f>
        <v>0</v>
      </c>
      <c r="AL51" s="20" t="str" cm="1">
        <f t="array" ref="AL5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FilterPreconditionCandidates(RemoveFirstElement(_xlpm._preconditionCandidates),_xlpm._searchColumn,_xlpm._delimiter))))(SanitizeInput($D51),Questionnaire!$AA:$AA,",")</f>
        <v/>
      </c>
      <c r="AM51" s="20" t="str" cm="1">
        <f t="array" ref="AM51">IF($D51="*","",InverseLookupList($AL51,Questionnaire!$AA$3,Questionnaire!$A$3,Helper!$B$12,","))</f>
        <v/>
      </c>
      <c r="AN51" s="20" t="str" cm="1">
        <f t="array" ref="AN51">RemoveDelimiter(GetValues($AM51,Questionnaire!$A:$G," ",CHAR(10)&amp;CHAR(10),TRUE),CHAR(10)&amp;CHAR(10))</f>
        <v/>
      </c>
      <c r="AO51" s="20" t="str" cm="1">
        <f t="array" ref="AO51">CreateSearchString($AM51)</f>
        <v/>
      </c>
      <c r="AP51" s="20" t="str" cm="1">
        <f t="array" aca="1" ref="AP51" ca="1">InverseLookup($A51,Mitigation!$AD$2,Mitigation!$A$2,1,Helper!$B$5,",")</f>
        <v/>
      </c>
      <c r="AQ51" s="20" t="str" cm="1">
        <f t="array" aca="1" ref="AQ51" ca="1">CreateSearchString(GetValues($AP51,'Attack Steps'!$A:$O,"",",",FALSE))</f>
        <v/>
      </c>
      <c r="AR51" s="20" t="str">
        <f t="shared" si="2"/>
        <v>CM12</v>
      </c>
    </row>
    <row r="52" spans="1:44" ht="120" x14ac:dyDescent="0.25">
      <c r="A52" s="10" t="s">
        <v>765</v>
      </c>
      <c r="B52" s="13" t="s">
        <v>1514</v>
      </c>
      <c r="C52" s="13" t="s">
        <v>1515</v>
      </c>
      <c r="D52" s="13"/>
      <c r="E52" s="13" t="s">
        <v>203</v>
      </c>
      <c r="F52" s="33" t="str" cm="1">
        <f t="array" aca="1" ref="F52" ca="1">LookupNames(SanitizeInput($E52),'Attack Steps'!$A:$B)</f>
        <v>AS16 Manipulating the product's configuration via its configuration interface</v>
      </c>
      <c r="G52" s="23" t="s">
        <v>1233</v>
      </c>
      <c r="H52" s="33" t="str" cm="1">
        <f t="array" aca="1" ref="H52" ca="1">RemoveDelimiter(GetValuesWithFallback(SanitizeInput($G52),$A:$B,Assumptions!$A:$B," ",","&amp;CHAR(10),TRUE),","&amp;CHAR(10))</f>
        <v>C1 CCSC 1: Support of essential functions,
C3 CCSC 3: Least privilege,
C5 CR 1.3 – Account management,
C6 CR 1.4 – Identifier management,
C7 CR 1.12 – System use notification,
C8 CR 2.1 – Authorization enforcement,
C28 CR 1.5 – Authenticator management,
A19 SDR 1.15 – Password security</v>
      </c>
      <c r="I52" s="23"/>
      <c r="J52" s="37" t="str" cm="1">
        <f t="array" ref="J52">IF($I52="","",SUBSTITUTE(SUBSTITUTE(SUBSTITUTE(SUBSTITUTE(SUBSTITUTE(SUBSTITUTE(SUBSTITUTE(SUBSTITUTE(SUBSTITUTE(
GetTransformation(SanitizeInput($I52),'Damage Scenarios'!$A:$J,COLUMNS('Damage Scenarios'!$A:$J),CHAR(10),"[#0][#1][#2]")&amp;"§",
"[#1][#2]",""),
"[#2]",""),
"[#0][#1]","[#1]"),
"[#0]","Removes:"&amp;CHAR(10)),
"[#1]","Transforms:"&amp;CHAR(10)),
CHAR(10)&amp;"§",""),
"§",""),
CHAR(10),CHAR(10)&amp;"   "),
"   "&amp;"Transforms:","Transforms:"))</f>
        <v/>
      </c>
      <c r="K52" s="13"/>
      <c r="L52" s="13"/>
      <c r="M52" s="13"/>
      <c r="N52" s="13" t="s">
        <v>151</v>
      </c>
      <c r="O52" s="13"/>
      <c r="P52" s="33" t="str">
        <f ca="1">IF($A52="","",IFERROR(VLOOKUP($AD52,Definitions!$V:$W,COLUMNS(Definitions!$V:$W),TRUE),""))</f>
        <v>Beyond High</v>
      </c>
      <c r="Q52" s="23" t="s">
        <v>607</v>
      </c>
      <c r="R52" s="23"/>
      <c r="S52" s="13" t="s">
        <v>1033</v>
      </c>
      <c r="T52" s="10" cm="1">
        <f t="array" ref="T52">IF(ROW()=ROW($T$2)+1,0,INDEX($T:$T,ROW()-1))+IF($A52="",0,1)</f>
        <v>50</v>
      </c>
      <c r="U52" s="20" t="b" cm="1">
        <f t="array" aca="1" ref="U52" ca="1">CheckRelevance(SanitizeInput(E52),Questionnaire!$I:$I)</f>
        <v>0</v>
      </c>
      <c r="V52" s="20" t="b">
        <f>IFERROR(_xlfn.XMATCH("*,"&amp;$A52&amp;",*",Mitigation!$X:$X,2)&gt;0,FALSE)</f>
        <v>0</v>
      </c>
      <c r="W52" s="20" cm="1">
        <f t="array" ref="W52">CreateTaskID($W$2,$W:$W,Tasks!$B$17,$S52)</f>
        <v>1</v>
      </c>
      <c r="X52" s="20" t="str" cm="1">
        <f t="array" ref="X52">IF($E52="","",","&amp;SanitizeInput($E52))</f>
        <v>,AS16,</v>
      </c>
      <c r="Y52" s="20">
        <f>IF(K52="",0,VLOOKUP(K52,Definitions!$Z:$AA,COLUMNS(Definitions!$Z:$AA),FALSE))</f>
        <v>0</v>
      </c>
      <c r="Z52" s="20">
        <f>IF(L52="",0,VLOOKUP(L52,Definitions!$Z:$AA,COLUMNS(Definitions!$Z:$AA),FALSE))</f>
        <v>0</v>
      </c>
      <c r="AA52" s="20">
        <f>IF(M52="",0,VLOOKUP(M52,Definitions!$Z:$AA,COLUMNS(Definitions!$Z:$AA),FALSE))</f>
        <v>0</v>
      </c>
      <c r="AB52" s="20">
        <f>IF(N52="",0,VLOOKUP(N52,Definitions!$Z:$AA,COLUMNS(Definitions!$Z:$AA),FALSE))</f>
        <v>25</v>
      </c>
      <c r="AC52" s="20">
        <f>IF(O52="",0,VLOOKUP(O52,Definitions!$Z:$AA,COLUMNS(Definitions!$Z:$AA),FALSE))</f>
        <v>0</v>
      </c>
      <c r="AD52" s="20">
        <f t="shared" ca="1" si="3"/>
        <v>25</v>
      </c>
      <c r="AE52" s="20" t="str" cm="1">
        <f t="array" ref="AE52">IF($G52="","",","&amp;SanitizeInput($G52))</f>
        <v>,C1,C3,C5,C6,C7,C8,C28,A19,</v>
      </c>
      <c r="AF52" s="20" t="b" cm="1">
        <f t="array" aca="1" ref="AF52" ca="1">OR($AK52,_xlfn.LAMBDA(_xlpm._ownID,_xlpm._searchHeader,_xlpm._resultHeader,_xlpm._elementCount,_xlpm._delimiter,_xlpm._activeInTreatmentRange,_xlpm._activeByAnswersRange,_xlpm._dependencies,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InverseLookup(_xlpm._ownID,_xlpm._searchHeader,_xlpm._resultHeader,1,_xlpm._elementCount,_xlpm._delimiter))))))($A52,$AE$2,$A$2,Helper!$B$4,",",$A:$V,$A:$AK,InverseLookup($A52,$AE$2,$A$2,1,Helper!$B$4,",")))</f>
        <v>0</v>
      </c>
      <c r="AG52" s="20" t="str" cm="1">
        <f t="array" aca="1" ref="AG52" ca="1">IF(OR($V52,$AF52,$AK52),IF($G52="","",","&amp;SanitizeInput($G52)),"")</f>
        <v/>
      </c>
      <c r="AH52" s="20" t="str" cm="1">
        <f t="array" ref="AH52">SUBSTITUTE(IF($V52,IF($I52="","",","&amp;SanitizeInput($I52)),""),"&gt;",",")</f>
        <v/>
      </c>
      <c r="AI52" s="20" cm="1">
        <f t="array" aca="1" ref="AI52" ca="1">IF(ROW()=ROW($AI$2)+1,0,INDEX($AI:$AI,ROW()-1))+IF($AF52,1,0)</f>
        <v>6</v>
      </c>
      <c r="AJ52" s="20" t="str" cm="1">
        <f t="array" aca="1" ref="AJ52" ca="1">IF($AF52,IF($Q52="","",","&amp;SanitizeInput($Q52)),"")</f>
        <v/>
      </c>
      <c r="AK52" s="20" t="b">
        <f>OR(CheckRelevance(SanitizeInput($D52),Questionnaire!$I:$I),CheckRelevance(SanitizeInput($D52),Questionnaire!$J:$J))</f>
        <v>0</v>
      </c>
      <c r="AL52" s="20" t="str" cm="1">
        <f t="array" ref="AL5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FilterPreconditionCandidates(RemoveFirstElement(_xlpm._preconditionCandidates),_xlpm._searchColumn,_xlpm._delimiter))))(SanitizeInput($D52),Questionnaire!$AA:$AA,",")</f>
        <v/>
      </c>
      <c r="AM52" s="20" t="str" cm="1">
        <f t="array" ref="AM52">IF($D52="*","",InverseLookupList($AL52,Questionnaire!$AA$3,Questionnaire!$A$3,Helper!$B$12,","))</f>
        <v/>
      </c>
      <c r="AN52" s="20" t="str" cm="1">
        <f t="array" ref="AN52">RemoveDelimiter(GetValues($AM52,Questionnaire!$A:$G," ",CHAR(10)&amp;CHAR(10),TRUE),CHAR(10)&amp;CHAR(10))</f>
        <v/>
      </c>
      <c r="AO52" s="20" t="str" cm="1">
        <f t="array" ref="AO52">CreateSearchString($AM52)</f>
        <v/>
      </c>
      <c r="AP52" s="20" t="str" cm="1">
        <f t="array" aca="1" ref="AP52" ca="1">InverseLookup($A52,Mitigation!$AD$2,Mitigation!$A$2,1,Helper!$B$5,",")</f>
        <v/>
      </c>
      <c r="AQ52" s="20" t="str" cm="1">
        <f t="array" aca="1" ref="AQ52" ca="1">CreateSearchString(GetValues($AP52,'Attack Steps'!$A:$O,"",",",FALSE))</f>
        <v/>
      </c>
      <c r="AR52" s="20" t="str">
        <f t="shared" si="2"/>
        <v>CM14</v>
      </c>
    </row>
    <row r="53" spans="1:44" ht="195" x14ac:dyDescent="0.25">
      <c r="A53" s="10" t="s">
        <v>766</v>
      </c>
      <c r="B53" s="13" t="s">
        <v>1527</v>
      </c>
      <c r="C53" s="13" t="s">
        <v>1528</v>
      </c>
      <c r="D53" s="13"/>
      <c r="E53" s="13" t="s">
        <v>203</v>
      </c>
      <c r="F53" s="33" t="str" cm="1">
        <f t="array" aca="1" ref="F53" ca="1">LookupNames(SanitizeInput($E53),'Attack Steps'!$A:$B)</f>
        <v>AS16 Manipulating the product's configuration via its configuration interface</v>
      </c>
      <c r="G53" s="23" t="s">
        <v>1152</v>
      </c>
      <c r="H53" s="33" t="str" cm="1">
        <f t="array" aca="1" ref="H53" ca="1">RemoveDelimiter(GetValuesWithFallback(SanitizeInput($G53),$A:$B,Assumptions!$A:$B," ",","&amp;CHAR(10),TRUE),","&amp;CHAR(10))</f>
        <v>C1 CCSC 1: Support of essential functions,
C3 CCSC 3: Least privilege,
C5 CR 1.3 – Account management,
C6 CR 1.4 – Identifier management,
C7 CR 1.12 – System use notification,
C8 CR 2.1 – Authorization enforcement,
C18 CR 4.3 – Use of cryptography,
C28 CR 1.5 – Authenticator management</v>
      </c>
      <c r="I53" s="23"/>
      <c r="J53" s="37" t="str" cm="1">
        <f t="array" ref="J53">IF($I53="","",SUBSTITUTE(SUBSTITUTE(SUBSTITUTE(SUBSTITUTE(SUBSTITUTE(SUBSTITUTE(SUBSTITUTE(SUBSTITUTE(SUBSTITUTE(
GetTransformation(SanitizeInput($I53),'Damage Scenarios'!$A:$J,COLUMNS('Damage Scenarios'!$A:$J),CHAR(10),"[#0][#1][#2]")&amp;"§",
"[#1][#2]",""),
"[#2]",""),
"[#0][#1]","[#1]"),
"[#0]","Removes:"&amp;CHAR(10)),
"[#1]","Transforms:"&amp;CHAR(10)),
CHAR(10)&amp;"§",""),
"§",""),
CHAR(10),CHAR(10)&amp;"   "),
"   "&amp;"Transforms:","Transforms:"))</f>
        <v/>
      </c>
      <c r="K53" s="13"/>
      <c r="L53" s="13"/>
      <c r="M53" s="13"/>
      <c r="N53" s="13" t="s">
        <v>151</v>
      </c>
      <c r="O53" s="13"/>
      <c r="P53" s="33" t="str">
        <f ca="1">IF($A53="","",IFERROR(VLOOKUP($AD53,Definitions!$V:$W,COLUMNS(Definitions!$V:$W),TRUE),""))</f>
        <v>Beyond High</v>
      </c>
      <c r="Q53" s="23" t="s">
        <v>607</v>
      </c>
      <c r="R53" s="23"/>
      <c r="S53" s="13" t="s">
        <v>1034</v>
      </c>
      <c r="T53" s="10" cm="1">
        <f t="array" ref="T53">IF(ROW()=ROW($T$2)+1,0,INDEX($T:$T,ROW()-1))+IF($A53="",0,1)</f>
        <v>51</v>
      </c>
      <c r="U53" s="20" t="b" cm="1">
        <f t="array" aca="1" ref="U53" ca="1">CheckRelevance(SanitizeInput(E53),Questionnaire!$I:$I)</f>
        <v>0</v>
      </c>
      <c r="V53" s="20" t="b">
        <f>IFERROR(_xlfn.XMATCH("*,"&amp;$A53&amp;",*",Mitigation!$X:$X,2)&gt;0,FALSE)</f>
        <v>0</v>
      </c>
      <c r="W53" s="20" cm="1">
        <f t="array" ref="W53">CreateTaskID($W$2,$W:$W,Tasks!$B$17,$S53)</f>
        <v>1</v>
      </c>
      <c r="X53" s="20" t="str" cm="1">
        <f t="array" ref="X53">IF($E53="","",","&amp;SanitizeInput($E53))</f>
        <v>,AS16,</v>
      </c>
      <c r="Y53" s="20">
        <f>IF(K53="",0,VLOOKUP(K53,Definitions!$Z:$AA,COLUMNS(Definitions!$Z:$AA),FALSE))</f>
        <v>0</v>
      </c>
      <c r="Z53" s="20">
        <f>IF(L53="",0,VLOOKUP(L53,Definitions!$Z:$AA,COLUMNS(Definitions!$Z:$AA),FALSE))</f>
        <v>0</v>
      </c>
      <c r="AA53" s="20">
        <f>IF(M53="",0,VLOOKUP(M53,Definitions!$Z:$AA,COLUMNS(Definitions!$Z:$AA),FALSE))</f>
        <v>0</v>
      </c>
      <c r="AB53" s="20">
        <f>IF(N53="",0,VLOOKUP(N53,Definitions!$Z:$AA,COLUMNS(Definitions!$Z:$AA),FALSE))</f>
        <v>25</v>
      </c>
      <c r="AC53" s="20">
        <f>IF(O53="",0,VLOOKUP(O53,Definitions!$Z:$AA,COLUMNS(Definitions!$Z:$AA),FALSE))</f>
        <v>0</v>
      </c>
      <c r="AD53" s="20">
        <f t="shared" ca="1" si="3"/>
        <v>25</v>
      </c>
      <c r="AE53" s="20" t="str" cm="1">
        <f t="array" ref="AE53">IF($G53="","",","&amp;SanitizeInput($G53))</f>
        <v>,C1,C3,C5,C6,C7,C8,C18,C28,</v>
      </c>
      <c r="AF53" s="20" t="b" cm="1">
        <f t="array" aca="1" ref="AF53" ca="1">OR($AK53,_xlfn.LAMBDA(_xlpm._ownID,_xlpm._searchHeader,_xlpm._resultHeader,_xlpm._elementCount,_xlpm._delimiter,_xlpm._activeInTreatmentRange,_xlpm._activeByAnswersRange,_xlpm._dependencies,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InverseLookup(_xlpm._ownID,_xlpm._searchHeader,_xlpm._resultHeader,1,_xlpm._elementCount,_xlpm._delimiter))))))($A53,$AE$2,$A$2,Helper!$B$4,",",$A:$V,$A:$AK,InverseLookup($A53,$AE$2,$A$2,1,Helper!$B$4,",")))</f>
        <v>0</v>
      </c>
      <c r="AG53" s="20" t="str" cm="1">
        <f t="array" aca="1" ref="AG53" ca="1">IF(OR($V53,$AF53,$AK53),IF($G53="","",","&amp;SanitizeInput($G53)),"")</f>
        <v/>
      </c>
      <c r="AH53" s="20" t="str" cm="1">
        <f t="array" ref="AH53">SUBSTITUTE(IF($V53,IF($I53="","",","&amp;SanitizeInput($I53)),""),"&gt;",",")</f>
        <v/>
      </c>
      <c r="AI53" s="20" cm="1">
        <f t="array" aca="1" ref="AI53" ca="1">IF(ROW()=ROW($AI$2)+1,0,INDEX($AI:$AI,ROW()-1))+IF($AF53,1,0)</f>
        <v>6</v>
      </c>
      <c r="AJ53" s="20" t="str" cm="1">
        <f t="array" aca="1" ref="AJ53" ca="1">IF($AF53,IF($Q53="","",","&amp;SanitizeInput($Q53)),"")</f>
        <v/>
      </c>
      <c r="AK53" s="20" t="b">
        <f>OR(CheckRelevance(SanitizeInput($D53),Questionnaire!$I:$I),CheckRelevance(SanitizeInput($D53),Questionnaire!$J:$J))</f>
        <v>0</v>
      </c>
      <c r="AL53" s="20" t="str" cm="1">
        <f t="array" ref="AL5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FilterPreconditionCandidates(RemoveFirstElement(_xlpm._preconditionCandidates),_xlpm._searchColumn,_xlpm._delimiter))))(SanitizeInput($D53),Questionnaire!$AA:$AA,",")</f>
        <v/>
      </c>
      <c r="AM53" s="20" t="str" cm="1">
        <f t="array" ref="AM53">IF($D53="*","",InverseLookupList($AL53,Questionnaire!$AA$3,Questionnaire!$A$3,Helper!$B$12,","))</f>
        <v/>
      </c>
      <c r="AN53" s="20" t="str" cm="1">
        <f t="array" ref="AN53">RemoveDelimiter(GetValues($AM53,Questionnaire!$A:$G," ",CHAR(10)&amp;CHAR(10),TRUE),CHAR(10)&amp;CHAR(10))</f>
        <v/>
      </c>
      <c r="AO53" s="20" t="str" cm="1">
        <f t="array" ref="AO53">CreateSearchString($AM53)</f>
        <v/>
      </c>
      <c r="AP53" s="20" t="str" cm="1">
        <f t="array" aca="1" ref="AP53" ca="1">InverseLookup($A53,Mitigation!$AD$2,Mitigation!$A$2,1,Helper!$B$5,",")</f>
        <v/>
      </c>
      <c r="AQ53" s="20" t="str" cm="1">
        <f t="array" aca="1" ref="AQ53" ca="1">CreateSearchString(GetValues($AP53,'Attack Steps'!$A:$O,"",",",FALSE))</f>
        <v/>
      </c>
      <c r="AR53" s="20" t="str">
        <f t="shared" si="2"/>
        <v>CM15</v>
      </c>
    </row>
    <row r="54" spans="1:44" ht="135" x14ac:dyDescent="0.25">
      <c r="A54" s="10" t="s">
        <v>774</v>
      </c>
      <c r="B54" s="13" t="s">
        <v>1523</v>
      </c>
      <c r="C54" s="13" t="s">
        <v>1524</v>
      </c>
      <c r="D54" s="13"/>
      <c r="E54" s="13" t="s">
        <v>1004</v>
      </c>
      <c r="F54" s="33" t="str" cm="1">
        <f t="array" aca="1" ref="F54" ca="1">LookupNames(SanitizeInput($E54),'Attack Steps'!$A:$B)</f>
        <v>AS25 Accessing the product's debug interfaces remotely,
AS26 Accessing the product's physical debug interfaces</v>
      </c>
      <c r="G54" s="23" t="s">
        <v>946</v>
      </c>
      <c r="H54" s="33" t="str" cm="1">
        <f t="array" aca="1" ref="H54" ca="1">RemoveDelimiter(GetValuesWithFallback(SanitizeInput($G54),$A:$B,Assumptions!$A:$B," ",","&amp;CHAR(10),TRUE),","&amp;CHAR(10))</f>
        <v>C4 CR 1.1 – Human user identification and authentication,
C26 EDR 2.13 / HDR 2.13 / NDR 2.13 – Use of physical diagnostic and test interfaces,
A19 SDR 1.15 – Password security</v>
      </c>
      <c r="I54" s="23"/>
      <c r="J54" s="37" t="str" cm="1">
        <f t="array" ref="J54">IF($I54="","",SUBSTITUTE(SUBSTITUTE(SUBSTITUTE(SUBSTITUTE(SUBSTITUTE(SUBSTITUTE(SUBSTITUTE(SUBSTITUTE(SUBSTITUTE(
GetTransformation(SanitizeInput($I54),'Damage Scenarios'!$A:$J,COLUMNS('Damage Scenarios'!$A:$J),CHAR(10),"[#0][#1][#2]")&amp;"§",
"[#1][#2]",""),
"[#2]",""),
"[#0][#1]","[#1]"),
"[#0]","Removes:"&amp;CHAR(10)),
"[#1]","Transforms:"&amp;CHAR(10)),
CHAR(10)&amp;"§",""),
"§",""),
CHAR(10),CHAR(10)&amp;"   "),
"   "&amp;"Transforms:","Transforms:"))</f>
        <v/>
      </c>
      <c r="K54" s="13" t="s">
        <v>137</v>
      </c>
      <c r="L54" s="13"/>
      <c r="M54" s="13"/>
      <c r="N54" s="13"/>
      <c r="O54" s="13"/>
      <c r="P54" s="33" t="str">
        <f ca="1">IF($A54="","",IFERROR(VLOOKUP($AD54,Definitions!$V:$W,COLUMNS(Definitions!$V:$W),TRUE),""))</f>
        <v>Beyond High</v>
      </c>
      <c r="Q54" s="23" t="s">
        <v>607</v>
      </c>
      <c r="R54" s="23"/>
      <c r="S54" s="13" t="s">
        <v>1218</v>
      </c>
      <c r="T54" s="10" cm="1">
        <f t="array" ref="T54">IF(ROW()=ROW($T$2)+1,0,INDEX($T:$T,ROW()-1))+IF($A54="",0,1)</f>
        <v>52</v>
      </c>
      <c r="U54" s="20" t="b" cm="1">
        <f t="array" aca="1" ref="U54" ca="1">CheckRelevance(SanitizeInput(E54),Questionnaire!$I:$I)</f>
        <v>0</v>
      </c>
      <c r="V54" s="20" t="b">
        <f>IFERROR(_xlfn.XMATCH("*,"&amp;$A54&amp;",*",Mitigation!$X:$X,2)&gt;0,FALSE)</f>
        <v>0</v>
      </c>
      <c r="W54" s="20" cm="1">
        <f t="array" ref="W54">CreateTaskID($W$2,$W:$W,Tasks!$B$17,$S54)</f>
        <v>1</v>
      </c>
      <c r="X54" s="20" t="str" cm="1">
        <f t="array" ref="X54">IF($E54="","",","&amp;SanitizeInput($E54))</f>
        <v>,AS25,AS26,</v>
      </c>
      <c r="Y54" s="20">
        <f>IF(K54="",0,VLOOKUP(K54,Definitions!$Z:$AA,COLUMNS(Definitions!$Z:$AA),FALSE))</f>
        <v>25</v>
      </c>
      <c r="Z54" s="20">
        <f>IF(L54="",0,VLOOKUP(L54,Definitions!$Z:$AA,COLUMNS(Definitions!$Z:$AA),FALSE))</f>
        <v>0</v>
      </c>
      <c r="AA54" s="20">
        <f>IF(M54="",0,VLOOKUP(M54,Definitions!$Z:$AA,COLUMNS(Definitions!$Z:$AA),FALSE))</f>
        <v>0</v>
      </c>
      <c r="AB54" s="20">
        <f>IF(N54="",0,VLOOKUP(N54,Definitions!$Z:$AA,COLUMNS(Definitions!$Z:$AA),FALSE))</f>
        <v>0</v>
      </c>
      <c r="AC54" s="20">
        <f>IF(O54="",0,VLOOKUP(O54,Definitions!$Z:$AA,COLUMNS(Definitions!$Z:$AA),FALSE))</f>
        <v>0</v>
      </c>
      <c r="AD54" s="20">
        <f t="shared" ca="1" si="3"/>
        <v>25</v>
      </c>
      <c r="AE54" s="20" t="str" cm="1">
        <f t="array" ref="AE54">IF($G54="","",","&amp;SanitizeInput($G54))</f>
        <v>,C4,C26,A19,</v>
      </c>
      <c r="AF54" s="20" t="b" cm="1">
        <f t="array" aca="1" ref="AF54" ca="1">OR($AK54,_xlfn.LAMBDA(_xlpm._ownID,_xlpm._searchHeader,_xlpm._resultHeader,_xlpm._elementCount,_xlpm._delimiter,_xlpm._activeInTreatmentRange,_xlpm._activeByAnswersRange,_xlpm._dependencies,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InverseLookup(_xlpm._ownID,_xlpm._searchHeader,_xlpm._resultHeader,1,_xlpm._elementCount,_xlpm._delimiter))))))($A54,$AE$2,$A$2,Helper!$B$4,",",$A:$V,$A:$AK,InverseLookup($A54,$AE$2,$A$2,1,Helper!$B$4,",")))</f>
        <v>0</v>
      </c>
      <c r="AG54" s="20" t="str" cm="1">
        <f t="array" aca="1" ref="AG54" ca="1">IF(OR($V54,$AF54,$AK54),IF($G54="","",","&amp;SanitizeInput($G54)),"")</f>
        <v/>
      </c>
      <c r="AH54" s="20" t="str" cm="1">
        <f t="array" ref="AH54">SUBSTITUTE(IF($V54,IF($I54="","",","&amp;SanitizeInput($I54)),""),"&gt;",",")</f>
        <v/>
      </c>
      <c r="AI54" s="20" cm="1">
        <f t="array" aca="1" ref="AI54" ca="1">IF(ROW()=ROW($AI$2)+1,0,INDEX($AI:$AI,ROW()-1))+IF($AF54,1,0)</f>
        <v>6</v>
      </c>
      <c r="AJ54" s="20" t="str" cm="1">
        <f t="array" aca="1" ref="AJ54" ca="1">IF($AF54,IF($Q54="","",","&amp;SanitizeInput($Q54)),"")</f>
        <v/>
      </c>
      <c r="AK54" s="20" t="b">
        <f>OR(CheckRelevance(SanitizeInput($D54),Questionnaire!$I:$I),CheckRelevance(SanitizeInput($D54),Questionnaire!$J:$J))</f>
        <v>0</v>
      </c>
      <c r="AL54" s="20" t="str" cm="1">
        <f t="array" ref="AL5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FilterPreconditionCandidates(RemoveFirstElement(_xlpm._preconditionCandidates),_xlpm._searchColumn,_xlpm._delimiter))))(SanitizeInput($D54),Questionnaire!$AA:$AA,",")</f>
        <v/>
      </c>
      <c r="AM54" s="20" t="str" cm="1">
        <f t="array" ref="AM54">IF($D54="*","",InverseLookupList($AL54,Questionnaire!$AA$3,Questionnaire!$A$3,Helper!$B$12,","))</f>
        <v/>
      </c>
      <c r="AN54" s="20" t="str" cm="1">
        <f t="array" ref="AN54">RemoveDelimiter(GetValues($AM54,Questionnaire!$A:$G," ",CHAR(10)&amp;CHAR(10),TRUE),CHAR(10)&amp;CHAR(10))</f>
        <v/>
      </c>
      <c r="AO54" s="20" t="str" cm="1">
        <f t="array" ref="AO54">CreateSearchString($AM54)</f>
        <v/>
      </c>
      <c r="AP54" s="20" t="str" cm="1">
        <f t="array" aca="1" ref="AP54" ca="1">InverseLookup($A54,Mitigation!$AD$2,Mitigation!$A$2,1,Helper!$B$5,",")</f>
        <v/>
      </c>
      <c r="AQ54" s="20" t="str" cm="1">
        <f t="array" aca="1" ref="AQ54" ca="1">CreateSearchString(GetValues($AP54,'Attack Steps'!$A:$O,"",",",FALSE))</f>
        <v/>
      </c>
      <c r="AR54" s="20" t="str">
        <f t="shared" si="2"/>
        <v>CM16</v>
      </c>
    </row>
    <row r="55" spans="1:44" ht="225" x14ac:dyDescent="0.25">
      <c r="A55" s="10" t="s">
        <v>775</v>
      </c>
      <c r="B55" s="13" t="s">
        <v>1521</v>
      </c>
      <c r="C55" s="13" t="s">
        <v>1522</v>
      </c>
      <c r="D55" s="13"/>
      <c r="E55" s="13" t="s">
        <v>1004</v>
      </c>
      <c r="F55" s="33" t="str" cm="1">
        <f t="array" aca="1" ref="F55" ca="1">LookupNames(SanitizeInput($E55),'Attack Steps'!$A:$B)</f>
        <v>AS25 Accessing the product's debug interfaces remotely,
AS26 Accessing the product's physical debug interfaces</v>
      </c>
      <c r="G55" s="23" t="s">
        <v>947</v>
      </c>
      <c r="H55" s="33" t="str" cm="1">
        <f t="array" aca="1" ref="H55" ca="1">RemoveDelimiter(GetValuesWithFallback(SanitizeInput($G55),$A:$B,Assumptions!$A:$B," ",","&amp;CHAR(10),TRUE),","&amp;CHAR(10))</f>
        <v>C4 CR 1.1 – Human user identification and authentication,
C26 EDR 2.13 / HDR 2.13 / NDR 2.13 – Use of physical diagnostic and test interfaces,
A20 SDR 1.16 – Private key security</v>
      </c>
      <c r="I55" s="23"/>
      <c r="J55" s="37" t="str" cm="1">
        <f t="array" ref="J55">IF($I55="","",SUBSTITUTE(SUBSTITUTE(SUBSTITUTE(SUBSTITUTE(SUBSTITUTE(SUBSTITUTE(SUBSTITUTE(SUBSTITUTE(SUBSTITUTE(
GetTransformation(SanitizeInput($I55),'Damage Scenarios'!$A:$J,COLUMNS('Damage Scenarios'!$A:$J),CHAR(10),"[#0][#1][#2]")&amp;"§",
"[#1][#2]",""),
"[#2]",""),
"[#0][#1]","[#1]"),
"[#0]","Removes:"&amp;CHAR(10)),
"[#1]","Transforms:"&amp;CHAR(10)),
CHAR(10)&amp;"§",""),
"§",""),
CHAR(10),CHAR(10)&amp;"   "),
"   "&amp;"Transforms:","Transforms:"))</f>
        <v/>
      </c>
      <c r="K55" s="13" t="s">
        <v>137</v>
      </c>
      <c r="L55" s="13"/>
      <c r="M55" s="13"/>
      <c r="N55" s="13"/>
      <c r="O55" s="13"/>
      <c r="P55" s="33" t="str">
        <f ca="1">IF($A55="","",IFERROR(VLOOKUP($AD55,Definitions!$V:$W,COLUMNS(Definitions!$V:$W),TRUE),""))</f>
        <v>Beyond High</v>
      </c>
      <c r="Q55" s="23" t="s">
        <v>607</v>
      </c>
      <c r="R55" s="23"/>
      <c r="S55" s="13" t="s">
        <v>1219</v>
      </c>
      <c r="T55" s="10" cm="1">
        <f t="array" ref="T55">IF(ROW()=ROW($T$2)+1,0,INDEX($T:$T,ROW()-1))+IF($A55="",0,1)</f>
        <v>53</v>
      </c>
      <c r="U55" s="20" t="b" cm="1">
        <f t="array" aca="1" ref="U55" ca="1">CheckRelevance(SanitizeInput(E55),Questionnaire!$I:$I)</f>
        <v>0</v>
      </c>
      <c r="V55" s="20" t="b">
        <f>IFERROR(_xlfn.XMATCH("*,"&amp;$A55&amp;",*",Mitigation!$X:$X,2)&gt;0,FALSE)</f>
        <v>0</v>
      </c>
      <c r="W55" s="20" cm="1">
        <f t="array" ref="W55">CreateTaskID($W$2,$W:$W,Tasks!$B$17,$S55)</f>
        <v>1</v>
      </c>
      <c r="X55" s="20" t="str" cm="1">
        <f t="array" ref="X55">IF($E55="","",","&amp;SanitizeInput($E55))</f>
        <v>,AS25,AS26,</v>
      </c>
      <c r="Y55" s="20">
        <f>IF(K55="",0,VLOOKUP(K55,Definitions!$Z:$AA,COLUMNS(Definitions!$Z:$AA),FALSE))</f>
        <v>25</v>
      </c>
      <c r="Z55" s="20">
        <f>IF(L55="",0,VLOOKUP(L55,Definitions!$Z:$AA,COLUMNS(Definitions!$Z:$AA),FALSE))</f>
        <v>0</v>
      </c>
      <c r="AA55" s="20">
        <f>IF(M55="",0,VLOOKUP(M55,Definitions!$Z:$AA,COLUMNS(Definitions!$Z:$AA),FALSE))</f>
        <v>0</v>
      </c>
      <c r="AB55" s="20">
        <f>IF(N55="",0,VLOOKUP(N55,Definitions!$Z:$AA,COLUMNS(Definitions!$Z:$AA),FALSE))</f>
        <v>0</v>
      </c>
      <c r="AC55" s="20">
        <f>IF(O55="",0,VLOOKUP(O55,Definitions!$Z:$AA,COLUMNS(Definitions!$Z:$AA),FALSE))</f>
        <v>0</v>
      </c>
      <c r="AD55" s="20">
        <f t="shared" ca="1" si="3"/>
        <v>25</v>
      </c>
      <c r="AE55" s="20" t="str" cm="1">
        <f t="array" ref="AE55">IF($G55="","",","&amp;SanitizeInput($G55))</f>
        <v>,C4,C26,A20,</v>
      </c>
      <c r="AF55" s="20" t="b" cm="1">
        <f t="array" aca="1" ref="AF55" ca="1">OR($AK55,_xlfn.LAMBDA(_xlpm._ownID,_xlpm._searchHeader,_xlpm._resultHeader,_xlpm._elementCount,_xlpm._delimiter,_xlpm._activeInTreatmentRange,_xlpm._activeByAnswersRange,_xlpm._dependencies,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InverseLookup(_xlpm._ownID,_xlpm._searchHeader,_xlpm._resultHeader,1,_xlpm._elementCount,_xlpm._delimiter))))))($A55,$AE$2,$A$2,Helper!$B$4,",",$A:$V,$A:$AK,InverseLookup($A55,$AE$2,$A$2,1,Helper!$B$4,",")))</f>
        <v>0</v>
      </c>
      <c r="AG55" s="20" t="str" cm="1">
        <f t="array" aca="1" ref="AG55" ca="1">IF(OR($V55,$AF55,$AK55),IF($G55="","",","&amp;SanitizeInput($G55)),"")</f>
        <v/>
      </c>
      <c r="AH55" s="20" t="str" cm="1">
        <f t="array" ref="AH55">SUBSTITUTE(IF($V55,IF($I55="","",","&amp;SanitizeInput($I55)),""),"&gt;",",")</f>
        <v/>
      </c>
      <c r="AI55" s="20" cm="1">
        <f t="array" aca="1" ref="AI55" ca="1">IF(ROW()=ROW($AI$2)+1,0,INDEX($AI:$AI,ROW()-1))+IF($AF55,1,0)</f>
        <v>6</v>
      </c>
      <c r="AJ55" s="20" t="str" cm="1">
        <f t="array" aca="1" ref="AJ55" ca="1">IF($AF55,IF($Q55="","",","&amp;SanitizeInput($Q55)),"")</f>
        <v/>
      </c>
      <c r="AK55" s="20" t="b">
        <f>OR(CheckRelevance(SanitizeInput($D55),Questionnaire!$I:$I),CheckRelevance(SanitizeInput($D55),Questionnaire!$J:$J))</f>
        <v>0</v>
      </c>
      <c r="AL55" s="20" t="str" cm="1">
        <f t="array" ref="AL5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FilterPreconditionCandidates(RemoveFirstElement(_xlpm._preconditionCandidates),_xlpm._searchColumn,_xlpm._delimiter))))(SanitizeInput($D55),Questionnaire!$AA:$AA,",")</f>
        <v/>
      </c>
      <c r="AM55" s="20" t="str" cm="1">
        <f t="array" ref="AM55">IF($D55="*","",InverseLookupList($AL55,Questionnaire!$AA$3,Questionnaire!$A$3,Helper!$B$12,","))</f>
        <v/>
      </c>
      <c r="AN55" s="20" t="str" cm="1">
        <f t="array" ref="AN55">RemoveDelimiter(GetValues($AM55,Questionnaire!$A:$G," ",CHAR(10)&amp;CHAR(10),TRUE),CHAR(10)&amp;CHAR(10))</f>
        <v/>
      </c>
      <c r="AO55" s="20" t="str" cm="1">
        <f t="array" ref="AO55">CreateSearchString($AM55)</f>
        <v/>
      </c>
      <c r="AP55" s="20" t="str" cm="1">
        <f t="array" aca="1" ref="AP55" ca="1">InverseLookup($A55,Mitigation!$AD$2,Mitigation!$A$2,1,Helper!$B$5,",")</f>
        <v/>
      </c>
      <c r="AQ55" s="20" t="str" cm="1">
        <f t="array" aca="1" ref="AQ55" ca="1">CreateSearchString(GetValues($AP55,'Attack Steps'!$A:$O,"",",",FALSE))</f>
        <v/>
      </c>
      <c r="AR55" s="20" t="str">
        <f t="shared" si="2"/>
        <v>CM17</v>
      </c>
    </row>
    <row r="56" spans="1:44" ht="84.75" x14ac:dyDescent="0.25">
      <c r="A56" s="10" t="s">
        <v>933</v>
      </c>
      <c r="B56" s="13" t="s">
        <v>1525</v>
      </c>
      <c r="C56" s="13" t="s">
        <v>1526</v>
      </c>
      <c r="D56" s="13"/>
      <c r="E56" s="13" t="s">
        <v>948</v>
      </c>
      <c r="F56" s="33" t="str" cm="1">
        <f t="array" aca="1" ref="F56" ca="1">LookupNames(SanitizeInput($E56),'Attack Steps'!$A:$B)</f>
        <v>AS32 Extracting or misusing &lt;OEM name&gt; IP</v>
      </c>
      <c r="G56" s="23"/>
      <c r="H56" s="33" t="str" cm="1">
        <f t="array" ref="H56">RemoveDelimiter(GetValuesWithFallback(SanitizeInput($G56),$A:$B,Assumptions!$A:$B," ",","&amp;CHAR(10),TRUE),","&amp;CHAR(10))</f>
        <v/>
      </c>
      <c r="I56" s="23" t="s">
        <v>941</v>
      </c>
      <c r="J56" s="37" t="str" cm="1">
        <f t="array" aca="1" ref="J56" ca="1">IF($I56="","",SUBSTITUTE(SUBSTITUTE(SUBSTITUTE(SUBSTITUTE(SUBSTITUTE(SUBSTITUTE(SUBSTITUTE(SUBSTITUTE(SUBSTITUTE(
GetTransformation(SanitizeInput($I56),'Damage Scenarios'!$A:$J,COLUMNS('Damage Scenarios'!$A:$J),CHAR(10),"[#0][#1][#2]")&amp;"§",
"[#1][#2]",""),
"[#2]",""),
"[#0][#1]","[#1]"),
"[#0]","Removes:"&amp;CHAR(10)),
"[#1]","Transforms:"&amp;CHAR(10)),
CHAR(10)&amp;"§",""),
"§",""),
CHAR(10),CHAR(10)&amp;"   "),
"   "&amp;"Transforms:","Transforms:"))</f>
        <v>Transforms:
   DS3 
   -----&gt; DS19 &lt;OEM name&gt; can proof misuse of patented IP
   DS12 
   -----&gt; DS19 &lt;OEM name&gt; can proof misuse of patented IP</v>
      </c>
      <c r="K56" s="13"/>
      <c r="L56" s="13"/>
      <c r="M56" s="13"/>
      <c r="N56" s="13"/>
      <c r="O56" s="13"/>
      <c r="P56" s="33" t="str">
        <f ca="1">IF($A56="","",IFERROR(VLOOKUP($AD56,Definitions!$V:$W,COLUMNS(Definitions!$V:$W),TRUE),""))</f>
        <v>Basic</v>
      </c>
      <c r="Q56" s="23" t="s">
        <v>62</v>
      </c>
      <c r="R56" s="23"/>
      <c r="S56" s="13" t="s">
        <v>1037</v>
      </c>
      <c r="T56" s="10" cm="1">
        <f t="array" ref="T56">IF(ROW()=ROW($T$2)+1,0,INDEX($T:$T,ROW()-1))+IF($A56="",0,1)</f>
        <v>54</v>
      </c>
      <c r="U56" s="20" t="b" cm="1">
        <f t="array" aca="1" ref="U56" ca="1">CheckRelevance(SanitizeInput(E56),Questionnaire!$I:$I)</f>
        <v>0</v>
      </c>
      <c r="V56" s="20" t="b">
        <f>IFERROR(_xlfn.XMATCH("*,"&amp;$A56&amp;",*",Mitigation!$X:$X,2)&gt;0,FALSE)</f>
        <v>0</v>
      </c>
      <c r="W56" s="20" cm="1">
        <f t="array" ref="W56">CreateTaskID($W$2,$W:$W,Tasks!$B$17,$S56)</f>
        <v>1</v>
      </c>
      <c r="X56" s="20" t="str" cm="1">
        <f t="array" ref="X56">IF($E56="","",","&amp;SanitizeInput($E56))</f>
        <v>,AS32,</v>
      </c>
      <c r="Y56" s="20">
        <f>IF(K56="",0,VLOOKUP(K56,Definitions!$Z:$AA,COLUMNS(Definitions!$Z:$AA),FALSE))</f>
        <v>0</v>
      </c>
      <c r="Z56" s="20">
        <f>IF(L56="",0,VLOOKUP(L56,Definitions!$Z:$AA,COLUMNS(Definitions!$Z:$AA),FALSE))</f>
        <v>0</v>
      </c>
      <c r="AA56" s="20">
        <f>IF(M56="",0,VLOOKUP(M56,Definitions!$Z:$AA,COLUMNS(Definitions!$Z:$AA),FALSE))</f>
        <v>0</v>
      </c>
      <c r="AB56" s="20">
        <f>IF(N56="",0,VLOOKUP(N56,Definitions!$Z:$AA,COLUMNS(Definitions!$Z:$AA),FALSE))</f>
        <v>0</v>
      </c>
      <c r="AC56" s="20">
        <f>IF(O56="",0,VLOOKUP(O56,Definitions!$Z:$AA,COLUMNS(Definitions!$Z:$AA),FALSE))</f>
        <v>0</v>
      </c>
      <c r="AD56" s="20">
        <f t="shared" ca="1" si="3"/>
        <v>0</v>
      </c>
      <c r="AE56" s="20" t="str" cm="1">
        <f t="array" ref="AE56">IF($G56="","",","&amp;SanitizeInput($G56))</f>
        <v/>
      </c>
      <c r="AF56" s="20" t="b" cm="1">
        <f t="array" aca="1" ref="AF56" ca="1">OR($AK56,_xlfn.LAMBDA(_xlpm._ownID,_xlpm._searchHeader,_xlpm._resultHeader,_xlpm._elementCount,_xlpm._delimiter,_xlpm._activeInTreatmentRange,_xlpm._activeByAnswersRange,_xlpm._dependencies,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InverseLookup(_xlpm._ownID,_xlpm._searchHeader,_xlpm._resultHeader,1,_xlpm._elementCount,_xlpm._delimiter))))))($A56,$AE$2,$A$2,Helper!$B$4,",",$A:$V,$A:$AK,InverseLookup($A56,$AE$2,$A$2,1,Helper!$B$4,",")))</f>
        <v>0</v>
      </c>
      <c r="AG56" s="20" t="str" cm="1">
        <f t="array" aca="1" ref="AG56" ca="1">IF(OR($V56,$AF56,$AK56),IF($G56="","",","&amp;SanitizeInput($G56)),"")</f>
        <v/>
      </c>
      <c r="AH56" s="20" t="str" cm="1">
        <f t="array" ref="AH56">SUBSTITUTE(IF($V56,IF($I56="","",","&amp;SanitizeInput($I56)),""),"&gt;",",")</f>
        <v/>
      </c>
      <c r="AI56" s="20" cm="1">
        <f t="array" aca="1" ref="AI56" ca="1">IF(ROW()=ROW($AI$2)+1,0,INDEX($AI:$AI,ROW()-1))+IF($AF56,1,0)</f>
        <v>6</v>
      </c>
      <c r="AJ56" s="20" t="str" cm="1">
        <f t="array" aca="1" ref="AJ56" ca="1">IF($AF56,IF($Q56="","",","&amp;SanitizeInput($Q56)),"")</f>
        <v/>
      </c>
      <c r="AK56" s="20" t="b">
        <f>OR(CheckRelevance(SanitizeInput($D56),Questionnaire!$I:$I),CheckRelevance(SanitizeInput($D56),Questionnaire!$J:$J))</f>
        <v>0</v>
      </c>
      <c r="AL56" s="20" t="str" cm="1">
        <f t="array" ref="AL5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FilterPreconditionCandidates(RemoveFirstElement(_xlpm._preconditionCandidates),_xlpm._searchColumn,_xlpm._delimiter))))(SanitizeInput($D56),Questionnaire!$AA:$AA,",")</f>
        <v/>
      </c>
      <c r="AM56" s="20" t="str" cm="1">
        <f t="array" ref="AM56">IF($D56="*","",InverseLookupList($AL56,Questionnaire!$AA$3,Questionnaire!$A$3,Helper!$B$12,","))</f>
        <v/>
      </c>
      <c r="AN56" s="20" t="str" cm="1">
        <f t="array" ref="AN56">RemoveDelimiter(GetValues($AM56,Questionnaire!$A:$G," ",CHAR(10)&amp;CHAR(10),TRUE),CHAR(10)&amp;CHAR(10))</f>
        <v/>
      </c>
      <c r="AO56" s="20" t="str" cm="1">
        <f t="array" ref="AO56">CreateSearchString($AM56)</f>
        <v/>
      </c>
      <c r="AP56" s="20" t="str" cm="1">
        <f t="array" aca="1" ref="AP56" ca="1">InverseLookup($A56,Mitigation!$AD$2,Mitigation!$A$2,1,Helper!$B$5,",")</f>
        <v/>
      </c>
      <c r="AQ56" s="20" t="str" cm="1">
        <f t="array" aca="1" ref="AQ56" ca="1">CreateSearchString(GetValues($AP56,'Attack Steps'!$A:$O,"",",",FALSE))</f>
        <v/>
      </c>
      <c r="AR56" s="20" t="str">
        <f t="shared" si="2"/>
        <v>CM18</v>
      </c>
    </row>
    <row r="57" spans="1:44" ht="105" x14ac:dyDescent="0.25">
      <c r="A57" s="10" t="s">
        <v>973</v>
      </c>
      <c r="B57" s="13" t="s">
        <v>1707</v>
      </c>
      <c r="C57" s="13" t="s">
        <v>1753</v>
      </c>
      <c r="D57" s="13"/>
      <c r="E57" s="13" t="s">
        <v>204</v>
      </c>
      <c r="F57" s="33" t="str" cm="1">
        <f t="array" aca="1" ref="F57" ca="1">LookupNames(SanitizeInput($E57),'Attack Steps'!$A:$B)</f>
        <v>AS17 Sending manipulated or malicious data to the product (from an untrusted source)</v>
      </c>
      <c r="G57" s="23"/>
      <c r="H57" s="33" t="str" cm="1">
        <f t="array" ref="H57">RemoveDelimiter(GetValuesWithFallback(SanitizeInput($G57),$A:$B,Assumptions!$A:$B," ",","&amp;CHAR(10),TRUE),","&amp;CHAR(10))</f>
        <v/>
      </c>
      <c r="I57" s="23"/>
      <c r="J57" s="37" t="str" cm="1">
        <f t="array" ref="J57">IF($I57="","",SUBSTITUTE(SUBSTITUTE(SUBSTITUTE(SUBSTITUTE(SUBSTITUTE(SUBSTITUTE(SUBSTITUTE(SUBSTITUTE(SUBSTITUTE(
GetTransformation(SanitizeInput($I57),'Damage Scenarios'!$A:$J,COLUMNS('Damage Scenarios'!$A:$J),CHAR(10),"[#0][#1][#2]")&amp;"§",
"[#1][#2]",""),
"[#2]",""),
"[#0][#1]","[#1]"),
"[#0]","Removes:"&amp;CHAR(10)),
"[#1]","Transforms:"&amp;CHAR(10)),
CHAR(10)&amp;"§",""),
"§",""),
CHAR(10),CHAR(10)&amp;"   "),
"   "&amp;"Transforms:","Transforms:"))</f>
        <v/>
      </c>
      <c r="K57" s="13"/>
      <c r="L57" s="13"/>
      <c r="M57" s="13"/>
      <c r="N57" s="13" t="s">
        <v>151</v>
      </c>
      <c r="O57" s="13"/>
      <c r="P57" s="33" t="str">
        <f ca="1">IF($A57="","",IFERROR(VLOOKUP($AD57,Definitions!$V:$W,COLUMNS(Definitions!$V:$W),TRUE),""))</f>
        <v>Beyond High</v>
      </c>
      <c r="Q57" s="23" t="s">
        <v>1629</v>
      </c>
      <c r="R57" s="23"/>
      <c r="S57" s="13" t="s">
        <v>1636</v>
      </c>
      <c r="T57" s="10" cm="1">
        <f t="array" ref="T57">IF(ROW()=ROW($T$2)+1,0,INDEX($T:$T,ROW()-1))+IF($A57="",0,1)</f>
        <v>55</v>
      </c>
      <c r="U57" s="20" t="b" cm="1">
        <f t="array" aca="1" ref="U57" ca="1">CheckRelevance(SanitizeInput(E57),Questionnaire!$I:$I)</f>
        <v>0</v>
      </c>
      <c r="V57" s="20" t="b">
        <f>IFERROR(_xlfn.XMATCH("*,"&amp;$A57&amp;",*",Mitigation!$X:$X,2)&gt;0,FALSE)</f>
        <v>0</v>
      </c>
      <c r="W57" s="20" cm="1">
        <f t="array" ref="W57">CreateTaskID($W$2,$W:$W,Tasks!$B$17,$S57)</f>
        <v>1</v>
      </c>
      <c r="X57" s="20" t="str" cm="1">
        <f t="array" ref="X57">IF($E57="","",","&amp;SanitizeInput($E57))</f>
        <v>,AS17,</v>
      </c>
      <c r="Y57" s="20">
        <f>IF(K57="",0,VLOOKUP(K57,Definitions!$Z:$AA,COLUMNS(Definitions!$Z:$AA),FALSE))</f>
        <v>0</v>
      </c>
      <c r="Z57" s="20">
        <f>IF(L57="",0,VLOOKUP(L57,Definitions!$Z:$AA,COLUMNS(Definitions!$Z:$AA),FALSE))</f>
        <v>0</v>
      </c>
      <c r="AA57" s="20">
        <f>IF(M57="",0,VLOOKUP(M57,Definitions!$Z:$AA,COLUMNS(Definitions!$Z:$AA),FALSE))</f>
        <v>0</v>
      </c>
      <c r="AB57" s="20">
        <f>IF(N57="",0,VLOOKUP(N57,Definitions!$Z:$AA,COLUMNS(Definitions!$Z:$AA),FALSE))</f>
        <v>25</v>
      </c>
      <c r="AC57" s="20">
        <f>IF(O57="",0,VLOOKUP(O57,Definitions!$Z:$AA,COLUMNS(Definitions!$Z:$AA),FALSE))</f>
        <v>0</v>
      </c>
      <c r="AD57" s="20">
        <f t="shared" ca="1" si="3"/>
        <v>25</v>
      </c>
      <c r="AE57" s="20" t="str" cm="1">
        <f t="array" ref="AE57">IF($G57="","",","&amp;SanitizeInput($G57))</f>
        <v/>
      </c>
      <c r="AF57" s="20" t="b" cm="1">
        <f t="array" aca="1" ref="AF57" ca="1">OR($AK57,_xlfn.LAMBDA(_xlpm._ownID,_xlpm._searchHeader,_xlpm._resultHeader,_xlpm._elementCount,_xlpm._delimiter,_xlpm._activeInTreatmentRange,_xlpm._activeByAnswersRange,_xlpm._dependencies,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InverseLookup(_xlpm._ownID,_xlpm._searchHeader,_xlpm._resultHeader,1,_xlpm._elementCount,_xlpm._delimiter))))))($A57,$AE$2,$A$2,Helper!$B$4,",",$A:$V,$A:$AK,InverseLookup($A57,$AE$2,$A$2,1,Helper!$B$4,",")))</f>
        <v>0</v>
      </c>
      <c r="AG57" s="20" t="str" cm="1">
        <f t="array" aca="1" ref="AG57" ca="1">IF(OR($V57,$AF57,$AK57),IF($G57="","",","&amp;SanitizeInput($G57)),"")</f>
        <v/>
      </c>
      <c r="AH57" s="20" t="str" cm="1">
        <f t="array" ref="AH57">SUBSTITUTE(IF($V57,IF($I57="","",","&amp;SanitizeInput($I57)),""),"&gt;",",")</f>
        <v/>
      </c>
      <c r="AI57" s="20" cm="1">
        <f t="array" aca="1" ref="AI57" ca="1">IF(ROW()=ROW($AI$2)+1,0,INDEX($AI:$AI,ROW()-1))+IF($AF57,1,0)</f>
        <v>6</v>
      </c>
      <c r="AJ57" s="20" t="str" cm="1">
        <f t="array" aca="1" ref="AJ57" ca="1">IF($AF57,IF($Q57="","",","&amp;SanitizeInput($Q57)),"")</f>
        <v/>
      </c>
      <c r="AK57" s="20" t="b">
        <f>OR(CheckRelevance(SanitizeInput($D57),Questionnaire!$I:$I),CheckRelevance(SanitizeInput($D57),Questionnaire!$J:$J))</f>
        <v>0</v>
      </c>
      <c r="AL57" s="20" t="str" cm="1">
        <f t="array" ref="AL57">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FilterPreconditionCandidates(RemoveFirstElement(_xlpm._preconditionCandidates),_xlpm._searchColumn,_xlpm._delimiter))))(SanitizeInput($D57),Questionnaire!$AA:$AA,",")</f>
        <v/>
      </c>
      <c r="AM57" s="20" t="str" cm="1">
        <f t="array" ref="AM57">IF($D57="*","",InverseLookupList($AL57,Questionnaire!$AA$3,Questionnaire!$A$3,Helper!$B$12,","))</f>
        <v/>
      </c>
      <c r="AN57" s="20" t="str" cm="1">
        <f t="array" ref="AN57">RemoveDelimiter(GetValues($AM57,Questionnaire!$A:$G," ",CHAR(10)&amp;CHAR(10),TRUE),CHAR(10)&amp;CHAR(10))</f>
        <v/>
      </c>
      <c r="AO57" s="20" t="str" cm="1">
        <f t="array" ref="AO57">CreateSearchString($AM57)</f>
        <v/>
      </c>
      <c r="AP57" s="20" t="str" cm="1">
        <f t="array" aca="1" ref="AP57" ca="1">InverseLookup($A57,Mitigation!$AD$2,Mitigation!$A$2,1,Helper!$B$5,",")</f>
        <v/>
      </c>
      <c r="AQ57" s="20" t="str" cm="1">
        <f t="array" aca="1" ref="AQ57" ca="1">CreateSearchString(GetValues($AP57,'Attack Steps'!$A:$O,"",",",FALSE))</f>
        <v/>
      </c>
      <c r="AR57" s="20" t="str">
        <f t="shared" si="2"/>
        <v>CM19</v>
      </c>
    </row>
    <row r="58" spans="1:44" ht="30" x14ac:dyDescent="0.25">
      <c r="A58" s="10" t="s">
        <v>991</v>
      </c>
      <c r="B58" s="13" t="s">
        <v>1516</v>
      </c>
      <c r="C58" s="13" t="s">
        <v>1517</v>
      </c>
      <c r="D58" s="13"/>
      <c r="E58" s="13" t="s">
        <v>108</v>
      </c>
      <c r="F58" s="33" t="str" cm="1">
        <f t="array" aca="1" ref="F58" ca="1">LookupNames(SanitizeInput($E58),'Attack Steps'!$A:$B)</f>
        <v>AS2 Getting access to a wireless network</v>
      </c>
      <c r="G58" s="23" t="s">
        <v>403</v>
      </c>
      <c r="H58" s="33" t="str" cm="1">
        <f t="array" aca="1" ref="H58" ca="1">RemoveDelimiter(GetValuesWithFallback(SanitizeInput($G58),$A:$B,Assumptions!$A:$B," ",","&amp;CHAR(10),TRUE),","&amp;CHAR(10))</f>
        <v>C9 CR 2.2 – Wireless use control</v>
      </c>
      <c r="I58" s="23"/>
      <c r="J58" s="37" t="str" cm="1">
        <f t="array" ref="J58">IF($I58="","",SUBSTITUTE(SUBSTITUTE(SUBSTITUTE(SUBSTITUTE(SUBSTITUTE(SUBSTITUTE(SUBSTITUTE(SUBSTITUTE(SUBSTITUTE(
GetTransformation(SanitizeInput($I58),'Damage Scenarios'!$A:$J,COLUMNS('Damage Scenarios'!$A:$J),CHAR(10),"[#0][#1][#2]")&amp;"§",
"[#1][#2]",""),
"[#2]",""),
"[#0][#1]","[#1]"),
"[#0]","Removes:"&amp;CHAR(10)),
"[#1]","Transforms:"&amp;CHAR(10)),
CHAR(10)&amp;"§",""),
"§",""),
CHAR(10),CHAR(10)&amp;"   "),
"   "&amp;"Transforms:","Transforms:"))</f>
        <v/>
      </c>
      <c r="K58" s="13"/>
      <c r="L58" s="13"/>
      <c r="M58" s="13"/>
      <c r="N58" s="13" t="s">
        <v>151</v>
      </c>
      <c r="O58" s="13"/>
      <c r="P58" s="33" t="str">
        <f ca="1">IF($A58="","",IFERROR(VLOOKUP($AD58,Definitions!$V:$W,COLUMNS(Definitions!$V:$W),TRUE),""))</f>
        <v>Beyond High</v>
      </c>
      <c r="Q58" s="23" t="s">
        <v>1633</v>
      </c>
      <c r="R58" s="23"/>
      <c r="S58" s="13" t="s">
        <v>1518</v>
      </c>
      <c r="T58" s="10" cm="1">
        <f t="array" ref="T58">IF(ROW()=ROW($T$2)+1,0,INDEX($T:$T,ROW()-1))+IF($A58="",0,1)</f>
        <v>56</v>
      </c>
      <c r="U58" s="20" t="b" cm="1">
        <f t="array" aca="1" ref="U58" ca="1">CheckRelevance(SanitizeInput(E58),Questionnaire!$I:$I)</f>
        <v>0</v>
      </c>
      <c r="V58" s="20" t="b">
        <f>IFERROR(_xlfn.XMATCH("*,"&amp;$A58&amp;",*",Mitigation!$X:$X,2)&gt;0,FALSE)</f>
        <v>0</v>
      </c>
      <c r="W58" s="20" cm="1">
        <f t="array" ref="W58">CreateTaskID($W$2,$W:$W,Tasks!$B$17,$S58)</f>
        <v>1</v>
      </c>
      <c r="X58" s="20" t="str" cm="1">
        <f t="array" ref="X58">IF($E58="","",","&amp;SanitizeInput($E58))</f>
        <v>,AS2,</v>
      </c>
      <c r="Y58" s="20">
        <f>IF(K58="",0,VLOOKUP(K58,Definitions!$Z:$AA,COLUMNS(Definitions!$Z:$AA),FALSE))</f>
        <v>0</v>
      </c>
      <c r="Z58" s="20">
        <f>IF(L58="",0,VLOOKUP(L58,Definitions!$Z:$AA,COLUMNS(Definitions!$Z:$AA),FALSE))</f>
        <v>0</v>
      </c>
      <c r="AA58" s="20">
        <f>IF(M58="",0,VLOOKUP(M58,Definitions!$Z:$AA,COLUMNS(Definitions!$Z:$AA),FALSE))</f>
        <v>0</v>
      </c>
      <c r="AB58" s="20">
        <f>IF(N58="",0,VLOOKUP(N58,Definitions!$Z:$AA,COLUMNS(Definitions!$Z:$AA),FALSE))</f>
        <v>25</v>
      </c>
      <c r="AC58" s="20">
        <f>IF(O58="",0,VLOOKUP(O58,Definitions!$Z:$AA,COLUMNS(Definitions!$Z:$AA),FALSE))</f>
        <v>0</v>
      </c>
      <c r="AD58" s="20">
        <f t="shared" ca="1" si="3"/>
        <v>25</v>
      </c>
      <c r="AE58" s="20" t="str" cm="1">
        <f t="array" ref="AE58">IF($G58="","",","&amp;SanitizeInput($G58))</f>
        <v>,C9,</v>
      </c>
      <c r="AF58" s="20" t="b" cm="1">
        <f t="array" aca="1" ref="AF58" ca="1">OR($AK58,_xlfn.LAMBDA(_xlpm._ownID,_xlpm._searchHeader,_xlpm._resultHeader,_xlpm._elementCount,_xlpm._delimiter,_xlpm._activeInTreatmentRange,_xlpm._activeByAnswersRange,_xlpm._dependencies,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InverseLookup(_xlpm._ownID,_xlpm._searchHeader,_xlpm._resultHeader,1,_xlpm._elementCount,_xlpm._delimiter))))))($A58,$AE$2,$A$2,Helper!$B$4,",",$A:$V,$A:$AK,InverseLookup($A58,$AE$2,$A$2,1,Helper!$B$4,",")))</f>
        <v>0</v>
      </c>
      <c r="AG58" s="20" t="str" cm="1">
        <f t="array" aca="1" ref="AG58" ca="1">IF(OR($V58,$AF58,$AK58),IF($G58="","",","&amp;SanitizeInput($G58)),"")</f>
        <v/>
      </c>
      <c r="AH58" s="20" t="str" cm="1">
        <f t="array" ref="AH58">SUBSTITUTE(IF($V58,IF($I58="","",","&amp;SanitizeInput($I58)),""),"&gt;",",")</f>
        <v/>
      </c>
      <c r="AI58" s="20" cm="1">
        <f t="array" aca="1" ref="AI58" ca="1">IF(ROW()=ROW($AI$2)+1,0,INDEX($AI:$AI,ROW()-1))+IF($AF58,1,0)</f>
        <v>6</v>
      </c>
      <c r="AJ58" s="20" t="str" cm="1">
        <f t="array" aca="1" ref="AJ58" ca="1">IF($AF58,IF($Q58="","",","&amp;SanitizeInput($Q58)),"")</f>
        <v/>
      </c>
      <c r="AK58" s="20" t="b">
        <f>OR(CheckRelevance(SanitizeInput($D58),Questionnaire!$I:$I),CheckRelevance(SanitizeInput($D58),Questionnaire!$J:$J))</f>
        <v>0</v>
      </c>
      <c r="AL58" s="20" t="str" cm="1">
        <f t="array" ref="AL58">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FilterPreconditionCandidates(RemoveFirstElement(_xlpm._preconditionCandidates),_xlpm._searchColumn,_xlpm._delimiter))))(SanitizeInput($D58),Questionnaire!$AA:$AA,",")</f>
        <v/>
      </c>
      <c r="AM58" s="20" t="str" cm="1">
        <f t="array" ref="AM58">IF($D58="*","",InverseLookupList($AL58,Questionnaire!$AA$3,Questionnaire!$A$3,Helper!$B$12,","))</f>
        <v/>
      </c>
      <c r="AN58" s="20" t="str" cm="1">
        <f t="array" ref="AN58">RemoveDelimiter(GetValues($AM58,Questionnaire!$A:$G," ",CHAR(10)&amp;CHAR(10),TRUE),CHAR(10)&amp;CHAR(10))</f>
        <v/>
      </c>
      <c r="AO58" s="20" t="str" cm="1">
        <f t="array" ref="AO58">CreateSearchString($AM58)</f>
        <v/>
      </c>
      <c r="AP58" s="20" t="str" cm="1">
        <f t="array" aca="1" ref="AP58" ca="1">InverseLookup($A58,Mitigation!$AD$2,Mitigation!$A$2,1,Helper!$B$5,",")</f>
        <v/>
      </c>
      <c r="AQ58" s="20" t="str" cm="1">
        <f t="array" aca="1" ref="AQ58" ca="1">CreateSearchString(GetValues($AP58,'Attack Steps'!$A:$O,"",",",FALSE))</f>
        <v/>
      </c>
      <c r="AR58" s="20" t="str">
        <f t="shared" si="2"/>
        <v>CM20</v>
      </c>
    </row>
    <row r="59" spans="1:44" ht="150" x14ac:dyDescent="0.25">
      <c r="A59" s="10" t="s">
        <v>1228</v>
      </c>
      <c r="B59" s="13" t="s">
        <v>1519</v>
      </c>
      <c r="C59" s="13" t="s">
        <v>1520</v>
      </c>
      <c r="D59" s="13"/>
      <c r="E59" s="13" t="s">
        <v>1231</v>
      </c>
      <c r="F59" s="33" t="str" cm="1">
        <f t="array" aca="1" ref="F59" ca="1">LookupNames(SanitizeInput($E59),'Attack Steps'!$A:$B)</f>
        <v>AS3 Compromising the product using a software vulnerability,
AS39 Data extraction from the product's volatile memory</v>
      </c>
      <c r="G59" s="23"/>
      <c r="H59" s="33" t="str" cm="1">
        <f t="array" ref="H59">RemoveDelimiter(GetValuesWithFallback(SanitizeInput($G59),$A:$B,Assumptions!$A:$B," ",","&amp;CHAR(10),TRUE),","&amp;CHAR(10))</f>
        <v/>
      </c>
      <c r="I59" s="23"/>
      <c r="J59" s="37" t="str" cm="1">
        <f t="array" ref="J59">IF($I59="","",SUBSTITUTE(SUBSTITUTE(SUBSTITUTE(SUBSTITUTE(SUBSTITUTE(SUBSTITUTE(SUBSTITUTE(SUBSTITUTE(SUBSTITUTE(
GetTransformation(SanitizeInput($I59),'Damage Scenarios'!$A:$J,COLUMNS('Damage Scenarios'!$A:$J),CHAR(10),"[#0][#1][#2]")&amp;"§",
"[#1][#2]",""),
"[#2]",""),
"[#0][#1]","[#1]"),
"[#0]","Removes:"&amp;CHAR(10)),
"[#1]","Transforms:"&amp;CHAR(10)),
CHAR(10)&amp;"§",""),
"§",""),
CHAR(10),CHAR(10)&amp;"   "),
"   "&amp;"Transforms:","Transforms:"))</f>
        <v/>
      </c>
      <c r="K59" s="13"/>
      <c r="L59" s="13"/>
      <c r="M59" s="13"/>
      <c r="N59" s="13" t="s">
        <v>151</v>
      </c>
      <c r="O59" s="13"/>
      <c r="P59" s="33" t="str">
        <f ca="1">IF($A59="","",IFERROR(VLOOKUP($AD59,Definitions!$V:$W,COLUMNS(Definitions!$V:$W),TRUE),""))</f>
        <v>Beyond High</v>
      </c>
      <c r="Q59" s="23" t="s">
        <v>1626</v>
      </c>
      <c r="R59" s="23"/>
      <c r="S59" s="13" t="s">
        <v>1229</v>
      </c>
      <c r="T59" s="10" cm="1">
        <f t="array" ref="T59">IF(ROW()=ROW($T$2)+1,0,INDEX($T:$T,ROW()-1))+IF($A59="",0,1)</f>
        <v>57</v>
      </c>
      <c r="U59" s="20" t="b" cm="1">
        <f t="array" aca="1" ref="U59" ca="1">CheckRelevance(SanitizeInput(E59),Questionnaire!$I:$I)</f>
        <v>0</v>
      </c>
      <c r="V59" s="20" t="b">
        <f>IFERROR(_xlfn.XMATCH("*,"&amp;$A59&amp;",*",Mitigation!$X:$X,2)&gt;0,FALSE)</f>
        <v>0</v>
      </c>
      <c r="W59" s="20" cm="1">
        <f t="array" ref="W59">CreateTaskID($W$2,$W:$W,Tasks!$B$17,$S59)</f>
        <v>1</v>
      </c>
      <c r="X59" s="20" t="str" cm="1">
        <f t="array" ref="X59">IF($E59="","",","&amp;SanitizeInput($E59))</f>
        <v>,AS3,AS39,</v>
      </c>
      <c r="Y59" s="20">
        <f>IF(K59="",0,VLOOKUP(K59,Definitions!$Z:$AA,COLUMNS(Definitions!$Z:$AA),FALSE))</f>
        <v>0</v>
      </c>
      <c r="Z59" s="20">
        <f>IF(L59="",0,VLOOKUP(L59,Definitions!$Z:$AA,COLUMNS(Definitions!$Z:$AA),FALSE))</f>
        <v>0</v>
      </c>
      <c r="AA59" s="20">
        <f>IF(M59="",0,VLOOKUP(M59,Definitions!$Z:$AA,COLUMNS(Definitions!$Z:$AA),FALSE))</f>
        <v>0</v>
      </c>
      <c r="AB59" s="20">
        <f>IF(N59="",0,VLOOKUP(N59,Definitions!$Z:$AA,COLUMNS(Definitions!$Z:$AA),FALSE))</f>
        <v>25</v>
      </c>
      <c r="AC59" s="20">
        <f>IF(O59="",0,VLOOKUP(O59,Definitions!$Z:$AA,COLUMNS(Definitions!$Z:$AA),FALSE))</f>
        <v>0</v>
      </c>
      <c r="AD59" s="20">
        <f t="shared" ca="1" si="3"/>
        <v>25</v>
      </c>
      <c r="AE59" s="20" t="str" cm="1">
        <f t="array" ref="AE59">IF($G59="","",","&amp;SanitizeInput($G59))</f>
        <v/>
      </c>
      <c r="AF59" s="20" t="b" cm="1">
        <f t="array" aca="1" ref="AF59" ca="1">OR($AK59,_xlfn.LAMBDA(_xlpm._ownID,_xlpm._searchHeader,_xlpm._resultHeader,_xlpm._elementCount,_xlpm._delimiter,_xlpm._activeInTreatmentRange,_xlpm._activeByAnswersRange,_xlpm._dependencies,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InverseLookup(_xlpm._ownID,_xlpm._searchHeader,_xlpm._resultHeader,1,_xlpm._elementCount,_xlpm._delimiter))))))($A59,$AE$2,$A$2,Helper!$B$4,",",$A:$V,$A:$AK,InverseLookup($A59,$AE$2,$A$2,1,Helper!$B$4,",")))</f>
        <v>0</v>
      </c>
      <c r="AG59" s="20" t="str" cm="1">
        <f t="array" aca="1" ref="AG59" ca="1">IF(OR($V59,$AF59,$AK59),IF($G59="","",","&amp;SanitizeInput($G59)),"")</f>
        <v/>
      </c>
      <c r="AH59" s="20" t="str" cm="1">
        <f t="array" ref="AH59">SUBSTITUTE(IF($V59,IF($I59="","",","&amp;SanitizeInput($I59)),""),"&gt;",",")</f>
        <v/>
      </c>
      <c r="AI59" s="20" cm="1">
        <f t="array" aca="1" ref="AI59" ca="1">IF(ROW()=ROW($AI$2)+1,0,INDEX($AI:$AI,ROW()-1))+IF($AF59,1,0)</f>
        <v>6</v>
      </c>
      <c r="AJ59" s="20" t="str" cm="1">
        <f t="array" aca="1" ref="AJ59" ca="1">IF($AF59,IF($Q59="","",","&amp;SanitizeInput($Q59)),"")</f>
        <v/>
      </c>
      <c r="AK59" s="20" t="b">
        <f>OR(CheckRelevance(SanitizeInput($D59),Questionnaire!$I:$I),CheckRelevance(SanitizeInput($D59),Questionnaire!$J:$J))</f>
        <v>0</v>
      </c>
      <c r="AL59" s="20" t="str" cm="1">
        <f t="array" ref="AL59">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FilterPreconditionCandidates(RemoveFirstElement(_xlpm._preconditionCandidates),_xlpm._searchColumn,_xlpm._delimiter))))(SanitizeInput($D59),Questionnaire!$AA:$AA,",")</f>
        <v/>
      </c>
      <c r="AM59" s="20" t="str" cm="1">
        <f t="array" ref="AM59">IF($D59="*","",InverseLookupList($AL59,Questionnaire!$AA$3,Questionnaire!$A$3,Helper!$B$12,","))</f>
        <v/>
      </c>
      <c r="AN59" s="20" t="str" cm="1">
        <f t="array" ref="AN59">RemoveDelimiter(GetValues($AM59,Questionnaire!$A:$G," ",CHAR(10)&amp;CHAR(10),TRUE),CHAR(10)&amp;CHAR(10))</f>
        <v/>
      </c>
      <c r="AO59" s="20" t="str" cm="1">
        <f t="array" ref="AO59">CreateSearchString($AM59)</f>
        <v/>
      </c>
      <c r="AP59" s="20" t="str" cm="1">
        <f t="array" aca="1" ref="AP59" ca="1">InverseLookup($A59,Mitigation!$AD$2,Mitigation!$A$2,1,Helper!$B$5,",")</f>
        <v/>
      </c>
      <c r="AQ59" s="20" t="str" cm="1">
        <f t="array" aca="1" ref="AQ59" ca="1">CreateSearchString(GetValues($AP59,'Attack Steps'!$A:$O,"",",",FALSE))</f>
        <v/>
      </c>
      <c r="AR59" s="20" t="str">
        <f t="shared" si="2"/>
        <v>CM21</v>
      </c>
    </row>
    <row r="60" spans="1:44" ht="45" x14ac:dyDescent="0.25">
      <c r="A60" s="10" t="s">
        <v>1352</v>
      </c>
      <c r="B60" s="13" t="s">
        <v>1353</v>
      </c>
      <c r="C60" s="13" t="s">
        <v>1354</v>
      </c>
      <c r="D60" s="13"/>
      <c r="E60" s="13" t="s">
        <v>1231</v>
      </c>
      <c r="F60" s="33" t="str" cm="1">
        <f t="array" aca="1" ref="F60" ca="1">LookupNames(SanitizeInput($E60),'Attack Steps'!$A:$B)</f>
        <v>AS3 Compromising the product using a software vulnerability,
AS39 Data extraction from the product's volatile memory</v>
      </c>
      <c r="G60" s="23"/>
      <c r="H60" s="33" t="str" cm="1">
        <f t="array" ref="H60">RemoveDelimiter(GetValuesWithFallback(SanitizeInput($G60),$A:$B,Assumptions!$A:$B," ",","&amp;CHAR(10),TRUE),","&amp;CHAR(10))</f>
        <v/>
      </c>
      <c r="I60" s="23"/>
      <c r="J60" s="37" t="str" cm="1">
        <f t="array" ref="J60">IF($I60="","",SUBSTITUTE(SUBSTITUTE(SUBSTITUTE(SUBSTITUTE(SUBSTITUTE(SUBSTITUTE(SUBSTITUTE(SUBSTITUTE(SUBSTITUTE(
GetTransformation(SanitizeInput($I60),'Damage Scenarios'!$A:$J,COLUMNS('Damage Scenarios'!$A:$J),CHAR(10),"[#0][#1][#2]")&amp;"§",
"[#1][#2]",""),
"[#2]",""),
"[#0][#1]","[#1]"),
"[#0]","Removes:"&amp;CHAR(10)),
"[#1]","Transforms:"&amp;CHAR(10)),
CHAR(10)&amp;"§",""),
"§",""),
CHAR(10),CHAR(10)&amp;"   "),
"   "&amp;"Transforms:","Transforms:"))</f>
        <v/>
      </c>
      <c r="K60" s="13" t="s">
        <v>135</v>
      </c>
      <c r="L60" s="13" t="s">
        <v>141</v>
      </c>
      <c r="M60" s="13" t="s">
        <v>145</v>
      </c>
      <c r="N60" s="13"/>
      <c r="O60" s="13"/>
      <c r="P60" s="33" t="str">
        <f ca="1">IF($A60="","",IFERROR(VLOOKUP($AD60,Definitions!$V:$W,COLUMNS(Definitions!$V:$W),TRUE),""))</f>
        <v>Moderate</v>
      </c>
      <c r="Q60" s="23" t="s">
        <v>1633</v>
      </c>
      <c r="R60" s="23"/>
      <c r="S60" s="13" t="s">
        <v>1748</v>
      </c>
      <c r="T60" s="10" cm="1">
        <f t="array" ref="T60">IF(ROW()=ROW($T$2)+1,0,INDEX($T:$T,ROW()-1))+IF($A60="",0,1)</f>
        <v>58</v>
      </c>
      <c r="U60" s="20" t="b" cm="1">
        <f t="array" aca="1" ref="U60" ca="1">CheckRelevance(SanitizeInput(E60),Questionnaire!$I:$I)</f>
        <v>0</v>
      </c>
      <c r="V60" s="20" t="b">
        <f>IFERROR(_xlfn.XMATCH("*,"&amp;$A60&amp;",*",Mitigation!$X:$X,2)&gt;0,FALSE)</f>
        <v>0</v>
      </c>
      <c r="W60" s="20" cm="1">
        <f t="array" ref="W60">CreateTaskID($W$2,$W:$W,Tasks!$B$17,$S60)</f>
        <v>1</v>
      </c>
      <c r="X60" s="20" t="str" cm="1">
        <f t="array" ref="X60">IF($E60="","",","&amp;SanitizeInput($E60))</f>
        <v>,AS3,AS39,</v>
      </c>
      <c r="Y60" s="20">
        <f>IF(K60="",0,VLOOKUP(K60,Definitions!$Z:$AA,COLUMNS(Definitions!$Z:$AA),FALSE))</f>
        <v>10</v>
      </c>
      <c r="Z60" s="20">
        <f>IF(L60="",0,VLOOKUP(L60,Definitions!$Z:$AA,COLUMNS(Definitions!$Z:$AA),FALSE))</f>
        <v>6</v>
      </c>
      <c r="AA60" s="20">
        <f>IF(M60="",0,VLOOKUP(M60,Definitions!$Z:$AA,COLUMNS(Definitions!$Z:$AA),FALSE))</f>
        <v>3</v>
      </c>
      <c r="AB60" s="20">
        <f>IF(N60="",0,VLOOKUP(N60,Definitions!$Z:$AA,COLUMNS(Definitions!$Z:$AA),FALSE))</f>
        <v>0</v>
      </c>
      <c r="AC60" s="20">
        <f>IF(O60="",0,VLOOKUP(O60,Definitions!$Z:$AA,COLUMNS(Definitions!$Z:$AA),FALSE))</f>
        <v>0</v>
      </c>
      <c r="AD60" s="20">
        <f t="shared" ca="1" si="3"/>
        <v>19</v>
      </c>
      <c r="AE60" s="20" t="str" cm="1">
        <f t="array" ref="AE60">IF($G60="","",","&amp;SanitizeInput($G60))</f>
        <v/>
      </c>
      <c r="AF60" s="20" t="b" cm="1">
        <f t="array" aca="1" ref="AF60" ca="1">OR($AK60,_xlfn.LAMBDA(_xlpm._ownID,_xlpm._searchHeader,_xlpm._resultHeader,_xlpm._elementCount,_xlpm._delimiter,_xlpm._activeInTreatmentRange,_xlpm._activeByAnswersRange,_xlpm._dependencies,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InverseLookup(_xlpm._ownID,_xlpm._searchHeader,_xlpm._resultHeader,1,_xlpm._elementCount,_xlpm._delimiter))))))($A60,$AE$2,$A$2,Helper!$B$4,",",$A:$V,$A:$AK,InverseLookup($A60,$AE$2,$A$2,1,Helper!$B$4,",")))</f>
        <v>0</v>
      </c>
      <c r="AG60" s="20" t="str" cm="1">
        <f t="array" aca="1" ref="AG60" ca="1">IF(OR($V60,$AF60,$AK60),IF($G60="","",","&amp;SanitizeInput($G60)),"")</f>
        <v/>
      </c>
      <c r="AH60" s="20" t="str" cm="1">
        <f t="array" ref="AH60">SUBSTITUTE(IF($V60,IF($I60="","",","&amp;SanitizeInput($I60)),""),"&gt;",",")</f>
        <v/>
      </c>
      <c r="AI60" s="20" cm="1">
        <f t="array" aca="1" ref="AI60" ca="1">IF(ROW()=ROW($AI$2)+1,0,INDEX($AI:$AI,ROW()-1))+IF($AF60,1,0)</f>
        <v>6</v>
      </c>
      <c r="AJ60" s="20" t="str" cm="1">
        <f t="array" aca="1" ref="AJ60" ca="1">IF($AF60,IF($Q60="","",","&amp;SanitizeInput($Q60)),"")</f>
        <v/>
      </c>
      <c r="AK60" s="20" t="b">
        <f>OR(CheckRelevance(SanitizeInput($D60),Questionnaire!$I:$I),CheckRelevance(SanitizeInput($D60),Questionnaire!$J:$J))</f>
        <v>0</v>
      </c>
      <c r="AL60" s="20" t="str" cm="1">
        <f t="array" ref="AL60">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FilterPreconditionCandidates(RemoveFirstElement(_xlpm._preconditionCandidates),_xlpm._searchColumn,_xlpm._delimiter))))(SanitizeInput($D60),Questionnaire!$AA:$AA,",")</f>
        <v/>
      </c>
      <c r="AM60" s="20" t="str" cm="1">
        <f t="array" ref="AM60">IF($D60="*","",InverseLookupList($AL60,Questionnaire!$AA$3,Questionnaire!$A$3,Helper!$B$12,","))</f>
        <v/>
      </c>
      <c r="AN60" s="20" t="str" cm="1">
        <f t="array" ref="AN60">RemoveDelimiter(GetValues($AM60,Questionnaire!$A:$G," ",CHAR(10)&amp;CHAR(10),TRUE),CHAR(10)&amp;CHAR(10))</f>
        <v/>
      </c>
      <c r="AO60" s="20" t="str" cm="1">
        <f t="array" ref="AO60">CreateSearchString($AM60)</f>
        <v/>
      </c>
      <c r="AP60" s="20" t="str" cm="1">
        <f t="array" aca="1" ref="AP60" ca="1">InverseLookup($A60,Mitigation!$AD$2,Mitigation!$A$2,1,Helper!$B$5,",")</f>
        <v/>
      </c>
      <c r="AQ60" s="20" t="str" cm="1">
        <f t="array" aca="1" ref="AQ60" ca="1">CreateSearchString(GetValues($AP60,'Attack Steps'!$A:$O,"",",",FALSE))</f>
        <v/>
      </c>
      <c r="AR60" s="20" t="str">
        <f t="shared" si="2"/>
        <v>CM22</v>
      </c>
    </row>
    <row r="61" spans="1:44" ht="60" x14ac:dyDescent="0.25">
      <c r="A61" s="10" t="s">
        <v>1384</v>
      </c>
      <c r="B61" s="13" t="s">
        <v>1385</v>
      </c>
      <c r="C61" s="13" t="s">
        <v>1386</v>
      </c>
      <c r="D61" s="13" t="s">
        <v>1387</v>
      </c>
      <c r="E61" s="13" t="s">
        <v>1371</v>
      </c>
      <c r="F61" s="33" t="str" cm="1">
        <f t="array" aca="1" ref="F61" ca="1">LookupNames(SanitizeInput($E61),'Attack Steps'!$A:$B)</f>
        <v>AS40 Abusing the lack of a software update functionality to exploit an unpatched vulnerability</v>
      </c>
      <c r="G61" s="23"/>
      <c r="H61" s="33" t="str" cm="1">
        <f t="array" ref="H61">RemoveDelimiter(GetValuesWithFallback(SanitizeInput($G61),$A:$B,Assumptions!$A:$B," ",","&amp;CHAR(10),TRUE),","&amp;CHAR(10))</f>
        <v/>
      </c>
      <c r="I61" s="23"/>
      <c r="J61" s="37" t="str" cm="1">
        <f t="array" ref="J61">IF($I61="","",SUBSTITUTE(SUBSTITUTE(SUBSTITUTE(SUBSTITUTE(SUBSTITUTE(SUBSTITUTE(SUBSTITUTE(SUBSTITUTE(SUBSTITUTE(
GetTransformation(SanitizeInput($I61),'Damage Scenarios'!$A:$J,COLUMNS('Damage Scenarios'!$A:$J),CHAR(10),"[#0][#1][#2]")&amp;"§",
"[#1][#2]",""),
"[#2]",""),
"[#0][#1]","[#1]"),
"[#0]","Removes:"&amp;CHAR(10)),
"[#1]","Transforms:"&amp;CHAR(10)),
CHAR(10)&amp;"§",""),
"§",""),
CHAR(10),CHAR(10)&amp;"   "),
"   "&amp;"Transforms:","Transforms:"))</f>
        <v/>
      </c>
      <c r="K61" s="13"/>
      <c r="L61" s="13"/>
      <c r="M61" s="13"/>
      <c r="N61" s="13" t="s">
        <v>151</v>
      </c>
      <c r="O61" s="13"/>
      <c r="P61" s="33" t="str">
        <f ca="1">IF($A61="","",IFERROR(VLOOKUP($AD61,Definitions!$V:$W,COLUMNS(Definitions!$V:$W),TRUE),""))</f>
        <v>Beyond High</v>
      </c>
      <c r="Q61" s="23" t="s">
        <v>605</v>
      </c>
      <c r="R61" s="23"/>
      <c r="S61" s="13" t="s">
        <v>1639</v>
      </c>
      <c r="T61" s="10" cm="1">
        <f t="array" ref="T61">IF(ROW()=ROW($T$2)+1,0,INDEX($T:$T,ROW()-1))+IF($A61="",0,1)</f>
        <v>59</v>
      </c>
      <c r="U61" s="20" t="b" cm="1">
        <f t="array" aca="1" ref="U61" ca="1">CheckRelevance(SanitizeInput(E61),Questionnaire!$I:$I)</f>
        <v>0</v>
      </c>
      <c r="V61" s="20" t="b">
        <f>IFERROR(_xlfn.XMATCH("*,"&amp;$A61&amp;",*",Mitigation!$X:$X,2)&gt;0,FALSE)</f>
        <v>0</v>
      </c>
      <c r="W61" s="20" cm="1">
        <f t="array" ref="W61">CreateTaskID($W$2,$W:$W,Tasks!$B$17,$S61)</f>
        <v>1</v>
      </c>
      <c r="X61" s="20" t="str" cm="1">
        <f t="array" ref="X61">IF($E61="","",","&amp;SanitizeInput($E61))</f>
        <v>,AS40,</v>
      </c>
      <c r="Y61" s="20">
        <f>IF(K61="",0,VLOOKUP(K61,Definitions!$Z:$AA,COLUMNS(Definitions!$Z:$AA),FALSE))</f>
        <v>0</v>
      </c>
      <c r="Z61" s="20">
        <f>IF(L61="",0,VLOOKUP(L61,Definitions!$Z:$AA,COLUMNS(Definitions!$Z:$AA),FALSE))</f>
        <v>0</v>
      </c>
      <c r="AA61" s="20">
        <f>IF(M61="",0,VLOOKUP(M61,Definitions!$Z:$AA,COLUMNS(Definitions!$Z:$AA),FALSE))</f>
        <v>0</v>
      </c>
      <c r="AB61" s="20">
        <f>IF(N61="",0,VLOOKUP(N61,Definitions!$Z:$AA,COLUMNS(Definitions!$Z:$AA),FALSE))</f>
        <v>25</v>
      </c>
      <c r="AC61" s="20">
        <f>IF(O61="",0,VLOOKUP(O61,Definitions!$Z:$AA,COLUMNS(Definitions!$Z:$AA),FALSE))</f>
        <v>0</v>
      </c>
      <c r="AD61" s="20">
        <f t="shared" ca="1" si="3"/>
        <v>25</v>
      </c>
      <c r="AE61" s="20" t="str" cm="1">
        <f t="array" ref="AE61">IF($G61="","",","&amp;SanitizeInput($G61))</f>
        <v/>
      </c>
      <c r="AF61" s="20" t="b" cm="1">
        <f t="array" aca="1" ref="AF61" ca="1">OR($AK61,_xlfn.LAMBDA(_xlpm._ownID,_xlpm._searchHeader,_xlpm._resultHeader,_xlpm._elementCount,_xlpm._delimiter,_xlpm._activeInTreatmentRange,_xlpm._activeByAnswersRange,_xlpm._dependencies,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InverseLookup(_xlpm._ownID,_xlpm._searchHeader,_xlpm._resultHeader,1,_xlpm._elementCount,_xlpm._delimiter))))))($A61,$AE$2,$A$2,Helper!$B$4,",",$A:$V,$A:$AK,InverseLookup($A61,$AE$2,$A$2,1,Helper!$B$4,",")))</f>
        <v>0</v>
      </c>
      <c r="AG61" s="20" t="str" cm="1">
        <f t="array" aca="1" ref="AG61" ca="1">IF(OR($V61,$AF61,$AK61),IF($G61="","",","&amp;SanitizeInput($G61)),"")</f>
        <v/>
      </c>
      <c r="AH61" s="20" t="str" cm="1">
        <f t="array" ref="AH61">SUBSTITUTE(IF($V61,IF($I61="","",","&amp;SanitizeInput($I61)),""),"&gt;",",")</f>
        <v/>
      </c>
      <c r="AI61" s="20" cm="1">
        <f t="array" aca="1" ref="AI61" ca="1">IF(ROW()=ROW($AI$2)+1,0,INDEX($AI:$AI,ROW()-1))+IF($AF61,1,0)</f>
        <v>6</v>
      </c>
      <c r="AJ61" s="20" t="str" cm="1">
        <f t="array" aca="1" ref="AJ61" ca="1">IF($AF61,IF($Q61="","",","&amp;SanitizeInput($Q61)),"")</f>
        <v/>
      </c>
      <c r="AK61" s="20" t="b">
        <f ca="1">OR(CheckRelevance(SanitizeInput($D61),Questionnaire!$I:$I),CheckRelevance(SanitizeInput($D61),Questionnaire!$J:$J))</f>
        <v>0</v>
      </c>
      <c r="AL61" s="20" t="str" cm="1">
        <f t="array" aca="1" ref="AL61" ca="1">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FilterPreconditionCandidates(RemoveFirstElement(_xlpm._preconditionCandidates),_xlpm._searchColumn,_xlpm._delimiter))))(SanitizeInput($D61),Questionnaire!$AA:$AA,",")</f>
        <v/>
      </c>
      <c r="AM61" s="20" t="str" cm="1">
        <f t="array" aca="1" ref="AM61" ca="1">IF($D61="*","",InverseLookupList($AL61,Questionnaire!$AA$3,Questionnaire!$A$3,Helper!$B$12,","))</f>
        <v/>
      </c>
      <c r="AN61" s="20" t="str" cm="1">
        <f t="array" aca="1" ref="AN61" ca="1">RemoveDelimiter(GetValues($AM61,Questionnaire!$A:$G," ",CHAR(10)&amp;CHAR(10),TRUE),CHAR(10)&amp;CHAR(10))</f>
        <v/>
      </c>
      <c r="AO61" s="20" t="str" cm="1">
        <f t="array" aca="1" ref="AO61" ca="1">CreateSearchString($AM61)</f>
        <v/>
      </c>
      <c r="AP61" s="20" t="str" cm="1">
        <f t="array" aca="1" ref="AP61" ca="1">InverseLookup($A61,Mitigation!$AD$2,Mitigation!$A$2,1,Helper!$B$5,",")</f>
        <v/>
      </c>
      <c r="AQ61" s="20" t="str" cm="1">
        <f t="array" aca="1" ref="AQ61" ca="1">CreateSearchString(GetValues($AP61,'Attack Steps'!$A:$O,"",",",FALSE))</f>
        <v/>
      </c>
      <c r="AR61" s="20" t="str">
        <f t="shared" si="2"/>
        <v>CM23</v>
      </c>
    </row>
    <row r="62" spans="1:44" ht="45" x14ac:dyDescent="0.25">
      <c r="A62" s="10" t="s">
        <v>1764</v>
      </c>
      <c r="B62" s="13" t="s">
        <v>1153</v>
      </c>
      <c r="C62" s="13" t="s">
        <v>1154</v>
      </c>
      <c r="D62" s="13"/>
      <c r="E62" s="13" t="s">
        <v>203</v>
      </c>
      <c r="F62" s="33" t="str" cm="1">
        <f t="array" aca="1" ref="F62" ca="1">LookupNames(SanitizeInput($E62),'Attack Steps'!$A:$B)</f>
        <v>AS16 Manipulating the product's configuration via its configuration interface</v>
      </c>
      <c r="G62" s="23" t="s">
        <v>758</v>
      </c>
      <c r="H62" s="33" t="str" cm="1">
        <f t="array" aca="1" ref="H62" ca="1">RemoveDelimiter(GetValuesWithFallback(SanitizeInput($G62),$A:$B,Assumptions!$A:$B," ",","&amp;CHAR(10),TRUE),","&amp;CHAR(10))</f>
        <v>CM5 SCR 2.3 - Password based authentication (human)</v>
      </c>
      <c r="I62" s="23"/>
      <c r="J62" s="37" t="str" cm="1">
        <f t="array" ref="J62">IF($I62="","",SUBSTITUTE(SUBSTITUTE(SUBSTITUTE(SUBSTITUTE(SUBSTITUTE(SUBSTITUTE(SUBSTITUTE(SUBSTITUTE(SUBSTITUTE(
GetTransformation(SanitizeInput($I62),'Damage Scenarios'!$A:$J,COLUMNS('Damage Scenarios'!$A:$J),CHAR(10),"[#0][#1][#2]")&amp;"§",
"[#1][#2]",""),
"[#2]",""),
"[#0][#1]","[#1]"),
"[#0]","Removes:"&amp;CHAR(10)),
"[#1]","Transforms:"&amp;CHAR(10)),
CHAR(10)&amp;"§",""),
"§",""),
CHAR(10),CHAR(10)&amp;"   "),
"   "&amp;"Transforms:","Transforms:"))</f>
        <v/>
      </c>
      <c r="K62" s="13" t="s">
        <v>133</v>
      </c>
      <c r="L62" s="13" t="s">
        <v>140</v>
      </c>
      <c r="M62" s="13" t="s">
        <v>145</v>
      </c>
      <c r="N62" s="13" t="s">
        <v>149</v>
      </c>
      <c r="O62" s="13" t="s">
        <v>154</v>
      </c>
      <c r="P62" s="33" t="str">
        <f ca="1">IF($A62="","",IFERROR(VLOOKUP($AD62,Definitions!$V:$W,COLUMNS(Definitions!$V:$W),TRUE),""))</f>
        <v>Enhanced-Basic</v>
      </c>
      <c r="Q62" s="23" t="s">
        <v>62</v>
      </c>
      <c r="R62" s="23"/>
      <c r="S62" s="13" t="s">
        <v>1778</v>
      </c>
      <c r="T62" s="10" cm="1">
        <f t="array" ref="T62">IF(ROW()=ROW($T$2)+1,0,INDEX($T:$T,ROW()-1))+IF($A62="",0,1)</f>
        <v>60</v>
      </c>
      <c r="U62" s="20" t="b" cm="1">
        <f t="array" aca="1" ref="U62" ca="1">CheckRelevance(SanitizeInput(E62),Questionnaire!$I:$I)</f>
        <v>0</v>
      </c>
      <c r="V62" s="20" t="b">
        <f>IFERROR(_xlfn.XMATCH("*,"&amp;$A62&amp;",*",Mitigation!$X:$X,2)&gt;0,FALSE)</f>
        <v>0</v>
      </c>
      <c r="W62" s="20" cm="1">
        <f t="array" ref="W62">CreateTaskID($W$2,$W:$W,Tasks!$B$17,$S62)</f>
        <v>1</v>
      </c>
      <c r="X62" s="20" t="str" cm="1">
        <f t="array" ref="X62">IF($E62="","",","&amp;SanitizeInput($E62))</f>
        <v>,AS16,</v>
      </c>
      <c r="Y62" s="20">
        <f>IF(K62="",0,VLOOKUP(K62,Definitions!$Z:$AA,COLUMNS(Definitions!$Z:$AA),FALSE))</f>
        <v>1</v>
      </c>
      <c r="Z62" s="20">
        <f>IF(L62="",0,VLOOKUP(L62,Definitions!$Z:$AA,COLUMNS(Definitions!$Z:$AA),FALSE))</f>
        <v>3</v>
      </c>
      <c r="AA62" s="20">
        <f>IF(M62="",0,VLOOKUP(M62,Definitions!$Z:$AA,COLUMNS(Definitions!$Z:$AA),FALSE))</f>
        <v>3</v>
      </c>
      <c r="AB62" s="20">
        <f>IF(N62="",0,VLOOKUP(N62,Definitions!$Z:$AA,COLUMNS(Definitions!$Z:$AA),FALSE))</f>
        <v>1</v>
      </c>
      <c r="AC62" s="20">
        <f>IF(O62="",0,VLOOKUP(O62,Definitions!$Z:$AA,COLUMNS(Definitions!$Z:$AA),FALSE))</f>
        <v>4</v>
      </c>
      <c r="AD62" s="20">
        <f t="shared" ca="1" si="3"/>
        <v>12</v>
      </c>
      <c r="AE62" s="20" t="str" cm="1">
        <f t="array" ref="AE62">IF($G62="","",","&amp;SanitizeInput($G62))</f>
        <v>,CM5,</v>
      </c>
      <c r="AF62" s="20" t="b" cm="1">
        <f t="array" aca="1" ref="AF62" ca="1">OR($AK62,_xlfn.LAMBDA(_xlpm._ownID,_xlpm._searchHeader,_xlpm._resultHeader,_xlpm._elementCount,_xlpm._delimiter,_xlpm._activeInTreatmentRange,_xlpm._activeByAnswersRange,_xlpm._dependencies,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InverseLookup(_xlpm._ownID,_xlpm._searchHeader,_xlpm._resultHeader,1,_xlpm._elementCount,_xlpm._delimiter))))))($A62,$AE$2,$A$2,Helper!$B$4,",",$A:$V,$A:$AK,InverseLookup($A62,$AE$2,$A$2,1,Helper!$B$4,",")))</f>
        <v>0</v>
      </c>
      <c r="AG62" s="20" t="str" cm="1">
        <f t="array" aca="1" ref="AG62" ca="1">IF(OR($V62,$AF62,$AK62),IF($G62="","",","&amp;SanitizeInput($G62)),"")</f>
        <v/>
      </c>
      <c r="AH62" s="20" t="str" cm="1">
        <f t="array" ref="AH62">SUBSTITUTE(IF($V62,IF($I62="","",","&amp;SanitizeInput($I62)),""),"&gt;",",")</f>
        <v/>
      </c>
      <c r="AI62" s="20" cm="1">
        <f t="array" aca="1" ref="AI62" ca="1">IF(ROW()=ROW($AI$2)+1,0,INDEX($AI:$AI,ROW()-1))+IF($AF62,1,0)</f>
        <v>6</v>
      </c>
      <c r="AJ62" s="20" t="str" cm="1">
        <f t="array" aca="1" ref="AJ62" ca="1">IF($AF62,IF($Q62="","",","&amp;SanitizeInput($Q62)),"")</f>
        <v/>
      </c>
      <c r="AK62" s="20" t="b">
        <f>OR(CheckRelevance(SanitizeInput($D62),Questionnaire!$I:$I),CheckRelevance(SanitizeInput($D62),Questionnaire!$J:$J))</f>
        <v>0</v>
      </c>
      <c r="AL62" s="20" t="str" cm="1">
        <f t="array" ref="AL62">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FilterPreconditionCandidates(RemoveFirstElement(_xlpm._preconditionCandidates),_xlpm._searchColumn,_xlpm._delimiter))))(SanitizeInput($D62),Questionnaire!$AA:$AA,",")</f>
        <v/>
      </c>
      <c r="AM62" s="20" t="str" cm="1">
        <f t="array" ref="AM62">IF($D62="*","",InverseLookupList($AL62,Questionnaire!$AA$3,Questionnaire!$A$3,Helper!$B$12,","))</f>
        <v/>
      </c>
      <c r="AN62" s="20" t="str" cm="1">
        <f t="array" ref="AN62">RemoveDelimiter(GetValues($AM62,Questionnaire!$A:$G," ",CHAR(10)&amp;CHAR(10),TRUE),CHAR(10)&amp;CHAR(10))</f>
        <v/>
      </c>
      <c r="AO62" s="20" t="str" cm="1">
        <f t="array" ref="AO62">CreateSearchString($AM62)</f>
        <v/>
      </c>
      <c r="AP62" s="20" t="str" cm="1">
        <f t="array" aca="1" ref="AP62" ca="1">InverseLookup($A62,Mitigation!$AD$2,Mitigation!$A$2,1,Helper!$B$5,",")</f>
        <v/>
      </c>
      <c r="AQ62" s="20" t="str" cm="1">
        <f t="array" aca="1" ref="AQ62" ca="1">CreateSearchString(GetValues($AP62,'Attack Steps'!$A:$O,"",",",FALSE))</f>
        <v/>
      </c>
      <c r="AR62" s="20" t="str">
        <f t="shared" si="2"/>
        <v>CM24</v>
      </c>
    </row>
    <row r="63" spans="1:44" ht="60" x14ac:dyDescent="0.25">
      <c r="A63" s="10" t="s">
        <v>1765</v>
      </c>
      <c r="B63" s="13" t="s">
        <v>1155</v>
      </c>
      <c r="C63" s="13" t="s">
        <v>1156</v>
      </c>
      <c r="D63" s="13"/>
      <c r="E63" s="13" t="s">
        <v>203</v>
      </c>
      <c r="F63" s="33" t="str" cm="1">
        <f t="array" aca="1" ref="F63" ca="1">LookupNames(SanitizeInput($E63),'Attack Steps'!$A:$B)</f>
        <v>AS16 Manipulating the product's configuration via its configuration interface</v>
      </c>
      <c r="G63" s="23" t="s">
        <v>758</v>
      </c>
      <c r="H63" s="33" t="str" cm="1">
        <f t="array" aca="1" ref="H63" ca="1">RemoveDelimiter(GetValuesWithFallback(SanitizeInput($G63),$A:$B,Assumptions!$A:$B," ",","&amp;CHAR(10),TRUE),","&amp;CHAR(10))</f>
        <v>CM5 SCR 2.3 - Password based authentication (human)</v>
      </c>
      <c r="I63" s="23"/>
      <c r="J63" s="37" t="str" cm="1">
        <f t="array" ref="J63">IF($I63="","",SUBSTITUTE(SUBSTITUTE(SUBSTITUTE(SUBSTITUTE(SUBSTITUTE(SUBSTITUTE(SUBSTITUTE(SUBSTITUTE(SUBSTITUTE(
GetTransformation(SanitizeInput($I63),'Damage Scenarios'!$A:$J,COLUMNS('Damage Scenarios'!$A:$J),CHAR(10),"[#0][#1][#2]")&amp;"§",
"[#1][#2]",""),
"[#2]",""),
"[#0][#1]","[#1]"),
"[#0]","Removes:"&amp;CHAR(10)),
"[#1]","Transforms:"&amp;CHAR(10)),
CHAR(10)&amp;"§",""),
"§",""),
CHAR(10),CHAR(10)&amp;"   "),
"   "&amp;"Transforms:","Transforms:"))</f>
        <v/>
      </c>
      <c r="K63" s="13" t="s">
        <v>134</v>
      </c>
      <c r="L63" s="13" t="s">
        <v>141</v>
      </c>
      <c r="M63" s="13"/>
      <c r="N63" s="13" t="s">
        <v>150</v>
      </c>
      <c r="O63" s="13"/>
      <c r="P63" s="33" t="str">
        <f ca="1">IF($A63="","",IFERROR(VLOOKUP($AD63,Definitions!$V:$W,COLUMNS(Definitions!$V:$W),TRUE),""))</f>
        <v>High</v>
      </c>
      <c r="Q63" s="23" t="s">
        <v>62</v>
      </c>
      <c r="R63" s="23"/>
      <c r="S63" s="13" t="s">
        <v>1750</v>
      </c>
      <c r="T63" s="10" cm="1">
        <f t="array" ref="T63">IF(ROW()=ROW($T$2)+1,0,INDEX($T:$T,ROW()-1))+IF($A63="",0,1)</f>
        <v>61</v>
      </c>
      <c r="U63" s="20" t="b" cm="1">
        <f t="array" aca="1" ref="U63" ca="1">CheckRelevance(SanitizeInput(E63),Questionnaire!$I:$I)</f>
        <v>0</v>
      </c>
      <c r="V63" s="20" t="b">
        <f>IFERROR(_xlfn.XMATCH("*,"&amp;$A63&amp;",*",Mitigation!$X:$X,2)&gt;0,FALSE)</f>
        <v>0</v>
      </c>
      <c r="W63" s="20" cm="1">
        <f t="array" ref="W63">CreateTaskID($W$2,$W:$W,Tasks!$B$17,$S63)</f>
        <v>1</v>
      </c>
      <c r="X63" s="20" t="str" cm="1">
        <f t="array" ref="X63">IF($E63="","",","&amp;SanitizeInput($E63))</f>
        <v>,AS16,</v>
      </c>
      <c r="Y63" s="20">
        <f>IF(K63="",0,VLOOKUP(K63,Definitions!$Z:$AA,COLUMNS(Definitions!$Z:$AA),FALSE))</f>
        <v>4</v>
      </c>
      <c r="Z63" s="20">
        <f>IF(L63="",0,VLOOKUP(L63,Definitions!$Z:$AA,COLUMNS(Definitions!$Z:$AA),FALSE))</f>
        <v>6</v>
      </c>
      <c r="AA63" s="20">
        <f>IF(M63="",0,VLOOKUP(M63,Definitions!$Z:$AA,COLUMNS(Definitions!$Z:$AA),FALSE))</f>
        <v>0</v>
      </c>
      <c r="AB63" s="20">
        <f>IF(N63="",0,VLOOKUP(N63,Definitions!$Z:$AA,COLUMNS(Definitions!$Z:$AA),FALSE))</f>
        <v>10</v>
      </c>
      <c r="AC63" s="20">
        <f>IF(O63="",0,VLOOKUP(O63,Definitions!$Z:$AA,COLUMNS(Definitions!$Z:$AA),FALSE))</f>
        <v>0</v>
      </c>
      <c r="AD63" s="20">
        <f t="shared" ca="1" si="3"/>
        <v>20</v>
      </c>
      <c r="AE63" s="20" t="str" cm="1">
        <f t="array" ref="AE63">IF($G63="","",","&amp;SanitizeInput($G63))</f>
        <v>,CM5,</v>
      </c>
      <c r="AF63" s="20" t="b" cm="1">
        <f t="array" aca="1" ref="AF63" ca="1">OR($AK63,_xlfn.LAMBDA(_xlpm._ownID,_xlpm._searchHeader,_xlpm._resultHeader,_xlpm._elementCount,_xlpm._delimiter,_xlpm._activeInTreatmentRange,_xlpm._activeByAnswersRange,_xlpm._dependencies,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InverseLookup(_xlpm._ownID,_xlpm._searchHeader,_xlpm._resultHeader,1,_xlpm._elementCount,_xlpm._delimiter))))))($A63,$AE$2,$A$2,Helper!$B$4,",",$A:$V,$A:$AK,InverseLookup($A63,$AE$2,$A$2,1,Helper!$B$4,",")))</f>
        <v>0</v>
      </c>
      <c r="AG63" s="20" t="str" cm="1">
        <f t="array" aca="1" ref="AG63" ca="1">IF(OR($V63,$AF63,$AK63),IF($G63="","",","&amp;SanitizeInput($G63)),"")</f>
        <v/>
      </c>
      <c r="AH63" s="20" t="str" cm="1">
        <f t="array" ref="AH63">SUBSTITUTE(IF($V63,IF($I63="","",","&amp;SanitizeInput($I63)),""),"&gt;",",")</f>
        <v/>
      </c>
      <c r="AI63" s="20" cm="1">
        <f t="array" aca="1" ref="AI63" ca="1">IF(ROW()=ROW($AI$2)+1,0,INDEX($AI:$AI,ROW()-1))+IF($AF63,1,0)</f>
        <v>6</v>
      </c>
      <c r="AJ63" s="20" t="str" cm="1">
        <f t="array" aca="1" ref="AJ63" ca="1">IF($AF63,IF($Q63="","",","&amp;SanitizeInput($Q63)),"")</f>
        <v/>
      </c>
      <c r="AK63" s="20" t="b">
        <f>OR(CheckRelevance(SanitizeInput($D63),Questionnaire!$I:$I),CheckRelevance(SanitizeInput($D63),Questionnaire!$J:$J))</f>
        <v>0</v>
      </c>
      <c r="AL63" s="20" t="str" cm="1">
        <f t="array" ref="AL63">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FilterPreconditionCandidates(RemoveFirstElement(_xlpm._preconditionCandidates),_xlpm._searchColumn,_xlpm._delimiter))))(SanitizeInput($D63),Questionnaire!$AA:$AA,",")</f>
        <v/>
      </c>
      <c r="AM63" s="20" t="str" cm="1">
        <f t="array" ref="AM63">IF($D63="*","",InverseLookupList($AL63,Questionnaire!$AA$3,Questionnaire!$A$3,Helper!$B$12,","))</f>
        <v/>
      </c>
      <c r="AN63" s="20" t="str" cm="1">
        <f t="array" ref="AN63">RemoveDelimiter(GetValues($AM63,Questionnaire!$A:$G," ",CHAR(10)&amp;CHAR(10),TRUE),CHAR(10)&amp;CHAR(10))</f>
        <v/>
      </c>
      <c r="AO63" s="20" t="str" cm="1">
        <f t="array" ref="AO63">CreateSearchString($AM63)</f>
        <v/>
      </c>
      <c r="AP63" s="20" t="str" cm="1">
        <f t="array" aca="1" ref="AP63" ca="1">InverseLookup($A63,Mitigation!$AD$2,Mitigation!$A$2,1,Helper!$B$5,",")</f>
        <v/>
      </c>
      <c r="AQ63" s="20" t="str" cm="1">
        <f t="array" aca="1" ref="AQ63" ca="1">CreateSearchString(GetValues($AP63,'Attack Steps'!$A:$O,"",",",FALSE))</f>
        <v/>
      </c>
      <c r="AR63" s="20" t="str">
        <f t="shared" si="2"/>
        <v>CM25</v>
      </c>
    </row>
    <row r="64" spans="1:44" ht="30" x14ac:dyDescent="0.25">
      <c r="A64" s="10" t="s">
        <v>1766</v>
      </c>
      <c r="B64" s="13" t="s">
        <v>1747</v>
      </c>
      <c r="C64" s="13" t="s">
        <v>1157</v>
      </c>
      <c r="D64" s="13"/>
      <c r="E64" s="13" t="s">
        <v>203</v>
      </c>
      <c r="F64" s="33" t="str" cm="1">
        <f t="array" aca="1" ref="F64" ca="1">LookupNames(SanitizeInput($E64),'Attack Steps'!$A:$B)</f>
        <v>AS16 Manipulating the product's configuration via its configuration interface</v>
      </c>
      <c r="G64" s="23" t="s">
        <v>758</v>
      </c>
      <c r="H64" s="33" t="str" cm="1">
        <f t="array" aca="1" ref="H64" ca="1">RemoveDelimiter(GetValuesWithFallback(SanitizeInput($G64),$A:$B,Assumptions!$A:$B," ",","&amp;CHAR(10),TRUE),","&amp;CHAR(10))</f>
        <v>CM5 SCR 2.3 - Password based authentication (human)</v>
      </c>
      <c r="I64" s="23"/>
      <c r="J64" s="37" t="str" cm="1">
        <f t="array" ref="J64">IF($I64="","",SUBSTITUTE(SUBSTITUTE(SUBSTITUTE(SUBSTITUTE(SUBSTITUTE(SUBSTITUTE(SUBSTITUTE(SUBSTITUTE(SUBSTITUTE(
GetTransformation(SanitizeInput($I64),'Damage Scenarios'!$A:$J,COLUMNS('Damage Scenarios'!$A:$J),CHAR(10),"[#0][#1][#2]")&amp;"§",
"[#1][#2]",""),
"[#2]",""),
"[#0][#1]","[#1]"),
"[#0]","Removes:"&amp;CHAR(10)),
"[#1]","Transforms:"&amp;CHAR(10)),
CHAR(10)&amp;"§",""),
"§",""),
CHAR(10),CHAR(10)&amp;"   "),
"   "&amp;"Transforms:","Transforms:"))</f>
        <v/>
      </c>
      <c r="K64" s="13"/>
      <c r="L64" s="13"/>
      <c r="M64" s="13"/>
      <c r="N64" s="13" t="s">
        <v>151</v>
      </c>
      <c r="O64" s="13"/>
      <c r="P64" s="33" t="str">
        <f ca="1">IF($A64="","",IFERROR(VLOOKUP($AD64,Definitions!$V:$W,COLUMNS(Definitions!$V:$W),TRUE),""))</f>
        <v>Beyond High</v>
      </c>
      <c r="Q64" s="23" t="s">
        <v>62</v>
      </c>
      <c r="R64" s="23"/>
      <c r="S64" s="13" t="s">
        <v>1749</v>
      </c>
      <c r="T64" s="10" cm="1">
        <f t="array" ref="T64">IF(ROW()=ROW($T$2)+1,0,INDEX($T:$T,ROW()-1))+IF($A64="",0,1)</f>
        <v>62</v>
      </c>
      <c r="U64" s="20" t="b" cm="1">
        <f t="array" aca="1" ref="U64" ca="1">CheckRelevance(SanitizeInput(E64),Questionnaire!$I:$I)</f>
        <v>0</v>
      </c>
      <c r="V64" s="20" t="b">
        <f>IFERROR(_xlfn.XMATCH("*,"&amp;$A64&amp;",*",Mitigation!$X:$X,2)&gt;0,FALSE)</f>
        <v>0</v>
      </c>
      <c r="W64" s="20" cm="1">
        <f t="array" ref="W64">CreateTaskID($W$2,$W:$W,Tasks!$B$17,$S64)</f>
        <v>1</v>
      </c>
      <c r="X64" s="20" t="str" cm="1">
        <f t="array" ref="X64">IF($E64="","",","&amp;SanitizeInput($E64))</f>
        <v>,AS16,</v>
      </c>
      <c r="Y64" s="20">
        <f>IF(K64="",0,VLOOKUP(K64,Definitions!$Z:$AA,COLUMNS(Definitions!$Z:$AA),FALSE))</f>
        <v>0</v>
      </c>
      <c r="Z64" s="20">
        <f>IF(L64="",0,VLOOKUP(L64,Definitions!$Z:$AA,COLUMNS(Definitions!$Z:$AA),FALSE))</f>
        <v>0</v>
      </c>
      <c r="AA64" s="20">
        <f>IF(M64="",0,VLOOKUP(M64,Definitions!$Z:$AA,COLUMNS(Definitions!$Z:$AA),FALSE))</f>
        <v>0</v>
      </c>
      <c r="AB64" s="20">
        <f>IF(N64="",0,VLOOKUP(N64,Definitions!$Z:$AA,COLUMNS(Definitions!$Z:$AA),FALSE))</f>
        <v>25</v>
      </c>
      <c r="AC64" s="20">
        <f>IF(O64="",0,VLOOKUP(O64,Definitions!$Z:$AA,COLUMNS(Definitions!$Z:$AA),FALSE))</f>
        <v>0</v>
      </c>
      <c r="AD64" s="20">
        <f t="shared" ca="1" si="3"/>
        <v>25</v>
      </c>
      <c r="AE64" s="20" t="str" cm="1">
        <f t="array" ref="AE64">IF($G64="","",","&amp;SanitizeInput($G64))</f>
        <v>,CM5,</v>
      </c>
      <c r="AF64" s="20" t="b" cm="1">
        <f t="array" aca="1" ref="AF64" ca="1">OR($AK64,_xlfn.LAMBDA(_xlpm._ownID,_xlpm._searchHeader,_xlpm._resultHeader,_xlpm._elementCount,_xlpm._delimiter,_xlpm._activeInTreatmentRange,_xlpm._activeByAnswersRange,_xlpm._dependencies,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InverseLookup(_xlpm._ownID,_xlpm._searchHeader,_xlpm._resultHeader,1,_xlpm._elementCount,_xlpm._delimiter))))))($A64,$AE$2,$A$2,Helper!$B$4,",",$A:$V,$A:$AK,InverseLookup($A64,$AE$2,$A$2,1,Helper!$B$4,",")))</f>
        <v>0</v>
      </c>
      <c r="AG64" s="20" t="str" cm="1">
        <f t="array" aca="1" ref="AG64" ca="1">IF(OR($V64,$AF64,$AK64),IF($G64="","",","&amp;SanitizeInput($G64)),"")</f>
        <v/>
      </c>
      <c r="AH64" s="20" t="str" cm="1">
        <f t="array" ref="AH64">SUBSTITUTE(IF($V64,IF($I64="","",","&amp;SanitizeInput($I64)),""),"&gt;",",")</f>
        <v/>
      </c>
      <c r="AI64" s="20" cm="1">
        <f t="array" aca="1" ref="AI64" ca="1">IF(ROW()=ROW($AI$2)+1,0,INDEX($AI:$AI,ROW()-1))+IF($AF64,1,0)</f>
        <v>6</v>
      </c>
      <c r="AJ64" s="20" t="str" cm="1">
        <f t="array" aca="1" ref="AJ64" ca="1">IF($AF64,IF($Q64="","",","&amp;SanitizeInput($Q64)),"")</f>
        <v/>
      </c>
      <c r="AK64" s="20" t="b">
        <f>OR(CheckRelevance(SanitizeInput($D64),Questionnaire!$I:$I),CheckRelevance(SanitizeInput($D64),Questionnaire!$J:$J))</f>
        <v>0</v>
      </c>
      <c r="AL64" s="20" t="str" cm="1">
        <f t="array" ref="AL64">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FilterPreconditionCandidates(RemoveFirstElement(_xlpm._preconditionCandidates),_xlpm._searchColumn,_xlpm._delimiter))))(SanitizeInput($D64),Questionnaire!$AA:$AA,",")</f>
        <v/>
      </c>
      <c r="AM64" s="20" t="str" cm="1">
        <f t="array" ref="AM64">IF($D64="*","",InverseLookupList($AL64,Questionnaire!$AA$3,Questionnaire!$A$3,Helper!$B$12,","))</f>
        <v/>
      </c>
      <c r="AN64" s="20" t="str" cm="1">
        <f t="array" ref="AN64">RemoveDelimiter(GetValues($AM64,Questionnaire!$A:$G," ",CHAR(10)&amp;CHAR(10),TRUE),CHAR(10)&amp;CHAR(10))</f>
        <v/>
      </c>
      <c r="AO64" s="20" t="str" cm="1">
        <f t="array" ref="AO64">CreateSearchString($AM64)</f>
        <v/>
      </c>
      <c r="AP64" s="20" t="str" cm="1">
        <f t="array" aca="1" ref="AP64" ca="1">InverseLookup($A64,Mitigation!$AD$2,Mitigation!$A$2,1,Helper!$B$5,",")</f>
        <v/>
      </c>
      <c r="AQ64" s="20" t="str" cm="1">
        <f t="array" aca="1" ref="AQ64" ca="1">CreateSearchString(GetValues($AP64,'Attack Steps'!$A:$O,"",",",FALSE))</f>
        <v/>
      </c>
      <c r="AR64" s="20" t="str">
        <f t="shared" si="2"/>
        <v>CM26</v>
      </c>
    </row>
    <row r="65" spans="1:44" ht="60" x14ac:dyDescent="0.25">
      <c r="A65" s="10" t="s">
        <v>1767</v>
      </c>
      <c r="B65" s="13" t="s">
        <v>1235</v>
      </c>
      <c r="C65" s="13" t="s">
        <v>1236</v>
      </c>
      <c r="D65" s="13"/>
      <c r="E65" s="13" t="s">
        <v>203</v>
      </c>
      <c r="F65" s="33" t="str" cm="1">
        <f t="array" aca="1" ref="F65" ca="1">LookupNames(SanitizeInput($E65),'Attack Steps'!$A:$B)</f>
        <v>AS16 Manipulating the product's configuration via its configuration interface</v>
      </c>
      <c r="G65" s="23" t="s">
        <v>1242</v>
      </c>
      <c r="H65" s="33" t="str" cm="1">
        <f t="array" aca="1" ref="H65" ca="1">RemoveDelimiter(GetValuesWithFallback(SanitizeInput($G65),$A:$B,Assumptions!$A:$B," ",","&amp;CHAR(10),TRUE),","&amp;CHAR(10))</f>
        <v>CM5 SCR 2.3 - Password based authentication (human),
CM11 SCR 2.9 - Secure channel with communication partner authentication</v>
      </c>
      <c r="I65" s="23"/>
      <c r="J65" s="37" t="str" cm="1">
        <f t="array" ref="J65">IF($I65="","",SUBSTITUTE(SUBSTITUTE(SUBSTITUTE(SUBSTITUTE(SUBSTITUTE(SUBSTITUTE(SUBSTITUTE(SUBSTITUTE(SUBSTITUTE(
GetTransformation(SanitizeInput($I65),'Damage Scenarios'!$A:$J,COLUMNS('Damage Scenarios'!$A:$J),CHAR(10),"[#0][#1][#2]")&amp;"§",
"[#1][#2]",""),
"[#2]",""),
"[#0][#1]","[#1]"),
"[#0]","Removes:"&amp;CHAR(10)),
"[#1]","Transforms:"&amp;CHAR(10)),
CHAR(10)&amp;"§",""),
"§",""),
CHAR(10),CHAR(10)&amp;"   "),
"   "&amp;"Transforms:","Transforms:"))</f>
        <v/>
      </c>
      <c r="K65" s="13"/>
      <c r="L65" s="13"/>
      <c r="M65" s="13"/>
      <c r="N65" s="13"/>
      <c r="O65" s="13"/>
      <c r="P65" s="33" t="str">
        <f ca="1">IF($A65="","",IFERROR(VLOOKUP($AD65,Definitions!$V:$W,COLUMNS(Definitions!$V:$W),TRUE),""))</f>
        <v>Basic</v>
      </c>
      <c r="Q65" s="23" t="s">
        <v>62</v>
      </c>
      <c r="R65" s="23"/>
      <c r="S65" s="13"/>
      <c r="T65" s="10" cm="1">
        <f t="array" ref="T65">IF(ROW()=ROW($T$2)+1,0,INDEX($T:$T,ROW()-1))+IF($A65="",0,1)</f>
        <v>63</v>
      </c>
      <c r="U65" s="20" t="b" cm="1">
        <f t="array" aca="1" ref="U65" ca="1">CheckRelevance(SanitizeInput(E65),Questionnaire!$I:$I)</f>
        <v>0</v>
      </c>
      <c r="V65" s="20" t="b">
        <f>IFERROR(_xlfn.XMATCH("*,"&amp;$A65&amp;",*",Mitigation!$X:$X,2)&gt;0,FALSE)</f>
        <v>0</v>
      </c>
      <c r="W65" s="20" cm="1">
        <f t="array" ref="W65">CreateTaskID($W$2,$W:$W,Tasks!$B$17,$S65)</f>
        <v>1</v>
      </c>
      <c r="X65" s="20" t="str" cm="1">
        <f t="array" ref="X65">IF($E65="","",","&amp;SanitizeInput($E65))</f>
        <v>,AS16,</v>
      </c>
      <c r="Y65" s="20">
        <f>IF(K65="",0,VLOOKUP(K65,Definitions!$Z:$AA,COLUMNS(Definitions!$Z:$AA),FALSE))</f>
        <v>0</v>
      </c>
      <c r="Z65" s="20">
        <f>IF(L65="",0,VLOOKUP(L65,Definitions!$Z:$AA,COLUMNS(Definitions!$Z:$AA),FALSE))</f>
        <v>0</v>
      </c>
      <c r="AA65" s="20">
        <f>IF(M65="",0,VLOOKUP(M65,Definitions!$Z:$AA,COLUMNS(Definitions!$Z:$AA),FALSE))</f>
        <v>0</v>
      </c>
      <c r="AB65" s="20">
        <f>IF(N65="",0,VLOOKUP(N65,Definitions!$Z:$AA,COLUMNS(Definitions!$Z:$AA),FALSE))</f>
        <v>0</v>
      </c>
      <c r="AC65" s="20">
        <f>IF(O65="",0,VLOOKUP(O65,Definitions!$Z:$AA,COLUMNS(Definitions!$Z:$AA),FALSE))</f>
        <v>0</v>
      </c>
      <c r="AD65" s="20">
        <f t="shared" ca="1" si="3"/>
        <v>0</v>
      </c>
      <c r="AE65" s="20" t="str" cm="1">
        <f t="array" ref="AE65">IF($G65="","",","&amp;SanitizeInput($G65))</f>
        <v>,CM5,CM11,</v>
      </c>
      <c r="AF65" s="20" t="b" cm="1">
        <f t="array" aca="1" ref="AF65" ca="1">OR($AK65,_xlfn.LAMBDA(_xlpm._ownID,_xlpm._searchHeader,_xlpm._resultHeader,_xlpm._elementCount,_xlpm._delimiter,_xlpm._activeInTreatmentRange,_xlpm._activeByAnswersRange,_xlpm._dependencies,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InverseLookup(_xlpm._ownID,_xlpm._searchHeader,_xlpm._resultHeader,1,_xlpm._elementCount,_xlpm._delimiter))))))($A65,$AE$2,$A$2,Helper!$B$4,",",$A:$V,$A:$AK,InverseLookup($A65,$AE$2,$A$2,1,Helper!$B$4,",")))</f>
        <v>0</v>
      </c>
      <c r="AG65" s="20" t="str" cm="1">
        <f t="array" aca="1" ref="AG65" ca="1">IF(OR($V65,$AF65,$AK65),IF($G65="","",","&amp;SanitizeInput($G65)),"")</f>
        <v/>
      </c>
      <c r="AH65" s="20" t="str" cm="1">
        <f t="array" ref="AH65">SUBSTITUTE(IF($V65,IF($I65="","",","&amp;SanitizeInput($I65)),""),"&gt;",",")</f>
        <v/>
      </c>
      <c r="AI65" s="20" cm="1">
        <f t="array" aca="1" ref="AI65" ca="1">IF(ROW()=ROW($AI$2)+1,0,INDEX($AI:$AI,ROW()-1))+IF($AF65,1,0)</f>
        <v>6</v>
      </c>
      <c r="AJ65" s="20" t="str" cm="1">
        <f t="array" aca="1" ref="AJ65" ca="1">IF($AF65,IF($Q65="","",","&amp;SanitizeInput($Q65)),"")</f>
        <v/>
      </c>
      <c r="AK65" s="20" t="b">
        <f>OR(CheckRelevance(SanitizeInput($D65),Questionnaire!$I:$I),CheckRelevance(SanitizeInput($D65),Questionnaire!$J:$J))</f>
        <v>0</v>
      </c>
      <c r="AL65" s="20" t="str" cm="1">
        <f t="array" ref="AL65">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FilterPreconditionCandidates(RemoveFirstElement(_xlpm._preconditionCandidates),_xlpm._searchColumn,_xlpm._delimiter))))(SanitizeInput($D65),Questionnaire!$AA:$AA,",")</f>
        <v/>
      </c>
      <c r="AM65" s="20" t="str" cm="1">
        <f t="array" ref="AM65">IF($D65="*","",InverseLookupList($AL65,Questionnaire!$AA$3,Questionnaire!$A$3,Helper!$B$12,","))</f>
        <v/>
      </c>
      <c r="AN65" s="20" t="str" cm="1">
        <f t="array" ref="AN65">RemoveDelimiter(GetValues($AM65,Questionnaire!$A:$G," ",CHAR(10)&amp;CHAR(10),TRUE),CHAR(10)&amp;CHAR(10))</f>
        <v/>
      </c>
      <c r="AO65" s="20" t="str" cm="1">
        <f t="array" ref="AO65">CreateSearchString($AM65)</f>
        <v/>
      </c>
      <c r="AP65" s="20" t="str" cm="1">
        <f t="array" aca="1" ref="AP65" ca="1">InverseLookup($A65,Mitigation!$AD$2,Mitigation!$A$2,1,Helper!$B$5,",")</f>
        <v/>
      </c>
      <c r="AQ65" s="20" t="str" cm="1">
        <f t="array" aca="1" ref="AQ65" ca="1">CreateSearchString(GetValues($AP65,'Attack Steps'!$A:$O,"",",",FALSE))</f>
        <v/>
      </c>
      <c r="AR65" s="20" t="str">
        <f t="shared" si="2"/>
        <v>CM27</v>
      </c>
    </row>
    <row r="66" spans="1:44" ht="45" x14ac:dyDescent="0.25">
      <c r="A66" s="10" t="s">
        <v>1768</v>
      </c>
      <c r="B66" s="13" t="s">
        <v>1158</v>
      </c>
      <c r="C66" s="13"/>
      <c r="D66" s="13"/>
      <c r="E66" s="13" t="s">
        <v>203</v>
      </c>
      <c r="F66" s="33" t="str" cm="1">
        <f t="array" aca="1" ref="F66" ca="1">LookupNames(SanitizeInput($E66),'Attack Steps'!$A:$B)</f>
        <v>AS16 Manipulating the product's configuration via its configuration interface</v>
      </c>
      <c r="G66" s="23" t="s">
        <v>758</v>
      </c>
      <c r="H66" s="33" t="str" cm="1">
        <f t="array" aca="1" ref="H66" ca="1">RemoveDelimiter(GetValuesWithFallback(SanitizeInput($G66),$A:$B,Assumptions!$A:$B," ",","&amp;CHAR(10),TRUE),","&amp;CHAR(10))</f>
        <v>CM5 SCR 2.3 - Password based authentication (human)</v>
      </c>
      <c r="I66" s="23"/>
      <c r="J66" s="37" t="str" cm="1">
        <f t="array" ref="J66">IF($I66="","",SUBSTITUTE(SUBSTITUTE(SUBSTITUTE(SUBSTITUTE(SUBSTITUTE(SUBSTITUTE(SUBSTITUTE(SUBSTITUTE(SUBSTITUTE(
GetTransformation(SanitizeInput($I66),'Damage Scenarios'!$A:$J,COLUMNS('Damage Scenarios'!$A:$J),CHAR(10),"[#0][#1][#2]")&amp;"§",
"[#1][#2]",""),
"[#2]",""),
"[#0][#1]","[#1]"),
"[#0]","Removes:"&amp;CHAR(10)),
"[#1]","Transforms:"&amp;CHAR(10)),
CHAR(10)&amp;"§",""),
"§",""),
CHAR(10),CHAR(10)&amp;"   "),
"   "&amp;"Transforms:","Transforms:"))</f>
        <v/>
      </c>
      <c r="K66" s="13"/>
      <c r="L66" s="13"/>
      <c r="M66" s="13"/>
      <c r="N66" s="13" t="s">
        <v>151</v>
      </c>
      <c r="O66" s="13"/>
      <c r="P66" s="33" t="str">
        <f ca="1">IF($A66="","",IFERROR(VLOOKUP($AD66,Definitions!$V:$W,COLUMNS(Definitions!$V:$W),TRUE),""))</f>
        <v>Beyond High</v>
      </c>
      <c r="Q66" s="23" t="s">
        <v>62</v>
      </c>
      <c r="R66" s="23"/>
      <c r="S66" s="13" t="s">
        <v>1751</v>
      </c>
      <c r="T66" s="10" cm="1">
        <f t="array" ref="T66">IF(ROW()=ROW($T$2)+1,0,INDEX($T:$T,ROW()-1))+IF($A66="",0,1)</f>
        <v>64</v>
      </c>
      <c r="U66" s="20" t="b" cm="1">
        <f t="array" aca="1" ref="U66" ca="1">CheckRelevance(SanitizeInput(E66),Questionnaire!$I:$I)</f>
        <v>0</v>
      </c>
      <c r="V66" s="20" t="b">
        <f>IFERROR(_xlfn.XMATCH("*,"&amp;$A66&amp;",*",Mitigation!$X:$X,2)&gt;0,FALSE)</f>
        <v>0</v>
      </c>
      <c r="W66" s="20" cm="1">
        <f t="array" ref="W66">CreateTaskID($W$2,$W:$W,Tasks!$B$17,$S66)</f>
        <v>1</v>
      </c>
      <c r="X66" s="20" t="str" cm="1">
        <f t="array" ref="X66">IF($E66="","",","&amp;SanitizeInput($E66))</f>
        <v>,AS16,</v>
      </c>
      <c r="Y66" s="20">
        <f>IF(K66="",0,VLOOKUP(K66,Definitions!$Z:$AA,COLUMNS(Definitions!$Z:$AA),FALSE))</f>
        <v>0</v>
      </c>
      <c r="Z66" s="20">
        <f>IF(L66="",0,VLOOKUP(L66,Definitions!$Z:$AA,COLUMNS(Definitions!$Z:$AA),FALSE))</f>
        <v>0</v>
      </c>
      <c r="AA66" s="20">
        <f>IF(M66="",0,VLOOKUP(M66,Definitions!$Z:$AA,COLUMNS(Definitions!$Z:$AA),FALSE))</f>
        <v>0</v>
      </c>
      <c r="AB66" s="20">
        <f>IF(N66="",0,VLOOKUP(N66,Definitions!$Z:$AA,COLUMNS(Definitions!$Z:$AA),FALSE))</f>
        <v>25</v>
      </c>
      <c r="AC66" s="20">
        <f>IF(O66="",0,VLOOKUP(O66,Definitions!$Z:$AA,COLUMNS(Definitions!$Z:$AA),FALSE))</f>
        <v>0</v>
      </c>
      <c r="AD66" s="20">
        <f t="shared" ca="1" si="3"/>
        <v>25</v>
      </c>
      <c r="AE66" s="20" t="str" cm="1">
        <f t="array" ref="AE66">IF($G66="","",","&amp;SanitizeInput($G66))</f>
        <v>,CM5,</v>
      </c>
      <c r="AF66" s="20" t="b" cm="1">
        <f t="array" aca="1" ref="AF66" ca="1">OR($AK66,_xlfn.LAMBDA(_xlpm._ownID,_xlpm._searchHeader,_xlpm._resultHeader,_xlpm._elementCount,_xlpm._delimiter,_xlpm._activeInTreatmentRange,_xlpm._activeByAnswersRange,_xlpm._dependencies,
IF(OR(VLOOKUP(_xlpm._ownID,_xlpm._activeInTreatmentRange,COLUMNS(_xlpm._activeInTreatmentRange),FALSE),VLOOKUP(_xlpm._ownID,_xlpm._activeByAnswersRange,COLUMNS(_xlpm._activeByAnswersRange),FALSE)),TRUE,IF(_xlpm._dependencies="",FALSE,
_xlfn.LET(_xlpm._id,LEFT(_xlpm._dependencies,FIND(",",_xlpm._dependencies)-1),
CheckActiveCountermeasureRecursively(_xlpm._id,_xlpm._searchHeader,_xlpm._resultHeader,_xlpm._elementCount,_xlpm._delimiter,_xlpm._activeInTreatmentRange,_xlpm._activeByAnswersRange,RemoveFirstElement(_xlpm._dependencies)&amp;
InverseLookup(_xlpm._ownID,_xlpm._searchHeader,_xlpm._resultHeader,1,_xlpm._elementCount,_xlpm._delimiter))))))($A66,$AE$2,$A$2,Helper!$B$4,",",$A:$V,$A:$AK,InverseLookup($A66,$AE$2,$A$2,1,Helper!$B$4,",")))</f>
        <v>0</v>
      </c>
      <c r="AG66" s="20" t="str" cm="1">
        <f t="array" aca="1" ref="AG66" ca="1">IF(OR($V66,$AF66,$AK66),IF($G66="","",","&amp;SanitizeInput($G66)),"")</f>
        <v/>
      </c>
      <c r="AH66" s="20" t="str" cm="1">
        <f t="array" ref="AH66">SUBSTITUTE(IF($V66,IF($I66="","",","&amp;SanitizeInput($I66)),""),"&gt;",",")</f>
        <v/>
      </c>
      <c r="AI66" s="20" cm="1">
        <f t="array" aca="1" ref="AI66" ca="1">IF(ROW()=ROW($AI$2)+1,0,INDEX($AI:$AI,ROW()-1))+IF($AF66,1,0)</f>
        <v>6</v>
      </c>
      <c r="AJ66" s="20" t="str" cm="1">
        <f t="array" aca="1" ref="AJ66" ca="1">IF($AF66,IF($Q66="","",","&amp;SanitizeInput($Q66)),"")</f>
        <v/>
      </c>
      <c r="AK66" s="20" t="b">
        <f>OR(CheckRelevance(SanitizeInput($D66),Questionnaire!$I:$I),CheckRelevance(SanitizeInput($D66),Questionnaire!$J:$J))</f>
        <v>0</v>
      </c>
      <c r="AL66" s="20" t="str" cm="1">
        <f t="array" ref="AL66">_xlfn.LAMBDA(_xlpm._preconditionCandidates,_xlpm._searchColumn,_xlpm._delimiter,
IF(_xlpm._preconditionCandidates="","",_xlfn.LET(
_xlpm._preconditionCandidate,LEFT(_xlpm._preconditionCandidates,FIND(",",_xlpm._preconditionCandidates)-1),
_xlpm._isRelevant,CheckRelevance(_xlpm._preconditionCandidate&amp;",",_xlpm._searchColumn),
IF(_xlpm._isRelevant,SUBSTITUTE(_xlpm._preconditionCandidate,"&amp;",",")&amp;_xlpm._delimiter,"")&amp;
FilterPreconditionCandidates(RemoveFirstElement(_xlpm._preconditionCandidates),_xlpm._searchColumn,_xlpm._delimiter))))(SanitizeInput($D66),Questionnaire!$AA:$AA,",")</f>
        <v/>
      </c>
      <c r="AM66" s="20" t="str" cm="1">
        <f t="array" ref="AM66">IF($D66="*","",InverseLookupList($AL66,Questionnaire!$AA$3,Questionnaire!$A$3,Helper!$B$12,","))</f>
        <v/>
      </c>
      <c r="AN66" s="20" t="str" cm="1">
        <f t="array" ref="AN66">RemoveDelimiter(GetValues($AM66,Questionnaire!$A:$G," ",CHAR(10)&amp;CHAR(10),TRUE),CHAR(10)&amp;CHAR(10))</f>
        <v/>
      </c>
      <c r="AO66" s="20" t="str" cm="1">
        <f t="array" ref="AO66">CreateSearchString($AM66)</f>
        <v/>
      </c>
      <c r="AP66" s="20" t="str" cm="1">
        <f t="array" aca="1" ref="AP66" ca="1">InverseLookup($A66,Mitigation!$AD$2,Mitigation!$A$2,1,Helper!$B$5,",")</f>
        <v/>
      </c>
      <c r="AQ66" s="20" t="str" cm="1">
        <f t="array" aca="1" ref="AQ66" ca="1">CreateSearchString(GetValues($AP66,'Attack Steps'!$A:$O,"",",",FALSE))</f>
        <v/>
      </c>
      <c r="AR66" s="20" t="str">
        <f t="shared" si="2"/>
        <v>CM28</v>
      </c>
    </row>
  </sheetData>
  <phoneticPr fontId="4" type="noConversion"/>
  <conditionalFormatting sqref="A1:A1048576">
    <cfRule type="expression" dxfId="58" priority="1">
      <formula>MATCH(A1,$A:$A,0)&lt;ROW(A1)</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2" id="{92F26B9D-6CAC-46A5-9ED0-09060DCF0807}">
            <xm:f>IFERROR(FIND(Tasks!$B$17,S1)&gt;0,FALSE)</xm:f>
            <x14:dxf>
              <font>
                <b/>
                <i val="0"/>
                <color rgb="FF99FFCC"/>
              </font>
            </x14:dxf>
          </x14:cfRule>
          <xm:sqref>S1:S1048576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E7B8778-9CE7-4001-AF9C-2F9850B63CAA}">
          <x14:formula1>
            <xm:f>OFFSET(Definitions!$Z$2,MATCH(COLUMN()-COLUMN($K$2)+1,Definitions!$AB:$AB,0)-ROW(Definitions!$Z$2),0,COUNTIF(Definitions!$AB:$AB,COLUMN()-COLUMN($K$2)+1),1)</xm:f>
          </x14:formula1>
          <xm:sqref>K3:O66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32AB-ED4E-4633-9970-D747029C0FB6}">
  <sheetPr>
    <tabColor theme="1" tint="0.14999847407452621"/>
  </sheetPr>
  <dimension ref="A1:J48"/>
  <sheetViews>
    <sheetView workbookViewId="0">
      <selection activeCell="C2" sqref="C2:E2"/>
    </sheetView>
  </sheetViews>
  <sheetFormatPr defaultColWidth="9.140625" defaultRowHeight="15" x14ac:dyDescent="0.25"/>
  <cols>
    <col min="1" max="1" width="2.7109375" style="115" customWidth="1"/>
    <col min="2" max="2" width="24.5703125" style="2" bestFit="1" customWidth="1"/>
    <col min="3" max="3" width="60.7109375" style="2" customWidth="1"/>
    <col min="4" max="4" width="30.7109375" style="2" customWidth="1"/>
    <col min="5" max="5" width="15.7109375" style="2" customWidth="1"/>
    <col min="6" max="6" width="9.140625" style="121"/>
    <col min="7" max="7" width="120.7109375" style="2" customWidth="1"/>
    <col min="8" max="8" width="9.140625" style="2"/>
    <col min="9" max="9" width="18.85546875" style="2" hidden="1" customWidth="1"/>
    <col min="10" max="10" width="9.140625" style="2" hidden="1" customWidth="1"/>
    <col min="11" max="16384" width="9.140625" style="2"/>
  </cols>
  <sheetData>
    <row r="1" spans="1:10" ht="9.9499999999999993" customHeight="1" x14ac:dyDescent="0.25">
      <c r="I1" s="2" t="s">
        <v>554</v>
      </c>
      <c r="J1" s="2" t="s">
        <v>555</v>
      </c>
    </row>
    <row r="2" spans="1:10" ht="18.75" x14ac:dyDescent="0.3">
      <c r="A2" s="115" t="str" cm="1">
        <f t="array" aca="1" ref="A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HYPERLINK("#'"&amp;Helper!$G$2&amp;"'!"&amp;CHAR(CODE("A")+COLUMN(_xlpm._columnNameHeader)-1)&amp;_xlpm._entryOffset,Definitions!$AY$4)))(Helper!$G$9,$B2,README!$E:$E,README!$I$36,README!$B$36)</f>
        <v>◈</v>
      </c>
      <c r="B2" s="31" t="s">
        <v>249</v>
      </c>
      <c r="C2" s="145"/>
      <c r="D2" s="145"/>
      <c r="E2" s="145"/>
      <c r="F2" s="121" t="str" cm="1">
        <f t="array" aca="1" ref="F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HYPERLINK("#'"&amp;Helper!$G$2&amp;"'!"&amp;CHAR(CODE("A")+COLUMN(_xlpm._columnNameHeader)-1)&amp;_xlpm._entryOffset,Definitions!$AY$4)))(Helper!$G$9,$G2,README!$E:$E,README!$I$36,README!$B$36)</f>
        <v>◈</v>
      </c>
      <c r="G2" s="31" t="s">
        <v>598</v>
      </c>
      <c r="I2" s="2" t="str">
        <f>IF(AND($B2&lt;&gt;"",$C2=""),$B2,"")</f>
        <v>Target of Evaluation</v>
      </c>
      <c r="J2" s="2" cm="1">
        <f t="array" ref="J2">CreateID($J$1,$J:$J,$I2&lt;&gt;"")</f>
        <v>1</v>
      </c>
    </row>
    <row r="3" spans="1:10" ht="5.0999999999999996" customHeight="1" x14ac:dyDescent="0.25">
      <c r="B3" s="1"/>
      <c r="C3" s="87"/>
      <c r="D3" s="87"/>
      <c r="E3" s="87"/>
      <c r="I3" s="2" t="str">
        <f t="shared" ref="I3:I15" si="0">IF(AND($B3&lt;&gt;"",$C3=""),$B3,"")</f>
        <v/>
      </c>
      <c r="J3" s="2" cm="1">
        <f t="array" ref="J3">CreateID($J$1,$J:$J,$I3&lt;&gt;"")</f>
        <v>1</v>
      </c>
    </row>
    <row r="4" spans="1:10" ht="18.75" customHeight="1" x14ac:dyDescent="0.3">
      <c r="A4" s="115" t="str" cm="1">
        <f t="array" aca="1" ref="A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HYPERLINK("#'"&amp;Helper!$G$2&amp;"'!"&amp;CHAR(CODE("A")+COLUMN(_xlpm._columnNameHeader)-1)&amp;_xlpm._entryOffset,Definitions!$AY$4)))(Helper!$G$9,$B4,README!$E:$E,README!$I$36,README!$B$36)</f>
        <v>◈</v>
      </c>
      <c r="B4" s="31" t="s">
        <v>253</v>
      </c>
      <c r="C4" s="146"/>
      <c r="D4" s="146"/>
      <c r="E4" s="146"/>
      <c r="G4" s="144" t="s">
        <v>1752</v>
      </c>
      <c r="I4" s="2" t="str">
        <f t="shared" si="0"/>
        <v>Author</v>
      </c>
      <c r="J4" s="2" cm="1">
        <f t="array" ref="J4">CreateID($J$1,$J:$J,$I4&lt;&gt;"")</f>
        <v>2</v>
      </c>
    </row>
    <row r="5" spans="1:10" ht="5.0999999999999996" customHeight="1" x14ac:dyDescent="0.25">
      <c r="B5" s="1"/>
      <c r="C5" s="87"/>
      <c r="D5" s="87"/>
      <c r="E5" s="87"/>
      <c r="G5" s="144"/>
      <c r="I5" s="2" t="str">
        <f t="shared" si="0"/>
        <v/>
      </c>
      <c r="J5" s="2" cm="1">
        <f t="array" ref="J5">CreateID($J$1,$J:$J,$I5&lt;&gt;"")</f>
        <v>2</v>
      </c>
    </row>
    <row r="6" spans="1:10" ht="18.75" x14ac:dyDescent="0.3">
      <c r="A6" s="115" t="str" cm="1">
        <f t="array" aca="1" ref="A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HYPERLINK("#'"&amp;Helper!$G$2&amp;"'!"&amp;CHAR(CODE("A")+COLUMN(_xlpm._columnNameHeader)-1)&amp;_xlpm._entryOffset,Definitions!$AY$4)))(Helper!$G$9,$B6,README!$E:$E,README!$I$36,README!$B$36)</f>
        <v>◈</v>
      </c>
      <c r="B6" s="31" t="s">
        <v>1122</v>
      </c>
      <c r="C6" s="146"/>
      <c r="D6" s="146"/>
      <c r="E6" s="146"/>
      <c r="G6" s="144"/>
      <c r="I6" s="2" t="str">
        <f t="shared" si="0"/>
        <v>PM Contact</v>
      </c>
      <c r="J6" s="2" cm="1">
        <f t="array" ref="J6">CreateID($J$1,$J:$J,$I6&lt;&gt;"")</f>
        <v>3</v>
      </c>
    </row>
    <row r="7" spans="1:10" ht="5.0999999999999996" customHeight="1" x14ac:dyDescent="0.3">
      <c r="B7" s="31"/>
      <c r="C7" s="87"/>
      <c r="D7" s="87"/>
      <c r="E7" s="87"/>
      <c r="G7" s="144"/>
      <c r="I7" s="2" t="str">
        <f t="shared" si="0"/>
        <v/>
      </c>
      <c r="J7" s="2" cm="1">
        <f t="array" ref="J7">CreateID($J$1,$J:$J,$I7&lt;&gt;"")</f>
        <v>3</v>
      </c>
    </row>
    <row r="8" spans="1:10" ht="18.75" x14ac:dyDescent="0.3">
      <c r="A8" s="115" t="str" cm="1">
        <f t="array" aca="1" ref="A8"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HYPERLINK("#'"&amp;Helper!$G$2&amp;"'!"&amp;CHAR(CODE("A")+COLUMN(_xlpm._columnNameHeader)-1)&amp;_xlpm._entryOffset,Definitions!$AY$4)))(Helper!$G$9,$B8,README!$E:$E,README!$I$36,README!$B$36)</f>
        <v>◈</v>
      </c>
      <c r="B8" s="31" t="s">
        <v>1123</v>
      </c>
      <c r="C8" s="146"/>
      <c r="D8" s="146"/>
      <c r="E8" s="146"/>
      <c r="G8" s="144"/>
      <c r="I8" s="2" t="str">
        <f t="shared" si="0"/>
        <v>RD Contact</v>
      </c>
      <c r="J8" s="2" cm="1">
        <f t="array" ref="J8">CreateID($J$1,$J:$J,$I8&lt;&gt;"")</f>
        <v>4</v>
      </c>
    </row>
    <row r="9" spans="1:10" ht="5.0999999999999996" customHeight="1" x14ac:dyDescent="0.3">
      <c r="B9" s="31"/>
      <c r="C9" s="87"/>
      <c r="D9" s="87"/>
      <c r="E9" s="87"/>
      <c r="G9" s="144"/>
      <c r="I9" s="2" t="str">
        <f t="shared" si="0"/>
        <v/>
      </c>
      <c r="J9" s="2" cm="1">
        <f t="array" ref="J9">CreateID($J$1,$J:$J,$I9&lt;&gt;"")</f>
        <v>4</v>
      </c>
    </row>
    <row r="10" spans="1:10" ht="18.75" x14ac:dyDescent="0.3">
      <c r="A10" s="115" t="str" cm="1">
        <f t="array" aca="1" ref="A10"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HYPERLINK("#'"&amp;Helper!$G$2&amp;"'!"&amp;CHAR(CODE("A")+COLUMN(_xlpm._columnNameHeader)-1)&amp;_xlpm._entryOffset,Definitions!$AY$4)))(Helper!$G$9,$B10,README!$E:$E,README!$I$36,README!$B$36)</f>
        <v>◈</v>
      </c>
      <c r="B10" s="31" t="s">
        <v>1124</v>
      </c>
      <c r="C10" s="146"/>
      <c r="D10" s="146"/>
      <c r="E10" s="146"/>
      <c r="G10" s="144"/>
      <c r="I10" s="2" t="str">
        <f t="shared" si="0"/>
        <v>CSS</v>
      </c>
      <c r="J10" s="2" cm="1">
        <f t="array" ref="J10">CreateID($J$1,$J:$J,$I10&lt;&gt;"")</f>
        <v>5</v>
      </c>
    </row>
    <row r="11" spans="1:10" ht="5.0999999999999996" customHeight="1" x14ac:dyDescent="0.3">
      <c r="B11" s="31"/>
      <c r="C11" s="87"/>
      <c r="D11" s="87"/>
      <c r="E11" s="87"/>
      <c r="G11" s="144"/>
      <c r="I11" s="2" t="str">
        <f t="shared" si="0"/>
        <v/>
      </c>
      <c r="J11" s="2" cm="1">
        <f t="array" ref="J11">CreateID($J$1,$J:$J,$I11&lt;&gt;"")</f>
        <v>5</v>
      </c>
    </row>
    <row r="12" spans="1:10" ht="18.75" x14ac:dyDescent="0.3">
      <c r="A12" s="115" t="str" cm="1">
        <f t="array" aca="1" ref="A1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HYPERLINK("#'"&amp;Helper!$G$2&amp;"'!"&amp;CHAR(CODE("A")+COLUMN(_xlpm._columnNameHeader)-1)&amp;_xlpm._entryOffset,Definitions!$AY$4)))(Helper!$G$9,$B12,README!$E:$E,README!$I$36,README!$B$36)</f>
        <v>◈</v>
      </c>
      <c r="B12" s="31" t="s">
        <v>1125</v>
      </c>
      <c r="C12" s="146"/>
      <c r="D12" s="146"/>
      <c r="E12" s="146"/>
      <c r="G12" s="144"/>
      <c r="I12" s="2" t="str">
        <f t="shared" si="0"/>
        <v>CSTS</v>
      </c>
      <c r="J12" s="2" cm="1">
        <f t="array" ref="J12">CreateID($J$1,$J:$J,$I12&lt;&gt;"")</f>
        <v>6</v>
      </c>
    </row>
    <row r="13" spans="1:10" ht="5.0999999999999996" customHeight="1" x14ac:dyDescent="0.3">
      <c r="B13" s="31"/>
      <c r="C13" s="87"/>
      <c r="D13" s="87"/>
      <c r="E13" s="87"/>
      <c r="G13" s="144"/>
      <c r="I13" s="2" t="str">
        <f t="shared" si="0"/>
        <v/>
      </c>
      <c r="J13" s="2" cm="1">
        <f t="array" ref="J13">CreateID($J$1,$J:$J,$I13&lt;&gt;"")</f>
        <v>6</v>
      </c>
    </row>
    <row r="14" spans="1:10" ht="18.75" x14ac:dyDescent="0.3">
      <c r="A14" s="115" t="str" cm="1">
        <f t="array" aca="1" ref="A1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HYPERLINK("#'"&amp;Helper!$G$2&amp;"'!"&amp;CHAR(CODE("A")+COLUMN(_xlpm._columnNameHeader)-1)&amp;_xlpm._entryOffset,Definitions!$AY$4)))(Helper!$G$9,$B14,README!$E:$E,README!$I$36,README!$B$36)</f>
        <v>◈</v>
      </c>
      <c r="B14" s="31" t="s">
        <v>1394</v>
      </c>
      <c r="C14" s="147" t="str" cm="1">
        <f t="array" aca="1" ref="C14" ca="1">_xlfn.LET(
_xlpm._offset,MATCH(TRUE,OFFSET('Version History'!$F$2,0,0,ROW('Version History'!$F$6)-ROW('Version History'!$F$2),1),0)-1,
_xlpm._version,OFFSET('Version History'!$C$2,_xlpm._offset,0),
_xlpm._date,OFFSET('Version History'!$B$2,_xlpm._offset,0),
_xlpm._version&amp;" ("&amp;PrintDate(_xlpm._date)&amp;")")</f>
        <v>1.0.0 (01.08.2025)</v>
      </c>
      <c r="D14" s="147"/>
      <c r="E14" s="147"/>
      <c r="G14" s="144"/>
      <c r="I14" s="2" t="str">
        <f t="shared" ca="1" si="0"/>
        <v/>
      </c>
      <c r="J14" s="2" cm="1">
        <f t="array" aca="1" ref="J14" ca="1">CreateID($J$1,$J:$J,$I14&lt;&gt;"")</f>
        <v>6</v>
      </c>
    </row>
    <row r="15" spans="1:10" x14ac:dyDescent="0.25">
      <c r="G15" s="144"/>
      <c r="I15" s="2" t="str">
        <f t="shared" si="0"/>
        <v/>
      </c>
      <c r="J15" s="2" cm="1">
        <f t="array" aca="1" ref="J15" ca="1">CreateID($J$1,$J:$J,$I15&lt;&gt;"")</f>
        <v>6</v>
      </c>
    </row>
    <row r="16" spans="1:10" ht="18.75" x14ac:dyDescent="0.3">
      <c r="A16" s="115" t="str" cm="1">
        <f t="array" aca="1" ref="A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HYPERLINK("#'"&amp;Helper!$G$2&amp;"'!"&amp;CHAR(CODE("A")+COLUMN(_xlpm._columnNameHeader)-1)&amp;_xlpm._entryOffset,Definitions!$AY$4)))(Helper!$G$9,$B16,README!$E:$E,README!$I$36,README!$B$36)</f>
        <v>◈</v>
      </c>
      <c r="B16" s="31" t="s">
        <v>1369</v>
      </c>
      <c r="G16" s="144"/>
      <c r="I16" s="2" t="str">
        <f>IF(C18="",$B$16,"")</f>
        <v>QuBA Change History</v>
      </c>
      <c r="J16" s="2" cm="1">
        <f t="array" aca="1" ref="J16" ca="1">CreateID($J$1,$J:$J,$I16&lt;&gt;"")</f>
        <v>7</v>
      </c>
    </row>
    <row r="17" spans="1:10" x14ac:dyDescent="0.25">
      <c r="B17" s="10" t="s">
        <v>251</v>
      </c>
      <c r="C17" s="10" t="s">
        <v>252</v>
      </c>
      <c r="D17" s="10" t="s">
        <v>253</v>
      </c>
      <c r="E17" s="10" t="s">
        <v>1370</v>
      </c>
      <c r="G17" s="144"/>
      <c r="J17" s="2" cm="1">
        <f t="array" aca="1" ref="J17" ca="1">CreateID($J$1,$J:$J,$I17&lt;&gt;"")</f>
        <v>7</v>
      </c>
    </row>
    <row r="18" spans="1:10" x14ac:dyDescent="0.25">
      <c r="B18" s="32"/>
      <c r="C18" s="10"/>
      <c r="D18" s="10"/>
      <c r="E18" s="10"/>
      <c r="G18" s="144"/>
      <c r="J18" s="2" cm="1">
        <f t="array" aca="1" ref="J18" ca="1">CreateID($J$1,$J:$J,$I18&lt;&gt;"")</f>
        <v>7</v>
      </c>
    </row>
    <row r="19" spans="1:10" x14ac:dyDescent="0.25">
      <c r="B19" s="10"/>
      <c r="C19" s="10"/>
      <c r="D19" s="10"/>
      <c r="E19" s="10"/>
      <c r="G19" s="144"/>
    </row>
    <row r="20" spans="1:10" x14ac:dyDescent="0.25">
      <c r="B20" s="10"/>
      <c r="C20" s="10"/>
      <c r="D20" s="10"/>
      <c r="E20" s="10"/>
      <c r="G20" s="144"/>
    </row>
    <row r="21" spans="1:10" x14ac:dyDescent="0.25">
      <c r="B21" s="10"/>
      <c r="C21" s="10"/>
      <c r="D21" s="10"/>
      <c r="E21" s="10"/>
      <c r="G21" s="144"/>
    </row>
    <row r="22" spans="1:10" x14ac:dyDescent="0.25">
      <c r="B22" s="10"/>
      <c r="C22" s="10"/>
      <c r="D22" s="10"/>
      <c r="E22" s="10"/>
      <c r="G22" s="144"/>
    </row>
    <row r="23" spans="1:10" x14ac:dyDescent="0.25">
      <c r="G23" s="144"/>
    </row>
    <row r="24" spans="1:10" x14ac:dyDescent="0.25">
      <c r="G24" s="144"/>
    </row>
    <row r="25" spans="1:10" ht="18.75" x14ac:dyDescent="0.3">
      <c r="A25" s="115" t="str" cm="1">
        <f t="array" aca="1" ref="A25"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HYPERLINK("#'"&amp;Helper!$G$2&amp;"'!"&amp;CHAR(CODE("A")+COLUMN(_xlpm._columnNameHeader)-1)&amp;_xlpm._entryOffset,Definitions!$AY$4)))(Helper!$G$9,$B25,README!$E:$E,README!$I$36,README!$B$36)</f>
        <v>◈</v>
      </c>
      <c r="B25" s="31" t="s">
        <v>1708</v>
      </c>
      <c r="G25" s="144"/>
    </row>
    <row r="26" spans="1:10" ht="5.0999999999999996" customHeight="1" x14ac:dyDescent="0.25">
      <c r="G26" s="144"/>
    </row>
    <row r="27" spans="1:10" x14ac:dyDescent="0.25">
      <c r="B27" s="148"/>
      <c r="C27" s="148"/>
      <c r="D27" s="148"/>
      <c r="E27" s="148"/>
      <c r="G27" s="144"/>
    </row>
    <row r="28" spans="1:10" x14ac:dyDescent="0.25">
      <c r="B28" s="148"/>
      <c r="C28" s="148"/>
      <c r="D28" s="148"/>
      <c r="E28" s="148"/>
      <c r="G28" s="144"/>
    </row>
    <row r="29" spans="1:10" x14ac:dyDescent="0.25">
      <c r="B29" s="148"/>
      <c r="C29" s="148"/>
      <c r="D29" s="148"/>
      <c r="E29" s="148"/>
      <c r="G29" s="144"/>
    </row>
    <row r="30" spans="1:10" x14ac:dyDescent="0.25">
      <c r="B30" s="148"/>
      <c r="C30" s="148"/>
      <c r="D30" s="148"/>
      <c r="E30" s="148"/>
      <c r="G30" s="144"/>
    </row>
    <row r="31" spans="1:10" x14ac:dyDescent="0.25">
      <c r="B31" s="148"/>
      <c r="C31" s="148"/>
      <c r="D31" s="148"/>
      <c r="E31" s="148"/>
      <c r="G31" s="144"/>
    </row>
    <row r="32" spans="1:10" x14ac:dyDescent="0.25">
      <c r="B32" s="148"/>
      <c r="C32" s="148"/>
      <c r="D32" s="148"/>
      <c r="E32" s="148"/>
      <c r="G32" s="144"/>
    </row>
    <row r="33" spans="2:7" x14ac:dyDescent="0.25">
      <c r="B33" s="148"/>
      <c r="C33" s="148"/>
      <c r="D33" s="148"/>
      <c r="E33" s="148"/>
      <c r="G33" s="144"/>
    </row>
    <row r="34" spans="2:7" x14ac:dyDescent="0.25">
      <c r="B34" s="148"/>
      <c r="C34" s="148"/>
      <c r="D34" s="148"/>
      <c r="E34" s="148"/>
      <c r="G34" s="144"/>
    </row>
    <row r="35" spans="2:7" x14ac:dyDescent="0.25">
      <c r="B35" s="148"/>
      <c r="C35" s="148"/>
      <c r="D35" s="148"/>
      <c r="E35" s="148"/>
      <c r="G35" s="144"/>
    </row>
    <row r="36" spans="2:7" x14ac:dyDescent="0.25">
      <c r="B36" s="148"/>
      <c r="C36" s="148"/>
      <c r="D36" s="148"/>
      <c r="E36" s="148"/>
      <c r="G36" s="144"/>
    </row>
    <row r="37" spans="2:7" x14ac:dyDescent="0.25">
      <c r="B37" s="148"/>
      <c r="C37" s="148"/>
      <c r="D37" s="148"/>
      <c r="E37" s="148"/>
      <c r="G37" s="144"/>
    </row>
    <row r="38" spans="2:7" x14ac:dyDescent="0.25">
      <c r="B38" s="148"/>
      <c r="C38" s="148"/>
      <c r="D38" s="148"/>
      <c r="E38" s="148"/>
      <c r="G38" s="144"/>
    </row>
    <row r="39" spans="2:7" x14ac:dyDescent="0.25">
      <c r="B39" s="148"/>
      <c r="C39" s="148"/>
      <c r="D39" s="148"/>
      <c r="E39" s="148"/>
      <c r="G39" s="144"/>
    </row>
    <row r="40" spans="2:7" x14ac:dyDescent="0.25">
      <c r="B40" s="148"/>
      <c r="C40" s="148"/>
      <c r="D40" s="148"/>
      <c r="E40" s="148"/>
      <c r="G40" s="144"/>
    </row>
    <row r="41" spans="2:7" x14ac:dyDescent="0.25">
      <c r="B41" s="148"/>
      <c r="C41" s="148"/>
      <c r="D41" s="148"/>
      <c r="E41" s="148"/>
      <c r="G41" s="144"/>
    </row>
    <row r="42" spans="2:7" x14ac:dyDescent="0.25">
      <c r="B42" s="148"/>
      <c r="C42" s="148"/>
      <c r="D42" s="148"/>
      <c r="E42" s="148"/>
      <c r="G42" s="144"/>
    </row>
    <row r="43" spans="2:7" x14ac:dyDescent="0.25">
      <c r="B43" s="148"/>
      <c r="C43" s="148"/>
      <c r="D43" s="148"/>
      <c r="E43" s="148"/>
      <c r="G43" s="144"/>
    </row>
    <row r="44" spans="2:7" x14ac:dyDescent="0.25">
      <c r="B44" s="148"/>
      <c r="C44" s="148"/>
      <c r="D44" s="148"/>
      <c r="E44" s="148"/>
      <c r="G44" s="144"/>
    </row>
    <row r="45" spans="2:7" x14ac:dyDescent="0.25">
      <c r="B45" s="148"/>
      <c r="C45" s="148"/>
      <c r="D45" s="148"/>
      <c r="E45" s="148"/>
      <c r="G45" s="144"/>
    </row>
    <row r="46" spans="2:7" x14ac:dyDescent="0.25">
      <c r="B46" s="148"/>
      <c r="C46" s="148"/>
      <c r="D46" s="148"/>
      <c r="E46" s="148"/>
      <c r="G46" s="144"/>
    </row>
    <row r="47" spans="2:7" x14ac:dyDescent="0.25">
      <c r="B47" s="148"/>
      <c r="C47" s="148"/>
      <c r="D47" s="148"/>
      <c r="E47" s="148"/>
      <c r="G47" s="144"/>
    </row>
    <row r="48" spans="2:7" x14ac:dyDescent="0.25">
      <c r="B48" s="148"/>
      <c r="C48" s="148"/>
      <c r="D48" s="148"/>
      <c r="E48" s="148"/>
      <c r="G48" s="144"/>
    </row>
  </sheetData>
  <mergeCells count="9">
    <mergeCell ref="G4:G48"/>
    <mergeCell ref="C2:E2"/>
    <mergeCell ref="C4:E4"/>
    <mergeCell ref="C6:E6"/>
    <mergeCell ref="C8:E8"/>
    <mergeCell ref="C10:E10"/>
    <mergeCell ref="C12:E12"/>
    <mergeCell ref="C14:E14"/>
    <mergeCell ref="B27:E48"/>
  </mergeCells>
  <pageMargins left="0.7" right="0.7" top="0.75" bottom="0.75" header="0.3" footer="0.3"/>
  <pageSetup paperSize="9"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01867-B161-4284-A538-6041DC049A17}">
  <sheetPr>
    <tabColor theme="1" tint="0.14999847407452621"/>
  </sheetPr>
  <dimension ref="A1:AO103"/>
  <sheetViews>
    <sheetView workbookViewId="0">
      <pane xSplit="2" ySplit="2" topLeftCell="C3" activePane="bottomRight" state="frozen"/>
      <selection pane="topRight" activeCell="C1" sqref="C1"/>
      <selection pane="bottomLeft" activeCell="A3" sqref="A3"/>
      <selection pane="bottomRight" activeCell="C6" sqref="C6"/>
    </sheetView>
  </sheetViews>
  <sheetFormatPr defaultColWidth="8.7109375" defaultRowHeight="15" x14ac:dyDescent="0.25"/>
  <cols>
    <col min="1" max="1" width="6.7109375" style="96" customWidth="1"/>
    <col min="2" max="2" width="50.7109375" style="4" customWidth="1"/>
    <col min="3" max="3" width="8.7109375" style="4"/>
    <col min="4" max="4" width="50.7109375" style="8" customWidth="1"/>
    <col min="5" max="5" width="25.7109375" style="4" customWidth="1"/>
    <col min="6" max="6" width="70.7109375" style="8" customWidth="1"/>
    <col min="7" max="7" width="45.7109375" style="4" customWidth="1"/>
    <col min="8" max="8" width="9.140625" style="12" customWidth="1"/>
    <col min="9" max="9" width="25.42578125" style="9" hidden="1" customWidth="1"/>
    <col min="10" max="10" width="36.140625" style="9" hidden="1" customWidth="1"/>
    <col min="11" max="11" width="16.85546875" style="9" hidden="1" customWidth="1"/>
    <col min="12" max="12" width="12.5703125" style="9" hidden="1" customWidth="1"/>
    <col min="13" max="13" width="9.42578125" style="2" hidden="1" customWidth="1"/>
    <col min="14" max="14" width="32" style="2" hidden="1" customWidth="1"/>
    <col min="15" max="15" width="29.85546875" style="2" hidden="1" customWidth="1"/>
    <col min="16" max="16" width="23.85546875" style="2" hidden="1" customWidth="1"/>
    <col min="17" max="17" width="21.7109375" style="2" hidden="1" customWidth="1"/>
    <col min="18" max="18" width="26.140625" style="2" hidden="1" customWidth="1"/>
    <col min="19" max="19" width="24.140625" style="2" hidden="1" customWidth="1"/>
    <col min="20" max="20" width="29.42578125" style="2" hidden="1" customWidth="1"/>
    <col min="21" max="21" width="27.28515625" style="2" hidden="1" customWidth="1"/>
    <col min="22" max="22" width="26" style="2" hidden="1" customWidth="1"/>
    <col min="23" max="23" width="26.28515625" style="2" hidden="1" customWidth="1"/>
    <col min="24" max="25" width="30.7109375" style="2" hidden="1" customWidth="1"/>
    <col min="26" max="26" width="41" style="2" hidden="1" customWidth="1"/>
    <col min="27" max="27" width="21.42578125" style="2" hidden="1" customWidth="1"/>
    <col min="28" max="28" width="15.7109375" style="2" hidden="1" customWidth="1"/>
    <col min="29" max="29" width="14.7109375" style="2" hidden="1" customWidth="1"/>
    <col min="30" max="30" width="20.140625" style="2" hidden="1" customWidth="1"/>
    <col min="31" max="31" width="11.85546875" style="2" hidden="1" customWidth="1"/>
    <col min="32" max="32" width="13.85546875" style="2" hidden="1" customWidth="1"/>
    <col min="33" max="33" width="25.85546875" style="2" hidden="1" customWidth="1"/>
    <col min="34" max="34" width="20.140625" style="2" hidden="1" customWidth="1"/>
    <col min="35" max="35" width="11.85546875" style="2" hidden="1" customWidth="1"/>
    <col min="36" max="36" width="13.85546875" style="2" hidden="1" customWidth="1"/>
    <col min="37" max="37" width="10.28515625" style="2" hidden="1" customWidth="1"/>
    <col min="38" max="38" width="31.28515625" style="2" hidden="1" customWidth="1"/>
    <col min="39" max="39" width="30.28515625" style="2" hidden="1" customWidth="1"/>
    <col min="40" max="40" width="31.28515625" style="2" hidden="1" customWidth="1"/>
    <col min="41" max="41" width="29.28515625" style="2" hidden="1" customWidth="1"/>
    <col min="42" max="16384" width="8.7109375" style="2"/>
  </cols>
  <sheetData>
    <row r="1" spans="1:41" s="115" customFormat="1" x14ac:dyDescent="0.25">
      <c r="A1" s="114"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HYPERLINK("#'"&amp;Helper!$G$2&amp;"'!"&amp;CHAR(CODE("A")+COLUMN(_xlpm._columnNameHeader)-1)&amp;_xlpm._entryOffset,Definitions!$AY$4)))(Helper!$G$10,A$2,README!$E:$E,README!$I$36,README!$B$36)</f>
        <v>◈</v>
      </c>
      <c r="B1" s="114"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HYPERLINK("#'"&amp;Helper!$G$2&amp;"'!"&amp;CHAR(CODE("A")+COLUMN(_xlpm._columnNameHeader)-1)&amp;_xlpm._entryOffset,Definitions!$AY$4)))(Helper!$G$10,B$2,README!$E:$E,README!$I$36,README!$B$36)</f>
        <v>◈</v>
      </c>
      <c r="C1" s="114"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HYPERLINK("#'"&amp;Helper!$G$2&amp;"'!"&amp;CHAR(CODE("A")+COLUMN(_xlpm._columnNameHeader)-1)&amp;_xlpm._entryOffset,Definitions!$AY$4)))(Helper!$G$10,C$2,README!$E:$E,README!$I$36,README!$B$36)</f>
        <v>◈</v>
      </c>
      <c r="D1" s="114"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HYPERLINK("#'"&amp;Helper!$G$2&amp;"'!"&amp;CHAR(CODE("A")+COLUMN(_xlpm._columnNameHeader)-1)&amp;_xlpm._entryOffset,Definitions!$AY$4)))(Helper!$G$10,D$2,README!$E:$E,README!$I$36,README!$B$36)</f>
        <v>◈</v>
      </c>
      <c r="E1" s="114"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HYPERLINK("#'"&amp;Helper!$G$2&amp;"'!"&amp;CHAR(CODE("A")+COLUMN(_xlpm._columnNameHeader)-1)&amp;_xlpm._entryOffset,Definitions!$AY$4)))(Helper!$G$10,E$2,README!$E:$E,README!$I$36,README!$B$36)</f>
        <v>◈</v>
      </c>
      <c r="F1" s="114"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HYPERLINK("#'"&amp;Helper!$G$2&amp;"'!"&amp;CHAR(CODE("A")+COLUMN(_xlpm._columnNameHeader)-1)&amp;_xlpm._entryOffset,Definitions!$AY$4)))(Helper!$G$10,F$2,README!$E:$E,README!$I$36,README!$B$36)</f>
        <v>◈</v>
      </c>
      <c r="G1" s="114"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HYPERLINK("#'"&amp;Helper!$G$2&amp;"'!"&amp;CHAR(CODE("A")+COLUMN(_xlpm._columnNameHeader)-1)&amp;_xlpm._entryOffset,Definitions!$AY$4)))(Helper!$G$10,G$2,README!$E:$E,README!$I$36,README!$B$36)</f>
        <v>◈</v>
      </c>
    </row>
    <row r="2" spans="1:41" ht="30" hidden="1" x14ac:dyDescent="0.25">
      <c r="A2" s="96" t="s">
        <v>53</v>
      </c>
      <c r="B2" s="4" t="s">
        <v>55</v>
      </c>
      <c r="C2" s="4" t="s">
        <v>592</v>
      </c>
      <c r="D2" s="8" t="s">
        <v>1296</v>
      </c>
      <c r="E2" s="4" t="s">
        <v>593</v>
      </c>
      <c r="F2" s="8" t="s">
        <v>840</v>
      </c>
      <c r="G2" s="4" t="s">
        <v>28</v>
      </c>
      <c r="K2" s="9" t="s">
        <v>55</v>
      </c>
    </row>
    <row r="3" spans="1:41" s="1" customFormat="1" ht="23.25" x14ac:dyDescent="0.35">
      <c r="A3" s="95" t="s">
        <v>1165</v>
      </c>
      <c r="B3" s="94" t="str" cm="1">
        <f t="array" aca="1" ref="B3" ca="1">IF($A3="","",CreateIndentedString(SimpleLookup($A3,Questions!$A:$B),Definitions!$T$4,SimpleLookup($A3,Questions!$A:$C)))</f>
        <v>Impact  Rating</v>
      </c>
      <c r="C3" s="3"/>
      <c r="D3" s="7"/>
      <c r="E3" s="3"/>
      <c r="F3" s="7"/>
      <c r="G3" s="3" t="s">
        <v>28</v>
      </c>
      <c r="H3" s="11"/>
      <c r="I3" s="98" t="s">
        <v>120</v>
      </c>
      <c r="J3" s="98" t="s">
        <v>651</v>
      </c>
      <c r="K3" s="98" t="s">
        <v>1216</v>
      </c>
      <c r="L3" s="98" t="s">
        <v>54</v>
      </c>
      <c r="M3" s="98" t="s">
        <v>230</v>
      </c>
      <c r="N3" s="98" t="s">
        <v>557</v>
      </c>
      <c r="O3" s="98" t="s">
        <v>558</v>
      </c>
      <c r="P3" s="98" t="s">
        <v>561</v>
      </c>
      <c r="Q3" s="98" t="s">
        <v>562</v>
      </c>
      <c r="R3" s="98" t="s">
        <v>563</v>
      </c>
      <c r="S3" s="98" t="s">
        <v>564</v>
      </c>
      <c r="T3" s="98" t="s">
        <v>570</v>
      </c>
      <c r="U3" s="98" t="s">
        <v>571</v>
      </c>
      <c r="V3" s="98" t="s">
        <v>669</v>
      </c>
      <c r="W3" s="98" t="s">
        <v>670</v>
      </c>
      <c r="X3" s="98" t="s">
        <v>688</v>
      </c>
      <c r="Y3" s="98" t="s">
        <v>689</v>
      </c>
      <c r="Z3" s="98" t="s">
        <v>702</v>
      </c>
      <c r="AA3" s="98" t="s">
        <v>707</v>
      </c>
      <c r="AB3" s="98" t="s">
        <v>187</v>
      </c>
      <c r="AC3" s="98" t="s">
        <v>1178</v>
      </c>
      <c r="AD3" s="98" t="s">
        <v>1189</v>
      </c>
      <c r="AE3" s="98" t="s">
        <v>1190</v>
      </c>
      <c r="AF3" s="98" t="s">
        <v>1193</v>
      </c>
      <c r="AG3" s="98" t="s">
        <v>1199</v>
      </c>
      <c r="AH3" s="98" t="s">
        <v>1191</v>
      </c>
      <c r="AI3" s="98" t="s">
        <v>1192</v>
      </c>
      <c r="AJ3" s="98" t="s">
        <v>1194</v>
      </c>
      <c r="AK3" s="98" t="s">
        <v>1195</v>
      </c>
      <c r="AL3" s="98" t="s">
        <v>1290</v>
      </c>
      <c r="AM3" s="98" t="s">
        <v>1291</v>
      </c>
      <c r="AN3" s="98" t="s">
        <v>1401</v>
      </c>
      <c r="AO3" s="98" t="s">
        <v>1402</v>
      </c>
    </row>
    <row r="4" spans="1:41" ht="30" x14ac:dyDescent="0.25">
      <c r="A4" s="96" t="s">
        <v>1171</v>
      </c>
      <c r="B4" s="4" t="str" cm="1">
        <f t="array" aca="1" ref="B4" ca="1">IF($A4="","",CreateIndentedString($K4,Definitions!$T$4,SimpleLookup($A4,Questions!$A:$C)))</f>
        <v>Worst  case  impact  for  loss  of  confidentiality</v>
      </c>
      <c r="E4" s="101"/>
      <c r="G4" s="50" t="str" cm="1">
        <f t="array" aca="1" ref="G4" ca="1">HYPERLINK("#"&amp;GetReferenceText(Definitions!$G$2),"See here for more information on damage criteria.")</f>
        <v>See here for more information on damage criteria.</v>
      </c>
      <c r="I4" s="15" t="str">
        <f t="shared" ref="I4:I35" ca="1" si="0">IF($AC4,SUBSTITUTE(IF($A4="","",$A4&amp;"["&amp;$C4&amp;IF($E4="","","|"&amp;$E4)&amp;"]")," ",""),"")</f>
        <v/>
      </c>
      <c r="J4" s="15" t="str">
        <f t="shared" ref="J4:J35" ca="1" si="1">IF($AC4,SUBSTITUTE(IF($A4="","",$A4&amp;"["&amp;$C4&amp;IF($E4="","]","|*]"))," ",""),"")</f>
        <v/>
      </c>
      <c r="K4" s="15" t="str" cm="1">
        <f t="array" aca="1" ref="K4" ca="1">SimpleLookup($A4,Questions!$A:$B)</f>
        <v>Worst case impact for loss of confidentiality</v>
      </c>
      <c r="L4" s="15" cm="1">
        <f t="array" aca="1" ref="L4" ca="1">CreateID($L$3,$L:$L,AND($A4&lt;&gt;"",$AC4))</f>
        <v>0</v>
      </c>
      <c r="M4" s="99" cm="1">
        <f t="array" aca="1" ref="M4" ca="1">CreateTaskID($M$3,$M:$M,Tasks!$B$17,$G4)</f>
        <v>0</v>
      </c>
      <c r="N4" s="15" t="str">
        <f t="shared" ref="N4:N35" ca="1" si="2">IF($AC4,IF(AND($A4&lt;&gt;"",$C4="",$AK4=FALSE),$A4&amp;" "&amp;$K4,""),"")</f>
        <v/>
      </c>
      <c r="O4" s="15" cm="1">
        <f t="array" aca="1" ref="O4" ca="1">CreateID($O$3,$O:$O,$N4&lt;&gt;"")</f>
        <v>0</v>
      </c>
      <c r="P4" s="99" t="str">
        <f t="shared" ref="P4:P35" si="3">IF(AND($D4&lt;&gt;"",$E4=""),$A4&amp;" "&amp;$K4,"")</f>
        <v/>
      </c>
      <c r="Q4" s="99" cm="1">
        <f t="array" ref="Q4">CreateID($Q$3,$Q:$Q,$P4&lt;&gt;"")</f>
        <v>0</v>
      </c>
      <c r="R4" s="99" t="str">
        <f t="shared" ref="R4:R35" ca="1" si="4">IF(AND($F4&lt;&gt;"",$G4=""),$A4&amp;" "&amp;$K4,"")</f>
        <v/>
      </c>
      <c r="S4" s="99" cm="1">
        <f t="array" aca="1" ref="S4" ca="1">CreateID($S$3,$S:$S,$R4&lt;&gt;"")</f>
        <v>0</v>
      </c>
      <c r="T4" s="99" t="str">
        <f t="shared" ref="T4:T35" ca="1" si="5">IF($A4="","",IF(AND(NOT($AG4),$E4&lt;&gt;""),$A4&amp;" "&amp;$K4,""))</f>
        <v/>
      </c>
      <c r="U4" s="99" cm="1">
        <f t="array" aca="1" ref="U4" ca="1">CreateID($U$3,$U:$U,$T4&lt;&gt;"")</f>
        <v>0</v>
      </c>
      <c r="V4" s="99" cm="1">
        <f t="array" aca="1" ref="V4" ca="1">CreateID($V$3,$V:$V,IFERROR(FIND(Definitions!$AR$4,$G4)&gt;0,FALSE))</f>
        <v>0</v>
      </c>
      <c r="W4" s="99">
        <f ca="1">_xlfn.LET(
_xlpm._comment,$G4,
_xlpm._keyWord,Definitions!$AR$4,
_xlpm._diffLen,LEN(_xlpm._comment)-LEN(SUBSTITUTE(_xlpm._comment,_xlpm._keyWord,"")),
_xlpm._diffLen/LEN(_xlpm._keyWord))</f>
        <v>0</v>
      </c>
      <c r="X4" s="99" cm="1">
        <f t="array" aca="1" ref="X4" ca="1">CreateID($X$3,$X:$X,IFERROR(FIND(Definitions!$AR$5,$G4)&gt;0,FALSE))</f>
        <v>0</v>
      </c>
      <c r="Y4" s="99">
        <f ca="1">_xlfn.LET(
_xlpm._comment,$G4,
_xlpm._keyWord,Definitions!$AR$5,
_xlpm._diffLen,LEN(_xlpm._comment)-LEN(SUBSTITUTE(_xlpm._comment,_xlpm._keyWord,"")),
_xlpm._diffLen/LEN(_xlpm._keyWord))</f>
        <v>0</v>
      </c>
      <c r="Z4" s="99" t="b">
        <f ca="1">OR(IFERROR(_xlfn.XMATCH("*,"&amp;$A4&amp;",*",Assumptions!$AL:$AL,2)&gt;0,FALSE),
IFERROR(_xlfn.XMATCH("*,"&amp;$A4&amp;",*",Countermeasures!$AO:$AO,2)&gt;0,FALSE))</f>
        <v>0</v>
      </c>
      <c r="AA4" s="99" t="str" cm="1">
        <f t="array" aca="1" ref="AA4" ca="1">CreateSearchString($I4)</f>
        <v/>
      </c>
      <c r="AB4" s="99" t="str">
        <f>IF($E4="","",IFERROR(VLOOKUP($E4,Definitions!$H:$J,COLUMNS(Definitions!$H:$J),FALSE),""))</f>
        <v/>
      </c>
      <c r="AC4" s="99" t="b" cm="1">
        <f t="array" aca="1" ref="AC4" ca="1">IF($A4="",FALSE,SimpleLookup($A4,Questions!$A:$D)="x")</f>
        <v>0</v>
      </c>
      <c r="AD4" s="99" t="str" cm="1">
        <f t="array" aca="1" ref="AD4" ca="1">IF(OR($A4="",NOT($AC4)),"",SimpleLookup($A4,Questions!$A:$E))</f>
        <v/>
      </c>
      <c r="AE4" s="99" t="str" cm="1">
        <f t="array" aca="1" ref="AE4" ca="1">IF(OR($A4="",NOT($AC4)),"",SimpleLookup($A4,Questions!$A:$F))</f>
        <v/>
      </c>
      <c r="AF4" s="99" t="str" cm="1">
        <f t="array" aca="1" ref="AF4" ca="1">_xlfn.LET(
_xlpm._answer,$C4,
_xlpm._infoTextFull,IF($AC4,CHAR(10)&amp;SimpleLookup($A4,Questions!$A:$H)&amp;CHAR(10),""),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4" s="99" t="b" cm="1">
        <f t="array" aca="1" ref="AG4" ca="1">IF(OR($A4="",NOT($AC4)),FALSE,_xlfn.LET(
_xlpm._secondAnswerRequiredOn,SimpleLookup($A4,Questions!$A:$I),
_xlpm._firstAnwer,$C4,
IFERROR(FIND(CHAR(10)&amp;_xlpm._firstAnwer&amp;":",CHAR(10)&amp;_xlpm._secondAnswerRequiredOn)&gt;0,FALSE)))</f>
        <v>0</v>
      </c>
      <c r="AH4" s="99" t="str" cm="1">
        <f t="array" aca="1" ref="AH4" ca="1">IF(OR($A4="",NOT($AC4)),"",_xlfn.LET(
_xlpm._id,$A4,
_xlpm._firstAnswer,$C4,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4" s="99" t="str" cm="1">
        <f t="array" aca="1" ref="AI4" ca="1">IF(OR($A4="",NOT($AC4)),"",_xlfn.LET(
_xlpm._id,$A4,
_xlpm._firstAnswer,$C4,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4" s="99" t="str" cm="1">
        <f t="array" aca="1" ref="AJ4" ca="1">IF($AG4,_xlfn.LET(
_xlpm._answer,$E4,
_xlpm._infoTextFull,IF($AC4,CHAR(10)&amp;SimpleLookup($A4,Questions!$A:$L)&amp;CHAR(10),""),
_xlpm._startSelectedByAnswerOne,IF(_xlpm._infoTextFull="",0,FIND("___"&amp;$C4&amp;"___",_xlpm._infoTextFull)+LEN("___"&amp;$C4&amp;"___")),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4" s="99" t="b" cm="1">
        <f t="array" aca="1" ref="AK4" ca="1">IF(OR($A4="",NOT($AC4)),FALSE,SimpleLookup($A4,Questions!$A:$Q))</f>
        <v>0</v>
      </c>
      <c r="AL4" s="99" t="str" cm="1">
        <f t="array" aca="1" ref="AL4" ca="1">IF(AND($A4=Questions!$A$41,IFERROR(SimpleLookup(Questions!$A$36,$A:$E)=Definitions!$O$5,FALSE),$C4=Definitions!$A$5),
Questions!$A$36&amp;" "&amp;Questions!$B$36&amp;CHAR(10)&amp;CHAR(187)&amp;" "&amp;SimpleLookup(Questions!$A$36,$A:$C)&amp;CHAR(10)&amp;SimpleLookup(Questions!$A$36,$A:$D)&amp;CHAR(10)&amp;CHAR(187)&amp;" "&amp;Definitions!$O$5&amp;CHAR(10)&amp;CHAR(10)&amp;
"is incosistent with"&amp;CHAR(10)&amp;CHAR(10)&amp;
$A4&amp;" "&amp;SimpleLookup($A4,Questions!$A:$B)&amp;CHAR(10)&amp;CHAR(187)&amp;" "&amp;$C4,
"")</f>
        <v/>
      </c>
      <c r="AM4" s="99" cm="1">
        <f t="array" aca="1" ref="AM4" ca="1">CreateID($AM$3,$AM:$AM,$AL4&lt;&gt;"")</f>
        <v>0</v>
      </c>
      <c r="AN4" s="99" t="str" cm="1">
        <f t="array" aca="1" ref="AN4" ca="1">IF(OR($C4="",OFFSET($C4,1,0)=""),"",
IF(AND($A4=Questions!$A$59,OFFSET($A4,1,0)=Questions!$A$60,SimpleLookup(Questions!$A$49,$A:$C)=Definitions!$A$4),
IF(MATCH($C4,Definitions!$AW:$AW,0)&gt;MATCH(OFFSET($C4,1,0),Definitions!AW:AW,0),$A4&amp;" "&amp;$K4&amp;": "&amp;$C4&amp;CHAR(10)&amp;"&lt;---&gt;"&amp;CHAR(10)&amp;OFFSET($A4,1,0)&amp;" "&amp;OFFSET($K4,1,0)&amp;": "&amp;OFFSET($C4,1,0),""),
""))</f>
        <v/>
      </c>
      <c r="AO4" s="99" cm="1">
        <f t="array" aca="1" ref="AO4" ca="1">CreateID($AO$3,$AO:$AO,$AN4&lt;&gt;"")</f>
        <v>0</v>
      </c>
    </row>
    <row r="5" spans="1:41" x14ac:dyDescent="0.25">
      <c r="A5" s="96" t="s">
        <v>1179</v>
      </c>
      <c r="B5" s="4" t="str" cm="1">
        <f t="array" aca="1" ref="B5" ca="1">IF($A5="","",CreateIndentedString($K5,Definitions!$T$4,SimpleLookup($A5,Questions!$A:$C)))</f>
        <v xml:space="preserve">   Personal  data</v>
      </c>
      <c r="I5" s="15" t="str">
        <f t="shared" ca="1" si="0"/>
        <v/>
      </c>
      <c r="J5" s="15" t="str">
        <f t="shared" ca="1" si="1"/>
        <v/>
      </c>
      <c r="K5" s="15" t="str" cm="1">
        <f t="array" aca="1" ref="K5" ca="1">SimpleLookup($A5,Questions!$A:$B)</f>
        <v>Personal data</v>
      </c>
      <c r="L5" s="15" cm="1">
        <f t="array" aca="1" ref="L5" ca="1">CreateID($L$3,$L:$L,AND($A5&lt;&gt;"",$AC5))</f>
        <v>0</v>
      </c>
      <c r="M5" s="99" cm="1">
        <f t="array" aca="1" ref="M5" ca="1">CreateTaskID($M$3,$M:$M,Tasks!$B$17,$G5)</f>
        <v>0</v>
      </c>
      <c r="N5" s="15" t="str">
        <f t="shared" ca="1" si="2"/>
        <v/>
      </c>
      <c r="O5" s="15" cm="1">
        <f t="array" aca="1" ref="O5" ca="1">CreateID($O$3,$O:$O,$N5&lt;&gt;"")</f>
        <v>0</v>
      </c>
      <c r="P5" s="99" t="str">
        <f t="shared" si="3"/>
        <v/>
      </c>
      <c r="Q5" s="99" cm="1">
        <f t="array" ref="Q5">CreateID($Q$3,$Q:$Q,$P5&lt;&gt;"")</f>
        <v>0</v>
      </c>
      <c r="R5" s="99" t="str">
        <f t="shared" si="4"/>
        <v/>
      </c>
      <c r="S5" s="99" cm="1">
        <f t="array" aca="1" ref="S5" ca="1">CreateID($S$3,$S:$S,$R5&lt;&gt;"")</f>
        <v>0</v>
      </c>
      <c r="T5" s="99" t="str">
        <f t="shared" ca="1" si="5"/>
        <v/>
      </c>
      <c r="U5" s="99" cm="1">
        <f t="array" aca="1" ref="U5" ca="1">CreateID($U$3,$U:$U,$T5&lt;&gt;"")</f>
        <v>0</v>
      </c>
      <c r="V5" s="99" cm="1">
        <f t="array" aca="1" ref="V5" ca="1">CreateID($V$3,$V:$V,IFERROR(FIND(Definitions!$AR$4,$G5)&gt;0,FALSE))</f>
        <v>0</v>
      </c>
      <c r="W5" s="99">
        <f>_xlfn.LET(
_xlpm._comment,$G5,
_xlpm._keyWord,Definitions!$AR$4,
_xlpm._diffLen,LEN(_xlpm._comment)-LEN(SUBSTITUTE(_xlpm._comment,_xlpm._keyWord,"")),
_xlpm._diffLen/LEN(_xlpm._keyWord))</f>
        <v>0</v>
      </c>
      <c r="X5" s="99" cm="1">
        <f t="array" aca="1" ref="X5" ca="1">CreateID($X$3,$X:$X,IFERROR(FIND(Definitions!$AR$5,$G5)&gt;0,FALSE))</f>
        <v>0</v>
      </c>
      <c r="Y5" s="99">
        <f>_xlfn.LET(
_xlpm._comment,$G5,
_xlpm._keyWord,Definitions!$AR$5,
_xlpm._diffLen,LEN(_xlpm._comment)-LEN(SUBSTITUTE(_xlpm._comment,_xlpm._keyWord,"")),
_xlpm._diffLen/LEN(_xlpm._keyWord))</f>
        <v>0</v>
      </c>
      <c r="Z5" s="99" t="b">
        <f ca="1">OR(IFERROR(_xlfn.XMATCH("*,"&amp;$A5&amp;",*",Assumptions!$AL:$AL,2)&gt;0,FALSE),
IFERROR(_xlfn.XMATCH("*,"&amp;$A5&amp;",*",Countermeasures!$AO:$AO,2)&gt;0,FALSE))</f>
        <v>0</v>
      </c>
      <c r="AA5" s="99" t="str" cm="1">
        <f t="array" aca="1" ref="AA5" ca="1">CreateSearchString($I5)</f>
        <v/>
      </c>
      <c r="AB5" s="99" t="str">
        <f>IF($E5="","",IFERROR(VLOOKUP($E5,Definitions!$H:$J,COLUMNS(Definitions!$H:$J),FALSE),""))</f>
        <v/>
      </c>
      <c r="AC5" s="99" t="b" cm="1">
        <f t="array" aca="1" ref="AC5" ca="1">IF($A5="",FALSE,SimpleLookup($A5,Questions!$A:$D)="x")</f>
        <v>0</v>
      </c>
      <c r="AD5" s="99" t="str" cm="1">
        <f t="array" aca="1" ref="AD5" ca="1">IF(OR($A5="",NOT($AC5)),"",SimpleLookup($A5,Questions!$A:$E))</f>
        <v/>
      </c>
      <c r="AE5" s="99" t="str" cm="1">
        <f t="array" aca="1" ref="AE5" ca="1">IF(OR($A5="",NOT($AC5)),"",SimpleLookup($A5,Questions!$A:$F))</f>
        <v/>
      </c>
      <c r="AF5" s="99" t="str" cm="1">
        <f t="array" aca="1" ref="AF5" ca="1">_xlfn.LET(
_xlpm._answer,$C5,
_xlpm._infoTextFull,IF($AC5,CHAR(10)&amp;SimpleLookup($A5,Questions!$A:$H)&amp;CHAR(10),""),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5" s="99" t="b" cm="1">
        <f t="array" aca="1" ref="AG5" ca="1">IF(OR($A5="",NOT($AC5)),FALSE,_xlfn.LET(
_xlpm._secondAnswerRequiredOn,SimpleLookup($A5,Questions!$A:$I),
_xlpm._firstAnwer,$C5,
IFERROR(FIND(CHAR(10)&amp;_xlpm._firstAnwer&amp;":",CHAR(10)&amp;_xlpm._secondAnswerRequiredOn)&gt;0,FALSE)))</f>
        <v>0</v>
      </c>
      <c r="AH5" s="99" t="str" cm="1">
        <f t="array" aca="1" ref="AH5" ca="1">IF(OR($A5="",NOT($AC5)),"",_xlfn.LET(
_xlpm._id,$A5,
_xlpm._firstAnswer,$C5,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5" s="99" t="str" cm="1">
        <f t="array" aca="1" ref="AI5" ca="1">IF(OR($A5="",NOT($AC5)),"",_xlfn.LET(
_xlpm._id,$A5,
_xlpm._firstAnswer,$C5,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5" s="99" t="str" cm="1">
        <f t="array" aca="1" ref="AJ5" ca="1">IF($AG5,_xlfn.LET(
_xlpm._answer,$E5,
_xlpm._infoTextFull,IF($AC5,CHAR(10)&amp;SimpleLookup($A5,Questions!$A:$L)&amp;CHAR(10),""),
_xlpm._startSelectedByAnswerOne,IF(_xlpm._infoTextFull="",0,FIND("___"&amp;$C5&amp;"___",_xlpm._infoTextFull)+LEN("___"&amp;$C5&amp;"___")),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5" s="99" t="b" cm="1">
        <f t="array" aca="1" ref="AK5" ca="1">IF(OR($A5="",NOT($AC5)),FALSE,SimpleLookup($A5,Questions!$A:$Q))</f>
        <v>0</v>
      </c>
      <c r="AL5" s="99" t="str" cm="1">
        <f t="array" aca="1" ref="AL5" ca="1">IF(AND($A5=Questions!$A$41,IFERROR(SimpleLookup(Questions!$A$36,$A:$E)=Definitions!$O$5,FALSE),$C5=Definitions!$A$5),
Questions!$A$36&amp;" "&amp;Questions!$B$36&amp;CHAR(10)&amp;CHAR(187)&amp;" "&amp;SimpleLookup(Questions!$A$36,$A:$C)&amp;CHAR(10)&amp;SimpleLookup(Questions!$A$36,$A:$D)&amp;CHAR(10)&amp;CHAR(187)&amp;" "&amp;Definitions!$O$5&amp;CHAR(10)&amp;CHAR(10)&amp;
"is incosistent with"&amp;CHAR(10)&amp;CHAR(10)&amp;
$A5&amp;" "&amp;SimpleLookup($A5,Questions!$A:$B)&amp;CHAR(10)&amp;CHAR(187)&amp;" "&amp;$C5,
"")</f>
        <v/>
      </c>
      <c r="AM5" s="99" cm="1">
        <f t="array" aca="1" ref="AM5" ca="1">CreateID($AM$3,$AM:$AM,$AL5&lt;&gt;"")</f>
        <v>0</v>
      </c>
      <c r="AN5" s="99" t="str" cm="1">
        <f t="array" aca="1" ref="AN5" ca="1">IF(OR($C5="",OFFSET($C5,1,0)=""),"",
IF(AND($A5=Questions!$A$59,OFFSET($A5,1,0)=Questions!$A$60,SimpleLookup(Questions!$A$49,$A:$C)=Definitions!$A$4),
IF(MATCH($C5,Definitions!$AW:$AW,0)&gt;MATCH(OFFSET($C5,1,0),Definitions!AW:AW,0),$A5&amp;" "&amp;$K5&amp;": "&amp;$C5&amp;CHAR(10)&amp;"&lt;---&gt;"&amp;CHAR(10)&amp;OFFSET($A5,1,0)&amp;" "&amp;OFFSET($K5,1,0)&amp;": "&amp;OFFSET($C5,1,0),""),
""))</f>
        <v/>
      </c>
      <c r="AO5" s="99" cm="1">
        <f t="array" aca="1" ref="AO5" ca="1">CreateID($AO$3,$AO:$AO,$AN5&lt;&gt;"")</f>
        <v>0</v>
      </c>
    </row>
    <row r="6" spans="1:41" ht="30" x14ac:dyDescent="0.25">
      <c r="A6" s="96" t="s">
        <v>1102</v>
      </c>
      <c r="B6" s="4" t="str" cm="1">
        <f t="array" aca="1" ref="B6" ca="1">IF($A6="","",CreateIndentedString($K6,Definitions!$T$4,SimpleLookup($A6,Questions!$A:$C)))</f>
        <v xml:space="preserve">      Does  the  product  have  cameras  or  other  sensors
      that  can  potentially  recognize  people?</v>
      </c>
      <c r="D6" s="8" t="str">
        <f ca="1">$AF6</f>
        <v/>
      </c>
      <c r="F6" s="8" t="str">
        <f ca="1">$AJ6</f>
        <v/>
      </c>
      <c r="I6" s="15" t="str">
        <f t="shared" ca="1" si="0"/>
        <v>QI1[]</v>
      </c>
      <c r="J6" s="15" t="str">
        <f t="shared" ca="1" si="1"/>
        <v>QI1[]</v>
      </c>
      <c r="K6" s="15" t="str" cm="1">
        <f t="array" aca="1" ref="K6" ca="1">SimpleLookup($A6,Questions!$A:$B)</f>
        <v>Does the product have cameras or other sensors that can potentially recognize people?</v>
      </c>
      <c r="L6" s="15" cm="1">
        <f t="array" aca="1" ref="L6" ca="1">CreateID($L$3,$L:$L,AND($A6&lt;&gt;"",$AC6))</f>
        <v>1</v>
      </c>
      <c r="M6" s="33" cm="1">
        <f t="array" aca="1" ref="M6" ca="1">CreateTaskID($M$3,$M:$M,Tasks!$B$17,$G6)</f>
        <v>0</v>
      </c>
      <c r="N6" s="15" t="str">
        <f t="shared" ca="1" si="2"/>
        <v>QI1 Does the product have cameras or other sensors that can potentially recognize people?</v>
      </c>
      <c r="O6" s="16" cm="1">
        <f t="array" aca="1" ref="O6" ca="1">CreateID($O$3,$O:$O,$N6&lt;&gt;"")</f>
        <v>1</v>
      </c>
      <c r="P6" s="99" t="str">
        <f t="shared" ca="1" si="3"/>
        <v/>
      </c>
      <c r="Q6" s="99" cm="1">
        <f t="array" aca="1" ref="Q6" ca="1">CreateID($Q$3,$Q:$Q,$P6&lt;&gt;"")</f>
        <v>0</v>
      </c>
      <c r="R6" s="99" t="str">
        <f t="shared" ca="1" si="4"/>
        <v/>
      </c>
      <c r="S6" s="99" cm="1">
        <f t="array" aca="1" ref="S6" ca="1">CreateID($S$3,$S:$S,$R6&lt;&gt;"")</f>
        <v>0</v>
      </c>
      <c r="T6" s="99" t="str">
        <f t="shared" ca="1" si="5"/>
        <v/>
      </c>
      <c r="U6" s="99" cm="1">
        <f t="array" aca="1" ref="U6" ca="1">CreateID($U$3,$U:$U,$T6&lt;&gt;"")</f>
        <v>0</v>
      </c>
      <c r="V6" s="99" cm="1">
        <f t="array" aca="1" ref="V6" ca="1">CreateID($V$3,$V:$V,IFERROR(FIND(Definitions!$AR$4,$G6)&gt;0,FALSE))</f>
        <v>0</v>
      </c>
      <c r="W6" s="99">
        <f>_xlfn.LET(
_xlpm._comment,$G6,
_xlpm._keyWord,Definitions!$AR$4,
_xlpm._diffLen,LEN(_xlpm._comment)-LEN(SUBSTITUTE(_xlpm._comment,_xlpm._keyWord,"")),
_xlpm._diffLen/LEN(_xlpm._keyWord))</f>
        <v>0</v>
      </c>
      <c r="X6" s="99" cm="1">
        <f t="array" aca="1" ref="X6" ca="1">CreateID($X$3,$X:$X,IFERROR(FIND(Definitions!$AR$5,$G6)&gt;0,FALSE))</f>
        <v>0</v>
      </c>
      <c r="Y6" s="99">
        <f>_xlfn.LET(
_xlpm._comment,$G6,
_xlpm._keyWord,Definitions!$AR$5,
_xlpm._diffLen,LEN(_xlpm._comment)-LEN(SUBSTITUTE(_xlpm._comment,_xlpm._keyWord,"")),
_xlpm._diffLen/LEN(_xlpm._keyWord))</f>
        <v>0</v>
      </c>
      <c r="Z6" s="99" t="b">
        <f ca="1">OR(IFERROR(_xlfn.XMATCH("*,"&amp;$A6&amp;",*",Assumptions!$AL:$AL,2)&gt;0,FALSE),
IFERROR(_xlfn.XMATCH("*,"&amp;$A6&amp;",*",Countermeasures!$AO:$AO,2)&gt;0,FALSE))</f>
        <v>0</v>
      </c>
      <c r="AA6" s="99" t="str" cm="1">
        <f t="array" aca="1" ref="AA6" ca="1">CreateSearchString($I6)</f>
        <v>,QI1[],</v>
      </c>
      <c r="AB6" s="99" t="str">
        <f>IF($E6="","",IFERROR(VLOOKUP($E6,Definitions!$H:$J,COLUMNS(Definitions!$H:$J),FALSE),""))</f>
        <v/>
      </c>
      <c r="AC6" s="99" t="b" cm="1">
        <f t="array" aca="1" ref="AC6" ca="1">IF($A6="",FALSE,SimpleLookup($A6,Questions!$A:$D)="x")</f>
        <v>1</v>
      </c>
      <c r="AD6" s="99" t="str" cm="1">
        <f t="array" aca="1" ref="AD6" ca="1">IF(OR($A6="",NOT($AC6)),"",SimpleLookup($A6,Questions!$A:$E))</f>
        <v>'[2025-07-30_QuBA_libre.xlsx]Definitions'!$A$4</v>
      </c>
      <c r="AE6" s="99" cm="1">
        <f t="array" aca="1" ref="AE6" ca="1">IF(OR($A6="",NOT($AC6)),"",SimpleLookup($A6,Questions!$A:$F))</f>
        <v>2</v>
      </c>
      <c r="AF6" s="99" t="str" cm="1">
        <f t="array" aca="1" ref="AF6" ca="1">_xlfn.LET(
_xlpm._answer,$C6,
_xlpm._infoTextFull,IF($AC6,CHAR(10)&amp;SimpleLookup($A6,Questions!$A:$H)&amp;CHAR(10),""),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6" s="99" t="b" cm="1">
        <f t="array" aca="1" ref="AG6" ca="1">IF(OR($A6="",NOT($AC6)),FALSE,_xlfn.LET(
_xlpm._secondAnswerRequiredOn,SimpleLookup($A6,Questions!$A:$I),
_xlpm._firstAnwer,$C6,
IFERROR(FIND(CHAR(10)&amp;_xlpm._firstAnwer&amp;":",CHAR(10)&amp;_xlpm._secondAnswerRequiredOn)&gt;0,FALSE)))</f>
        <v>0</v>
      </c>
      <c r="AH6" s="99" t="str" cm="1">
        <f t="array" aca="1" ref="AH6" ca="1">IF(OR($A6="",NOT($AC6)),"",_xlfn.LET(
_xlpm._id,$A6,
_xlpm._firstAnswer,$C6,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6" s="99" cm="1">
        <f t="array" aca="1" ref="AI6" ca="1">IF(OR($A6="",NOT($AC6)),"",_xlfn.LET(
_xlpm._id,$A6,
_xlpm._firstAnswer,$C6,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6" s="99" t="str" cm="1">
        <f t="array" aca="1" ref="AJ6" ca="1">IF($AG6,_xlfn.LET(
_xlpm._answer,$E6,
_xlpm._infoTextFull,IF($AC6,CHAR(10)&amp;SimpleLookup($A6,Questions!$A:$L)&amp;CHAR(10),""),
_xlpm._startSelectedByAnswerOne,IF(_xlpm._infoTextFull="",0,FIND("___"&amp;$C6&amp;"___",_xlpm._infoTextFull)+LEN("___"&amp;$C6&amp;"___")),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6" s="99" t="b" cm="1">
        <f t="array" aca="1" ref="AK6" ca="1">IF(OR($A6="",NOT($AC6)),FALSE,SimpleLookup($A6,Questions!$A:$Q))</f>
        <v>0</v>
      </c>
      <c r="AL6" s="99" t="str" cm="1">
        <f t="array" aca="1" ref="AL6" ca="1">IF(AND($A6=Questions!$A$41,IFERROR(SimpleLookup(Questions!$A$36,$A:$E)=Definitions!$O$5,FALSE),$C6=Definitions!$A$5),
Questions!$A$36&amp;" "&amp;Questions!$B$36&amp;CHAR(10)&amp;CHAR(187)&amp;" "&amp;SimpleLookup(Questions!$A$36,$A:$C)&amp;CHAR(10)&amp;SimpleLookup(Questions!$A$36,$A:$D)&amp;CHAR(10)&amp;CHAR(187)&amp;" "&amp;Definitions!$O$5&amp;CHAR(10)&amp;CHAR(10)&amp;
"is incosistent with"&amp;CHAR(10)&amp;CHAR(10)&amp;
$A6&amp;" "&amp;SimpleLookup($A6,Questions!$A:$B)&amp;CHAR(10)&amp;CHAR(187)&amp;" "&amp;$C6,
"")</f>
        <v/>
      </c>
      <c r="AM6" s="99" cm="1">
        <f t="array" aca="1" ref="AM6" ca="1">CreateID($AM$3,$AM:$AM,$AL6&lt;&gt;"")</f>
        <v>0</v>
      </c>
      <c r="AN6" s="99" t="str" cm="1">
        <f t="array" aca="1" ref="AN6" ca="1">IF(OR($C6="",OFFSET($C6,1,0)=""),"",
IF(AND($A6=Questions!$A$59,OFFSET($A6,1,0)=Questions!$A$60,SimpleLookup(Questions!$A$49,$A:$C)=Definitions!$A$4),
IF(MATCH($C6,Definitions!$AW:$AW,0)&gt;MATCH(OFFSET($C6,1,0),Definitions!AW:AW,0),$A6&amp;" "&amp;$K6&amp;": "&amp;$C6&amp;CHAR(10)&amp;"&lt;---&gt;"&amp;CHAR(10)&amp;OFFSET($A6,1,0)&amp;" "&amp;OFFSET($K6,1,0)&amp;": "&amp;OFFSET($C6,1,0),""),
""))</f>
        <v/>
      </c>
      <c r="AO6" s="99" cm="1">
        <f t="array" aca="1" ref="AO6" ca="1">CreateID($AO$3,$AO:$AO,$AN6&lt;&gt;"")</f>
        <v>0</v>
      </c>
    </row>
    <row r="7" spans="1:41" ht="45" x14ac:dyDescent="0.25">
      <c r="A7" s="96" t="s">
        <v>1099</v>
      </c>
      <c r="B7" s="4" t="str" cm="1">
        <f t="array" aca="1" ref="B7" ca="1">IF($A7="","",CreateIndentedString($K7,Definitions!$T$4,SimpleLookup($A7,Questions!$A:$C)))</f>
        <v xml:space="preserve">      Does  the  product  process  personal  data?
      Examples:
      User  ID,  address  labels</v>
      </c>
      <c r="D7" s="8" t="str">
        <f ca="1">$AF7</f>
        <v/>
      </c>
      <c r="F7" s="8" t="str">
        <f ca="1">$AJ7</f>
        <v/>
      </c>
      <c r="I7" s="15" t="str">
        <f t="shared" ca="1" si="0"/>
        <v>QI2[]</v>
      </c>
      <c r="J7" s="15" t="str">
        <f t="shared" ca="1" si="1"/>
        <v>QI2[]</v>
      </c>
      <c r="K7" s="15" t="str" cm="1">
        <f t="array" aca="1" ref="K7" ca="1">SimpleLookup($A7,Questions!$A:$B)</f>
        <v>Does the product process personal data?
Examples: User ID, address labels</v>
      </c>
      <c r="L7" s="15" cm="1">
        <f t="array" aca="1" ref="L7" ca="1">CreateID($L$3,$L:$L,AND($A7&lt;&gt;"",$AC7))</f>
        <v>2</v>
      </c>
      <c r="M7" s="99" cm="1">
        <f t="array" aca="1" ref="M7" ca="1">CreateTaskID($M$3,$M:$M,Tasks!$B$17,$G7)</f>
        <v>0</v>
      </c>
      <c r="N7" s="15" t="str">
        <f t="shared" ca="1" si="2"/>
        <v>QI2 Does the product process personal data?
Examples: User ID, address labels</v>
      </c>
      <c r="O7" s="15" cm="1">
        <f t="array" aca="1" ref="O7" ca="1">CreateID($O$3,$O:$O,$N7&lt;&gt;"")</f>
        <v>2</v>
      </c>
      <c r="P7" s="99" t="str">
        <f t="shared" ca="1" si="3"/>
        <v/>
      </c>
      <c r="Q7" s="99" cm="1">
        <f t="array" aca="1" ref="Q7" ca="1">CreateID($Q$3,$Q:$Q,$P7&lt;&gt;"")</f>
        <v>0</v>
      </c>
      <c r="R7" s="99" t="str">
        <f t="shared" ca="1" si="4"/>
        <v/>
      </c>
      <c r="S7" s="99" cm="1">
        <f t="array" aca="1" ref="S7" ca="1">CreateID($S$3,$S:$S,$R7&lt;&gt;"")</f>
        <v>0</v>
      </c>
      <c r="T7" s="99" t="str">
        <f t="shared" ca="1" si="5"/>
        <v/>
      </c>
      <c r="U7" s="99" cm="1">
        <f t="array" aca="1" ref="U7" ca="1">CreateID($U$3,$U:$U,$T7&lt;&gt;"")</f>
        <v>0</v>
      </c>
      <c r="V7" s="99" cm="1">
        <f t="array" aca="1" ref="V7" ca="1">CreateID($V$3,$V:$V,IFERROR(FIND(Definitions!$AR$4,$G7)&gt;0,FALSE))</f>
        <v>0</v>
      </c>
      <c r="W7" s="99">
        <f>_xlfn.LET(
_xlpm._comment,$G7,
_xlpm._keyWord,Definitions!$AR$4,
_xlpm._diffLen,LEN(_xlpm._comment)-LEN(SUBSTITUTE(_xlpm._comment,_xlpm._keyWord,"")),
_xlpm._diffLen/LEN(_xlpm._keyWord))</f>
        <v>0</v>
      </c>
      <c r="X7" s="99" cm="1">
        <f t="array" aca="1" ref="X7" ca="1">CreateID($X$3,$X:$X,IFERROR(FIND(Definitions!$AR$5,$G7)&gt;0,FALSE))</f>
        <v>0</v>
      </c>
      <c r="Y7" s="99">
        <f>_xlfn.LET(
_xlpm._comment,$G7,
_xlpm._keyWord,Definitions!$AR$5,
_xlpm._diffLen,LEN(_xlpm._comment)-LEN(SUBSTITUTE(_xlpm._comment,_xlpm._keyWord,"")),
_xlpm._diffLen/LEN(_xlpm._keyWord))</f>
        <v>0</v>
      </c>
      <c r="Z7" s="99" t="b">
        <f ca="1">OR(IFERROR(_xlfn.XMATCH("*,"&amp;$A7&amp;",*",Assumptions!$AL:$AL,2)&gt;0,FALSE),
IFERROR(_xlfn.XMATCH("*,"&amp;$A7&amp;",*",Countermeasures!$AO:$AO,2)&gt;0,FALSE))</f>
        <v>0</v>
      </c>
      <c r="AA7" s="99" t="str" cm="1">
        <f t="array" aca="1" ref="AA7" ca="1">CreateSearchString($I7)</f>
        <v>,QI2[],</v>
      </c>
      <c r="AB7" s="99" t="str">
        <f>IF($E7="","",IFERROR(VLOOKUP($E7,Definitions!$H:$J,COLUMNS(Definitions!$H:$J),FALSE),""))</f>
        <v/>
      </c>
      <c r="AC7" s="99" t="b" cm="1">
        <f t="array" aca="1" ref="AC7" ca="1">IF($A7="",FALSE,SimpleLookup($A7,Questions!$A:$D)="x")</f>
        <v>1</v>
      </c>
      <c r="AD7" s="99" t="str" cm="1">
        <f t="array" aca="1" ref="AD7" ca="1">IF(OR($A7="",NOT($AC7)),"",SimpleLookup($A7,Questions!$A:$E))</f>
        <v>'[2025-07-30_QuBA_libre.xlsx]Definitions'!$A$4</v>
      </c>
      <c r="AE7" s="99" cm="1">
        <f t="array" aca="1" ref="AE7" ca="1">IF(OR($A7="",NOT($AC7)),"",SimpleLookup($A7,Questions!$A:$F))</f>
        <v>2</v>
      </c>
      <c r="AF7" s="99" t="str" cm="1">
        <f t="array" aca="1" ref="AF7" ca="1">_xlfn.LET(
_xlpm._answer,$C7,
_xlpm._infoTextFull,IF($AC7,CHAR(10)&amp;SimpleLookup($A7,Questions!$A:$H)&amp;CHAR(10),""),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7" s="99" t="b" cm="1">
        <f t="array" aca="1" ref="AG7" ca="1">IF(OR($A7="",NOT($AC7)),FALSE,_xlfn.LET(
_xlpm._secondAnswerRequiredOn,SimpleLookup($A7,Questions!$A:$I),
_xlpm._firstAnwer,$C7,
IFERROR(FIND(CHAR(10)&amp;_xlpm._firstAnwer&amp;":",CHAR(10)&amp;_xlpm._secondAnswerRequiredOn)&gt;0,FALSE)))</f>
        <v>0</v>
      </c>
      <c r="AH7" s="99" t="str" cm="1">
        <f t="array" aca="1" ref="AH7" ca="1">IF(OR($A7="",NOT($AC7)),"",_xlfn.LET(
_xlpm._id,$A7,
_xlpm._firstAnswer,$C7,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'[2025-07-30_QuBA_libre.xlsx]Definitions'!$H$4</v>
      </c>
      <c r="AI7" s="99" cm="1">
        <f t="array" aca="1" ref="AI7" ca="1">IF(OR($A7="",NOT($AC7)),"",_xlfn.LET(
_xlpm._id,$A7,
_xlpm._firstAnswer,$C7,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3</v>
      </c>
      <c r="AJ7" s="99" t="str" cm="1">
        <f t="array" aca="1" ref="AJ7" ca="1">IF($AG7,_xlfn.LET(
_xlpm._answer,$E7,
_xlpm._infoTextFull,IF($AC7,CHAR(10)&amp;SimpleLookup($A7,Questions!$A:$L)&amp;CHAR(10),""),
_xlpm._startSelectedByAnswerOne,IF(_xlpm._infoTextFull="",0,FIND("___"&amp;$C7&amp;"___",_xlpm._infoTextFull)+LEN("___"&amp;$C7&amp;"___")),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7" s="99" t="b" cm="1">
        <f t="array" aca="1" ref="AK7" ca="1">IF(OR($A7="",NOT($AC7)),FALSE,SimpleLookup($A7,Questions!$A:$Q))</f>
        <v>0</v>
      </c>
      <c r="AL7" s="99" t="str" cm="1">
        <f t="array" aca="1" ref="AL7" ca="1">IF(AND($A7=Questions!$A$41,IFERROR(SimpleLookup(Questions!$A$36,$A:$E)=Definitions!$O$5,FALSE),$C7=Definitions!$A$5),
Questions!$A$36&amp;" "&amp;Questions!$B$36&amp;CHAR(10)&amp;CHAR(187)&amp;" "&amp;SimpleLookup(Questions!$A$36,$A:$C)&amp;CHAR(10)&amp;SimpleLookup(Questions!$A$36,$A:$D)&amp;CHAR(10)&amp;CHAR(187)&amp;" "&amp;Definitions!$O$5&amp;CHAR(10)&amp;CHAR(10)&amp;
"is incosistent with"&amp;CHAR(10)&amp;CHAR(10)&amp;
$A7&amp;" "&amp;SimpleLookup($A7,Questions!$A:$B)&amp;CHAR(10)&amp;CHAR(187)&amp;" "&amp;$C7,
"")</f>
        <v/>
      </c>
      <c r="AM7" s="99" cm="1">
        <f t="array" aca="1" ref="AM7" ca="1">CreateID($AM$3,$AM:$AM,$AL7&lt;&gt;"")</f>
        <v>0</v>
      </c>
      <c r="AN7" s="99" t="str" cm="1">
        <f t="array" aca="1" ref="AN7" ca="1">IF(OR($C7="",OFFSET($C7,1,0)=""),"",
IF(AND($A7=Questions!$A$59,OFFSET($A7,1,0)=Questions!$A$60,SimpleLookup(Questions!$A$49,$A:$C)=Definitions!$A$4),
IF(MATCH($C7,Definitions!$AW:$AW,0)&gt;MATCH(OFFSET($C7,1,0),Definitions!AW:AW,0),$A7&amp;" "&amp;$K7&amp;": "&amp;$C7&amp;CHAR(10)&amp;"&lt;---&gt;"&amp;CHAR(10)&amp;OFFSET($A7,1,0)&amp;" "&amp;OFFSET($K7,1,0)&amp;": "&amp;OFFSET($C7,1,0),""),
""))</f>
        <v/>
      </c>
      <c r="AO7" s="99" cm="1">
        <f t="array" aca="1" ref="AO7" ca="1">CreateID($AO$3,$AO:$AO,$AN7&lt;&gt;"")</f>
        <v>0</v>
      </c>
    </row>
    <row r="8" spans="1:41" x14ac:dyDescent="0.25">
      <c r="A8" s="96" t="s">
        <v>1180</v>
      </c>
      <c r="B8" s="4" t="str" cm="1">
        <f t="array" aca="1" ref="B8" ca="1">IF($A8="","",CreateIndentedString($K8,Definitions!$T$4,SimpleLookup($A8,Questions!$A:$C)))</f>
        <v xml:space="preserve">   Intellectual  property</v>
      </c>
      <c r="I8" s="15" t="str">
        <f t="shared" ca="1" si="0"/>
        <v/>
      </c>
      <c r="J8" s="15" t="str">
        <f t="shared" ca="1" si="1"/>
        <v/>
      </c>
      <c r="K8" s="15" t="str" cm="1">
        <f t="array" aca="1" ref="K8" ca="1">SimpleLookup($A8,Questions!$A:$B)</f>
        <v>Intellectual property</v>
      </c>
      <c r="L8" s="15" cm="1">
        <f t="array" aca="1" ref="L8" ca="1">CreateID($L$3,$L:$L,AND($A8&lt;&gt;"",$AC8))</f>
        <v>2</v>
      </c>
      <c r="M8" s="99" cm="1">
        <f t="array" aca="1" ref="M8" ca="1">CreateTaskID($M$3,$M:$M,Tasks!$B$17,$G8)</f>
        <v>0</v>
      </c>
      <c r="N8" s="15" t="str">
        <f t="shared" ca="1" si="2"/>
        <v/>
      </c>
      <c r="O8" s="15" cm="1">
        <f t="array" aca="1" ref="O8" ca="1">CreateID($O$3,$O:$O,$N8&lt;&gt;"")</f>
        <v>2</v>
      </c>
      <c r="P8" s="99" t="str">
        <f t="shared" si="3"/>
        <v/>
      </c>
      <c r="Q8" s="99" cm="1">
        <f t="array" aca="1" ref="Q8" ca="1">CreateID($Q$3,$Q:$Q,$P8&lt;&gt;"")</f>
        <v>0</v>
      </c>
      <c r="R8" s="99" t="str">
        <f t="shared" si="4"/>
        <v/>
      </c>
      <c r="S8" s="99" cm="1">
        <f t="array" aca="1" ref="S8" ca="1">CreateID($S$3,$S:$S,$R8&lt;&gt;"")</f>
        <v>0</v>
      </c>
      <c r="T8" s="99" t="str">
        <f t="shared" ca="1" si="5"/>
        <v/>
      </c>
      <c r="U8" s="99" cm="1">
        <f t="array" aca="1" ref="U8" ca="1">CreateID($U$3,$U:$U,$T8&lt;&gt;"")</f>
        <v>0</v>
      </c>
      <c r="V8" s="99" cm="1">
        <f t="array" aca="1" ref="V8" ca="1">CreateID($V$3,$V:$V,IFERROR(FIND(Definitions!$AR$4,$G8)&gt;0,FALSE))</f>
        <v>0</v>
      </c>
      <c r="W8" s="99">
        <f>_xlfn.LET(
_xlpm._comment,$G8,
_xlpm._keyWord,Definitions!$AR$4,
_xlpm._diffLen,LEN(_xlpm._comment)-LEN(SUBSTITUTE(_xlpm._comment,_xlpm._keyWord,"")),
_xlpm._diffLen/LEN(_xlpm._keyWord))</f>
        <v>0</v>
      </c>
      <c r="X8" s="99" cm="1">
        <f t="array" aca="1" ref="X8" ca="1">CreateID($X$3,$X:$X,IFERROR(FIND(Definitions!$AR$5,$G8)&gt;0,FALSE))</f>
        <v>0</v>
      </c>
      <c r="Y8" s="99">
        <f>_xlfn.LET(
_xlpm._comment,$G8,
_xlpm._keyWord,Definitions!$AR$5,
_xlpm._diffLen,LEN(_xlpm._comment)-LEN(SUBSTITUTE(_xlpm._comment,_xlpm._keyWord,"")),
_xlpm._diffLen/LEN(_xlpm._keyWord))</f>
        <v>0</v>
      </c>
      <c r="Z8" s="99" t="b">
        <f ca="1">OR(IFERROR(_xlfn.XMATCH("*,"&amp;$A8&amp;",*",Assumptions!$AL:$AL,2)&gt;0,FALSE),
IFERROR(_xlfn.XMATCH("*,"&amp;$A8&amp;",*",Countermeasures!$AO:$AO,2)&gt;0,FALSE))</f>
        <v>0</v>
      </c>
      <c r="AA8" s="99" t="str" cm="1">
        <f t="array" aca="1" ref="AA8" ca="1">CreateSearchString($I8)</f>
        <v/>
      </c>
      <c r="AB8" s="99" t="str">
        <f>IF($E8="","",IFERROR(VLOOKUP($E8,Definitions!$H:$J,COLUMNS(Definitions!$H:$J),FALSE),""))</f>
        <v/>
      </c>
      <c r="AC8" s="99" t="b" cm="1">
        <f t="array" aca="1" ref="AC8" ca="1">IF($A8="",FALSE,SimpleLookup($A8,Questions!$A:$D)="x")</f>
        <v>0</v>
      </c>
      <c r="AD8" s="99" t="str" cm="1">
        <f t="array" aca="1" ref="AD8" ca="1">IF(OR($A8="",NOT($AC8)),"",SimpleLookup($A8,Questions!$A:$E))</f>
        <v/>
      </c>
      <c r="AE8" s="99" t="str" cm="1">
        <f t="array" aca="1" ref="AE8" ca="1">IF(OR($A8="",NOT($AC8)),"",SimpleLookup($A8,Questions!$A:$F))</f>
        <v/>
      </c>
      <c r="AF8" s="99" t="str" cm="1">
        <f t="array" aca="1" ref="AF8" ca="1">_xlfn.LET(
_xlpm._answer,$C8,
_xlpm._infoTextFull,IF($AC8,CHAR(10)&amp;SimpleLookup($A8,Questions!$A:$H)&amp;CHAR(10),""),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8" s="99" t="b" cm="1">
        <f t="array" aca="1" ref="AG8" ca="1">IF(OR($A8="",NOT($AC8)),FALSE,_xlfn.LET(
_xlpm._secondAnswerRequiredOn,SimpleLookup($A8,Questions!$A:$I),
_xlpm._firstAnwer,$C8,
IFERROR(FIND(CHAR(10)&amp;_xlpm._firstAnwer&amp;":",CHAR(10)&amp;_xlpm._secondAnswerRequiredOn)&gt;0,FALSE)))</f>
        <v>0</v>
      </c>
      <c r="AH8" s="99" t="str" cm="1">
        <f t="array" aca="1" ref="AH8" ca="1">IF(OR($A8="",NOT($AC8)),"",_xlfn.LET(
_xlpm._id,$A8,
_xlpm._firstAnswer,$C8,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8" s="99" t="str" cm="1">
        <f t="array" aca="1" ref="AI8" ca="1">IF(OR($A8="",NOT($AC8)),"",_xlfn.LET(
_xlpm._id,$A8,
_xlpm._firstAnswer,$C8,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8" s="99" t="str" cm="1">
        <f t="array" aca="1" ref="AJ8" ca="1">IF($AG8,_xlfn.LET(
_xlpm._answer,$E8,
_xlpm._infoTextFull,IF($AC8,CHAR(10)&amp;SimpleLookup($A8,Questions!$A:$L)&amp;CHAR(10),""),
_xlpm._startSelectedByAnswerOne,IF(_xlpm._infoTextFull="",0,FIND("___"&amp;$C8&amp;"___",_xlpm._infoTextFull)+LEN("___"&amp;$C8&amp;"___")),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8" s="99" t="b" cm="1">
        <f t="array" aca="1" ref="AK8" ca="1">IF(OR($A8="",NOT($AC8)),FALSE,SimpleLookup($A8,Questions!$A:$Q))</f>
        <v>0</v>
      </c>
      <c r="AL8" s="99" t="str" cm="1">
        <f t="array" aca="1" ref="AL8" ca="1">IF(AND($A8=Questions!$A$41,IFERROR(SimpleLookup(Questions!$A$36,$A:$E)=Definitions!$O$5,FALSE),$C8=Definitions!$A$5),
Questions!$A$36&amp;" "&amp;Questions!$B$36&amp;CHAR(10)&amp;CHAR(187)&amp;" "&amp;SimpleLookup(Questions!$A$36,$A:$C)&amp;CHAR(10)&amp;SimpleLookup(Questions!$A$36,$A:$D)&amp;CHAR(10)&amp;CHAR(187)&amp;" "&amp;Definitions!$O$5&amp;CHAR(10)&amp;CHAR(10)&amp;
"is incosistent with"&amp;CHAR(10)&amp;CHAR(10)&amp;
$A8&amp;" "&amp;SimpleLookup($A8,Questions!$A:$B)&amp;CHAR(10)&amp;CHAR(187)&amp;" "&amp;$C8,
"")</f>
        <v/>
      </c>
      <c r="AM8" s="99" cm="1">
        <f t="array" aca="1" ref="AM8" ca="1">CreateID($AM$3,$AM:$AM,$AL8&lt;&gt;"")</f>
        <v>0</v>
      </c>
      <c r="AN8" s="99" t="str" cm="1">
        <f t="array" aca="1" ref="AN8" ca="1">IF(OR($C8="",OFFSET($C8,1,0)=""),"",
IF(AND($A8=Questions!$A$59,OFFSET($A8,1,0)=Questions!$A$60,SimpleLookup(Questions!$A$49,$A:$C)=Definitions!$A$4),
IF(MATCH($C8,Definitions!$AW:$AW,0)&gt;MATCH(OFFSET($C8,1,0),Definitions!AW:AW,0),$A8&amp;" "&amp;$K8&amp;": "&amp;$C8&amp;CHAR(10)&amp;"&lt;---&gt;"&amp;CHAR(10)&amp;OFFSET($A8,1,0)&amp;" "&amp;OFFSET($K8,1,0)&amp;": "&amp;OFFSET($C8,1,0),""),
""))</f>
        <v/>
      </c>
      <c r="AO8" s="99" cm="1">
        <f t="array" aca="1" ref="AO8" ca="1">CreateID($AO$3,$AO:$AO,$AN8&lt;&gt;"")</f>
        <v>0</v>
      </c>
    </row>
    <row r="9" spans="1:41" ht="135" x14ac:dyDescent="0.25">
      <c r="A9" s="96" t="s">
        <v>1097</v>
      </c>
      <c r="B9" s="4" t="str" cm="1">
        <f t="array" aca="1" ref="B9" ca="1">IF($A9="","",CreateIndentedString($K9,Definitions!$T$4,SimpleLookup($A9,Questions!$A:$C)))</f>
        <v xml:space="preserve">      Does  the  product  contain  &lt;OEM  name&gt;  intellectual
      property?
      Note:  Only  IP  which  is  part  of  /
      accessible  by  the  firmware  /  software  in  the
      product  is  in  scope  of  this  question.  Gaining
      access  to  optical  and  mechanical  IP  are  not
      covered  by  this  question  (and  the  cybersecurity
      risk  analysis)</v>
      </c>
      <c r="D9" s="8" t="str">
        <f ca="1">$AF9</f>
        <v/>
      </c>
      <c r="F9" s="8" t="str">
        <f ca="1">$AJ9</f>
        <v/>
      </c>
      <c r="I9" s="15" t="str">
        <f t="shared" ca="1" si="0"/>
        <v>QI3[]</v>
      </c>
      <c r="J9" s="15" t="str">
        <f t="shared" ca="1" si="1"/>
        <v>QI3[]</v>
      </c>
      <c r="K9" s="15" t="str" cm="1">
        <f t="array" aca="1" ref="K9" ca="1">SimpleLookup($A9,Questions!$A:$B)</f>
        <v>Does the product contain &lt;OEM name&gt; intellectual property?
Note: Only IP which is part of / accessible by the firmware / software in the product is in scope of this question. Gaining access to optical and mechanical IP are not covered by this question (and the cybersecurity risk analysis)</v>
      </c>
      <c r="L9" s="15" cm="1">
        <f t="array" aca="1" ref="L9" ca="1">CreateID($L$3,$L:$L,AND($A9&lt;&gt;"",$AC9))</f>
        <v>3</v>
      </c>
      <c r="M9" s="99" cm="1">
        <f t="array" aca="1" ref="M9" ca="1">CreateTaskID($M$3,$M:$M,Tasks!$B$17,$G9)</f>
        <v>0</v>
      </c>
      <c r="N9" s="15" t="str">
        <f t="shared" ca="1" si="2"/>
        <v>QI3 Does the product contain &lt;OEM name&gt; intellectual property?
Note: Only IP which is part of / accessible by the firmware / software in the product is in scope of this question. Gaining access to optical and mechanical IP are not covered by this question (and the cybersecurity risk analysis)</v>
      </c>
      <c r="O9" s="15" cm="1">
        <f t="array" aca="1" ref="O9" ca="1">CreateID($O$3,$O:$O,$N9&lt;&gt;"")</f>
        <v>3</v>
      </c>
      <c r="P9" s="99" t="str">
        <f t="shared" ca="1" si="3"/>
        <v/>
      </c>
      <c r="Q9" s="99" cm="1">
        <f t="array" aca="1" ref="Q9" ca="1">CreateID($Q$3,$Q:$Q,$P9&lt;&gt;"")</f>
        <v>0</v>
      </c>
      <c r="R9" s="99" t="str">
        <f t="shared" ca="1" si="4"/>
        <v/>
      </c>
      <c r="S9" s="99" cm="1">
        <f t="array" aca="1" ref="S9" ca="1">CreateID($S$3,$S:$S,$R9&lt;&gt;"")</f>
        <v>0</v>
      </c>
      <c r="T9" s="99" t="str">
        <f t="shared" ca="1" si="5"/>
        <v/>
      </c>
      <c r="U9" s="99" cm="1">
        <f t="array" aca="1" ref="U9" ca="1">CreateID($U$3,$U:$U,$T9&lt;&gt;"")</f>
        <v>0</v>
      </c>
      <c r="V9" s="99" cm="1">
        <f t="array" aca="1" ref="V9" ca="1">CreateID($V$3,$V:$V,IFERROR(FIND(Definitions!$AR$4,$G9)&gt;0,FALSE))</f>
        <v>0</v>
      </c>
      <c r="W9" s="99">
        <f>_xlfn.LET(
_xlpm._comment,$G9,
_xlpm._keyWord,Definitions!$AR$4,
_xlpm._diffLen,LEN(_xlpm._comment)-LEN(SUBSTITUTE(_xlpm._comment,_xlpm._keyWord,"")),
_xlpm._diffLen/LEN(_xlpm._keyWord))</f>
        <v>0</v>
      </c>
      <c r="X9" s="99" cm="1">
        <f t="array" aca="1" ref="X9" ca="1">CreateID($X$3,$X:$X,IFERROR(FIND(Definitions!$AR$5,$G9)&gt;0,FALSE))</f>
        <v>0</v>
      </c>
      <c r="Y9" s="99">
        <f>_xlfn.LET(
_xlpm._comment,$G9,
_xlpm._keyWord,Definitions!$AR$5,
_xlpm._diffLen,LEN(_xlpm._comment)-LEN(SUBSTITUTE(_xlpm._comment,_xlpm._keyWord,"")),
_xlpm._diffLen/LEN(_xlpm._keyWord))</f>
        <v>0</v>
      </c>
      <c r="Z9" s="99" t="b">
        <f ca="1">OR(IFERROR(_xlfn.XMATCH("*,"&amp;$A9&amp;",*",Assumptions!$AL:$AL,2)&gt;0,FALSE),
IFERROR(_xlfn.XMATCH("*,"&amp;$A9&amp;",*",Countermeasures!$AO:$AO,2)&gt;0,FALSE))</f>
        <v>0</v>
      </c>
      <c r="AA9" s="99" t="str" cm="1">
        <f t="array" aca="1" ref="AA9" ca="1">CreateSearchString($I9)</f>
        <v>,QI3[],</v>
      </c>
      <c r="AB9" s="99" t="str">
        <f>IF($E9="","",IFERROR(VLOOKUP($E9,Definitions!$H:$J,COLUMNS(Definitions!$H:$J),FALSE),""))</f>
        <v/>
      </c>
      <c r="AC9" s="99" t="b" cm="1">
        <f t="array" aca="1" ref="AC9" ca="1">IF($A9="",FALSE,SimpleLookup($A9,Questions!$A:$D)="x")</f>
        <v>1</v>
      </c>
      <c r="AD9" s="99" t="str" cm="1">
        <f t="array" aca="1" ref="AD9" ca="1">IF(OR($A9="",NOT($AC9)),"",SimpleLookup($A9,Questions!$A:$E))</f>
        <v>'[2025-07-30_QuBA_libre.xlsx]Definitions'!$A$4</v>
      </c>
      <c r="AE9" s="99" cm="1">
        <f t="array" aca="1" ref="AE9" ca="1">IF(OR($A9="",NOT($AC9)),"",SimpleLookup($A9,Questions!$A:$F))</f>
        <v>2</v>
      </c>
      <c r="AF9" s="99" t="str" cm="1">
        <f t="array" aca="1" ref="AF9" ca="1">_xlfn.LET(
_xlpm._answer,$C9,
_xlpm._infoTextFull,IF($AC9,CHAR(10)&amp;SimpleLookup($A9,Questions!$A:$H)&amp;CHAR(10),""),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9" s="99" t="b" cm="1">
        <f t="array" aca="1" ref="AG9" ca="1">IF(OR($A9="",NOT($AC9)),FALSE,_xlfn.LET(
_xlpm._secondAnswerRequiredOn,SimpleLookup($A9,Questions!$A:$I),
_xlpm._firstAnwer,$C9,
IFERROR(FIND(CHAR(10)&amp;_xlpm._firstAnwer&amp;":",CHAR(10)&amp;_xlpm._secondAnswerRequiredOn)&gt;0,FALSE)))</f>
        <v>0</v>
      </c>
      <c r="AH9" s="99" t="str" cm="1">
        <f t="array" aca="1" ref="AH9" ca="1">IF(OR($A9="",NOT($AC9)),"",_xlfn.LET(
_xlpm._id,$A9,
_xlpm._firstAnswer,$C9,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'[2025-07-30_QuBA_libre.xlsx]Definitions'!$H$7</v>
      </c>
      <c r="AI9" s="99" cm="1">
        <f t="array" aca="1" ref="AI9" ca="1">IF(OR($A9="",NOT($AC9)),"",_xlfn.LET(
_xlpm._id,$A9,
_xlpm._firstAnswer,$C9,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3</v>
      </c>
      <c r="AJ9" s="99" t="str" cm="1">
        <f t="array" aca="1" ref="AJ9" ca="1">IF($AG9,_xlfn.LET(
_xlpm._answer,$E9,
_xlpm._infoTextFull,IF($AC9,CHAR(10)&amp;SimpleLookup($A9,Questions!$A:$L)&amp;CHAR(10),""),
_xlpm._startSelectedByAnswerOne,IF(_xlpm._infoTextFull="",0,FIND("___"&amp;$C9&amp;"___",_xlpm._infoTextFull)+LEN("___"&amp;$C9&amp;"___")),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9" s="99" t="b" cm="1">
        <f t="array" aca="1" ref="AK9" ca="1">IF(OR($A9="",NOT($AC9)),FALSE,SimpleLookup($A9,Questions!$A:$Q))</f>
        <v>0</v>
      </c>
      <c r="AL9" s="99" t="str" cm="1">
        <f t="array" aca="1" ref="AL9" ca="1">IF(AND($A9=Questions!$A$41,IFERROR(SimpleLookup(Questions!$A$36,$A:$E)=Definitions!$O$5,FALSE),$C9=Definitions!$A$5),
Questions!$A$36&amp;" "&amp;Questions!$B$36&amp;CHAR(10)&amp;CHAR(187)&amp;" "&amp;SimpleLookup(Questions!$A$36,$A:$C)&amp;CHAR(10)&amp;SimpleLookup(Questions!$A$36,$A:$D)&amp;CHAR(10)&amp;CHAR(187)&amp;" "&amp;Definitions!$O$5&amp;CHAR(10)&amp;CHAR(10)&amp;
"is incosistent with"&amp;CHAR(10)&amp;CHAR(10)&amp;
$A9&amp;" "&amp;SimpleLookup($A9,Questions!$A:$B)&amp;CHAR(10)&amp;CHAR(187)&amp;" "&amp;$C9,
"")</f>
        <v/>
      </c>
      <c r="AM9" s="99" cm="1">
        <f t="array" aca="1" ref="AM9" ca="1">CreateID($AM$3,$AM:$AM,$AL9&lt;&gt;"")</f>
        <v>0</v>
      </c>
      <c r="AN9" s="99" t="str" cm="1">
        <f t="array" aca="1" ref="AN9" ca="1">IF(OR($C9="",OFFSET($C9,1,0)=""),"",
IF(AND($A9=Questions!$A$59,OFFSET($A9,1,0)=Questions!$A$60,SimpleLookup(Questions!$A$49,$A:$C)=Definitions!$A$4),
IF(MATCH($C9,Definitions!$AW:$AW,0)&gt;MATCH(OFFSET($C9,1,0),Definitions!AW:AW,0),$A9&amp;" "&amp;$K9&amp;": "&amp;$C9&amp;CHAR(10)&amp;"&lt;---&gt;"&amp;CHAR(10)&amp;OFFSET($A9,1,0)&amp;" "&amp;OFFSET($K9,1,0)&amp;": "&amp;OFFSET($C9,1,0),""),
""))</f>
        <v/>
      </c>
      <c r="AO9" s="99" cm="1">
        <f t="array" aca="1" ref="AO9" ca="1">CreateID($AO$3,$AO:$AO,$AN9&lt;&gt;"")</f>
        <v>0</v>
      </c>
    </row>
    <row r="10" spans="1:41" x14ac:dyDescent="0.25">
      <c r="A10" s="96" t="s">
        <v>1181</v>
      </c>
      <c r="B10" s="4" t="str" cm="1">
        <f t="array" aca="1" ref="B10" ca="1">IF($A10="","",CreateIndentedString($K10,Definitions!$T$4,SimpleLookup($A10,Questions!$A:$C)))</f>
        <v xml:space="preserve">   Financial  and  legal</v>
      </c>
      <c r="I10" s="15" t="str">
        <f t="shared" ca="1" si="0"/>
        <v/>
      </c>
      <c r="J10" s="15" t="str">
        <f t="shared" ca="1" si="1"/>
        <v/>
      </c>
      <c r="K10" s="15" t="str" cm="1">
        <f t="array" aca="1" ref="K10" ca="1">SimpleLookup($A10,Questions!$A:$B)</f>
        <v>Financial and legal</v>
      </c>
      <c r="L10" s="15" cm="1">
        <f t="array" aca="1" ref="L10" ca="1">CreateID($L$3,$L:$L,AND($A10&lt;&gt;"",$AC10))</f>
        <v>3</v>
      </c>
      <c r="M10" s="99" cm="1">
        <f t="array" aca="1" ref="M10" ca="1">CreateTaskID($M$3,$M:$M,Tasks!$B$17,$G10)</f>
        <v>0</v>
      </c>
      <c r="N10" s="15" t="str">
        <f t="shared" ca="1" si="2"/>
        <v/>
      </c>
      <c r="O10" s="15" cm="1">
        <f t="array" aca="1" ref="O10" ca="1">CreateID($O$3,$O:$O,$N10&lt;&gt;"")</f>
        <v>3</v>
      </c>
      <c r="P10" s="99" t="str">
        <f t="shared" si="3"/>
        <v/>
      </c>
      <c r="Q10" s="99" cm="1">
        <f t="array" aca="1" ref="Q10" ca="1">CreateID($Q$3,$Q:$Q,$P10&lt;&gt;"")</f>
        <v>0</v>
      </c>
      <c r="R10" s="99" t="str">
        <f t="shared" si="4"/>
        <v/>
      </c>
      <c r="S10" s="99" cm="1">
        <f t="array" aca="1" ref="S10" ca="1">CreateID($S$3,$S:$S,$R10&lt;&gt;"")</f>
        <v>0</v>
      </c>
      <c r="T10" s="99" t="str">
        <f t="shared" ca="1" si="5"/>
        <v/>
      </c>
      <c r="U10" s="99" cm="1">
        <f t="array" aca="1" ref="U10" ca="1">CreateID($U$3,$U:$U,$T10&lt;&gt;"")</f>
        <v>0</v>
      </c>
      <c r="V10" s="99" cm="1">
        <f t="array" aca="1" ref="V10" ca="1">CreateID($V$3,$V:$V,IFERROR(FIND(Definitions!$AR$4,$G10)&gt;0,FALSE))</f>
        <v>0</v>
      </c>
      <c r="W10" s="99">
        <f>_xlfn.LET(
_xlpm._comment,$G10,
_xlpm._keyWord,Definitions!$AR$4,
_xlpm._diffLen,LEN(_xlpm._comment)-LEN(SUBSTITUTE(_xlpm._comment,_xlpm._keyWord,"")),
_xlpm._diffLen/LEN(_xlpm._keyWord))</f>
        <v>0</v>
      </c>
      <c r="X10" s="99" cm="1">
        <f t="array" aca="1" ref="X10" ca="1">CreateID($X$3,$X:$X,IFERROR(FIND(Definitions!$AR$5,$G10)&gt;0,FALSE))</f>
        <v>0</v>
      </c>
      <c r="Y10" s="99">
        <f>_xlfn.LET(
_xlpm._comment,$G10,
_xlpm._keyWord,Definitions!$AR$5,
_xlpm._diffLen,LEN(_xlpm._comment)-LEN(SUBSTITUTE(_xlpm._comment,_xlpm._keyWord,"")),
_xlpm._diffLen/LEN(_xlpm._keyWord))</f>
        <v>0</v>
      </c>
      <c r="Z10" s="99" t="b">
        <f ca="1">OR(IFERROR(_xlfn.XMATCH("*,"&amp;$A10&amp;",*",Assumptions!$AL:$AL,2)&gt;0,FALSE),
IFERROR(_xlfn.XMATCH("*,"&amp;$A10&amp;",*",Countermeasures!$AO:$AO,2)&gt;0,FALSE))</f>
        <v>0</v>
      </c>
      <c r="AA10" s="99" t="str" cm="1">
        <f t="array" aca="1" ref="AA10" ca="1">CreateSearchString($I10)</f>
        <v/>
      </c>
      <c r="AB10" s="99" t="str">
        <f>IF($E10="","",IFERROR(VLOOKUP($E10,Definitions!$H:$J,COLUMNS(Definitions!$H:$J),FALSE),""))</f>
        <v/>
      </c>
      <c r="AC10" s="99" t="b" cm="1">
        <f t="array" aca="1" ref="AC10" ca="1">IF($A10="",FALSE,SimpleLookup($A10,Questions!$A:$D)="x")</f>
        <v>0</v>
      </c>
      <c r="AD10" s="99" t="str" cm="1">
        <f t="array" aca="1" ref="AD10" ca="1">IF(OR($A10="",NOT($AC10)),"",SimpleLookup($A10,Questions!$A:$E))</f>
        <v/>
      </c>
      <c r="AE10" s="99" t="str" cm="1">
        <f t="array" aca="1" ref="AE10" ca="1">IF(OR($A10="",NOT($AC10)),"",SimpleLookup($A10,Questions!$A:$F))</f>
        <v/>
      </c>
      <c r="AF10" s="99" t="str" cm="1">
        <f t="array" aca="1" ref="AF10" ca="1">_xlfn.LET(
_xlpm._answer,$C10,
_xlpm._infoTextFull,IF($AC10,CHAR(10)&amp;SimpleLookup($A10,Questions!$A:$H)&amp;CHAR(10),""),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0" s="99" t="b" cm="1">
        <f t="array" aca="1" ref="AG10" ca="1">IF(OR($A10="",NOT($AC10)),FALSE,_xlfn.LET(
_xlpm._secondAnswerRequiredOn,SimpleLookup($A10,Questions!$A:$I),
_xlpm._firstAnwer,$C10,
IFERROR(FIND(CHAR(10)&amp;_xlpm._firstAnwer&amp;":",CHAR(10)&amp;_xlpm._secondAnswerRequiredOn)&gt;0,FALSE)))</f>
        <v>0</v>
      </c>
      <c r="AH10" s="99" t="str" cm="1">
        <f t="array" aca="1" ref="AH10" ca="1">IF(OR($A10="",NOT($AC10)),"",_xlfn.LET(
_xlpm._id,$A10,
_xlpm._firstAnswer,$C10,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10" s="99" t="str" cm="1">
        <f t="array" aca="1" ref="AI10" ca="1">IF(OR($A10="",NOT($AC10)),"",_xlfn.LET(
_xlpm._id,$A10,
_xlpm._firstAnswer,$C10,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10" s="99" t="str" cm="1">
        <f t="array" aca="1" ref="AJ10" ca="1">IF($AG10,_xlfn.LET(
_xlpm._answer,$E10,
_xlpm._infoTextFull,IF($AC10,CHAR(10)&amp;SimpleLookup($A10,Questions!$A:$L)&amp;CHAR(10),""),
_xlpm._startSelectedByAnswerOne,IF(_xlpm._infoTextFull="",0,FIND("___"&amp;$C10&amp;"___",_xlpm._infoTextFull)+LEN("___"&amp;$C10&amp;"___")),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0" s="99" t="b" cm="1">
        <f t="array" aca="1" ref="AK10" ca="1">IF(OR($A10="",NOT($AC10)),FALSE,SimpleLookup($A10,Questions!$A:$Q))</f>
        <v>0</v>
      </c>
      <c r="AL10" s="99" t="str" cm="1">
        <f t="array" aca="1" ref="AL10" ca="1">IF(AND($A10=Questions!$A$41,IFERROR(SimpleLookup(Questions!$A$36,$A:$E)=Definitions!$O$5,FALSE),$C10=Definitions!$A$5),
Questions!$A$36&amp;" "&amp;Questions!$B$36&amp;CHAR(10)&amp;CHAR(187)&amp;" "&amp;SimpleLookup(Questions!$A$36,$A:$C)&amp;CHAR(10)&amp;SimpleLookup(Questions!$A$36,$A:$D)&amp;CHAR(10)&amp;CHAR(187)&amp;" "&amp;Definitions!$O$5&amp;CHAR(10)&amp;CHAR(10)&amp;
"is incosistent with"&amp;CHAR(10)&amp;CHAR(10)&amp;
$A10&amp;" "&amp;SimpleLookup($A10,Questions!$A:$B)&amp;CHAR(10)&amp;CHAR(187)&amp;" "&amp;$C10,
"")</f>
        <v/>
      </c>
      <c r="AM10" s="99" cm="1">
        <f t="array" aca="1" ref="AM10" ca="1">CreateID($AM$3,$AM:$AM,$AL10&lt;&gt;"")</f>
        <v>0</v>
      </c>
      <c r="AN10" s="99" t="str" cm="1">
        <f t="array" aca="1" ref="AN10" ca="1">IF(OR($C10="",OFFSET($C10,1,0)=""),"",
IF(AND($A10=Questions!$A$59,OFFSET($A10,1,0)=Questions!$A$60,SimpleLookup(Questions!$A$49,$A:$C)=Definitions!$A$4),
IF(MATCH($C10,Definitions!$AW:$AW,0)&gt;MATCH(OFFSET($C10,1,0),Definitions!AW:AW,0),$A10&amp;" "&amp;$K10&amp;": "&amp;$C10&amp;CHAR(10)&amp;"&lt;---&gt;"&amp;CHAR(10)&amp;OFFSET($A10,1,0)&amp;" "&amp;OFFSET($K10,1,0)&amp;": "&amp;OFFSET($C10,1,0),""),
""))</f>
        <v/>
      </c>
      <c r="AO10" s="99" cm="1">
        <f t="array" aca="1" ref="AO10" ca="1">CreateID($AO$3,$AO:$AO,$AN10&lt;&gt;"")</f>
        <v>0</v>
      </c>
    </row>
    <row r="11" spans="1:41" ht="75" x14ac:dyDescent="0.25">
      <c r="A11" s="96" t="s">
        <v>1095</v>
      </c>
      <c r="B11" s="4" t="str" cm="1">
        <f t="array" aca="1" ref="B11" ca="1">IF($A11="","",CreateIndentedString($K11,Definitions!$T$4,SimpleLookup($A11,Questions!$A:$C)))</f>
        <v xml:space="preserve">      Is  &lt;OEM  name&gt;  (typically)  obliged  to  keep  the
      processed  /  stored  data  (including  third-party
      IP)  confidential  by  contract  or  law?  (Note  that
      this  concerns  individual  obligations,  not  the
      standard  product  warranty).</v>
      </c>
      <c r="D11" s="8" t="str">
        <f ca="1">$AF11</f>
        <v/>
      </c>
      <c r="F11" s="8" t="str">
        <f ca="1">$AJ11</f>
        <v/>
      </c>
      <c r="I11" s="15" t="str">
        <f t="shared" ca="1" si="0"/>
        <v>QI4[]</v>
      </c>
      <c r="J11" s="15" t="str">
        <f t="shared" ca="1" si="1"/>
        <v>QI4[]</v>
      </c>
      <c r="K11" s="15" t="str" cm="1">
        <f t="array" aca="1" ref="K11" ca="1">SimpleLookup($A11,Questions!$A:$B)</f>
        <v>Is &lt;OEM name&gt; (typically) obliged to keep the processed / stored data (including third-party IP) confidential by contract or law? (Note that this concerns individual obligations, not the standard product warranty).</v>
      </c>
      <c r="L11" s="15" cm="1">
        <f t="array" aca="1" ref="L11" ca="1">CreateID($L$3,$L:$L,AND($A11&lt;&gt;"",$AC11))</f>
        <v>4</v>
      </c>
      <c r="M11" s="99" cm="1">
        <f t="array" aca="1" ref="M11" ca="1">CreateTaskID($M$3,$M:$M,Tasks!$B$17,$G11)</f>
        <v>0</v>
      </c>
      <c r="N11" s="15" t="str">
        <f t="shared" ca="1" si="2"/>
        <v>QI4 Is &lt;OEM name&gt; (typically) obliged to keep the processed / stored data (including third-party IP) confidential by contract or law? (Note that this concerns individual obligations, not the standard product warranty).</v>
      </c>
      <c r="O11" s="15" cm="1">
        <f t="array" aca="1" ref="O11" ca="1">CreateID($O$3,$O:$O,$N11&lt;&gt;"")</f>
        <v>4</v>
      </c>
      <c r="P11" s="99" t="str">
        <f t="shared" ca="1" si="3"/>
        <v/>
      </c>
      <c r="Q11" s="99" cm="1">
        <f t="array" aca="1" ref="Q11" ca="1">CreateID($Q$3,$Q:$Q,$P11&lt;&gt;"")</f>
        <v>0</v>
      </c>
      <c r="R11" s="99" t="str">
        <f t="shared" ca="1" si="4"/>
        <v/>
      </c>
      <c r="S11" s="99" cm="1">
        <f t="array" aca="1" ref="S11" ca="1">CreateID($S$3,$S:$S,$R11&lt;&gt;"")</f>
        <v>0</v>
      </c>
      <c r="T11" s="99" t="str">
        <f t="shared" ca="1" si="5"/>
        <v/>
      </c>
      <c r="U11" s="99" cm="1">
        <f t="array" aca="1" ref="U11" ca="1">CreateID($U$3,$U:$U,$T11&lt;&gt;"")</f>
        <v>0</v>
      </c>
      <c r="V11" s="99" cm="1">
        <f t="array" aca="1" ref="V11" ca="1">CreateID($V$3,$V:$V,IFERROR(FIND(Definitions!$AR$4,$G11)&gt;0,FALSE))</f>
        <v>0</v>
      </c>
      <c r="W11" s="99">
        <f>_xlfn.LET(
_xlpm._comment,$G11,
_xlpm._keyWord,Definitions!$AR$4,
_xlpm._diffLen,LEN(_xlpm._comment)-LEN(SUBSTITUTE(_xlpm._comment,_xlpm._keyWord,"")),
_xlpm._diffLen/LEN(_xlpm._keyWord))</f>
        <v>0</v>
      </c>
      <c r="X11" s="99" cm="1">
        <f t="array" aca="1" ref="X11" ca="1">CreateID($X$3,$X:$X,IFERROR(FIND(Definitions!$AR$5,$G11)&gt;0,FALSE))</f>
        <v>0</v>
      </c>
      <c r="Y11" s="99">
        <f>_xlfn.LET(
_xlpm._comment,$G11,
_xlpm._keyWord,Definitions!$AR$5,
_xlpm._diffLen,LEN(_xlpm._comment)-LEN(SUBSTITUTE(_xlpm._comment,_xlpm._keyWord,"")),
_xlpm._diffLen/LEN(_xlpm._keyWord))</f>
        <v>0</v>
      </c>
      <c r="Z11" s="99" t="b">
        <f ca="1">OR(IFERROR(_xlfn.XMATCH("*,"&amp;$A11&amp;",*",Assumptions!$AL:$AL,2)&gt;0,FALSE),
IFERROR(_xlfn.XMATCH("*,"&amp;$A11&amp;",*",Countermeasures!$AO:$AO,2)&gt;0,FALSE))</f>
        <v>0</v>
      </c>
      <c r="AA11" s="99" t="str" cm="1">
        <f t="array" aca="1" ref="AA11" ca="1">CreateSearchString($I11)</f>
        <v>,QI4[],</v>
      </c>
      <c r="AB11" s="99" t="str">
        <f>IF($E11="","",IFERROR(VLOOKUP($E11,Definitions!$H:$J,COLUMNS(Definitions!$H:$J),FALSE),""))</f>
        <v/>
      </c>
      <c r="AC11" s="99" t="b" cm="1">
        <f t="array" aca="1" ref="AC11" ca="1">IF($A11="",FALSE,SimpleLookup($A11,Questions!$A:$D)="x")</f>
        <v>1</v>
      </c>
      <c r="AD11" s="99" t="str" cm="1">
        <f t="array" aca="1" ref="AD11" ca="1">IF(OR($A11="",NOT($AC11)),"",SimpleLookup($A11,Questions!$A:$E))</f>
        <v>'[2025-07-30_QuBA_libre.xlsx]Definitions'!$A$4</v>
      </c>
      <c r="AE11" s="99" cm="1">
        <f t="array" aca="1" ref="AE11" ca="1">IF(OR($A11="",NOT($AC11)),"",SimpleLookup($A11,Questions!$A:$F))</f>
        <v>2</v>
      </c>
      <c r="AF11" s="99" t="str" cm="1">
        <f t="array" aca="1" ref="AF11" ca="1">_xlfn.LET(
_xlpm._answer,$C11,
_xlpm._infoTextFull,IF($AC11,CHAR(10)&amp;SimpleLookup($A11,Questions!$A:$H)&amp;CHAR(10),""),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1" s="99" t="b" cm="1">
        <f t="array" aca="1" ref="AG11" ca="1">IF(OR($A11="",NOT($AC11)),FALSE,_xlfn.LET(
_xlpm._secondAnswerRequiredOn,SimpleLookup($A11,Questions!$A:$I),
_xlpm._firstAnwer,$C11,
IFERROR(FIND(CHAR(10)&amp;_xlpm._firstAnwer&amp;":",CHAR(10)&amp;_xlpm._secondAnswerRequiredOn)&gt;0,FALSE)))</f>
        <v>0</v>
      </c>
      <c r="AH11" s="99" t="str" cm="1">
        <f t="array" aca="1" ref="AH11" ca="1">IF(OR($A11="",NOT($AC11)),"",_xlfn.LET(
_xlpm._id,$A11,
_xlpm._firstAnswer,$C11,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'[2025-07-30_QuBA_libre.xlsx]Definitions'!$H$10</v>
      </c>
      <c r="AI11" s="99" cm="1">
        <f t="array" aca="1" ref="AI11" ca="1">IF(OR($A11="",NOT($AC11)),"",_xlfn.LET(
_xlpm._id,$A11,
_xlpm._firstAnswer,$C11,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J11" s="99" t="str" cm="1">
        <f t="array" aca="1" ref="AJ11" ca="1">IF($AG11,_xlfn.LET(
_xlpm._answer,$E11,
_xlpm._infoTextFull,IF($AC11,CHAR(10)&amp;SimpleLookup($A11,Questions!$A:$L)&amp;CHAR(10),""),
_xlpm._startSelectedByAnswerOne,IF(_xlpm._infoTextFull="",0,FIND("___"&amp;$C11&amp;"___",_xlpm._infoTextFull)+LEN("___"&amp;$C11&amp;"___")),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1" s="99" t="b" cm="1">
        <f t="array" aca="1" ref="AK11" ca="1">IF(OR($A11="",NOT($AC11)),FALSE,SimpleLookup($A11,Questions!$A:$Q))</f>
        <v>0</v>
      </c>
      <c r="AL11" s="99" t="str" cm="1">
        <f t="array" aca="1" ref="AL11" ca="1">IF(AND($A11=Questions!$A$41,IFERROR(SimpleLookup(Questions!$A$36,$A:$E)=Definitions!$O$5,FALSE),$C11=Definitions!$A$5),
Questions!$A$36&amp;" "&amp;Questions!$B$36&amp;CHAR(10)&amp;CHAR(187)&amp;" "&amp;SimpleLookup(Questions!$A$36,$A:$C)&amp;CHAR(10)&amp;SimpleLookup(Questions!$A$36,$A:$D)&amp;CHAR(10)&amp;CHAR(187)&amp;" "&amp;Definitions!$O$5&amp;CHAR(10)&amp;CHAR(10)&amp;
"is incosistent with"&amp;CHAR(10)&amp;CHAR(10)&amp;
$A11&amp;" "&amp;SimpleLookup($A11,Questions!$A:$B)&amp;CHAR(10)&amp;CHAR(187)&amp;" "&amp;$C11,
"")</f>
        <v/>
      </c>
      <c r="AM11" s="99" cm="1">
        <f t="array" aca="1" ref="AM11" ca="1">CreateID($AM$3,$AM:$AM,$AL11&lt;&gt;"")</f>
        <v>0</v>
      </c>
      <c r="AN11" s="99" t="str" cm="1">
        <f t="array" aca="1" ref="AN11" ca="1">IF(OR($C11="",OFFSET($C11,1,0)=""),"",
IF(AND($A11=Questions!$A$59,OFFSET($A11,1,0)=Questions!$A$60,SimpleLookup(Questions!$A$49,$A:$C)=Definitions!$A$4),
IF(MATCH($C11,Definitions!$AW:$AW,0)&gt;MATCH(OFFSET($C11,1,0),Definitions!AW:AW,0),$A11&amp;" "&amp;$K11&amp;": "&amp;$C11&amp;CHAR(10)&amp;"&lt;---&gt;"&amp;CHAR(10)&amp;OFFSET($A11,1,0)&amp;" "&amp;OFFSET($K11,1,0)&amp;": "&amp;OFFSET($C11,1,0),""),
""))</f>
        <v/>
      </c>
      <c r="AO11" s="99" cm="1">
        <f t="array" aca="1" ref="AO11" ca="1">CreateID($AO$3,$AO:$AO,$AN11&lt;&gt;"")</f>
        <v>0</v>
      </c>
    </row>
    <row r="12" spans="1:41" ht="75" x14ac:dyDescent="0.25">
      <c r="A12" s="96" t="s">
        <v>1093</v>
      </c>
      <c r="B12" s="4" t="str" cm="1">
        <f t="array" aca="1" ref="B12" ca="1">IF($A12="","",CreateIndentedString($K12,Definitions!$T$4,SimpleLookup($A12,Questions!$A:$C)))</f>
        <v xml:space="preserve">      Does  the  product  contain  credentials  /
      cryptographic  keys  that  allow  access  to
      sensitive  data  or  to  systems  in  the  product's
      operational  environment?  (Note:  this  includes
      cryptographic  data  introduced  by  the  customer.)</v>
      </c>
      <c r="D12" s="8" t="str">
        <f ca="1">$AF12</f>
        <v/>
      </c>
      <c r="F12" s="8" t="str">
        <f ca="1">$AJ12</f>
        <v/>
      </c>
      <c r="I12" s="15" t="str">
        <f t="shared" ca="1" si="0"/>
        <v>QI5[]</v>
      </c>
      <c r="J12" s="15" t="str">
        <f t="shared" ca="1" si="1"/>
        <v>QI5[]</v>
      </c>
      <c r="K12" s="15" t="str" cm="1">
        <f t="array" aca="1" ref="K12" ca="1">SimpleLookup($A12,Questions!$A:$B)</f>
        <v>Does the product contain credentials / cryptographic keys that allow access to sensitive data or to systems in the product's operational environment? (Note: this includes cryptographic data introduced by the customer.)</v>
      </c>
      <c r="L12" s="15" cm="1">
        <f t="array" aca="1" ref="L12" ca="1">CreateID($L$3,$L:$L,AND($A12&lt;&gt;"",$AC12))</f>
        <v>5</v>
      </c>
      <c r="M12" s="99" cm="1">
        <f t="array" aca="1" ref="M12" ca="1">CreateTaskID($M$3,$M:$M,Tasks!$B$17,$G12)</f>
        <v>0</v>
      </c>
      <c r="N12" s="15" t="str">
        <f t="shared" ca="1" si="2"/>
        <v>QI5 Does the product contain credentials / cryptographic keys that allow access to sensitive data or to systems in the product's operational environment? (Note: this includes cryptographic data introduced by the customer.)</v>
      </c>
      <c r="O12" s="15" cm="1">
        <f t="array" aca="1" ref="O12" ca="1">CreateID($O$3,$O:$O,$N12&lt;&gt;"")</f>
        <v>5</v>
      </c>
      <c r="P12" s="99" t="str">
        <f t="shared" ca="1" si="3"/>
        <v/>
      </c>
      <c r="Q12" s="99" cm="1">
        <f t="array" aca="1" ref="Q12" ca="1">CreateID($Q$3,$Q:$Q,$P12&lt;&gt;"")</f>
        <v>0</v>
      </c>
      <c r="R12" s="99" t="str">
        <f t="shared" ca="1" si="4"/>
        <v/>
      </c>
      <c r="S12" s="99" cm="1">
        <f t="array" aca="1" ref="S12" ca="1">CreateID($S$3,$S:$S,$R12&lt;&gt;"")</f>
        <v>0</v>
      </c>
      <c r="T12" s="99" t="str">
        <f t="shared" ca="1" si="5"/>
        <v/>
      </c>
      <c r="U12" s="99" cm="1">
        <f t="array" aca="1" ref="U12" ca="1">CreateID($U$3,$U:$U,$T12&lt;&gt;"")</f>
        <v>0</v>
      </c>
      <c r="V12" s="99" cm="1">
        <f t="array" aca="1" ref="V12" ca="1">CreateID($V$3,$V:$V,IFERROR(FIND(Definitions!$AR$4,$G12)&gt;0,FALSE))</f>
        <v>0</v>
      </c>
      <c r="W12" s="99">
        <f>_xlfn.LET(
_xlpm._comment,$G12,
_xlpm._keyWord,Definitions!$AR$4,
_xlpm._diffLen,LEN(_xlpm._comment)-LEN(SUBSTITUTE(_xlpm._comment,_xlpm._keyWord,"")),
_xlpm._diffLen/LEN(_xlpm._keyWord))</f>
        <v>0</v>
      </c>
      <c r="X12" s="99" cm="1">
        <f t="array" aca="1" ref="X12" ca="1">CreateID($X$3,$X:$X,IFERROR(FIND(Definitions!$AR$5,$G12)&gt;0,FALSE))</f>
        <v>0</v>
      </c>
      <c r="Y12" s="99">
        <f>_xlfn.LET(
_xlpm._comment,$G12,
_xlpm._keyWord,Definitions!$AR$5,
_xlpm._diffLen,LEN(_xlpm._comment)-LEN(SUBSTITUTE(_xlpm._comment,_xlpm._keyWord,"")),
_xlpm._diffLen/LEN(_xlpm._keyWord))</f>
        <v>0</v>
      </c>
      <c r="Z12" s="99" t="b">
        <f ca="1">OR(IFERROR(_xlfn.XMATCH("*,"&amp;$A12&amp;",*",Assumptions!$AL:$AL,2)&gt;0,FALSE),
IFERROR(_xlfn.XMATCH("*,"&amp;$A12&amp;",*",Countermeasures!$AO:$AO,2)&gt;0,FALSE))</f>
        <v>1</v>
      </c>
      <c r="AA12" s="99" t="str" cm="1">
        <f t="array" aca="1" ref="AA12" ca="1">CreateSearchString($I12)</f>
        <v>,QI5[],</v>
      </c>
      <c r="AB12" s="99" t="str">
        <f>IF($E12="","",IFERROR(VLOOKUP($E12,Definitions!$H:$J,COLUMNS(Definitions!$H:$J),FALSE),""))</f>
        <v/>
      </c>
      <c r="AC12" s="99" t="b" cm="1">
        <f t="array" aca="1" ref="AC12" ca="1">IF($A12="",FALSE,SimpleLookup($A12,Questions!$A:$D)="x")</f>
        <v>1</v>
      </c>
      <c r="AD12" s="99" t="str" cm="1">
        <f t="array" aca="1" ref="AD12" ca="1">IF(OR($A12="",NOT($AC12)),"",SimpleLookup($A12,Questions!$A:$E))</f>
        <v>'[2025-07-30_QuBA_libre.xlsx]Definitions'!$A$4</v>
      </c>
      <c r="AE12" s="99" cm="1">
        <f t="array" aca="1" ref="AE12" ca="1">IF(OR($A12="",NOT($AC12)),"",SimpleLookup($A12,Questions!$A:$F))</f>
        <v>2</v>
      </c>
      <c r="AF12" s="99" t="str" cm="1">
        <f t="array" aca="1" ref="AF12" ca="1">_xlfn.LET(
_xlpm._answer,$C12,
_xlpm._infoTextFull,IF($AC12,CHAR(10)&amp;SimpleLookup($A12,Questions!$A:$H)&amp;CHAR(10),""),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2" s="99" t="b" cm="1">
        <f t="array" aca="1" ref="AG12" ca="1">IF(OR($A12="",NOT($AC12)),FALSE,_xlfn.LET(
_xlpm._secondAnswerRequiredOn,SimpleLookup($A12,Questions!$A:$I),
_xlpm._firstAnwer,$C12,
IFERROR(FIND(CHAR(10)&amp;_xlpm._firstAnwer&amp;":",CHAR(10)&amp;_xlpm._secondAnswerRequiredOn)&gt;0,FALSE)))</f>
        <v>0</v>
      </c>
      <c r="AH12" s="99" t="str" cm="1">
        <f t="array" aca="1" ref="AH12" ca="1">IF(OR($A12="",NOT($AC12)),"",_xlfn.LET(
_xlpm._id,$A12,
_xlpm._firstAnswer,$C12,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'[2025-07-30_QuBA_libre.xlsx]Definitions'!$H$4</v>
      </c>
      <c r="AI12" s="99" cm="1">
        <f t="array" aca="1" ref="AI12" ca="1">IF(OR($A12="",NOT($AC12)),"",_xlfn.LET(
_xlpm._id,$A12,
_xlpm._firstAnswer,$C12,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20</v>
      </c>
      <c r="AJ12" s="99" t="str" cm="1">
        <f t="array" aca="1" ref="AJ12" ca="1">IF($AG12,_xlfn.LET(
_xlpm._answer,$E12,
_xlpm._infoTextFull,IF($AC12,CHAR(10)&amp;SimpleLookup($A12,Questions!$A:$L)&amp;CHAR(10),""),
_xlpm._startSelectedByAnswerOne,IF(_xlpm._infoTextFull="",0,FIND("___"&amp;$C12&amp;"___",_xlpm._infoTextFull)+LEN("___"&amp;$C12&amp;"___")),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2" s="99" t="b" cm="1">
        <f t="array" aca="1" ref="AK12" ca="1">IF(OR($A12="",NOT($AC12)),FALSE,SimpleLookup($A12,Questions!$A:$Q))</f>
        <v>0</v>
      </c>
      <c r="AL12" s="99" t="str" cm="1">
        <f t="array" aca="1" ref="AL12" ca="1">IF(AND($A12=Questions!$A$41,IFERROR(SimpleLookup(Questions!$A$36,$A:$E)=Definitions!$O$5,FALSE),$C12=Definitions!$A$5),
Questions!$A$36&amp;" "&amp;Questions!$B$36&amp;CHAR(10)&amp;CHAR(187)&amp;" "&amp;SimpleLookup(Questions!$A$36,$A:$C)&amp;CHAR(10)&amp;SimpleLookup(Questions!$A$36,$A:$D)&amp;CHAR(10)&amp;CHAR(187)&amp;" "&amp;Definitions!$O$5&amp;CHAR(10)&amp;CHAR(10)&amp;
"is incosistent with"&amp;CHAR(10)&amp;CHAR(10)&amp;
$A12&amp;" "&amp;SimpleLookup($A12,Questions!$A:$B)&amp;CHAR(10)&amp;CHAR(187)&amp;" "&amp;$C12,
"")</f>
        <v/>
      </c>
      <c r="AM12" s="99" cm="1">
        <f t="array" aca="1" ref="AM12" ca="1">CreateID($AM$3,$AM:$AM,$AL12&lt;&gt;"")</f>
        <v>0</v>
      </c>
      <c r="AN12" s="99" t="str" cm="1">
        <f t="array" aca="1" ref="AN12" ca="1">IF(OR($C12="",OFFSET($C12,1,0)=""),"",
IF(AND($A12=Questions!$A$59,OFFSET($A12,1,0)=Questions!$A$60,SimpleLookup(Questions!$A$49,$A:$C)=Definitions!$A$4),
IF(MATCH($C12,Definitions!$AW:$AW,0)&gt;MATCH(OFFSET($C12,1,0),Definitions!AW:AW,0),$A12&amp;" "&amp;$K12&amp;": "&amp;$C12&amp;CHAR(10)&amp;"&lt;---&gt;"&amp;CHAR(10)&amp;OFFSET($A12,1,0)&amp;" "&amp;OFFSET($K12,1,0)&amp;": "&amp;OFFSET($C12,1,0),""),
""))</f>
        <v/>
      </c>
      <c r="AO12" s="99" cm="1">
        <f t="array" aca="1" ref="AO12" ca="1">CreateID($AO$3,$AO:$AO,$AN12&lt;&gt;"")</f>
        <v>0</v>
      </c>
    </row>
    <row r="13" spans="1:41" x14ac:dyDescent="0.25">
      <c r="A13" s="96" t="s">
        <v>1172</v>
      </c>
      <c r="B13" s="4" t="str" cm="1">
        <f t="array" aca="1" ref="B13" ca="1">IF($A13="","",CreateIndentedString($K13,Definitions!$T$4,SimpleLookup($A13,Questions!$A:$C)))</f>
        <v>Worst  case  impact  for  loss  of  availability</v>
      </c>
      <c r="I13" s="15" t="str">
        <f t="shared" ca="1" si="0"/>
        <v/>
      </c>
      <c r="J13" s="15" t="str">
        <f t="shared" ca="1" si="1"/>
        <v/>
      </c>
      <c r="K13" s="15" t="str" cm="1">
        <f t="array" aca="1" ref="K13" ca="1">SimpleLookup($A13,Questions!$A:$B)</f>
        <v>Worst case impact for loss of availability</v>
      </c>
      <c r="L13" s="15" cm="1">
        <f t="array" aca="1" ref="L13" ca="1">CreateID($L$3,$L:$L,AND($A13&lt;&gt;"",$AC13))</f>
        <v>5</v>
      </c>
      <c r="M13" s="99" cm="1">
        <f t="array" aca="1" ref="M13" ca="1">CreateTaskID($M$3,$M:$M,Tasks!$B$17,$G13)</f>
        <v>0</v>
      </c>
      <c r="N13" s="15" t="str">
        <f t="shared" ca="1" si="2"/>
        <v/>
      </c>
      <c r="O13" s="15" cm="1">
        <f t="array" aca="1" ref="O13" ca="1">CreateID($O$3,$O:$O,$N13&lt;&gt;"")</f>
        <v>5</v>
      </c>
      <c r="P13" s="99" t="str">
        <f t="shared" si="3"/>
        <v/>
      </c>
      <c r="Q13" s="99" cm="1">
        <f t="array" aca="1" ref="Q13" ca="1">CreateID($Q$3,$Q:$Q,$P13&lt;&gt;"")</f>
        <v>0</v>
      </c>
      <c r="R13" s="99" t="str">
        <f t="shared" si="4"/>
        <v/>
      </c>
      <c r="S13" s="99" cm="1">
        <f t="array" aca="1" ref="S13" ca="1">CreateID($S$3,$S:$S,$R13&lt;&gt;"")</f>
        <v>0</v>
      </c>
      <c r="T13" s="99" t="str">
        <f t="shared" ca="1" si="5"/>
        <v/>
      </c>
      <c r="U13" s="99" cm="1">
        <f t="array" aca="1" ref="U13" ca="1">CreateID($U$3,$U:$U,$T13&lt;&gt;"")</f>
        <v>0</v>
      </c>
      <c r="V13" s="99" cm="1">
        <f t="array" aca="1" ref="V13" ca="1">CreateID($V$3,$V:$V,IFERROR(FIND(Definitions!$AR$4,$G13)&gt;0,FALSE))</f>
        <v>0</v>
      </c>
      <c r="W13" s="99">
        <f>_xlfn.LET(
_xlpm._comment,$G13,
_xlpm._keyWord,Definitions!$AR$4,
_xlpm._diffLen,LEN(_xlpm._comment)-LEN(SUBSTITUTE(_xlpm._comment,_xlpm._keyWord,"")),
_xlpm._diffLen/LEN(_xlpm._keyWord))</f>
        <v>0</v>
      </c>
      <c r="X13" s="99" cm="1">
        <f t="array" aca="1" ref="X13" ca="1">CreateID($X$3,$X:$X,IFERROR(FIND(Definitions!$AR$5,$G13)&gt;0,FALSE))</f>
        <v>0</v>
      </c>
      <c r="Y13" s="99">
        <f>_xlfn.LET(
_xlpm._comment,$G13,
_xlpm._keyWord,Definitions!$AR$5,
_xlpm._diffLen,LEN(_xlpm._comment)-LEN(SUBSTITUTE(_xlpm._comment,_xlpm._keyWord,"")),
_xlpm._diffLen/LEN(_xlpm._keyWord))</f>
        <v>0</v>
      </c>
      <c r="Z13" s="99" t="b">
        <f ca="1">OR(IFERROR(_xlfn.XMATCH("*,"&amp;$A13&amp;",*",Assumptions!$AL:$AL,2)&gt;0,FALSE),
IFERROR(_xlfn.XMATCH("*,"&amp;$A13&amp;",*",Countermeasures!$AO:$AO,2)&gt;0,FALSE))</f>
        <v>0</v>
      </c>
      <c r="AA13" s="99" t="str" cm="1">
        <f t="array" aca="1" ref="AA13" ca="1">CreateSearchString($I13)</f>
        <v/>
      </c>
      <c r="AB13" s="99" t="str">
        <f>IF($E13="","",IFERROR(VLOOKUP($E13,Definitions!$H:$J,COLUMNS(Definitions!$H:$J),FALSE),""))</f>
        <v/>
      </c>
      <c r="AC13" s="99" t="b" cm="1">
        <f t="array" aca="1" ref="AC13" ca="1">IF($A13="",FALSE,SimpleLookup($A13,Questions!$A:$D)="x")</f>
        <v>0</v>
      </c>
      <c r="AD13" s="99" t="str" cm="1">
        <f t="array" aca="1" ref="AD13" ca="1">IF(OR($A13="",NOT($AC13)),"",SimpleLookup($A13,Questions!$A:$E))</f>
        <v/>
      </c>
      <c r="AE13" s="99" t="str" cm="1">
        <f t="array" aca="1" ref="AE13" ca="1">IF(OR($A13="",NOT($AC13)),"",SimpleLookup($A13,Questions!$A:$F))</f>
        <v/>
      </c>
      <c r="AF13" s="99" t="str" cm="1">
        <f t="array" aca="1" ref="AF13" ca="1">_xlfn.LET(
_xlpm._answer,$C13,
_xlpm._infoTextFull,IF($AC13,CHAR(10)&amp;SimpleLookup($A13,Questions!$A:$H)&amp;CHAR(10),""),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3" s="99" t="b" cm="1">
        <f t="array" aca="1" ref="AG13" ca="1">IF(OR($A13="",NOT($AC13)),FALSE,_xlfn.LET(
_xlpm._secondAnswerRequiredOn,SimpleLookup($A13,Questions!$A:$I),
_xlpm._firstAnwer,$C13,
IFERROR(FIND(CHAR(10)&amp;_xlpm._firstAnwer&amp;":",CHAR(10)&amp;_xlpm._secondAnswerRequiredOn)&gt;0,FALSE)))</f>
        <v>0</v>
      </c>
      <c r="AH13" s="99" t="str" cm="1">
        <f t="array" aca="1" ref="AH13" ca="1">IF(OR($A13="",NOT($AC13)),"",_xlfn.LET(
_xlpm._id,$A13,
_xlpm._firstAnswer,$C13,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13" s="99" t="str" cm="1">
        <f t="array" aca="1" ref="AI13" ca="1">IF(OR($A13="",NOT($AC13)),"",_xlfn.LET(
_xlpm._id,$A13,
_xlpm._firstAnswer,$C13,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13" s="99" t="str" cm="1">
        <f t="array" aca="1" ref="AJ13" ca="1">IF($AG13,_xlfn.LET(
_xlpm._answer,$E13,
_xlpm._infoTextFull,IF($AC13,CHAR(10)&amp;SimpleLookup($A13,Questions!$A:$L)&amp;CHAR(10),""),
_xlpm._startSelectedByAnswerOne,IF(_xlpm._infoTextFull="",0,FIND("___"&amp;$C13&amp;"___",_xlpm._infoTextFull)+LEN("___"&amp;$C13&amp;"___")),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3" s="99" t="b" cm="1">
        <f t="array" aca="1" ref="AK13" ca="1">IF(OR($A13="",NOT($AC13)),FALSE,SimpleLookup($A13,Questions!$A:$Q))</f>
        <v>0</v>
      </c>
      <c r="AL13" s="99" t="str" cm="1">
        <f t="array" aca="1" ref="AL13" ca="1">IF(AND($A13=Questions!$A$41,IFERROR(SimpleLookup(Questions!$A$36,$A:$E)=Definitions!$O$5,FALSE),$C13=Definitions!$A$5),
Questions!$A$36&amp;" "&amp;Questions!$B$36&amp;CHAR(10)&amp;CHAR(187)&amp;" "&amp;SimpleLookup(Questions!$A$36,$A:$C)&amp;CHAR(10)&amp;SimpleLookup(Questions!$A$36,$A:$D)&amp;CHAR(10)&amp;CHAR(187)&amp;" "&amp;Definitions!$O$5&amp;CHAR(10)&amp;CHAR(10)&amp;
"is incosistent with"&amp;CHAR(10)&amp;CHAR(10)&amp;
$A13&amp;" "&amp;SimpleLookup($A13,Questions!$A:$B)&amp;CHAR(10)&amp;CHAR(187)&amp;" "&amp;$C13,
"")</f>
        <v/>
      </c>
      <c r="AM13" s="99" cm="1">
        <f t="array" aca="1" ref="AM13" ca="1">CreateID($AM$3,$AM:$AM,$AL13&lt;&gt;"")</f>
        <v>0</v>
      </c>
      <c r="AN13" s="99" t="str" cm="1">
        <f t="array" aca="1" ref="AN13" ca="1">IF(OR($C13="",OFFSET($C13,1,0)=""),"",
IF(AND($A13=Questions!$A$59,OFFSET($A13,1,0)=Questions!$A$60,SimpleLookup(Questions!$A$49,$A:$C)=Definitions!$A$4),
IF(MATCH($C13,Definitions!$AW:$AW,0)&gt;MATCH(OFFSET($C13,1,0),Definitions!AW:AW,0),$A13&amp;" "&amp;$K13&amp;": "&amp;$C13&amp;CHAR(10)&amp;"&lt;---&gt;"&amp;CHAR(10)&amp;OFFSET($A13,1,0)&amp;" "&amp;OFFSET($K13,1,0)&amp;": "&amp;OFFSET($C13,1,0),""),
""))</f>
        <v/>
      </c>
      <c r="AO13" s="99" cm="1">
        <f t="array" aca="1" ref="AO13" ca="1">CreateID($AO$3,$AO:$AO,$AN13&lt;&gt;"")</f>
        <v>0</v>
      </c>
    </row>
    <row r="14" spans="1:41" x14ac:dyDescent="0.25">
      <c r="A14" s="96" t="s">
        <v>1182</v>
      </c>
      <c r="B14" s="4" t="str" cm="1">
        <f t="array" aca="1" ref="B14" ca="1">IF($A14="","",CreateIndentedString($K14,Definitions!$T$4,SimpleLookup($A14,Questions!$A:$C)))</f>
        <v xml:space="preserve">   Safety</v>
      </c>
      <c r="I14" s="15" t="str">
        <f t="shared" ca="1" si="0"/>
        <v/>
      </c>
      <c r="J14" s="15" t="str">
        <f t="shared" ca="1" si="1"/>
        <v/>
      </c>
      <c r="K14" s="15" t="str" cm="1">
        <f t="array" aca="1" ref="K14" ca="1">SimpleLookup($A14,Questions!$A:$B)</f>
        <v>Safety</v>
      </c>
      <c r="L14" s="15" cm="1">
        <f t="array" aca="1" ref="L14" ca="1">CreateID($L$3,$L:$L,AND($A14&lt;&gt;"",$AC14))</f>
        <v>5</v>
      </c>
      <c r="M14" s="99" cm="1">
        <f t="array" aca="1" ref="M14" ca="1">CreateTaskID($M$3,$M:$M,Tasks!$B$17,$G14)</f>
        <v>0</v>
      </c>
      <c r="N14" s="15" t="str">
        <f t="shared" ca="1" si="2"/>
        <v/>
      </c>
      <c r="O14" s="15" cm="1">
        <f t="array" aca="1" ref="O14" ca="1">CreateID($O$3,$O:$O,$N14&lt;&gt;"")</f>
        <v>5</v>
      </c>
      <c r="P14" s="99" t="str">
        <f t="shared" si="3"/>
        <v/>
      </c>
      <c r="Q14" s="99" cm="1">
        <f t="array" aca="1" ref="Q14" ca="1">CreateID($Q$3,$Q:$Q,$P14&lt;&gt;"")</f>
        <v>0</v>
      </c>
      <c r="R14" s="99" t="str">
        <f t="shared" si="4"/>
        <v/>
      </c>
      <c r="S14" s="99" cm="1">
        <f t="array" aca="1" ref="S14" ca="1">CreateID($S$3,$S:$S,$R14&lt;&gt;"")</f>
        <v>0</v>
      </c>
      <c r="T14" s="99" t="str">
        <f t="shared" ca="1" si="5"/>
        <v/>
      </c>
      <c r="U14" s="99" cm="1">
        <f t="array" aca="1" ref="U14" ca="1">CreateID($U$3,$U:$U,$T14&lt;&gt;"")</f>
        <v>0</v>
      </c>
      <c r="V14" s="99" cm="1">
        <f t="array" aca="1" ref="V14" ca="1">CreateID($V$3,$V:$V,IFERROR(FIND(Definitions!$AR$4,$G14)&gt;0,FALSE))</f>
        <v>0</v>
      </c>
      <c r="W14" s="99">
        <f>_xlfn.LET(
_xlpm._comment,$G14,
_xlpm._keyWord,Definitions!$AR$4,
_xlpm._diffLen,LEN(_xlpm._comment)-LEN(SUBSTITUTE(_xlpm._comment,_xlpm._keyWord,"")),
_xlpm._diffLen/LEN(_xlpm._keyWord))</f>
        <v>0</v>
      </c>
      <c r="X14" s="99" cm="1">
        <f t="array" aca="1" ref="X14" ca="1">CreateID($X$3,$X:$X,IFERROR(FIND(Definitions!$AR$5,$G14)&gt;0,FALSE))</f>
        <v>0</v>
      </c>
      <c r="Y14" s="99">
        <f>_xlfn.LET(
_xlpm._comment,$G14,
_xlpm._keyWord,Definitions!$AR$5,
_xlpm._diffLen,LEN(_xlpm._comment)-LEN(SUBSTITUTE(_xlpm._comment,_xlpm._keyWord,"")),
_xlpm._diffLen/LEN(_xlpm._keyWord))</f>
        <v>0</v>
      </c>
      <c r="Z14" s="99" t="b">
        <f ca="1">OR(IFERROR(_xlfn.XMATCH("*,"&amp;$A14&amp;",*",Assumptions!$AL:$AL,2)&gt;0,FALSE),
IFERROR(_xlfn.XMATCH("*,"&amp;$A14&amp;",*",Countermeasures!$AO:$AO,2)&gt;0,FALSE))</f>
        <v>0</v>
      </c>
      <c r="AA14" s="99" t="str" cm="1">
        <f t="array" aca="1" ref="AA14" ca="1">CreateSearchString($I14)</f>
        <v/>
      </c>
      <c r="AB14" s="99" t="str">
        <f>IF($E14="","",IFERROR(VLOOKUP($E14,Definitions!$H:$J,COLUMNS(Definitions!$H:$J),FALSE),""))</f>
        <v/>
      </c>
      <c r="AC14" s="99" t="b" cm="1">
        <f t="array" aca="1" ref="AC14" ca="1">IF($A14="",FALSE,SimpleLookup($A14,Questions!$A:$D)="x")</f>
        <v>0</v>
      </c>
      <c r="AD14" s="99" t="str" cm="1">
        <f t="array" aca="1" ref="AD14" ca="1">IF(OR($A14="",NOT($AC14)),"",SimpleLookup($A14,Questions!$A:$E))</f>
        <v/>
      </c>
      <c r="AE14" s="99" t="str" cm="1">
        <f t="array" aca="1" ref="AE14" ca="1">IF(OR($A14="",NOT($AC14)),"",SimpleLookup($A14,Questions!$A:$F))</f>
        <v/>
      </c>
      <c r="AF14" s="99" t="str" cm="1">
        <f t="array" aca="1" ref="AF14" ca="1">_xlfn.LET(
_xlpm._answer,$C14,
_xlpm._infoTextFull,IF($AC14,CHAR(10)&amp;SimpleLookup($A14,Questions!$A:$H)&amp;CHAR(10),""),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4" s="99" t="b" cm="1">
        <f t="array" aca="1" ref="AG14" ca="1">IF(OR($A14="",NOT($AC14)),FALSE,_xlfn.LET(
_xlpm._secondAnswerRequiredOn,SimpleLookup($A14,Questions!$A:$I),
_xlpm._firstAnwer,$C14,
IFERROR(FIND(CHAR(10)&amp;_xlpm._firstAnwer&amp;":",CHAR(10)&amp;_xlpm._secondAnswerRequiredOn)&gt;0,FALSE)))</f>
        <v>0</v>
      </c>
      <c r="AH14" s="99" t="str" cm="1">
        <f t="array" aca="1" ref="AH14" ca="1">IF(OR($A14="",NOT($AC14)),"",_xlfn.LET(
_xlpm._id,$A14,
_xlpm._firstAnswer,$C14,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14" s="99" t="str" cm="1">
        <f t="array" aca="1" ref="AI14" ca="1">IF(OR($A14="",NOT($AC14)),"",_xlfn.LET(
_xlpm._id,$A14,
_xlpm._firstAnswer,$C14,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14" s="99" t="str" cm="1">
        <f t="array" aca="1" ref="AJ14" ca="1">IF($AG14,_xlfn.LET(
_xlpm._answer,$E14,
_xlpm._infoTextFull,IF($AC14,CHAR(10)&amp;SimpleLookup($A14,Questions!$A:$L)&amp;CHAR(10),""),
_xlpm._startSelectedByAnswerOne,IF(_xlpm._infoTextFull="",0,FIND("___"&amp;$C14&amp;"___",_xlpm._infoTextFull)+LEN("___"&amp;$C14&amp;"___")),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4" s="99" t="b" cm="1">
        <f t="array" aca="1" ref="AK14" ca="1">IF(OR($A14="",NOT($AC14)),FALSE,SimpleLookup($A14,Questions!$A:$Q))</f>
        <v>0</v>
      </c>
      <c r="AL14" s="99" t="str" cm="1">
        <f t="array" aca="1" ref="AL14" ca="1">IF(AND($A14=Questions!$A$41,IFERROR(SimpleLookup(Questions!$A$36,$A:$E)=Definitions!$O$5,FALSE),$C14=Definitions!$A$5),
Questions!$A$36&amp;" "&amp;Questions!$B$36&amp;CHAR(10)&amp;CHAR(187)&amp;" "&amp;SimpleLookup(Questions!$A$36,$A:$C)&amp;CHAR(10)&amp;SimpleLookup(Questions!$A$36,$A:$D)&amp;CHAR(10)&amp;CHAR(187)&amp;" "&amp;Definitions!$O$5&amp;CHAR(10)&amp;CHAR(10)&amp;
"is incosistent with"&amp;CHAR(10)&amp;CHAR(10)&amp;
$A14&amp;" "&amp;SimpleLookup($A14,Questions!$A:$B)&amp;CHAR(10)&amp;CHAR(187)&amp;" "&amp;$C14,
"")</f>
        <v/>
      </c>
      <c r="AM14" s="99" cm="1">
        <f t="array" aca="1" ref="AM14" ca="1">CreateID($AM$3,$AM:$AM,$AL14&lt;&gt;"")</f>
        <v>0</v>
      </c>
      <c r="AN14" s="99" t="str" cm="1">
        <f t="array" aca="1" ref="AN14" ca="1">IF(OR($C14="",OFFSET($C14,1,0)=""),"",
IF(AND($A14=Questions!$A$59,OFFSET($A14,1,0)=Questions!$A$60,SimpleLookup(Questions!$A$49,$A:$C)=Definitions!$A$4),
IF(MATCH($C14,Definitions!$AW:$AW,0)&gt;MATCH(OFFSET($C14,1,0),Definitions!AW:AW,0),$A14&amp;" "&amp;$K14&amp;": "&amp;$C14&amp;CHAR(10)&amp;"&lt;---&gt;"&amp;CHAR(10)&amp;OFFSET($A14,1,0)&amp;" "&amp;OFFSET($K14,1,0)&amp;": "&amp;OFFSET($C14,1,0),""),
""))</f>
        <v/>
      </c>
      <c r="AO14" s="99" cm="1">
        <f t="array" aca="1" ref="AO14" ca="1">CreateID($AO$3,$AO:$AO,$AN14&lt;&gt;"")</f>
        <v>0</v>
      </c>
    </row>
    <row r="15" spans="1:41" ht="90" x14ac:dyDescent="0.25">
      <c r="A15" s="96" t="s">
        <v>1090</v>
      </c>
      <c r="B15" s="4" t="str" cm="1">
        <f t="array" aca="1" ref="B15" ca="1">IF($A15="","",CreateIndentedString($K15,Definitions!$T$4,SimpleLookup($A15,Questions!$A:$C)))</f>
        <v xml:space="preserve">      Can  a  loss  of  availability  of  the  product  (or
      its  communication)  endanger  the  health  of
      people?
      (Consider  how  the  operational  environment
      reacts  to  a  loss  of  availability  of  the
      product.)</v>
      </c>
      <c r="D15" s="8" t="str">
        <f ca="1">$AF15</f>
        <v/>
      </c>
      <c r="F15" s="8" t="str">
        <f ca="1">$AJ15</f>
        <v/>
      </c>
      <c r="I15" s="15" t="str">
        <f t="shared" ca="1" si="0"/>
        <v>QI6[]</v>
      </c>
      <c r="J15" s="15" t="str">
        <f t="shared" ca="1" si="1"/>
        <v>QI6[]</v>
      </c>
      <c r="K15" s="15" t="str" cm="1">
        <f t="array" aca="1" ref="K15" ca="1">SimpleLookup($A15,Questions!$A:$B)</f>
        <v>Can a loss of availability of the product (or its communication) endanger the health of people?
(Consider how the operational environment reacts to a loss of availability of the product.)</v>
      </c>
      <c r="L15" s="15" cm="1">
        <f t="array" aca="1" ref="L15" ca="1">CreateID($L$3,$L:$L,AND($A15&lt;&gt;"",$AC15))</f>
        <v>6</v>
      </c>
      <c r="M15" s="99" cm="1">
        <f t="array" aca="1" ref="M15" ca="1">CreateTaskID($M$3,$M:$M,Tasks!$B$17,$G15)</f>
        <v>0</v>
      </c>
      <c r="N15" s="15" t="str">
        <f t="shared" ca="1" si="2"/>
        <v>QI6 Can a loss of availability of the product (or its communication) endanger the health of people?
(Consider how the operational environment reacts to a loss of availability of the product.)</v>
      </c>
      <c r="O15" s="15" cm="1">
        <f t="array" aca="1" ref="O15" ca="1">CreateID($O$3,$O:$O,$N15&lt;&gt;"")</f>
        <v>6</v>
      </c>
      <c r="P15" s="99" t="str">
        <f t="shared" ca="1" si="3"/>
        <v/>
      </c>
      <c r="Q15" s="99" cm="1">
        <f t="array" aca="1" ref="Q15" ca="1">CreateID($Q$3,$Q:$Q,$P15&lt;&gt;"")</f>
        <v>0</v>
      </c>
      <c r="R15" s="99" t="str">
        <f t="shared" ca="1" si="4"/>
        <v/>
      </c>
      <c r="S15" s="99" cm="1">
        <f t="array" aca="1" ref="S15" ca="1">CreateID($S$3,$S:$S,$R15&lt;&gt;"")</f>
        <v>0</v>
      </c>
      <c r="T15" s="99" t="str">
        <f t="shared" ca="1" si="5"/>
        <v/>
      </c>
      <c r="U15" s="99" cm="1">
        <f t="array" aca="1" ref="U15" ca="1">CreateID($U$3,$U:$U,$T15&lt;&gt;"")</f>
        <v>0</v>
      </c>
      <c r="V15" s="99" cm="1">
        <f t="array" aca="1" ref="V15" ca="1">CreateID($V$3,$V:$V,IFERROR(FIND(Definitions!$AR$4,$G15)&gt;0,FALSE))</f>
        <v>0</v>
      </c>
      <c r="W15" s="99">
        <f>_xlfn.LET(
_xlpm._comment,$G15,
_xlpm._keyWord,Definitions!$AR$4,
_xlpm._diffLen,LEN(_xlpm._comment)-LEN(SUBSTITUTE(_xlpm._comment,_xlpm._keyWord,"")),
_xlpm._diffLen/LEN(_xlpm._keyWord))</f>
        <v>0</v>
      </c>
      <c r="X15" s="99" cm="1">
        <f t="array" aca="1" ref="X15" ca="1">CreateID($X$3,$X:$X,IFERROR(FIND(Definitions!$AR$5,$G15)&gt;0,FALSE))</f>
        <v>0</v>
      </c>
      <c r="Y15" s="99">
        <f>_xlfn.LET(
_xlpm._comment,$G15,
_xlpm._keyWord,Definitions!$AR$5,
_xlpm._diffLen,LEN(_xlpm._comment)-LEN(SUBSTITUTE(_xlpm._comment,_xlpm._keyWord,"")),
_xlpm._diffLen/LEN(_xlpm._keyWord))</f>
        <v>0</v>
      </c>
      <c r="Z15" s="99" t="b">
        <f ca="1">OR(IFERROR(_xlfn.XMATCH("*,"&amp;$A15&amp;",*",Assumptions!$AL:$AL,2)&gt;0,FALSE),
IFERROR(_xlfn.XMATCH("*,"&amp;$A15&amp;",*",Countermeasures!$AO:$AO,2)&gt;0,FALSE))</f>
        <v>1</v>
      </c>
      <c r="AA15" s="99" t="str" cm="1">
        <f t="array" aca="1" ref="AA15" ca="1">CreateSearchString($I15)</f>
        <v>,QI6[],</v>
      </c>
      <c r="AB15" s="99" t="str">
        <f>IF($E15="","",IFERROR(VLOOKUP($E15,Definitions!$H:$J,COLUMNS(Definitions!$H:$J),FALSE),""))</f>
        <v/>
      </c>
      <c r="AC15" s="99" t="b" cm="1">
        <f t="array" aca="1" ref="AC15" ca="1">IF($A15="",FALSE,SimpleLookup($A15,Questions!$A:$D)="x")</f>
        <v>1</v>
      </c>
      <c r="AD15" s="99" t="str" cm="1">
        <f t="array" aca="1" ref="AD15" ca="1">IF(OR($A15="",NOT($AC15)),"",SimpleLookup($A15,Questions!$A:$E))</f>
        <v>'[2025-07-30_QuBA_libre.xlsx]Definitions'!$A$4</v>
      </c>
      <c r="AE15" s="99" cm="1">
        <f t="array" aca="1" ref="AE15" ca="1">IF(OR($A15="",NOT($AC15)),"",SimpleLookup($A15,Questions!$A:$F))</f>
        <v>2</v>
      </c>
      <c r="AF15" s="99" t="str" cm="1">
        <f t="array" aca="1" ref="AF15" ca="1">_xlfn.LET(
_xlpm._answer,$C15,
_xlpm._infoTextFull,IF($AC15,CHAR(10)&amp;SimpleLookup($A15,Questions!$A:$H)&amp;CHAR(10),""),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5" s="99" t="b" cm="1">
        <f t="array" aca="1" ref="AG15" ca="1">IF(OR($A15="",NOT($AC15)),FALSE,_xlfn.LET(
_xlpm._secondAnswerRequiredOn,SimpleLookup($A15,Questions!$A:$I),
_xlpm._firstAnwer,$C15,
IFERROR(FIND(CHAR(10)&amp;_xlpm._firstAnwer&amp;":",CHAR(10)&amp;_xlpm._secondAnswerRequiredOn)&gt;0,FALSE)))</f>
        <v>0</v>
      </c>
      <c r="AH15" s="99" t="str" cm="1">
        <f t="array" aca="1" ref="AH15" ca="1">IF(OR($A15="",NOT($AC15)),"",_xlfn.LET(
_xlpm._id,$A15,
_xlpm._firstAnswer,$C15,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'[2025-07-30_QuBA_libre.xlsx]Definitions'!$H$14</v>
      </c>
      <c r="AI15" s="99" cm="1">
        <f t="array" aca="1" ref="AI15" ca="1">IF(OR($A15="",NOT($AC15)),"",_xlfn.LET(
_xlpm._id,$A15,
_xlpm._firstAnswer,$C15,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J15" s="99" t="str" cm="1">
        <f t="array" aca="1" ref="AJ15" ca="1">IF($AG15,_xlfn.LET(
_xlpm._answer,$E15,
_xlpm._infoTextFull,IF($AC15,CHAR(10)&amp;SimpleLookup($A15,Questions!$A:$L)&amp;CHAR(10),""),
_xlpm._startSelectedByAnswerOne,IF(_xlpm._infoTextFull="",0,FIND("___"&amp;$C15&amp;"___",_xlpm._infoTextFull)+LEN("___"&amp;$C15&amp;"___")),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5" s="99" t="b" cm="1">
        <f t="array" aca="1" ref="AK15" ca="1">IF(OR($A15="",NOT($AC15)),FALSE,SimpleLookup($A15,Questions!$A:$Q))</f>
        <v>0</v>
      </c>
      <c r="AL15" s="99" t="str" cm="1">
        <f t="array" aca="1" ref="AL15" ca="1">IF(AND($A15=Questions!$A$41,IFERROR(SimpleLookup(Questions!$A$36,$A:$E)=Definitions!$O$5,FALSE),$C15=Definitions!$A$5),
Questions!$A$36&amp;" "&amp;Questions!$B$36&amp;CHAR(10)&amp;CHAR(187)&amp;" "&amp;SimpleLookup(Questions!$A$36,$A:$C)&amp;CHAR(10)&amp;SimpleLookup(Questions!$A$36,$A:$D)&amp;CHAR(10)&amp;CHAR(187)&amp;" "&amp;Definitions!$O$5&amp;CHAR(10)&amp;CHAR(10)&amp;
"is incosistent with"&amp;CHAR(10)&amp;CHAR(10)&amp;
$A15&amp;" "&amp;SimpleLookup($A15,Questions!$A:$B)&amp;CHAR(10)&amp;CHAR(187)&amp;" "&amp;$C15,
"")</f>
        <v/>
      </c>
      <c r="AM15" s="99" cm="1">
        <f t="array" aca="1" ref="AM15" ca="1">CreateID($AM$3,$AM:$AM,$AL15&lt;&gt;"")</f>
        <v>0</v>
      </c>
      <c r="AN15" s="99" t="str" cm="1">
        <f t="array" aca="1" ref="AN15" ca="1">IF(OR($C15="",OFFSET($C15,1,0)=""),"",
IF(AND($A15=Questions!$A$59,OFFSET($A15,1,0)=Questions!$A$60,SimpleLookup(Questions!$A$49,$A:$C)=Definitions!$A$4),
IF(MATCH($C15,Definitions!$AW:$AW,0)&gt;MATCH(OFFSET($C15,1,0),Definitions!AW:AW,0),$A15&amp;" "&amp;$K15&amp;": "&amp;$C15&amp;CHAR(10)&amp;"&lt;---&gt;"&amp;CHAR(10)&amp;OFFSET($A15,1,0)&amp;" "&amp;OFFSET($K15,1,0)&amp;": "&amp;OFFSET($C15,1,0),""),
""))</f>
        <v/>
      </c>
      <c r="AO15" s="99" cm="1">
        <f t="array" aca="1" ref="AO15" ca="1">CreateID($AO$3,$AO:$AO,$AN15&lt;&gt;"")</f>
        <v>0</v>
      </c>
    </row>
    <row r="16" spans="1:41" x14ac:dyDescent="0.25">
      <c r="A16" s="96" t="s">
        <v>1183</v>
      </c>
      <c r="B16" s="4" t="str" cm="1">
        <f t="array" aca="1" ref="B16" ca="1">IF($A16="","",CreateIndentedString($K16,Definitions!$T$4,SimpleLookup($A16,Questions!$A:$C)))</f>
        <v xml:space="preserve">   Function  and  availability</v>
      </c>
      <c r="I16" s="15" t="str">
        <f t="shared" ca="1" si="0"/>
        <v/>
      </c>
      <c r="J16" s="15" t="str">
        <f t="shared" ca="1" si="1"/>
        <v/>
      </c>
      <c r="K16" s="15" t="str" cm="1">
        <f t="array" aca="1" ref="K16" ca="1">SimpleLookup($A16,Questions!$A:$B)</f>
        <v>Function and availability</v>
      </c>
      <c r="L16" s="15" cm="1">
        <f t="array" aca="1" ref="L16" ca="1">CreateID($L$3,$L:$L,AND($A16&lt;&gt;"",$AC16))</f>
        <v>6</v>
      </c>
      <c r="M16" s="99" cm="1">
        <f t="array" aca="1" ref="M16" ca="1">CreateTaskID($M$3,$M:$M,Tasks!$B$17,$G16)</f>
        <v>0</v>
      </c>
      <c r="N16" s="15" t="str">
        <f t="shared" ca="1" si="2"/>
        <v/>
      </c>
      <c r="O16" s="15" cm="1">
        <f t="array" aca="1" ref="O16" ca="1">CreateID($O$3,$O:$O,$N16&lt;&gt;"")</f>
        <v>6</v>
      </c>
      <c r="P16" s="99" t="str">
        <f t="shared" si="3"/>
        <v/>
      </c>
      <c r="Q16" s="99" cm="1">
        <f t="array" aca="1" ref="Q16" ca="1">CreateID($Q$3,$Q:$Q,$P16&lt;&gt;"")</f>
        <v>0</v>
      </c>
      <c r="R16" s="99" t="str">
        <f t="shared" si="4"/>
        <v/>
      </c>
      <c r="S16" s="99" cm="1">
        <f t="array" aca="1" ref="S16" ca="1">CreateID($S$3,$S:$S,$R16&lt;&gt;"")</f>
        <v>0</v>
      </c>
      <c r="T16" s="99" t="str">
        <f t="shared" ca="1" si="5"/>
        <v/>
      </c>
      <c r="U16" s="99" cm="1">
        <f t="array" aca="1" ref="U16" ca="1">CreateID($U$3,$U:$U,$T16&lt;&gt;"")</f>
        <v>0</v>
      </c>
      <c r="V16" s="99" cm="1">
        <f t="array" aca="1" ref="V16" ca="1">CreateID($V$3,$V:$V,IFERROR(FIND(Definitions!$AR$4,$G16)&gt;0,FALSE))</f>
        <v>0</v>
      </c>
      <c r="W16" s="99">
        <f>_xlfn.LET(
_xlpm._comment,$G16,
_xlpm._keyWord,Definitions!$AR$4,
_xlpm._diffLen,LEN(_xlpm._comment)-LEN(SUBSTITUTE(_xlpm._comment,_xlpm._keyWord,"")),
_xlpm._diffLen/LEN(_xlpm._keyWord))</f>
        <v>0</v>
      </c>
      <c r="X16" s="99" cm="1">
        <f t="array" aca="1" ref="X16" ca="1">CreateID($X$3,$X:$X,IFERROR(FIND(Definitions!$AR$5,$G16)&gt;0,FALSE))</f>
        <v>0</v>
      </c>
      <c r="Y16" s="99">
        <f>_xlfn.LET(
_xlpm._comment,$G16,
_xlpm._keyWord,Definitions!$AR$5,
_xlpm._diffLen,LEN(_xlpm._comment)-LEN(SUBSTITUTE(_xlpm._comment,_xlpm._keyWord,"")),
_xlpm._diffLen/LEN(_xlpm._keyWord))</f>
        <v>0</v>
      </c>
      <c r="Z16" s="99" t="b">
        <f ca="1">OR(IFERROR(_xlfn.XMATCH("*,"&amp;$A16&amp;",*",Assumptions!$AL:$AL,2)&gt;0,FALSE),
IFERROR(_xlfn.XMATCH("*,"&amp;$A16&amp;",*",Countermeasures!$AO:$AO,2)&gt;0,FALSE))</f>
        <v>0</v>
      </c>
      <c r="AA16" s="99" t="str" cm="1">
        <f t="array" aca="1" ref="AA16" ca="1">CreateSearchString($I16)</f>
        <v/>
      </c>
      <c r="AB16" s="99" t="str">
        <f>IF($E16="","",IFERROR(VLOOKUP($E16,Definitions!$H:$J,COLUMNS(Definitions!$H:$J),FALSE),""))</f>
        <v/>
      </c>
      <c r="AC16" s="99" t="b" cm="1">
        <f t="array" aca="1" ref="AC16" ca="1">IF($A16="",FALSE,SimpleLookup($A16,Questions!$A:$D)="x")</f>
        <v>0</v>
      </c>
      <c r="AD16" s="99" t="str" cm="1">
        <f t="array" aca="1" ref="AD16" ca="1">IF(OR($A16="",NOT($AC16)),"",SimpleLookup($A16,Questions!$A:$E))</f>
        <v/>
      </c>
      <c r="AE16" s="99" t="str" cm="1">
        <f t="array" aca="1" ref="AE16" ca="1">IF(OR($A16="",NOT($AC16)),"",SimpleLookup($A16,Questions!$A:$F))</f>
        <v/>
      </c>
      <c r="AF16" s="99" t="str" cm="1">
        <f t="array" aca="1" ref="AF16" ca="1">_xlfn.LET(
_xlpm._answer,$C16,
_xlpm._infoTextFull,IF($AC16,CHAR(10)&amp;SimpleLookup($A16,Questions!$A:$H)&amp;CHAR(10),""),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6" s="99" t="b" cm="1">
        <f t="array" aca="1" ref="AG16" ca="1">IF(OR($A16="",NOT($AC16)),FALSE,_xlfn.LET(
_xlpm._secondAnswerRequiredOn,SimpleLookup($A16,Questions!$A:$I),
_xlpm._firstAnwer,$C16,
IFERROR(FIND(CHAR(10)&amp;_xlpm._firstAnwer&amp;":",CHAR(10)&amp;_xlpm._secondAnswerRequiredOn)&gt;0,FALSE)))</f>
        <v>0</v>
      </c>
      <c r="AH16" s="99" t="str" cm="1">
        <f t="array" aca="1" ref="AH16" ca="1">IF(OR($A16="",NOT($AC16)),"",_xlfn.LET(
_xlpm._id,$A16,
_xlpm._firstAnswer,$C16,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16" s="99" t="str" cm="1">
        <f t="array" aca="1" ref="AI16" ca="1">IF(OR($A16="",NOT($AC16)),"",_xlfn.LET(
_xlpm._id,$A16,
_xlpm._firstAnswer,$C16,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16" s="99" t="str" cm="1">
        <f t="array" aca="1" ref="AJ16" ca="1">IF($AG16,_xlfn.LET(
_xlpm._answer,$E16,
_xlpm._infoTextFull,IF($AC16,CHAR(10)&amp;SimpleLookup($A16,Questions!$A:$L)&amp;CHAR(10),""),
_xlpm._startSelectedByAnswerOne,IF(_xlpm._infoTextFull="",0,FIND("___"&amp;$C16&amp;"___",_xlpm._infoTextFull)+LEN("___"&amp;$C16&amp;"___")),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6" s="99" t="b" cm="1">
        <f t="array" aca="1" ref="AK16" ca="1">IF(OR($A16="",NOT($AC16)),FALSE,SimpleLookup($A16,Questions!$A:$Q))</f>
        <v>0</v>
      </c>
      <c r="AL16" s="99" t="str" cm="1">
        <f t="array" aca="1" ref="AL16" ca="1">IF(AND($A16=Questions!$A$41,IFERROR(SimpleLookup(Questions!$A$36,$A:$E)=Definitions!$O$5,FALSE),$C16=Definitions!$A$5),
Questions!$A$36&amp;" "&amp;Questions!$B$36&amp;CHAR(10)&amp;CHAR(187)&amp;" "&amp;SimpleLookup(Questions!$A$36,$A:$C)&amp;CHAR(10)&amp;SimpleLookup(Questions!$A$36,$A:$D)&amp;CHAR(10)&amp;CHAR(187)&amp;" "&amp;Definitions!$O$5&amp;CHAR(10)&amp;CHAR(10)&amp;
"is incosistent with"&amp;CHAR(10)&amp;CHAR(10)&amp;
$A16&amp;" "&amp;SimpleLookup($A16,Questions!$A:$B)&amp;CHAR(10)&amp;CHAR(187)&amp;" "&amp;$C16,
"")</f>
        <v/>
      </c>
      <c r="AM16" s="99" cm="1">
        <f t="array" aca="1" ref="AM16" ca="1">CreateID($AM$3,$AM:$AM,$AL16&lt;&gt;"")</f>
        <v>0</v>
      </c>
      <c r="AN16" s="99" t="str" cm="1">
        <f t="array" aca="1" ref="AN16" ca="1">IF(OR($C16="",OFFSET($C16,1,0)=""),"",
IF(AND($A16=Questions!$A$59,OFFSET($A16,1,0)=Questions!$A$60,SimpleLookup(Questions!$A$49,$A:$C)=Definitions!$A$4),
IF(MATCH($C16,Definitions!$AW:$AW,0)&gt;MATCH(OFFSET($C16,1,0),Definitions!AW:AW,0),$A16&amp;" "&amp;$K16&amp;": "&amp;$C16&amp;CHAR(10)&amp;"&lt;---&gt;"&amp;CHAR(10)&amp;OFFSET($A16,1,0)&amp;" "&amp;OFFSET($K16,1,0)&amp;": "&amp;OFFSET($C16,1,0),""),
""))</f>
        <v/>
      </c>
      <c r="AO16" s="99" cm="1">
        <f t="array" aca="1" ref="AO16" ca="1">CreateID($AO$3,$AO:$AO,$AN16&lt;&gt;"")</f>
        <v>0</v>
      </c>
    </row>
    <row r="17" spans="1:41" ht="30" x14ac:dyDescent="0.25">
      <c r="A17" s="96" t="s">
        <v>1088</v>
      </c>
      <c r="B17" s="4" t="str" cm="1">
        <f t="array" aca="1" ref="B17" ca="1">IF($A17="","",CreateIndentedString($K17,Definitions!$T$4,SimpleLookup($A17,Questions!$A:$C)))</f>
        <v xml:space="preserve">      Is  the  availability  of  the  product  relevant  for
      its  operational  environment?</v>
      </c>
      <c r="D17" s="8" t="str">
        <f ca="1">$AF17</f>
        <v/>
      </c>
      <c r="F17" s="8" t="str">
        <f ca="1">$AJ17</f>
        <v/>
      </c>
      <c r="I17" s="15" t="str">
        <f t="shared" ca="1" si="0"/>
        <v>QI7[]</v>
      </c>
      <c r="J17" s="15" t="str">
        <f t="shared" ca="1" si="1"/>
        <v>QI7[]</v>
      </c>
      <c r="K17" s="15" t="str" cm="1">
        <f t="array" aca="1" ref="K17" ca="1">SimpleLookup($A17,Questions!$A:$B)</f>
        <v>Is the availability of the product relevant for its operational environment?</v>
      </c>
      <c r="L17" s="15" cm="1">
        <f t="array" aca="1" ref="L17" ca="1">CreateID($L$3,$L:$L,AND($A17&lt;&gt;"",$AC17))</f>
        <v>7</v>
      </c>
      <c r="M17" s="99" cm="1">
        <f t="array" aca="1" ref="M17" ca="1">CreateTaskID($M$3,$M:$M,Tasks!$B$17,$G17)</f>
        <v>0</v>
      </c>
      <c r="N17" s="15" t="str">
        <f t="shared" ca="1" si="2"/>
        <v>QI7 Is the availability of the product relevant for its operational environment?</v>
      </c>
      <c r="O17" s="15" cm="1">
        <f t="array" aca="1" ref="O17" ca="1">CreateID($O$3,$O:$O,$N17&lt;&gt;"")</f>
        <v>7</v>
      </c>
      <c r="P17" s="99" t="str">
        <f t="shared" ca="1" si="3"/>
        <v/>
      </c>
      <c r="Q17" s="99" cm="1">
        <f t="array" aca="1" ref="Q17" ca="1">CreateID($Q$3,$Q:$Q,$P17&lt;&gt;"")</f>
        <v>0</v>
      </c>
      <c r="R17" s="99" t="str">
        <f t="shared" ca="1" si="4"/>
        <v/>
      </c>
      <c r="S17" s="99" cm="1">
        <f t="array" aca="1" ref="S17" ca="1">CreateID($S$3,$S:$S,$R17&lt;&gt;"")</f>
        <v>0</v>
      </c>
      <c r="T17" s="99" t="str">
        <f t="shared" ca="1" si="5"/>
        <v/>
      </c>
      <c r="U17" s="99" cm="1">
        <f t="array" aca="1" ref="U17" ca="1">CreateID($U$3,$U:$U,$T17&lt;&gt;"")</f>
        <v>0</v>
      </c>
      <c r="V17" s="99" cm="1">
        <f t="array" aca="1" ref="V17" ca="1">CreateID($V$3,$V:$V,IFERROR(FIND(Definitions!$AR$4,$G17)&gt;0,FALSE))</f>
        <v>0</v>
      </c>
      <c r="W17" s="99">
        <f>_xlfn.LET(
_xlpm._comment,$G17,
_xlpm._keyWord,Definitions!$AR$4,
_xlpm._diffLen,LEN(_xlpm._comment)-LEN(SUBSTITUTE(_xlpm._comment,_xlpm._keyWord,"")),
_xlpm._diffLen/LEN(_xlpm._keyWord))</f>
        <v>0</v>
      </c>
      <c r="X17" s="99" cm="1">
        <f t="array" aca="1" ref="X17" ca="1">CreateID($X$3,$X:$X,IFERROR(FIND(Definitions!$AR$5,$G17)&gt;0,FALSE))</f>
        <v>0</v>
      </c>
      <c r="Y17" s="99">
        <f>_xlfn.LET(
_xlpm._comment,$G17,
_xlpm._keyWord,Definitions!$AR$5,
_xlpm._diffLen,LEN(_xlpm._comment)-LEN(SUBSTITUTE(_xlpm._comment,_xlpm._keyWord,"")),
_xlpm._diffLen/LEN(_xlpm._keyWord))</f>
        <v>0</v>
      </c>
      <c r="Z17" s="99" t="b">
        <f ca="1">OR(IFERROR(_xlfn.XMATCH("*,"&amp;$A17&amp;",*",Assumptions!$AL:$AL,2)&gt;0,FALSE),
IFERROR(_xlfn.XMATCH("*,"&amp;$A17&amp;",*",Countermeasures!$AO:$AO,2)&gt;0,FALSE))</f>
        <v>0</v>
      </c>
      <c r="AA17" s="99" t="str" cm="1">
        <f t="array" aca="1" ref="AA17" ca="1">CreateSearchString($I17)</f>
        <v>,QI7[],</v>
      </c>
      <c r="AB17" s="99" t="str">
        <f>IF($E17="","",IFERROR(VLOOKUP($E17,Definitions!$H:$J,COLUMNS(Definitions!$H:$J),FALSE),""))</f>
        <v/>
      </c>
      <c r="AC17" s="99" t="b" cm="1">
        <f t="array" aca="1" ref="AC17" ca="1">IF($A17="",FALSE,SimpleLookup($A17,Questions!$A:$D)="x")</f>
        <v>1</v>
      </c>
      <c r="AD17" s="99" t="str" cm="1">
        <f t="array" aca="1" ref="AD17" ca="1">IF(OR($A17="",NOT($AC17)),"",SimpleLookup($A17,Questions!$A:$E))</f>
        <v>'[2025-07-30_QuBA_libre.xlsx]Definitions'!$A$4</v>
      </c>
      <c r="AE17" s="99" cm="1">
        <f t="array" aca="1" ref="AE17" ca="1">IF(OR($A17="",NOT($AC17)),"",SimpleLookup($A17,Questions!$A:$F))</f>
        <v>2</v>
      </c>
      <c r="AF17" s="99" t="str" cm="1">
        <f t="array" aca="1" ref="AF17" ca="1">_xlfn.LET(
_xlpm._answer,$C17,
_xlpm._infoTextFull,IF($AC17,CHAR(10)&amp;SimpleLookup($A17,Questions!$A:$H)&amp;CHAR(10),""),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7" s="99" t="b" cm="1">
        <f t="array" aca="1" ref="AG17" ca="1">IF(OR($A17="",NOT($AC17)),FALSE,_xlfn.LET(
_xlpm._secondAnswerRequiredOn,SimpleLookup($A17,Questions!$A:$I),
_xlpm._firstAnwer,$C17,
IFERROR(FIND(CHAR(10)&amp;_xlpm._firstAnwer&amp;":",CHAR(10)&amp;_xlpm._secondAnswerRequiredOn)&gt;0,FALSE)))</f>
        <v>0</v>
      </c>
      <c r="AH17" s="99" t="str" cm="1">
        <f t="array" aca="1" ref="AH17" ca="1">IF(OR($A17="",NOT($AC17)),"",_xlfn.LET(
_xlpm._id,$A17,
_xlpm._firstAnswer,$C17,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'[2025-07-30_QuBA_libre.xlsx]Definitions'!$H$18</v>
      </c>
      <c r="AI17" s="99" cm="1">
        <f t="array" aca="1" ref="AI17" ca="1">IF(OR($A17="",NOT($AC17)),"",_xlfn.LET(
_xlpm._id,$A17,
_xlpm._firstAnswer,$C17,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6</v>
      </c>
      <c r="AJ17" s="99" t="str" cm="1">
        <f t="array" aca="1" ref="AJ17" ca="1">IF($AG17,_xlfn.LET(
_xlpm._answer,$E17,
_xlpm._infoTextFull,IF($AC17,CHAR(10)&amp;SimpleLookup($A17,Questions!$A:$L)&amp;CHAR(10),""),
_xlpm._startSelectedByAnswerOne,IF(_xlpm._infoTextFull="",0,FIND("___"&amp;$C17&amp;"___",_xlpm._infoTextFull)+LEN("___"&amp;$C17&amp;"___")),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7" s="99" t="b" cm="1">
        <f t="array" aca="1" ref="AK17" ca="1">IF(OR($A17="",NOT($AC17)),FALSE,SimpleLookup($A17,Questions!$A:$Q))</f>
        <v>0</v>
      </c>
      <c r="AL17" s="99" t="str" cm="1">
        <f t="array" aca="1" ref="AL17" ca="1">IF(AND($A17=Questions!$A$41,IFERROR(SimpleLookup(Questions!$A$36,$A:$E)=Definitions!$O$5,FALSE),$C17=Definitions!$A$5),
Questions!$A$36&amp;" "&amp;Questions!$B$36&amp;CHAR(10)&amp;CHAR(187)&amp;" "&amp;SimpleLookup(Questions!$A$36,$A:$C)&amp;CHAR(10)&amp;SimpleLookup(Questions!$A$36,$A:$D)&amp;CHAR(10)&amp;CHAR(187)&amp;" "&amp;Definitions!$O$5&amp;CHAR(10)&amp;CHAR(10)&amp;
"is incosistent with"&amp;CHAR(10)&amp;CHAR(10)&amp;
$A17&amp;" "&amp;SimpleLookup($A17,Questions!$A:$B)&amp;CHAR(10)&amp;CHAR(187)&amp;" "&amp;$C17,
"")</f>
        <v/>
      </c>
      <c r="AM17" s="99" cm="1">
        <f t="array" aca="1" ref="AM17" ca="1">CreateID($AM$3,$AM:$AM,$AL17&lt;&gt;"")</f>
        <v>0</v>
      </c>
      <c r="AN17" s="99" t="str" cm="1">
        <f t="array" aca="1" ref="AN17" ca="1">IF(OR($C17="",OFFSET($C17,1,0)=""),"",
IF(AND($A17=Questions!$A$59,OFFSET($A17,1,0)=Questions!$A$60,SimpleLookup(Questions!$A$49,$A:$C)=Definitions!$A$4),
IF(MATCH($C17,Definitions!$AW:$AW,0)&gt;MATCH(OFFSET($C17,1,0),Definitions!AW:AW,0),$A17&amp;" "&amp;$K17&amp;": "&amp;$C17&amp;CHAR(10)&amp;"&lt;---&gt;"&amp;CHAR(10)&amp;OFFSET($A17,1,0)&amp;" "&amp;OFFSET($K17,1,0)&amp;": "&amp;OFFSET($C17,1,0),""),
""))</f>
        <v/>
      </c>
      <c r="AO17" s="99" cm="1">
        <f t="array" aca="1" ref="AO17" ca="1">CreateID($AO$3,$AO:$AO,$AN17&lt;&gt;"")</f>
        <v>0</v>
      </c>
    </row>
    <row r="18" spans="1:41" x14ac:dyDescent="0.25">
      <c r="A18" s="96" t="s">
        <v>1184</v>
      </c>
      <c r="B18" s="4" t="str" cm="1">
        <f t="array" aca="1" ref="B18" ca="1">IF($A18="","",CreateIndentedString($K18,Definitions!$T$4,SimpleLookup($A18,Questions!$A:$C)))</f>
        <v xml:space="preserve">   Financial  and  legal</v>
      </c>
      <c r="I18" s="15" t="str">
        <f t="shared" ca="1" si="0"/>
        <v/>
      </c>
      <c r="J18" s="15" t="str">
        <f t="shared" ca="1" si="1"/>
        <v/>
      </c>
      <c r="K18" s="15" t="str" cm="1">
        <f t="array" aca="1" ref="K18" ca="1">SimpleLookup($A18,Questions!$A:$B)</f>
        <v>Financial and legal</v>
      </c>
      <c r="L18" s="15" cm="1">
        <f t="array" aca="1" ref="L18" ca="1">CreateID($L$3,$L:$L,AND($A18&lt;&gt;"",$AC18))</f>
        <v>7</v>
      </c>
      <c r="M18" s="99" cm="1">
        <f t="array" aca="1" ref="M18" ca="1">CreateTaskID($M$3,$M:$M,Tasks!$B$17,$G18)</f>
        <v>0</v>
      </c>
      <c r="N18" s="15" t="str">
        <f t="shared" ca="1" si="2"/>
        <v/>
      </c>
      <c r="O18" s="15" cm="1">
        <f t="array" aca="1" ref="O18" ca="1">CreateID($O$3,$O:$O,$N18&lt;&gt;"")</f>
        <v>7</v>
      </c>
      <c r="P18" s="99" t="str">
        <f t="shared" si="3"/>
        <v/>
      </c>
      <c r="Q18" s="99" cm="1">
        <f t="array" aca="1" ref="Q18" ca="1">CreateID($Q$3,$Q:$Q,$P18&lt;&gt;"")</f>
        <v>0</v>
      </c>
      <c r="R18" s="99" t="str">
        <f t="shared" si="4"/>
        <v/>
      </c>
      <c r="S18" s="99" cm="1">
        <f t="array" aca="1" ref="S18" ca="1">CreateID($S$3,$S:$S,$R18&lt;&gt;"")</f>
        <v>0</v>
      </c>
      <c r="T18" s="99" t="str">
        <f t="shared" ca="1" si="5"/>
        <v/>
      </c>
      <c r="U18" s="99" cm="1">
        <f t="array" aca="1" ref="U18" ca="1">CreateID($U$3,$U:$U,$T18&lt;&gt;"")</f>
        <v>0</v>
      </c>
      <c r="V18" s="99" cm="1">
        <f t="array" aca="1" ref="V18" ca="1">CreateID($V$3,$V:$V,IFERROR(FIND(Definitions!$AR$4,$G18)&gt;0,FALSE))</f>
        <v>0</v>
      </c>
      <c r="W18" s="99">
        <f>_xlfn.LET(
_xlpm._comment,$G18,
_xlpm._keyWord,Definitions!$AR$4,
_xlpm._diffLen,LEN(_xlpm._comment)-LEN(SUBSTITUTE(_xlpm._comment,_xlpm._keyWord,"")),
_xlpm._diffLen/LEN(_xlpm._keyWord))</f>
        <v>0</v>
      </c>
      <c r="X18" s="99" cm="1">
        <f t="array" aca="1" ref="X18" ca="1">CreateID($X$3,$X:$X,IFERROR(FIND(Definitions!$AR$5,$G18)&gt;0,FALSE))</f>
        <v>0</v>
      </c>
      <c r="Y18" s="99">
        <f>_xlfn.LET(
_xlpm._comment,$G18,
_xlpm._keyWord,Definitions!$AR$5,
_xlpm._diffLen,LEN(_xlpm._comment)-LEN(SUBSTITUTE(_xlpm._comment,_xlpm._keyWord,"")),
_xlpm._diffLen/LEN(_xlpm._keyWord))</f>
        <v>0</v>
      </c>
      <c r="Z18" s="99" t="b">
        <f ca="1">OR(IFERROR(_xlfn.XMATCH("*,"&amp;$A18&amp;",*",Assumptions!$AL:$AL,2)&gt;0,FALSE),
IFERROR(_xlfn.XMATCH("*,"&amp;$A18&amp;",*",Countermeasures!$AO:$AO,2)&gt;0,FALSE))</f>
        <v>0</v>
      </c>
      <c r="AA18" s="99" t="str" cm="1">
        <f t="array" aca="1" ref="AA18" ca="1">CreateSearchString($I18)</f>
        <v/>
      </c>
      <c r="AB18" s="99" t="str">
        <f>IF($E18="","",IFERROR(VLOOKUP($E18,Definitions!$H:$J,COLUMNS(Definitions!$H:$J),FALSE),""))</f>
        <v/>
      </c>
      <c r="AC18" s="99" t="b" cm="1">
        <f t="array" aca="1" ref="AC18" ca="1">IF($A18="",FALSE,SimpleLookup($A18,Questions!$A:$D)="x")</f>
        <v>0</v>
      </c>
      <c r="AD18" s="99" t="str" cm="1">
        <f t="array" aca="1" ref="AD18" ca="1">IF(OR($A18="",NOT($AC18)),"",SimpleLookup($A18,Questions!$A:$E))</f>
        <v/>
      </c>
      <c r="AE18" s="99" t="str" cm="1">
        <f t="array" aca="1" ref="AE18" ca="1">IF(OR($A18="",NOT($AC18)),"",SimpleLookup($A18,Questions!$A:$F))</f>
        <v/>
      </c>
      <c r="AF18" s="99" t="str" cm="1">
        <f t="array" aca="1" ref="AF18" ca="1">_xlfn.LET(
_xlpm._answer,$C18,
_xlpm._infoTextFull,IF($AC18,CHAR(10)&amp;SimpleLookup($A18,Questions!$A:$H)&amp;CHAR(10),""),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8" s="99" t="b" cm="1">
        <f t="array" aca="1" ref="AG18" ca="1">IF(OR($A18="",NOT($AC18)),FALSE,_xlfn.LET(
_xlpm._secondAnswerRequiredOn,SimpleLookup($A18,Questions!$A:$I),
_xlpm._firstAnwer,$C18,
IFERROR(FIND(CHAR(10)&amp;_xlpm._firstAnwer&amp;":",CHAR(10)&amp;_xlpm._secondAnswerRequiredOn)&gt;0,FALSE)))</f>
        <v>0</v>
      </c>
      <c r="AH18" s="99" t="str" cm="1">
        <f t="array" aca="1" ref="AH18" ca="1">IF(OR($A18="",NOT($AC18)),"",_xlfn.LET(
_xlpm._id,$A18,
_xlpm._firstAnswer,$C18,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18" s="99" t="str" cm="1">
        <f t="array" aca="1" ref="AI18" ca="1">IF(OR($A18="",NOT($AC18)),"",_xlfn.LET(
_xlpm._id,$A18,
_xlpm._firstAnswer,$C18,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18" s="99" t="str" cm="1">
        <f t="array" aca="1" ref="AJ18" ca="1">IF($AG18,_xlfn.LET(
_xlpm._answer,$E18,
_xlpm._infoTextFull,IF($AC18,CHAR(10)&amp;SimpleLookup($A18,Questions!$A:$L)&amp;CHAR(10),""),
_xlpm._startSelectedByAnswerOne,IF(_xlpm._infoTextFull="",0,FIND("___"&amp;$C18&amp;"___",_xlpm._infoTextFull)+LEN("___"&amp;$C18&amp;"___")),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8" s="99" t="b" cm="1">
        <f t="array" aca="1" ref="AK18" ca="1">IF(OR($A18="",NOT($AC18)),FALSE,SimpleLookup($A18,Questions!$A:$Q))</f>
        <v>0</v>
      </c>
      <c r="AL18" s="99" t="str" cm="1">
        <f t="array" aca="1" ref="AL18" ca="1">IF(AND($A18=Questions!$A$41,IFERROR(SimpleLookup(Questions!$A$36,$A:$E)=Definitions!$O$5,FALSE),$C18=Definitions!$A$5),
Questions!$A$36&amp;" "&amp;Questions!$B$36&amp;CHAR(10)&amp;CHAR(187)&amp;" "&amp;SimpleLookup(Questions!$A$36,$A:$C)&amp;CHAR(10)&amp;SimpleLookup(Questions!$A$36,$A:$D)&amp;CHAR(10)&amp;CHAR(187)&amp;" "&amp;Definitions!$O$5&amp;CHAR(10)&amp;CHAR(10)&amp;
"is incosistent with"&amp;CHAR(10)&amp;CHAR(10)&amp;
$A18&amp;" "&amp;SimpleLookup($A18,Questions!$A:$B)&amp;CHAR(10)&amp;CHAR(187)&amp;" "&amp;$C18,
"")</f>
        <v/>
      </c>
      <c r="AM18" s="99" cm="1">
        <f t="array" aca="1" ref="AM18" ca="1">CreateID($AM$3,$AM:$AM,$AL18&lt;&gt;"")</f>
        <v>0</v>
      </c>
      <c r="AN18" s="99" t="str" cm="1">
        <f t="array" aca="1" ref="AN18" ca="1">IF(OR($C18="",OFFSET($C18,1,0)=""),"",
IF(AND($A18=Questions!$A$59,OFFSET($A18,1,0)=Questions!$A$60,SimpleLookup(Questions!$A$49,$A:$C)=Definitions!$A$4),
IF(MATCH($C18,Definitions!$AW:$AW,0)&gt;MATCH(OFFSET($C18,1,0),Definitions!AW:AW,0),$A18&amp;" "&amp;$K18&amp;": "&amp;$C18&amp;CHAR(10)&amp;"&lt;---&gt;"&amp;CHAR(10)&amp;OFFSET($A18,1,0)&amp;" "&amp;OFFSET($K18,1,0)&amp;": "&amp;OFFSET($C18,1,0),""),
""))</f>
        <v/>
      </c>
      <c r="AO18" s="99" cm="1">
        <f t="array" aca="1" ref="AO18" ca="1">CreateID($AO$3,$AO:$AO,$AN18&lt;&gt;"")</f>
        <v>0</v>
      </c>
    </row>
    <row r="19" spans="1:41" ht="90" x14ac:dyDescent="0.25">
      <c r="A19" s="96" t="s">
        <v>1086</v>
      </c>
      <c r="B19" s="4" t="str" cm="1">
        <f t="array" aca="1" ref="B19" ca="1">IF($A19="","",CreateIndentedString($K19,Definitions!$T$4,SimpleLookup($A19,Questions!$A:$C)))</f>
        <v xml:space="preserve">      Can  a  loss  of  availability  allow  an  attacker
      access  to  assets  of  the  customer  (including
      physical  access  not  detected  by  the  &lt;OEM  name&gt;
      product)?  Example:  The  product  is  used  for
      access  control.</v>
      </c>
      <c r="D19" s="8" t="str">
        <f ca="1">$AF19</f>
        <v/>
      </c>
      <c r="F19" s="8" t="str">
        <f ca="1">$AJ19</f>
        <v/>
      </c>
      <c r="I19" s="15" t="str">
        <f t="shared" ca="1" si="0"/>
        <v>QI8[]</v>
      </c>
      <c r="J19" s="15" t="str">
        <f t="shared" ca="1" si="1"/>
        <v>QI8[]</v>
      </c>
      <c r="K19" s="15" t="str" cm="1">
        <f t="array" aca="1" ref="K19" ca="1">SimpleLookup($A19,Questions!$A:$B)</f>
        <v>Can a loss of availability allow an attacker access to assets of the customer (including physical access not detected by the &lt;OEM name&gt; product)? Example: The product is used for access control.</v>
      </c>
      <c r="L19" s="15" cm="1">
        <f t="array" aca="1" ref="L19" ca="1">CreateID($L$3,$L:$L,AND($A19&lt;&gt;"",$AC19))</f>
        <v>8</v>
      </c>
      <c r="M19" s="99" cm="1">
        <f t="array" aca="1" ref="M19" ca="1">CreateTaskID($M$3,$M:$M,Tasks!$B$17,$G19)</f>
        <v>0</v>
      </c>
      <c r="N19" s="15" t="str">
        <f t="shared" ca="1" si="2"/>
        <v>QI8 Can a loss of availability allow an attacker access to assets of the customer (including physical access not detected by the &lt;OEM name&gt; product)? Example: The product is used for access control.</v>
      </c>
      <c r="O19" s="15" cm="1">
        <f t="array" aca="1" ref="O19" ca="1">CreateID($O$3,$O:$O,$N19&lt;&gt;"")</f>
        <v>8</v>
      </c>
      <c r="P19" s="99" t="str">
        <f t="shared" ca="1" si="3"/>
        <v/>
      </c>
      <c r="Q19" s="99" cm="1">
        <f t="array" aca="1" ref="Q19" ca="1">CreateID($Q$3,$Q:$Q,$P19&lt;&gt;"")</f>
        <v>0</v>
      </c>
      <c r="R19" s="99" t="str">
        <f t="shared" ca="1" si="4"/>
        <v/>
      </c>
      <c r="S19" s="99" cm="1">
        <f t="array" aca="1" ref="S19" ca="1">CreateID($S$3,$S:$S,$R19&lt;&gt;"")</f>
        <v>0</v>
      </c>
      <c r="T19" s="99" t="str">
        <f t="shared" ca="1" si="5"/>
        <v/>
      </c>
      <c r="U19" s="99" cm="1">
        <f t="array" aca="1" ref="U19" ca="1">CreateID($U$3,$U:$U,$T19&lt;&gt;"")</f>
        <v>0</v>
      </c>
      <c r="V19" s="99" cm="1">
        <f t="array" aca="1" ref="V19" ca="1">CreateID($V$3,$V:$V,IFERROR(FIND(Definitions!$AR$4,$G19)&gt;0,FALSE))</f>
        <v>0</v>
      </c>
      <c r="W19" s="99">
        <f>_xlfn.LET(
_xlpm._comment,$G19,
_xlpm._keyWord,Definitions!$AR$4,
_xlpm._diffLen,LEN(_xlpm._comment)-LEN(SUBSTITUTE(_xlpm._comment,_xlpm._keyWord,"")),
_xlpm._diffLen/LEN(_xlpm._keyWord))</f>
        <v>0</v>
      </c>
      <c r="X19" s="99" cm="1">
        <f t="array" aca="1" ref="X19" ca="1">CreateID($X$3,$X:$X,IFERROR(FIND(Definitions!$AR$5,$G19)&gt;0,FALSE))</f>
        <v>0</v>
      </c>
      <c r="Y19" s="99">
        <f>_xlfn.LET(
_xlpm._comment,$G19,
_xlpm._keyWord,Definitions!$AR$5,
_xlpm._diffLen,LEN(_xlpm._comment)-LEN(SUBSTITUTE(_xlpm._comment,_xlpm._keyWord,"")),
_xlpm._diffLen/LEN(_xlpm._keyWord))</f>
        <v>0</v>
      </c>
      <c r="Z19" s="99" t="b">
        <f ca="1">OR(IFERROR(_xlfn.XMATCH("*,"&amp;$A19&amp;",*",Assumptions!$AL:$AL,2)&gt;0,FALSE),
IFERROR(_xlfn.XMATCH("*,"&amp;$A19&amp;",*",Countermeasures!$AO:$AO,2)&gt;0,FALSE))</f>
        <v>0</v>
      </c>
      <c r="AA19" s="99" t="str" cm="1">
        <f t="array" aca="1" ref="AA19" ca="1">CreateSearchString($I19)</f>
        <v>,QI8[],</v>
      </c>
      <c r="AB19" s="99" t="str">
        <f>IF($E19="","",IFERROR(VLOOKUP($E19,Definitions!$H:$J,COLUMNS(Definitions!$H:$J),FALSE),""))</f>
        <v/>
      </c>
      <c r="AC19" s="99" t="b" cm="1">
        <f t="array" aca="1" ref="AC19" ca="1">IF($A19="",FALSE,SimpleLookup($A19,Questions!$A:$D)="x")</f>
        <v>1</v>
      </c>
      <c r="AD19" s="99" t="str" cm="1">
        <f t="array" aca="1" ref="AD19" ca="1">IF(OR($A19="",NOT($AC19)),"",SimpleLookup($A19,Questions!$A:$E))</f>
        <v>'[2025-07-30_QuBA_libre.xlsx]Definitions'!$A$4</v>
      </c>
      <c r="AE19" s="99" cm="1">
        <f t="array" aca="1" ref="AE19" ca="1">IF(OR($A19="",NOT($AC19)),"",SimpleLookup($A19,Questions!$A:$F))</f>
        <v>2</v>
      </c>
      <c r="AF19" s="99" t="str" cm="1">
        <f t="array" aca="1" ref="AF19" ca="1">_xlfn.LET(
_xlpm._answer,$C19,
_xlpm._infoTextFull,IF($AC19,CHAR(10)&amp;SimpleLookup($A19,Questions!$A:$H)&amp;CHAR(10),""),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9" s="99" t="b" cm="1">
        <f t="array" aca="1" ref="AG19" ca="1">IF(OR($A19="",NOT($AC19)),FALSE,_xlfn.LET(
_xlpm._secondAnswerRequiredOn,SimpleLookup($A19,Questions!$A:$I),
_xlpm._firstAnwer,$C19,
IFERROR(FIND(CHAR(10)&amp;_xlpm._firstAnwer&amp;":",CHAR(10)&amp;_xlpm._secondAnswerRequiredOn)&gt;0,FALSE)))</f>
        <v>0</v>
      </c>
      <c r="AH19" s="99" t="str" cm="1">
        <f t="array" aca="1" ref="AH19" ca="1">IF(OR($A19="",NOT($AC19)),"",_xlfn.LET(
_xlpm._id,$A19,
_xlpm._firstAnswer,$C19,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'[2025-07-30_QuBA_libre.xlsx]Definitions'!$H$10</v>
      </c>
      <c r="AI19" s="99" cm="1">
        <f t="array" aca="1" ref="AI19" ca="1">IF(OR($A19="",NOT($AC19)),"",_xlfn.LET(
_xlpm._id,$A19,
_xlpm._firstAnswer,$C19,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J19" s="99" t="str" cm="1">
        <f t="array" aca="1" ref="AJ19" ca="1">IF($AG19,_xlfn.LET(
_xlpm._answer,$E19,
_xlpm._infoTextFull,IF($AC19,CHAR(10)&amp;SimpleLookup($A19,Questions!$A:$L)&amp;CHAR(10),""),
_xlpm._startSelectedByAnswerOne,IF(_xlpm._infoTextFull="",0,FIND("___"&amp;$C19&amp;"___",_xlpm._infoTextFull)+LEN("___"&amp;$C19&amp;"___")),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9" s="99" t="b" cm="1">
        <f t="array" aca="1" ref="AK19" ca="1">IF(OR($A19="",NOT($AC19)),FALSE,SimpleLookup($A19,Questions!$A:$Q))</f>
        <v>0</v>
      </c>
      <c r="AL19" s="99" t="str" cm="1">
        <f t="array" aca="1" ref="AL19" ca="1">IF(AND($A19=Questions!$A$41,IFERROR(SimpleLookup(Questions!$A$36,$A:$E)=Definitions!$O$5,FALSE),$C19=Definitions!$A$5),
Questions!$A$36&amp;" "&amp;Questions!$B$36&amp;CHAR(10)&amp;CHAR(187)&amp;" "&amp;SimpleLookup(Questions!$A$36,$A:$C)&amp;CHAR(10)&amp;SimpleLookup(Questions!$A$36,$A:$D)&amp;CHAR(10)&amp;CHAR(187)&amp;" "&amp;Definitions!$O$5&amp;CHAR(10)&amp;CHAR(10)&amp;
"is incosistent with"&amp;CHAR(10)&amp;CHAR(10)&amp;
$A19&amp;" "&amp;SimpleLookup($A19,Questions!$A:$B)&amp;CHAR(10)&amp;CHAR(187)&amp;" "&amp;$C19,
"")</f>
        <v/>
      </c>
      <c r="AM19" s="99" cm="1">
        <f t="array" aca="1" ref="AM19" ca="1">CreateID($AM$3,$AM:$AM,$AL19&lt;&gt;"")</f>
        <v>0</v>
      </c>
      <c r="AN19" s="99" t="str" cm="1">
        <f t="array" aca="1" ref="AN19" ca="1">IF(OR($C19="",OFFSET($C19,1,0)=""),"",
IF(AND($A19=Questions!$A$59,OFFSET($A19,1,0)=Questions!$A$60,SimpleLookup(Questions!$A$49,$A:$C)=Definitions!$A$4),
IF(MATCH($C19,Definitions!$AW:$AW,0)&gt;MATCH(OFFSET($C19,1,0),Definitions!AW:AW,0),$A19&amp;" "&amp;$K19&amp;": "&amp;$C19&amp;CHAR(10)&amp;"&lt;---&gt;"&amp;CHAR(10)&amp;OFFSET($A19,1,0)&amp;" "&amp;OFFSET($K19,1,0)&amp;": "&amp;OFFSET($C19,1,0),""),
""))</f>
        <v/>
      </c>
      <c r="AO19" s="99" cm="1">
        <f t="array" aca="1" ref="AO19" ca="1">CreateID($AO$3,$AO:$AO,$AN19&lt;&gt;"")</f>
        <v>0</v>
      </c>
    </row>
    <row r="20" spans="1:41" ht="45" x14ac:dyDescent="0.25">
      <c r="A20" s="96" t="s">
        <v>1084</v>
      </c>
      <c r="B20" s="4" t="str" cm="1">
        <f t="array" aca="1" ref="B20" ca="1">IF($A20="","",CreateIndentedString($K20,Definitions!$T$4,SimpleLookup($A20,Questions!$A:$C)))</f>
        <v xml:space="preserve">      Can  a  loss  of  availability  cause
      contract-related  fines  (e.g.,  based  on  a  service
      level  agreement)?</v>
      </c>
      <c r="D20" s="8" t="str">
        <f ca="1">$AF20</f>
        <v/>
      </c>
      <c r="F20" s="8" t="str">
        <f ca="1">$AJ20</f>
        <v/>
      </c>
      <c r="I20" s="15" t="str">
        <f t="shared" ca="1" si="0"/>
        <v>QI9[]</v>
      </c>
      <c r="J20" s="15" t="str">
        <f t="shared" ca="1" si="1"/>
        <v>QI9[]</v>
      </c>
      <c r="K20" s="15" t="str" cm="1">
        <f t="array" aca="1" ref="K20" ca="1">SimpleLookup($A20,Questions!$A:$B)</f>
        <v>Can a loss of availability cause contract-related fines (e.g., based on a service level agreement)?</v>
      </c>
      <c r="L20" s="15" cm="1">
        <f t="array" aca="1" ref="L20" ca="1">CreateID($L$3,$L:$L,AND($A20&lt;&gt;"",$AC20))</f>
        <v>9</v>
      </c>
      <c r="M20" s="99" cm="1">
        <f t="array" aca="1" ref="M20" ca="1">CreateTaskID($M$3,$M:$M,Tasks!$B$17,$G20)</f>
        <v>0</v>
      </c>
      <c r="N20" s="15" t="str">
        <f t="shared" ca="1" si="2"/>
        <v>QI9 Can a loss of availability cause contract-related fines (e.g., based on a service level agreement)?</v>
      </c>
      <c r="O20" s="15" cm="1">
        <f t="array" aca="1" ref="O20" ca="1">CreateID($O$3,$O:$O,$N20&lt;&gt;"")</f>
        <v>9</v>
      </c>
      <c r="P20" s="99" t="str">
        <f t="shared" ca="1" si="3"/>
        <v/>
      </c>
      <c r="Q20" s="99" cm="1">
        <f t="array" aca="1" ref="Q20" ca="1">CreateID($Q$3,$Q:$Q,$P20&lt;&gt;"")</f>
        <v>0</v>
      </c>
      <c r="R20" s="99" t="str">
        <f t="shared" ca="1" si="4"/>
        <v/>
      </c>
      <c r="S20" s="99" cm="1">
        <f t="array" aca="1" ref="S20" ca="1">CreateID($S$3,$S:$S,$R20&lt;&gt;"")</f>
        <v>0</v>
      </c>
      <c r="T20" s="99" t="str">
        <f t="shared" ca="1" si="5"/>
        <v/>
      </c>
      <c r="U20" s="99" cm="1">
        <f t="array" aca="1" ref="U20" ca="1">CreateID($U$3,$U:$U,$T20&lt;&gt;"")</f>
        <v>0</v>
      </c>
      <c r="V20" s="99" cm="1">
        <f t="array" aca="1" ref="V20" ca="1">CreateID($V$3,$V:$V,IFERROR(FIND(Definitions!$AR$4,$G20)&gt;0,FALSE))</f>
        <v>0</v>
      </c>
      <c r="W20" s="99">
        <f>_xlfn.LET(
_xlpm._comment,$G20,
_xlpm._keyWord,Definitions!$AR$4,
_xlpm._diffLen,LEN(_xlpm._comment)-LEN(SUBSTITUTE(_xlpm._comment,_xlpm._keyWord,"")),
_xlpm._diffLen/LEN(_xlpm._keyWord))</f>
        <v>0</v>
      </c>
      <c r="X20" s="99" cm="1">
        <f t="array" aca="1" ref="X20" ca="1">CreateID($X$3,$X:$X,IFERROR(FIND(Definitions!$AR$5,$G20)&gt;0,FALSE))</f>
        <v>0</v>
      </c>
      <c r="Y20" s="99">
        <f>_xlfn.LET(
_xlpm._comment,$G20,
_xlpm._keyWord,Definitions!$AR$5,
_xlpm._diffLen,LEN(_xlpm._comment)-LEN(SUBSTITUTE(_xlpm._comment,_xlpm._keyWord,"")),
_xlpm._diffLen/LEN(_xlpm._keyWord))</f>
        <v>0</v>
      </c>
      <c r="Z20" s="99" t="b">
        <f ca="1">OR(IFERROR(_xlfn.XMATCH("*,"&amp;$A20&amp;",*",Assumptions!$AL:$AL,2)&gt;0,FALSE),
IFERROR(_xlfn.XMATCH("*,"&amp;$A20&amp;",*",Countermeasures!$AO:$AO,2)&gt;0,FALSE))</f>
        <v>0</v>
      </c>
      <c r="AA20" s="99" t="str" cm="1">
        <f t="array" aca="1" ref="AA20" ca="1">CreateSearchString($I20)</f>
        <v>,QI9[],</v>
      </c>
      <c r="AB20" s="99" t="str">
        <f>IF($E20="","",IFERROR(VLOOKUP($E20,Definitions!$H:$J,COLUMNS(Definitions!$H:$J),FALSE),""))</f>
        <v/>
      </c>
      <c r="AC20" s="99" t="b" cm="1">
        <f t="array" aca="1" ref="AC20" ca="1">IF($A20="",FALSE,SimpleLookup($A20,Questions!$A:$D)="x")</f>
        <v>1</v>
      </c>
      <c r="AD20" s="99" t="str" cm="1">
        <f t="array" aca="1" ref="AD20" ca="1">IF(OR($A20="",NOT($AC20)),"",SimpleLookup($A20,Questions!$A:$E))</f>
        <v>'[2025-07-30_QuBA_libre.xlsx]Definitions'!$A$4</v>
      </c>
      <c r="AE20" s="99" cm="1">
        <f t="array" aca="1" ref="AE20" ca="1">IF(OR($A20="",NOT($AC20)),"",SimpleLookup($A20,Questions!$A:$F))</f>
        <v>2</v>
      </c>
      <c r="AF20" s="99" t="str" cm="1">
        <f t="array" aca="1" ref="AF20" ca="1">_xlfn.LET(
_xlpm._answer,$C20,
_xlpm._infoTextFull,IF($AC20,CHAR(10)&amp;SimpleLookup($A20,Questions!$A:$H)&amp;CHAR(10),""),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20" s="99" t="b" cm="1">
        <f t="array" aca="1" ref="AG20" ca="1">IF(OR($A20="",NOT($AC20)),FALSE,_xlfn.LET(
_xlpm._secondAnswerRequiredOn,SimpleLookup($A20,Questions!$A:$I),
_xlpm._firstAnwer,$C20,
IFERROR(FIND(CHAR(10)&amp;_xlpm._firstAnwer&amp;":",CHAR(10)&amp;_xlpm._secondAnswerRequiredOn)&gt;0,FALSE)))</f>
        <v>0</v>
      </c>
      <c r="AH20" s="99" t="str" cm="1">
        <f t="array" aca="1" ref="AH20" ca="1">IF(OR($A20="",NOT($AC20)),"",_xlfn.LET(
_xlpm._id,$A20,
_xlpm._firstAnswer,$C20,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'[2025-07-30_QuBA_libre.xlsx]Definitions'!$H$10</v>
      </c>
      <c r="AI20" s="99" cm="1">
        <f t="array" aca="1" ref="AI20" ca="1">IF(OR($A20="",NOT($AC20)),"",_xlfn.LET(
_xlpm._id,$A20,
_xlpm._firstAnswer,$C20,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J20" s="99" t="str" cm="1">
        <f t="array" aca="1" ref="AJ20" ca="1">IF($AG20,_xlfn.LET(
_xlpm._answer,$E20,
_xlpm._infoTextFull,IF($AC20,CHAR(10)&amp;SimpleLookup($A20,Questions!$A:$L)&amp;CHAR(10),""),
_xlpm._startSelectedByAnswerOne,IF(_xlpm._infoTextFull="",0,FIND("___"&amp;$C20&amp;"___",_xlpm._infoTextFull)+LEN("___"&amp;$C20&amp;"___")),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20" s="99" t="b" cm="1">
        <f t="array" aca="1" ref="AK20" ca="1">IF(OR($A20="",NOT($AC20)),FALSE,SimpleLookup($A20,Questions!$A:$Q))</f>
        <v>0</v>
      </c>
      <c r="AL20" s="99" t="str" cm="1">
        <f t="array" aca="1" ref="AL20" ca="1">IF(AND($A20=Questions!$A$41,IFERROR(SimpleLookup(Questions!$A$36,$A:$E)=Definitions!$O$5,FALSE),$C20=Definitions!$A$5),
Questions!$A$36&amp;" "&amp;Questions!$B$36&amp;CHAR(10)&amp;CHAR(187)&amp;" "&amp;SimpleLookup(Questions!$A$36,$A:$C)&amp;CHAR(10)&amp;SimpleLookup(Questions!$A$36,$A:$D)&amp;CHAR(10)&amp;CHAR(187)&amp;" "&amp;Definitions!$O$5&amp;CHAR(10)&amp;CHAR(10)&amp;
"is incosistent with"&amp;CHAR(10)&amp;CHAR(10)&amp;
$A20&amp;" "&amp;SimpleLookup($A20,Questions!$A:$B)&amp;CHAR(10)&amp;CHAR(187)&amp;" "&amp;$C20,
"")</f>
        <v/>
      </c>
      <c r="AM20" s="99" cm="1">
        <f t="array" aca="1" ref="AM20" ca="1">CreateID($AM$3,$AM:$AM,$AL20&lt;&gt;"")</f>
        <v>0</v>
      </c>
      <c r="AN20" s="99" t="str" cm="1">
        <f t="array" aca="1" ref="AN20" ca="1">IF(OR($C20="",OFFSET($C20,1,0)=""),"",
IF(AND($A20=Questions!$A$59,OFFSET($A20,1,0)=Questions!$A$60,SimpleLookup(Questions!$A$49,$A:$C)=Definitions!$A$4),
IF(MATCH($C20,Definitions!$AW:$AW,0)&gt;MATCH(OFFSET($C20,1,0),Definitions!AW:AW,0),$A20&amp;" "&amp;$K20&amp;": "&amp;$C20&amp;CHAR(10)&amp;"&lt;---&gt;"&amp;CHAR(10)&amp;OFFSET($A20,1,0)&amp;" "&amp;OFFSET($K20,1,0)&amp;": "&amp;OFFSET($C20,1,0),""),
""))</f>
        <v/>
      </c>
      <c r="AO20" s="99" cm="1">
        <f t="array" aca="1" ref="AO20" ca="1">CreateID($AO$3,$AO:$AO,$AN20&lt;&gt;"")</f>
        <v>0</v>
      </c>
    </row>
    <row r="21" spans="1:41" x14ac:dyDescent="0.25">
      <c r="A21" s="96" t="s">
        <v>1173</v>
      </c>
      <c r="B21" s="4" t="str" cm="1">
        <f t="array" aca="1" ref="B21" ca="1">IF($A21="","",CreateIndentedString($K21,Definitions!$T$4,SimpleLookup($A21,Questions!$A:$C)))</f>
        <v>Worst  case  impact  for  loss  of  integrity</v>
      </c>
      <c r="I21" s="15" t="str">
        <f t="shared" ca="1" si="0"/>
        <v/>
      </c>
      <c r="J21" s="15" t="str">
        <f t="shared" ca="1" si="1"/>
        <v/>
      </c>
      <c r="K21" s="15" t="str" cm="1">
        <f t="array" aca="1" ref="K21" ca="1">SimpleLookup($A21,Questions!$A:$B)</f>
        <v>Worst case impact for loss of integrity</v>
      </c>
      <c r="L21" s="15" cm="1">
        <f t="array" aca="1" ref="L21" ca="1">CreateID($L$3,$L:$L,AND($A21&lt;&gt;"",$AC21))</f>
        <v>9</v>
      </c>
      <c r="M21" s="99" cm="1">
        <f t="array" aca="1" ref="M21" ca="1">CreateTaskID($M$3,$M:$M,Tasks!$B$17,$G21)</f>
        <v>0</v>
      </c>
      <c r="N21" s="15" t="str">
        <f t="shared" ca="1" si="2"/>
        <v/>
      </c>
      <c r="O21" s="15" cm="1">
        <f t="array" aca="1" ref="O21" ca="1">CreateID($O$3,$O:$O,$N21&lt;&gt;"")</f>
        <v>9</v>
      </c>
      <c r="P21" s="99" t="str">
        <f t="shared" si="3"/>
        <v/>
      </c>
      <c r="Q21" s="99" cm="1">
        <f t="array" aca="1" ref="Q21" ca="1">CreateID($Q$3,$Q:$Q,$P21&lt;&gt;"")</f>
        <v>0</v>
      </c>
      <c r="R21" s="99" t="str">
        <f t="shared" si="4"/>
        <v/>
      </c>
      <c r="S21" s="99" cm="1">
        <f t="array" aca="1" ref="S21" ca="1">CreateID($S$3,$S:$S,$R21&lt;&gt;"")</f>
        <v>0</v>
      </c>
      <c r="T21" s="99" t="str">
        <f t="shared" ca="1" si="5"/>
        <v/>
      </c>
      <c r="U21" s="99" cm="1">
        <f t="array" aca="1" ref="U21" ca="1">CreateID($U$3,$U:$U,$T21&lt;&gt;"")</f>
        <v>0</v>
      </c>
      <c r="V21" s="99" cm="1">
        <f t="array" aca="1" ref="V21" ca="1">CreateID($V$3,$V:$V,IFERROR(FIND(Definitions!$AR$4,$G21)&gt;0,FALSE))</f>
        <v>0</v>
      </c>
      <c r="W21" s="99">
        <f>_xlfn.LET(
_xlpm._comment,$G21,
_xlpm._keyWord,Definitions!$AR$4,
_xlpm._diffLen,LEN(_xlpm._comment)-LEN(SUBSTITUTE(_xlpm._comment,_xlpm._keyWord,"")),
_xlpm._diffLen/LEN(_xlpm._keyWord))</f>
        <v>0</v>
      </c>
      <c r="X21" s="99" cm="1">
        <f t="array" aca="1" ref="X21" ca="1">CreateID($X$3,$X:$X,IFERROR(FIND(Definitions!$AR$5,$G21)&gt;0,FALSE))</f>
        <v>0</v>
      </c>
      <c r="Y21" s="99">
        <f>_xlfn.LET(
_xlpm._comment,$G21,
_xlpm._keyWord,Definitions!$AR$5,
_xlpm._diffLen,LEN(_xlpm._comment)-LEN(SUBSTITUTE(_xlpm._comment,_xlpm._keyWord,"")),
_xlpm._diffLen/LEN(_xlpm._keyWord))</f>
        <v>0</v>
      </c>
      <c r="Z21" s="99" t="b">
        <f ca="1">OR(IFERROR(_xlfn.XMATCH("*,"&amp;$A21&amp;",*",Assumptions!$AL:$AL,2)&gt;0,FALSE),
IFERROR(_xlfn.XMATCH("*,"&amp;$A21&amp;",*",Countermeasures!$AO:$AO,2)&gt;0,FALSE))</f>
        <v>0</v>
      </c>
      <c r="AA21" s="99" t="str" cm="1">
        <f t="array" aca="1" ref="AA21" ca="1">CreateSearchString($I21)</f>
        <v/>
      </c>
      <c r="AB21" s="99" t="str">
        <f>IF($E21="","",IFERROR(VLOOKUP($E21,Definitions!$H:$J,COLUMNS(Definitions!$H:$J),FALSE),""))</f>
        <v/>
      </c>
      <c r="AC21" s="99" t="b" cm="1">
        <f t="array" aca="1" ref="AC21" ca="1">IF($A21="",FALSE,SimpleLookup($A21,Questions!$A:$D)="x")</f>
        <v>0</v>
      </c>
      <c r="AD21" s="99" t="str" cm="1">
        <f t="array" aca="1" ref="AD21" ca="1">IF(OR($A21="",NOT($AC21)),"",SimpleLookup($A21,Questions!$A:$E))</f>
        <v/>
      </c>
      <c r="AE21" s="99" t="str" cm="1">
        <f t="array" aca="1" ref="AE21" ca="1">IF(OR($A21="",NOT($AC21)),"",SimpleLookup($A21,Questions!$A:$F))</f>
        <v/>
      </c>
      <c r="AF21" s="99" t="str" cm="1">
        <f t="array" aca="1" ref="AF21" ca="1">_xlfn.LET(
_xlpm._answer,$C21,
_xlpm._infoTextFull,IF($AC21,CHAR(10)&amp;SimpleLookup($A21,Questions!$A:$H)&amp;CHAR(10),""),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21" s="99" t="b" cm="1">
        <f t="array" aca="1" ref="AG21" ca="1">IF(OR($A21="",NOT($AC21)),FALSE,_xlfn.LET(
_xlpm._secondAnswerRequiredOn,SimpleLookup($A21,Questions!$A:$I),
_xlpm._firstAnwer,$C21,
IFERROR(FIND(CHAR(10)&amp;_xlpm._firstAnwer&amp;":",CHAR(10)&amp;_xlpm._secondAnswerRequiredOn)&gt;0,FALSE)))</f>
        <v>0</v>
      </c>
      <c r="AH21" s="99" t="str" cm="1">
        <f t="array" aca="1" ref="AH21" ca="1">IF(OR($A21="",NOT($AC21)),"",_xlfn.LET(
_xlpm._id,$A21,
_xlpm._firstAnswer,$C21,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21" s="99" t="str" cm="1">
        <f t="array" aca="1" ref="AI21" ca="1">IF(OR($A21="",NOT($AC21)),"",_xlfn.LET(
_xlpm._id,$A21,
_xlpm._firstAnswer,$C21,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21" s="99" t="str" cm="1">
        <f t="array" aca="1" ref="AJ21" ca="1">IF($AG21,_xlfn.LET(
_xlpm._answer,$E21,
_xlpm._infoTextFull,IF($AC21,CHAR(10)&amp;SimpleLookup($A21,Questions!$A:$L)&amp;CHAR(10),""),
_xlpm._startSelectedByAnswerOne,IF(_xlpm._infoTextFull="",0,FIND("___"&amp;$C21&amp;"___",_xlpm._infoTextFull)+LEN("___"&amp;$C21&amp;"___")),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21" s="99" t="b" cm="1">
        <f t="array" aca="1" ref="AK21" ca="1">IF(OR($A21="",NOT($AC21)),FALSE,SimpleLookup($A21,Questions!$A:$Q))</f>
        <v>0</v>
      </c>
      <c r="AL21" s="99" t="str" cm="1">
        <f t="array" aca="1" ref="AL21" ca="1">IF(AND($A21=Questions!$A$41,IFERROR(SimpleLookup(Questions!$A$36,$A:$E)=Definitions!$O$5,FALSE),$C21=Definitions!$A$5),
Questions!$A$36&amp;" "&amp;Questions!$B$36&amp;CHAR(10)&amp;CHAR(187)&amp;" "&amp;SimpleLookup(Questions!$A$36,$A:$C)&amp;CHAR(10)&amp;SimpleLookup(Questions!$A$36,$A:$D)&amp;CHAR(10)&amp;CHAR(187)&amp;" "&amp;Definitions!$O$5&amp;CHAR(10)&amp;CHAR(10)&amp;
"is incosistent with"&amp;CHAR(10)&amp;CHAR(10)&amp;
$A21&amp;" "&amp;SimpleLookup($A21,Questions!$A:$B)&amp;CHAR(10)&amp;CHAR(187)&amp;" "&amp;$C21,
"")</f>
        <v/>
      </c>
      <c r="AM21" s="99" cm="1">
        <f t="array" aca="1" ref="AM21" ca="1">CreateID($AM$3,$AM:$AM,$AL21&lt;&gt;"")</f>
        <v>0</v>
      </c>
      <c r="AN21" s="99" t="str" cm="1">
        <f t="array" aca="1" ref="AN21" ca="1">IF(OR($C21="",OFFSET($C21,1,0)=""),"",
IF(AND($A21=Questions!$A$59,OFFSET($A21,1,0)=Questions!$A$60,SimpleLookup(Questions!$A$49,$A:$C)=Definitions!$A$4),
IF(MATCH($C21,Definitions!$AW:$AW,0)&gt;MATCH(OFFSET($C21,1,0),Definitions!AW:AW,0),$A21&amp;" "&amp;$K21&amp;": "&amp;$C21&amp;CHAR(10)&amp;"&lt;---&gt;"&amp;CHAR(10)&amp;OFFSET($A21,1,0)&amp;" "&amp;OFFSET($K21,1,0)&amp;": "&amp;OFFSET($C21,1,0),""),
""))</f>
        <v/>
      </c>
      <c r="AO21" s="99" cm="1">
        <f t="array" aca="1" ref="AO21" ca="1">CreateID($AO$3,$AO:$AO,$AN21&lt;&gt;"")</f>
        <v>0</v>
      </c>
    </row>
    <row r="22" spans="1:41" x14ac:dyDescent="0.25">
      <c r="A22" s="96" t="s">
        <v>1185</v>
      </c>
      <c r="B22" s="4" t="str" cm="1">
        <f t="array" aca="1" ref="B22" ca="1">IF($A22="","",CreateIndentedString($K22,Definitions!$T$4,SimpleLookup($A22,Questions!$A:$C)))</f>
        <v xml:space="preserve">   Safety</v>
      </c>
      <c r="I22" s="15" t="str">
        <f t="shared" ca="1" si="0"/>
        <v/>
      </c>
      <c r="J22" s="15" t="str">
        <f t="shared" ca="1" si="1"/>
        <v/>
      </c>
      <c r="K22" s="15" t="str" cm="1">
        <f t="array" aca="1" ref="K22" ca="1">SimpleLookup($A22,Questions!$A:$B)</f>
        <v>Safety</v>
      </c>
      <c r="L22" s="15" cm="1">
        <f t="array" aca="1" ref="L22" ca="1">CreateID($L$3,$L:$L,AND($A22&lt;&gt;"",$AC22))</f>
        <v>9</v>
      </c>
      <c r="M22" s="99" cm="1">
        <f t="array" aca="1" ref="M22" ca="1">CreateTaskID($M$3,$M:$M,Tasks!$B$17,$G22)</f>
        <v>0</v>
      </c>
      <c r="N22" s="15" t="str">
        <f t="shared" ca="1" si="2"/>
        <v/>
      </c>
      <c r="O22" s="15" cm="1">
        <f t="array" aca="1" ref="O22" ca="1">CreateID($O$3,$O:$O,$N22&lt;&gt;"")</f>
        <v>9</v>
      </c>
      <c r="P22" s="99" t="str">
        <f t="shared" si="3"/>
        <v/>
      </c>
      <c r="Q22" s="99" cm="1">
        <f t="array" aca="1" ref="Q22" ca="1">CreateID($Q$3,$Q:$Q,$P22&lt;&gt;"")</f>
        <v>0</v>
      </c>
      <c r="R22" s="99" t="str">
        <f t="shared" si="4"/>
        <v/>
      </c>
      <c r="S22" s="99" cm="1">
        <f t="array" aca="1" ref="S22" ca="1">CreateID($S$3,$S:$S,$R22&lt;&gt;"")</f>
        <v>0</v>
      </c>
      <c r="T22" s="99" t="str">
        <f t="shared" ca="1" si="5"/>
        <v/>
      </c>
      <c r="U22" s="99" cm="1">
        <f t="array" aca="1" ref="U22" ca="1">CreateID($U$3,$U:$U,$T22&lt;&gt;"")</f>
        <v>0</v>
      </c>
      <c r="V22" s="99" cm="1">
        <f t="array" aca="1" ref="V22" ca="1">CreateID($V$3,$V:$V,IFERROR(FIND(Definitions!$AR$4,$G22)&gt;0,FALSE))</f>
        <v>0</v>
      </c>
      <c r="W22" s="99">
        <f>_xlfn.LET(
_xlpm._comment,$G22,
_xlpm._keyWord,Definitions!$AR$4,
_xlpm._diffLen,LEN(_xlpm._comment)-LEN(SUBSTITUTE(_xlpm._comment,_xlpm._keyWord,"")),
_xlpm._diffLen/LEN(_xlpm._keyWord))</f>
        <v>0</v>
      </c>
      <c r="X22" s="99" cm="1">
        <f t="array" aca="1" ref="X22" ca="1">CreateID($X$3,$X:$X,IFERROR(FIND(Definitions!$AR$5,$G22)&gt;0,FALSE))</f>
        <v>0</v>
      </c>
      <c r="Y22" s="99">
        <f>_xlfn.LET(
_xlpm._comment,$G22,
_xlpm._keyWord,Definitions!$AR$5,
_xlpm._diffLen,LEN(_xlpm._comment)-LEN(SUBSTITUTE(_xlpm._comment,_xlpm._keyWord,"")),
_xlpm._diffLen/LEN(_xlpm._keyWord))</f>
        <v>0</v>
      </c>
      <c r="Z22" s="99" t="b">
        <f ca="1">OR(IFERROR(_xlfn.XMATCH("*,"&amp;$A22&amp;",*",Assumptions!$AL:$AL,2)&gt;0,FALSE),
IFERROR(_xlfn.XMATCH("*,"&amp;$A22&amp;",*",Countermeasures!$AO:$AO,2)&gt;0,FALSE))</f>
        <v>0</v>
      </c>
      <c r="AA22" s="99" t="str" cm="1">
        <f t="array" aca="1" ref="AA22" ca="1">CreateSearchString($I22)</f>
        <v/>
      </c>
      <c r="AB22" s="99" t="str">
        <f>IF($E22="","",IFERROR(VLOOKUP($E22,Definitions!$H:$J,COLUMNS(Definitions!$H:$J),FALSE),""))</f>
        <v/>
      </c>
      <c r="AC22" s="99" t="b" cm="1">
        <f t="array" aca="1" ref="AC22" ca="1">IF($A22="",FALSE,SimpleLookup($A22,Questions!$A:$D)="x")</f>
        <v>0</v>
      </c>
      <c r="AD22" s="99" t="str" cm="1">
        <f t="array" aca="1" ref="AD22" ca="1">IF(OR($A22="",NOT($AC22)),"",SimpleLookup($A22,Questions!$A:$E))</f>
        <v/>
      </c>
      <c r="AE22" s="99" t="str" cm="1">
        <f t="array" aca="1" ref="AE22" ca="1">IF(OR($A22="",NOT($AC22)),"",SimpleLookup($A22,Questions!$A:$F))</f>
        <v/>
      </c>
      <c r="AF22" s="99" t="str" cm="1">
        <f t="array" aca="1" ref="AF22" ca="1">_xlfn.LET(
_xlpm._answer,$C22,
_xlpm._infoTextFull,IF($AC22,CHAR(10)&amp;SimpleLookup($A22,Questions!$A:$H)&amp;CHAR(10),""),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22" s="99" t="b" cm="1">
        <f t="array" aca="1" ref="AG22" ca="1">IF(OR($A22="",NOT($AC22)),FALSE,_xlfn.LET(
_xlpm._secondAnswerRequiredOn,SimpleLookup($A22,Questions!$A:$I),
_xlpm._firstAnwer,$C22,
IFERROR(FIND(CHAR(10)&amp;_xlpm._firstAnwer&amp;":",CHAR(10)&amp;_xlpm._secondAnswerRequiredOn)&gt;0,FALSE)))</f>
        <v>0</v>
      </c>
      <c r="AH22" s="99" t="str" cm="1">
        <f t="array" aca="1" ref="AH22" ca="1">IF(OR($A22="",NOT($AC22)),"",_xlfn.LET(
_xlpm._id,$A22,
_xlpm._firstAnswer,$C22,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22" s="99" t="str" cm="1">
        <f t="array" aca="1" ref="AI22" ca="1">IF(OR($A22="",NOT($AC22)),"",_xlfn.LET(
_xlpm._id,$A22,
_xlpm._firstAnswer,$C22,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22" s="99" t="str" cm="1">
        <f t="array" aca="1" ref="AJ22" ca="1">IF($AG22,_xlfn.LET(
_xlpm._answer,$E22,
_xlpm._infoTextFull,IF($AC22,CHAR(10)&amp;SimpleLookup($A22,Questions!$A:$L)&amp;CHAR(10),""),
_xlpm._startSelectedByAnswerOne,IF(_xlpm._infoTextFull="",0,FIND("___"&amp;$C22&amp;"___",_xlpm._infoTextFull)+LEN("___"&amp;$C22&amp;"___")),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22" s="99" t="b" cm="1">
        <f t="array" aca="1" ref="AK22" ca="1">IF(OR($A22="",NOT($AC22)),FALSE,SimpleLookup($A22,Questions!$A:$Q))</f>
        <v>0</v>
      </c>
      <c r="AL22" s="99" t="str" cm="1">
        <f t="array" aca="1" ref="AL22" ca="1">IF(AND($A22=Questions!$A$41,IFERROR(SimpleLookup(Questions!$A$36,$A:$E)=Definitions!$O$5,FALSE),$C22=Definitions!$A$5),
Questions!$A$36&amp;" "&amp;Questions!$B$36&amp;CHAR(10)&amp;CHAR(187)&amp;" "&amp;SimpleLookup(Questions!$A$36,$A:$C)&amp;CHAR(10)&amp;SimpleLookup(Questions!$A$36,$A:$D)&amp;CHAR(10)&amp;CHAR(187)&amp;" "&amp;Definitions!$O$5&amp;CHAR(10)&amp;CHAR(10)&amp;
"is incosistent with"&amp;CHAR(10)&amp;CHAR(10)&amp;
$A22&amp;" "&amp;SimpleLookup($A22,Questions!$A:$B)&amp;CHAR(10)&amp;CHAR(187)&amp;" "&amp;$C22,
"")</f>
        <v/>
      </c>
      <c r="AM22" s="99" cm="1">
        <f t="array" aca="1" ref="AM22" ca="1">CreateID($AM$3,$AM:$AM,$AL22&lt;&gt;"")</f>
        <v>0</v>
      </c>
      <c r="AN22" s="99" t="str" cm="1">
        <f t="array" aca="1" ref="AN22" ca="1">IF(OR($C22="",OFFSET($C22,1,0)=""),"",
IF(AND($A22=Questions!$A$59,OFFSET($A22,1,0)=Questions!$A$60,SimpleLookup(Questions!$A$49,$A:$C)=Definitions!$A$4),
IF(MATCH($C22,Definitions!$AW:$AW,0)&gt;MATCH(OFFSET($C22,1,0),Definitions!AW:AW,0),$A22&amp;" "&amp;$K22&amp;": "&amp;$C22&amp;CHAR(10)&amp;"&lt;---&gt;"&amp;CHAR(10)&amp;OFFSET($A22,1,0)&amp;" "&amp;OFFSET($K22,1,0)&amp;": "&amp;OFFSET($C22,1,0),""),
""))</f>
        <v/>
      </c>
      <c r="AO22" s="99" cm="1">
        <f t="array" aca="1" ref="AO22" ca="1">CreateID($AO$3,$AO:$AO,$AN22&lt;&gt;"")</f>
        <v>0</v>
      </c>
    </row>
    <row r="23" spans="1:41" ht="75" x14ac:dyDescent="0.25">
      <c r="A23" s="96" t="s">
        <v>1080</v>
      </c>
      <c r="B23" s="4" t="str" cm="1">
        <f t="array" aca="1" ref="B23" ca="1">IF($A23="","",CreateIndentedString($K23,Definitions!$T$4,SimpleLookup($A23,Questions!$A:$C)))</f>
        <v xml:space="preserve">      Can  a  manipulated  product  (or  its  communication)
      endanger  the  health  of  people?  Also  consider
      cases  where  the  product  is  used  against  its
      intended  use  or  misconfigured!</v>
      </c>
      <c r="D23" s="8" t="str">
        <f ca="1">$AF23</f>
        <v/>
      </c>
      <c r="F23" s="8" t="str">
        <f ca="1">$AJ23</f>
        <v/>
      </c>
      <c r="I23" s="15" t="str">
        <f t="shared" ca="1" si="0"/>
        <v>QI10[]</v>
      </c>
      <c r="J23" s="15" t="str">
        <f t="shared" ca="1" si="1"/>
        <v>QI10[]</v>
      </c>
      <c r="K23" s="15" t="str" cm="1">
        <f t="array" aca="1" ref="K23" ca="1">SimpleLookup($A23,Questions!$A:$B)</f>
        <v>Can a manipulated product (or its communication) endanger the health of people? Also consider cases where the product is used against its intended use or misconfigured!</v>
      </c>
      <c r="L23" s="15" cm="1">
        <f t="array" aca="1" ref="L23" ca="1">CreateID($L$3,$L:$L,AND($A23&lt;&gt;"",$AC23))</f>
        <v>10</v>
      </c>
      <c r="M23" s="99" cm="1">
        <f t="array" aca="1" ref="M23" ca="1">CreateTaskID($M$3,$M:$M,Tasks!$B$17,$G23)</f>
        <v>0</v>
      </c>
      <c r="N23" s="15" t="str">
        <f t="shared" ca="1" si="2"/>
        <v>QI10 Can a manipulated product (or its communication) endanger the health of people? Also consider cases where the product is used against its intended use or misconfigured!</v>
      </c>
      <c r="O23" s="15" cm="1">
        <f t="array" aca="1" ref="O23" ca="1">CreateID($O$3,$O:$O,$N23&lt;&gt;"")</f>
        <v>10</v>
      </c>
      <c r="P23" s="99" t="str">
        <f t="shared" ca="1" si="3"/>
        <v/>
      </c>
      <c r="Q23" s="99" cm="1">
        <f t="array" aca="1" ref="Q23" ca="1">CreateID($Q$3,$Q:$Q,$P23&lt;&gt;"")</f>
        <v>0</v>
      </c>
      <c r="R23" s="99" t="str">
        <f t="shared" ca="1" si="4"/>
        <v/>
      </c>
      <c r="S23" s="99" cm="1">
        <f t="array" aca="1" ref="S23" ca="1">CreateID($S$3,$S:$S,$R23&lt;&gt;"")</f>
        <v>0</v>
      </c>
      <c r="T23" s="99" t="str">
        <f t="shared" ca="1" si="5"/>
        <v/>
      </c>
      <c r="U23" s="99" cm="1">
        <f t="array" aca="1" ref="U23" ca="1">CreateID($U$3,$U:$U,$T23&lt;&gt;"")</f>
        <v>0</v>
      </c>
      <c r="V23" s="99" cm="1">
        <f t="array" aca="1" ref="V23" ca="1">CreateID($V$3,$V:$V,IFERROR(FIND(Definitions!$AR$4,$G23)&gt;0,FALSE))</f>
        <v>0</v>
      </c>
      <c r="W23" s="99">
        <f>_xlfn.LET(
_xlpm._comment,$G23,
_xlpm._keyWord,Definitions!$AR$4,
_xlpm._diffLen,LEN(_xlpm._comment)-LEN(SUBSTITUTE(_xlpm._comment,_xlpm._keyWord,"")),
_xlpm._diffLen/LEN(_xlpm._keyWord))</f>
        <v>0</v>
      </c>
      <c r="X23" s="99" cm="1">
        <f t="array" aca="1" ref="X23" ca="1">CreateID($X$3,$X:$X,IFERROR(FIND(Definitions!$AR$5,$G23)&gt;0,FALSE))</f>
        <v>0</v>
      </c>
      <c r="Y23" s="99">
        <f>_xlfn.LET(
_xlpm._comment,$G23,
_xlpm._keyWord,Definitions!$AR$5,
_xlpm._diffLen,LEN(_xlpm._comment)-LEN(SUBSTITUTE(_xlpm._comment,_xlpm._keyWord,"")),
_xlpm._diffLen/LEN(_xlpm._keyWord))</f>
        <v>0</v>
      </c>
      <c r="Z23" s="99" t="b">
        <f ca="1">OR(IFERROR(_xlfn.XMATCH("*,"&amp;$A23&amp;",*",Assumptions!$AL:$AL,2)&gt;0,FALSE),
IFERROR(_xlfn.XMATCH("*,"&amp;$A23&amp;",*",Countermeasures!$AO:$AO,2)&gt;0,FALSE))</f>
        <v>0</v>
      </c>
      <c r="AA23" s="99" t="str" cm="1">
        <f t="array" aca="1" ref="AA23" ca="1">CreateSearchString($I23)</f>
        <v>,QI10[],</v>
      </c>
      <c r="AB23" s="99" t="str">
        <f>IF($E23="","",IFERROR(VLOOKUP($E23,Definitions!$H:$J,COLUMNS(Definitions!$H:$J),FALSE),""))</f>
        <v/>
      </c>
      <c r="AC23" s="99" t="b" cm="1">
        <f t="array" aca="1" ref="AC23" ca="1">IF($A23="",FALSE,SimpleLookup($A23,Questions!$A:$D)="x")</f>
        <v>1</v>
      </c>
      <c r="AD23" s="99" t="str" cm="1">
        <f t="array" aca="1" ref="AD23" ca="1">IF(OR($A23="",NOT($AC23)),"",SimpleLookup($A23,Questions!$A:$E))</f>
        <v>'[2025-07-30_QuBA_libre.xlsx]Definitions'!$A$4</v>
      </c>
      <c r="AE23" s="99" cm="1">
        <f t="array" aca="1" ref="AE23" ca="1">IF(OR($A23="",NOT($AC23)),"",SimpleLookup($A23,Questions!$A:$F))</f>
        <v>2</v>
      </c>
      <c r="AF23" s="99" t="str" cm="1">
        <f t="array" aca="1" ref="AF23" ca="1">_xlfn.LET(
_xlpm._answer,$C23,
_xlpm._infoTextFull,IF($AC23,CHAR(10)&amp;SimpleLookup($A23,Questions!$A:$H)&amp;CHAR(10),""),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23" s="99" t="b" cm="1">
        <f t="array" aca="1" ref="AG23" ca="1">IF(OR($A23="",NOT($AC23)),FALSE,_xlfn.LET(
_xlpm._secondAnswerRequiredOn,SimpleLookup($A23,Questions!$A:$I),
_xlpm._firstAnwer,$C23,
IFERROR(FIND(CHAR(10)&amp;_xlpm._firstAnwer&amp;":",CHAR(10)&amp;_xlpm._secondAnswerRequiredOn)&gt;0,FALSE)))</f>
        <v>0</v>
      </c>
      <c r="AH23" s="99" t="str" cm="1">
        <f t="array" aca="1" ref="AH23" ca="1">IF(OR($A23="",NOT($AC23)),"",_xlfn.LET(
_xlpm._id,$A23,
_xlpm._firstAnswer,$C23,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'[2025-07-30_QuBA_libre.xlsx]Definitions'!$H$14</v>
      </c>
      <c r="AI23" s="99" cm="1">
        <f t="array" aca="1" ref="AI23" ca="1">IF(OR($A23="",NOT($AC23)),"",_xlfn.LET(
_xlpm._id,$A23,
_xlpm._firstAnswer,$C23,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J23" s="99" t="str" cm="1">
        <f t="array" aca="1" ref="AJ23" ca="1">IF($AG23,_xlfn.LET(
_xlpm._answer,$E23,
_xlpm._infoTextFull,IF($AC23,CHAR(10)&amp;SimpleLookup($A23,Questions!$A:$L)&amp;CHAR(10),""),
_xlpm._startSelectedByAnswerOne,IF(_xlpm._infoTextFull="",0,FIND("___"&amp;$C23&amp;"___",_xlpm._infoTextFull)+LEN("___"&amp;$C23&amp;"___")),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23" s="99" t="b" cm="1">
        <f t="array" aca="1" ref="AK23" ca="1">IF(OR($A23="",NOT($AC23)),FALSE,SimpleLookup($A23,Questions!$A:$Q))</f>
        <v>0</v>
      </c>
      <c r="AL23" s="99" t="str" cm="1">
        <f t="array" aca="1" ref="AL23" ca="1">IF(AND($A23=Questions!$A$41,IFERROR(SimpleLookup(Questions!$A$36,$A:$E)=Definitions!$O$5,FALSE),$C23=Definitions!$A$5),
Questions!$A$36&amp;" "&amp;Questions!$B$36&amp;CHAR(10)&amp;CHAR(187)&amp;" "&amp;SimpleLookup(Questions!$A$36,$A:$C)&amp;CHAR(10)&amp;SimpleLookup(Questions!$A$36,$A:$D)&amp;CHAR(10)&amp;CHAR(187)&amp;" "&amp;Definitions!$O$5&amp;CHAR(10)&amp;CHAR(10)&amp;
"is incosistent with"&amp;CHAR(10)&amp;CHAR(10)&amp;
$A23&amp;" "&amp;SimpleLookup($A23,Questions!$A:$B)&amp;CHAR(10)&amp;CHAR(187)&amp;" "&amp;$C23,
"")</f>
        <v/>
      </c>
      <c r="AM23" s="99" cm="1">
        <f t="array" aca="1" ref="AM23" ca="1">CreateID($AM$3,$AM:$AM,$AL23&lt;&gt;"")</f>
        <v>0</v>
      </c>
      <c r="AN23" s="99" t="str" cm="1">
        <f t="array" aca="1" ref="AN23" ca="1">IF(OR($C23="",OFFSET($C23,1,0)=""),"",
IF(AND($A23=Questions!$A$59,OFFSET($A23,1,0)=Questions!$A$60,SimpleLookup(Questions!$A$49,$A:$C)=Definitions!$A$4),
IF(MATCH($C23,Definitions!$AW:$AW,0)&gt;MATCH(OFFSET($C23,1,0),Definitions!AW:AW,0),$A23&amp;" "&amp;$K23&amp;": "&amp;$C23&amp;CHAR(10)&amp;"&lt;---&gt;"&amp;CHAR(10)&amp;OFFSET($A23,1,0)&amp;" "&amp;OFFSET($K23,1,0)&amp;": "&amp;OFFSET($C23,1,0),""),
""))</f>
        <v/>
      </c>
      <c r="AO23" s="99" cm="1">
        <f t="array" aca="1" ref="AO23" ca="1">CreateID($AO$3,$AO:$AO,$AN23&lt;&gt;"")</f>
        <v>0</v>
      </c>
    </row>
    <row r="24" spans="1:41" x14ac:dyDescent="0.25">
      <c r="A24" s="96" t="s">
        <v>1186</v>
      </c>
      <c r="B24" s="4" t="str" cm="1">
        <f t="array" aca="1" ref="B24" ca="1">IF($A24="","",CreateIndentedString($K24,Definitions!$T$4,SimpleLookup($A24,Questions!$A:$C)))</f>
        <v xml:space="preserve">   Personal  data  /  IP</v>
      </c>
      <c r="I24" s="15" t="str">
        <f t="shared" ca="1" si="0"/>
        <v/>
      </c>
      <c r="J24" s="15" t="str">
        <f t="shared" ca="1" si="1"/>
        <v/>
      </c>
      <c r="K24" s="15" t="str" cm="1">
        <f t="array" aca="1" ref="K24" ca="1">SimpleLookup($A24,Questions!$A:$B)</f>
        <v>Personal data / IP</v>
      </c>
      <c r="L24" s="15" cm="1">
        <f t="array" aca="1" ref="L24" ca="1">CreateID($L$3,$L:$L,AND($A24&lt;&gt;"",$AC24))</f>
        <v>10</v>
      </c>
      <c r="M24" s="99" cm="1">
        <f t="array" aca="1" ref="M24" ca="1">CreateTaskID($M$3,$M:$M,Tasks!$B$17,$G24)</f>
        <v>0</v>
      </c>
      <c r="N24" s="15" t="str">
        <f t="shared" ca="1" si="2"/>
        <v/>
      </c>
      <c r="O24" s="15" cm="1">
        <f t="array" aca="1" ref="O24" ca="1">CreateID($O$3,$O:$O,$N24&lt;&gt;"")</f>
        <v>10</v>
      </c>
      <c r="P24" s="99" t="str">
        <f t="shared" si="3"/>
        <v/>
      </c>
      <c r="Q24" s="99" cm="1">
        <f t="array" aca="1" ref="Q24" ca="1">CreateID($Q$3,$Q:$Q,$P24&lt;&gt;"")</f>
        <v>0</v>
      </c>
      <c r="R24" s="99" t="str">
        <f t="shared" si="4"/>
        <v/>
      </c>
      <c r="S24" s="99" cm="1">
        <f t="array" aca="1" ref="S24" ca="1">CreateID($S$3,$S:$S,$R24&lt;&gt;"")</f>
        <v>0</v>
      </c>
      <c r="T24" s="99" t="str">
        <f t="shared" ca="1" si="5"/>
        <v/>
      </c>
      <c r="U24" s="99" cm="1">
        <f t="array" aca="1" ref="U24" ca="1">CreateID($U$3,$U:$U,$T24&lt;&gt;"")</f>
        <v>0</v>
      </c>
      <c r="V24" s="99" cm="1">
        <f t="array" aca="1" ref="V24" ca="1">CreateID($V$3,$V:$V,IFERROR(FIND(Definitions!$AR$4,$G24)&gt;0,FALSE))</f>
        <v>0</v>
      </c>
      <c r="W24" s="99">
        <f>_xlfn.LET(
_xlpm._comment,$G24,
_xlpm._keyWord,Definitions!$AR$4,
_xlpm._diffLen,LEN(_xlpm._comment)-LEN(SUBSTITUTE(_xlpm._comment,_xlpm._keyWord,"")),
_xlpm._diffLen/LEN(_xlpm._keyWord))</f>
        <v>0</v>
      </c>
      <c r="X24" s="99" cm="1">
        <f t="array" aca="1" ref="X24" ca="1">CreateID($X$3,$X:$X,IFERROR(FIND(Definitions!$AR$5,$G24)&gt;0,FALSE))</f>
        <v>0</v>
      </c>
      <c r="Y24" s="99">
        <f>_xlfn.LET(
_xlpm._comment,$G24,
_xlpm._keyWord,Definitions!$AR$5,
_xlpm._diffLen,LEN(_xlpm._comment)-LEN(SUBSTITUTE(_xlpm._comment,_xlpm._keyWord,"")),
_xlpm._diffLen/LEN(_xlpm._keyWord))</f>
        <v>0</v>
      </c>
      <c r="Z24" s="99" t="b">
        <f ca="1">OR(IFERROR(_xlfn.XMATCH("*,"&amp;$A24&amp;",*",Assumptions!$AL:$AL,2)&gt;0,FALSE),
IFERROR(_xlfn.XMATCH("*,"&amp;$A24&amp;",*",Countermeasures!$AO:$AO,2)&gt;0,FALSE))</f>
        <v>0</v>
      </c>
      <c r="AA24" s="99" t="str" cm="1">
        <f t="array" aca="1" ref="AA24" ca="1">CreateSearchString($I24)</f>
        <v/>
      </c>
      <c r="AB24" s="99" t="str">
        <f>IF($E24="","",IFERROR(VLOOKUP($E24,Definitions!$H:$J,COLUMNS(Definitions!$H:$J),FALSE),""))</f>
        <v/>
      </c>
      <c r="AC24" s="99" t="b" cm="1">
        <f t="array" aca="1" ref="AC24" ca="1">IF($A24="",FALSE,SimpleLookup($A24,Questions!$A:$D)="x")</f>
        <v>0</v>
      </c>
      <c r="AD24" s="99" t="str" cm="1">
        <f t="array" aca="1" ref="AD24" ca="1">IF(OR($A24="",NOT($AC24)),"",SimpleLookup($A24,Questions!$A:$E))</f>
        <v/>
      </c>
      <c r="AE24" s="99" t="str" cm="1">
        <f t="array" aca="1" ref="AE24" ca="1">IF(OR($A24="",NOT($AC24)),"",SimpleLookup($A24,Questions!$A:$F))</f>
        <v/>
      </c>
      <c r="AF24" s="99" t="str" cm="1">
        <f t="array" aca="1" ref="AF24" ca="1">_xlfn.LET(
_xlpm._answer,$C24,
_xlpm._infoTextFull,IF($AC24,CHAR(10)&amp;SimpleLookup($A24,Questions!$A:$H)&amp;CHAR(10),""),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24" s="99" t="b" cm="1">
        <f t="array" aca="1" ref="AG24" ca="1">IF(OR($A24="",NOT($AC24)),FALSE,_xlfn.LET(
_xlpm._secondAnswerRequiredOn,SimpleLookup($A24,Questions!$A:$I),
_xlpm._firstAnwer,$C24,
IFERROR(FIND(CHAR(10)&amp;_xlpm._firstAnwer&amp;":",CHAR(10)&amp;_xlpm._secondAnswerRequiredOn)&gt;0,FALSE)))</f>
        <v>0</v>
      </c>
      <c r="AH24" s="99" t="str" cm="1">
        <f t="array" aca="1" ref="AH24" ca="1">IF(OR($A24="",NOT($AC24)),"",_xlfn.LET(
_xlpm._id,$A24,
_xlpm._firstAnswer,$C24,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24" s="99" t="str" cm="1">
        <f t="array" aca="1" ref="AI24" ca="1">IF(OR($A24="",NOT($AC24)),"",_xlfn.LET(
_xlpm._id,$A24,
_xlpm._firstAnswer,$C24,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24" s="99" t="str" cm="1">
        <f t="array" aca="1" ref="AJ24" ca="1">IF($AG24,_xlfn.LET(
_xlpm._answer,$E24,
_xlpm._infoTextFull,IF($AC24,CHAR(10)&amp;SimpleLookup($A24,Questions!$A:$L)&amp;CHAR(10),""),
_xlpm._startSelectedByAnswerOne,IF(_xlpm._infoTextFull="",0,FIND("___"&amp;$C24&amp;"___",_xlpm._infoTextFull)+LEN("___"&amp;$C24&amp;"___")),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24" s="99" t="b" cm="1">
        <f t="array" aca="1" ref="AK24" ca="1">IF(OR($A24="",NOT($AC24)),FALSE,SimpleLookup($A24,Questions!$A:$Q))</f>
        <v>0</v>
      </c>
      <c r="AL24" s="99" t="str" cm="1">
        <f t="array" aca="1" ref="AL24" ca="1">IF(AND($A24=Questions!$A$41,IFERROR(SimpleLookup(Questions!$A$36,$A:$E)=Definitions!$O$5,FALSE),$C24=Definitions!$A$5),
Questions!$A$36&amp;" "&amp;Questions!$B$36&amp;CHAR(10)&amp;CHAR(187)&amp;" "&amp;SimpleLookup(Questions!$A$36,$A:$C)&amp;CHAR(10)&amp;SimpleLookup(Questions!$A$36,$A:$D)&amp;CHAR(10)&amp;CHAR(187)&amp;" "&amp;Definitions!$O$5&amp;CHAR(10)&amp;CHAR(10)&amp;
"is incosistent with"&amp;CHAR(10)&amp;CHAR(10)&amp;
$A24&amp;" "&amp;SimpleLookup($A24,Questions!$A:$B)&amp;CHAR(10)&amp;CHAR(187)&amp;" "&amp;$C24,
"")</f>
        <v/>
      </c>
      <c r="AM24" s="99" cm="1">
        <f t="array" aca="1" ref="AM24" ca="1">CreateID($AM$3,$AM:$AM,$AL24&lt;&gt;"")</f>
        <v>0</v>
      </c>
      <c r="AN24" s="99" t="str" cm="1">
        <f t="array" aca="1" ref="AN24" ca="1">IF(OR($C24="",OFFSET($C24,1,0)=""),"",
IF(AND($A24=Questions!$A$59,OFFSET($A24,1,0)=Questions!$A$60,SimpleLookup(Questions!$A$49,$A:$C)=Definitions!$A$4),
IF(MATCH($C24,Definitions!$AW:$AW,0)&gt;MATCH(OFFSET($C24,1,0),Definitions!AW:AW,0),$A24&amp;" "&amp;$K24&amp;": "&amp;$C24&amp;CHAR(10)&amp;"&lt;---&gt;"&amp;CHAR(10)&amp;OFFSET($A24,1,0)&amp;" "&amp;OFFSET($K24,1,0)&amp;": "&amp;OFFSET($C24,1,0),""),
""))</f>
        <v/>
      </c>
      <c r="AO24" s="99" cm="1">
        <f t="array" aca="1" ref="AO24" ca="1">CreateID($AO$3,$AO:$AO,$AN24&lt;&gt;"")</f>
        <v>0</v>
      </c>
    </row>
    <row r="25" spans="1:41" ht="75" x14ac:dyDescent="0.25">
      <c r="A25" s="96" t="s">
        <v>1079</v>
      </c>
      <c r="B25" s="4" t="str" cm="1">
        <f t="array" aca="1" ref="B25" ca="1">IF($A25="","",CreateIndentedString($K25,Definitions!$T$4,SimpleLookup($A25,Questions!$A:$C)))</f>
        <v xml:space="preserve">      Can  a  manipulated  product  disclose  personal  data
      to  an  attacker?  Also  consider  cases  where  the
      product  is  used  against  its  intended  use  or
      misconfigured!</v>
      </c>
      <c r="D25" s="8" t="str">
        <f ca="1">$AF25</f>
        <v/>
      </c>
      <c r="F25" s="8" t="str">
        <f ca="1">$AJ25</f>
        <v/>
      </c>
      <c r="I25" s="15" t="str">
        <f t="shared" ca="1" si="0"/>
        <v>QI11[]</v>
      </c>
      <c r="J25" s="15" t="str">
        <f t="shared" ca="1" si="1"/>
        <v>QI11[]</v>
      </c>
      <c r="K25" s="15" t="str" cm="1">
        <f t="array" aca="1" ref="K25" ca="1">SimpleLookup($A25,Questions!$A:$B)</f>
        <v>Can a manipulated product disclose personal data to an attacker? Also consider cases where the product is used against its intended use or misconfigured!</v>
      </c>
      <c r="L25" s="15" cm="1">
        <f t="array" aca="1" ref="L25" ca="1">CreateID($L$3,$L:$L,AND($A25&lt;&gt;"",$AC25))</f>
        <v>11</v>
      </c>
      <c r="M25" s="99" cm="1">
        <f t="array" aca="1" ref="M25" ca="1">CreateTaskID($M$3,$M:$M,Tasks!$B$17,$G25)</f>
        <v>0</v>
      </c>
      <c r="N25" s="15" t="str">
        <f t="shared" ca="1" si="2"/>
        <v>QI11 Can a manipulated product disclose personal data to an attacker? Also consider cases where the product is used against its intended use or misconfigured!</v>
      </c>
      <c r="O25" s="15" cm="1">
        <f t="array" aca="1" ref="O25" ca="1">CreateID($O$3,$O:$O,$N25&lt;&gt;"")</f>
        <v>11</v>
      </c>
      <c r="P25" s="99" t="str">
        <f t="shared" ca="1" si="3"/>
        <v/>
      </c>
      <c r="Q25" s="99" cm="1">
        <f t="array" aca="1" ref="Q25" ca="1">CreateID($Q$3,$Q:$Q,$P25&lt;&gt;"")</f>
        <v>0</v>
      </c>
      <c r="R25" s="99" t="str">
        <f t="shared" ca="1" si="4"/>
        <v/>
      </c>
      <c r="S25" s="99" cm="1">
        <f t="array" aca="1" ref="S25" ca="1">CreateID($S$3,$S:$S,$R25&lt;&gt;"")</f>
        <v>0</v>
      </c>
      <c r="T25" s="99" t="str">
        <f t="shared" ca="1" si="5"/>
        <v/>
      </c>
      <c r="U25" s="99" cm="1">
        <f t="array" aca="1" ref="U25" ca="1">CreateID($U$3,$U:$U,$T25&lt;&gt;"")</f>
        <v>0</v>
      </c>
      <c r="V25" s="99" cm="1">
        <f t="array" aca="1" ref="V25" ca="1">CreateID($V$3,$V:$V,IFERROR(FIND(Definitions!$AR$4,$G25)&gt;0,FALSE))</f>
        <v>0</v>
      </c>
      <c r="W25" s="99">
        <f>_xlfn.LET(
_xlpm._comment,$G25,
_xlpm._keyWord,Definitions!$AR$4,
_xlpm._diffLen,LEN(_xlpm._comment)-LEN(SUBSTITUTE(_xlpm._comment,_xlpm._keyWord,"")),
_xlpm._diffLen/LEN(_xlpm._keyWord))</f>
        <v>0</v>
      </c>
      <c r="X25" s="99" cm="1">
        <f t="array" aca="1" ref="X25" ca="1">CreateID($X$3,$X:$X,IFERROR(FIND(Definitions!$AR$5,$G25)&gt;0,FALSE))</f>
        <v>0</v>
      </c>
      <c r="Y25" s="99">
        <f>_xlfn.LET(
_xlpm._comment,$G25,
_xlpm._keyWord,Definitions!$AR$5,
_xlpm._diffLen,LEN(_xlpm._comment)-LEN(SUBSTITUTE(_xlpm._comment,_xlpm._keyWord,"")),
_xlpm._diffLen/LEN(_xlpm._keyWord))</f>
        <v>0</v>
      </c>
      <c r="Z25" s="99" t="b">
        <f ca="1">OR(IFERROR(_xlfn.XMATCH("*,"&amp;$A25&amp;",*",Assumptions!$AL:$AL,2)&gt;0,FALSE),
IFERROR(_xlfn.XMATCH("*,"&amp;$A25&amp;",*",Countermeasures!$AO:$AO,2)&gt;0,FALSE))</f>
        <v>0</v>
      </c>
      <c r="AA25" s="99" t="str" cm="1">
        <f t="array" aca="1" ref="AA25" ca="1">CreateSearchString($I25)</f>
        <v>,QI11[],</v>
      </c>
      <c r="AB25" s="99" t="str">
        <f>IF($E25="","",IFERROR(VLOOKUP($E25,Definitions!$H:$J,COLUMNS(Definitions!$H:$J),FALSE),""))</f>
        <v/>
      </c>
      <c r="AC25" s="99" t="b" cm="1">
        <f t="array" aca="1" ref="AC25" ca="1">IF($A25="",FALSE,SimpleLookup($A25,Questions!$A:$D)="x")</f>
        <v>1</v>
      </c>
      <c r="AD25" s="99" t="str" cm="1">
        <f t="array" aca="1" ref="AD25" ca="1">IF(OR($A25="",NOT($AC25)),"",SimpleLookup($A25,Questions!$A:$E))</f>
        <v>'[2025-07-30_QuBA_libre.xlsx]Definitions'!$A$4</v>
      </c>
      <c r="AE25" s="99" cm="1">
        <f t="array" aca="1" ref="AE25" ca="1">IF(OR($A25="",NOT($AC25)),"",SimpleLookup($A25,Questions!$A:$F))</f>
        <v>2</v>
      </c>
      <c r="AF25" s="99" t="str" cm="1">
        <f t="array" aca="1" ref="AF25" ca="1">_xlfn.LET(
_xlpm._answer,$C25,
_xlpm._infoTextFull,IF($AC25,CHAR(10)&amp;SimpleLookup($A25,Questions!$A:$H)&amp;CHAR(10),""),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25" s="99" t="b" cm="1">
        <f t="array" aca="1" ref="AG25" ca="1">IF(OR($A25="",NOT($AC25)),FALSE,_xlfn.LET(
_xlpm._secondAnswerRequiredOn,SimpleLookup($A25,Questions!$A:$I),
_xlpm._firstAnwer,$C25,
IFERROR(FIND(CHAR(10)&amp;_xlpm._firstAnwer&amp;":",CHAR(10)&amp;_xlpm._secondAnswerRequiredOn)&gt;0,FALSE)))</f>
        <v>0</v>
      </c>
      <c r="AH25" s="99" t="str" cm="1">
        <f t="array" aca="1" ref="AH25" ca="1">IF(OR($A25="",NOT($AC25)),"",_xlfn.LET(
_xlpm._id,$A25,
_xlpm._firstAnswer,$C25,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'[2025-07-30_QuBA_libre.xlsx]Definitions'!$H$4</v>
      </c>
      <c r="AI25" s="99" cm="1">
        <f t="array" aca="1" ref="AI25" ca="1">IF(OR($A25="",NOT($AC25)),"",_xlfn.LET(
_xlpm._id,$A25,
_xlpm._firstAnswer,$C25,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3</v>
      </c>
      <c r="AJ25" s="99" t="str" cm="1">
        <f t="array" aca="1" ref="AJ25" ca="1">IF($AG25,_xlfn.LET(
_xlpm._answer,$E25,
_xlpm._infoTextFull,IF($AC25,CHAR(10)&amp;SimpleLookup($A25,Questions!$A:$L)&amp;CHAR(10),""),
_xlpm._startSelectedByAnswerOne,IF(_xlpm._infoTextFull="",0,FIND("___"&amp;$C25&amp;"___",_xlpm._infoTextFull)+LEN("___"&amp;$C25&amp;"___")),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25" s="99" t="b" cm="1">
        <f t="array" aca="1" ref="AK25" ca="1">IF(OR($A25="",NOT($AC25)),FALSE,SimpleLookup($A25,Questions!$A:$Q))</f>
        <v>0</v>
      </c>
      <c r="AL25" s="99" t="str" cm="1">
        <f t="array" aca="1" ref="AL25" ca="1">IF(AND($A25=Questions!$A$41,IFERROR(SimpleLookup(Questions!$A$36,$A:$E)=Definitions!$O$5,FALSE),$C25=Definitions!$A$5),
Questions!$A$36&amp;" "&amp;Questions!$B$36&amp;CHAR(10)&amp;CHAR(187)&amp;" "&amp;SimpleLookup(Questions!$A$36,$A:$C)&amp;CHAR(10)&amp;SimpleLookup(Questions!$A$36,$A:$D)&amp;CHAR(10)&amp;CHAR(187)&amp;" "&amp;Definitions!$O$5&amp;CHAR(10)&amp;CHAR(10)&amp;
"is incosistent with"&amp;CHAR(10)&amp;CHAR(10)&amp;
$A25&amp;" "&amp;SimpleLookup($A25,Questions!$A:$B)&amp;CHAR(10)&amp;CHAR(187)&amp;" "&amp;$C25,
"")</f>
        <v/>
      </c>
      <c r="AM25" s="99" cm="1">
        <f t="array" aca="1" ref="AM25" ca="1">CreateID($AM$3,$AM:$AM,$AL25&lt;&gt;"")</f>
        <v>0</v>
      </c>
      <c r="AN25" s="99" t="str" cm="1">
        <f t="array" aca="1" ref="AN25" ca="1">IF(OR($C25="",OFFSET($C25,1,0)=""),"",
IF(AND($A25=Questions!$A$59,OFFSET($A25,1,0)=Questions!$A$60,SimpleLookup(Questions!$A$49,$A:$C)=Definitions!$A$4),
IF(MATCH($C25,Definitions!$AW:$AW,0)&gt;MATCH(OFFSET($C25,1,0),Definitions!AW:AW,0),$A25&amp;" "&amp;$K25&amp;": "&amp;$C25&amp;CHAR(10)&amp;"&lt;---&gt;"&amp;CHAR(10)&amp;OFFSET($A25,1,0)&amp;" "&amp;OFFSET($K25,1,0)&amp;": "&amp;OFFSET($C25,1,0),""),
""))</f>
        <v/>
      </c>
      <c r="AO25" s="99" cm="1">
        <f t="array" aca="1" ref="AO25" ca="1">CreateID($AO$3,$AO:$AO,$AN25&lt;&gt;"")</f>
        <v>0</v>
      </c>
    </row>
    <row r="26" spans="1:41" ht="60" x14ac:dyDescent="0.25">
      <c r="A26" s="96" t="s">
        <v>1078</v>
      </c>
      <c r="B26" s="4" t="str" cm="1">
        <f t="array" aca="1" ref="B26" ca="1">IF($A26="","",CreateIndentedString($K26,Definitions!$T$4,SimpleLookup($A26,Questions!$A:$C)))</f>
        <v xml:space="preserve">      Can  a  manipulated  product  disclose  intellectual
      property  to  an  attacker?  Also  consider  cases
      where  the  product  is  used  against  its  intended
      use  or  misconfigured!</v>
      </c>
      <c r="D26" s="8" t="str">
        <f ca="1">$AF26</f>
        <v/>
      </c>
      <c r="F26" s="8" t="str">
        <f ca="1">$AJ26</f>
        <v/>
      </c>
      <c r="I26" s="15" t="str">
        <f t="shared" ca="1" si="0"/>
        <v>QI12[]</v>
      </c>
      <c r="J26" s="15" t="str">
        <f t="shared" ca="1" si="1"/>
        <v>QI12[]</v>
      </c>
      <c r="K26" s="15" t="str" cm="1">
        <f t="array" aca="1" ref="K26" ca="1">SimpleLookup($A26,Questions!$A:$B)</f>
        <v>Can a manipulated product disclose intellectual property to an attacker? Also consider cases where the product is used against its intended use or misconfigured!</v>
      </c>
      <c r="L26" s="15" cm="1">
        <f t="array" aca="1" ref="L26" ca="1">CreateID($L$3,$L:$L,AND($A26&lt;&gt;"",$AC26))</f>
        <v>12</v>
      </c>
      <c r="M26" s="99" cm="1">
        <f t="array" aca="1" ref="M26" ca="1">CreateTaskID($M$3,$M:$M,Tasks!$B$17,$G26)</f>
        <v>0</v>
      </c>
      <c r="N26" s="15" t="str">
        <f t="shared" ca="1" si="2"/>
        <v>QI12 Can a manipulated product disclose intellectual property to an attacker? Also consider cases where the product is used against its intended use or misconfigured!</v>
      </c>
      <c r="O26" s="15" cm="1">
        <f t="array" aca="1" ref="O26" ca="1">CreateID($O$3,$O:$O,$N26&lt;&gt;"")</f>
        <v>12</v>
      </c>
      <c r="P26" s="99" t="str">
        <f t="shared" ca="1" si="3"/>
        <v/>
      </c>
      <c r="Q26" s="99" cm="1">
        <f t="array" aca="1" ref="Q26" ca="1">CreateID($Q$3,$Q:$Q,$P26&lt;&gt;"")</f>
        <v>0</v>
      </c>
      <c r="R26" s="99" t="str">
        <f t="shared" ca="1" si="4"/>
        <v/>
      </c>
      <c r="S26" s="99" cm="1">
        <f t="array" aca="1" ref="S26" ca="1">CreateID($S$3,$S:$S,$R26&lt;&gt;"")</f>
        <v>0</v>
      </c>
      <c r="T26" s="99" t="str">
        <f t="shared" ca="1" si="5"/>
        <v/>
      </c>
      <c r="U26" s="99" cm="1">
        <f t="array" aca="1" ref="U26" ca="1">CreateID($U$3,$U:$U,$T26&lt;&gt;"")</f>
        <v>0</v>
      </c>
      <c r="V26" s="99" cm="1">
        <f t="array" aca="1" ref="V26" ca="1">CreateID($V$3,$V:$V,IFERROR(FIND(Definitions!$AR$4,$G26)&gt;0,FALSE))</f>
        <v>0</v>
      </c>
      <c r="W26" s="99">
        <f>_xlfn.LET(
_xlpm._comment,$G26,
_xlpm._keyWord,Definitions!$AR$4,
_xlpm._diffLen,LEN(_xlpm._comment)-LEN(SUBSTITUTE(_xlpm._comment,_xlpm._keyWord,"")),
_xlpm._diffLen/LEN(_xlpm._keyWord))</f>
        <v>0</v>
      </c>
      <c r="X26" s="99" cm="1">
        <f t="array" aca="1" ref="X26" ca="1">CreateID($X$3,$X:$X,IFERROR(FIND(Definitions!$AR$5,$G26)&gt;0,FALSE))</f>
        <v>0</v>
      </c>
      <c r="Y26" s="99">
        <f>_xlfn.LET(
_xlpm._comment,$G26,
_xlpm._keyWord,Definitions!$AR$5,
_xlpm._diffLen,LEN(_xlpm._comment)-LEN(SUBSTITUTE(_xlpm._comment,_xlpm._keyWord,"")),
_xlpm._diffLen/LEN(_xlpm._keyWord))</f>
        <v>0</v>
      </c>
      <c r="Z26" s="99" t="b">
        <f ca="1">OR(IFERROR(_xlfn.XMATCH("*,"&amp;$A26&amp;",*",Assumptions!$AL:$AL,2)&gt;0,FALSE),
IFERROR(_xlfn.XMATCH("*,"&amp;$A26&amp;",*",Countermeasures!$AO:$AO,2)&gt;0,FALSE))</f>
        <v>0</v>
      </c>
      <c r="AA26" s="99" t="str" cm="1">
        <f t="array" aca="1" ref="AA26" ca="1">CreateSearchString($I26)</f>
        <v>,QI12[],</v>
      </c>
      <c r="AB26" s="99" t="str">
        <f>IF($E26="","",IFERROR(VLOOKUP($E26,Definitions!$H:$J,COLUMNS(Definitions!$H:$J),FALSE),""))</f>
        <v/>
      </c>
      <c r="AC26" s="99" t="b" cm="1">
        <f t="array" aca="1" ref="AC26" ca="1">IF($A26="",FALSE,SimpleLookup($A26,Questions!$A:$D)="x")</f>
        <v>1</v>
      </c>
      <c r="AD26" s="99" t="str" cm="1">
        <f t="array" aca="1" ref="AD26" ca="1">IF(OR($A26="",NOT($AC26)),"",SimpleLookup($A26,Questions!$A:$E))</f>
        <v>'[2025-07-30_QuBA_libre.xlsx]Definitions'!$A$4</v>
      </c>
      <c r="AE26" s="99" cm="1">
        <f t="array" aca="1" ref="AE26" ca="1">IF(OR($A26="",NOT($AC26)),"",SimpleLookup($A26,Questions!$A:$F))</f>
        <v>2</v>
      </c>
      <c r="AF26" s="99" t="str" cm="1">
        <f t="array" aca="1" ref="AF26" ca="1">_xlfn.LET(
_xlpm._answer,$C26,
_xlpm._infoTextFull,IF($AC26,CHAR(10)&amp;SimpleLookup($A26,Questions!$A:$H)&amp;CHAR(10),""),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26" s="99" t="b" cm="1">
        <f t="array" aca="1" ref="AG26" ca="1">IF(OR($A26="",NOT($AC26)),FALSE,_xlfn.LET(
_xlpm._secondAnswerRequiredOn,SimpleLookup($A26,Questions!$A:$I),
_xlpm._firstAnwer,$C26,
IFERROR(FIND(CHAR(10)&amp;_xlpm._firstAnwer&amp;":",CHAR(10)&amp;_xlpm._secondAnswerRequiredOn)&gt;0,FALSE)))</f>
        <v>0</v>
      </c>
      <c r="AH26" s="99" t="str" cm="1">
        <f t="array" aca="1" ref="AH26" ca="1">IF(OR($A26="",NOT($AC26)),"",_xlfn.LET(
_xlpm._id,$A26,
_xlpm._firstAnswer,$C26,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'[2025-07-30_QuBA_libre.xlsx]Definitions'!$H$7</v>
      </c>
      <c r="AI26" s="99" cm="1">
        <f t="array" aca="1" ref="AI26" ca="1">IF(OR($A26="",NOT($AC26)),"",_xlfn.LET(
_xlpm._id,$A26,
_xlpm._firstAnswer,$C26,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3</v>
      </c>
      <c r="AJ26" s="99" t="str" cm="1">
        <f t="array" aca="1" ref="AJ26" ca="1">IF($AG26,_xlfn.LET(
_xlpm._answer,$E26,
_xlpm._infoTextFull,IF($AC26,CHAR(10)&amp;SimpleLookup($A26,Questions!$A:$L)&amp;CHAR(10),""),
_xlpm._startSelectedByAnswerOne,IF(_xlpm._infoTextFull="",0,FIND("___"&amp;$C26&amp;"___",_xlpm._infoTextFull)+LEN("___"&amp;$C26&amp;"___")),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26" s="99" t="b" cm="1">
        <f t="array" aca="1" ref="AK26" ca="1">IF(OR($A26="",NOT($AC26)),FALSE,SimpleLookup($A26,Questions!$A:$Q))</f>
        <v>0</v>
      </c>
      <c r="AL26" s="99" t="str" cm="1">
        <f t="array" aca="1" ref="AL26" ca="1">IF(AND($A26=Questions!$A$41,IFERROR(SimpleLookup(Questions!$A$36,$A:$E)=Definitions!$O$5,FALSE),$C26=Definitions!$A$5),
Questions!$A$36&amp;" "&amp;Questions!$B$36&amp;CHAR(10)&amp;CHAR(187)&amp;" "&amp;SimpleLookup(Questions!$A$36,$A:$C)&amp;CHAR(10)&amp;SimpleLookup(Questions!$A$36,$A:$D)&amp;CHAR(10)&amp;CHAR(187)&amp;" "&amp;Definitions!$O$5&amp;CHAR(10)&amp;CHAR(10)&amp;
"is incosistent with"&amp;CHAR(10)&amp;CHAR(10)&amp;
$A26&amp;" "&amp;SimpleLookup($A26,Questions!$A:$B)&amp;CHAR(10)&amp;CHAR(187)&amp;" "&amp;$C26,
"")</f>
        <v/>
      </c>
      <c r="AM26" s="99" cm="1">
        <f t="array" aca="1" ref="AM26" ca="1">CreateID($AM$3,$AM:$AM,$AL26&lt;&gt;"")</f>
        <v>0</v>
      </c>
      <c r="AN26" s="99" t="str" cm="1">
        <f t="array" aca="1" ref="AN26" ca="1">IF(OR($C26="",OFFSET($C26,1,0)=""),"",
IF(AND($A26=Questions!$A$59,OFFSET($A26,1,0)=Questions!$A$60,SimpleLookup(Questions!$A$49,$A:$C)=Definitions!$A$4),
IF(MATCH($C26,Definitions!$AW:$AW,0)&gt;MATCH(OFFSET($C26,1,0),Definitions!AW:AW,0),$A26&amp;" "&amp;$K26&amp;": "&amp;$C26&amp;CHAR(10)&amp;"&lt;---&gt;"&amp;CHAR(10)&amp;OFFSET($A26,1,0)&amp;" "&amp;OFFSET($K26,1,0)&amp;": "&amp;OFFSET($C26,1,0),""),
""))</f>
        <v/>
      </c>
      <c r="AO26" s="99" cm="1">
        <f t="array" aca="1" ref="AO26" ca="1">CreateID($AO$3,$AO:$AO,$AN26&lt;&gt;"")</f>
        <v>0</v>
      </c>
    </row>
    <row r="27" spans="1:41" ht="90" x14ac:dyDescent="0.25">
      <c r="A27" s="96" t="s">
        <v>1077</v>
      </c>
      <c r="B27" s="4" t="str" cm="1">
        <f t="array" aca="1" ref="B27" ca="1">IF($A27="","",CreateIndentedString($K27,Definitions!$T$4,SimpleLookup($A27,Questions!$A:$C)))</f>
        <v xml:space="preserve">      Can  a  manipulated  product  disclose  credentials  /
      cryptographic  material  to  an  attacker?  Also
      consider  cases  where  the  product  does  not
      disclose  the  material  but  misuses  its  access  to
      other  systems!  (E.g.,  product  contains  access
      credentials  to  store  data  on  a  server.)</v>
      </c>
      <c r="D27" s="8" t="str">
        <f ca="1">$AF27</f>
        <v/>
      </c>
      <c r="F27" s="8" t="str">
        <f ca="1">$AJ27</f>
        <v/>
      </c>
      <c r="I27" s="15" t="str">
        <f t="shared" ca="1" si="0"/>
        <v>QI13[]</v>
      </c>
      <c r="J27" s="15" t="str">
        <f t="shared" ca="1" si="1"/>
        <v>QI13[]</v>
      </c>
      <c r="K27" s="15" t="str" cm="1">
        <f t="array" aca="1" ref="K27" ca="1">SimpleLookup($A27,Questions!$A:$B)</f>
        <v>Can a manipulated product disclose credentials / cryptographic material to an attacker? Also consider cases where the product does not disclose the material but misuses its access to other systems! (E.g., product contains access credentials to store data on a server.)</v>
      </c>
      <c r="L27" s="15" cm="1">
        <f t="array" aca="1" ref="L27" ca="1">CreateID($L$3,$L:$L,AND($A27&lt;&gt;"",$AC27))</f>
        <v>13</v>
      </c>
      <c r="M27" s="99" cm="1">
        <f t="array" aca="1" ref="M27" ca="1">CreateTaskID($M$3,$M:$M,Tasks!$B$17,$G27)</f>
        <v>0</v>
      </c>
      <c r="N27" s="15" t="str">
        <f t="shared" ca="1" si="2"/>
        <v>QI13 Can a manipulated product disclose credentials / cryptographic material to an attacker? Also consider cases where the product does not disclose the material but misuses its access to other systems! (E.g., product contains access credentials to store data on a server.)</v>
      </c>
      <c r="O27" s="15" cm="1">
        <f t="array" aca="1" ref="O27" ca="1">CreateID($O$3,$O:$O,$N27&lt;&gt;"")</f>
        <v>13</v>
      </c>
      <c r="P27" s="99" t="str">
        <f t="shared" ca="1" si="3"/>
        <v/>
      </c>
      <c r="Q27" s="99" cm="1">
        <f t="array" aca="1" ref="Q27" ca="1">CreateID($Q$3,$Q:$Q,$P27&lt;&gt;"")</f>
        <v>0</v>
      </c>
      <c r="R27" s="99" t="str">
        <f t="shared" ca="1" si="4"/>
        <v/>
      </c>
      <c r="S27" s="99" cm="1">
        <f t="array" aca="1" ref="S27" ca="1">CreateID($S$3,$S:$S,$R27&lt;&gt;"")</f>
        <v>0</v>
      </c>
      <c r="T27" s="99" t="str">
        <f t="shared" ca="1" si="5"/>
        <v/>
      </c>
      <c r="U27" s="99" cm="1">
        <f t="array" aca="1" ref="U27" ca="1">CreateID($U$3,$U:$U,$T27&lt;&gt;"")</f>
        <v>0</v>
      </c>
      <c r="V27" s="99" cm="1">
        <f t="array" aca="1" ref="V27" ca="1">CreateID($V$3,$V:$V,IFERROR(FIND(Definitions!$AR$4,$G27)&gt;0,FALSE))</f>
        <v>0</v>
      </c>
      <c r="W27" s="99">
        <f>_xlfn.LET(
_xlpm._comment,$G27,
_xlpm._keyWord,Definitions!$AR$4,
_xlpm._diffLen,LEN(_xlpm._comment)-LEN(SUBSTITUTE(_xlpm._comment,_xlpm._keyWord,"")),
_xlpm._diffLen/LEN(_xlpm._keyWord))</f>
        <v>0</v>
      </c>
      <c r="X27" s="99" cm="1">
        <f t="array" aca="1" ref="X27" ca="1">CreateID($X$3,$X:$X,IFERROR(FIND(Definitions!$AR$5,$G27)&gt;0,FALSE))</f>
        <v>0</v>
      </c>
      <c r="Y27" s="99">
        <f>_xlfn.LET(
_xlpm._comment,$G27,
_xlpm._keyWord,Definitions!$AR$5,
_xlpm._diffLen,LEN(_xlpm._comment)-LEN(SUBSTITUTE(_xlpm._comment,_xlpm._keyWord,"")),
_xlpm._diffLen/LEN(_xlpm._keyWord))</f>
        <v>0</v>
      </c>
      <c r="Z27" s="99" t="b">
        <f ca="1">OR(IFERROR(_xlfn.XMATCH("*,"&amp;$A27&amp;",*",Assumptions!$AL:$AL,2)&gt;0,FALSE),
IFERROR(_xlfn.XMATCH("*,"&amp;$A27&amp;",*",Countermeasures!$AO:$AO,2)&gt;0,FALSE))</f>
        <v>0</v>
      </c>
      <c r="AA27" s="99" t="str" cm="1">
        <f t="array" aca="1" ref="AA27" ca="1">CreateSearchString($I27)</f>
        <v>,QI13[],</v>
      </c>
      <c r="AB27" s="99" t="str">
        <f>IF($E27="","",IFERROR(VLOOKUP($E27,Definitions!$H:$J,COLUMNS(Definitions!$H:$J),FALSE),""))</f>
        <v/>
      </c>
      <c r="AC27" s="99" t="b" cm="1">
        <f t="array" aca="1" ref="AC27" ca="1">IF($A27="",FALSE,SimpleLookup($A27,Questions!$A:$D)="x")</f>
        <v>1</v>
      </c>
      <c r="AD27" s="99" t="str" cm="1">
        <f t="array" aca="1" ref="AD27" ca="1">IF(OR($A27="",NOT($AC27)),"",SimpleLookup($A27,Questions!$A:$E))</f>
        <v>'[2025-07-30_QuBA_libre.xlsx]Definitions'!$A$4</v>
      </c>
      <c r="AE27" s="99" cm="1">
        <f t="array" aca="1" ref="AE27" ca="1">IF(OR($A27="",NOT($AC27)),"",SimpleLookup($A27,Questions!$A:$F))</f>
        <v>2</v>
      </c>
      <c r="AF27" s="99" t="str" cm="1">
        <f t="array" aca="1" ref="AF27" ca="1">_xlfn.LET(
_xlpm._answer,$C27,
_xlpm._infoTextFull,IF($AC27,CHAR(10)&amp;SimpleLookup($A27,Questions!$A:$H)&amp;CHAR(10),""),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27" s="99" t="b" cm="1">
        <f t="array" aca="1" ref="AG27" ca="1">IF(OR($A27="",NOT($AC27)),FALSE,_xlfn.LET(
_xlpm._secondAnswerRequiredOn,SimpleLookup($A27,Questions!$A:$I),
_xlpm._firstAnwer,$C27,
IFERROR(FIND(CHAR(10)&amp;_xlpm._firstAnwer&amp;":",CHAR(10)&amp;_xlpm._secondAnswerRequiredOn)&gt;0,FALSE)))</f>
        <v>0</v>
      </c>
      <c r="AH27" s="99" t="str" cm="1">
        <f t="array" aca="1" ref="AH27" ca="1">IF(OR($A27="",NOT($AC27)),"",_xlfn.LET(
_xlpm._id,$A27,
_xlpm._firstAnswer,$C27,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'[2025-07-30_QuBA_libre.xlsx]Definitions'!$H$4</v>
      </c>
      <c r="AI27" s="99" cm="1">
        <f t="array" aca="1" ref="AI27" ca="1">IF(OR($A27="",NOT($AC27)),"",_xlfn.LET(
_xlpm._id,$A27,
_xlpm._firstAnswer,$C27,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20</v>
      </c>
      <c r="AJ27" s="99" t="str" cm="1">
        <f t="array" aca="1" ref="AJ27" ca="1">IF($AG27,_xlfn.LET(
_xlpm._answer,$E27,
_xlpm._infoTextFull,IF($AC27,CHAR(10)&amp;SimpleLookup($A27,Questions!$A:$L)&amp;CHAR(10),""),
_xlpm._startSelectedByAnswerOne,IF(_xlpm._infoTextFull="",0,FIND("___"&amp;$C27&amp;"___",_xlpm._infoTextFull)+LEN("___"&amp;$C27&amp;"___")),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27" s="99" t="b" cm="1">
        <f t="array" aca="1" ref="AK27" ca="1">IF(OR($A27="",NOT($AC27)),FALSE,SimpleLookup($A27,Questions!$A:$Q))</f>
        <v>0</v>
      </c>
      <c r="AL27" s="99" t="str" cm="1">
        <f t="array" aca="1" ref="AL27" ca="1">IF(AND($A27=Questions!$A$41,IFERROR(SimpleLookup(Questions!$A$36,$A:$E)=Definitions!$O$5,FALSE),$C27=Definitions!$A$5),
Questions!$A$36&amp;" "&amp;Questions!$B$36&amp;CHAR(10)&amp;CHAR(187)&amp;" "&amp;SimpleLookup(Questions!$A$36,$A:$C)&amp;CHAR(10)&amp;SimpleLookup(Questions!$A$36,$A:$D)&amp;CHAR(10)&amp;CHAR(187)&amp;" "&amp;Definitions!$O$5&amp;CHAR(10)&amp;CHAR(10)&amp;
"is incosistent with"&amp;CHAR(10)&amp;CHAR(10)&amp;
$A27&amp;" "&amp;SimpleLookup($A27,Questions!$A:$B)&amp;CHAR(10)&amp;CHAR(187)&amp;" "&amp;$C27,
"")</f>
        <v/>
      </c>
      <c r="AM27" s="99" cm="1">
        <f t="array" aca="1" ref="AM27" ca="1">CreateID($AM$3,$AM:$AM,$AL27&lt;&gt;"")</f>
        <v>0</v>
      </c>
      <c r="AN27" s="99" t="str" cm="1">
        <f t="array" aca="1" ref="AN27" ca="1">IF(OR($C27="",OFFSET($C27,1,0)=""),"",
IF(AND($A27=Questions!$A$59,OFFSET($A27,1,0)=Questions!$A$60,SimpleLookup(Questions!$A$49,$A:$C)=Definitions!$A$4),
IF(MATCH($C27,Definitions!$AW:$AW,0)&gt;MATCH(OFFSET($C27,1,0),Definitions!AW:AW,0),$A27&amp;" "&amp;$K27&amp;": "&amp;$C27&amp;CHAR(10)&amp;"&lt;---&gt;"&amp;CHAR(10)&amp;OFFSET($A27,1,0)&amp;" "&amp;OFFSET($K27,1,0)&amp;": "&amp;OFFSET($C27,1,0),""),
""))</f>
        <v/>
      </c>
      <c r="AO27" s="99" cm="1">
        <f t="array" aca="1" ref="AO27" ca="1">CreateID($AO$3,$AO:$AO,$AN27&lt;&gt;"")</f>
        <v>0</v>
      </c>
    </row>
    <row r="28" spans="1:41" x14ac:dyDescent="0.25">
      <c r="A28" s="96" t="s">
        <v>1187</v>
      </c>
      <c r="B28" s="4" t="str" cm="1">
        <f t="array" aca="1" ref="B28" ca="1">IF($A28="","",CreateIndentedString($K28,Definitions!$T$4,SimpleLookup($A28,Questions!$A:$C)))</f>
        <v xml:space="preserve">   Function  and  availability</v>
      </c>
      <c r="I28" s="15" t="str">
        <f t="shared" ca="1" si="0"/>
        <v/>
      </c>
      <c r="J28" s="15" t="str">
        <f t="shared" ca="1" si="1"/>
        <v/>
      </c>
      <c r="K28" s="15" t="str" cm="1">
        <f t="array" aca="1" ref="K28" ca="1">SimpleLookup($A28,Questions!$A:$B)</f>
        <v>Function and availability</v>
      </c>
      <c r="L28" s="15" cm="1">
        <f t="array" aca="1" ref="L28" ca="1">CreateID($L$3,$L:$L,AND($A28&lt;&gt;"",$AC28))</f>
        <v>13</v>
      </c>
      <c r="M28" s="99" cm="1">
        <f t="array" aca="1" ref="M28" ca="1">CreateTaskID($M$3,$M:$M,Tasks!$B$17,$G28)</f>
        <v>0</v>
      </c>
      <c r="N28" s="15" t="str">
        <f t="shared" ca="1" si="2"/>
        <v/>
      </c>
      <c r="O28" s="15" cm="1">
        <f t="array" aca="1" ref="O28" ca="1">CreateID($O$3,$O:$O,$N28&lt;&gt;"")</f>
        <v>13</v>
      </c>
      <c r="P28" s="99" t="str">
        <f t="shared" si="3"/>
        <v/>
      </c>
      <c r="Q28" s="99" cm="1">
        <f t="array" aca="1" ref="Q28" ca="1">CreateID($Q$3,$Q:$Q,$P28&lt;&gt;"")</f>
        <v>0</v>
      </c>
      <c r="R28" s="99" t="str">
        <f t="shared" si="4"/>
        <v/>
      </c>
      <c r="S28" s="99" cm="1">
        <f t="array" aca="1" ref="S28" ca="1">CreateID($S$3,$S:$S,$R28&lt;&gt;"")</f>
        <v>0</v>
      </c>
      <c r="T28" s="99" t="str">
        <f t="shared" ca="1" si="5"/>
        <v/>
      </c>
      <c r="U28" s="99" cm="1">
        <f t="array" aca="1" ref="U28" ca="1">CreateID($U$3,$U:$U,$T28&lt;&gt;"")</f>
        <v>0</v>
      </c>
      <c r="V28" s="99" cm="1">
        <f t="array" aca="1" ref="V28" ca="1">CreateID($V$3,$V:$V,IFERROR(FIND(Definitions!$AR$4,$G28)&gt;0,FALSE))</f>
        <v>0</v>
      </c>
      <c r="W28" s="99">
        <f>_xlfn.LET(
_xlpm._comment,$G28,
_xlpm._keyWord,Definitions!$AR$4,
_xlpm._diffLen,LEN(_xlpm._comment)-LEN(SUBSTITUTE(_xlpm._comment,_xlpm._keyWord,"")),
_xlpm._diffLen/LEN(_xlpm._keyWord))</f>
        <v>0</v>
      </c>
      <c r="X28" s="99" cm="1">
        <f t="array" aca="1" ref="X28" ca="1">CreateID($X$3,$X:$X,IFERROR(FIND(Definitions!$AR$5,$G28)&gt;0,FALSE))</f>
        <v>0</v>
      </c>
      <c r="Y28" s="99">
        <f>_xlfn.LET(
_xlpm._comment,$G28,
_xlpm._keyWord,Definitions!$AR$5,
_xlpm._diffLen,LEN(_xlpm._comment)-LEN(SUBSTITUTE(_xlpm._comment,_xlpm._keyWord,"")),
_xlpm._diffLen/LEN(_xlpm._keyWord))</f>
        <v>0</v>
      </c>
      <c r="Z28" s="99" t="b">
        <f ca="1">OR(IFERROR(_xlfn.XMATCH("*,"&amp;$A28&amp;",*",Assumptions!$AL:$AL,2)&gt;0,FALSE),
IFERROR(_xlfn.XMATCH("*,"&amp;$A28&amp;",*",Countermeasures!$AO:$AO,2)&gt;0,FALSE))</f>
        <v>0</v>
      </c>
      <c r="AA28" s="99" t="str" cm="1">
        <f t="array" aca="1" ref="AA28" ca="1">CreateSearchString($I28)</f>
        <v/>
      </c>
      <c r="AB28" s="99" t="str">
        <f>IF($E28="","",IFERROR(VLOOKUP($E28,Definitions!$H:$J,COLUMNS(Definitions!$H:$J),FALSE),""))</f>
        <v/>
      </c>
      <c r="AC28" s="99" t="b" cm="1">
        <f t="array" aca="1" ref="AC28" ca="1">IF($A28="",FALSE,SimpleLookup($A28,Questions!$A:$D)="x")</f>
        <v>0</v>
      </c>
      <c r="AD28" s="99" t="str" cm="1">
        <f t="array" aca="1" ref="AD28" ca="1">IF(OR($A28="",NOT($AC28)),"",SimpleLookup($A28,Questions!$A:$E))</f>
        <v/>
      </c>
      <c r="AE28" s="99" t="str" cm="1">
        <f t="array" aca="1" ref="AE28" ca="1">IF(OR($A28="",NOT($AC28)),"",SimpleLookup($A28,Questions!$A:$F))</f>
        <v/>
      </c>
      <c r="AF28" s="99" t="str" cm="1">
        <f t="array" aca="1" ref="AF28" ca="1">_xlfn.LET(
_xlpm._answer,$C28,
_xlpm._infoTextFull,IF($AC28,CHAR(10)&amp;SimpleLookup($A28,Questions!$A:$H)&amp;CHAR(10),""),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28" s="99" t="b" cm="1">
        <f t="array" aca="1" ref="AG28" ca="1">IF(OR($A28="",NOT($AC28)),FALSE,_xlfn.LET(
_xlpm._secondAnswerRequiredOn,SimpleLookup($A28,Questions!$A:$I),
_xlpm._firstAnwer,$C28,
IFERROR(FIND(CHAR(10)&amp;_xlpm._firstAnwer&amp;":",CHAR(10)&amp;_xlpm._secondAnswerRequiredOn)&gt;0,FALSE)))</f>
        <v>0</v>
      </c>
      <c r="AH28" s="99" t="str" cm="1">
        <f t="array" aca="1" ref="AH28" ca="1">IF(OR($A28="",NOT($AC28)),"",_xlfn.LET(
_xlpm._id,$A28,
_xlpm._firstAnswer,$C28,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28" s="99" t="str" cm="1">
        <f t="array" aca="1" ref="AI28" ca="1">IF(OR($A28="",NOT($AC28)),"",_xlfn.LET(
_xlpm._id,$A28,
_xlpm._firstAnswer,$C28,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28" s="99" t="str" cm="1">
        <f t="array" aca="1" ref="AJ28" ca="1">IF($AG28,_xlfn.LET(
_xlpm._answer,$E28,
_xlpm._infoTextFull,IF($AC28,CHAR(10)&amp;SimpleLookup($A28,Questions!$A:$L)&amp;CHAR(10),""),
_xlpm._startSelectedByAnswerOne,IF(_xlpm._infoTextFull="",0,FIND("___"&amp;$C28&amp;"___",_xlpm._infoTextFull)+LEN("___"&amp;$C28&amp;"___")),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28" s="99" t="b" cm="1">
        <f t="array" aca="1" ref="AK28" ca="1">IF(OR($A28="",NOT($AC28)),FALSE,SimpleLookup($A28,Questions!$A:$Q))</f>
        <v>0</v>
      </c>
      <c r="AL28" s="99" t="str" cm="1">
        <f t="array" aca="1" ref="AL28" ca="1">IF(AND($A28=Questions!$A$41,IFERROR(SimpleLookup(Questions!$A$36,$A:$E)=Definitions!$O$5,FALSE),$C28=Definitions!$A$5),
Questions!$A$36&amp;" "&amp;Questions!$B$36&amp;CHAR(10)&amp;CHAR(187)&amp;" "&amp;SimpleLookup(Questions!$A$36,$A:$C)&amp;CHAR(10)&amp;SimpleLookup(Questions!$A$36,$A:$D)&amp;CHAR(10)&amp;CHAR(187)&amp;" "&amp;Definitions!$O$5&amp;CHAR(10)&amp;CHAR(10)&amp;
"is incosistent with"&amp;CHAR(10)&amp;CHAR(10)&amp;
$A28&amp;" "&amp;SimpleLookup($A28,Questions!$A:$B)&amp;CHAR(10)&amp;CHAR(187)&amp;" "&amp;$C28,
"")</f>
        <v/>
      </c>
      <c r="AM28" s="99" cm="1">
        <f t="array" aca="1" ref="AM28" ca="1">CreateID($AM$3,$AM:$AM,$AL28&lt;&gt;"")</f>
        <v>0</v>
      </c>
      <c r="AN28" s="99" t="str" cm="1">
        <f t="array" aca="1" ref="AN28" ca="1">IF(OR($C28="",OFFSET($C28,1,0)=""),"",
IF(AND($A28=Questions!$A$59,OFFSET($A28,1,0)=Questions!$A$60,SimpleLookup(Questions!$A$49,$A:$C)=Definitions!$A$4),
IF(MATCH($C28,Definitions!$AW:$AW,0)&gt;MATCH(OFFSET($C28,1,0),Definitions!AW:AW,0),$A28&amp;" "&amp;$K28&amp;": "&amp;$C28&amp;CHAR(10)&amp;"&lt;---&gt;"&amp;CHAR(10)&amp;OFFSET($A28,1,0)&amp;" "&amp;OFFSET($K28,1,0)&amp;": "&amp;OFFSET($C28,1,0),""),
""))</f>
        <v/>
      </c>
      <c r="AO28" s="99" cm="1">
        <f t="array" aca="1" ref="AO28" ca="1">CreateID($AO$3,$AO:$AO,$AN28&lt;&gt;"")</f>
        <v>0</v>
      </c>
    </row>
    <row r="29" spans="1:41" ht="30" x14ac:dyDescent="0.25">
      <c r="A29" s="96" t="s">
        <v>1075</v>
      </c>
      <c r="B29" s="4" t="str" cm="1">
        <f t="array" aca="1" ref="B29" ca="1">IF($A29="","",CreateIndentedString($K29,Definitions!$T$4,SimpleLookup($A29,Questions!$A:$C)))</f>
        <v xml:space="preserve">      Can  a  manipulated  product  affect  the  operation
      of  its  operational  environment?</v>
      </c>
      <c r="D29" s="8" t="str">
        <f ca="1">$AF29</f>
        <v/>
      </c>
      <c r="F29" s="8" t="str">
        <f ca="1">$AJ29</f>
        <v/>
      </c>
      <c r="I29" s="15" t="str">
        <f t="shared" ca="1" si="0"/>
        <v>QI14[]</v>
      </c>
      <c r="J29" s="15" t="str">
        <f t="shared" ca="1" si="1"/>
        <v>QI14[]</v>
      </c>
      <c r="K29" s="15" t="str" cm="1">
        <f t="array" aca="1" ref="K29" ca="1">SimpleLookup($A29,Questions!$A:$B)</f>
        <v>Can a manipulated product affect the operation of its operational environment?</v>
      </c>
      <c r="L29" s="15" cm="1">
        <f t="array" aca="1" ref="L29" ca="1">CreateID($L$3,$L:$L,AND($A29&lt;&gt;"",$AC29))</f>
        <v>14</v>
      </c>
      <c r="M29" s="99" cm="1">
        <f t="array" aca="1" ref="M29" ca="1">CreateTaskID($M$3,$M:$M,Tasks!$B$17,$G29)</f>
        <v>0</v>
      </c>
      <c r="N29" s="15" t="str">
        <f t="shared" ca="1" si="2"/>
        <v>QI14 Can a manipulated product affect the operation of its operational environment?</v>
      </c>
      <c r="O29" s="15" cm="1">
        <f t="array" aca="1" ref="O29" ca="1">CreateID($O$3,$O:$O,$N29&lt;&gt;"")</f>
        <v>14</v>
      </c>
      <c r="P29" s="99" t="str">
        <f t="shared" ca="1" si="3"/>
        <v/>
      </c>
      <c r="Q29" s="99" cm="1">
        <f t="array" aca="1" ref="Q29" ca="1">CreateID($Q$3,$Q:$Q,$P29&lt;&gt;"")</f>
        <v>0</v>
      </c>
      <c r="R29" s="99" t="str">
        <f t="shared" ca="1" si="4"/>
        <v/>
      </c>
      <c r="S29" s="99" cm="1">
        <f t="array" aca="1" ref="S29" ca="1">CreateID($S$3,$S:$S,$R29&lt;&gt;"")</f>
        <v>0</v>
      </c>
      <c r="T29" s="99" t="str">
        <f t="shared" ca="1" si="5"/>
        <v/>
      </c>
      <c r="U29" s="99" cm="1">
        <f t="array" aca="1" ref="U29" ca="1">CreateID($U$3,$U:$U,$T29&lt;&gt;"")</f>
        <v>0</v>
      </c>
      <c r="V29" s="99" cm="1">
        <f t="array" aca="1" ref="V29" ca="1">CreateID($V$3,$V:$V,IFERROR(FIND(Definitions!$AR$4,$G29)&gt;0,FALSE))</f>
        <v>0</v>
      </c>
      <c r="W29" s="99">
        <f>_xlfn.LET(
_xlpm._comment,$G29,
_xlpm._keyWord,Definitions!$AR$4,
_xlpm._diffLen,LEN(_xlpm._comment)-LEN(SUBSTITUTE(_xlpm._comment,_xlpm._keyWord,"")),
_xlpm._diffLen/LEN(_xlpm._keyWord))</f>
        <v>0</v>
      </c>
      <c r="X29" s="99" cm="1">
        <f t="array" aca="1" ref="X29" ca="1">CreateID($X$3,$X:$X,IFERROR(FIND(Definitions!$AR$5,$G29)&gt;0,FALSE))</f>
        <v>0</v>
      </c>
      <c r="Y29" s="99">
        <f>_xlfn.LET(
_xlpm._comment,$G29,
_xlpm._keyWord,Definitions!$AR$5,
_xlpm._diffLen,LEN(_xlpm._comment)-LEN(SUBSTITUTE(_xlpm._comment,_xlpm._keyWord,"")),
_xlpm._diffLen/LEN(_xlpm._keyWord))</f>
        <v>0</v>
      </c>
      <c r="Z29" s="99" t="b">
        <f ca="1">OR(IFERROR(_xlfn.XMATCH("*,"&amp;$A29&amp;",*",Assumptions!$AL:$AL,2)&gt;0,FALSE),
IFERROR(_xlfn.XMATCH("*,"&amp;$A29&amp;",*",Countermeasures!$AO:$AO,2)&gt;0,FALSE))</f>
        <v>0</v>
      </c>
      <c r="AA29" s="99" t="str" cm="1">
        <f t="array" aca="1" ref="AA29" ca="1">CreateSearchString($I29)</f>
        <v>,QI14[],</v>
      </c>
      <c r="AB29" s="99" t="str">
        <f>IF($E29="","",IFERROR(VLOOKUP($E29,Definitions!$H:$J,COLUMNS(Definitions!$H:$J),FALSE),""))</f>
        <v/>
      </c>
      <c r="AC29" s="99" t="b" cm="1">
        <f t="array" aca="1" ref="AC29" ca="1">IF($A29="",FALSE,SimpleLookup($A29,Questions!$A:$D)="x")</f>
        <v>1</v>
      </c>
      <c r="AD29" s="99" t="str" cm="1">
        <f t="array" aca="1" ref="AD29" ca="1">IF(OR($A29="",NOT($AC29)),"",SimpleLookup($A29,Questions!$A:$E))</f>
        <v>'[2025-07-30_QuBA_libre.xlsx]Definitions'!$A$4</v>
      </c>
      <c r="AE29" s="99" cm="1">
        <f t="array" aca="1" ref="AE29" ca="1">IF(OR($A29="",NOT($AC29)),"",SimpleLookup($A29,Questions!$A:$F))</f>
        <v>2</v>
      </c>
      <c r="AF29" s="99" t="str" cm="1">
        <f t="array" aca="1" ref="AF29" ca="1">_xlfn.LET(
_xlpm._answer,$C29,
_xlpm._infoTextFull,IF($AC29,CHAR(10)&amp;SimpleLookup($A29,Questions!$A:$H)&amp;CHAR(10),""),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29" s="99" t="b" cm="1">
        <f t="array" aca="1" ref="AG29" ca="1">IF(OR($A29="",NOT($AC29)),FALSE,_xlfn.LET(
_xlpm._secondAnswerRequiredOn,SimpleLookup($A29,Questions!$A:$I),
_xlpm._firstAnwer,$C29,
IFERROR(FIND(CHAR(10)&amp;_xlpm._firstAnwer&amp;":",CHAR(10)&amp;_xlpm._secondAnswerRequiredOn)&gt;0,FALSE)))</f>
        <v>0</v>
      </c>
      <c r="AH29" s="99" t="str" cm="1">
        <f t="array" aca="1" ref="AH29" ca="1">IF(OR($A29="",NOT($AC29)),"",_xlfn.LET(
_xlpm._id,$A29,
_xlpm._firstAnswer,$C29,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'[2025-07-30_QuBA_libre.xlsx]Definitions'!$H$18</v>
      </c>
      <c r="AI29" s="99" cm="1">
        <f t="array" aca="1" ref="AI29" ca="1">IF(OR($A29="",NOT($AC29)),"",_xlfn.LET(
_xlpm._id,$A29,
_xlpm._firstAnswer,$C29,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6</v>
      </c>
      <c r="AJ29" s="99" t="str" cm="1">
        <f t="array" aca="1" ref="AJ29" ca="1">IF($AG29,_xlfn.LET(
_xlpm._answer,$E29,
_xlpm._infoTextFull,IF($AC29,CHAR(10)&amp;SimpleLookup($A29,Questions!$A:$L)&amp;CHAR(10),""),
_xlpm._startSelectedByAnswerOne,IF(_xlpm._infoTextFull="",0,FIND("___"&amp;$C29&amp;"___",_xlpm._infoTextFull)+LEN("___"&amp;$C29&amp;"___")),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29" s="99" t="b" cm="1">
        <f t="array" aca="1" ref="AK29" ca="1">IF(OR($A29="",NOT($AC29)),FALSE,SimpleLookup($A29,Questions!$A:$Q))</f>
        <v>0</v>
      </c>
      <c r="AL29" s="99" t="str" cm="1">
        <f t="array" aca="1" ref="AL29" ca="1">IF(AND($A29=Questions!$A$41,IFERROR(SimpleLookup(Questions!$A$36,$A:$E)=Definitions!$O$5,FALSE),$C29=Definitions!$A$5),
Questions!$A$36&amp;" "&amp;Questions!$B$36&amp;CHAR(10)&amp;CHAR(187)&amp;" "&amp;SimpleLookup(Questions!$A$36,$A:$C)&amp;CHAR(10)&amp;SimpleLookup(Questions!$A$36,$A:$D)&amp;CHAR(10)&amp;CHAR(187)&amp;" "&amp;Definitions!$O$5&amp;CHAR(10)&amp;CHAR(10)&amp;
"is incosistent with"&amp;CHAR(10)&amp;CHAR(10)&amp;
$A29&amp;" "&amp;SimpleLookup($A29,Questions!$A:$B)&amp;CHAR(10)&amp;CHAR(187)&amp;" "&amp;$C29,
"")</f>
        <v/>
      </c>
      <c r="AM29" s="99" cm="1">
        <f t="array" aca="1" ref="AM29" ca="1">CreateID($AM$3,$AM:$AM,$AL29&lt;&gt;"")</f>
        <v>0</v>
      </c>
      <c r="AN29" s="99" t="str" cm="1">
        <f t="array" aca="1" ref="AN29" ca="1">IF(OR($C29="",OFFSET($C29,1,0)=""),"",
IF(AND($A29=Questions!$A$59,OFFSET($A29,1,0)=Questions!$A$60,SimpleLookup(Questions!$A$49,$A:$C)=Definitions!$A$4),
IF(MATCH($C29,Definitions!$AW:$AW,0)&gt;MATCH(OFFSET($C29,1,0),Definitions!AW:AW,0),$A29&amp;" "&amp;$K29&amp;": "&amp;$C29&amp;CHAR(10)&amp;"&lt;---&gt;"&amp;CHAR(10)&amp;OFFSET($A29,1,0)&amp;" "&amp;OFFSET($K29,1,0)&amp;": "&amp;OFFSET($C29,1,0),""),
""))</f>
        <v/>
      </c>
      <c r="AO29" s="99" cm="1">
        <f t="array" aca="1" ref="AO29" ca="1">CreateID($AO$3,$AO:$AO,$AN29&lt;&gt;"")</f>
        <v>0</v>
      </c>
    </row>
    <row r="30" spans="1:41" x14ac:dyDescent="0.25">
      <c r="A30" s="96" t="s">
        <v>1188</v>
      </c>
      <c r="B30" s="4" t="str" cm="1">
        <f t="array" aca="1" ref="B30" ca="1">IF($A30="","",CreateIndentedString($K30,Definitions!$T$4,SimpleLookup($A30,Questions!$A:$C)))</f>
        <v xml:space="preserve">   Financial  and  legal</v>
      </c>
      <c r="I30" s="15" t="str">
        <f t="shared" ca="1" si="0"/>
        <v/>
      </c>
      <c r="J30" s="15" t="str">
        <f t="shared" ca="1" si="1"/>
        <v/>
      </c>
      <c r="K30" s="15" t="str" cm="1">
        <f t="array" aca="1" ref="K30" ca="1">SimpleLookup($A30,Questions!$A:$B)</f>
        <v>Financial and legal</v>
      </c>
      <c r="L30" s="15" cm="1">
        <f t="array" aca="1" ref="L30" ca="1">CreateID($L$3,$L:$L,AND($A30&lt;&gt;"",$AC30))</f>
        <v>14</v>
      </c>
      <c r="M30" s="99" cm="1">
        <f t="array" aca="1" ref="M30" ca="1">CreateTaskID($M$3,$M:$M,Tasks!$B$17,$G30)</f>
        <v>0</v>
      </c>
      <c r="N30" s="15" t="str">
        <f t="shared" ca="1" si="2"/>
        <v/>
      </c>
      <c r="O30" s="15" cm="1">
        <f t="array" aca="1" ref="O30" ca="1">CreateID($O$3,$O:$O,$N30&lt;&gt;"")</f>
        <v>14</v>
      </c>
      <c r="P30" s="99" t="str">
        <f t="shared" si="3"/>
        <v/>
      </c>
      <c r="Q30" s="99" cm="1">
        <f t="array" aca="1" ref="Q30" ca="1">CreateID($Q$3,$Q:$Q,$P30&lt;&gt;"")</f>
        <v>0</v>
      </c>
      <c r="R30" s="99" t="str">
        <f t="shared" si="4"/>
        <v/>
      </c>
      <c r="S30" s="99" cm="1">
        <f t="array" aca="1" ref="S30" ca="1">CreateID($S$3,$S:$S,$R30&lt;&gt;"")</f>
        <v>0</v>
      </c>
      <c r="T30" s="99" t="str">
        <f t="shared" ca="1" si="5"/>
        <v/>
      </c>
      <c r="U30" s="99" cm="1">
        <f t="array" aca="1" ref="U30" ca="1">CreateID($U$3,$U:$U,$T30&lt;&gt;"")</f>
        <v>0</v>
      </c>
      <c r="V30" s="99" cm="1">
        <f t="array" aca="1" ref="V30" ca="1">CreateID($V$3,$V:$V,IFERROR(FIND(Definitions!$AR$4,$G30)&gt;0,FALSE))</f>
        <v>0</v>
      </c>
      <c r="W30" s="99">
        <f>_xlfn.LET(
_xlpm._comment,$G30,
_xlpm._keyWord,Definitions!$AR$4,
_xlpm._diffLen,LEN(_xlpm._comment)-LEN(SUBSTITUTE(_xlpm._comment,_xlpm._keyWord,"")),
_xlpm._diffLen/LEN(_xlpm._keyWord))</f>
        <v>0</v>
      </c>
      <c r="X30" s="99" cm="1">
        <f t="array" aca="1" ref="X30" ca="1">CreateID($X$3,$X:$X,IFERROR(FIND(Definitions!$AR$5,$G30)&gt;0,FALSE))</f>
        <v>0</v>
      </c>
      <c r="Y30" s="99">
        <f>_xlfn.LET(
_xlpm._comment,$G30,
_xlpm._keyWord,Definitions!$AR$5,
_xlpm._diffLen,LEN(_xlpm._comment)-LEN(SUBSTITUTE(_xlpm._comment,_xlpm._keyWord,"")),
_xlpm._diffLen/LEN(_xlpm._keyWord))</f>
        <v>0</v>
      </c>
      <c r="Z30" s="99" t="b">
        <f ca="1">OR(IFERROR(_xlfn.XMATCH("*,"&amp;$A30&amp;",*",Assumptions!$AL:$AL,2)&gt;0,FALSE),
IFERROR(_xlfn.XMATCH("*,"&amp;$A30&amp;",*",Countermeasures!$AO:$AO,2)&gt;0,FALSE))</f>
        <v>0</v>
      </c>
      <c r="AA30" s="99" t="str" cm="1">
        <f t="array" aca="1" ref="AA30" ca="1">CreateSearchString($I30)</f>
        <v/>
      </c>
      <c r="AB30" s="99" t="str">
        <f>IF($E30="","",IFERROR(VLOOKUP($E30,Definitions!$H:$J,COLUMNS(Definitions!$H:$J),FALSE),""))</f>
        <v/>
      </c>
      <c r="AC30" s="99" t="b" cm="1">
        <f t="array" aca="1" ref="AC30" ca="1">IF($A30="",FALSE,SimpleLookup($A30,Questions!$A:$D)="x")</f>
        <v>0</v>
      </c>
      <c r="AD30" s="99" t="str" cm="1">
        <f t="array" aca="1" ref="AD30" ca="1">IF(OR($A30="",NOT($AC30)),"",SimpleLookup($A30,Questions!$A:$E))</f>
        <v/>
      </c>
      <c r="AE30" s="99" t="str" cm="1">
        <f t="array" aca="1" ref="AE30" ca="1">IF(OR($A30="",NOT($AC30)),"",SimpleLookup($A30,Questions!$A:$F))</f>
        <v/>
      </c>
      <c r="AF30" s="99" t="str" cm="1">
        <f t="array" aca="1" ref="AF30" ca="1">_xlfn.LET(
_xlpm._answer,$C30,
_xlpm._infoTextFull,IF($AC30,CHAR(10)&amp;SimpleLookup($A30,Questions!$A:$H)&amp;CHAR(10),""),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30" s="99" t="b" cm="1">
        <f t="array" aca="1" ref="AG30" ca="1">IF(OR($A30="",NOT($AC30)),FALSE,_xlfn.LET(
_xlpm._secondAnswerRequiredOn,SimpleLookup($A30,Questions!$A:$I),
_xlpm._firstAnwer,$C30,
IFERROR(FIND(CHAR(10)&amp;_xlpm._firstAnwer&amp;":",CHAR(10)&amp;_xlpm._secondAnswerRequiredOn)&gt;0,FALSE)))</f>
        <v>0</v>
      </c>
      <c r="AH30" s="99" t="str" cm="1">
        <f t="array" aca="1" ref="AH30" ca="1">IF(OR($A30="",NOT($AC30)),"",_xlfn.LET(
_xlpm._id,$A30,
_xlpm._firstAnswer,$C30,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30" s="99" t="str" cm="1">
        <f t="array" aca="1" ref="AI30" ca="1">IF(OR($A30="",NOT($AC30)),"",_xlfn.LET(
_xlpm._id,$A30,
_xlpm._firstAnswer,$C30,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30" s="99" t="str" cm="1">
        <f t="array" aca="1" ref="AJ30" ca="1">IF($AG30,_xlfn.LET(
_xlpm._answer,$E30,
_xlpm._infoTextFull,IF($AC30,CHAR(10)&amp;SimpleLookup($A30,Questions!$A:$L)&amp;CHAR(10),""),
_xlpm._startSelectedByAnswerOne,IF(_xlpm._infoTextFull="",0,FIND("___"&amp;$C30&amp;"___",_xlpm._infoTextFull)+LEN("___"&amp;$C30&amp;"___")),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30" s="99" t="b" cm="1">
        <f t="array" aca="1" ref="AK30" ca="1">IF(OR($A30="",NOT($AC30)),FALSE,SimpleLookup($A30,Questions!$A:$Q))</f>
        <v>0</v>
      </c>
      <c r="AL30" s="99" t="str" cm="1">
        <f t="array" aca="1" ref="AL30" ca="1">IF(AND($A30=Questions!$A$41,IFERROR(SimpleLookup(Questions!$A$36,$A:$E)=Definitions!$O$5,FALSE),$C30=Definitions!$A$5),
Questions!$A$36&amp;" "&amp;Questions!$B$36&amp;CHAR(10)&amp;CHAR(187)&amp;" "&amp;SimpleLookup(Questions!$A$36,$A:$C)&amp;CHAR(10)&amp;SimpleLookup(Questions!$A$36,$A:$D)&amp;CHAR(10)&amp;CHAR(187)&amp;" "&amp;Definitions!$O$5&amp;CHAR(10)&amp;CHAR(10)&amp;
"is incosistent with"&amp;CHAR(10)&amp;CHAR(10)&amp;
$A30&amp;" "&amp;SimpleLookup($A30,Questions!$A:$B)&amp;CHAR(10)&amp;CHAR(187)&amp;" "&amp;$C30,
"")</f>
        <v/>
      </c>
      <c r="AM30" s="99" cm="1">
        <f t="array" aca="1" ref="AM30" ca="1">CreateID($AM$3,$AM:$AM,$AL30&lt;&gt;"")</f>
        <v>0</v>
      </c>
      <c r="AN30" s="99" t="str" cm="1">
        <f t="array" aca="1" ref="AN30" ca="1">IF(OR($C30="",OFFSET($C30,1,0)=""),"",
IF(AND($A30=Questions!$A$59,OFFSET($A30,1,0)=Questions!$A$60,SimpleLookup(Questions!$A$49,$A:$C)=Definitions!$A$4),
IF(MATCH($C30,Definitions!$AW:$AW,0)&gt;MATCH(OFFSET($C30,1,0),Definitions!AW:AW,0),$A30&amp;" "&amp;$K30&amp;": "&amp;$C30&amp;CHAR(10)&amp;"&lt;---&gt;"&amp;CHAR(10)&amp;OFFSET($A30,1,0)&amp;" "&amp;OFFSET($K30,1,0)&amp;": "&amp;OFFSET($C30,1,0),""),
""))</f>
        <v/>
      </c>
      <c r="AO30" s="99" cm="1">
        <f t="array" aca="1" ref="AO30" ca="1">CreateID($AO$3,$AO:$AO,$AN30&lt;&gt;"")</f>
        <v>0</v>
      </c>
    </row>
    <row r="31" spans="1:41" ht="45" x14ac:dyDescent="0.25">
      <c r="A31" s="96" t="s">
        <v>1074</v>
      </c>
      <c r="B31" s="4" t="str" cm="1">
        <f t="array" aca="1" ref="B31" ca="1">IF($A31="","",CreateIndentedString($K31,Definitions!$T$4,SimpleLookup($A31,Questions!$A:$C)))</f>
        <v xml:space="preserve">      Can  a  manipulated  product  allow  an  attacker
      access  to  assets  of  the  customer  or  allow  the
      attacker  to  attack  the  customer's  network?</v>
      </c>
      <c r="D31" s="8" t="str">
        <f ca="1">$AF31</f>
        <v/>
      </c>
      <c r="F31" s="8" t="str">
        <f ca="1">$AJ31</f>
        <v/>
      </c>
      <c r="I31" s="15" t="str">
        <f t="shared" ca="1" si="0"/>
        <v>QI15[]</v>
      </c>
      <c r="J31" s="15" t="str">
        <f t="shared" ca="1" si="1"/>
        <v>QI15[]</v>
      </c>
      <c r="K31" s="15" t="str" cm="1">
        <f t="array" aca="1" ref="K31" ca="1">SimpleLookup($A31,Questions!$A:$B)</f>
        <v>Can a manipulated product allow an attacker access to assets of the customer or allow the attacker to attack the customer's network?</v>
      </c>
      <c r="L31" s="15" cm="1">
        <f t="array" aca="1" ref="L31" ca="1">CreateID($L$3,$L:$L,AND($A31&lt;&gt;"",$AC31))</f>
        <v>15</v>
      </c>
      <c r="M31" s="99" cm="1">
        <f t="array" aca="1" ref="M31" ca="1">CreateTaskID($M$3,$M:$M,Tasks!$B$17,$G31)</f>
        <v>0</v>
      </c>
      <c r="N31" s="15" t="str">
        <f t="shared" ca="1" si="2"/>
        <v>QI15 Can a manipulated product allow an attacker access to assets of the customer or allow the attacker to attack the customer's network?</v>
      </c>
      <c r="O31" s="15" cm="1">
        <f t="array" aca="1" ref="O31" ca="1">CreateID($O$3,$O:$O,$N31&lt;&gt;"")</f>
        <v>15</v>
      </c>
      <c r="P31" s="99" t="str">
        <f t="shared" ca="1" si="3"/>
        <v/>
      </c>
      <c r="Q31" s="99" cm="1">
        <f t="array" aca="1" ref="Q31" ca="1">CreateID($Q$3,$Q:$Q,$P31&lt;&gt;"")</f>
        <v>0</v>
      </c>
      <c r="R31" s="99" t="str">
        <f t="shared" ca="1" si="4"/>
        <v/>
      </c>
      <c r="S31" s="99" cm="1">
        <f t="array" aca="1" ref="S31" ca="1">CreateID($S$3,$S:$S,$R31&lt;&gt;"")</f>
        <v>0</v>
      </c>
      <c r="T31" s="99" t="str">
        <f t="shared" ca="1" si="5"/>
        <v/>
      </c>
      <c r="U31" s="99" cm="1">
        <f t="array" aca="1" ref="U31" ca="1">CreateID($U$3,$U:$U,$T31&lt;&gt;"")</f>
        <v>0</v>
      </c>
      <c r="V31" s="99" cm="1">
        <f t="array" aca="1" ref="V31" ca="1">CreateID($V$3,$V:$V,IFERROR(FIND(Definitions!$AR$4,$G31)&gt;0,FALSE))</f>
        <v>0</v>
      </c>
      <c r="W31" s="99">
        <f>_xlfn.LET(
_xlpm._comment,$G31,
_xlpm._keyWord,Definitions!$AR$4,
_xlpm._diffLen,LEN(_xlpm._comment)-LEN(SUBSTITUTE(_xlpm._comment,_xlpm._keyWord,"")),
_xlpm._diffLen/LEN(_xlpm._keyWord))</f>
        <v>0</v>
      </c>
      <c r="X31" s="99" cm="1">
        <f t="array" aca="1" ref="X31" ca="1">CreateID($X$3,$X:$X,IFERROR(FIND(Definitions!$AR$5,$G31)&gt;0,FALSE))</f>
        <v>0</v>
      </c>
      <c r="Y31" s="99">
        <f>_xlfn.LET(
_xlpm._comment,$G31,
_xlpm._keyWord,Definitions!$AR$5,
_xlpm._diffLen,LEN(_xlpm._comment)-LEN(SUBSTITUTE(_xlpm._comment,_xlpm._keyWord,"")),
_xlpm._diffLen/LEN(_xlpm._keyWord))</f>
        <v>0</v>
      </c>
      <c r="Z31" s="99" t="b">
        <f ca="1">OR(IFERROR(_xlfn.XMATCH("*,"&amp;$A31&amp;",*",Assumptions!$AL:$AL,2)&gt;0,FALSE),
IFERROR(_xlfn.XMATCH("*,"&amp;$A31&amp;",*",Countermeasures!$AO:$AO,2)&gt;0,FALSE))</f>
        <v>0</v>
      </c>
      <c r="AA31" s="99" t="str" cm="1">
        <f t="array" aca="1" ref="AA31" ca="1">CreateSearchString($I31)</f>
        <v>,QI15[],</v>
      </c>
      <c r="AB31" s="99" t="str">
        <f>IF($E31="","",IFERROR(VLOOKUP($E31,Definitions!$H:$J,COLUMNS(Definitions!$H:$J),FALSE),""))</f>
        <v/>
      </c>
      <c r="AC31" s="99" t="b" cm="1">
        <f t="array" aca="1" ref="AC31" ca="1">IF($A31="",FALSE,SimpleLookup($A31,Questions!$A:$D)="x")</f>
        <v>1</v>
      </c>
      <c r="AD31" s="99" t="str" cm="1">
        <f t="array" aca="1" ref="AD31" ca="1">IF(OR($A31="",NOT($AC31)),"",SimpleLookup($A31,Questions!$A:$E))</f>
        <v>'[2025-07-30_QuBA_libre.xlsx]Definitions'!$A$4</v>
      </c>
      <c r="AE31" s="99" cm="1">
        <f t="array" aca="1" ref="AE31" ca="1">IF(OR($A31="",NOT($AC31)),"",SimpleLookup($A31,Questions!$A:$F))</f>
        <v>2</v>
      </c>
      <c r="AF31" s="99" t="str" cm="1">
        <f t="array" aca="1" ref="AF31" ca="1">_xlfn.LET(
_xlpm._answer,$C31,
_xlpm._infoTextFull,IF($AC31,CHAR(10)&amp;SimpleLookup($A31,Questions!$A:$H)&amp;CHAR(10),""),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31" s="99" t="b" cm="1">
        <f t="array" aca="1" ref="AG31" ca="1">IF(OR($A31="",NOT($AC31)),FALSE,_xlfn.LET(
_xlpm._secondAnswerRequiredOn,SimpleLookup($A31,Questions!$A:$I),
_xlpm._firstAnwer,$C31,
IFERROR(FIND(CHAR(10)&amp;_xlpm._firstAnwer&amp;":",CHAR(10)&amp;_xlpm._secondAnswerRequiredOn)&gt;0,FALSE)))</f>
        <v>0</v>
      </c>
      <c r="AH31" s="99" t="str" cm="1">
        <f t="array" aca="1" ref="AH31" ca="1">IF(OR($A31="",NOT($AC31)),"",_xlfn.LET(
_xlpm._id,$A31,
_xlpm._firstAnswer,$C31,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'[2025-07-30_QuBA_libre.xlsx]Helper'!$D$2</v>
      </c>
      <c r="AI31" s="99" cm="1">
        <f t="array" aca="1" ref="AI31" ca="1">IF(OR($A31="",NOT($AC31)),"",_xlfn.LET(
_xlpm._id,$A31,
_xlpm._firstAnswer,$C31,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10</v>
      </c>
      <c r="AJ31" s="99" t="str" cm="1">
        <f t="array" aca="1" ref="AJ31" ca="1">IF($AG31,_xlfn.LET(
_xlpm._answer,$E31,
_xlpm._infoTextFull,IF($AC31,CHAR(10)&amp;SimpleLookup($A31,Questions!$A:$L)&amp;CHAR(10),""),
_xlpm._startSelectedByAnswerOne,IF(_xlpm._infoTextFull="",0,FIND("___"&amp;$C31&amp;"___",_xlpm._infoTextFull)+LEN("___"&amp;$C31&amp;"___")),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31" s="99" t="b" cm="1">
        <f t="array" aca="1" ref="AK31" ca="1">IF(OR($A31="",NOT($AC31)),FALSE,SimpleLookup($A31,Questions!$A:$Q))</f>
        <v>0</v>
      </c>
      <c r="AL31" s="99" t="str" cm="1">
        <f t="array" aca="1" ref="AL31" ca="1">IF(AND($A31=Questions!$A$41,IFERROR(SimpleLookup(Questions!$A$36,$A:$E)=Definitions!$O$5,FALSE),$C31=Definitions!$A$5),
Questions!$A$36&amp;" "&amp;Questions!$B$36&amp;CHAR(10)&amp;CHAR(187)&amp;" "&amp;SimpleLookup(Questions!$A$36,$A:$C)&amp;CHAR(10)&amp;SimpleLookup(Questions!$A$36,$A:$D)&amp;CHAR(10)&amp;CHAR(187)&amp;" "&amp;Definitions!$O$5&amp;CHAR(10)&amp;CHAR(10)&amp;
"is incosistent with"&amp;CHAR(10)&amp;CHAR(10)&amp;
$A31&amp;" "&amp;SimpleLookup($A31,Questions!$A:$B)&amp;CHAR(10)&amp;CHAR(187)&amp;" "&amp;$C31,
"")</f>
        <v/>
      </c>
      <c r="AM31" s="99" cm="1">
        <f t="array" aca="1" ref="AM31" ca="1">CreateID($AM$3,$AM:$AM,$AL31&lt;&gt;"")</f>
        <v>0</v>
      </c>
      <c r="AN31" s="99" t="str" cm="1">
        <f t="array" aca="1" ref="AN31" ca="1">IF(OR($C31="",OFFSET($C31,1,0)=""),"",
IF(AND($A31=Questions!$A$59,OFFSET($A31,1,0)=Questions!$A$60,SimpleLookup(Questions!$A$49,$A:$C)=Definitions!$A$4),
IF(MATCH($C31,Definitions!$AW:$AW,0)&gt;MATCH(OFFSET($C31,1,0),Definitions!AW:AW,0),$A31&amp;" "&amp;$K31&amp;": "&amp;$C31&amp;CHAR(10)&amp;"&lt;---&gt;"&amp;CHAR(10)&amp;OFFSET($A31,1,0)&amp;" "&amp;OFFSET($K31,1,0)&amp;": "&amp;OFFSET($C31,1,0),""),
""))</f>
        <v/>
      </c>
      <c r="AO31" s="99" cm="1">
        <f t="array" aca="1" ref="AO31" ca="1">CreateID($AO$3,$AO:$AO,$AN31&lt;&gt;"")</f>
        <v>0</v>
      </c>
    </row>
    <row r="32" spans="1:41" ht="75" x14ac:dyDescent="0.25">
      <c r="A32" s="96" t="s">
        <v>1072</v>
      </c>
      <c r="B32" s="4" t="str" cm="1">
        <f t="array" aca="1" ref="B32" ca="1">IF($A32="","",CreateIndentedString($K32,Definitions!$T$4,SimpleLookup($A32,Questions!$A:$C)))</f>
        <v xml:space="preserve">      Can  a  manipulated  product  cause  contract-related
      /  legal  fines?  (Note  that  this  concerns
      individual  obligations,  not  the  standard  product
      warranty).</v>
      </c>
      <c r="D32" s="8" t="str">
        <f ca="1">$AF32</f>
        <v/>
      </c>
      <c r="F32" s="8" t="str">
        <f ca="1">$AJ32</f>
        <v/>
      </c>
      <c r="I32" s="15" t="str">
        <f t="shared" ca="1" si="0"/>
        <v>QI16[]</v>
      </c>
      <c r="J32" s="15" t="str">
        <f t="shared" ca="1" si="1"/>
        <v>QI16[]</v>
      </c>
      <c r="K32" s="15" t="str" cm="1">
        <f t="array" aca="1" ref="K32" ca="1">SimpleLookup($A32,Questions!$A:$B)</f>
        <v>Can a manipulated product cause contract-related / legal fines? (Note that this concerns individual obligations, not the standard product warranty).</v>
      </c>
      <c r="L32" s="15" cm="1">
        <f t="array" aca="1" ref="L32" ca="1">CreateID($L$3,$L:$L,AND($A32&lt;&gt;"",$AC32))</f>
        <v>16</v>
      </c>
      <c r="M32" s="99" cm="1">
        <f t="array" aca="1" ref="M32" ca="1">CreateTaskID($M$3,$M:$M,Tasks!$B$17,$G32)</f>
        <v>0</v>
      </c>
      <c r="N32" s="15" t="str">
        <f t="shared" ca="1" si="2"/>
        <v>QI16 Can a manipulated product cause contract-related / legal fines? (Note that this concerns individual obligations, not the standard product warranty).</v>
      </c>
      <c r="O32" s="15" cm="1">
        <f t="array" aca="1" ref="O32" ca="1">CreateID($O$3,$O:$O,$N32&lt;&gt;"")</f>
        <v>16</v>
      </c>
      <c r="P32" s="99" t="str">
        <f t="shared" ca="1" si="3"/>
        <v/>
      </c>
      <c r="Q32" s="99" cm="1">
        <f t="array" aca="1" ref="Q32" ca="1">CreateID($Q$3,$Q:$Q,$P32&lt;&gt;"")</f>
        <v>0</v>
      </c>
      <c r="R32" s="99" t="str">
        <f t="shared" ca="1" si="4"/>
        <v/>
      </c>
      <c r="S32" s="99" cm="1">
        <f t="array" aca="1" ref="S32" ca="1">CreateID($S$3,$S:$S,$R32&lt;&gt;"")</f>
        <v>0</v>
      </c>
      <c r="T32" s="99" t="str">
        <f t="shared" ca="1" si="5"/>
        <v/>
      </c>
      <c r="U32" s="99" cm="1">
        <f t="array" aca="1" ref="U32" ca="1">CreateID($U$3,$U:$U,$T32&lt;&gt;"")</f>
        <v>0</v>
      </c>
      <c r="V32" s="99" cm="1">
        <f t="array" aca="1" ref="V32" ca="1">CreateID($V$3,$V:$V,IFERROR(FIND(Definitions!$AR$4,$G32)&gt;0,FALSE))</f>
        <v>0</v>
      </c>
      <c r="W32" s="99">
        <f>_xlfn.LET(
_xlpm._comment,$G32,
_xlpm._keyWord,Definitions!$AR$4,
_xlpm._diffLen,LEN(_xlpm._comment)-LEN(SUBSTITUTE(_xlpm._comment,_xlpm._keyWord,"")),
_xlpm._diffLen/LEN(_xlpm._keyWord))</f>
        <v>0</v>
      </c>
      <c r="X32" s="99" cm="1">
        <f t="array" aca="1" ref="X32" ca="1">CreateID($X$3,$X:$X,IFERROR(FIND(Definitions!$AR$5,$G32)&gt;0,FALSE))</f>
        <v>0</v>
      </c>
      <c r="Y32" s="99">
        <f>_xlfn.LET(
_xlpm._comment,$G32,
_xlpm._keyWord,Definitions!$AR$5,
_xlpm._diffLen,LEN(_xlpm._comment)-LEN(SUBSTITUTE(_xlpm._comment,_xlpm._keyWord,"")),
_xlpm._diffLen/LEN(_xlpm._keyWord))</f>
        <v>0</v>
      </c>
      <c r="Z32" s="99" t="b">
        <f ca="1">OR(IFERROR(_xlfn.XMATCH("*,"&amp;$A32&amp;",*",Assumptions!$AL:$AL,2)&gt;0,FALSE),
IFERROR(_xlfn.XMATCH("*,"&amp;$A32&amp;",*",Countermeasures!$AO:$AO,2)&gt;0,FALSE))</f>
        <v>0</v>
      </c>
      <c r="AA32" s="99" t="str" cm="1">
        <f t="array" aca="1" ref="AA32" ca="1">CreateSearchString($I32)</f>
        <v>,QI16[],</v>
      </c>
      <c r="AB32" s="99" t="str">
        <f>IF($E32="","",IFERROR(VLOOKUP($E32,Definitions!$H:$J,COLUMNS(Definitions!$H:$J),FALSE),""))</f>
        <v/>
      </c>
      <c r="AC32" s="99" t="b" cm="1">
        <f t="array" aca="1" ref="AC32" ca="1">IF($A32="",FALSE,SimpleLookup($A32,Questions!$A:$D)="x")</f>
        <v>1</v>
      </c>
      <c r="AD32" s="99" t="str" cm="1">
        <f t="array" aca="1" ref="AD32" ca="1">IF(OR($A32="",NOT($AC32)),"",SimpleLookup($A32,Questions!$A:$E))</f>
        <v>'[2025-07-30_QuBA_libre.xlsx]Definitions'!$A$4</v>
      </c>
      <c r="AE32" s="99" cm="1">
        <f t="array" aca="1" ref="AE32" ca="1">IF(OR($A32="",NOT($AC32)),"",SimpleLookup($A32,Questions!$A:$F))</f>
        <v>2</v>
      </c>
      <c r="AF32" s="99" t="str" cm="1">
        <f t="array" aca="1" ref="AF32" ca="1">_xlfn.LET(
_xlpm._answer,$C32,
_xlpm._infoTextFull,IF($AC32,CHAR(10)&amp;SimpleLookup($A32,Questions!$A:$H)&amp;CHAR(10),""),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32" s="99" t="b" cm="1">
        <f t="array" aca="1" ref="AG32" ca="1">IF(OR($A32="",NOT($AC32)),FALSE,_xlfn.LET(
_xlpm._secondAnswerRequiredOn,SimpleLookup($A32,Questions!$A:$I),
_xlpm._firstAnwer,$C32,
IFERROR(FIND(CHAR(10)&amp;_xlpm._firstAnwer&amp;":",CHAR(10)&amp;_xlpm._secondAnswerRequiredOn)&gt;0,FALSE)))</f>
        <v>0</v>
      </c>
      <c r="AH32" s="99" t="str" cm="1">
        <f t="array" aca="1" ref="AH32" ca="1">IF(OR($A32="",NOT($AC32)),"",_xlfn.LET(
_xlpm._id,$A32,
_xlpm._firstAnswer,$C32,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'[2025-07-30_QuBA_libre.xlsx]Definitions'!$H$10</v>
      </c>
      <c r="AI32" s="99" cm="1">
        <f t="array" aca="1" ref="AI32" ca="1">IF(OR($A32="",NOT($AC32)),"",_xlfn.LET(
_xlpm._id,$A32,
_xlpm._firstAnswer,$C32,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4</v>
      </c>
      <c r="AJ32" s="99" t="str" cm="1">
        <f t="array" aca="1" ref="AJ32" ca="1">IF($AG32,_xlfn.LET(
_xlpm._answer,$E32,
_xlpm._infoTextFull,IF($AC32,CHAR(10)&amp;SimpleLookup($A32,Questions!$A:$L)&amp;CHAR(10),""),
_xlpm._startSelectedByAnswerOne,IF(_xlpm._infoTextFull="",0,FIND("___"&amp;$C32&amp;"___",_xlpm._infoTextFull)+LEN("___"&amp;$C32&amp;"___")),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32" s="99" t="b" cm="1">
        <f t="array" aca="1" ref="AK32" ca="1">IF(OR($A32="",NOT($AC32)),FALSE,SimpleLookup($A32,Questions!$A:$Q))</f>
        <v>0</v>
      </c>
      <c r="AL32" s="99" t="str" cm="1">
        <f t="array" aca="1" ref="AL32" ca="1">IF(AND($A32=Questions!$A$41,IFERROR(SimpleLookup(Questions!$A$36,$A:$E)=Definitions!$O$5,FALSE),$C32=Definitions!$A$5),
Questions!$A$36&amp;" "&amp;Questions!$B$36&amp;CHAR(10)&amp;CHAR(187)&amp;" "&amp;SimpleLookup(Questions!$A$36,$A:$C)&amp;CHAR(10)&amp;SimpleLookup(Questions!$A$36,$A:$D)&amp;CHAR(10)&amp;CHAR(187)&amp;" "&amp;Definitions!$O$5&amp;CHAR(10)&amp;CHAR(10)&amp;
"is incosistent with"&amp;CHAR(10)&amp;CHAR(10)&amp;
$A32&amp;" "&amp;SimpleLookup($A32,Questions!$A:$B)&amp;CHAR(10)&amp;CHAR(187)&amp;" "&amp;$C32,
"")</f>
        <v/>
      </c>
      <c r="AM32" s="99" cm="1">
        <f t="array" aca="1" ref="AM32" ca="1">CreateID($AM$3,$AM:$AM,$AL32&lt;&gt;"")</f>
        <v>0</v>
      </c>
      <c r="AN32" s="99" t="str" cm="1">
        <f t="array" aca="1" ref="AN32" ca="1">IF(OR($C32="",OFFSET($C32,1,0)=""),"",
IF(AND($A32=Questions!$A$59,OFFSET($A32,1,0)=Questions!$A$60,SimpleLookup(Questions!$A$49,$A:$C)=Definitions!$A$4),
IF(MATCH($C32,Definitions!$AW:$AW,0)&gt;MATCH(OFFSET($C32,1,0),Definitions!AW:AW,0),$A32&amp;" "&amp;$K32&amp;": "&amp;$C32&amp;CHAR(10)&amp;"&lt;---&gt;"&amp;CHAR(10)&amp;OFFSET($A32,1,0)&amp;" "&amp;OFFSET($K32,1,0)&amp;": "&amp;OFFSET($C32,1,0),""),
""))</f>
        <v/>
      </c>
      <c r="AO32" s="99" cm="1">
        <f t="array" aca="1" ref="AO32" ca="1">CreateID($AO$3,$AO:$AO,$AN32&lt;&gt;"")</f>
        <v>0</v>
      </c>
    </row>
    <row r="33" spans="1:41" x14ac:dyDescent="0.25">
      <c r="B33" s="4" t="str" cm="1">
        <f t="array" ref="B33">IF($A33="","",CreateIndentedString($K33,Definitions!$T$4,SimpleLookup($A33,Questions!$A:$C)))</f>
        <v/>
      </c>
      <c r="I33" s="15" t="str">
        <f t="shared" si="0"/>
        <v/>
      </c>
      <c r="J33" s="15" t="str">
        <f t="shared" si="1"/>
        <v/>
      </c>
      <c r="K33" s="15" t="e" cm="1">
        <f t="array" aca="1" ref="K33" ca="1">SimpleLookup($A33,Questions!$A:$B)</f>
        <v>#N/A</v>
      </c>
      <c r="L33" s="15" cm="1">
        <f t="array" aca="1" ref="L33" ca="1">CreateID($L$3,$L:$L,AND($A33&lt;&gt;"",$AC33))</f>
        <v>16</v>
      </c>
      <c r="M33" s="99" cm="1">
        <f t="array" aca="1" ref="M33" ca="1">CreateTaskID($M$3,$M:$M,Tasks!$B$17,$G33)</f>
        <v>0</v>
      </c>
      <c r="N33" s="15" t="str">
        <f t="shared" si="2"/>
        <v/>
      </c>
      <c r="O33" s="15" cm="1">
        <f t="array" aca="1" ref="O33" ca="1">CreateID($O$3,$O:$O,$N33&lt;&gt;"")</f>
        <v>16</v>
      </c>
      <c r="P33" s="99" t="str">
        <f t="shared" si="3"/>
        <v/>
      </c>
      <c r="Q33" s="99" cm="1">
        <f t="array" aca="1" ref="Q33" ca="1">CreateID($Q$3,$Q:$Q,$P33&lt;&gt;"")</f>
        <v>0</v>
      </c>
      <c r="R33" s="99" t="str">
        <f t="shared" si="4"/>
        <v/>
      </c>
      <c r="S33" s="99" cm="1">
        <f t="array" aca="1" ref="S33" ca="1">CreateID($S$3,$S:$S,$R33&lt;&gt;"")</f>
        <v>0</v>
      </c>
      <c r="T33" s="99" t="str">
        <f t="shared" si="5"/>
        <v/>
      </c>
      <c r="U33" s="99" cm="1">
        <f t="array" aca="1" ref="U33" ca="1">CreateID($U$3,$U:$U,$T33&lt;&gt;"")</f>
        <v>0</v>
      </c>
      <c r="V33" s="99" cm="1">
        <f t="array" aca="1" ref="V33" ca="1">CreateID($V$3,$V:$V,IFERROR(FIND(Definitions!$AR$4,$G33)&gt;0,FALSE))</f>
        <v>0</v>
      </c>
      <c r="W33" s="99">
        <f>_xlfn.LET(
_xlpm._comment,$G33,
_xlpm._keyWord,Definitions!$AR$4,
_xlpm._diffLen,LEN(_xlpm._comment)-LEN(SUBSTITUTE(_xlpm._comment,_xlpm._keyWord,"")),
_xlpm._diffLen/LEN(_xlpm._keyWord))</f>
        <v>0</v>
      </c>
      <c r="X33" s="99" cm="1">
        <f t="array" aca="1" ref="X33" ca="1">CreateID($X$3,$X:$X,IFERROR(FIND(Definitions!$AR$5,$G33)&gt;0,FALSE))</f>
        <v>0</v>
      </c>
      <c r="Y33" s="99">
        <f>_xlfn.LET(
_xlpm._comment,$G33,
_xlpm._keyWord,Definitions!$AR$5,
_xlpm._diffLen,LEN(_xlpm._comment)-LEN(SUBSTITUTE(_xlpm._comment,_xlpm._keyWord,"")),
_xlpm._diffLen/LEN(_xlpm._keyWord))</f>
        <v>0</v>
      </c>
      <c r="Z33" s="99" t="b">
        <f ca="1">OR(IFERROR(_xlfn.XMATCH("*,"&amp;$A33&amp;",*",Assumptions!$AL:$AL,2)&gt;0,FALSE),
IFERROR(_xlfn.XMATCH("*,"&amp;$A33&amp;",*",Countermeasures!$AO:$AO,2)&gt;0,FALSE))</f>
        <v>0</v>
      </c>
      <c r="AA33" s="99" t="str" cm="1">
        <f t="array" ref="AA33">CreateSearchString($I33)</f>
        <v/>
      </c>
      <c r="AB33" s="99" t="str">
        <f>IF($E33="","",IFERROR(VLOOKUP($E33,Definitions!$H:$J,COLUMNS(Definitions!$H:$J),FALSE),""))</f>
        <v/>
      </c>
      <c r="AC33" s="99" t="b" cm="1">
        <f t="array" ref="AC33">IF($A33="",FALSE,SimpleLookup($A33,Questions!$A:$D)="x")</f>
        <v>0</v>
      </c>
      <c r="AD33" s="99" t="str" cm="1">
        <f t="array" ref="AD33">IF(OR($A33="",NOT($AC33)),"",SimpleLookup($A33,Questions!$A:$E))</f>
        <v/>
      </c>
      <c r="AE33" s="99" t="str" cm="1">
        <f t="array" ref="AE33">IF(OR($A33="",NOT($AC33)),"",SimpleLookup($A33,Questions!$A:$F))</f>
        <v/>
      </c>
      <c r="AF33" s="99" t="str" cm="1">
        <f t="array" ref="AF33">_xlfn.LET(
_xlpm._answer,$C33,
_xlpm._infoTextFull,IF($AC33,CHAR(10)&amp;SimpleLookup($A33,Questions!$A:$H)&amp;CHAR(10),""),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33" s="99" t="b" cm="1">
        <f t="array" ref="AG33">IF(OR($A33="",NOT($AC33)),FALSE,_xlfn.LET(
_xlpm._secondAnswerRequiredOn,SimpleLookup($A33,Questions!$A:$I),
_xlpm._firstAnwer,$C33,
IFERROR(FIND(CHAR(10)&amp;_xlpm._firstAnwer&amp;":",CHAR(10)&amp;_xlpm._secondAnswerRequiredOn)&gt;0,FALSE)))</f>
        <v>0</v>
      </c>
      <c r="AH33" s="99" t="str" cm="1">
        <f t="array" ref="AH33">IF(OR($A33="",NOT($AC33)),"",_xlfn.LET(
_xlpm._id,$A33,
_xlpm._firstAnswer,$C33,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33" s="99" t="str" cm="1">
        <f t="array" ref="AI33">IF(OR($A33="",NOT($AC33)),"",_xlfn.LET(
_xlpm._id,$A33,
_xlpm._firstAnswer,$C33,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33" s="99" t="str" cm="1">
        <f t="array" ref="AJ33">IF($AG33,_xlfn.LET(
_xlpm._answer,$E33,
_xlpm._infoTextFull,IF($AC33,CHAR(10)&amp;SimpleLookup($A33,Questions!$A:$L)&amp;CHAR(10),""),
_xlpm._startSelectedByAnswerOne,IF(_xlpm._infoTextFull="",0,FIND("___"&amp;$C33&amp;"___",_xlpm._infoTextFull)+LEN("___"&amp;$C33&amp;"___")),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33" s="99" t="b" cm="1">
        <f t="array" ref="AK33">IF(OR($A33="",NOT($AC33)),FALSE,SimpleLookup($A33,Questions!$A:$Q))</f>
        <v>0</v>
      </c>
      <c r="AL33" s="99" t="str" cm="1">
        <f t="array" aca="1" ref="AL33" ca="1">IF(AND($A33=Questions!$A$41,IFERROR(SimpleLookup(Questions!$A$36,$A:$E)=Definitions!$O$5,FALSE),$C33=Definitions!$A$5),
Questions!$A$36&amp;" "&amp;Questions!$B$36&amp;CHAR(10)&amp;CHAR(187)&amp;" "&amp;SimpleLookup(Questions!$A$36,$A:$C)&amp;CHAR(10)&amp;SimpleLookup(Questions!$A$36,$A:$D)&amp;CHAR(10)&amp;CHAR(187)&amp;" "&amp;Definitions!$O$5&amp;CHAR(10)&amp;CHAR(10)&amp;
"is incosistent with"&amp;CHAR(10)&amp;CHAR(10)&amp;
$A33&amp;" "&amp;SimpleLookup($A33,Questions!$A:$B)&amp;CHAR(10)&amp;CHAR(187)&amp;" "&amp;$C33,
"")</f>
        <v/>
      </c>
      <c r="AM33" s="99" cm="1">
        <f t="array" aca="1" ref="AM33" ca="1">CreateID($AM$3,$AM:$AM,$AL33&lt;&gt;"")</f>
        <v>0</v>
      </c>
      <c r="AN33" s="99" t="str" cm="1">
        <f t="array" aca="1" ref="AN33" ca="1">IF(OR($C33="",OFFSET($C33,1,0)=""),"",
IF(AND($A33=Questions!$A$59,OFFSET($A33,1,0)=Questions!$A$60,SimpleLookup(Questions!$A$49,$A:$C)=Definitions!$A$4),
IF(MATCH($C33,Definitions!$AW:$AW,0)&gt;MATCH(OFFSET($C33,1,0),Definitions!AW:AW,0),$A33&amp;" "&amp;$K33&amp;": "&amp;$C33&amp;CHAR(10)&amp;"&lt;---&gt;"&amp;CHAR(10)&amp;OFFSET($A33,1,0)&amp;" "&amp;OFFSET($K33,1,0)&amp;": "&amp;OFFSET($C33,1,0),""),
""))</f>
        <v/>
      </c>
      <c r="AO33" s="99" cm="1">
        <f t="array" aca="1" ref="AO33" ca="1">CreateID($AO$3,$AO:$AO,$AN33&lt;&gt;"")</f>
        <v>0</v>
      </c>
    </row>
    <row r="34" spans="1:41" ht="23.25" x14ac:dyDescent="0.35">
      <c r="A34" s="96" t="s">
        <v>1174</v>
      </c>
      <c r="B34" s="6" t="str" cm="1">
        <f t="array" aca="1" ref="B34" ca="1">IF($A34="","",CreateIndentedString($K34,Definitions!$T$4,SimpleLookup($A34,Questions!$A:$C)))</f>
        <v>Required  Attack  Potential</v>
      </c>
      <c r="I34" s="15" t="str">
        <f t="shared" ca="1" si="0"/>
        <v/>
      </c>
      <c r="J34" s="15" t="str">
        <f t="shared" ca="1" si="1"/>
        <v/>
      </c>
      <c r="K34" s="15" t="str" cm="1">
        <f t="array" aca="1" ref="K34" ca="1">SimpleLookup($A34,Questions!$A:$B)</f>
        <v>Required Attack Potential</v>
      </c>
      <c r="L34" s="15" cm="1">
        <f t="array" aca="1" ref="L34" ca="1">CreateID($L$3,$L:$L,AND($A34&lt;&gt;"",$AC34))</f>
        <v>16</v>
      </c>
      <c r="M34" s="99" cm="1">
        <f t="array" aca="1" ref="M34" ca="1">CreateTaskID($M$3,$M:$M,Tasks!$B$17,$G34)</f>
        <v>0</v>
      </c>
      <c r="N34" s="15" t="str">
        <f t="shared" ca="1" si="2"/>
        <v/>
      </c>
      <c r="O34" s="15" cm="1">
        <f t="array" aca="1" ref="O34" ca="1">CreateID($O$3,$O:$O,$N34&lt;&gt;"")</f>
        <v>16</v>
      </c>
      <c r="P34" s="99" t="str">
        <f t="shared" si="3"/>
        <v/>
      </c>
      <c r="Q34" s="99" cm="1">
        <f t="array" aca="1" ref="Q34" ca="1">CreateID($Q$3,$Q:$Q,$P34&lt;&gt;"")</f>
        <v>0</v>
      </c>
      <c r="R34" s="99" t="str">
        <f t="shared" si="4"/>
        <v/>
      </c>
      <c r="S34" s="99" cm="1">
        <f t="array" aca="1" ref="S34" ca="1">CreateID($S$3,$S:$S,$R34&lt;&gt;"")</f>
        <v>0</v>
      </c>
      <c r="T34" s="99" t="str">
        <f t="shared" ca="1" si="5"/>
        <v/>
      </c>
      <c r="U34" s="99" cm="1">
        <f t="array" aca="1" ref="U34" ca="1">CreateID($U$3,$U:$U,$T34&lt;&gt;"")</f>
        <v>0</v>
      </c>
      <c r="V34" s="99" cm="1">
        <f t="array" aca="1" ref="V34" ca="1">CreateID($V$3,$V:$V,IFERROR(FIND(Definitions!$AR$4,$G34)&gt;0,FALSE))</f>
        <v>0</v>
      </c>
      <c r="W34" s="99">
        <f>_xlfn.LET(
_xlpm._comment,$G34,
_xlpm._keyWord,Definitions!$AR$4,
_xlpm._diffLen,LEN(_xlpm._comment)-LEN(SUBSTITUTE(_xlpm._comment,_xlpm._keyWord,"")),
_xlpm._diffLen/LEN(_xlpm._keyWord))</f>
        <v>0</v>
      </c>
      <c r="X34" s="99" cm="1">
        <f t="array" aca="1" ref="X34" ca="1">CreateID($X$3,$X:$X,IFERROR(FIND(Definitions!$AR$5,$G34)&gt;0,FALSE))</f>
        <v>0</v>
      </c>
      <c r="Y34" s="99">
        <f>_xlfn.LET(
_xlpm._comment,$G34,
_xlpm._keyWord,Definitions!$AR$5,
_xlpm._diffLen,LEN(_xlpm._comment)-LEN(SUBSTITUTE(_xlpm._comment,_xlpm._keyWord,"")),
_xlpm._diffLen/LEN(_xlpm._keyWord))</f>
        <v>0</v>
      </c>
      <c r="Z34" s="99" t="b">
        <f ca="1">OR(IFERROR(_xlfn.XMATCH("*,"&amp;$A34&amp;",*",Assumptions!$AL:$AL,2)&gt;0,FALSE),
IFERROR(_xlfn.XMATCH("*,"&amp;$A34&amp;",*",Countermeasures!$AO:$AO,2)&gt;0,FALSE))</f>
        <v>0</v>
      </c>
      <c r="AA34" s="99" t="str" cm="1">
        <f t="array" aca="1" ref="AA34" ca="1">CreateSearchString($I34)</f>
        <v/>
      </c>
      <c r="AB34" s="99" t="str">
        <f>IF($E34="","",IFERROR(VLOOKUP($E34,Definitions!$H:$J,COLUMNS(Definitions!$H:$J),FALSE),""))</f>
        <v/>
      </c>
      <c r="AC34" s="99" t="b" cm="1">
        <f t="array" aca="1" ref="AC34" ca="1">IF($A34="",FALSE,SimpleLookup($A34,Questions!$A:$D)="x")</f>
        <v>0</v>
      </c>
      <c r="AD34" s="99" t="str" cm="1">
        <f t="array" aca="1" ref="AD34" ca="1">IF(OR($A34="",NOT($AC34)),"",SimpleLookup($A34,Questions!$A:$E))</f>
        <v/>
      </c>
      <c r="AE34" s="99" t="str" cm="1">
        <f t="array" aca="1" ref="AE34" ca="1">IF(OR($A34="",NOT($AC34)),"",SimpleLookup($A34,Questions!$A:$F))</f>
        <v/>
      </c>
      <c r="AF34" s="99" t="str" cm="1">
        <f t="array" aca="1" ref="AF34" ca="1">_xlfn.LET(
_xlpm._answer,$C34,
_xlpm._infoTextFull,IF($AC34,CHAR(10)&amp;SimpleLookup($A34,Questions!$A:$H)&amp;CHAR(10),""),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34" s="99" t="b" cm="1">
        <f t="array" aca="1" ref="AG34" ca="1">IF(OR($A34="",NOT($AC34)),FALSE,_xlfn.LET(
_xlpm._secondAnswerRequiredOn,SimpleLookup($A34,Questions!$A:$I),
_xlpm._firstAnwer,$C34,
IFERROR(FIND(CHAR(10)&amp;_xlpm._firstAnwer&amp;":",CHAR(10)&amp;_xlpm._secondAnswerRequiredOn)&gt;0,FALSE)))</f>
        <v>0</v>
      </c>
      <c r="AH34" s="99" t="str" cm="1">
        <f t="array" aca="1" ref="AH34" ca="1">IF(OR($A34="",NOT($AC34)),"",_xlfn.LET(
_xlpm._id,$A34,
_xlpm._firstAnswer,$C34,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34" s="99" t="str" cm="1">
        <f t="array" aca="1" ref="AI34" ca="1">IF(OR($A34="",NOT($AC34)),"",_xlfn.LET(
_xlpm._id,$A34,
_xlpm._firstAnswer,$C34,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34" s="99" t="str" cm="1">
        <f t="array" aca="1" ref="AJ34" ca="1">IF($AG34,_xlfn.LET(
_xlpm._answer,$E34,
_xlpm._infoTextFull,IF($AC34,CHAR(10)&amp;SimpleLookup($A34,Questions!$A:$L)&amp;CHAR(10),""),
_xlpm._startSelectedByAnswerOne,IF(_xlpm._infoTextFull="",0,FIND("___"&amp;$C34&amp;"___",_xlpm._infoTextFull)+LEN("___"&amp;$C34&amp;"___")),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34" s="99" t="b" cm="1">
        <f t="array" aca="1" ref="AK34" ca="1">IF(OR($A34="",NOT($AC34)),FALSE,SimpleLookup($A34,Questions!$A:$Q))</f>
        <v>0</v>
      </c>
      <c r="AL34" s="99" t="str" cm="1">
        <f t="array" aca="1" ref="AL34" ca="1">IF(AND($A34=Questions!$A$41,IFERROR(SimpleLookup(Questions!$A$36,$A:$E)=Definitions!$O$5,FALSE),$C34=Definitions!$A$5),
Questions!$A$36&amp;" "&amp;Questions!$B$36&amp;CHAR(10)&amp;CHAR(187)&amp;" "&amp;SimpleLookup(Questions!$A$36,$A:$C)&amp;CHAR(10)&amp;SimpleLookup(Questions!$A$36,$A:$D)&amp;CHAR(10)&amp;CHAR(187)&amp;" "&amp;Definitions!$O$5&amp;CHAR(10)&amp;CHAR(10)&amp;
"is incosistent with"&amp;CHAR(10)&amp;CHAR(10)&amp;
$A34&amp;" "&amp;SimpleLookup($A34,Questions!$A:$B)&amp;CHAR(10)&amp;CHAR(187)&amp;" "&amp;$C34,
"")</f>
        <v/>
      </c>
      <c r="AM34" s="99" cm="1">
        <f t="array" aca="1" ref="AM34" ca="1">CreateID($AM$3,$AM:$AM,$AL34&lt;&gt;"")</f>
        <v>0</v>
      </c>
      <c r="AN34" s="99" t="str" cm="1">
        <f t="array" aca="1" ref="AN34" ca="1">IF(OR($C34="",OFFSET($C34,1,0)=""),"",
IF(AND($A34=Questions!$A$59,OFFSET($A34,1,0)=Questions!$A$60,SimpleLookup(Questions!$A$49,$A:$C)=Definitions!$A$4),
IF(MATCH($C34,Definitions!$AW:$AW,0)&gt;MATCH(OFFSET($C34,1,0),Definitions!AW:AW,0),$A34&amp;" "&amp;$K34&amp;": "&amp;$C34&amp;CHAR(10)&amp;"&lt;---&gt;"&amp;CHAR(10)&amp;OFFSET($A34,1,0)&amp;" "&amp;OFFSET($K34,1,0)&amp;": "&amp;OFFSET($C34,1,0),""),
""))</f>
        <v/>
      </c>
      <c r="AO34" s="99" cm="1">
        <f t="array" aca="1" ref="AO34" ca="1">CreateID($AO$3,$AO:$AO,$AN34&lt;&gt;"")</f>
        <v>0</v>
      </c>
    </row>
    <row r="35" spans="1:41" x14ac:dyDescent="0.25">
      <c r="A35" s="96" t="s">
        <v>1038</v>
      </c>
      <c r="B35" s="4" t="str" cm="1">
        <f t="array" aca="1" ref="B35" ca="1">IF($A35="","",CreateIndentedString($K35,Definitions!$T$4,SimpleLookup($A35,Questions!$A:$C)))</f>
        <v>Does  the  product  have  any  connectivity?</v>
      </c>
      <c r="D35" s="8" t="str">
        <f ca="1">$AF35</f>
        <v/>
      </c>
      <c r="F35" s="8" t="str">
        <f ca="1">$AJ35</f>
        <v/>
      </c>
      <c r="I35" s="15" t="str">
        <f t="shared" ca="1" si="0"/>
        <v>QA1[]</v>
      </c>
      <c r="J35" s="15" t="str">
        <f t="shared" ca="1" si="1"/>
        <v>QA1[]</v>
      </c>
      <c r="K35" s="15" t="str" cm="1">
        <f t="array" aca="1" ref="K35" ca="1">SimpleLookup($A35,Questions!$A:$B)</f>
        <v>Does the product have any connectivity?</v>
      </c>
      <c r="L35" s="15" cm="1">
        <f t="array" aca="1" ref="L35" ca="1">CreateID($L$3,$L:$L,AND($A35&lt;&gt;"",$AC35))</f>
        <v>17</v>
      </c>
      <c r="M35" s="99" cm="1">
        <f t="array" aca="1" ref="M35" ca="1">CreateTaskID($M$3,$M:$M,Tasks!$B$17,$G35)</f>
        <v>0</v>
      </c>
      <c r="N35" s="15" t="str">
        <f t="shared" ca="1" si="2"/>
        <v>QA1 Does the product have any connectivity?</v>
      </c>
      <c r="O35" s="15" cm="1">
        <f t="array" aca="1" ref="O35" ca="1">CreateID($O$3,$O:$O,$N35&lt;&gt;"")</f>
        <v>17</v>
      </c>
      <c r="P35" s="99" t="str">
        <f t="shared" ca="1" si="3"/>
        <v/>
      </c>
      <c r="Q35" s="99" cm="1">
        <f t="array" aca="1" ref="Q35" ca="1">CreateID($Q$3,$Q:$Q,$P35&lt;&gt;"")</f>
        <v>0</v>
      </c>
      <c r="R35" s="99" t="str">
        <f t="shared" ca="1" si="4"/>
        <v/>
      </c>
      <c r="S35" s="99" cm="1">
        <f t="array" aca="1" ref="S35" ca="1">CreateID($S$3,$S:$S,$R35&lt;&gt;"")</f>
        <v>0</v>
      </c>
      <c r="T35" s="99" t="str">
        <f t="shared" ca="1" si="5"/>
        <v/>
      </c>
      <c r="U35" s="99" cm="1">
        <f t="array" aca="1" ref="U35" ca="1">CreateID($U$3,$U:$U,$T35&lt;&gt;"")</f>
        <v>0</v>
      </c>
      <c r="V35" s="99" cm="1">
        <f t="array" aca="1" ref="V35" ca="1">CreateID($V$3,$V:$V,IFERROR(FIND(Definitions!$AR$4,$G35)&gt;0,FALSE))</f>
        <v>0</v>
      </c>
      <c r="W35" s="99">
        <f>_xlfn.LET(
_xlpm._comment,$G35,
_xlpm._keyWord,Definitions!$AR$4,
_xlpm._diffLen,LEN(_xlpm._comment)-LEN(SUBSTITUTE(_xlpm._comment,_xlpm._keyWord,"")),
_xlpm._diffLen/LEN(_xlpm._keyWord))</f>
        <v>0</v>
      </c>
      <c r="X35" s="99" cm="1">
        <f t="array" aca="1" ref="X35" ca="1">CreateID($X$3,$X:$X,IFERROR(FIND(Definitions!$AR$5,$G35)&gt;0,FALSE))</f>
        <v>0</v>
      </c>
      <c r="Y35" s="99">
        <f>_xlfn.LET(
_xlpm._comment,$G35,
_xlpm._keyWord,Definitions!$AR$5,
_xlpm._diffLen,LEN(_xlpm._comment)-LEN(SUBSTITUTE(_xlpm._comment,_xlpm._keyWord,"")),
_xlpm._diffLen/LEN(_xlpm._keyWord))</f>
        <v>0</v>
      </c>
      <c r="Z35" s="99" t="b">
        <f ca="1">OR(IFERROR(_xlfn.XMATCH("*,"&amp;$A35&amp;",*",Assumptions!$AL:$AL,2)&gt;0,FALSE),
IFERROR(_xlfn.XMATCH("*,"&amp;$A35&amp;",*",Countermeasures!$AO:$AO,2)&gt;0,FALSE))</f>
        <v>0</v>
      </c>
      <c r="AA35" s="99" t="str" cm="1">
        <f t="array" aca="1" ref="AA35" ca="1">CreateSearchString($I35)</f>
        <v>,QA1[],</v>
      </c>
      <c r="AB35" s="99" t="str">
        <f>IF($E35="","",IFERROR(VLOOKUP($E35,Definitions!$H:$J,COLUMNS(Definitions!$H:$J),FALSE),""))</f>
        <v/>
      </c>
      <c r="AC35" s="99" t="b" cm="1">
        <f t="array" aca="1" ref="AC35" ca="1">IF($A35="",FALSE,SimpleLookup($A35,Questions!$A:$D)="x")</f>
        <v>1</v>
      </c>
      <c r="AD35" s="99" t="str" cm="1">
        <f t="array" aca="1" ref="AD35" ca="1">IF(OR($A35="",NOT($AC35)),"",SimpleLookup($A35,Questions!$A:$E))</f>
        <v>'[2025-07-30_QuBA_libre.xlsx]Definitions'!$A$4</v>
      </c>
      <c r="AE35" s="99" cm="1">
        <f t="array" aca="1" ref="AE35" ca="1">IF(OR($A35="",NOT($AC35)),"",SimpleLookup($A35,Questions!$A:$F))</f>
        <v>2</v>
      </c>
      <c r="AF35" s="99" t="str" cm="1">
        <f t="array" aca="1" ref="AF35" ca="1">_xlfn.LET(
_xlpm._answer,$C35,
_xlpm._infoTextFull,IF($AC35,CHAR(10)&amp;SimpleLookup($A35,Questions!$A:$H)&amp;CHAR(10),""),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35" s="99" t="b" cm="1">
        <f t="array" aca="1" ref="AG35" ca="1">IF(OR($A35="",NOT($AC35)),FALSE,_xlfn.LET(
_xlpm._secondAnswerRequiredOn,SimpleLookup($A35,Questions!$A:$I),
_xlpm._firstAnwer,$C35,
IFERROR(FIND(CHAR(10)&amp;_xlpm._firstAnwer&amp;":",CHAR(10)&amp;_xlpm._secondAnswerRequiredOn)&gt;0,FALSE)))</f>
        <v>0</v>
      </c>
      <c r="AH35" s="99" t="str" cm="1">
        <f t="array" aca="1" ref="AH35" ca="1">IF(OR($A35="",NOT($AC35)),"",_xlfn.LET(
_xlpm._id,$A35,
_xlpm._firstAnswer,$C35,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35" s="99" t="str" cm="1">
        <f t="array" aca="1" ref="AI35" ca="1">IF(OR($A35="",NOT($AC35)),"",_xlfn.LET(
_xlpm._id,$A35,
_xlpm._firstAnswer,$C35,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35" s="99" t="str" cm="1">
        <f t="array" aca="1" ref="AJ35" ca="1">IF($AG35,_xlfn.LET(
_xlpm._answer,$E35,
_xlpm._infoTextFull,IF($AC35,CHAR(10)&amp;SimpleLookup($A35,Questions!$A:$L)&amp;CHAR(10),""),
_xlpm._startSelectedByAnswerOne,IF(_xlpm._infoTextFull="",0,FIND("___"&amp;$C35&amp;"___",_xlpm._infoTextFull)+LEN("___"&amp;$C35&amp;"___")),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35" s="99" t="b" cm="1">
        <f t="array" aca="1" ref="AK35" ca="1">IF(OR($A35="",NOT($AC35)),FALSE,SimpleLookup($A35,Questions!$A:$Q))</f>
        <v>0</v>
      </c>
      <c r="AL35" s="99" t="str" cm="1">
        <f t="array" aca="1" ref="AL35" ca="1">IF(AND($A35=Questions!$A$41,IFERROR(SimpleLookup(Questions!$A$36,$A:$E)=Definitions!$O$5,FALSE),$C35=Definitions!$A$5),
Questions!$A$36&amp;" "&amp;Questions!$B$36&amp;CHAR(10)&amp;CHAR(187)&amp;" "&amp;SimpleLookup(Questions!$A$36,$A:$C)&amp;CHAR(10)&amp;SimpleLookup(Questions!$A$36,$A:$D)&amp;CHAR(10)&amp;CHAR(187)&amp;" "&amp;Definitions!$O$5&amp;CHAR(10)&amp;CHAR(10)&amp;
"is incosistent with"&amp;CHAR(10)&amp;CHAR(10)&amp;
$A35&amp;" "&amp;SimpleLookup($A35,Questions!$A:$B)&amp;CHAR(10)&amp;CHAR(187)&amp;" "&amp;$C35,
"")</f>
        <v/>
      </c>
      <c r="AM35" s="99" cm="1">
        <f t="array" aca="1" ref="AM35" ca="1">CreateID($AM$3,$AM:$AM,$AL35&lt;&gt;"")</f>
        <v>0</v>
      </c>
      <c r="AN35" s="99" t="str" cm="1">
        <f t="array" aca="1" ref="AN35" ca="1">IF(OR($C35="",OFFSET($C35,1,0)=""),"",
IF(AND($A35=Questions!$A$59,OFFSET($A35,1,0)=Questions!$A$60,SimpleLookup(Questions!$A$49,$A:$C)=Definitions!$A$4),
IF(MATCH($C35,Definitions!$AW:$AW,0)&gt;MATCH(OFFSET($C35,1,0),Definitions!AW:AW,0),$A35&amp;" "&amp;$K35&amp;": "&amp;$C35&amp;CHAR(10)&amp;"&lt;---&gt;"&amp;CHAR(10)&amp;OFFSET($A35,1,0)&amp;" "&amp;OFFSET($K35,1,0)&amp;": "&amp;OFFSET($C35,1,0),""),
""))</f>
        <v/>
      </c>
      <c r="AO35" s="99" cm="1">
        <f t="array" aca="1" ref="AO35" ca="1">CreateID($AO$3,$AO:$AO,$AN35&lt;&gt;"")</f>
        <v>0</v>
      </c>
    </row>
    <row r="36" spans="1:41" ht="45" x14ac:dyDescent="0.25">
      <c r="A36" s="96" t="s">
        <v>1041</v>
      </c>
      <c r="B36" s="4" t="str" cm="1">
        <f t="array" aca="1" ref="B36" ca="1">IF($A36="","",CreateIndentedString($K36,Definitions!$T$4,SimpleLookup($A36,Questions!$A:$C)))</f>
        <v>Does  the  product  connect  two  networks  to  each  other
(e.g.,  as  a  gateway)?</v>
      </c>
      <c r="D36" s="8" t="str">
        <f ca="1">$AF36</f>
        <v/>
      </c>
      <c r="F36" s="8" t="str">
        <f ca="1">$AJ36</f>
        <v/>
      </c>
      <c r="I36" s="15" t="str">
        <f t="shared" ref="I36:I69" ca="1" si="6">IF($AC36,SUBSTITUTE(IF($A36="","",$A36&amp;"["&amp;$C36&amp;IF($E36="","","|"&amp;$E36)&amp;"]")," ",""),"")</f>
        <v>QA2[]</v>
      </c>
      <c r="J36" s="15" t="str">
        <f t="shared" ref="J36:J69" ca="1" si="7">IF($AC36,SUBSTITUTE(IF($A36="","",$A36&amp;"["&amp;$C36&amp;IF($E36="","]","|*]"))," ",""),"")</f>
        <v>QA2[]</v>
      </c>
      <c r="K36" s="15" t="str" cm="1">
        <f t="array" aca="1" ref="K36" ca="1">SimpleLookup($A36,Questions!$A:$B)</f>
        <v>Does the product connect two networks to each other (e.g., as a gateway)?</v>
      </c>
      <c r="L36" s="15" cm="1">
        <f t="array" aca="1" ref="L36" ca="1">CreateID($L$3,$L:$L,AND($A36&lt;&gt;"",$AC36))</f>
        <v>18</v>
      </c>
      <c r="M36" s="99" cm="1">
        <f t="array" aca="1" ref="M36" ca="1">CreateTaskID($M$3,$M:$M,Tasks!$B$17,$G36)</f>
        <v>0</v>
      </c>
      <c r="N36" s="15" t="str">
        <f t="shared" ref="N36:N67" ca="1" si="8">IF($AC36,IF(AND($A36&lt;&gt;"",$C36="",$AK36=FALSE),$A36&amp;" "&amp;$K36,""),"")</f>
        <v>QA2 Does the product connect two networks to each other (e.g., as a gateway)?</v>
      </c>
      <c r="O36" s="15" cm="1">
        <f t="array" aca="1" ref="O36" ca="1">CreateID($O$3,$O:$O,$N36&lt;&gt;"")</f>
        <v>18</v>
      </c>
      <c r="P36" s="99" t="str">
        <f t="shared" ref="P36:P69" ca="1" si="9">IF(AND($D36&lt;&gt;"",$E36=""),$A36&amp;" "&amp;$K36,"")</f>
        <v/>
      </c>
      <c r="Q36" s="99" cm="1">
        <f t="array" aca="1" ref="Q36" ca="1">CreateID($Q$3,$Q:$Q,$P36&lt;&gt;"")</f>
        <v>0</v>
      </c>
      <c r="R36" s="99" t="str">
        <f t="shared" ref="R36:R69" ca="1" si="10">IF(AND($F36&lt;&gt;"",$G36=""),$A36&amp;" "&amp;$K36,"")</f>
        <v/>
      </c>
      <c r="S36" s="99" cm="1">
        <f t="array" aca="1" ref="S36" ca="1">CreateID($S$3,$S:$S,$R36&lt;&gt;"")</f>
        <v>0</v>
      </c>
      <c r="T36" s="99" t="str">
        <f t="shared" ref="T36:T69" ca="1" si="11">IF($A36="","",IF(AND(NOT($AG36),$E36&lt;&gt;""),$A36&amp;" "&amp;$K36,""))</f>
        <v/>
      </c>
      <c r="U36" s="99" cm="1">
        <f t="array" aca="1" ref="U36" ca="1">CreateID($U$3,$U:$U,$T36&lt;&gt;"")</f>
        <v>0</v>
      </c>
      <c r="V36" s="99" cm="1">
        <f t="array" aca="1" ref="V36" ca="1">CreateID($V$3,$V:$V,IFERROR(FIND(Definitions!$AR$4,$G36)&gt;0,FALSE))</f>
        <v>0</v>
      </c>
      <c r="W36" s="99">
        <f>_xlfn.LET(
_xlpm._comment,$G36,
_xlpm._keyWord,Definitions!$AR$4,
_xlpm._diffLen,LEN(_xlpm._comment)-LEN(SUBSTITUTE(_xlpm._comment,_xlpm._keyWord,"")),
_xlpm._diffLen/LEN(_xlpm._keyWord))</f>
        <v>0</v>
      </c>
      <c r="X36" s="99" cm="1">
        <f t="array" aca="1" ref="X36" ca="1">CreateID($X$3,$X:$X,IFERROR(FIND(Definitions!$AR$5,$G36)&gt;0,FALSE))</f>
        <v>0</v>
      </c>
      <c r="Y36" s="99">
        <f>_xlfn.LET(
_xlpm._comment,$G36,
_xlpm._keyWord,Definitions!$AR$5,
_xlpm._diffLen,LEN(_xlpm._comment)-LEN(SUBSTITUTE(_xlpm._comment,_xlpm._keyWord,"")),
_xlpm._diffLen/LEN(_xlpm._keyWord))</f>
        <v>0</v>
      </c>
      <c r="Z36" s="99" t="b">
        <f ca="1">OR(IFERROR(_xlfn.XMATCH("*,"&amp;$A36&amp;",*",Assumptions!$AL:$AL,2)&gt;0,FALSE),
IFERROR(_xlfn.XMATCH("*,"&amp;$A36&amp;",*",Countermeasures!$AO:$AO,2)&gt;0,FALSE))</f>
        <v>0</v>
      </c>
      <c r="AA36" s="99" t="str" cm="1">
        <f t="array" aca="1" ref="AA36" ca="1">CreateSearchString($I36)</f>
        <v>,QA2[],</v>
      </c>
      <c r="AB36" s="99" t="str">
        <f>IF($E36="","",IFERROR(VLOOKUP($E36,Definitions!$H:$J,COLUMNS(Definitions!$H:$J),FALSE),""))</f>
        <v/>
      </c>
      <c r="AC36" s="99" t="b" cm="1">
        <f t="array" aca="1" ref="AC36" ca="1">IF($A36="",FALSE,SimpleLookup($A36,Questions!$A:$D)="x")</f>
        <v>1</v>
      </c>
      <c r="AD36" s="99" t="str" cm="1">
        <f t="array" aca="1" ref="AD36" ca="1">IF(OR($A36="",NOT($AC36)),"",SimpleLookup($A36,Questions!$A:$E))</f>
        <v>'[2025-07-30_QuBA_libre.xlsx]Definitions'!$A$4</v>
      </c>
      <c r="AE36" s="99" cm="1">
        <f t="array" aca="1" ref="AE36" ca="1">IF(OR($A36="",NOT($AC36)),"",SimpleLookup($A36,Questions!$A:$F))</f>
        <v>2</v>
      </c>
      <c r="AF36" s="99" t="str" cm="1">
        <f t="array" aca="1" ref="AF36" ca="1">_xlfn.LET(
_xlpm._answer,$C36,
_xlpm._infoTextFull,IF($AC36,CHAR(10)&amp;SimpleLookup($A36,Questions!$A:$H)&amp;CHAR(10),""),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36" s="99" t="b" cm="1">
        <f t="array" aca="1" ref="AG36" ca="1">IF(OR($A36="",NOT($AC36)),FALSE,_xlfn.LET(
_xlpm._secondAnswerRequiredOn,SimpleLookup($A36,Questions!$A:$I),
_xlpm._firstAnwer,$C36,
IFERROR(FIND(CHAR(10)&amp;_xlpm._firstAnwer&amp;":",CHAR(10)&amp;_xlpm._secondAnswerRequiredOn)&gt;0,FALSE)))</f>
        <v>0</v>
      </c>
      <c r="AH36" s="99" t="str" cm="1">
        <f t="array" aca="1" ref="AH36" ca="1">IF(OR($A36="",NOT($AC36)),"",_xlfn.LET(
_xlpm._id,$A36,
_xlpm._firstAnswer,$C36,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'[2025-07-30_QuBA_libre.xlsx]Definitions'!$O$4</v>
      </c>
      <c r="AI36" s="99" cm="1">
        <f t="array" aca="1" ref="AI36" ca="1">IF(OR($A36="",NOT($AC36)),"",_xlfn.LET(
_xlpm._id,$A36,
_xlpm._firstAnswer,$C36,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36" s="99" t="str" cm="1">
        <f t="array" aca="1" ref="AJ36" ca="1">IF($AG36,_xlfn.LET(
_xlpm._answer,$E36,
_xlpm._infoTextFull,IF($AC36,CHAR(10)&amp;SimpleLookup($A36,Questions!$A:$L)&amp;CHAR(10),""),
_xlpm._startSelectedByAnswerOne,IF(_xlpm._infoTextFull="",0,FIND("___"&amp;$C36&amp;"___",_xlpm._infoTextFull)+LEN("___"&amp;$C36&amp;"___")),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36" s="99" t="b" cm="1">
        <f t="array" aca="1" ref="AK36" ca="1">IF(OR($A36="",NOT($AC36)),FALSE,SimpleLookup($A36,Questions!$A:$Q))</f>
        <v>0</v>
      </c>
      <c r="AL36" s="99" t="str" cm="1">
        <f t="array" aca="1" ref="AL36" ca="1">IF(AND($A36=Questions!$A$41,IFERROR(SimpleLookup(Questions!$A$36,$A:$E)=Definitions!$O$5,FALSE),$C36=Definitions!$A$5),
Questions!$A$36&amp;" "&amp;Questions!$B$36&amp;CHAR(10)&amp;CHAR(187)&amp;" "&amp;SimpleLookup(Questions!$A$36,$A:$C)&amp;CHAR(10)&amp;SimpleLookup(Questions!$A$36,$A:$D)&amp;CHAR(10)&amp;CHAR(187)&amp;" "&amp;Definitions!$O$5&amp;CHAR(10)&amp;CHAR(10)&amp;
"is incosistent with"&amp;CHAR(10)&amp;CHAR(10)&amp;
$A36&amp;" "&amp;SimpleLookup($A36,Questions!$A:$B)&amp;CHAR(10)&amp;CHAR(187)&amp;" "&amp;$C36,
"")</f>
        <v/>
      </c>
      <c r="AM36" s="99" cm="1">
        <f t="array" aca="1" ref="AM36" ca="1">CreateID($AM$3,$AM:$AM,$AL36&lt;&gt;"")</f>
        <v>0</v>
      </c>
      <c r="AN36" s="99" t="str" cm="1">
        <f t="array" aca="1" ref="AN36" ca="1">IF(OR($C36="",OFFSET($C36,1,0)=""),"",
IF(AND($A36=Questions!$A$59,OFFSET($A36,1,0)=Questions!$A$60,SimpleLookup(Questions!$A$49,$A:$C)=Definitions!$A$4),
IF(MATCH($C36,Definitions!$AW:$AW,0)&gt;MATCH(OFFSET($C36,1,0),Definitions!AW:AW,0),$A36&amp;" "&amp;$K36&amp;": "&amp;$C36&amp;CHAR(10)&amp;"&lt;---&gt;"&amp;CHAR(10)&amp;OFFSET($A36,1,0)&amp;" "&amp;OFFSET($K36,1,0)&amp;": "&amp;OFFSET($C36,1,0),""),
""))</f>
        <v/>
      </c>
      <c r="AO36" s="99" cm="1">
        <f t="array" aca="1" ref="AO36" ca="1">CreateID($AO$3,$AO:$AO,$AN36&lt;&gt;"")</f>
        <v>0</v>
      </c>
    </row>
    <row r="37" spans="1:41" x14ac:dyDescent="0.25">
      <c r="A37" s="96" t="s">
        <v>1175</v>
      </c>
      <c r="B37" s="4" t="str" cm="1">
        <f t="array" aca="1" ref="B37" ca="1">IF($A37="","",CreateIndentedString($K37,Definitions!$T$4,SimpleLookup($A37,Questions!$A:$C)))</f>
        <v>Physical  communication</v>
      </c>
      <c r="I37" s="15" t="str">
        <f t="shared" ca="1" si="6"/>
        <v/>
      </c>
      <c r="J37" s="15" t="str">
        <f t="shared" ca="1" si="7"/>
        <v/>
      </c>
      <c r="K37" s="15" t="str" cm="1">
        <f t="array" aca="1" ref="K37" ca="1">SimpleLookup($A37,Questions!$A:$B)</f>
        <v>Physical communication</v>
      </c>
      <c r="L37" s="15" cm="1">
        <f t="array" aca="1" ref="L37" ca="1">CreateID($L$3,$L:$L,AND($A37&lt;&gt;"",$AC37))</f>
        <v>18</v>
      </c>
      <c r="M37" s="99" cm="1">
        <f t="array" aca="1" ref="M37" ca="1">CreateTaskID($M$3,$M:$M,Tasks!$B$17,$G37)</f>
        <v>0</v>
      </c>
      <c r="N37" s="15" t="str">
        <f t="shared" ca="1" si="8"/>
        <v/>
      </c>
      <c r="O37" s="15" cm="1">
        <f t="array" aca="1" ref="O37" ca="1">CreateID($O$3,$O:$O,$N37&lt;&gt;"")</f>
        <v>18</v>
      </c>
      <c r="P37" s="99" t="str">
        <f t="shared" si="9"/>
        <v/>
      </c>
      <c r="Q37" s="99" cm="1">
        <f t="array" aca="1" ref="Q37" ca="1">CreateID($Q$3,$Q:$Q,$P37&lt;&gt;"")</f>
        <v>0</v>
      </c>
      <c r="R37" s="99" t="str">
        <f t="shared" si="10"/>
        <v/>
      </c>
      <c r="S37" s="99" cm="1">
        <f t="array" aca="1" ref="S37" ca="1">CreateID($S$3,$S:$S,$R37&lt;&gt;"")</f>
        <v>0</v>
      </c>
      <c r="T37" s="99" t="str">
        <f t="shared" ca="1" si="11"/>
        <v/>
      </c>
      <c r="U37" s="99" cm="1">
        <f t="array" aca="1" ref="U37" ca="1">CreateID($U$3,$U:$U,$T37&lt;&gt;"")</f>
        <v>0</v>
      </c>
      <c r="V37" s="99" cm="1">
        <f t="array" aca="1" ref="V37" ca="1">CreateID($V$3,$V:$V,IFERROR(FIND(Definitions!$AR$4,$G37)&gt;0,FALSE))</f>
        <v>0</v>
      </c>
      <c r="W37" s="99">
        <f>_xlfn.LET(
_xlpm._comment,$G37,
_xlpm._keyWord,Definitions!$AR$4,
_xlpm._diffLen,LEN(_xlpm._comment)-LEN(SUBSTITUTE(_xlpm._comment,_xlpm._keyWord,"")),
_xlpm._diffLen/LEN(_xlpm._keyWord))</f>
        <v>0</v>
      </c>
      <c r="X37" s="99" cm="1">
        <f t="array" aca="1" ref="X37" ca="1">CreateID($X$3,$X:$X,IFERROR(FIND(Definitions!$AR$5,$G37)&gt;0,FALSE))</f>
        <v>0</v>
      </c>
      <c r="Y37" s="99">
        <f>_xlfn.LET(
_xlpm._comment,$G37,
_xlpm._keyWord,Definitions!$AR$5,
_xlpm._diffLen,LEN(_xlpm._comment)-LEN(SUBSTITUTE(_xlpm._comment,_xlpm._keyWord,"")),
_xlpm._diffLen/LEN(_xlpm._keyWord))</f>
        <v>0</v>
      </c>
      <c r="Z37" s="99" t="b">
        <f ca="1">OR(IFERROR(_xlfn.XMATCH("*,"&amp;$A37&amp;",*",Assumptions!$AL:$AL,2)&gt;0,FALSE),
IFERROR(_xlfn.XMATCH("*,"&amp;$A37&amp;",*",Countermeasures!$AO:$AO,2)&gt;0,FALSE))</f>
        <v>0</v>
      </c>
      <c r="AA37" s="99" t="str" cm="1">
        <f t="array" aca="1" ref="AA37" ca="1">CreateSearchString($I37)</f>
        <v/>
      </c>
      <c r="AB37" s="99" t="str">
        <f>IF($E37="","",IFERROR(VLOOKUP($E37,Definitions!$H:$J,COLUMNS(Definitions!$H:$J),FALSE),""))</f>
        <v/>
      </c>
      <c r="AC37" s="99" t="b" cm="1">
        <f t="array" aca="1" ref="AC37" ca="1">IF($A37="",FALSE,SimpleLookup($A37,Questions!$A:$D)="x")</f>
        <v>0</v>
      </c>
      <c r="AD37" s="99" t="str" cm="1">
        <f t="array" aca="1" ref="AD37" ca="1">IF(OR($A37="",NOT($AC37)),"",SimpleLookup($A37,Questions!$A:$E))</f>
        <v/>
      </c>
      <c r="AE37" s="99" t="str" cm="1">
        <f t="array" aca="1" ref="AE37" ca="1">IF(OR($A37="",NOT($AC37)),"",SimpleLookup($A37,Questions!$A:$F))</f>
        <v/>
      </c>
      <c r="AF37" s="99" t="str" cm="1">
        <f t="array" aca="1" ref="AF37" ca="1">_xlfn.LET(
_xlpm._answer,$C37,
_xlpm._infoTextFull,IF($AC37,CHAR(10)&amp;SimpleLookup($A37,Questions!$A:$H)&amp;CHAR(10),""),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37" s="99" t="b" cm="1">
        <f t="array" aca="1" ref="AG37" ca="1">IF(OR($A37="",NOT($AC37)),FALSE,_xlfn.LET(
_xlpm._secondAnswerRequiredOn,SimpleLookup($A37,Questions!$A:$I),
_xlpm._firstAnwer,$C37,
IFERROR(FIND(CHAR(10)&amp;_xlpm._firstAnwer&amp;":",CHAR(10)&amp;_xlpm._secondAnswerRequiredOn)&gt;0,FALSE)))</f>
        <v>0</v>
      </c>
      <c r="AH37" s="99" t="str" cm="1">
        <f t="array" aca="1" ref="AH37" ca="1">IF(OR($A37="",NOT($AC37)),"",_xlfn.LET(
_xlpm._id,$A37,
_xlpm._firstAnswer,$C37,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37" s="99" t="str" cm="1">
        <f t="array" aca="1" ref="AI37" ca="1">IF(OR($A37="",NOT($AC37)),"",_xlfn.LET(
_xlpm._id,$A37,
_xlpm._firstAnswer,$C37,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37" s="99" t="str" cm="1">
        <f t="array" aca="1" ref="AJ37" ca="1">IF($AG37,_xlfn.LET(
_xlpm._answer,$E37,
_xlpm._infoTextFull,IF($AC37,CHAR(10)&amp;SimpleLookup($A37,Questions!$A:$L)&amp;CHAR(10),""),
_xlpm._startSelectedByAnswerOne,IF(_xlpm._infoTextFull="",0,FIND("___"&amp;$C37&amp;"___",_xlpm._infoTextFull)+LEN("___"&amp;$C37&amp;"___")),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37" s="99" t="b" cm="1">
        <f t="array" aca="1" ref="AK37" ca="1">IF(OR($A37="",NOT($AC37)),FALSE,SimpleLookup($A37,Questions!$A:$Q))</f>
        <v>0</v>
      </c>
      <c r="AL37" s="99" t="str" cm="1">
        <f t="array" aca="1" ref="AL37" ca="1">IF(AND($A37=Questions!$A$41,IFERROR(SimpleLookup(Questions!$A$36,$A:$E)=Definitions!$O$5,FALSE),$C37=Definitions!$A$5),
Questions!$A$36&amp;" "&amp;Questions!$B$36&amp;CHAR(10)&amp;CHAR(187)&amp;" "&amp;SimpleLookup(Questions!$A$36,$A:$C)&amp;CHAR(10)&amp;SimpleLookup(Questions!$A$36,$A:$D)&amp;CHAR(10)&amp;CHAR(187)&amp;" "&amp;Definitions!$O$5&amp;CHAR(10)&amp;CHAR(10)&amp;
"is incosistent with"&amp;CHAR(10)&amp;CHAR(10)&amp;
$A37&amp;" "&amp;SimpleLookup($A37,Questions!$A:$B)&amp;CHAR(10)&amp;CHAR(187)&amp;" "&amp;$C37,
"")</f>
        <v/>
      </c>
      <c r="AM37" s="99" cm="1">
        <f t="array" aca="1" ref="AM37" ca="1">CreateID($AM$3,$AM:$AM,$AL37&lt;&gt;"")</f>
        <v>0</v>
      </c>
      <c r="AN37" s="99" t="str" cm="1">
        <f t="array" aca="1" ref="AN37" ca="1">IF(OR($C37="",OFFSET($C37,1,0)=""),"",
IF(AND($A37=Questions!$A$59,OFFSET($A37,1,0)=Questions!$A$60,SimpleLookup(Questions!$A$49,$A:$C)=Definitions!$A$4),
IF(MATCH($C37,Definitions!$AW:$AW,0)&gt;MATCH(OFFSET($C37,1,0),Definitions!AW:AW,0),$A37&amp;" "&amp;$K37&amp;": "&amp;$C37&amp;CHAR(10)&amp;"&lt;---&gt;"&amp;CHAR(10)&amp;OFFSET($A37,1,0)&amp;" "&amp;OFFSET($K37,1,0)&amp;": "&amp;OFFSET($C37,1,0),""),
""))</f>
        <v/>
      </c>
      <c r="AO37" s="99" cm="1">
        <f t="array" aca="1" ref="AO37" ca="1">CreateID($AO$3,$AO:$AO,$AN37&lt;&gt;"")</f>
        <v>0</v>
      </c>
    </row>
    <row r="38" spans="1:41" ht="45" x14ac:dyDescent="0.25">
      <c r="A38" s="96" t="s">
        <v>1043</v>
      </c>
      <c r="B38" s="4" t="str" cm="1">
        <f t="array" aca="1" ref="B38" ca="1">IF($A38="","",CreateIndentedString($K38,Definitions!$T$4,SimpleLookup($A38,Questions!$A:$C)))</f>
        <v xml:space="preserve">   Does  the  product  have  a  point-to-point  connection
   to  another  device?</v>
      </c>
      <c r="D38" s="8" t="str">
        <f ca="1">$AF38</f>
        <v/>
      </c>
      <c r="F38" s="8" t="str">
        <f ca="1">$AJ38</f>
        <v/>
      </c>
      <c r="I38" s="15" t="str">
        <f t="shared" ca="1" si="6"/>
        <v>QA3[]</v>
      </c>
      <c r="J38" s="15" t="str">
        <f t="shared" ca="1" si="7"/>
        <v>QA3[]</v>
      </c>
      <c r="K38" s="15" t="str" cm="1">
        <f t="array" aca="1" ref="K38" ca="1">SimpleLookup($A38,Questions!$A:$B)</f>
        <v>Does the product have a point-to-point connection to another device?</v>
      </c>
      <c r="L38" s="15" cm="1">
        <f t="array" aca="1" ref="L38" ca="1">CreateID($L$3,$L:$L,AND($A38&lt;&gt;"",$AC38))</f>
        <v>19</v>
      </c>
      <c r="M38" s="99" cm="1">
        <f t="array" aca="1" ref="M38" ca="1">CreateTaskID($M$3,$M:$M,Tasks!$B$17,$G38)</f>
        <v>0</v>
      </c>
      <c r="N38" s="15" t="str">
        <f t="shared" ca="1" si="8"/>
        <v>QA3 Does the product have a point-to-point connection to another device?</v>
      </c>
      <c r="O38" s="15" cm="1">
        <f t="array" aca="1" ref="O38" ca="1">CreateID($O$3,$O:$O,$N38&lt;&gt;"")</f>
        <v>19</v>
      </c>
      <c r="P38" s="99" t="str">
        <f t="shared" ca="1" si="9"/>
        <v/>
      </c>
      <c r="Q38" s="99" cm="1">
        <f t="array" aca="1" ref="Q38" ca="1">CreateID($Q$3,$Q:$Q,$P38&lt;&gt;"")</f>
        <v>0</v>
      </c>
      <c r="R38" s="99" t="str">
        <f t="shared" ca="1" si="10"/>
        <v/>
      </c>
      <c r="S38" s="99" cm="1">
        <f t="array" aca="1" ref="S38" ca="1">CreateID($S$3,$S:$S,$R38&lt;&gt;"")</f>
        <v>0</v>
      </c>
      <c r="T38" s="99" t="str">
        <f t="shared" ca="1" si="11"/>
        <v/>
      </c>
      <c r="U38" s="99" cm="1">
        <f t="array" aca="1" ref="U38" ca="1">CreateID($U$3,$U:$U,$T38&lt;&gt;"")</f>
        <v>0</v>
      </c>
      <c r="V38" s="99" cm="1">
        <f t="array" aca="1" ref="V38" ca="1">CreateID($V$3,$V:$V,IFERROR(FIND(Definitions!$AR$4,$G38)&gt;0,FALSE))</f>
        <v>0</v>
      </c>
      <c r="W38" s="99">
        <f>_xlfn.LET(
_xlpm._comment,$G38,
_xlpm._keyWord,Definitions!$AR$4,
_xlpm._diffLen,LEN(_xlpm._comment)-LEN(SUBSTITUTE(_xlpm._comment,_xlpm._keyWord,"")),
_xlpm._diffLen/LEN(_xlpm._keyWord))</f>
        <v>0</v>
      </c>
      <c r="X38" s="99" cm="1">
        <f t="array" aca="1" ref="X38" ca="1">CreateID($X$3,$X:$X,IFERROR(FIND(Definitions!$AR$5,$G38)&gt;0,FALSE))</f>
        <v>0</v>
      </c>
      <c r="Y38" s="99">
        <f>_xlfn.LET(
_xlpm._comment,$G38,
_xlpm._keyWord,Definitions!$AR$5,
_xlpm._diffLen,LEN(_xlpm._comment)-LEN(SUBSTITUTE(_xlpm._comment,_xlpm._keyWord,"")),
_xlpm._diffLen/LEN(_xlpm._keyWord))</f>
        <v>0</v>
      </c>
      <c r="Z38" s="99" t="b">
        <f ca="1">OR(IFERROR(_xlfn.XMATCH("*,"&amp;$A38&amp;",*",Assumptions!$AL:$AL,2)&gt;0,FALSE),
IFERROR(_xlfn.XMATCH("*,"&amp;$A38&amp;",*",Countermeasures!$AO:$AO,2)&gt;0,FALSE))</f>
        <v>0</v>
      </c>
      <c r="AA38" s="99" t="str" cm="1">
        <f t="array" aca="1" ref="AA38" ca="1">CreateSearchString($I38)</f>
        <v>,QA3[],</v>
      </c>
      <c r="AB38" s="99" t="str">
        <f>IF($E38="","",IFERROR(VLOOKUP($E38,Definitions!$H:$J,COLUMNS(Definitions!$H:$J),FALSE),""))</f>
        <v/>
      </c>
      <c r="AC38" s="99" t="b" cm="1">
        <f t="array" aca="1" ref="AC38" ca="1">IF($A38="",FALSE,SimpleLookup($A38,Questions!$A:$D)="x")</f>
        <v>1</v>
      </c>
      <c r="AD38" s="99" t="str" cm="1">
        <f t="array" aca="1" ref="AD38" ca="1">IF(OR($A38="",NOT($AC38)),"",SimpleLookup($A38,Questions!$A:$E))</f>
        <v>'[2025-07-30_QuBA_libre.xlsx]Definitions'!$A$4</v>
      </c>
      <c r="AE38" s="99" cm="1">
        <f t="array" aca="1" ref="AE38" ca="1">IF(OR($A38="",NOT($AC38)),"",SimpleLookup($A38,Questions!$A:$F))</f>
        <v>2</v>
      </c>
      <c r="AF38" s="99" t="str" cm="1">
        <f t="array" aca="1" ref="AF38" ca="1">_xlfn.LET(
_xlpm._answer,$C38,
_xlpm._infoTextFull,IF($AC38,CHAR(10)&amp;SimpleLookup($A38,Questions!$A:$H)&amp;CHAR(10),""),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38" s="99" t="b" cm="1">
        <f t="array" aca="1" ref="AG38" ca="1">IF(OR($A38="",NOT($AC38)),FALSE,_xlfn.LET(
_xlpm._secondAnswerRequiredOn,SimpleLookup($A38,Questions!$A:$I),
_xlpm._firstAnwer,$C38,
IFERROR(FIND(CHAR(10)&amp;_xlpm._firstAnwer&amp;":",CHAR(10)&amp;_xlpm._secondAnswerRequiredOn)&gt;0,FALSE)))</f>
        <v>0</v>
      </c>
      <c r="AH38" s="99" t="str" cm="1">
        <f t="array" aca="1" ref="AH38" ca="1">IF(OR($A38="",NOT($AC38)),"",_xlfn.LET(
_xlpm._id,$A38,
_xlpm._firstAnswer,$C38,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38" s="99" cm="1">
        <f t="array" aca="1" ref="AI38" ca="1">IF(OR($A38="",NOT($AC38)),"",_xlfn.LET(
_xlpm._id,$A38,
_xlpm._firstAnswer,$C38,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38" s="99" t="str" cm="1">
        <f t="array" aca="1" ref="AJ38" ca="1">IF($AG38,_xlfn.LET(
_xlpm._answer,$E38,
_xlpm._infoTextFull,IF($AC38,CHAR(10)&amp;SimpleLookup($A38,Questions!$A:$L)&amp;CHAR(10),""),
_xlpm._startSelectedByAnswerOne,IF(_xlpm._infoTextFull="",0,FIND("___"&amp;$C38&amp;"___",_xlpm._infoTextFull)+LEN("___"&amp;$C38&amp;"___")),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38" s="99" t="b" cm="1">
        <f t="array" aca="1" ref="AK38" ca="1">IF(OR($A38="",NOT($AC38)),FALSE,SimpleLookup($A38,Questions!$A:$Q))</f>
        <v>0</v>
      </c>
      <c r="AL38" s="99" t="str" cm="1">
        <f t="array" aca="1" ref="AL38" ca="1">IF(AND($A38=Questions!$A$41,IFERROR(SimpleLookup(Questions!$A$36,$A:$E)=Definitions!$O$5,FALSE),$C38=Definitions!$A$5),
Questions!$A$36&amp;" "&amp;Questions!$B$36&amp;CHAR(10)&amp;CHAR(187)&amp;" "&amp;SimpleLookup(Questions!$A$36,$A:$C)&amp;CHAR(10)&amp;SimpleLookup(Questions!$A$36,$A:$D)&amp;CHAR(10)&amp;CHAR(187)&amp;" "&amp;Definitions!$O$5&amp;CHAR(10)&amp;CHAR(10)&amp;
"is incosistent with"&amp;CHAR(10)&amp;CHAR(10)&amp;
$A38&amp;" "&amp;SimpleLookup($A38,Questions!$A:$B)&amp;CHAR(10)&amp;CHAR(187)&amp;" "&amp;$C38,
"")</f>
        <v/>
      </c>
      <c r="AM38" s="99" cm="1">
        <f t="array" aca="1" ref="AM38" ca="1">CreateID($AM$3,$AM:$AM,$AL38&lt;&gt;"")</f>
        <v>0</v>
      </c>
      <c r="AN38" s="99" t="str" cm="1">
        <f t="array" aca="1" ref="AN38" ca="1">IF(OR($C38="",OFFSET($C38,1,0)=""),"",
IF(AND($A38=Questions!$A$59,OFFSET($A38,1,0)=Questions!$A$60,SimpleLookup(Questions!$A$49,$A:$C)=Definitions!$A$4),
IF(MATCH($C38,Definitions!$AW:$AW,0)&gt;MATCH(OFFSET($C38,1,0),Definitions!AW:AW,0),$A38&amp;" "&amp;$K38&amp;": "&amp;$C38&amp;CHAR(10)&amp;"&lt;---&gt;"&amp;CHAR(10)&amp;OFFSET($A38,1,0)&amp;" "&amp;OFFSET($K38,1,0)&amp;": "&amp;OFFSET($C38,1,0),""),
""))</f>
        <v/>
      </c>
      <c r="AO38" s="99" cm="1">
        <f t="array" aca="1" ref="AO38" ca="1">CreateID($AO$3,$AO:$AO,$AN38&lt;&gt;"")</f>
        <v>0</v>
      </c>
    </row>
    <row r="39" spans="1:41" ht="30" x14ac:dyDescent="0.25">
      <c r="A39" s="96" t="s">
        <v>1045</v>
      </c>
      <c r="B39" s="4" t="str" cm="1">
        <f t="array" aca="1" ref="B39" ca="1">IF($A39="","",CreateIndentedString($K39,Definitions!$T$4,SimpleLookup($A39,Questions!$A:$C)))</f>
        <v xml:space="preserve">   Does  the  product  have  a  direct  connection  to  a
   local  network?</v>
      </c>
      <c r="D39" s="8" t="str">
        <f ca="1">$AF39</f>
        <v/>
      </c>
      <c r="F39" s="8" t="str">
        <f ca="1">$AJ39</f>
        <v/>
      </c>
      <c r="I39" s="15" t="str">
        <f t="shared" ca="1" si="6"/>
        <v>QA4[]</v>
      </c>
      <c r="J39" s="15" t="str">
        <f t="shared" ca="1" si="7"/>
        <v>QA4[]</v>
      </c>
      <c r="K39" s="15" t="str" cm="1">
        <f t="array" aca="1" ref="K39" ca="1">SimpleLookup($A39,Questions!$A:$B)</f>
        <v>Does the product have a direct connection to a local network?</v>
      </c>
      <c r="L39" s="15" cm="1">
        <f t="array" aca="1" ref="L39" ca="1">CreateID($L$3,$L:$L,AND($A39&lt;&gt;"",$AC39))</f>
        <v>20</v>
      </c>
      <c r="M39" s="99" cm="1">
        <f t="array" aca="1" ref="M39" ca="1">CreateTaskID($M$3,$M:$M,Tasks!$B$17,$G39)</f>
        <v>0</v>
      </c>
      <c r="N39" s="15" t="str">
        <f t="shared" ca="1" si="8"/>
        <v>QA4 Does the product have a direct connection to a local network?</v>
      </c>
      <c r="O39" s="15" cm="1">
        <f t="array" aca="1" ref="O39" ca="1">CreateID($O$3,$O:$O,$N39&lt;&gt;"")</f>
        <v>20</v>
      </c>
      <c r="P39" s="99" t="str">
        <f t="shared" ca="1" si="9"/>
        <v/>
      </c>
      <c r="Q39" s="99" cm="1">
        <f t="array" aca="1" ref="Q39" ca="1">CreateID($Q$3,$Q:$Q,$P39&lt;&gt;"")</f>
        <v>0</v>
      </c>
      <c r="R39" s="99" t="str">
        <f t="shared" ca="1" si="10"/>
        <v/>
      </c>
      <c r="S39" s="99" cm="1">
        <f t="array" aca="1" ref="S39" ca="1">CreateID($S$3,$S:$S,$R39&lt;&gt;"")</f>
        <v>0</v>
      </c>
      <c r="T39" s="99" t="str">
        <f t="shared" ca="1" si="11"/>
        <v/>
      </c>
      <c r="U39" s="99" cm="1">
        <f t="array" aca="1" ref="U39" ca="1">CreateID($U$3,$U:$U,$T39&lt;&gt;"")</f>
        <v>0</v>
      </c>
      <c r="V39" s="99" cm="1">
        <f t="array" aca="1" ref="V39" ca="1">CreateID($V$3,$V:$V,IFERROR(FIND(Definitions!$AR$4,$G39)&gt;0,FALSE))</f>
        <v>0</v>
      </c>
      <c r="W39" s="99">
        <f>_xlfn.LET(
_xlpm._comment,$G39,
_xlpm._keyWord,Definitions!$AR$4,
_xlpm._diffLen,LEN(_xlpm._comment)-LEN(SUBSTITUTE(_xlpm._comment,_xlpm._keyWord,"")),
_xlpm._diffLen/LEN(_xlpm._keyWord))</f>
        <v>0</v>
      </c>
      <c r="X39" s="99" cm="1">
        <f t="array" aca="1" ref="X39" ca="1">CreateID($X$3,$X:$X,IFERROR(FIND(Definitions!$AR$5,$G39)&gt;0,FALSE))</f>
        <v>0</v>
      </c>
      <c r="Y39" s="99">
        <f>_xlfn.LET(
_xlpm._comment,$G39,
_xlpm._keyWord,Definitions!$AR$5,
_xlpm._diffLen,LEN(_xlpm._comment)-LEN(SUBSTITUTE(_xlpm._comment,_xlpm._keyWord,"")),
_xlpm._diffLen/LEN(_xlpm._keyWord))</f>
        <v>0</v>
      </c>
      <c r="Z39" s="99" t="b">
        <f ca="1">OR(IFERROR(_xlfn.XMATCH("*,"&amp;$A39&amp;",*",Assumptions!$AL:$AL,2)&gt;0,FALSE),
IFERROR(_xlfn.XMATCH("*,"&amp;$A39&amp;",*",Countermeasures!$AO:$AO,2)&gt;0,FALSE))</f>
        <v>0</v>
      </c>
      <c r="AA39" s="99" t="str" cm="1">
        <f t="array" aca="1" ref="AA39" ca="1">CreateSearchString($I39)</f>
        <v>,QA4[],</v>
      </c>
      <c r="AB39" s="99" t="str">
        <f>IF($E39="","",IFERROR(VLOOKUP($E39,Definitions!$H:$J,COLUMNS(Definitions!$H:$J),FALSE),""))</f>
        <v/>
      </c>
      <c r="AC39" s="99" t="b" cm="1">
        <f t="array" aca="1" ref="AC39" ca="1">IF($A39="",FALSE,SimpleLookup($A39,Questions!$A:$D)="x")</f>
        <v>1</v>
      </c>
      <c r="AD39" s="99" t="str" cm="1">
        <f t="array" aca="1" ref="AD39" ca="1">IF(OR($A39="",NOT($AC39)),"",SimpleLookup($A39,Questions!$A:$E))</f>
        <v>'[2025-07-30_QuBA_libre.xlsx]Definitions'!$A$4</v>
      </c>
      <c r="AE39" s="99" cm="1">
        <f t="array" aca="1" ref="AE39" ca="1">IF(OR($A39="",NOT($AC39)),"",SimpleLookup($A39,Questions!$A:$F))</f>
        <v>2</v>
      </c>
      <c r="AF39" s="99" t="str" cm="1">
        <f t="array" aca="1" ref="AF39" ca="1">_xlfn.LET(
_xlpm._answer,$C39,
_xlpm._infoTextFull,IF($AC39,CHAR(10)&amp;SimpleLookup($A39,Questions!$A:$H)&amp;CHAR(10),""),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39" s="99" t="b" cm="1">
        <f t="array" aca="1" ref="AG39" ca="1">IF(OR($A39="",NOT($AC39)),FALSE,_xlfn.LET(
_xlpm._secondAnswerRequiredOn,SimpleLookup($A39,Questions!$A:$I),
_xlpm._firstAnwer,$C39,
IFERROR(FIND(CHAR(10)&amp;_xlpm._firstAnwer&amp;":",CHAR(10)&amp;_xlpm._secondAnswerRequiredOn)&gt;0,FALSE)))</f>
        <v>0</v>
      </c>
      <c r="AH39" s="99" t="str" cm="1">
        <f t="array" aca="1" ref="AH39" ca="1">IF(OR($A39="",NOT($AC39)),"",_xlfn.LET(
_xlpm._id,$A39,
_xlpm._firstAnswer,$C39,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39" s="99" cm="1">
        <f t="array" aca="1" ref="AI39" ca="1">IF(OR($A39="",NOT($AC39)),"",_xlfn.LET(
_xlpm._id,$A39,
_xlpm._firstAnswer,$C39,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39" s="99" t="str" cm="1">
        <f t="array" aca="1" ref="AJ39" ca="1">IF($AG39,_xlfn.LET(
_xlpm._answer,$E39,
_xlpm._infoTextFull,IF($AC39,CHAR(10)&amp;SimpleLookup($A39,Questions!$A:$L)&amp;CHAR(10),""),
_xlpm._startSelectedByAnswerOne,IF(_xlpm._infoTextFull="",0,FIND("___"&amp;$C39&amp;"___",_xlpm._infoTextFull)+LEN("___"&amp;$C39&amp;"___")),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39" s="99" t="b" cm="1">
        <f t="array" aca="1" ref="AK39" ca="1">IF(OR($A39="",NOT($AC39)),FALSE,SimpleLookup($A39,Questions!$A:$Q))</f>
        <v>0</v>
      </c>
      <c r="AL39" s="99" t="str" cm="1">
        <f t="array" aca="1" ref="AL39" ca="1">IF(AND($A39=Questions!$A$41,IFERROR(SimpleLookup(Questions!$A$36,$A:$E)=Definitions!$O$5,FALSE),$C39=Definitions!$A$5),
Questions!$A$36&amp;" "&amp;Questions!$B$36&amp;CHAR(10)&amp;CHAR(187)&amp;" "&amp;SimpleLookup(Questions!$A$36,$A:$C)&amp;CHAR(10)&amp;SimpleLookup(Questions!$A$36,$A:$D)&amp;CHAR(10)&amp;CHAR(187)&amp;" "&amp;Definitions!$O$5&amp;CHAR(10)&amp;CHAR(10)&amp;
"is incosistent with"&amp;CHAR(10)&amp;CHAR(10)&amp;
$A39&amp;" "&amp;SimpleLookup($A39,Questions!$A:$B)&amp;CHAR(10)&amp;CHAR(187)&amp;" "&amp;$C39,
"")</f>
        <v/>
      </c>
      <c r="AM39" s="99" cm="1">
        <f t="array" aca="1" ref="AM39" ca="1">CreateID($AM$3,$AM:$AM,$AL39&lt;&gt;"")</f>
        <v>0</v>
      </c>
      <c r="AN39" s="99" t="str" cm="1">
        <f t="array" aca="1" ref="AN39" ca="1">IF(OR($C39="",OFFSET($C39,1,0)=""),"",
IF(AND($A39=Questions!$A$59,OFFSET($A39,1,0)=Questions!$A$60,SimpleLookup(Questions!$A$49,$A:$C)=Definitions!$A$4),
IF(MATCH($C39,Definitions!$AW:$AW,0)&gt;MATCH(OFFSET($C39,1,0),Definitions!AW:AW,0),$A39&amp;" "&amp;$K39&amp;": "&amp;$C39&amp;CHAR(10)&amp;"&lt;---&gt;"&amp;CHAR(10)&amp;OFFSET($A39,1,0)&amp;" "&amp;OFFSET($K39,1,0)&amp;": "&amp;OFFSET($C39,1,0),""),
""))</f>
        <v/>
      </c>
      <c r="AO39" s="99" cm="1">
        <f t="array" aca="1" ref="AO39" ca="1">CreateID($AO$3,$AO:$AO,$AN39&lt;&gt;"")</f>
        <v>0</v>
      </c>
    </row>
    <row r="40" spans="1:41" x14ac:dyDescent="0.25">
      <c r="A40" s="96" t="s">
        <v>1047</v>
      </c>
      <c r="B40" s="4" t="str" cm="1">
        <f t="array" aca="1" ref="B40" ca="1">IF($A40="","",CreateIndentedString($K40,Definitions!$T$4,SimpleLookup($A40,Questions!$A:$C)))</f>
        <v xml:space="preserve">   Does  the  product  support  wireless  connections?</v>
      </c>
      <c r="D40" s="8" t="str">
        <f ca="1">$AF40</f>
        <v/>
      </c>
      <c r="F40" s="8" t="str">
        <f ca="1">$AJ40</f>
        <v/>
      </c>
      <c r="I40" s="15" t="str">
        <f t="shared" ca="1" si="6"/>
        <v>QA5[]</v>
      </c>
      <c r="J40" s="15" t="str">
        <f t="shared" ca="1" si="7"/>
        <v>QA5[]</v>
      </c>
      <c r="K40" s="15" t="str" cm="1">
        <f t="array" aca="1" ref="K40" ca="1">SimpleLookup($A40,Questions!$A:$B)</f>
        <v>Does the product support wireless connections?</v>
      </c>
      <c r="L40" s="15" cm="1">
        <f t="array" aca="1" ref="L40" ca="1">CreateID($L$3,$L:$L,AND($A40&lt;&gt;"",$AC40))</f>
        <v>21</v>
      </c>
      <c r="M40" s="99" cm="1">
        <f t="array" aca="1" ref="M40" ca="1">CreateTaskID($M$3,$M:$M,Tasks!$B$17,$G40)</f>
        <v>0</v>
      </c>
      <c r="N40" s="15" t="str">
        <f t="shared" ca="1" si="8"/>
        <v>QA5 Does the product support wireless connections?</v>
      </c>
      <c r="O40" s="15" cm="1">
        <f t="array" aca="1" ref="O40" ca="1">CreateID($O$3,$O:$O,$N40&lt;&gt;"")</f>
        <v>21</v>
      </c>
      <c r="P40" s="99" t="str">
        <f t="shared" ca="1" si="9"/>
        <v/>
      </c>
      <c r="Q40" s="99" cm="1">
        <f t="array" aca="1" ref="Q40" ca="1">CreateID($Q$3,$Q:$Q,$P40&lt;&gt;"")</f>
        <v>0</v>
      </c>
      <c r="R40" s="99" t="str">
        <f t="shared" ca="1" si="10"/>
        <v/>
      </c>
      <c r="S40" s="99" cm="1">
        <f t="array" aca="1" ref="S40" ca="1">CreateID($S$3,$S:$S,$R40&lt;&gt;"")</f>
        <v>0</v>
      </c>
      <c r="T40" s="99" t="str">
        <f t="shared" ca="1" si="11"/>
        <v/>
      </c>
      <c r="U40" s="99" cm="1">
        <f t="array" aca="1" ref="U40" ca="1">CreateID($U$3,$U:$U,$T40&lt;&gt;"")</f>
        <v>0</v>
      </c>
      <c r="V40" s="99" cm="1">
        <f t="array" aca="1" ref="V40" ca="1">CreateID($V$3,$V:$V,IFERROR(FIND(Definitions!$AR$4,$G40)&gt;0,FALSE))</f>
        <v>0</v>
      </c>
      <c r="W40" s="99">
        <f>_xlfn.LET(
_xlpm._comment,$G40,
_xlpm._keyWord,Definitions!$AR$4,
_xlpm._diffLen,LEN(_xlpm._comment)-LEN(SUBSTITUTE(_xlpm._comment,_xlpm._keyWord,"")),
_xlpm._diffLen/LEN(_xlpm._keyWord))</f>
        <v>0</v>
      </c>
      <c r="X40" s="99" cm="1">
        <f t="array" aca="1" ref="X40" ca="1">CreateID($X$3,$X:$X,IFERROR(FIND(Definitions!$AR$5,$G40)&gt;0,FALSE))</f>
        <v>0</v>
      </c>
      <c r="Y40" s="99">
        <f>_xlfn.LET(
_xlpm._comment,$G40,
_xlpm._keyWord,Definitions!$AR$5,
_xlpm._diffLen,LEN(_xlpm._comment)-LEN(SUBSTITUTE(_xlpm._comment,_xlpm._keyWord,"")),
_xlpm._diffLen/LEN(_xlpm._keyWord))</f>
        <v>0</v>
      </c>
      <c r="Z40" s="99" t="b">
        <f ca="1">OR(IFERROR(_xlfn.XMATCH("*,"&amp;$A40&amp;",*",Assumptions!$AL:$AL,2)&gt;0,FALSE),
IFERROR(_xlfn.XMATCH("*,"&amp;$A40&amp;",*",Countermeasures!$AO:$AO,2)&gt;0,FALSE))</f>
        <v>0</v>
      </c>
      <c r="AA40" s="99" t="str" cm="1">
        <f t="array" aca="1" ref="AA40" ca="1">CreateSearchString($I40)</f>
        <v>,QA5[],</v>
      </c>
      <c r="AB40" s="99" t="str">
        <f>IF($E40="","",IFERROR(VLOOKUP($E40,Definitions!$H:$J,COLUMNS(Definitions!$H:$J),FALSE),""))</f>
        <v/>
      </c>
      <c r="AC40" s="99" t="b" cm="1">
        <f t="array" aca="1" ref="AC40" ca="1">IF($A40="",FALSE,SimpleLookup($A40,Questions!$A:$D)="x")</f>
        <v>1</v>
      </c>
      <c r="AD40" s="99" t="str" cm="1">
        <f t="array" aca="1" ref="AD40" ca="1">IF(OR($A40="",NOT($AC40)),"",SimpleLookup($A40,Questions!$A:$E))</f>
        <v>'[2025-07-30_QuBA_libre.xlsx]Definitions'!$A$4</v>
      </c>
      <c r="AE40" s="99" cm="1">
        <f t="array" aca="1" ref="AE40" ca="1">IF(OR($A40="",NOT($AC40)),"",SimpleLookup($A40,Questions!$A:$F))</f>
        <v>2</v>
      </c>
      <c r="AF40" s="99" t="str" cm="1">
        <f t="array" aca="1" ref="AF40" ca="1">_xlfn.LET(
_xlpm._answer,$C40,
_xlpm._infoTextFull,IF($AC40,CHAR(10)&amp;SimpleLookup($A40,Questions!$A:$H)&amp;CHAR(10),""),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40" s="99" t="b" cm="1">
        <f t="array" aca="1" ref="AG40" ca="1">IF(OR($A40="",NOT($AC40)),FALSE,_xlfn.LET(
_xlpm._secondAnswerRequiredOn,SimpleLookup($A40,Questions!$A:$I),
_xlpm._firstAnwer,$C40,
IFERROR(FIND(CHAR(10)&amp;_xlpm._firstAnwer&amp;":",CHAR(10)&amp;_xlpm._secondAnswerRequiredOn)&gt;0,FALSE)))</f>
        <v>0</v>
      </c>
      <c r="AH40" s="99" t="str" cm="1">
        <f t="array" aca="1" ref="AH40" ca="1">IF(OR($A40="",NOT($AC40)),"",_xlfn.LET(
_xlpm._id,$A40,
_xlpm._firstAnswer,$C40,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40" s="99" cm="1">
        <f t="array" aca="1" ref="AI40" ca="1">IF(OR($A40="",NOT($AC40)),"",_xlfn.LET(
_xlpm._id,$A40,
_xlpm._firstAnswer,$C40,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40" s="99" t="str" cm="1">
        <f t="array" aca="1" ref="AJ40" ca="1">IF($AG40,_xlfn.LET(
_xlpm._answer,$E40,
_xlpm._infoTextFull,IF($AC40,CHAR(10)&amp;SimpleLookup($A40,Questions!$A:$L)&amp;CHAR(10),""),
_xlpm._startSelectedByAnswerOne,IF(_xlpm._infoTextFull="",0,FIND("___"&amp;$C40&amp;"___",_xlpm._infoTextFull)+LEN("___"&amp;$C40&amp;"___")),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40" s="99" t="b" cm="1">
        <f t="array" aca="1" ref="AK40" ca="1">IF(OR($A40="",NOT($AC40)),FALSE,SimpleLookup($A40,Questions!$A:$Q))</f>
        <v>0</v>
      </c>
      <c r="AL40" s="99" t="str" cm="1">
        <f t="array" aca="1" ref="AL40" ca="1">IF(AND($A40=Questions!$A$41,IFERROR(SimpleLookup(Questions!$A$36,$A:$E)=Definitions!$O$5,FALSE),$C40=Definitions!$A$5),
Questions!$A$36&amp;" "&amp;Questions!$B$36&amp;CHAR(10)&amp;CHAR(187)&amp;" "&amp;SimpleLookup(Questions!$A$36,$A:$C)&amp;CHAR(10)&amp;SimpleLookup(Questions!$A$36,$A:$D)&amp;CHAR(10)&amp;CHAR(187)&amp;" "&amp;Definitions!$O$5&amp;CHAR(10)&amp;CHAR(10)&amp;
"is incosistent with"&amp;CHAR(10)&amp;CHAR(10)&amp;
$A40&amp;" "&amp;SimpleLookup($A40,Questions!$A:$B)&amp;CHAR(10)&amp;CHAR(187)&amp;" "&amp;$C40,
"")</f>
        <v/>
      </c>
      <c r="AM40" s="99" cm="1">
        <f t="array" aca="1" ref="AM40" ca="1">CreateID($AM$3,$AM:$AM,$AL40&lt;&gt;"")</f>
        <v>0</v>
      </c>
      <c r="AN40" s="99" t="str" cm="1">
        <f t="array" aca="1" ref="AN40" ca="1">IF(OR($C40="",OFFSET($C40,1,0)=""),"",
IF(AND($A40=Questions!$A$59,OFFSET($A40,1,0)=Questions!$A$60,SimpleLookup(Questions!$A$49,$A:$C)=Definitions!$A$4),
IF(MATCH($C40,Definitions!$AW:$AW,0)&gt;MATCH(OFFSET($C40,1,0),Definitions!AW:AW,0),$A40&amp;" "&amp;$K40&amp;": "&amp;$C40&amp;CHAR(10)&amp;"&lt;---&gt;"&amp;CHAR(10)&amp;OFFSET($A40,1,0)&amp;" "&amp;OFFSET($K40,1,0)&amp;": "&amp;OFFSET($C40,1,0),""),
""))</f>
        <v/>
      </c>
      <c r="AO40" s="99" cm="1">
        <f t="array" aca="1" ref="AO40" ca="1">CreateID($AO$3,$AO:$AO,$AN40&lt;&gt;"")</f>
        <v>0</v>
      </c>
    </row>
    <row r="41" spans="1:41" ht="30" x14ac:dyDescent="0.25">
      <c r="A41" s="96" t="s">
        <v>1048</v>
      </c>
      <c r="B41" s="4" t="str" cm="1">
        <f t="array" aca="1" ref="B41" ca="1">IF($A41="","",CreateIndentedString($K41,Definitions!$T$4,SimpleLookup($A41,Questions!$A:$C)))</f>
        <v xml:space="preserve">   Does  the  product  have  a  direct  connection  to  a
   mobile  network  /  the  Internet?</v>
      </c>
      <c r="D41" s="8" t="str">
        <f ca="1">$AF41</f>
        <v/>
      </c>
      <c r="F41" s="8" t="str">
        <f ca="1">$AJ41</f>
        <v/>
      </c>
      <c r="I41" s="15" t="str">
        <f t="shared" ca="1" si="6"/>
        <v>QA6[]</v>
      </c>
      <c r="J41" s="15" t="str">
        <f t="shared" ca="1" si="7"/>
        <v>QA6[]</v>
      </c>
      <c r="K41" s="15" t="str" cm="1">
        <f t="array" aca="1" ref="K41" ca="1">SimpleLookup($A41,Questions!$A:$B)</f>
        <v>Does the product have a direct connection to a mobile network / the Internet?</v>
      </c>
      <c r="L41" s="15" cm="1">
        <f t="array" aca="1" ref="L41" ca="1">CreateID($L$3,$L:$L,AND($A41&lt;&gt;"",$AC41))</f>
        <v>22</v>
      </c>
      <c r="M41" s="99" cm="1">
        <f t="array" aca="1" ref="M41" ca="1">CreateTaskID($M$3,$M:$M,Tasks!$B$17,$G41)</f>
        <v>0</v>
      </c>
      <c r="N41" s="15" t="str">
        <f t="shared" ca="1" si="8"/>
        <v>QA6 Does the product have a direct connection to a mobile network / the Internet?</v>
      </c>
      <c r="O41" s="15" cm="1">
        <f t="array" aca="1" ref="O41" ca="1">CreateID($O$3,$O:$O,$N41&lt;&gt;"")</f>
        <v>22</v>
      </c>
      <c r="P41" s="99" t="str">
        <f t="shared" ca="1" si="9"/>
        <v/>
      </c>
      <c r="Q41" s="99" cm="1">
        <f t="array" aca="1" ref="Q41" ca="1">CreateID($Q$3,$Q:$Q,$P41&lt;&gt;"")</f>
        <v>0</v>
      </c>
      <c r="R41" s="99" t="str">
        <f t="shared" ca="1" si="10"/>
        <v/>
      </c>
      <c r="S41" s="99" cm="1">
        <f t="array" aca="1" ref="S41" ca="1">CreateID($S$3,$S:$S,$R41&lt;&gt;"")</f>
        <v>0</v>
      </c>
      <c r="T41" s="99" t="str">
        <f t="shared" ca="1" si="11"/>
        <v/>
      </c>
      <c r="U41" s="99" cm="1">
        <f t="array" aca="1" ref="U41" ca="1">CreateID($U$3,$U:$U,$T41&lt;&gt;"")</f>
        <v>0</v>
      </c>
      <c r="V41" s="99" cm="1">
        <f t="array" aca="1" ref="V41" ca="1">CreateID($V$3,$V:$V,IFERROR(FIND(Definitions!$AR$4,$G41)&gt;0,FALSE))</f>
        <v>0</v>
      </c>
      <c r="W41" s="99">
        <f>_xlfn.LET(
_xlpm._comment,$G41,
_xlpm._keyWord,Definitions!$AR$4,
_xlpm._diffLen,LEN(_xlpm._comment)-LEN(SUBSTITUTE(_xlpm._comment,_xlpm._keyWord,"")),
_xlpm._diffLen/LEN(_xlpm._keyWord))</f>
        <v>0</v>
      </c>
      <c r="X41" s="99" cm="1">
        <f t="array" aca="1" ref="X41" ca="1">CreateID($X$3,$X:$X,IFERROR(FIND(Definitions!$AR$5,$G41)&gt;0,FALSE))</f>
        <v>0</v>
      </c>
      <c r="Y41" s="99">
        <f>_xlfn.LET(
_xlpm._comment,$G41,
_xlpm._keyWord,Definitions!$AR$5,
_xlpm._diffLen,LEN(_xlpm._comment)-LEN(SUBSTITUTE(_xlpm._comment,_xlpm._keyWord,"")),
_xlpm._diffLen/LEN(_xlpm._keyWord))</f>
        <v>0</v>
      </c>
      <c r="Z41" s="99" t="b">
        <f ca="1">OR(IFERROR(_xlfn.XMATCH("*,"&amp;$A41&amp;",*",Assumptions!$AL:$AL,2)&gt;0,FALSE),
IFERROR(_xlfn.XMATCH("*,"&amp;$A41&amp;",*",Countermeasures!$AO:$AO,2)&gt;0,FALSE))</f>
        <v>0</v>
      </c>
      <c r="AA41" s="99" t="str" cm="1">
        <f t="array" aca="1" ref="AA41" ca="1">CreateSearchString($I41)</f>
        <v>,QA6[],</v>
      </c>
      <c r="AB41" s="99" t="str">
        <f>IF($E41="","",IFERROR(VLOOKUP($E41,Definitions!$H:$J,COLUMNS(Definitions!$H:$J),FALSE),""))</f>
        <v/>
      </c>
      <c r="AC41" s="99" t="b" cm="1">
        <f t="array" aca="1" ref="AC41" ca="1">IF($A41="",FALSE,SimpleLookup($A41,Questions!$A:$D)="x")</f>
        <v>1</v>
      </c>
      <c r="AD41" s="99" t="str" cm="1">
        <f t="array" aca="1" ref="AD41" ca="1">IF(OR($A41="",NOT($AC41)),"",SimpleLookup($A41,Questions!$A:$E))</f>
        <v>'[2025-07-30_QuBA_libre.xlsx]Definitions'!$A$4</v>
      </c>
      <c r="AE41" s="99" cm="1">
        <f t="array" aca="1" ref="AE41" ca="1">IF(OR($A41="",NOT($AC41)),"",SimpleLookup($A41,Questions!$A:$F))</f>
        <v>2</v>
      </c>
      <c r="AF41" s="99" t="str" cm="1">
        <f t="array" aca="1" ref="AF41" ca="1">_xlfn.LET(
_xlpm._answer,$C41,
_xlpm._infoTextFull,IF($AC41,CHAR(10)&amp;SimpleLookup($A41,Questions!$A:$H)&amp;CHAR(10),""),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41" s="99" t="b" cm="1">
        <f t="array" aca="1" ref="AG41" ca="1">IF(OR($A41="",NOT($AC41)),FALSE,_xlfn.LET(
_xlpm._secondAnswerRequiredOn,SimpleLookup($A41,Questions!$A:$I),
_xlpm._firstAnwer,$C41,
IFERROR(FIND(CHAR(10)&amp;_xlpm._firstAnwer&amp;":",CHAR(10)&amp;_xlpm._secondAnswerRequiredOn)&gt;0,FALSE)))</f>
        <v>0</v>
      </c>
      <c r="AH41" s="99" t="str" cm="1">
        <f t="array" aca="1" ref="AH41" ca="1">IF(OR($A41="",NOT($AC41)),"",_xlfn.LET(
_xlpm._id,$A41,
_xlpm._firstAnswer,$C41,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41" s="99" cm="1">
        <f t="array" aca="1" ref="AI41" ca="1">IF(OR($A41="",NOT($AC41)),"",_xlfn.LET(
_xlpm._id,$A41,
_xlpm._firstAnswer,$C41,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J41" s="99" t="str" cm="1">
        <f t="array" aca="1" ref="AJ41" ca="1">IF($AG41,_xlfn.LET(
_xlpm._answer,$E41,
_xlpm._infoTextFull,IF($AC41,CHAR(10)&amp;SimpleLookup($A41,Questions!$A:$L)&amp;CHAR(10),""),
_xlpm._startSelectedByAnswerOne,IF(_xlpm._infoTextFull="",0,FIND("___"&amp;$C41&amp;"___",_xlpm._infoTextFull)+LEN("___"&amp;$C41&amp;"___")),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41" s="99" t="b" cm="1">
        <f t="array" aca="1" ref="AK41" ca="1">IF(OR($A41="",NOT($AC41)),FALSE,SimpleLookup($A41,Questions!$A:$Q))</f>
        <v>0</v>
      </c>
      <c r="AL41" s="113" t="str" cm="1">
        <f t="array" aca="1" ref="AL41" ca="1">IF(AND($A41=Questions!$A$41,IFERROR(SimpleLookup(Questions!$A$36,$A:$E)=Definitions!$O$5,FALSE),$C41=Definitions!$A$5),
Questions!$A$36&amp;" "&amp;Questions!$B$36&amp;CHAR(10)&amp;CHAR(187)&amp;" "&amp;SimpleLookup(Questions!$A$36,$A:$C)&amp;CHAR(10)&amp;SimpleLookup(Questions!$A$36,$A:$D)&amp;CHAR(10)&amp;CHAR(187)&amp;" "&amp;Definitions!$O$5&amp;CHAR(10)&amp;CHAR(10)&amp;
"is incosistent with"&amp;CHAR(10)&amp;CHAR(10)&amp;
$A41&amp;" "&amp;SimpleLookup($A41,Questions!$A:$B)&amp;CHAR(10)&amp;CHAR(187)&amp;" "&amp;$C41,
"")</f>
        <v/>
      </c>
      <c r="AM41" s="99" cm="1">
        <f t="array" aca="1" ref="AM41" ca="1">CreateID($AM$3,$AM:$AM,$AL41&lt;&gt;"")</f>
        <v>0</v>
      </c>
      <c r="AN41" s="99" t="str" cm="1">
        <f t="array" aca="1" ref="AN41" ca="1">IF(OR($C41="",OFFSET($C41,1,0)=""),"",
IF(AND($A41=Questions!$A$59,OFFSET($A41,1,0)=Questions!$A$60,SimpleLookup(Questions!$A$49,$A:$C)=Definitions!$A$4),
IF(MATCH($C41,Definitions!$AW:$AW,0)&gt;MATCH(OFFSET($C41,1,0),Definitions!AW:AW,0),$A41&amp;" "&amp;$K41&amp;": "&amp;$C41&amp;CHAR(10)&amp;"&lt;---&gt;"&amp;CHAR(10)&amp;OFFSET($A41,1,0)&amp;" "&amp;OFFSET($K41,1,0)&amp;": "&amp;OFFSET($C41,1,0),""),
""))</f>
        <v/>
      </c>
      <c r="AO41" s="99" cm="1">
        <f t="array" aca="1" ref="AO41" ca="1">CreateID($AO$3,$AO:$AO,$AN41&lt;&gt;"")</f>
        <v>0</v>
      </c>
    </row>
    <row r="42" spans="1:41" x14ac:dyDescent="0.25">
      <c r="A42" s="96" t="s">
        <v>1176</v>
      </c>
      <c r="B42" s="4" t="str" cm="1">
        <f t="array" aca="1" ref="B42" ca="1">IF($A42="","",CreateIndentedString($K42,Definitions!$T$4,SimpleLookup($A42,Questions!$A:$C)))</f>
        <v>Logical  communication</v>
      </c>
      <c r="I42" s="15" t="str">
        <f t="shared" ca="1" si="6"/>
        <v/>
      </c>
      <c r="J42" s="15" t="str">
        <f t="shared" ca="1" si="7"/>
        <v/>
      </c>
      <c r="K42" s="15" t="str" cm="1">
        <f t="array" aca="1" ref="K42" ca="1">SimpleLookup($A42,Questions!$A:$B)</f>
        <v>Logical communication</v>
      </c>
      <c r="L42" s="15" cm="1">
        <f t="array" aca="1" ref="L42" ca="1">CreateID($L$3,$L:$L,AND($A42&lt;&gt;"",$AC42))</f>
        <v>22</v>
      </c>
      <c r="M42" s="99" cm="1">
        <f t="array" aca="1" ref="M42" ca="1">CreateTaskID($M$3,$M:$M,Tasks!$B$17,$G42)</f>
        <v>0</v>
      </c>
      <c r="N42" s="15" t="str">
        <f t="shared" ca="1" si="8"/>
        <v/>
      </c>
      <c r="O42" s="15" cm="1">
        <f t="array" aca="1" ref="O42" ca="1">CreateID($O$3,$O:$O,$N42&lt;&gt;"")</f>
        <v>22</v>
      </c>
      <c r="P42" s="99" t="str">
        <f t="shared" si="9"/>
        <v/>
      </c>
      <c r="Q42" s="99" cm="1">
        <f t="array" aca="1" ref="Q42" ca="1">CreateID($Q$3,$Q:$Q,$P42&lt;&gt;"")</f>
        <v>0</v>
      </c>
      <c r="R42" s="99" t="str">
        <f t="shared" si="10"/>
        <v/>
      </c>
      <c r="S42" s="99" cm="1">
        <f t="array" aca="1" ref="S42" ca="1">CreateID($S$3,$S:$S,$R42&lt;&gt;"")</f>
        <v>0</v>
      </c>
      <c r="T42" s="99" t="str">
        <f t="shared" ca="1" si="11"/>
        <v/>
      </c>
      <c r="U42" s="99" cm="1">
        <f t="array" aca="1" ref="U42" ca="1">CreateID($U$3,$U:$U,$T42&lt;&gt;"")</f>
        <v>0</v>
      </c>
      <c r="V42" s="99" cm="1">
        <f t="array" aca="1" ref="V42" ca="1">CreateID($V$3,$V:$V,IFERROR(FIND(Definitions!$AR$4,$G42)&gt;0,FALSE))</f>
        <v>0</v>
      </c>
      <c r="W42" s="99">
        <f>_xlfn.LET(
_xlpm._comment,$G42,
_xlpm._keyWord,Definitions!$AR$4,
_xlpm._diffLen,LEN(_xlpm._comment)-LEN(SUBSTITUTE(_xlpm._comment,_xlpm._keyWord,"")),
_xlpm._diffLen/LEN(_xlpm._keyWord))</f>
        <v>0</v>
      </c>
      <c r="X42" s="99" cm="1">
        <f t="array" aca="1" ref="X42" ca="1">CreateID($X$3,$X:$X,IFERROR(FIND(Definitions!$AR$5,$G42)&gt;0,FALSE))</f>
        <v>0</v>
      </c>
      <c r="Y42" s="99">
        <f>_xlfn.LET(
_xlpm._comment,$G42,
_xlpm._keyWord,Definitions!$AR$5,
_xlpm._diffLen,LEN(_xlpm._comment)-LEN(SUBSTITUTE(_xlpm._comment,_xlpm._keyWord,"")),
_xlpm._diffLen/LEN(_xlpm._keyWord))</f>
        <v>0</v>
      </c>
      <c r="Z42" s="99" t="b">
        <f ca="1">OR(IFERROR(_xlfn.XMATCH("*,"&amp;$A42&amp;",*",Assumptions!$AL:$AL,2)&gt;0,FALSE),
IFERROR(_xlfn.XMATCH("*,"&amp;$A42&amp;",*",Countermeasures!$AO:$AO,2)&gt;0,FALSE))</f>
        <v>0</v>
      </c>
      <c r="AA42" s="99" t="str" cm="1">
        <f t="array" aca="1" ref="AA42" ca="1">CreateSearchString($I42)</f>
        <v/>
      </c>
      <c r="AB42" s="99" t="str">
        <f>IF($E42="","",IFERROR(VLOOKUP($E42,Definitions!$H:$J,COLUMNS(Definitions!$H:$J),FALSE),""))</f>
        <v/>
      </c>
      <c r="AC42" s="99" t="b" cm="1">
        <f t="array" aca="1" ref="AC42" ca="1">IF($A42="",FALSE,SimpleLookup($A42,Questions!$A:$D)="x")</f>
        <v>0</v>
      </c>
      <c r="AD42" s="99" t="str" cm="1">
        <f t="array" aca="1" ref="AD42" ca="1">IF(OR($A42="",NOT($AC42)),"",SimpleLookup($A42,Questions!$A:$E))</f>
        <v/>
      </c>
      <c r="AE42" s="99" t="str" cm="1">
        <f t="array" aca="1" ref="AE42" ca="1">IF(OR($A42="",NOT($AC42)),"",SimpleLookup($A42,Questions!$A:$F))</f>
        <v/>
      </c>
      <c r="AF42" s="99" t="str" cm="1">
        <f t="array" aca="1" ref="AF42" ca="1">_xlfn.LET(
_xlpm._answer,$C42,
_xlpm._infoTextFull,IF($AC42,CHAR(10)&amp;SimpleLookup($A42,Questions!$A:$H)&amp;CHAR(10),""),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42" s="99" t="b" cm="1">
        <f t="array" aca="1" ref="AG42" ca="1">IF(OR($A42="",NOT($AC42)),FALSE,_xlfn.LET(
_xlpm._secondAnswerRequiredOn,SimpleLookup($A42,Questions!$A:$I),
_xlpm._firstAnwer,$C42,
IFERROR(FIND(CHAR(10)&amp;_xlpm._firstAnwer&amp;":",CHAR(10)&amp;_xlpm._secondAnswerRequiredOn)&gt;0,FALSE)))</f>
        <v>0</v>
      </c>
      <c r="AH42" s="99" t="str" cm="1">
        <f t="array" aca="1" ref="AH42" ca="1">IF(OR($A42="",NOT($AC42)),"",_xlfn.LET(
_xlpm._id,$A42,
_xlpm._firstAnswer,$C42,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42" s="99" t="str" cm="1">
        <f t="array" aca="1" ref="AI42" ca="1">IF(OR($A42="",NOT($AC42)),"",_xlfn.LET(
_xlpm._id,$A42,
_xlpm._firstAnswer,$C42,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42" s="99" t="str" cm="1">
        <f t="array" aca="1" ref="AJ42" ca="1">IF($AG42,_xlfn.LET(
_xlpm._answer,$E42,
_xlpm._infoTextFull,IF($AC42,CHAR(10)&amp;SimpleLookup($A42,Questions!$A:$L)&amp;CHAR(10),""),
_xlpm._startSelectedByAnswerOne,IF(_xlpm._infoTextFull="",0,FIND("___"&amp;$C42&amp;"___",_xlpm._infoTextFull)+LEN("___"&amp;$C42&amp;"___")),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42" s="99" t="b" cm="1">
        <f t="array" aca="1" ref="AK42" ca="1">IF(OR($A42="",NOT($AC42)),FALSE,SimpleLookup($A42,Questions!$A:$Q))</f>
        <v>0</v>
      </c>
      <c r="AL42" s="99" t="str" cm="1">
        <f t="array" aca="1" ref="AL42" ca="1">IF(AND($A42=Questions!$A$41,IFERROR(SimpleLookup(Questions!$A$36,$A:$E)=Definitions!$O$5,FALSE),$C42=Definitions!$A$5),
Questions!$A$36&amp;" "&amp;Questions!$B$36&amp;CHAR(10)&amp;CHAR(187)&amp;" "&amp;SimpleLookup(Questions!$A$36,$A:$C)&amp;CHAR(10)&amp;SimpleLookup(Questions!$A$36,$A:$D)&amp;CHAR(10)&amp;CHAR(187)&amp;" "&amp;Definitions!$O$5&amp;CHAR(10)&amp;CHAR(10)&amp;
"is incosistent with"&amp;CHAR(10)&amp;CHAR(10)&amp;
$A42&amp;" "&amp;SimpleLookup($A42,Questions!$A:$B)&amp;CHAR(10)&amp;CHAR(187)&amp;" "&amp;$C42,
"")</f>
        <v/>
      </c>
      <c r="AM42" s="99" cm="1">
        <f t="array" aca="1" ref="AM42" ca="1">CreateID($AM$3,$AM:$AM,$AL42&lt;&gt;"")</f>
        <v>0</v>
      </c>
      <c r="AN42" s="99" t="str" cm="1">
        <f t="array" aca="1" ref="AN42" ca="1">IF(OR($C42="",OFFSET($C42,1,0)=""),"",
IF(AND($A42=Questions!$A$59,OFFSET($A42,1,0)=Questions!$A$60,SimpleLookup(Questions!$A$49,$A:$C)=Definitions!$A$4),
IF(MATCH($C42,Definitions!$AW:$AW,0)&gt;MATCH(OFFSET($C42,1,0),Definitions!AW:AW,0),$A42&amp;" "&amp;$K42&amp;": "&amp;$C42&amp;CHAR(10)&amp;"&lt;---&gt;"&amp;CHAR(10)&amp;OFFSET($A42,1,0)&amp;" "&amp;OFFSET($K42,1,0)&amp;": "&amp;OFFSET($C42,1,0),""),
""))</f>
        <v/>
      </c>
      <c r="AO42" s="99" cm="1">
        <f t="array" aca="1" ref="AO42" ca="1">CreateID($AO$3,$AO:$AO,$AN42&lt;&gt;"")</f>
        <v>0</v>
      </c>
    </row>
    <row r="43" spans="1:41" ht="30" x14ac:dyDescent="0.25">
      <c r="A43" s="96" t="s">
        <v>1049</v>
      </c>
      <c r="B43" s="4" t="str" cm="1">
        <f t="array" aca="1" ref="B43" ca="1">IF($A43="","",CreateIndentedString($K43,Definitions!$T$4,SimpleLookup($A43,Questions!$A:$C)))</f>
        <v xml:space="preserve">   Does  the  product  offer  services  to  other  entities
   on  the  network?</v>
      </c>
      <c r="D43" s="8" t="str">
        <f t="shared" ref="D43:D51" ca="1" si="12">$AF43</f>
        <v/>
      </c>
      <c r="F43" s="8" t="str">
        <f t="shared" ref="F43:F51" ca="1" si="13">$AJ43</f>
        <v/>
      </c>
      <c r="I43" s="15" t="str">
        <f t="shared" ca="1" si="6"/>
        <v>QA7[]</v>
      </c>
      <c r="J43" s="15" t="str">
        <f t="shared" ca="1" si="7"/>
        <v>QA7[]</v>
      </c>
      <c r="K43" s="15" t="str" cm="1">
        <f t="array" aca="1" ref="K43" ca="1">SimpleLookup($A43,Questions!$A:$B)</f>
        <v>Does the product offer services to other entities on the network?</v>
      </c>
      <c r="L43" s="15" cm="1">
        <f t="array" aca="1" ref="L43" ca="1">CreateID($L$3,$L:$L,AND($A43&lt;&gt;"",$AC43))</f>
        <v>23</v>
      </c>
      <c r="M43" s="99" cm="1">
        <f t="array" aca="1" ref="M43" ca="1">CreateTaskID($M$3,$M:$M,Tasks!$B$17,$G43)</f>
        <v>0</v>
      </c>
      <c r="N43" s="15" t="str">
        <f t="shared" ca="1" si="8"/>
        <v>QA7 Does the product offer services to other entities on the network?</v>
      </c>
      <c r="O43" s="15" cm="1">
        <f t="array" aca="1" ref="O43" ca="1">CreateID($O$3,$O:$O,$N43&lt;&gt;"")</f>
        <v>23</v>
      </c>
      <c r="P43" s="99" t="str">
        <f t="shared" ca="1" si="9"/>
        <v/>
      </c>
      <c r="Q43" s="99" cm="1">
        <f t="array" aca="1" ref="Q43" ca="1">CreateID($Q$3,$Q:$Q,$P43&lt;&gt;"")</f>
        <v>0</v>
      </c>
      <c r="R43" s="99" t="str">
        <f t="shared" ca="1" si="10"/>
        <v/>
      </c>
      <c r="S43" s="99" cm="1">
        <f t="array" aca="1" ref="S43" ca="1">CreateID($S$3,$S:$S,$R43&lt;&gt;"")</f>
        <v>0</v>
      </c>
      <c r="T43" s="99" t="str">
        <f t="shared" ca="1" si="11"/>
        <v/>
      </c>
      <c r="U43" s="99" cm="1">
        <f t="array" aca="1" ref="U43" ca="1">CreateID($U$3,$U:$U,$T43&lt;&gt;"")</f>
        <v>0</v>
      </c>
      <c r="V43" s="99" cm="1">
        <f t="array" aca="1" ref="V43" ca="1">CreateID($V$3,$V:$V,IFERROR(FIND(Definitions!$AR$4,$G43)&gt;0,FALSE))</f>
        <v>0</v>
      </c>
      <c r="W43" s="99">
        <f>_xlfn.LET(
_xlpm._comment,$G43,
_xlpm._keyWord,Definitions!$AR$4,
_xlpm._diffLen,LEN(_xlpm._comment)-LEN(SUBSTITUTE(_xlpm._comment,_xlpm._keyWord,"")),
_xlpm._diffLen/LEN(_xlpm._keyWord))</f>
        <v>0</v>
      </c>
      <c r="X43" s="99" cm="1">
        <f t="array" aca="1" ref="X43" ca="1">CreateID($X$3,$X:$X,IFERROR(FIND(Definitions!$AR$5,$G43)&gt;0,FALSE))</f>
        <v>0</v>
      </c>
      <c r="Y43" s="99">
        <f>_xlfn.LET(
_xlpm._comment,$G43,
_xlpm._keyWord,Definitions!$AR$5,
_xlpm._diffLen,LEN(_xlpm._comment)-LEN(SUBSTITUTE(_xlpm._comment,_xlpm._keyWord,"")),
_xlpm._diffLen/LEN(_xlpm._keyWord))</f>
        <v>0</v>
      </c>
      <c r="Z43" s="99" t="b">
        <f ca="1">OR(IFERROR(_xlfn.XMATCH("*,"&amp;$A43&amp;",*",Assumptions!$AL:$AL,2)&gt;0,FALSE),
IFERROR(_xlfn.XMATCH("*,"&amp;$A43&amp;",*",Countermeasures!$AO:$AO,2)&gt;0,FALSE))</f>
        <v>0</v>
      </c>
      <c r="AA43" s="99" t="str" cm="1">
        <f t="array" aca="1" ref="AA43" ca="1">CreateSearchString($I43)</f>
        <v>,QA7[],</v>
      </c>
      <c r="AB43" s="99" t="str">
        <f>IF($E43="","",IFERROR(VLOOKUP($E43,Definitions!$H:$J,COLUMNS(Definitions!$H:$J),FALSE),""))</f>
        <v/>
      </c>
      <c r="AC43" s="99" t="b" cm="1">
        <f t="array" aca="1" ref="AC43" ca="1">IF($A43="",FALSE,SimpleLookup($A43,Questions!$A:$D)="x")</f>
        <v>1</v>
      </c>
      <c r="AD43" s="99" t="str" cm="1">
        <f t="array" aca="1" ref="AD43" ca="1">IF(OR($A43="",NOT($AC43)),"",SimpleLookup($A43,Questions!$A:$E))</f>
        <v>'[2025-07-30_QuBA_libre.xlsx]Definitions'!$A$4</v>
      </c>
      <c r="AE43" s="99" cm="1">
        <f t="array" aca="1" ref="AE43" ca="1">IF(OR($A43="",NOT($AC43)),"",SimpleLookup($A43,Questions!$A:$F))</f>
        <v>2</v>
      </c>
      <c r="AF43" s="99" t="str" cm="1">
        <f t="array" aca="1" ref="AF43" ca="1">_xlfn.LET(
_xlpm._answer,$C43,
_xlpm._infoTextFull,IF($AC43,CHAR(10)&amp;SimpleLookup($A43,Questions!$A:$H)&amp;CHAR(10),""),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43" s="99" t="b" cm="1">
        <f t="array" aca="1" ref="AG43" ca="1">IF(OR($A43="",NOT($AC43)),FALSE,_xlfn.LET(
_xlpm._secondAnswerRequiredOn,SimpleLookup($A43,Questions!$A:$I),
_xlpm._firstAnwer,$C43,
IFERROR(FIND(CHAR(10)&amp;_xlpm._firstAnwer&amp;":",CHAR(10)&amp;_xlpm._secondAnswerRequiredOn)&gt;0,FALSE)))</f>
        <v>0</v>
      </c>
      <c r="AH43" s="99" t="str" cm="1">
        <f t="array" aca="1" ref="AH43" ca="1">IF(OR($A43="",NOT($AC43)),"",_xlfn.LET(
_xlpm._id,$A43,
_xlpm._firstAnswer,$C43,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43" s="99" t="str" cm="1">
        <f t="array" aca="1" ref="AI43" ca="1">IF(OR($A43="",NOT($AC43)),"",_xlfn.LET(
_xlpm._id,$A43,
_xlpm._firstAnswer,$C43,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43" s="99" t="str" cm="1">
        <f t="array" aca="1" ref="AJ43" ca="1">IF($AG43,_xlfn.LET(
_xlpm._answer,$E43,
_xlpm._infoTextFull,IF($AC43,CHAR(10)&amp;SimpleLookup($A43,Questions!$A:$L)&amp;CHAR(10),""),
_xlpm._startSelectedByAnswerOne,IF(_xlpm._infoTextFull="",0,FIND("___"&amp;$C43&amp;"___",_xlpm._infoTextFull)+LEN("___"&amp;$C43&amp;"___")),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43" s="99" t="b" cm="1">
        <f t="array" aca="1" ref="AK43" ca="1">IF(OR($A43="",NOT($AC43)),FALSE,SimpleLookup($A43,Questions!$A:$Q))</f>
        <v>0</v>
      </c>
      <c r="AL43" s="99" t="str" cm="1">
        <f t="array" aca="1" ref="AL43" ca="1">IF(AND($A43=Questions!$A$41,IFERROR(SimpleLookup(Questions!$A$36,$A:$E)=Definitions!$O$5,FALSE),$C43=Definitions!$A$5),
Questions!$A$36&amp;" "&amp;Questions!$B$36&amp;CHAR(10)&amp;CHAR(187)&amp;" "&amp;SimpleLookup(Questions!$A$36,$A:$C)&amp;CHAR(10)&amp;SimpleLookup(Questions!$A$36,$A:$D)&amp;CHAR(10)&amp;CHAR(187)&amp;" "&amp;Definitions!$O$5&amp;CHAR(10)&amp;CHAR(10)&amp;
"is incosistent with"&amp;CHAR(10)&amp;CHAR(10)&amp;
$A43&amp;" "&amp;SimpleLookup($A43,Questions!$A:$B)&amp;CHAR(10)&amp;CHAR(187)&amp;" "&amp;$C43,
"")</f>
        <v/>
      </c>
      <c r="AM43" s="99" cm="1">
        <f t="array" aca="1" ref="AM43" ca="1">CreateID($AM$3,$AM:$AM,$AL43&lt;&gt;"")</f>
        <v>0</v>
      </c>
      <c r="AN43" s="99" t="str" cm="1">
        <f t="array" aca="1" ref="AN43" ca="1">IF(OR($C43="",OFFSET($C43,1,0)=""),"",
IF(AND($A43=Questions!$A$59,OFFSET($A43,1,0)=Questions!$A$60,SimpleLookup(Questions!$A$49,$A:$C)=Definitions!$A$4),
IF(MATCH($C43,Definitions!$AW:$AW,0)&gt;MATCH(OFFSET($C43,1,0),Definitions!AW:AW,0),$A43&amp;" "&amp;$K43&amp;": "&amp;$C43&amp;CHAR(10)&amp;"&lt;---&gt;"&amp;CHAR(10)&amp;OFFSET($A43,1,0)&amp;" "&amp;OFFSET($K43,1,0)&amp;": "&amp;OFFSET($C43,1,0),""),
""))</f>
        <v/>
      </c>
      <c r="AO43" s="99" cm="1">
        <f t="array" aca="1" ref="AO43" ca="1">CreateID($AO$3,$AO:$AO,$AN43&lt;&gt;"")</f>
        <v>0</v>
      </c>
    </row>
    <row r="44" spans="1:41" ht="30" x14ac:dyDescent="0.25">
      <c r="A44" s="96" t="s">
        <v>1052</v>
      </c>
      <c r="B44" s="4" t="str" cm="1">
        <f t="array" aca="1" ref="B44" ca="1">IF($A44="","",CreateIndentedString($K44,Definitions!$T$4,SimpleLookup($A44,Questions!$A:$C)))</f>
        <v xml:space="preserve">      Does  the  product  offer  a  configuration
      interface?</v>
      </c>
      <c r="D44" s="8" t="str">
        <f t="shared" ca="1" si="12"/>
        <v/>
      </c>
      <c r="F44" s="8" t="str">
        <f t="shared" ca="1" si="13"/>
        <v/>
      </c>
      <c r="I44" s="15" t="str">
        <f t="shared" ca="1" si="6"/>
        <v>QA8[]</v>
      </c>
      <c r="J44" s="15" t="str">
        <f t="shared" ca="1" si="7"/>
        <v>QA8[]</v>
      </c>
      <c r="K44" s="15" t="str" cm="1">
        <f t="array" aca="1" ref="K44" ca="1">SimpleLookup($A44,Questions!$A:$B)</f>
        <v>Does the product offer a configuration interface?</v>
      </c>
      <c r="L44" s="15" cm="1">
        <f t="array" aca="1" ref="L44" ca="1">CreateID($L$3,$L:$L,AND($A44&lt;&gt;"",$AC44))</f>
        <v>24</v>
      </c>
      <c r="M44" s="99" cm="1">
        <f t="array" aca="1" ref="M44" ca="1">CreateTaskID($M$3,$M:$M,Tasks!$B$17,$G44)</f>
        <v>0</v>
      </c>
      <c r="N44" s="15" t="str">
        <f t="shared" ca="1" si="8"/>
        <v>QA8 Does the product offer a configuration interface?</v>
      </c>
      <c r="O44" s="15" cm="1">
        <f t="array" aca="1" ref="O44" ca="1">CreateID($O$3,$O:$O,$N44&lt;&gt;"")</f>
        <v>24</v>
      </c>
      <c r="P44" s="99" t="str">
        <f t="shared" ca="1" si="9"/>
        <v/>
      </c>
      <c r="Q44" s="99" cm="1">
        <f t="array" aca="1" ref="Q44" ca="1">CreateID($Q$3,$Q:$Q,$P44&lt;&gt;"")</f>
        <v>0</v>
      </c>
      <c r="R44" s="99" t="str">
        <f t="shared" ca="1" si="10"/>
        <v/>
      </c>
      <c r="S44" s="99" cm="1">
        <f t="array" aca="1" ref="S44" ca="1">CreateID($S$3,$S:$S,$R44&lt;&gt;"")</f>
        <v>0</v>
      </c>
      <c r="T44" s="99" t="str">
        <f t="shared" ca="1" si="11"/>
        <v/>
      </c>
      <c r="U44" s="99" cm="1">
        <f t="array" aca="1" ref="U44" ca="1">CreateID($U$3,$U:$U,$T44&lt;&gt;"")</f>
        <v>0</v>
      </c>
      <c r="V44" s="99" cm="1">
        <f t="array" aca="1" ref="V44" ca="1">CreateID($V$3,$V:$V,IFERROR(FIND(Definitions!$AR$4,$G44)&gt;0,FALSE))</f>
        <v>0</v>
      </c>
      <c r="W44" s="99">
        <f>_xlfn.LET(
_xlpm._comment,$G44,
_xlpm._keyWord,Definitions!$AR$4,
_xlpm._diffLen,LEN(_xlpm._comment)-LEN(SUBSTITUTE(_xlpm._comment,_xlpm._keyWord,"")),
_xlpm._diffLen/LEN(_xlpm._keyWord))</f>
        <v>0</v>
      </c>
      <c r="X44" s="99" cm="1">
        <f t="array" aca="1" ref="X44" ca="1">CreateID($X$3,$X:$X,IFERROR(FIND(Definitions!$AR$5,$G44)&gt;0,FALSE))</f>
        <v>0</v>
      </c>
      <c r="Y44" s="99">
        <f>_xlfn.LET(
_xlpm._comment,$G44,
_xlpm._keyWord,Definitions!$AR$5,
_xlpm._diffLen,LEN(_xlpm._comment)-LEN(SUBSTITUTE(_xlpm._comment,_xlpm._keyWord,"")),
_xlpm._diffLen/LEN(_xlpm._keyWord))</f>
        <v>0</v>
      </c>
      <c r="Z44" s="99" t="b">
        <f ca="1">OR(IFERROR(_xlfn.XMATCH("*,"&amp;$A44&amp;",*",Assumptions!$AL:$AL,2)&gt;0,FALSE),
IFERROR(_xlfn.XMATCH("*,"&amp;$A44&amp;",*",Countermeasures!$AO:$AO,2)&gt;0,FALSE))</f>
        <v>0</v>
      </c>
      <c r="AA44" s="99" t="str" cm="1">
        <f t="array" aca="1" ref="AA44" ca="1">CreateSearchString($I44)</f>
        <v>,QA8[],</v>
      </c>
      <c r="AB44" s="99" t="str">
        <f>IF($E44="","",IFERROR(VLOOKUP($E44,Definitions!$H:$J,COLUMNS(Definitions!$H:$J),FALSE),""))</f>
        <v/>
      </c>
      <c r="AC44" s="99" t="b" cm="1">
        <f t="array" aca="1" ref="AC44" ca="1">IF($A44="",FALSE,SimpleLookup($A44,Questions!$A:$D)="x")</f>
        <v>1</v>
      </c>
      <c r="AD44" s="99" t="str" cm="1">
        <f t="array" aca="1" ref="AD44" ca="1">IF(OR($A44="",NOT($AC44)),"",SimpleLookup($A44,Questions!$A:$E))</f>
        <v>'[2025-07-30_QuBA_libre.xlsx]Definitions'!$A$4</v>
      </c>
      <c r="AE44" s="99" cm="1">
        <f t="array" aca="1" ref="AE44" ca="1">IF(OR($A44="",NOT($AC44)),"",SimpleLookup($A44,Questions!$A:$F))</f>
        <v>2</v>
      </c>
      <c r="AF44" s="99" t="str" cm="1">
        <f t="array" aca="1" ref="AF44" ca="1">_xlfn.LET(
_xlpm._answer,$C44,
_xlpm._infoTextFull,IF($AC44,CHAR(10)&amp;SimpleLookup($A44,Questions!$A:$H)&amp;CHAR(10),""),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44" s="99" t="b" cm="1">
        <f t="array" aca="1" ref="AG44" ca="1">IF(OR($A44="",NOT($AC44)),FALSE,_xlfn.LET(
_xlpm._secondAnswerRequiredOn,SimpleLookup($A44,Questions!$A:$I),
_xlpm._firstAnwer,$C44,
IFERROR(FIND(CHAR(10)&amp;_xlpm._firstAnwer&amp;":",CHAR(10)&amp;_xlpm._secondAnswerRequiredOn)&gt;0,FALSE)))</f>
        <v>0</v>
      </c>
      <c r="AH44" s="99" t="str" cm="1">
        <f t="array" aca="1" ref="AH44" ca="1">IF(OR($A44="",NOT($AC44)),"",_xlfn.LET(
_xlpm._id,$A44,
_xlpm._firstAnswer,$C44,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44" s="99" cm="1">
        <f t="array" aca="1" ref="AI44" ca="1">IF(OR($A44="",NOT($AC44)),"",_xlfn.LET(
_xlpm._id,$A44,
_xlpm._firstAnswer,$C44,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44" s="99" t="str" cm="1">
        <f t="array" aca="1" ref="AJ44" ca="1">IF($AG44,_xlfn.LET(
_xlpm._answer,$E44,
_xlpm._infoTextFull,IF($AC44,CHAR(10)&amp;SimpleLookup($A44,Questions!$A:$L)&amp;CHAR(10),""),
_xlpm._startSelectedByAnswerOne,IF(_xlpm._infoTextFull="",0,FIND("___"&amp;$C44&amp;"___",_xlpm._infoTextFull)+LEN("___"&amp;$C44&amp;"___")),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44" s="99" t="b" cm="1">
        <f t="array" aca="1" ref="AK44" ca="1">IF(OR($A44="",NOT($AC44)),FALSE,SimpleLookup($A44,Questions!$A:$Q))</f>
        <v>0</v>
      </c>
      <c r="AL44" s="99" t="str" cm="1">
        <f t="array" aca="1" ref="AL44" ca="1">IF(AND($A44=Questions!$A$41,IFERROR(SimpleLookup(Questions!$A$36,$A:$E)=Definitions!$O$5,FALSE),$C44=Definitions!$A$5),
Questions!$A$36&amp;" "&amp;Questions!$B$36&amp;CHAR(10)&amp;CHAR(187)&amp;" "&amp;SimpleLookup(Questions!$A$36,$A:$C)&amp;CHAR(10)&amp;SimpleLookup(Questions!$A$36,$A:$D)&amp;CHAR(10)&amp;CHAR(187)&amp;" "&amp;Definitions!$O$5&amp;CHAR(10)&amp;CHAR(10)&amp;
"is incosistent with"&amp;CHAR(10)&amp;CHAR(10)&amp;
$A44&amp;" "&amp;SimpleLookup($A44,Questions!$A:$B)&amp;CHAR(10)&amp;CHAR(187)&amp;" "&amp;$C44,
"")</f>
        <v/>
      </c>
      <c r="AM44" s="99" cm="1">
        <f t="array" aca="1" ref="AM44" ca="1">CreateID($AM$3,$AM:$AM,$AL44&lt;&gt;"")</f>
        <v>0</v>
      </c>
      <c r="AN44" s="99" t="str" cm="1">
        <f t="array" aca="1" ref="AN44" ca="1">IF(OR($C44="",OFFSET($C44,1,0)=""),"",
IF(AND($A44=Questions!$A$59,OFFSET($A44,1,0)=Questions!$A$60,SimpleLookup(Questions!$A$49,$A:$C)=Definitions!$A$4),
IF(MATCH($C44,Definitions!$AW:$AW,0)&gt;MATCH(OFFSET($C44,1,0),Definitions!AW:AW,0),$A44&amp;" "&amp;$K44&amp;": "&amp;$C44&amp;CHAR(10)&amp;"&lt;---&gt;"&amp;CHAR(10)&amp;OFFSET($A44,1,0)&amp;" "&amp;OFFSET($K44,1,0)&amp;": "&amp;OFFSET($C44,1,0),""),
""))</f>
        <v/>
      </c>
      <c r="AO44" s="99" cm="1">
        <f t="array" aca="1" ref="AO44" ca="1">CreateID($AO$3,$AO:$AO,$AN44&lt;&gt;"")</f>
        <v>0</v>
      </c>
    </row>
    <row r="45" spans="1:41" ht="30" x14ac:dyDescent="0.25">
      <c r="A45" s="96" t="s">
        <v>1054</v>
      </c>
      <c r="B45" s="4" t="str" cm="1">
        <f t="array" aca="1" ref="B45" ca="1">IF($A45="","",CreateIndentedString($K45,Definitions!$T$4,SimpleLookup($A45,Questions!$A:$C)))</f>
        <v xml:space="preserve">      Does  the  product  have  an  IP  stack  (or  another
      routable  protocol)?</v>
      </c>
      <c r="D45" s="8" t="str">
        <f t="shared" ca="1" si="12"/>
        <v/>
      </c>
      <c r="F45" s="8" t="str">
        <f t="shared" ca="1" si="13"/>
        <v/>
      </c>
      <c r="I45" s="15" t="str">
        <f t="shared" ca="1" si="6"/>
        <v>QA9[]</v>
      </c>
      <c r="J45" s="15" t="str">
        <f t="shared" ca="1" si="7"/>
        <v>QA9[]</v>
      </c>
      <c r="K45" s="15" t="str" cm="1">
        <f t="array" aca="1" ref="K45" ca="1">SimpleLookup($A45,Questions!$A:$B)</f>
        <v>Does the product have an IP stack (or another routable protocol)?</v>
      </c>
      <c r="L45" s="15" cm="1">
        <f t="array" aca="1" ref="L45" ca="1">CreateID($L$3,$L:$L,AND($A45&lt;&gt;"",$AC45))</f>
        <v>25</v>
      </c>
      <c r="M45" s="99" cm="1">
        <f t="array" aca="1" ref="M45" ca="1">CreateTaskID($M$3,$M:$M,Tasks!$B$17,$G45)</f>
        <v>0</v>
      </c>
      <c r="N45" s="15" t="str">
        <f t="shared" ca="1" si="8"/>
        <v>QA9 Does the product have an IP stack (or another routable protocol)?</v>
      </c>
      <c r="O45" s="15" cm="1">
        <f t="array" aca="1" ref="O45" ca="1">CreateID($O$3,$O:$O,$N45&lt;&gt;"")</f>
        <v>25</v>
      </c>
      <c r="P45" s="99" t="str">
        <f t="shared" ca="1" si="9"/>
        <v/>
      </c>
      <c r="Q45" s="99" cm="1">
        <f t="array" aca="1" ref="Q45" ca="1">CreateID($Q$3,$Q:$Q,$P45&lt;&gt;"")</f>
        <v>0</v>
      </c>
      <c r="R45" s="99" t="str">
        <f t="shared" ca="1" si="10"/>
        <v/>
      </c>
      <c r="S45" s="99" cm="1">
        <f t="array" aca="1" ref="S45" ca="1">CreateID($S$3,$S:$S,$R45&lt;&gt;"")</f>
        <v>0</v>
      </c>
      <c r="T45" s="99" t="str">
        <f t="shared" ca="1" si="11"/>
        <v/>
      </c>
      <c r="U45" s="99" cm="1">
        <f t="array" aca="1" ref="U45" ca="1">CreateID($U$3,$U:$U,$T45&lt;&gt;"")</f>
        <v>0</v>
      </c>
      <c r="V45" s="99" cm="1">
        <f t="array" aca="1" ref="V45" ca="1">CreateID($V$3,$V:$V,IFERROR(FIND(Definitions!$AR$4,$G45)&gt;0,FALSE))</f>
        <v>0</v>
      </c>
      <c r="W45" s="99">
        <f>_xlfn.LET(
_xlpm._comment,$G45,
_xlpm._keyWord,Definitions!$AR$4,
_xlpm._diffLen,LEN(_xlpm._comment)-LEN(SUBSTITUTE(_xlpm._comment,_xlpm._keyWord,"")),
_xlpm._diffLen/LEN(_xlpm._keyWord))</f>
        <v>0</v>
      </c>
      <c r="X45" s="99" cm="1">
        <f t="array" aca="1" ref="X45" ca="1">CreateID($X$3,$X:$X,IFERROR(FIND(Definitions!$AR$5,$G45)&gt;0,FALSE))</f>
        <v>0</v>
      </c>
      <c r="Y45" s="99">
        <f>_xlfn.LET(
_xlpm._comment,$G45,
_xlpm._keyWord,Definitions!$AR$5,
_xlpm._diffLen,LEN(_xlpm._comment)-LEN(SUBSTITUTE(_xlpm._comment,_xlpm._keyWord,"")),
_xlpm._diffLen/LEN(_xlpm._keyWord))</f>
        <v>0</v>
      </c>
      <c r="Z45" s="99" t="b">
        <f ca="1">OR(IFERROR(_xlfn.XMATCH("*,"&amp;$A45&amp;",*",Assumptions!$AL:$AL,2)&gt;0,FALSE),
IFERROR(_xlfn.XMATCH("*,"&amp;$A45&amp;",*",Countermeasures!$AO:$AO,2)&gt;0,FALSE))</f>
        <v>0</v>
      </c>
      <c r="AA45" s="99" t="str" cm="1">
        <f t="array" aca="1" ref="AA45" ca="1">CreateSearchString($I45)</f>
        <v>,QA9[],</v>
      </c>
      <c r="AB45" s="99" t="str">
        <f>IF($E45="","",IFERROR(VLOOKUP($E45,Definitions!$H:$J,COLUMNS(Definitions!$H:$J),FALSE),""))</f>
        <v/>
      </c>
      <c r="AC45" s="99" t="b" cm="1">
        <f t="array" aca="1" ref="AC45" ca="1">IF($A45="",FALSE,SimpleLookup($A45,Questions!$A:$D)="x")</f>
        <v>1</v>
      </c>
      <c r="AD45" s="99" t="str" cm="1">
        <f t="array" aca="1" ref="AD45" ca="1">IF(OR($A45="",NOT($AC45)),"",SimpleLookup($A45,Questions!$A:$E))</f>
        <v>'[2025-07-30_QuBA_libre.xlsx]Definitions'!$A$4</v>
      </c>
      <c r="AE45" s="99" cm="1">
        <f t="array" aca="1" ref="AE45" ca="1">IF(OR($A45="",NOT($AC45)),"",SimpleLookup($A45,Questions!$A:$F))</f>
        <v>2</v>
      </c>
      <c r="AF45" s="99" t="str" cm="1">
        <f t="array" aca="1" ref="AF45" ca="1">_xlfn.LET(
_xlpm._answer,$C45,
_xlpm._infoTextFull,IF($AC45,CHAR(10)&amp;SimpleLookup($A45,Questions!$A:$H)&amp;CHAR(10),""),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45" s="99" t="b" cm="1">
        <f t="array" aca="1" ref="AG45" ca="1">IF(OR($A45="",NOT($AC45)),FALSE,_xlfn.LET(
_xlpm._secondAnswerRequiredOn,SimpleLookup($A45,Questions!$A:$I),
_xlpm._firstAnwer,$C45,
IFERROR(FIND(CHAR(10)&amp;_xlpm._firstAnwer&amp;":",CHAR(10)&amp;_xlpm._secondAnswerRequiredOn)&gt;0,FALSE)))</f>
        <v>0</v>
      </c>
      <c r="AH45" s="99" t="str" cm="1">
        <f t="array" aca="1" ref="AH45" ca="1">IF(OR($A45="",NOT($AC45)),"",_xlfn.LET(
_xlpm._id,$A45,
_xlpm._firstAnswer,$C45,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45" s="99" cm="1">
        <f t="array" aca="1" ref="AI45" ca="1">IF(OR($A45="",NOT($AC45)),"",_xlfn.LET(
_xlpm._id,$A45,
_xlpm._firstAnswer,$C45,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J45" s="99" t="str" cm="1">
        <f t="array" aca="1" ref="AJ45" ca="1">IF($AG45,_xlfn.LET(
_xlpm._answer,$E45,
_xlpm._infoTextFull,IF($AC45,CHAR(10)&amp;SimpleLookup($A45,Questions!$A:$L)&amp;CHAR(10),""),
_xlpm._startSelectedByAnswerOne,IF(_xlpm._infoTextFull="",0,FIND("___"&amp;$C45&amp;"___",_xlpm._infoTextFull)+LEN("___"&amp;$C45&amp;"___")),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45" s="99" t="b" cm="1">
        <f t="array" aca="1" ref="AK45" ca="1">IF(OR($A45="",NOT($AC45)),FALSE,SimpleLookup($A45,Questions!$A:$Q))</f>
        <v>0</v>
      </c>
      <c r="AL45" s="99" t="str" cm="1">
        <f t="array" aca="1" ref="AL45" ca="1">IF(AND($A45=Questions!$A$41,IFERROR(SimpleLookup(Questions!$A$36,$A:$E)=Definitions!$O$5,FALSE),$C45=Definitions!$A$5),
Questions!$A$36&amp;" "&amp;Questions!$B$36&amp;CHAR(10)&amp;CHAR(187)&amp;" "&amp;SimpleLookup(Questions!$A$36,$A:$C)&amp;CHAR(10)&amp;SimpleLookup(Questions!$A$36,$A:$D)&amp;CHAR(10)&amp;CHAR(187)&amp;" "&amp;Definitions!$O$5&amp;CHAR(10)&amp;CHAR(10)&amp;
"is incosistent with"&amp;CHAR(10)&amp;CHAR(10)&amp;
$A45&amp;" "&amp;SimpleLookup($A45,Questions!$A:$B)&amp;CHAR(10)&amp;CHAR(187)&amp;" "&amp;$C45,
"")</f>
        <v/>
      </c>
      <c r="AM45" s="99" cm="1">
        <f t="array" aca="1" ref="AM45" ca="1">CreateID($AM$3,$AM:$AM,$AL45&lt;&gt;"")</f>
        <v>0</v>
      </c>
      <c r="AN45" s="99" t="str" cm="1">
        <f t="array" aca="1" ref="AN45" ca="1">IF(OR($C45="",OFFSET($C45,1,0)=""),"",
IF(AND($A45=Questions!$A$59,OFFSET($A45,1,0)=Questions!$A$60,SimpleLookup(Questions!$A$49,$A:$C)=Definitions!$A$4),
IF(MATCH($C45,Definitions!$AW:$AW,0)&gt;MATCH(OFFSET($C45,1,0),Definitions!AW:AW,0),$A45&amp;" "&amp;$K45&amp;": "&amp;$C45&amp;CHAR(10)&amp;"&lt;---&gt;"&amp;CHAR(10)&amp;OFFSET($A45,1,0)&amp;" "&amp;OFFSET($K45,1,0)&amp;": "&amp;OFFSET($C45,1,0),""),
""))</f>
        <v/>
      </c>
      <c r="AO45" s="99" cm="1">
        <f t="array" aca="1" ref="AO45" ca="1">CreateID($AO$3,$AO:$AO,$AN45&lt;&gt;"")</f>
        <v>0</v>
      </c>
    </row>
    <row r="46" spans="1:41" ht="45" x14ac:dyDescent="0.25">
      <c r="A46" s="96" t="s">
        <v>1244</v>
      </c>
      <c r="B46" s="4" t="str" cm="1">
        <f t="array" aca="1" ref="B46" ca="1">IF($A46="","",CreateIndentedString($K46,Definitions!$T$4,SimpleLookup($A46,Questions!$A:$C)))</f>
        <v xml:space="preserve">      Does  the  product  communicate  with  an  external
      system  locally  (e.g.,  a  USB  stick,  an  SD  card,
      an  RFID  tag)?</v>
      </c>
      <c r="D46" s="8" t="str">
        <f t="shared" ca="1" si="12"/>
        <v/>
      </c>
      <c r="F46" s="8" t="str">
        <f t="shared" ca="1" si="13"/>
        <v/>
      </c>
      <c r="I46" s="15" t="str">
        <f t="shared" ca="1" si="6"/>
        <v>QA10a[]</v>
      </c>
      <c r="J46" s="15" t="str">
        <f t="shared" ca="1" si="7"/>
        <v>QA10a[]</v>
      </c>
      <c r="K46" s="15" t="str" cm="1">
        <f t="array" aca="1" ref="K46" ca="1">SimpleLookup($A46,Questions!$A:$B)</f>
        <v>Does the product communicate with an external system locally (e.g., a USB stick, an SD card, an RFID tag)?</v>
      </c>
      <c r="L46" s="15" cm="1">
        <f t="array" aca="1" ref="L46" ca="1">CreateID($L$3,$L:$L,AND($A46&lt;&gt;"",$AC46))</f>
        <v>26</v>
      </c>
      <c r="M46" s="99" cm="1">
        <f t="array" aca="1" ref="M46" ca="1">CreateTaskID($M$3,$M:$M,Tasks!$B$17,$G46)</f>
        <v>0</v>
      </c>
      <c r="N46" s="15" t="str">
        <f t="shared" ca="1" si="8"/>
        <v>QA10a Does the product communicate with an external system locally (e.g., a USB stick, an SD card, an RFID tag)?</v>
      </c>
      <c r="O46" s="15" cm="1">
        <f t="array" aca="1" ref="O46" ca="1">CreateID($O$3,$O:$O,$N46&lt;&gt;"")</f>
        <v>26</v>
      </c>
      <c r="P46" s="99" t="str">
        <f t="shared" ca="1" si="9"/>
        <v/>
      </c>
      <c r="Q46" s="99" cm="1">
        <f t="array" aca="1" ref="Q46" ca="1">CreateID($Q$3,$Q:$Q,$P46&lt;&gt;"")</f>
        <v>0</v>
      </c>
      <c r="R46" s="99" t="str">
        <f t="shared" ca="1" si="10"/>
        <v/>
      </c>
      <c r="S46" s="99" cm="1">
        <f t="array" aca="1" ref="S46" ca="1">CreateID($S$3,$S:$S,$R46&lt;&gt;"")</f>
        <v>0</v>
      </c>
      <c r="T46" s="99" t="str">
        <f t="shared" ca="1" si="11"/>
        <v/>
      </c>
      <c r="U46" s="99" cm="1">
        <f t="array" aca="1" ref="U46" ca="1">CreateID($U$3,$U:$U,$T46&lt;&gt;"")</f>
        <v>0</v>
      </c>
      <c r="V46" s="99" cm="1">
        <f t="array" aca="1" ref="V46" ca="1">CreateID($V$3,$V:$V,IFERROR(FIND(Definitions!$AR$4,$G46)&gt;0,FALSE))</f>
        <v>0</v>
      </c>
      <c r="W46" s="99">
        <f>_xlfn.LET(
_xlpm._comment,$G46,
_xlpm._keyWord,Definitions!$AR$4,
_xlpm._diffLen,LEN(_xlpm._comment)-LEN(SUBSTITUTE(_xlpm._comment,_xlpm._keyWord,"")),
_xlpm._diffLen/LEN(_xlpm._keyWord))</f>
        <v>0</v>
      </c>
      <c r="X46" s="99" cm="1">
        <f t="array" aca="1" ref="X46" ca="1">CreateID($X$3,$X:$X,IFERROR(FIND(Definitions!$AR$5,$G46)&gt;0,FALSE))</f>
        <v>0</v>
      </c>
      <c r="Y46" s="99">
        <f>_xlfn.LET(
_xlpm._comment,$G46,
_xlpm._keyWord,Definitions!$AR$5,
_xlpm._diffLen,LEN(_xlpm._comment)-LEN(SUBSTITUTE(_xlpm._comment,_xlpm._keyWord,"")),
_xlpm._diffLen/LEN(_xlpm._keyWord))</f>
        <v>0</v>
      </c>
      <c r="Z46" s="99" t="b">
        <f ca="1">OR(IFERROR(_xlfn.XMATCH("*,"&amp;$A46&amp;",*",Assumptions!$AL:$AL,2)&gt;0,FALSE),
IFERROR(_xlfn.XMATCH("*,"&amp;$A46&amp;",*",Countermeasures!$AO:$AO,2)&gt;0,FALSE))</f>
        <v>0</v>
      </c>
      <c r="AA46" s="99" t="str" cm="1">
        <f t="array" aca="1" ref="AA46" ca="1">CreateSearchString($I46)</f>
        <v>,QA10a[],</v>
      </c>
      <c r="AB46" s="99" t="str">
        <f>IF($E46="","",IFERROR(VLOOKUP($E46,Definitions!$H:$J,COLUMNS(Definitions!$H:$J),FALSE),""))</f>
        <v/>
      </c>
      <c r="AC46" s="99" t="b" cm="1">
        <f t="array" aca="1" ref="AC46" ca="1">IF($A46="",FALSE,SimpleLookup($A46,Questions!$A:$D)="x")</f>
        <v>1</v>
      </c>
      <c r="AD46" s="99" t="str" cm="1">
        <f t="array" aca="1" ref="AD46" ca="1">IF(OR($A46="",NOT($AC46)),"",SimpleLookup($A46,Questions!$A:$E))</f>
        <v>'[2025-07-30_QuBA_libre.xlsx]Definitions'!$A$4</v>
      </c>
      <c r="AE46" s="99" cm="1">
        <f t="array" aca="1" ref="AE46" ca="1">IF(OR($A46="",NOT($AC46)),"",SimpleLookup($A46,Questions!$A:$F))</f>
        <v>2</v>
      </c>
      <c r="AF46" s="99" t="str" cm="1">
        <f t="array" aca="1" ref="AF46" ca="1">_xlfn.LET(
_xlpm._answer,$C46,
_xlpm._infoTextFull,IF($AC46,CHAR(10)&amp;SimpleLookup($A46,Questions!$A:$H)&amp;CHAR(10),""),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46" s="99" t="b" cm="1">
        <f t="array" aca="1" ref="AG46" ca="1">IF(OR($A46="",NOT($AC46)),FALSE,_xlfn.LET(
_xlpm._secondAnswerRequiredOn,SimpleLookup($A46,Questions!$A:$I),
_xlpm._firstAnwer,$C46,
IFERROR(FIND(CHAR(10)&amp;_xlpm._firstAnwer&amp;":",CHAR(10)&amp;_xlpm._secondAnswerRequiredOn)&gt;0,FALSE)))</f>
        <v>0</v>
      </c>
      <c r="AH46" s="99" t="str" cm="1">
        <f t="array" aca="1" ref="AH46" ca="1">IF(OR($A46="",NOT($AC46)),"",_xlfn.LET(
_xlpm._id,$A46,
_xlpm._firstAnswer,$C46,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46" s="99" cm="1">
        <f t="array" aca="1" ref="AI46" ca="1">IF(OR($A46="",NOT($AC46)),"",_xlfn.LET(
_xlpm._id,$A46,
_xlpm._firstAnswer,$C46,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46" s="99" t="str" cm="1">
        <f t="array" aca="1" ref="AJ46" ca="1">IF($AG46,_xlfn.LET(
_xlpm._answer,$E46,
_xlpm._infoTextFull,IF($AC46,CHAR(10)&amp;SimpleLookup($A46,Questions!$A:$L)&amp;CHAR(10),""),
_xlpm._startSelectedByAnswerOne,IF(_xlpm._infoTextFull="",0,FIND("___"&amp;$C46&amp;"___",_xlpm._infoTextFull)+LEN("___"&amp;$C46&amp;"___")),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46" s="99" t="b" cm="1">
        <f t="array" aca="1" ref="AK46" ca="1">IF(OR($A46="",NOT($AC46)),FALSE,SimpleLookup($A46,Questions!$A:$Q))</f>
        <v>0</v>
      </c>
      <c r="AL46" s="99" t="str" cm="1">
        <f t="array" aca="1" ref="AL46" ca="1">IF(AND($A46=Questions!$A$41,IFERROR(SimpleLookup(Questions!$A$36,$A:$E)=Definitions!$O$5,FALSE),$C46=Definitions!$A$5),
Questions!$A$36&amp;" "&amp;Questions!$B$36&amp;CHAR(10)&amp;CHAR(187)&amp;" "&amp;SimpleLookup(Questions!$A$36,$A:$C)&amp;CHAR(10)&amp;SimpleLookup(Questions!$A$36,$A:$D)&amp;CHAR(10)&amp;CHAR(187)&amp;" "&amp;Definitions!$O$5&amp;CHAR(10)&amp;CHAR(10)&amp;
"is incosistent with"&amp;CHAR(10)&amp;CHAR(10)&amp;
$A46&amp;" "&amp;SimpleLookup($A46,Questions!$A:$B)&amp;CHAR(10)&amp;CHAR(187)&amp;" "&amp;$C46,
"")</f>
        <v/>
      </c>
      <c r="AM46" s="99" cm="1">
        <f t="array" aca="1" ref="AM46" ca="1">CreateID($AM$3,$AM:$AM,$AL46&lt;&gt;"")</f>
        <v>0</v>
      </c>
      <c r="AN46" s="99" t="str" cm="1">
        <f t="array" aca="1" ref="AN46" ca="1">IF(OR($C46="",OFFSET($C46,1,0)=""),"",
IF(AND($A46=Questions!$A$59,OFFSET($A46,1,0)=Questions!$A$60,SimpleLookup(Questions!$A$49,$A:$C)=Definitions!$A$4),
IF(MATCH($C46,Definitions!$AW:$AW,0)&gt;MATCH(OFFSET($C46,1,0),Definitions!AW:AW,0),$A46&amp;" "&amp;$K46&amp;": "&amp;$C46&amp;CHAR(10)&amp;"&lt;---&gt;"&amp;CHAR(10)&amp;OFFSET($A46,1,0)&amp;" "&amp;OFFSET($K46,1,0)&amp;": "&amp;OFFSET($C46,1,0),""),
""))</f>
        <v/>
      </c>
      <c r="AO46" s="99" cm="1">
        <f t="array" aca="1" ref="AO46" ca="1">CreateID($AO$3,$AO:$AO,$AN46&lt;&gt;"")</f>
        <v>0</v>
      </c>
    </row>
    <row r="47" spans="1:41" ht="60" x14ac:dyDescent="0.25">
      <c r="A47" s="96" t="s">
        <v>1245</v>
      </c>
      <c r="B47" s="4" t="str" cm="1">
        <f t="array" aca="1" ref="B47" ca="1">IF($A47="","",CreateIndentedString($K47,Definitions!$T$4,SimpleLookup($A47,Questions!$A:$C)))</f>
        <v xml:space="preserve">      Does  the  product  communicate  with  an  external
      system  on  the  Internet  (e.g.,  an  untrusted  3rd
      party  backend,  a  &lt;OEM  name&gt;  cloud  service,  a
      &lt;OEM  name&gt;  server  system)?</v>
      </c>
      <c r="D47" s="8" t="str">
        <f t="shared" ca="1" si="12"/>
        <v/>
      </c>
      <c r="F47" s="8" t="str">
        <f t="shared" ca="1" si="13"/>
        <v/>
      </c>
      <c r="I47" s="99" t="str">
        <f ca="1">IF($AC47,SUBSTITUTE(IF($A47="","",$A47&amp;"["&amp;$C47&amp;IF($E47="","","|"&amp;$E47)&amp;"]")," ",""),"")</f>
        <v>QA10b[]</v>
      </c>
      <c r="J47" s="99" t="str">
        <f ca="1">IF($AC47,SUBSTITUTE(IF($A47="","",$A47&amp;"["&amp;$C47&amp;IF($E47="","]","|*]"))," ",""),"")</f>
        <v>QA10b[]</v>
      </c>
      <c r="K47" s="99" t="str" cm="1">
        <f t="array" aca="1" ref="K47" ca="1">SimpleLookup($A47,Questions!$A:$B)</f>
        <v>Does the product communicate with an external system on the Internet (e.g., an untrusted 3rd party backend, a &lt;OEM name&gt; cloud service, a &lt;OEM name&gt; server system)?</v>
      </c>
      <c r="L47" s="99" cm="1">
        <f t="array" aca="1" ref="L47" ca="1">CreateID($L$3,$L:$L,AND($A47&lt;&gt;"",$AC47))</f>
        <v>27</v>
      </c>
      <c r="M47" s="99" cm="1">
        <f t="array" aca="1" ref="M47" ca="1">CreateTaskID($M$3,$M:$M,Tasks!$B$17,$G47)</f>
        <v>0</v>
      </c>
      <c r="N47" s="99" t="str">
        <f t="shared" ca="1" si="8"/>
        <v>QA10b Does the product communicate with an external system on the Internet (e.g., an untrusted 3rd party backend, a &lt;OEM name&gt; cloud service, a &lt;OEM name&gt; server system)?</v>
      </c>
      <c r="O47" s="99" cm="1">
        <f t="array" aca="1" ref="O47" ca="1">CreateID($O$3,$O:$O,$N47&lt;&gt;"")</f>
        <v>27</v>
      </c>
      <c r="P47" s="99" t="str">
        <f ca="1">IF(AND($D47&lt;&gt;"",$E47=""),$A47&amp;" "&amp;$K47,"")</f>
        <v/>
      </c>
      <c r="Q47" s="99" cm="1">
        <f t="array" aca="1" ref="Q47" ca="1">CreateID($Q$3,$Q:$Q,$P47&lt;&gt;"")</f>
        <v>0</v>
      </c>
      <c r="R47" s="99" t="str">
        <f ca="1">IF(AND($F47&lt;&gt;"",$G47=""),$A47&amp;" "&amp;$K47,"")</f>
        <v/>
      </c>
      <c r="S47" s="99" cm="1">
        <f t="array" aca="1" ref="S47" ca="1">CreateID($S$3,$S:$S,$R47&lt;&gt;"")</f>
        <v>0</v>
      </c>
      <c r="T47" s="99" t="str">
        <f ca="1">IF($A47="","",IF(AND(NOT($AG47),$E47&lt;&gt;""),$A47&amp;" "&amp;$K47,""))</f>
        <v/>
      </c>
      <c r="U47" s="99" cm="1">
        <f t="array" aca="1" ref="U47" ca="1">CreateID($U$3,$U:$U,$T47&lt;&gt;"")</f>
        <v>0</v>
      </c>
      <c r="V47" s="99" cm="1">
        <f t="array" aca="1" ref="V47" ca="1">CreateID($V$3,$V:$V,IFERROR(FIND(Definitions!$AR$4,$G47)&gt;0,FALSE))</f>
        <v>0</v>
      </c>
      <c r="W47" s="99">
        <f>_xlfn.LET(
_xlpm._comment,$G47,
_xlpm._keyWord,Definitions!$AR$4,
_xlpm._diffLen,LEN(_xlpm._comment)-LEN(SUBSTITUTE(_xlpm._comment,_xlpm._keyWord,"")),
_xlpm._diffLen/LEN(_xlpm._keyWord))</f>
        <v>0</v>
      </c>
      <c r="X47" s="99" cm="1">
        <f t="array" aca="1" ref="X47" ca="1">CreateID($X$3,$X:$X,IFERROR(FIND(Definitions!$AR$5,$G47)&gt;0,FALSE))</f>
        <v>0</v>
      </c>
      <c r="Y47" s="99">
        <f>_xlfn.LET(
_xlpm._comment,$G47,
_xlpm._keyWord,Definitions!$AR$5,
_xlpm._diffLen,LEN(_xlpm._comment)-LEN(SUBSTITUTE(_xlpm._comment,_xlpm._keyWord,"")),
_xlpm._diffLen/LEN(_xlpm._keyWord))</f>
        <v>0</v>
      </c>
      <c r="Z47" s="99" t="b">
        <f ca="1">OR(IFERROR(_xlfn.XMATCH("*,"&amp;$A47&amp;",*",Assumptions!$AL:$AL,2)&gt;0,FALSE),
IFERROR(_xlfn.XMATCH("*,"&amp;$A47&amp;",*",Countermeasures!$AO:$AO,2)&gt;0,FALSE))</f>
        <v>0</v>
      </c>
      <c r="AA47" s="99" t="str" cm="1">
        <f t="array" aca="1" ref="AA47" ca="1">CreateSearchString($I47)</f>
        <v>,QA10b[],</v>
      </c>
      <c r="AB47" s="99" t="str">
        <f>IF($E47="","",IFERROR(VLOOKUP($E47,Definitions!$H:$J,COLUMNS(Definitions!$H:$J),FALSE),""))</f>
        <v/>
      </c>
      <c r="AC47" s="99" t="b" cm="1">
        <f t="array" aca="1" ref="AC47" ca="1">IF($A47="",FALSE,SimpleLookup($A47,Questions!$A:$D)="x")</f>
        <v>1</v>
      </c>
      <c r="AD47" s="99" t="str" cm="1">
        <f t="array" aca="1" ref="AD47" ca="1">IF(OR($A47="",NOT($AC47)),"",SimpleLookup($A47,Questions!$A:$E))</f>
        <v>'[2025-07-30_QuBA_libre.xlsx]Definitions'!$A$4</v>
      </c>
      <c r="AE47" s="99" cm="1">
        <f t="array" aca="1" ref="AE47" ca="1">IF(OR($A47="",NOT($AC47)),"",SimpleLookup($A47,Questions!$A:$F))</f>
        <v>2</v>
      </c>
      <c r="AF47" s="99" t="str" cm="1">
        <f t="array" aca="1" ref="AF47" ca="1">_xlfn.LET(
_xlpm._answer,$C47,
_xlpm._infoTextFull,IF($AC47,CHAR(10)&amp;SimpleLookup($A47,Questions!$A:$H)&amp;CHAR(10),""),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47" s="99" t="b" cm="1">
        <f t="array" aca="1" ref="AG47" ca="1">IF(OR($A47="",NOT($AC47)),FALSE,_xlfn.LET(
_xlpm._secondAnswerRequiredOn,SimpleLookup($A47,Questions!$A:$I),
_xlpm._firstAnwer,$C47,
IFERROR(FIND(CHAR(10)&amp;_xlpm._firstAnwer&amp;":",CHAR(10)&amp;_xlpm._secondAnswerRequiredOn)&gt;0,FALSE)))</f>
        <v>0</v>
      </c>
      <c r="AH47" s="99" t="str" cm="1">
        <f t="array" aca="1" ref="AH47" ca="1">IF(OR($A47="",NOT($AC47)),"",_xlfn.LET(
_xlpm._id,$A47,
_xlpm._firstAnswer,$C47,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47" s="99" cm="1">
        <f t="array" aca="1" ref="AI47" ca="1">IF(OR($A47="",NOT($AC47)),"",_xlfn.LET(
_xlpm._id,$A47,
_xlpm._firstAnswer,$C47,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47" s="99" t="str" cm="1">
        <f t="array" aca="1" ref="AJ47" ca="1">IF($AG47,_xlfn.LET(
_xlpm._answer,$E47,
_xlpm._infoTextFull,IF($AC47,CHAR(10)&amp;SimpleLookup($A47,Questions!$A:$L)&amp;CHAR(10),""),
_xlpm._startSelectedByAnswerOne,IF(_xlpm._infoTextFull="",0,FIND("___"&amp;$C47&amp;"___",_xlpm._infoTextFull)+LEN("___"&amp;$C47&amp;"___")),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47" s="99" t="b" cm="1">
        <f t="array" aca="1" ref="AK47" ca="1">IF(OR($A47="",NOT($AC47)),FALSE,SimpleLookup($A47,Questions!$A:$Q))</f>
        <v>0</v>
      </c>
      <c r="AL47" s="99" t="str" cm="1">
        <f t="array" aca="1" ref="AL47" ca="1">IF(AND($A47=Questions!$A$41,IFERROR(SimpleLookup(Questions!$A$36,$A:$E)=Definitions!$O$5,FALSE),$C47=Definitions!$A$5),
Questions!$A$36&amp;" "&amp;Questions!$B$36&amp;CHAR(10)&amp;CHAR(187)&amp;" "&amp;SimpleLookup(Questions!$A$36,$A:$C)&amp;CHAR(10)&amp;SimpleLookup(Questions!$A$36,$A:$D)&amp;CHAR(10)&amp;CHAR(187)&amp;" "&amp;Definitions!$O$5&amp;CHAR(10)&amp;CHAR(10)&amp;
"is incosistent with"&amp;CHAR(10)&amp;CHAR(10)&amp;
$A47&amp;" "&amp;SimpleLookup($A47,Questions!$A:$B)&amp;CHAR(10)&amp;CHAR(187)&amp;" "&amp;$C47,
"")</f>
        <v/>
      </c>
      <c r="AM47" s="99" cm="1">
        <f t="array" aca="1" ref="AM47" ca="1">CreateID($AM$3,$AM:$AM,$AL47&lt;&gt;"")</f>
        <v>0</v>
      </c>
      <c r="AN47" s="99" t="str" cm="1">
        <f t="array" aca="1" ref="AN47" ca="1">IF(OR($C47="",OFFSET($C47,1,0)=""),"",
IF(AND($A47=Questions!$A$59,OFFSET($A47,1,0)=Questions!$A$60,SimpleLookup(Questions!$A$49,$A:$C)=Definitions!$A$4),
IF(MATCH($C47,Definitions!$AW:$AW,0)&gt;MATCH(OFFSET($C47,1,0),Definitions!AW:AW,0),$A47&amp;" "&amp;$K47&amp;": "&amp;$C47&amp;CHAR(10)&amp;"&lt;---&gt;"&amp;CHAR(10)&amp;OFFSET($A47,1,0)&amp;" "&amp;OFFSET($K47,1,0)&amp;": "&amp;OFFSET($C47,1,0),""),
""))</f>
        <v/>
      </c>
      <c r="AO47" s="99" cm="1">
        <f t="array" aca="1" ref="AO47" ca="1">CreateID($AO$3,$AO:$AO,$AN47&lt;&gt;"")</f>
        <v>0</v>
      </c>
    </row>
    <row r="48" spans="1:41" ht="30" x14ac:dyDescent="0.25">
      <c r="A48" s="96" t="s">
        <v>1377</v>
      </c>
      <c r="B48" s="4" t="str" cm="1">
        <f t="array" aca="1" ref="B48" ca="1">IF($A48="","",CreateIndentedString($K48,Definitions!$T$4,SimpleLookup($A48,Questions!$A:$C)))</f>
        <v xml:space="preserve">      Can  the  product's  software  be  updated  over  an
      interface?</v>
      </c>
      <c r="D48" s="8" t="str">
        <f t="shared" ca="1" si="12"/>
        <v/>
      </c>
      <c r="F48" s="8" t="str">
        <f t="shared" ca="1" si="13"/>
        <v/>
      </c>
      <c r="I48" s="15" t="str">
        <f t="shared" ca="1" si="6"/>
        <v>QA11a[]</v>
      </c>
      <c r="J48" s="15" t="str">
        <f t="shared" ca="1" si="7"/>
        <v>QA11a[]</v>
      </c>
      <c r="K48" s="15" t="str" cm="1">
        <f t="array" aca="1" ref="K48" ca="1">SimpleLookup($A48,Questions!$A:$B)</f>
        <v>Can the product's software be updated over an interface?</v>
      </c>
      <c r="L48" s="15" cm="1">
        <f t="array" aca="1" ref="L48" ca="1">CreateID($L$3,$L:$L,AND($A48&lt;&gt;"",$AC48))</f>
        <v>28</v>
      </c>
      <c r="M48" s="99" cm="1">
        <f t="array" aca="1" ref="M48" ca="1">CreateTaskID($M$3,$M:$M,Tasks!$B$17,$G48)</f>
        <v>0</v>
      </c>
      <c r="N48" s="15" t="str">
        <f t="shared" ca="1" si="8"/>
        <v>QA11a Can the product's software be updated over an interface?</v>
      </c>
      <c r="O48" s="15" cm="1">
        <f t="array" aca="1" ref="O48" ca="1">CreateID($O$3,$O:$O,$N48&lt;&gt;"")</f>
        <v>28</v>
      </c>
      <c r="P48" s="99" t="str">
        <f t="shared" ca="1" si="9"/>
        <v/>
      </c>
      <c r="Q48" s="99" cm="1">
        <f t="array" aca="1" ref="Q48" ca="1">CreateID($Q$3,$Q:$Q,$P48&lt;&gt;"")</f>
        <v>0</v>
      </c>
      <c r="R48" s="99" t="str">
        <f t="shared" ca="1" si="10"/>
        <v/>
      </c>
      <c r="S48" s="99" cm="1">
        <f t="array" aca="1" ref="S48" ca="1">CreateID($S$3,$S:$S,$R48&lt;&gt;"")</f>
        <v>0</v>
      </c>
      <c r="T48" s="99" t="str">
        <f t="shared" ca="1" si="11"/>
        <v/>
      </c>
      <c r="U48" s="99" cm="1">
        <f t="array" aca="1" ref="U48" ca="1">CreateID($U$3,$U:$U,$T48&lt;&gt;"")</f>
        <v>0</v>
      </c>
      <c r="V48" s="99" cm="1">
        <f t="array" aca="1" ref="V48" ca="1">CreateID($V$3,$V:$V,IFERROR(FIND(Definitions!$AR$4,$G48)&gt;0,FALSE))</f>
        <v>0</v>
      </c>
      <c r="W48" s="99">
        <f>_xlfn.LET(
_xlpm._comment,$G48,
_xlpm._keyWord,Definitions!$AR$4,
_xlpm._diffLen,LEN(_xlpm._comment)-LEN(SUBSTITUTE(_xlpm._comment,_xlpm._keyWord,"")),
_xlpm._diffLen/LEN(_xlpm._keyWord))</f>
        <v>0</v>
      </c>
      <c r="X48" s="99" cm="1">
        <f t="array" aca="1" ref="X48" ca="1">CreateID($X$3,$X:$X,IFERROR(FIND(Definitions!$AR$5,$G48)&gt;0,FALSE))</f>
        <v>0</v>
      </c>
      <c r="Y48" s="99">
        <f>_xlfn.LET(
_xlpm._comment,$G48,
_xlpm._keyWord,Definitions!$AR$5,
_xlpm._diffLen,LEN(_xlpm._comment)-LEN(SUBSTITUTE(_xlpm._comment,_xlpm._keyWord,"")),
_xlpm._diffLen/LEN(_xlpm._keyWord))</f>
        <v>0</v>
      </c>
      <c r="Z48" s="99" t="b">
        <f ca="1">OR(IFERROR(_xlfn.XMATCH("*,"&amp;$A48&amp;",*",Assumptions!$AL:$AL,2)&gt;0,FALSE),
IFERROR(_xlfn.XMATCH("*,"&amp;$A48&amp;",*",Countermeasures!$AO:$AO,2)&gt;0,FALSE))</f>
        <v>0</v>
      </c>
      <c r="AA48" s="99" t="str" cm="1">
        <f t="array" aca="1" ref="AA48" ca="1">CreateSearchString($I48)</f>
        <v>,QA11a[],</v>
      </c>
      <c r="AB48" s="99" t="str">
        <f>IF($E48="","",IFERROR(VLOOKUP($E48,Definitions!$H:$J,COLUMNS(Definitions!$H:$J),FALSE),""))</f>
        <v/>
      </c>
      <c r="AC48" s="99" t="b" cm="1">
        <f t="array" aca="1" ref="AC48" ca="1">IF($A48="",FALSE,SimpleLookup($A48,Questions!$A:$D)="x")</f>
        <v>1</v>
      </c>
      <c r="AD48" s="99" t="str" cm="1">
        <f t="array" aca="1" ref="AD48" ca="1">IF(OR($A48="",NOT($AC48)),"",SimpleLookup($A48,Questions!$A:$E))</f>
        <v>'[2025-07-30_QuBA_libre.xlsx]Definitions'!$A$4</v>
      </c>
      <c r="AE48" s="99" cm="1">
        <f t="array" aca="1" ref="AE48" ca="1">IF(OR($A48="",NOT($AC48)),"",SimpleLookup($A48,Questions!$A:$F))</f>
        <v>2</v>
      </c>
      <c r="AF48" s="99" t="str" cm="1">
        <f t="array" aca="1" ref="AF48" ca="1">_xlfn.LET(
_xlpm._answer,$C48,
_xlpm._infoTextFull,IF($AC48,CHAR(10)&amp;SimpleLookup($A48,Questions!$A:$H)&amp;CHAR(10),""),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48" s="99" t="b" cm="1">
        <f t="array" aca="1" ref="AG48" ca="1">IF(OR($A48="",NOT($AC48)),FALSE,_xlfn.LET(
_xlpm._secondAnswerRequiredOn,SimpleLookup($A48,Questions!$A:$I),
_xlpm._firstAnwer,$C48,
IFERROR(FIND(CHAR(10)&amp;_xlpm._firstAnwer&amp;":",CHAR(10)&amp;_xlpm._secondAnswerRequiredOn)&gt;0,FALSE)))</f>
        <v>0</v>
      </c>
      <c r="AH48" s="99" t="str" cm="1">
        <f t="array" aca="1" ref="AH48" ca="1">IF(OR($A48="",NOT($AC48)),"",_xlfn.LET(
_xlpm._id,$A48,
_xlpm._firstAnswer,$C48,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48" s="99" cm="1">
        <f t="array" aca="1" ref="AI48" ca="1">IF(OR($A48="",NOT($AC48)),"",_xlfn.LET(
_xlpm._id,$A48,
_xlpm._firstAnswer,$C48,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48" s="99" t="str" cm="1">
        <f t="array" aca="1" ref="AJ48" ca="1">IF($AG48,_xlfn.LET(
_xlpm._answer,$E48,
_xlpm._infoTextFull,IF($AC48,CHAR(10)&amp;SimpleLookup($A48,Questions!$A:$L)&amp;CHAR(10),""),
_xlpm._startSelectedByAnswerOne,IF(_xlpm._infoTextFull="",0,FIND("___"&amp;$C48&amp;"___",_xlpm._infoTextFull)+LEN("___"&amp;$C48&amp;"___")),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48" s="99" t="b" cm="1">
        <f t="array" aca="1" ref="AK48" ca="1">IF(OR($A48="",NOT($AC48)),FALSE,SimpleLookup($A48,Questions!$A:$Q))</f>
        <v>0</v>
      </c>
      <c r="AL48" s="99" t="str" cm="1">
        <f t="array" aca="1" ref="AL48" ca="1">IF(AND($A48=Questions!$A$41,IFERROR(SimpleLookup(Questions!$A$36,$A:$E)=Definitions!$O$5,FALSE),$C48=Definitions!$A$5),
Questions!$A$36&amp;" "&amp;Questions!$B$36&amp;CHAR(10)&amp;CHAR(187)&amp;" "&amp;SimpleLookup(Questions!$A$36,$A:$C)&amp;CHAR(10)&amp;SimpleLookup(Questions!$A$36,$A:$D)&amp;CHAR(10)&amp;CHAR(187)&amp;" "&amp;Definitions!$O$5&amp;CHAR(10)&amp;CHAR(10)&amp;
"is incosistent with"&amp;CHAR(10)&amp;CHAR(10)&amp;
$A48&amp;" "&amp;SimpleLookup($A48,Questions!$A:$B)&amp;CHAR(10)&amp;CHAR(187)&amp;" "&amp;$C48,
"")</f>
        <v/>
      </c>
      <c r="AM48" s="99" cm="1">
        <f t="array" aca="1" ref="AM48" ca="1">CreateID($AM$3,$AM:$AM,$AL48&lt;&gt;"")</f>
        <v>0</v>
      </c>
      <c r="AN48" s="99" t="str" cm="1">
        <f t="array" aca="1" ref="AN48" ca="1">IF(OR($C48="",OFFSET($C48,1,0)=""),"",
IF(AND($A48=Questions!$A$59,OFFSET($A48,1,0)=Questions!$A$60,SimpleLookup(Questions!$A$49,$A:$C)=Definitions!$A$4),
IF(MATCH($C48,Definitions!$AW:$AW,0)&gt;MATCH(OFFSET($C48,1,0),Definitions!AW:AW,0),$A48&amp;" "&amp;$K48&amp;": "&amp;$C48&amp;CHAR(10)&amp;"&lt;---&gt;"&amp;CHAR(10)&amp;OFFSET($A48,1,0)&amp;" "&amp;OFFSET($K48,1,0)&amp;": "&amp;OFFSET($C48,1,0),""),
""))</f>
        <v/>
      </c>
      <c r="AO48" s="99" cm="1">
        <f t="array" aca="1" ref="AO48" ca="1">CreateID($AO$3,$AO:$AO,$AN48&lt;&gt;"")</f>
        <v>0</v>
      </c>
    </row>
    <row r="49" spans="1:41" ht="30" x14ac:dyDescent="0.25">
      <c r="A49" s="96" t="s">
        <v>1378</v>
      </c>
      <c r="B49" s="4" t="str" cm="1">
        <f t="array" aca="1" ref="B49" ca="1">IF($A49="","",CreateIndentedString($K49,Definitions!$T$4,SimpleLookup($A49,Questions!$A:$C)))</f>
        <v xml:space="preserve">      Are  software  updates  in  the  field  (regularly  or
      event-based)  planned?</v>
      </c>
      <c r="D49" s="8" t="str">
        <f t="shared" ca="1" si="12"/>
        <v/>
      </c>
      <c r="F49" s="8" t="str">
        <f t="shared" ca="1" si="13"/>
        <v/>
      </c>
      <c r="I49" s="99" t="str">
        <f ca="1">IF($AC49,SUBSTITUTE(IF($A49="","",$A49&amp;"["&amp;$C49&amp;IF($E49="","","|"&amp;$E49)&amp;"]")," ",""),"")</f>
        <v>QA11b[]</v>
      </c>
      <c r="J49" s="99" t="str">
        <f ca="1">IF($AC49,SUBSTITUTE(IF($A49="","",$A49&amp;"["&amp;$C49&amp;IF($E49="","]","|*]"))," ",""),"")</f>
        <v>QA11b[]</v>
      </c>
      <c r="K49" s="99" t="str" cm="1">
        <f t="array" aca="1" ref="K49" ca="1">SimpleLookup($A49,Questions!$A:$B)</f>
        <v>Are software updates in the field (regularly or event-based) planned?</v>
      </c>
      <c r="L49" s="99" cm="1">
        <f t="array" aca="1" ref="L49" ca="1">CreateID($L$3,$L:$L,AND($A49&lt;&gt;"",$AC49))</f>
        <v>29</v>
      </c>
      <c r="M49" s="99" cm="1">
        <f t="array" aca="1" ref="M49" ca="1">CreateTaskID($M$3,$M:$M,Tasks!$B$17,$G49)</f>
        <v>0</v>
      </c>
      <c r="N49" s="99" t="str">
        <f t="shared" ca="1" si="8"/>
        <v>QA11b Are software updates in the field (regularly or event-based) planned?</v>
      </c>
      <c r="O49" s="99" cm="1">
        <f t="array" aca="1" ref="O49" ca="1">CreateID($O$3,$O:$O,$N49&lt;&gt;"")</f>
        <v>29</v>
      </c>
      <c r="P49" s="99" t="str">
        <f ca="1">IF(AND($D49&lt;&gt;"",$E49=""),$A49&amp;" "&amp;$K49,"")</f>
        <v/>
      </c>
      <c r="Q49" s="99" cm="1">
        <f t="array" aca="1" ref="Q49" ca="1">CreateID($Q$3,$Q:$Q,$P49&lt;&gt;"")</f>
        <v>0</v>
      </c>
      <c r="R49" s="99" t="str">
        <f ca="1">IF(AND($F49&lt;&gt;"",$G49=""),$A49&amp;" "&amp;$K49,"")</f>
        <v/>
      </c>
      <c r="S49" s="99" cm="1">
        <f t="array" aca="1" ref="S49" ca="1">CreateID($S$3,$S:$S,$R49&lt;&gt;"")</f>
        <v>0</v>
      </c>
      <c r="T49" s="99" t="str">
        <f ca="1">IF($A49="","",IF(AND(NOT($AG49),$E49&lt;&gt;""),$A49&amp;" "&amp;$K49,""))</f>
        <v/>
      </c>
      <c r="U49" s="99" cm="1">
        <f t="array" aca="1" ref="U49" ca="1">CreateID($U$3,$U:$U,$T49&lt;&gt;"")</f>
        <v>0</v>
      </c>
      <c r="V49" s="99" cm="1">
        <f t="array" aca="1" ref="V49" ca="1">CreateID($V$3,$V:$V,IFERROR(FIND(Definitions!$AR$4,$G49)&gt;0,FALSE))</f>
        <v>0</v>
      </c>
      <c r="W49" s="99">
        <f>_xlfn.LET(
_xlpm._comment,$G49,
_xlpm._keyWord,Definitions!$AR$4,
_xlpm._diffLen,LEN(_xlpm._comment)-LEN(SUBSTITUTE(_xlpm._comment,_xlpm._keyWord,"")),
_xlpm._diffLen/LEN(_xlpm._keyWord))</f>
        <v>0</v>
      </c>
      <c r="X49" s="99" cm="1">
        <f t="array" aca="1" ref="X49" ca="1">CreateID($X$3,$X:$X,IFERROR(FIND(Definitions!$AR$5,$G49)&gt;0,FALSE))</f>
        <v>0</v>
      </c>
      <c r="Y49" s="99">
        <f>_xlfn.LET(
_xlpm._comment,$G49,
_xlpm._keyWord,Definitions!$AR$5,
_xlpm._diffLen,LEN(_xlpm._comment)-LEN(SUBSTITUTE(_xlpm._comment,_xlpm._keyWord,"")),
_xlpm._diffLen/LEN(_xlpm._keyWord))</f>
        <v>0</v>
      </c>
      <c r="Z49" s="99" t="b">
        <f ca="1">OR(IFERROR(_xlfn.XMATCH("*,"&amp;$A49&amp;",*",Assumptions!$AL:$AL,2)&gt;0,FALSE),
IFERROR(_xlfn.XMATCH("*,"&amp;$A49&amp;",*",Countermeasures!$AO:$AO,2)&gt;0,FALSE))</f>
        <v>0</v>
      </c>
      <c r="AA49" s="99" t="str" cm="1">
        <f t="array" aca="1" ref="AA49" ca="1">CreateSearchString($I49)</f>
        <v>,QA11b[],</v>
      </c>
      <c r="AB49" s="99" t="str">
        <f>IF($E49="","",IFERROR(VLOOKUP($E49,Definitions!$H:$J,COLUMNS(Definitions!$H:$J),FALSE),""))</f>
        <v/>
      </c>
      <c r="AC49" s="99" t="b" cm="1">
        <f t="array" aca="1" ref="AC49" ca="1">IF($A49="",FALSE,SimpleLookup($A49,Questions!$A:$D)="x")</f>
        <v>1</v>
      </c>
      <c r="AD49" s="99" t="str" cm="1">
        <f t="array" aca="1" ref="AD49" ca="1">IF(OR($A49="",NOT($AC49)),"",SimpleLookup($A49,Questions!$A:$E))</f>
        <v>'[2025-07-30_QuBA_libre.xlsx]Definitions'!$A$4</v>
      </c>
      <c r="AE49" s="99" cm="1">
        <f t="array" aca="1" ref="AE49" ca="1">IF(OR($A49="",NOT($AC49)),"",SimpleLookup($A49,Questions!$A:$F))</f>
        <v>2</v>
      </c>
      <c r="AF49" s="99" t="str" cm="1">
        <f t="array" aca="1" ref="AF49" ca="1">_xlfn.LET(
_xlpm._answer,$C49,
_xlpm._infoTextFull,IF($AC49,CHAR(10)&amp;SimpleLookup($A49,Questions!$A:$H)&amp;CHAR(10),""),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49" s="99" t="b" cm="1">
        <f t="array" aca="1" ref="AG49" ca="1">IF(OR($A49="",NOT($AC49)),FALSE,_xlfn.LET(
_xlpm._secondAnswerRequiredOn,SimpleLookup($A49,Questions!$A:$I),
_xlpm._firstAnwer,$C49,
IFERROR(FIND(CHAR(10)&amp;_xlpm._firstAnwer&amp;":",CHAR(10)&amp;_xlpm._secondAnswerRequiredOn)&gt;0,FALSE)))</f>
        <v>0</v>
      </c>
      <c r="AH49" s="99" t="str" cm="1">
        <f t="array" aca="1" ref="AH49" ca="1">IF(OR($A49="",NOT($AC49)),"",_xlfn.LET(
_xlpm._id,$A49,
_xlpm._firstAnswer,$C49,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49" s="99" cm="1">
        <f t="array" aca="1" ref="AI49" ca="1">IF(OR($A49="",NOT($AC49)),"",_xlfn.LET(
_xlpm._id,$A49,
_xlpm._firstAnswer,$C49,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49" s="99" t="str" cm="1">
        <f t="array" aca="1" ref="AJ49" ca="1">IF($AG49,_xlfn.LET(
_xlpm._answer,$E49,
_xlpm._infoTextFull,IF($AC49,CHAR(10)&amp;SimpleLookup($A49,Questions!$A:$L)&amp;CHAR(10),""),
_xlpm._startSelectedByAnswerOne,IF(_xlpm._infoTextFull="",0,FIND("___"&amp;$C49&amp;"___",_xlpm._infoTextFull)+LEN("___"&amp;$C49&amp;"___")),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49" s="99" t="b" cm="1">
        <f t="array" aca="1" ref="AK49" ca="1">IF(OR($A49="",NOT($AC49)),FALSE,SimpleLookup($A49,Questions!$A:$Q))</f>
        <v>0</v>
      </c>
      <c r="AL49" s="99" t="str" cm="1">
        <f t="array" aca="1" ref="AL49" ca="1">IF(AND($A49=Questions!$A$41,IFERROR(SimpleLookup(Questions!$A$36,$A:$E)=Definitions!$O$5,FALSE),$C49=Definitions!$A$5),
Questions!$A$36&amp;" "&amp;Questions!$B$36&amp;CHAR(10)&amp;CHAR(187)&amp;" "&amp;SimpleLookup(Questions!$A$36,$A:$C)&amp;CHAR(10)&amp;SimpleLookup(Questions!$A$36,$A:$D)&amp;CHAR(10)&amp;CHAR(187)&amp;" "&amp;Definitions!$O$5&amp;CHAR(10)&amp;CHAR(10)&amp;
"is incosistent with"&amp;CHAR(10)&amp;CHAR(10)&amp;
$A49&amp;" "&amp;SimpleLookup($A49,Questions!$A:$B)&amp;CHAR(10)&amp;CHAR(187)&amp;" "&amp;$C49,
"")</f>
        <v/>
      </c>
      <c r="AM49" s="99" cm="1">
        <f t="array" aca="1" ref="AM49" ca="1">CreateID($AM$3,$AM:$AM,$AL49&lt;&gt;"")</f>
        <v>0</v>
      </c>
      <c r="AN49" s="99" t="str" cm="1">
        <f t="array" aca="1" ref="AN49" ca="1">IF(OR($C49="",OFFSET($C49,1,0)=""),"",
IF(AND($A49=Questions!$A$59,OFFSET($A49,1,0)=Questions!$A$60,SimpleLookup(Questions!$A$49,$A:$C)=Definitions!$A$4),
IF(MATCH($C49,Definitions!$AW:$AW,0)&gt;MATCH(OFFSET($C49,1,0),Definitions!AW:AW,0),$A49&amp;" "&amp;$K49&amp;": "&amp;$C49&amp;CHAR(10)&amp;"&lt;---&gt;"&amp;CHAR(10)&amp;OFFSET($A49,1,0)&amp;" "&amp;OFFSET($K49,1,0)&amp;": "&amp;OFFSET($C49,1,0),""),
""))</f>
        <v/>
      </c>
      <c r="AO49" s="99" cm="1">
        <f t="array" aca="1" ref="AO49" ca="1">CreateID($AO$3,$AO:$AO,$AN49&lt;&gt;"")</f>
        <v>0</v>
      </c>
    </row>
    <row r="50" spans="1:41" ht="30" x14ac:dyDescent="0.25">
      <c r="A50" s="96" t="s">
        <v>1056</v>
      </c>
      <c r="B50" s="4" t="str" cm="1">
        <f t="array" aca="1" ref="B50" ca="1">IF($A50="","",CreateIndentedString($K50,Definitions!$T$4,SimpleLookup($A50,Questions!$A:$C)))</f>
        <v xml:space="preserve">   Does  the  product  have  a  logical  connection  to  a
   local  network  over  a  gateway?</v>
      </c>
      <c r="D50" s="8" t="str">
        <f t="shared" ca="1" si="12"/>
        <v/>
      </c>
      <c r="F50" s="8" t="str">
        <f t="shared" ca="1" si="13"/>
        <v/>
      </c>
      <c r="I50" s="15" t="str">
        <f t="shared" ca="1" si="6"/>
        <v>QA12[]</v>
      </c>
      <c r="J50" s="15" t="str">
        <f t="shared" ca="1" si="7"/>
        <v>QA12[]</v>
      </c>
      <c r="K50" s="15" t="str" cm="1">
        <f t="array" aca="1" ref="K50" ca="1">SimpleLookup($A50,Questions!$A:$B)</f>
        <v>Does the product have a logical connection to a local network over a gateway?</v>
      </c>
      <c r="L50" s="15" cm="1">
        <f t="array" aca="1" ref="L50" ca="1">CreateID($L$3,$L:$L,AND($A50&lt;&gt;"",$AC50))</f>
        <v>30</v>
      </c>
      <c r="M50" s="99" cm="1">
        <f t="array" aca="1" ref="M50" ca="1">CreateTaskID($M$3,$M:$M,Tasks!$B$17,$G50)</f>
        <v>0</v>
      </c>
      <c r="N50" s="15" t="str">
        <f t="shared" ca="1" si="8"/>
        <v>QA12 Does the product have a logical connection to a local network over a gateway?</v>
      </c>
      <c r="O50" s="15" cm="1">
        <f t="array" aca="1" ref="O50" ca="1">CreateID($O$3,$O:$O,$N50&lt;&gt;"")</f>
        <v>30</v>
      </c>
      <c r="P50" s="99" t="str">
        <f t="shared" ca="1" si="9"/>
        <v/>
      </c>
      <c r="Q50" s="99" cm="1">
        <f t="array" aca="1" ref="Q50" ca="1">CreateID($Q$3,$Q:$Q,$P50&lt;&gt;"")</f>
        <v>0</v>
      </c>
      <c r="R50" s="99" t="str">
        <f t="shared" ca="1" si="10"/>
        <v/>
      </c>
      <c r="S50" s="99" cm="1">
        <f t="array" aca="1" ref="S50" ca="1">CreateID($S$3,$S:$S,$R50&lt;&gt;"")</f>
        <v>0</v>
      </c>
      <c r="T50" s="99" t="str">
        <f t="shared" ca="1" si="11"/>
        <v/>
      </c>
      <c r="U50" s="99" cm="1">
        <f t="array" aca="1" ref="U50" ca="1">CreateID($U$3,$U:$U,$T50&lt;&gt;"")</f>
        <v>0</v>
      </c>
      <c r="V50" s="99" cm="1">
        <f t="array" aca="1" ref="V50" ca="1">CreateID($V$3,$V:$V,IFERROR(FIND(Definitions!$AR$4,$G50)&gt;0,FALSE))</f>
        <v>0</v>
      </c>
      <c r="W50" s="99">
        <f>_xlfn.LET(
_xlpm._comment,$G50,
_xlpm._keyWord,Definitions!$AR$4,
_xlpm._diffLen,LEN(_xlpm._comment)-LEN(SUBSTITUTE(_xlpm._comment,_xlpm._keyWord,"")),
_xlpm._diffLen/LEN(_xlpm._keyWord))</f>
        <v>0</v>
      </c>
      <c r="X50" s="99" cm="1">
        <f t="array" aca="1" ref="X50" ca="1">CreateID($X$3,$X:$X,IFERROR(FIND(Definitions!$AR$5,$G50)&gt;0,FALSE))</f>
        <v>0</v>
      </c>
      <c r="Y50" s="99">
        <f>_xlfn.LET(
_xlpm._comment,$G50,
_xlpm._keyWord,Definitions!$AR$5,
_xlpm._diffLen,LEN(_xlpm._comment)-LEN(SUBSTITUTE(_xlpm._comment,_xlpm._keyWord,"")),
_xlpm._diffLen/LEN(_xlpm._keyWord))</f>
        <v>0</v>
      </c>
      <c r="Z50" s="99" t="b">
        <f ca="1">OR(IFERROR(_xlfn.XMATCH("*,"&amp;$A50&amp;",*",Assumptions!$AL:$AL,2)&gt;0,FALSE),
IFERROR(_xlfn.XMATCH("*,"&amp;$A50&amp;",*",Countermeasures!$AO:$AO,2)&gt;0,FALSE))</f>
        <v>0</v>
      </c>
      <c r="AA50" s="99" t="str" cm="1">
        <f t="array" aca="1" ref="AA50" ca="1">CreateSearchString($I50)</f>
        <v>,QA12[],</v>
      </c>
      <c r="AB50" s="99" t="str">
        <f>IF($E50="","",IFERROR(VLOOKUP($E50,Definitions!$H:$J,COLUMNS(Definitions!$H:$J),FALSE),""))</f>
        <v/>
      </c>
      <c r="AC50" s="99" t="b" cm="1">
        <f t="array" aca="1" ref="AC50" ca="1">IF($A50="",FALSE,SimpleLookup($A50,Questions!$A:$D)="x")</f>
        <v>1</v>
      </c>
      <c r="AD50" s="99" t="str" cm="1">
        <f t="array" aca="1" ref="AD50" ca="1">IF(OR($A50="",NOT($AC50)),"",SimpleLookup($A50,Questions!$A:$E))</f>
        <v>'[2025-07-30_QuBA_libre.xlsx]Definitions'!$A$4</v>
      </c>
      <c r="AE50" s="99" cm="1">
        <f t="array" aca="1" ref="AE50" ca="1">IF(OR($A50="",NOT($AC50)),"",SimpleLookup($A50,Questions!$A:$F))</f>
        <v>2</v>
      </c>
      <c r="AF50" s="99" t="str" cm="1">
        <f t="array" aca="1" ref="AF50" ca="1">_xlfn.LET(
_xlpm._answer,$C50,
_xlpm._infoTextFull,IF($AC50,CHAR(10)&amp;SimpleLookup($A50,Questions!$A:$H)&amp;CHAR(10),""),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50" s="99" t="b" cm="1">
        <f t="array" aca="1" ref="AG50" ca="1">IF(OR($A50="",NOT($AC50)),FALSE,_xlfn.LET(
_xlpm._secondAnswerRequiredOn,SimpleLookup($A50,Questions!$A:$I),
_xlpm._firstAnwer,$C50,
IFERROR(FIND(CHAR(10)&amp;_xlpm._firstAnwer&amp;":",CHAR(10)&amp;_xlpm._secondAnswerRequiredOn)&gt;0,FALSE)))</f>
        <v>0</v>
      </c>
      <c r="AH50" s="99" t="str" cm="1">
        <f t="array" aca="1" ref="AH50" ca="1">IF(OR($A50="",NOT($AC50)),"",_xlfn.LET(
_xlpm._id,$A50,
_xlpm._firstAnswer,$C50,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50" s="99" cm="1">
        <f t="array" aca="1" ref="AI50" ca="1">IF(OR($A50="",NOT($AC50)),"",_xlfn.LET(
_xlpm._id,$A50,
_xlpm._firstAnswer,$C50,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50" s="99" t="str" cm="1">
        <f t="array" aca="1" ref="AJ50" ca="1">IF($AG50,_xlfn.LET(
_xlpm._answer,$E50,
_xlpm._infoTextFull,IF($AC50,CHAR(10)&amp;SimpleLookup($A50,Questions!$A:$L)&amp;CHAR(10),""),
_xlpm._startSelectedByAnswerOne,IF(_xlpm._infoTextFull="",0,FIND("___"&amp;$C50&amp;"___",_xlpm._infoTextFull)+LEN("___"&amp;$C50&amp;"___")),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50" s="99" t="b" cm="1">
        <f t="array" aca="1" ref="AK50" ca="1">IF(OR($A50="",NOT($AC50)),FALSE,SimpleLookup($A50,Questions!$A:$Q))</f>
        <v>0</v>
      </c>
      <c r="AL50" s="99" t="str" cm="1">
        <f t="array" aca="1" ref="AL50" ca="1">IF(AND($A50=Questions!$A$41,IFERROR(SimpleLookup(Questions!$A$36,$A:$E)=Definitions!$O$5,FALSE),$C50=Definitions!$A$5),
Questions!$A$36&amp;" "&amp;Questions!$B$36&amp;CHAR(10)&amp;CHAR(187)&amp;" "&amp;SimpleLookup(Questions!$A$36,$A:$C)&amp;CHAR(10)&amp;SimpleLookup(Questions!$A$36,$A:$D)&amp;CHAR(10)&amp;CHAR(187)&amp;" "&amp;Definitions!$O$5&amp;CHAR(10)&amp;CHAR(10)&amp;
"is incosistent with"&amp;CHAR(10)&amp;CHAR(10)&amp;
$A50&amp;" "&amp;SimpleLookup($A50,Questions!$A:$B)&amp;CHAR(10)&amp;CHAR(187)&amp;" "&amp;$C50,
"")</f>
        <v/>
      </c>
      <c r="AM50" s="99" cm="1">
        <f t="array" aca="1" ref="AM50" ca="1">CreateID($AM$3,$AM:$AM,$AL50&lt;&gt;"")</f>
        <v>0</v>
      </c>
      <c r="AN50" s="99" t="str" cm="1">
        <f t="array" aca="1" ref="AN50" ca="1">IF(OR($C50="",OFFSET($C50,1,0)=""),"",
IF(AND($A50=Questions!$A$59,OFFSET($A50,1,0)=Questions!$A$60,SimpleLookup(Questions!$A$49,$A:$C)=Definitions!$A$4),
IF(MATCH($C50,Definitions!$AW:$AW,0)&gt;MATCH(OFFSET($C50,1,0),Definitions!AW:AW,0),$A50&amp;" "&amp;$K50&amp;": "&amp;$C50&amp;CHAR(10)&amp;"&lt;---&gt;"&amp;CHAR(10)&amp;OFFSET($A50,1,0)&amp;" "&amp;OFFSET($K50,1,0)&amp;": "&amp;OFFSET($C50,1,0),""),
""))</f>
        <v/>
      </c>
      <c r="AO50" s="99" cm="1">
        <f t="array" aca="1" ref="AO50" ca="1">CreateID($AO$3,$AO:$AO,$AN50&lt;&gt;"")</f>
        <v>0</v>
      </c>
    </row>
    <row r="51" spans="1:41" ht="30" x14ac:dyDescent="0.25">
      <c r="A51" s="96" t="s">
        <v>1059</v>
      </c>
      <c r="B51" s="4" t="str" cm="1">
        <f t="array" aca="1" ref="B51" ca="1">IF($A51="","",CreateIndentedString($K51,Definitions!$T$4,SimpleLookup($A51,Questions!$A:$C)))</f>
        <v xml:space="preserve">   Does  the  product  have  a  logical  connection  to  a
   wireless  network  over  a  gateway?</v>
      </c>
      <c r="D51" s="8" t="str">
        <f t="shared" ca="1" si="12"/>
        <v/>
      </c>
      <c r="F51" s="8" t="str">
        <f t="shared" ca="1" si="13"/>
        <v/>
      </c>
      <c r="I51" s="15" t="str">
        <f t="shared" ca="1" si="6"/>
        <v>QA13[]</v>
      </c>
      <c r="J51" s="15" t="str">
        <f t="shared" ca="1" si="7"/>
        <v>QA13[]</v>
      </c>
      <c r="K51" s="15" t="str" cm="1">
        <f t="array" aca="1" ref="K51" ca="1">SimpleLookup($A51,Questions!$A:$B)</f>
        <v>Does the product have a logical connection to a wireless network over a gateway?</v>
      </c>
      <c r="L51" s="15" cm="1">
        <f t="array" aca="1" ref="L51" ca="1">CreateID($L$3,$L:$L,AND($A51&lt;&gt;"",$AC51))</f>
        <v>31</v>
      </c>
      <c r="M51" s="99" cm="1">
        <f t="array" aca="1" ref="M51" ca="1">CreateTaskID($M$3,$M:$M,Tasks!$B$17,$G51)</f>
        <v>0</v>
      </c>
      <c r="N51" s="15" t="str">
        <f t="shared" ca="1" si="8"/>
        <v>QA13 Does the product have a logical connection to a wireless network over a gateway?</v>
      </c>
      <c r="O51" s="15" cm="1">
        <f t="array" aca="1" ref="O51" ca="1">CreateID($O$3,$O:$O,$N51&lt;&gt;"")</f>
        <v>31</v>
      </c>
      <c r="P51" s="99" t="str">
        <f t="shared" ca="1" si="9"/>
        <v/>
      </c>
      <c r="Q51" s="99" cm="1">
        <f t="array" aca="1" ref="Q51" ca="1">CreateID($Q$3,$Q:$Q,$P51&lt;&gt;"")</f>
        <v>0</v>
      </c>
      <c r="R51" s="99" t="str">
        <f t="shared" ca="1" si="10"/>
        <v/>
      </c>
      <c r="S51" s="99" cm="1">
        <f t="array" aca="1" ref="S51" ca="1">CreateID($S$3,$S:$S,$R51&lt;&gt;"")</f>
        <v>0</v>
      </c>
      <c r="T51" s="99" t="str">
        <f t="shared" ca="1" si="11"/>
        <v/>
      </c>
      <c r="U51" s="99" cm="1">
        <f t="array" aca="1" ref="U51" ca="1">CreateID($U$3,$U:$U,$T51&lt;&gt;"")</f>
        <v>0</v>
      </c>
      <c r="V51" s="99" cm="1">
        <f t="array" aca="1" ref="V51" ca="1">CreateID($V$3,$V:$V,IFERROR(FIND(Definitions!$AR$4,$G51)&gt;0,FALSE))</f>
        <v>0</v>
      </c>
      <c r="W51" s="99">
        <f>_xlfn.LET(
_xlpm._comment,$G51,
_xlpm._keyWord,Definitions!$AR$4,
_xlpm._diffLen,LEN(_xlpm._comment)-LEN(SUBSTITUTE(_xlpm._comment,_xlpm._keyWord,"")),
_xlpm._diffLen/LEN(_xlpm._keyWord))</f>
        <v>0</v>
      </c>
      <c r="X51" s="99" cm="1">
        <f t="array" aca="1" ref="X51" ca="1">CreateID($X$3,$X:$X,IFERROR(FIND(Definitions!$AR$5,$G51)&gt;0,FALSE))</f>
        <v>0</v>
      </c>
      <c r="Y51" s="99">
        <f>_xlfn.LET(
_xlpm._comment,$G51,
_xlpm._keyWord,Definitions!$AR$5,
_xlpm._diffLen,LEN(_xlpm._comment)-LEN(SUBSTITUTE(_xlpm._comment,_xlpm._keyWord,"")),
_xlpm._diffLen/LEN(_xlpm._keyWord))</f>
        <v>0</v>
      </c>
      <c r="Z51" s="99" t="b">
        <f ca="1">OR(IFERROR(_xlfn.XMATCH("*,"&amp;$A51&amp;",*",Assumptions!$AL:$AL,2)&gt;0,FALSE),
IFERROR(_xlfn.XMATCH("*,"&amp;$A51&amp;",*",Countermeasures!$AO:$AO,2)&gt;0,FALSE))</f>
        <v>0</v>
      </c>
      <c r="AA51" s="99" t="str" cm="1">
        <f t="array" aca="1" ref="AA51" ca="1">CreateSearchString($I51)</f>
        <v>,QA13[],</v>
      </c>
      <c r="AB51" s="99" t="str">
        <f>IF($E51="","",IFERROR(VLOOKUP($E51,Definitions!$H:$J,COLUMNS(Definitions!$H:$J),FALSE),""))</f>
        <v/>
      </c>
      <c r="AC51" s="99" t="b" cm="1">
        <f t="array" aca="1" ref="AC51" ca="1">IF($A51="",FALSE,SimpleLookup($A51,Questions!$A:$D)="x")</f>
        <v>1</v>
      </c>
      <c r="AD51" s="99" t="str" cm="1">
        <f t="array" aca="1" ref="AD51" ca="1">IF(OR($A51="",NOT($AC51)),"",SimpleLookup($A51,Questions!$A:$E))</f>
        <v>'[2025-07-30_QuBA_libre.xlsx]Definitions'!$A$4</v>
      </c>
      <c r="AE51" s="99" cm="1">
        <f t="array" aca="1" ref="AE51" ca="1">IF(OR($A51="",NOT($AC51)),"",SimpleLookup($A51,Questions!$A:$F))</f>
        <v>2</v>
      </c>
      <c r="AF51" s="99" t="str" cm="1">
        <f t="array" aca="1" ref="AF51" ca="1">_xlfn.LET(
_xlpm._answer,$C51,
_xlpm._infoTextFull,IF($AC51,CHAR(10)&amp;SimpleLookup($A51,Questions!$A:$H)&amp;CHAR(10),""),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51" s="99" t="b" cm="1">
        <f t="array" aca="1" ref="AG51" ca="1">IF(OR($A51="",NOT($AC51)),FALSE,_xlfn.LET(
_xlpm._secondAnswerRequiredOn,SimpleLookup($A51,Questions!$A:$I),
_xlpm._firstAnwer,$C51,
IFERROR(FIND(CHAR(10)&amp;_xlpm._firstAnwer&amp;":",CHAR(10)&amp;_xlpm._secondAnswerRequiredOn)&gt;0,FALSE)))</f>
        <v>0</v>
      </c>
      <c r="AH51" s="99" t="str" cm="1">
        <f t="array" aca="1" ref="AH51" ca="1">IF(OR($A51="",NOT($AC51)),"",_xlfn.LET(
_xlpm._id,$A51,
_xlpm._firstAnswer,$C51,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51" s="99" cm="1">
        <f t="array" aca="1" ref="AI51" ca="1">IF(OR($A51="",NOT($AC51)),"",_xlfn.LET(
_xlpm._id,$A51,
_xlpm._firstAnswer,$C51,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51" s="99" t="str" cm="1">
        <f t="array" aca="1" ref="AJ51" ca="1">IF($AG51,_xlfn.LET(
_xlpm._answer,$E51,
_xlpm._infoTextFull,IF($AC51,CHAR(10)&amp;SimpleLookup($A51,Questions!$A:$L)&amp;CHAR(10),""),
_xlpm._startSelectedByAnswerOne,IF(_xlpm._infoTextFull="",0,FIND("___"&amp;$C51&amp;"___",_xlpm._infoTextFull)+LEN("___"&amp;$C51&amp;"___")),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51" s="99" t="b" cm="1">
        <f t="array" aca="1" ref="AK51" ca="1">IF(OR($A51="",NOT($AC51)),FALSE,SimpleLookup($A51,Questions!$A:$Q))</f>
        <v>0</v>
      </c>
      <c r="AL51" s="99" t="str" cm="1">
        <f t="array" aca="1" ref="AL51" ca="1">IF(AND($A51=Questions!$A$41,IFERROR(SimpleLookup(Questions!$A$36,$A:$E)=Definitions!$O$5,FALSE),$C51=Definitions!$A$5),
Questions!$A$36&amp;" "&amp;Questions!$B$36&amp;CHAR(10)&amp;CHAR(187)&amp;" "&amp;SimpleLookup(Questions!$A$36,$A:$C)&amp;CHAR(10)&amp;SimpleLookup(Questions!$A$36,$A:$D)&amp;CHAR(10)&amp;CHAR(187)&amp;" "&amp;Definitions!$O$5&amp;CHAR(10)&amp;CHAR(10)&amp;
"is incosistent with"&amp;CHAR(10)&amp;CHAR(10)&amp;
$A51&amp;" "&amp;SimpleLookup($A51,Questions!$A:$B)&amp;CHAR(10)&amp;CHAR(187)&amp;" "&amp;$C51,
"")</f>
        <v/>
      </c>
      <c r="AM51" s="99" cm="1">
        <f t="array" aca="1" ref="AM51" ca="1">CreateID($AM$3,$AM:$AM,$AL51&lt;&gt;"")</f>
        <v>0</v>
      </c>
      <c r="AN51" s="99" t="str" cm="1">
        <f t="array" aca="1" ref="AN51" ca="1">IF(OR($C51="",OFFSET($C51,1,0)=""),"",
IF(AND($A51=Questions!$A$59,OFFSET($A51,1,0)=Questions!$A$60,SimpleLookup(Questions!$A$49,$A:$C)=Definitions!$A$4),
IF(MATCH($C51,Definitions!$AW:$AW,0)&gt;MATCH(OFFSET($C51,1,0),Definitions!AW:AW,0),$A51&amp;" "&amp;$K51&amp;": "&amp;$C51&amp;CHAR(10)&amp;"&lt;---&gt;"&amp;CHAR(10)&amp;OFFSET($A51,1,0)&amp;" "&amp;OFFSET($K51,1,0)&amp;": "&amp;OFFSET($C51,1,0),""),
""))</f>
        <v/>
      </c>
      <c r="AO51" s="99" cm="1">
        <f t="array" aca="1" ref="AO51" ca="1">CreateID($AO$3,$AO:$AO,$AN51&lt;&gt;"")</f>
        <v>0</v>
      </c>
    </row>
    <row r="52" spans="1:41" x14ac:dyDescent="0.25">
      <c r="A52" s="96" t="s">
        <v>1177</v>
      </c>
      <c r="B52" s="4" t="str" cm="1">
        <f t="array" aca="1" ref="B52" ca="1">IF($A52="","",CreateIndentedString($K52,Definitions!$T$4,SimpleLookup($A52,Questions!$A:$C)))</f>
        <v>Hardware  interfaces  and  accessibility</v>
      </c>
      <c r="I52" s="15" t="str">
        <f t="shared" ca="1" si="6"/>
        <v/>
      </c>
      <c r="J52" s="15" t="str">
        <f t="shared" ca="1" si="7"/>
        <v/>
      </c>
      <c r="K52" s="15" t="str" cm="1">
        <f t="array" aca="1" ref="K52" ca="1">SimpleLookup($A52,Questions!$A:$B)</f>
        <v>Hardware interfaces and accessibility</v>
      </c>
      <c r="L52" s="15" cm="1">
        <f t="array" aca="1" ref="L52" ca="1">CreateID($L$3,$L:$L,AND($A52&lt;&gt;"",$AC52))</f>
        <v>31</v>
      </c>
      <c r="M52" s="99" cm="1">
        <f t="array" aca="1" ref="M52" ca="1">CreateTaskID($M$3,$M:$M,Tasks!$B$17,$G52)</f>
        <v>0</v>
      </c>
      <c r="N52" s="15" t="str">
        <f t="shared" ca="1" si="8"/>
        <v/>
      </c>
      <c r="O52" s="15" cm="1">
        <f t="array" aca="1" ref="O52" ca="1">CreateID($O$3,$O:$O,$N52&lt;&gt;"")</f>
        <v>31</v>
      </c>
      <c r="P52" s="99" t="str">
        <f t="shared" si="9"/>
        <v/>
      </c>
      <c r="Q52" s="99" cm="1">
        <f t="array" aca="1" ref="Q52" ca="1">CreateID($Q$3,$Q:$Q,$P52&lt;&gt;"")</f>
        <v>0</v>
      </c>
      <c r="R52" s="99" t="str">
        <f t="shared" si="10"/>
        <v/>
      </c>
      <c r="S52" s="99" cm="1">
        <f t="array" aca="1" ref="S52" ca="1">CreateID($S$3,$S:$S,$R52&lt;&gt;"")</f>
        <v>0</v>
      </c>
      <c r="T52" s="99" t="str">
        <f t="shared" ca="1" si="11"/>
        <v/>
      </c>
      <c r="U52" s="99" cm="1">
        <f t="array" aca="1" ref="U52" ca="1">CreateID($U$3,$U:$U,$T52&lt;&gt;"")</f>
        <v>0</v>
      </c>
      <c r="V52" s="99" cm="1">
        <f t="array" aca="1" ref="V52" ca="1">CreateID($V$3,$V:$V,IFERROR(FIND(Definitions!$AR$4,$G52)&gt;0,FALSE))</f>
        <v>0</v>
      </c>
      <c r="W52" s="99">
        <f>_xlfn.LET(
_xlpm._comment,$G52,
_xlpm._keyWord,Definitions!$AR$4,
_xlpm._diffLen,LEN(_xlpm._comment)-LEN(SUBSTITUTE(_xlpm._comment,_xlpm._keyWord,"")),
_xlpm._diffLen/LEN(_xlpm._keyWord))</f>
        <v>0</v>
      </c>
      <c r="X52" s="99" cm="1">
        <f t="array" aca="1" ref="X52" ca="1">CreateID($X$3,$X:$X,IFERROR(FIND(Definitions!$AR$5,$G52)&gt;0,FALSE))</f>
        <v>0</v>
      </c>
      <c r="Y52" s="99">
        <f>_xlfn.LET(
_xlpm._comment,$G52,
_xlpm._keyWord,Definitions!$AR$5,
_xlpm._diffLen,LEN(_xlpm._comment)-LEN(SUBSTITUTE(_xlpm._comment,_xlpm._keyWord,"")),
_xlpm._diffLen/LEN(_xlpm._keyWord))</f>
        <v>0</v>
      </c>
      <c r="Z52" s="99" t="b">
        <f ca="1">OR(IFERROR(_xlfn.XMATCH("*,"&amp;$A52&amp;",*",Assumptions!$AL:$AL,2)&gt;0,FALSE),
IFERROR(_xlfn.XMATCH("*,"&amp;$A52&amp;",*",Countermeasures!$AO:$AO,2)&gt;0,FALSE))</f>
        <v>0</v>
      </c>
      <c r="AA52" s="99" t="str" cm="1">
        <f t="array" aca="1" ref="AA52" ca="1">CreateSearchString($I52)</f>
        <v/>
      </c>
      <c r="AB52" s="99" t="str">
        <f>IF($E52="","",IFERROR(VLOOKUP($E52,Definitions!$H:$J,COLUMNS(Definitions!$H:$J),FALSE),""))</f>
        <v/>
      </c>
      <c r="AC52" s="99" t="b" cm="1">
        <f t="array" aca="1" ref="AC52" ca="1">IF($A52="",FALSE,SimpleLookup($A52,Questions!$A:$D)="x")</f>
        <v>0</v>
      </c>
      <c r="AD52" s="99" t="str" cm="1">
        <f t="array" aca="1" ref="AD52" ca="1">IF(OR($A52="",NOT($AC52)),"",SimpleLookup($A52,Questions!$A:$E))</f>
        <v/>
      </c>
      <c r="AE52" s="99" t="str" cm="1">
        <f t="array" aca="1" ref="AE52" ca="1">IF(OR($A52="",NOT($AC52)),"",SimpleLookup($A52,Questions!$A:$F))</f>
        <v/>
      </c>
      <c r="AF52" s="99" t="str" cm="1">
        <f t="array" aca="1" ref="AF52" ca="1">_xlfn.LET(
_xlpm._answer,$C52,
_xlpm._infoTextFull,IF($AC52,CHAR(10)&amp;SimpleLookup($A52,Questions!$A:$H)&amp;CHAR(10),""),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52" s="99" t="b" cm="1">
        <f t="array" aca="1" ref="AG52" ca="1">IF(OR($A52="",NOT($AC52)),FALSE,_xlfn.LET(
_xlpm._secondAnswerRequiredOn,SimpleLookup($A52,Questions!$A:$I),
_xlpm._firstAnwer,$C52,
IFERROR(FIND(CHAR(10)&amp;_xlpm._firstAnwer&amp;":",CHAR(10)&amp;_xlpm._secondAnswerRequiredOn)&gt;0,FALSE)))</f>
        <v>0</v>
      </c>
      <c r="AH52" s="99" t="str" cm="1">
        <f t="array" aca="1" ref="AH52" ca="1">IF(OR($A52="",NOT($AC52)),"",_xlfn.LET(
_xlpm._id,$A52,
_xlpm._firstAnswer,$C52,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52" s="99" t="str" cm="1">
        <f t="array" aca="1" ref="AI52" ca="1">IF(OR($A52="",NOT($AC52)),"",_xlfn.LET(
_xlpm._id,$A52,
_xlpm._firstAnswer,$C52,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52" s="99" t="str" cm="1">
        <f t="array" aca="1" ref="AJ52" ca="1">IF($AG52,_xlfn.LET(
_xlpm._answer,$E52,
_xlpm._infoTextFull,IF($AC52,CHAR(10)&amp;SimpleLookup($A52,Questions!$A:$L)&amp;CHAR(10),""),
_xlpm._startSelectedByAnswerOne,IF(_xlpm._infoTextFull="",0,FIND("___"&amp;$C52&amp;"___",_xlpm._infoTextFull)+LEN("___"&amp;$C52&amp;"___")),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52" s="99" t="b" cm="1">
        <f t="array" aca="1" ref="AK52" ca="1">IF(OR($A52="",NOT($AC52)),FALSE,SimpleLookup($A52,Questions!$A:$Q))</f>
        <v>0</v>
      </c>
      <c r="AL52" s="99" t="str" cm="1">
        <f t="array" aca="1" ref="AL52" ca="1">IF(AND($A52=Questions!$A$41,IFERROR(SimpleLookup(Questions!$A$36,$A:$E)=Definitions!$O$5,FALSE),$C52=Definitions!$A$5),
Questions!$A$36&amp;" "&amp;Questions!$B$36&amp;CHAR(10)&amp;CHAR(187)&amp;" "&amp;SimpleLookup(Questions!$A$36,$A:$C)&amp;CHAR(10)&amp;SimpleLookup(Questions!$A$36,$A:$D)&amp;CHAR(10)&amp;CHAR(187)&amp;" "&amp;Definitions!$O$5&amp;CHAR(10)&amp;CHAR(10)&amp;
"is incosistent with"&amp;CHAR(10)&amp;CHAR(10)&amp;
$A52&amp;" "&amp;SimpleLookup($A52,Questions!$A:$B)&amp;CHAR(10)&amp;CHAR(187)&amp;" "&amp;$C52,
"")</f>
        <v/>
      </c>
      <c r="AM52" s="99" cm="1">
        <f t="array" aca="1" ref="AM52" ca="1">CreateID($AM$3,$AM:$AM,$AL52&lt;&gt;"")</f>
        <v>0</v>
      </c>
      <c r="AN52" s="99" t="str" cm="1">
        <f t="array" aca="1" ref="AN52" ca="1">IF(OR($C52="",OFFSET($C52,1,0)=""),"",
IF(AND($A52=Questions!$A$59,OFFSET($A52,1,0)=Questions!$A$60,SimpleLookup(Questions!$A$49,$A:$C)=Definitions!$A$4),
IF(MATCH($C52,Definitions!$AW:$AW,0)&gt;MATCH(OFFSET($C52,1,0),Definitions!AW:AW,0),$A52&amp;" "&amp;$K52&amp;": "&amp;$C52&amp;CHAR(10)&amp;"&lt;---&gt;"&amp;CHAR(10)&amp;OFFSET($A52,1,0)&amp;" "&amp;OFFSET($K52,1,0)&amp;": "&amp;OFFSET($C52,1,0),""),
""))</f>
        <v/>
      </c>
      <c r="AO52" s="99" cm="1">
        <f t="array" aca="1" ref="AO52" ca="1">CreateID($AO$3,$AO:$AO,$AN52&lt;&gt;"")</f>
        <v>0</v>
      </c>
    </row>
    <row r="53" spans="1:41" ht="30" x14ac:dyDescent="0.25">
      <c r="A53" s="96" t="s">
        <v>1063</v>
      </c>
      <c r="B53" s="4" t="str" cm="1">
        <f t="array" aca="1" ref="B53" ca="1">IF($A53="","",CreateIndentedString($K53,Definitions!$T$4,SimpleLookup($A53,Questions!$A:$C)))</f>
        <v xml:space="preserve">   Is  the  product  typically  installed  in  a  physically
   accessible  position?</v>
      </c>
      <c r="D53" s="8" t="str">
        <f t="shared" ref="D53:D60" ca="1" si="14">$AF53</f>
        <v/>
      </c>
      <c r="F53" s="8" t="str">
        <f t="shared" ref="F53:F60" ca="1" si="15">$AJ53</f>
        <v/>
      </c>
      <c r="I53" s="15" t="str">
        <f t="shared" ca="1" si="6"/>
        <v>QA14[]</v>
      </c>
      <c r="J53" s="15" t="str">
        <f t="shared" ca="1" si="7"/>
        <v>QA14[]</v>
      </c>
      <c r="K53" s="15" t="str" cm="1">
        <f t="array" aca="1" ref="K53" ca="1">SimpleLookup($A53,Questions!$A:$B)</f>
        <v>Is the product typically installed in a physically accessible position?</v>
      </c>
      <c r="L53" s="15" cm="1">
        <f t="array" aca="1" ref="L53" ca="1">CreateID($L$3,$L:$L,AND($A53&lt;&gt;"",$AC53))</f>
        <v>32</v>
      </c>
      <c r="M53" s="99" cm="1">
        <f t="array" aca="1" ref="M53" ca="1">CreateTaskID($M$3,$M:$M,Tasks!$B$17,$G53)</f>
        <v>0</v>
      </c>
      <c r="N53" s="15" t="str">
        <f t="shared" ca="1" si="8"/>
        <v>QA14 Is the product typically installed in a physically accessible position?</v>
      </c>
      <c r="O53" s="15" cm="1">
        <f t="array" aca="1" ref="O53" ca="1">CreateID($O$3,$O:$O,$N53&lt;&gt;"")</f>
        <v>32</v>
      </c>
      <c r="P53" s="99" t="str">
        <f t="shared" ca="1" si="9"/>
        <v/>
      </c>
      <c r="Q53" s="99" cm="1">
        <f t="array" aca="1" ref="Q53" ca="1">CreateID($Q$3,$Q:$Q,$P53&lt;&gt;"")</f>
        <v>0</v>
      </c>
      <c r="R53" s="99" t="str">
        <f t="shared" ca="1" si="10"/>
        <v/>
      </c>
      <c r="S53" s="99" cm="1">
        <f t="array" aca="1" ref="S53" ca="1">CreateID($S$3,$S:$S,$R53&lt;&gt;"")</f>
        <v>0</v>
      </c>
      <c r="T53" s="99" t="str">
        <f t="shared" ca="1" si="11"/>
        <v/>
      </c>
      <c r="U53" s="99" cm="1">
        <f t="array" aca="1" ref="U53" ca="1">CreateID($U$3,$U:$U,$T53&lt;&gt;"")</f>
        <v>0</v>
      </c>
      <c r="V53" s="99" cm="1">
        <f t="array" aca="1" ref="V53" ca="1">CreateID($V$3,$V:$V,IFERROR(FIND(Definitions!$AR$4,$G53)&gt;0,FALSE))</f>
        <v>0</v>
      </c>
      <c r="W53" s="99">
        <f>_xlfn.LET(
_xlpm._comment,$G53,
_xlpm._keyWord,Definitions!$AR$4,
_xlpm._diffLen,LEN(_xlpm._comment)-LEN(SUBSTITUTE(_xlpm._comment,_xlpm._keyWord,"")),
_xlpm._diffLen/LEN(_xlpm._keyWord))</f>
        <v>0</v>
      </c>
      <c r="X53" s="99" cm="1">
        <f t="array" aca="1" ref="X53" ca="1">CreateID($X$3,$X:$X,IFERROR(FIND(Definitions!$AR$5,$G53)&gt;0,FALSE))</f>
        <v>0</v>
      </c>
      <c r="Y53" s="99">
        <f>_xlfn.LET(
_xlpm._comment,$G53,
_xlpm._keyWord,Definitions!$AR$5,
_xlpm._diffLen,LEN(_xlpm._comment)-LEN(SUBSTITUTE(_xlpm._comment,_xlpm._keyWord,"")),
_xlpm._diffLen/LEN(_xlpm._keyWord))</f>
        <v>0</v>
      </c>
      <c r="Z53" s="99" t="b">
        <f ca="1">OR(IFERROR(_xlfn.XMATCH("*,"&amp;$A53&amp;",*",Assumptions!$AL:$AL,2)&gt;0,FALSE),
IFERROR(_xlfn.XMATCH("*,"&amp;$A53&amp;",*",Countermeasures!$AO:$AO,2)&gt;0,FALSE))</f>
        <v>0</v>
      </c>
      <c r="AA53" s="99" t="str" cm="1">
        <f t="array" aca="1" ref="AA53" ca="1">CreateSearchString($I53)</f>
        <v>,QA14[],</v>
      </c>
      <c r="AB53" s="99" t="str">
        <f>IF($E53="","",IFERROR(VLOOKUP($E53,Definitions!$H:$J,COLUMNS(Definitions!$H:$J),FALSE),""))</f>
        <v/>
      </c>
      <c r="AC53" s="99" t="b" cm="1">
        <f t="array" aca="1" ref="AC53" ca="1">IF($A53="",FALSE,SimpleLookup($A53,Questions!$A:$D)="x")</f>
        <v>1</v>
      </c>
      <c r="AD53" s="99" t="str" cm="1">
        <f t="array" aca="1" ref="AD53" ca="1">IF(OR($A53="",NOT($AC53)),"",SimpleLookup($A53,Questions!$A:$E))</f>
        <v>'[2025-07-30_QuBA_libre.xlsx]Definitions'!$A$4</v>
      </c>
      <c r="AE53" s="99" cm="1">
        <f t="array" aca="1" ref="AE53" ca="1">IF(OR($A53="",NOT($AC53)),"",SimpleLookup($A53,Questions!$A:$F))</f>
        <v>2</v>
      </c>
      <c r="AF53" s="99" t="str" cm="1">
        <f t="array" aca="1" ref="AF53" ca="1">_xlfn.LET(
_xlpm._answer,$C53,
_xlpm._infoTextFull,IF($AC53,CHAR(10)&amp;SimpleLookup($A53,Questions!$A:$H)&amp;CHAR(10),""),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53" s="99" t="b" cm="1">
        <f t="array" aca="1" ref="AG53" ca="1">IF(OR($A53="",NOT($AC53)),FALSE,_xlfn.LET(
_xlpm._secondAnswerRequiredOn,SimpleLookup($A53,Questions!$A:$I),
_xlpm._firstAnwer,$C53,
IFERROR(FIND(CHAR(10)&amp;_xlpm._firstAnwer&amp;":",CHAR(10)&amp;_xlpm._secondAnswerRequiredOn)&gt;0,FALSE)))</f>
        <v>0</v>
      </c>
      <c r="AH53" s="99" t="str" cm="1">
        <f t="array" aca="1" ref="AH53" ca="1">IF(OR($A53="",NOT($AC53)),"",_xlfn.LET(
_xlpm._id,$A53,
_xlpm._firstAnswer,$C53,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53" s="99" cm="1">
        <f t="array" aca="1" ref="AI53" ca="1">IF(OR($A53="",NOT($AC53)),"",_xlfn.LET(
_xlpm._id,$A53,
_xlpm._firstAnswer,$C53,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J53" s="99" t="str" cm="1">
        <f t="array" aca="1" ref="AJ53" ca="1">IF($AG53,_xlfn.LET(
_xlpm._answer,$E53,
_xlpm._infoTextFull,IF($AC53,CHAR(10)&amp;SimpleLookup($A53,Questions!$A:$L)&amp;CHAR(10),""),
_xlpm._startSelectedByAnswerOne,IF(_xlpm._infoTextFull="",0,FIND("___"&amp;$C53&amp;"___",_xlpm._infoTextFull)+LEN("___"&amp;$C53&amp;"___")),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53" s="99" t="b" cm="1">
        <f t="array" aca="1" ref="AK53" ca="1">IF(OR($A53="",NOT($AC53)),FALSE,SimpleLookup($A53,Questions!$A:$Q))</f>
        <v>0</v>
      </c>
      <c r="AL53" s="99" t="str" cm="1">
        <f t="array" aca="1" ref="AL53" ca="1">IF(AND($A53=Questions!$A$41,IFERROR(SimpleLookup(Questions!$A$36,$A:$E)=Definitions!$O$5,FALSE),$C53=Definitions!$A$5),
Questions!$A$36&amp;" "&amp;Questions!$B$36&amp;CHAR(10)&amp;CHAR(187)&amp;" "&amp;SimpleLookup(Questions!$A$36,$A:$C)&amp;CHAR(10)&amp;SimpleLookup(Questions!$A$36,$A:$D)&amp;CHAR(10)&amp;CHAR(187)&amp;" "&amp;Definitions!$O$5&amp;CHAR(10)&amp;CHAR(10)&amp;
"is incosistent with"&amp;CHAR(10)&amp;CHAR(10)&amp;
$A53&amp;" "&amp;SimpleLookup($A53,Questions!$A:$B)&amp;CHAR(10)&amp;CHAR(187)&amp;" "&amp;$C53,
"")</f>
        <v/>
      </c>
      <c r="AM53" s="99" cm="1">
        <f t="array" aca="1" ref="AM53" ca="1">CreateID($AM$3,$AM:$AM,$AL53&lt;&gt;"")</f>
        <v>0</v>
      </c>
      <c r="AN53" s="99" t="str" cm="1">
        <f t="array" aca="1" ref="AN53" ca="1">IF(OR($C53="",OFFSET($C53,1,0)=""),"",
IF(AND($A53=Questions!$A$59,OFFSET($A53,1,0)=Questions!$A$60,SimpleLookup(Questions!$A$49,$A:$C)=Definitions!$A$4),
IF(MATCH($C53,Definitions!$AW:$AW,0)&gt;MATCH(OFFSET($C53,1,0),Definitions!AW:AW,0),$A53&amp;" "&amp;$K53&amp;": "&amp;$C53&amp;CHAR(10)&amp;"&lt;---&gt;"&amp;CHAR(10)&amp;OFFSET($A53,1,0)&amp;" "&amp;OFFSET($K53,1,0)&amp;": "&amp;OFFSET($C53,1,0),""),
""))</f>
        <v/>
      </c>
      <c r="AO53" s="99" cm="1">
        <f t="array" aca="1" ref="AO53" ca="1">CreateID($AO$3,$AO:$AO,$AN53&lt;&gt;"")</f>
        <v>0</v>
      </c>
    </row>
    <row r="54" spans="1:41" ht="30" x14ac:dyDescent="0.25">
      <c r="A54" s="96" t="s">
        <v>1065</v>
      </c>
      <c r="B54" s="4" t="str" cm="1">
        <f t="array" aca="1" ref="B54" ca="1">IF($A54="","",CreateIndentedString($K54,Definitions!$T$4,SimpleLookup($A54,Questions!$A:$C)))</f>
        <v xml:space="preserve">   Is  the  product  typically  installed  in  an
   operational  environment  with  public  access?</v>
      </c>
      <c r="D54" s="8" t="str">
        <f t="shared" ca="1" si="14"/>
        <v/>
      </c>
      <c r="F54" s="8" t="str">
        <f t="shared" ca="1" si="15"/>
        <v/>
      </c>
      <c r="I54" s="15" t="str">
        <f t="shared" ca="1" si="6"/>
        <v>QA15[]</v>
      </c>
      <c r="J54" s="15" t="str">
        <f t="shared" ca="1" si="7"/>
        <v>QA15[]</v>
      </c>
      <c r="K54" s="15" t="str" cm="1">
        <f t="array" aca="1" ref="K54" ca="1">SimpleLookup($A54,Questions!$A:$B)</f>
        <v>Is the product typically installed in an operational environment with public access?</v>
      </c>
      <c r="L54" s="15" cm="1">
        <f t="array" aca="1" ref="L54" ca="1">CreateID($L$3,$L:$L,AND($A54&lt;&gt;"",$AC54))</f>
        <v>33</v>
      </c>
      <c r="M54" s="99" cm="1">
        <f t="array" aca="1" ref="M54" ca="1">CreateTaskID($M$3,$M:$M,Tasks!$B$17,$G54)</f>
        <v>0</v>
      </c>
      <c r="N54" s="15" t="str">
        <f t="shared" ca="1" si="8"/>
        <v>QA15 Is the product typically installed in an operational environment with public access?</v>
      </c>
      <c r="O54" s="15" cm="1">
        <f t="array" aca="1" ref="O54" ca="1">CreateID($O$3,$O:$O,$N54&lt;&gt;"")</f>
        <v>33</v>
      </c>
      <c r="P54" s="99" t="str">
        <f t="shared" ca="1" si="9"/>
        <v/>
      </c>
      <c r="Q54" s="99" cm="1">
        <f t="array" aca="1" ref="Q54" ca="1">CreateID($Q$3,$Q:$Q,$P54&lt;&gt;"")</f>
        <v>0</v>
      </c>
      <c r="R54" s="99" t="str">
        <f t="shared" ca="1" si="10"/>
        <v/>
      </c>
      <c r="S54" s="99" cm="1">
        <f t="array" aca="1" ref="S54" ca="1">CreateID($S$3,$S:$S,$R54&lt;&gt;"")</f>
        <v>0</v>
      </c>
      <c r="T54" s="99" t="str">
        <f t="shared" ca="1" si="11"/>
        <v/>
      </c>
      <c r="U54" s="99" cm="1">
        <f t="array" aca="1" ref="U54" ca="1">CreateID($U$3,$U:$U,$T54&lt;&gt;"")</f>
        <v>0</v>
      </c>
      <c r="V54" s="99" cm="1">
        <f t="array" aca="1" ref="V54" ca="1">CreateID($V$3,$V:$V,IFERROR(FIND(Definitions!$AR$4,$G54)&gt;0,FALSE))</f>
        <v>0</v>
      </c>
      <c r="W54" s="99">
        <f>_xlfn.LET(
_xlpm._comment,$G54,
_xlpm._keyWord,Definitions!$AR$4,
_xlpm._diffLen,LEN(_xlpm._comment)-LEN(SUBSTITUTE(_xlpm._comment,_xlpm._keyWord,"")),
_xlpm._diffLen/LEN(_xlpm._keyWord))</f>
        <v>0</v>
      </c>
      <c r="X54" s="99" cm="1">
        <f t="array" aca="1" ref="X54" ca="1">CreateID($X$3,$X:$X,IFERROR(FIND(Definitions!$AR$5,$G54)&gt;0,FALSE))</f>
        <v>0</v>
      </c>
      <c r="Y54" s="99">
        <f>_xlfn.LET(
_xlpm._comment,$G54,
_xlpm._keyWord,Definitions!$AR$5,
_xlpm._diffLen,LEN(_xlpm._comment)-LEN(SUBSTITUTE(_xlpm._comment,_xlpm._keyWord,"")),
_xlpm._diffLen/LEN(_xlpm._keyWord))</f>
        <v>0</v>
      </c>
      <c r="Z54" s="99" t="b">
        <f ca="1">OR(IFERROR(_xlfn.XMATCH("*,"&amp;$A54&amp;",*",Assumptions!$AL:$AL,2)&gt;0,FALSE),
IFERROR(_xlfn.XMATCH("*,"&amp;$A54&amp;",*",Countermeasures!$AO:$AO,2)&gt;0,FALSE))</f>
        <v>0</v>
      </c>
      <c r="AA54" s="99" t="str" cm="1">
        <f t="array" aca="1" ref="AA54" ca="1">CreateSearchString($I54)</f>
        <v>,QA15[],</v>
      </c>
      <c r="AB54" s="99" t="str">
        <f>IF($E54="","",IFERROR(VLOOKUP($E54,Definitions!$H:$J,COLUMNS(Definitions!$H:$J),FALSE),""))</f>
        <v/>
      </c>
      <c r="AC54" s="99" t="b" cm="1">
        <f t="array" aca="1" ref="AC54" ca="1">IF($A54="",FALSE,SimpleLookup($A54,Questions!$A:$D)="x")</f>
        <v>1</v>
      </c>
      <c r="AD54" s="99" t="str" cm="1">
        <f t="array" aca="1" ref="AD54" ca="1">IF(OR($A54="",NOT($AC54)),"",SimpleLookup($A54,Questions!$A:$E))</f>
        <v>'[2025-07-30_QuBA_libre.xlsx]Definitions'!$A$4</v>
      </c>
      <c r="AE54" s="99" cm="1">
        <f t="array" aca="1" ref="AE54" ca="1">IF(OR($A54="",NOT($AC54)),"",SimpleLookup($A54,Questions!$A:$F))</f>
        <v>2</v>
      </c>
      <c r="AF54" s="99" t="str" cm="1">
        <f t="array" aca="1" ref="AF54" ca="1">_xlfn.LET(
_xlpm._answer,$C54,
_xlpm._infoTextFull,IF($AC54,CHAR(10)&amp;SimpleLookup($A54,Questions!$A:$H)&amp;CHAR(10),""),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54" s="99" t="b" cm="1">
        <f t="array" aca="1" ref="AG54" ca="1">IF(OR($A54="",NOT($AC54)),FALSE,_xlfn.LET(
_xlpm._secondAnswerRequiredOn,SimpleLookup($A54,Questions!$A:$I),
_xlpm._firstAnwer,$C54,
IFERROR(FIND(CHAR(10)&amp;_xlpm._firstAnwer&amp;":",CHAR(10)&amp;_xlpm._secondAnswerRequiredOn)&gt;0,FALSE)))</f>
        <v>0</v>
      </c>
      <c r="AH54" s="113" t="str" cm="1">
        <f t="array" aca="1" ref="AH54" ca="1">IF(OR($A54="",NOT($AC54)),"",_xlfn.LET(
_xlpm._id,$A54,
_xlpm._firstAnswer,$C54,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54" s="99" cm="1">
        <f t="array" aca="1" ref="AI54" ca="1">IF(OR($A54="",NOT($AC54)),"",_xlfn.LET(
_xlpm._id,$A54,
_xlpm._firstAnswer,$C54,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54" s="99" t="str" cm="1">
        <f t="array" aca="1" ref="AJ54" ca="1">IF($AG54,_xlfn.LET(
_xlpm._answer,$E54,
_xlpm._infoTextFull,IF($AC54,CHAR(10)&amp;SimpleLookup($A54,Questions!$A:$L)&amp;CHAR(10),""),
_xlpm._startSelectedByAnswerOne,IF(_xlpm._infoTextFull="",0,FIND("___"&amp;$C54&amp;"___",_xlpm._infoTextFull)+LEN("___"&amp;$C54&amp;"___")),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54" s="99" t="b" cm="1">
        <f t="array" aca="1" ref="AK54" ca="1">IF(OR($A54="",NOT($AC54)),FALSE,SimpleLookup($A54,Questions!$A:$Q))</f>
        <v>0</v>
      </c>
      <c r="AL54" s="99" t="str" cm="1">
        <f t="array" aca="1" ref="AL54" ca="1">IF(AND($A54=Questions!$A$41,IFERROR(SimpleLookup(Questions!$A$36,$A:$E)=Definitions!$O$5,FALSE),$C54=Definitions!$A$5),
Questions!$A$36&amp;" "&amp;Questions!$B$36&amp;CHAR(10)&amp;CHAR(187)&amp;" "&amp;SimpleLookup(Questions!$A$36,$A:$C)&amp;CHAR(10)&amp;SimpleLookup(Questions!$A$36,$A:$D)&amp;CHAR(10)&amp;CHAR(187)&amp;" "&amp;Definitions!$O$5&amp;CHAR(10)&amp;CHAR(10)&amp;
"is incosistent with"&amp;CHAR(10)&amp;CHAR(10)&amp;
$A54&amp;" "&amp;SimpleLookup($A54,Questions!$A:$B)&amp;CHAR(10)&amp;CHAR(187)&amp;" "&amp;$C54,
"")</f>
        <v/>
      </c>
      <c r="AM54" s="99" cm="1">
        <f t="array" aca="1" ref="AM54" ca="1">CreateID($AM$3,$AM:$AM,$AL54&lt;&gt;"")</f>
        <v>0</v>
      </c>
      <c r="AN54" s="99" t="str" cm="1">
        <f t="array" aca="1" ref="AN54" ca="1">IF(OR($C54="",OFFSET($C54,1,0)=""),"",
IF(AND($A54=Questions!$A$59,OFFSET($A54,1,0)=Questions!$A$60,SimpleLookup(Questions!$A$49,$A:$C)=Definitions!$A$4),
IF(MATCH($C54,Definitions!$AW:$AW,0)&gt;MATCH(OFFSET($C54,1,0),Definitions!AW:AW,0),$A54&amp;" "&amp;$K54&amp;": "&amp;$C54&amp;CHAR(10)&amp;"&lt;---&gt;"&amp;CHAR(10)&amp;OFFSET($A54,1,0)&amp;" "&amp;OFFSET($K54,1,0)&amp;": "&amp;OFFSET($C54,1,0),""),
""))</f>
        <v/>
      </c>
      <c r="AO54" s="99" cm="1">
        <f t="array" aca="1" ref="AO54" ca="1">CreateID($AO$3,$AO:$AO,$AN54&lt;&gt;"")</f>
        <v>0</v>
      </c>
    </row>
    <row r="55" spans="1:41" ht="45" x14ac:dyDescent="0.25">
      <c r="A55" s="96" t="s">
        <v>1068</v>
      </c>
      <c r="B55" s="4" t="str" cm="1">
        <f t="array" aca="1" ref="B55" ca="1">IF($A55="","",CreateIndentedString($K55,Definitions!$T$4,SimpleLookup($A55,Questions!$A:$C)))</f>
        <v xml:space="preserve">   Are  the  product's  physical  connections  (such  as
   attached  bus  cables)  typically  installed  in  an
   environment  with  public  access?</v>
      </c>
      <c r="D55" s="8" t="str">
        <f t="shared" ca="1" si="14"/>
        <v/>
      </c>
      <c r="F55" s="8" t="str">
        <f t="shared" ca="1" si="15"/>
        <v/>
      </c>
      <c r="I55" s="15" t="str">
        <f t="shared" ca="1" si="6"/>
        <v>QA16[]</v>
      </c>
      <c r="J55" s="15" t="str">
        <f t="shared" ca="1" si="7"/>
        <v>QA16[]</v>
      </c>
      <c r="K55" s="15" t="str" cm="1">
        <f t="array" aca="1" ref="K55" ca="1">SimpleLookup($A55,Questions!$A:$B)</f>
        <v>Are the product's physical connections (such as attached bus cables) typically installed in an environment with public access?</v>
      </c>
      <c r="L55" s="15" cm="1">
        <f t="array" aca="1" ref="L55" ca="1">CreateID($L$3,$L:$L,AND($A55&lt;&gt;"",$AC55))</f>
        <v>34</v>
      </c>
      <c r="M55" s="99" cm="1">
        <f t="array" aca="1" ref="M55" ca="1">CreateTaskID($M$3,$M:$M,Tasks!$B$17,$G55)</f>
        <v>0</v>
      </c>
      <c r="N55" s="15" t="str">
        <f t="shared" ca="1" si="8"/>
        <v>QA16 Are the product's physical connections (such as attached bus cables) typically installed in an environment with public access?</v>
      </c>
      <c r="O55" s="15" cm="1">
        <f t="array" aca="1" ref="O55" ca="1">CreateID($O$3,$O:$O,$N55&lt;&gt;"")</f>
        <v>34</v>
      </c>
      <c r="P55" s="99" t="str">
        <f t="shared" ca="1" si="9"/>
        <v/>
      </c>
      <c r="Q55" s="99" cm="1">
        <f t="array" aca="1" ref="Q55" ca="1">CreateID($Q$3,$Q:$Q,$P55&lt;&gt;"")</f>
        <v>0</v>
      </c>
      <c r="R55" s="99" t="str">
        <f t="shared" ca="1" si="10"/>
        <v/>
      </c>
      <c r="S55" s="99" cm="1">
        <f t="array" aca="1" ref="S55" ca="1">CreateID($S$3,$S:$S,$R55&lt;&gt;"")</f>
        <v>0</v>
      </c>
      <c r="T55" s="99" t="str">
        <f t="shared" ca="1" si="11"/>
        <v/>
      </c>
      <c r="U55" s="99" cm="1">
        <f t="array" aca="1" ref="U55" ca="1">CreateID($U$3,$U:$U,$T55&lt;&gt;"")</f>
        <v>0</v>
      </c>
      <c r="V55" s="99" cm="1">
        <f t="array" aca="1" ref="V55" ca="1">CreateID($V$3,$V:$V,IFERROR(FIND(Definitions!$AR$4,$G55)&gt;0,FALSE))</f>
        <v>0</v>
      </c>
      <c r="W55" s="99">
        <f>_xlfn.LET(
_xlpm._comment,$G55,
_xlpm._keyWord,Definitions!$AR$4,
_xlpm._diffLen,LEN(_xlpm._comment)-LEN(SUBSTITUTE(_xlpm._comment,_xlpm._keyWord,"")),
_xlpm._diffLen/LEN(_xlpm._keyWord))</f>
        <v>0</v>
      </c>
      <c r="X55" s="99" cm="1">
        <f t="array" aca="1" ref="X55" ca="1">CreateID($X$3,$X:$X,IFERROR(FIND(Definitions!$AR$5,$G55)&gt;0,FALSE))</f>
        <v>0</v>
      </c>
      <c r="Y55" s="99">
        <f>_xlfn.LET(
_xlpm._comment,$G55,
_xlpm._keyWord,Definitions!$AR$5,
_xlpm._diffLen,LEN(_xlpm._comment)-LEN(SUBSTITUTE(_xlpm._comment,_xlpm._keyWord,"")),
_xlpm._diffLen/LEN(_xlpm._keyWord))</f>
        <v>0</v>
      </c>
      <c r="Z55" s="99" t="b">
        <f ca="1">OR(IFERROR(_xlfn.XMATCH("*,"&amp;$A55&amp;",*",Assumptions!$AL:$AL,2)&gt;0,FALSE),
IFERROR(_xlfn.XMATCH("*,"&amp;$A55&amp;",*",Countermeasures!$AO:$AO,2)&gt;0,FALSE))</f>
        <v>0</v>
      </c>
      <c r="AA55" s="99" t="str" cm="1">
        <f t="array" aca="1" ref="AA55" ca="1">CreateSearchString($I55)</f>
        <v>,QA16[],</v>
      </c>
      <c r="AB55" s="99" t="str">
        <f>IF($E55="","",IFERROR(VLOOKUP($E55,Definitions!$H:$J,COLUMNS(Definitions!$H:$J),FALSE),""))</f>
        <v/>
      </c>
      <c r="AC55" s="99" t="b" cm="1">
        <f t="array" aca="1" ref="AC55" ca="1">IF($A55="",FALSE,SimpleLookup($A55,Questions!$A:$D)="x")</f>
        <v>1</v>
      </c>
      <c r="AD55" s="99" t="str" cm="1">
        <f t="array" aca="1" ref="AD55" ca="1">IF(OR($A55="",NOT($AC55)),"",SimpleLookup($A55,Questions!$A:$E))</f>
        <v>'[2025-07-30_QuBA_libre.xlsx]Definitions'!$A$4</v>
      </c>
      <c r="AE55" s="99" cm="1">
        <f t="array" aca="1" ref="AE55" ca="1">IF(OR($A55="",NOT($AC55)),"",SimpleLookup($A55,Questions!$A:$F))</f>
        <v>2</v>
      </c>
      <c r="AF55" s="99" t="str" cm="1">
        <f t="array" aca="1" ref="AF55" ca="1">_xlfn.LET(
_xlpm._answer,$C55,
_xlpm._infoTextFull,IF($AC55,CHAR(10)&amp;SimpleLookup($A55,Questions!$A:$H)&amp;CHAR(10),""),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55" s="99" t="b" cm="1">
        <f t="array" aca="1" ref="AG55" ca="1">IF(OR($A55="",NOT($AC55)),FALSE,_xlfn.LET(
_xlpm._secondAnswerRequiredOn,SimpleLookup($A55,Questions!$A:$I),
_xlpm._firstAnwer,$C55,
IFERROR(FIND(CHAR(10)&amp;_xlpm._firstAnwer&amp;":",CHAR(10)&amp;_xlpm._secondAnswerRequiredOn)&gt;0,FALSE)))</f>
        <v>0</v>
      </c>
      <c r="AH55" s="99" t="str" cm="1">
        <f t="array" aca="1" ref="AH55" ca="1">IF(OR($A55="",NOT($AC55)),"",_xlfn.LET(
_xlpm._id,$A55,
_xlpm._firstAnswer,$C55,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55" s="99" cm="1">
        <f t="array" aca="1" ref="AI55" ca="1">IF(OR($A55="",NOT($AC55)),"",_xlfn.LET(
_xlpm._id,$A55,
_xlpm._firstAnswer,$C55,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J55" s="99" t="str" cm="1">
        <f t="array" aca="1" ref="AJ55" ca="1">IF($AG55,_xlfn.LET(
_xlpm._answer,$E55,
_xlpm._infoTextFull,IF($AC55,CHAR(10)&amp;SimpleLookup($A55,Questions!$A:$L)&amp;CHAR(10),""),
_xlpm._startSelectedByAnswerOne,IF(_xlpm._infoTextFull="",0,FIND("___"&amp;$C55&amp;"___",_xlpm._infoTextFull)+LEN("___"&amp;$C55&amp;"___")),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55" s="99" t="b" cm="1">
        <f t="array" aca="1" ref="AK55" ca="1">IF(OR($A55="",NOT($AC55)),FALSE,SimpleLookup($A55,Questions!$A:$Q))</f>
        <v>0</v>
      </c>
      <c r="AL55" s="99" t="str" cm="1">
        <f t="array" aca="1" ref="AL55" ca="1">IF(AND($A55=Questions!$A$41,IFERROR(SimpleLookup(Questions!$A$36,$A:$E)=Definitions!$O$5,FALSE),$C55=Definitions!$A$5),
Questions!$A$36&amp;" "&amp;Questions!$B$36&amp;CHAR(10)&amp;CHAR(187)&amp;" "&amp;SimpleLookup(Questions!$A$36,$A:$C)&amp;CHAR(10)&amp;SimpleLookup(Questions!$A$36,$A:$D)&amp;CHAR(10)&amp;CHAR(187)&amp;" "&amp;Definitions!$O$5&amp;CHAR(10)&amp;CHAR(10)&amp;
"is incosistent with"&amp;CHAR(10)&amp;CHAR(10)&amp;
$A55&amp;" "&amp;SimpleLookup($A55,Questions!$A:$B)&amp;CHAR(10)&amp;CHAR(187)&amp;" "&amp;$C55,
"")</f>
        <v/>
      </c>
      <c r="AM55" s="99" cm="1">
        <f t="array" aca="1" ref="AM55" ca="1">CreateID($AM$3,$AM:$AM,$AL55&lt;&gt;"")</f>
        <v>0</v>
      </c>
      <c r="AN55" s="99" t="str" cm="1">
        <f t="array" aca="1" ref="AN55" ca="1">IF(OR($C55="",OFFSET($C55,1,0)=""),"",
IF(AND($A55=Questions!$A$59,OFFSET($A55,1,0)=Questions!$A$60,SimpleLookup(Questions!$A$49,$A:$C)=Definitions!$A$4),
IF(MATCH($C55,Definitions!$AW:$AW,0)&gt;MATCH(OFFSET($C55,1,0),Definitions!AW:AW,0),$A55&amp;" "&amp;$K55&amp;": "&amp;$C55&amp;CHAR(10)&amp;"&lt;---&gt;"&amp;CHAR(10)&amp;OFFSET($A55,1,0)&amp;" "&amp;OFFSET($K55,1,0)&amp;": "&amp;OFFSET($C55,1,0),""),
""))</f>
        <v/>
      </c>
      <c r="AO55" s="99" cm="1">
        <f t="array" aca="1" ref="AO55" ca="1">CreateID($AO$3,$AO:$AO,$AN55&lt;&gt;"")</f>
        <v>0</v>
      </c>
    </row>
    <row r="56" spans="1:41" ht="45" x14ac:dyDescent="0.25">
      <c r="A56" s="96" t="s">
        <v>1071</v>
      </c>
      <c r="B56" s="4" t="str" cm="1">
        <f t="array" aca="1" ref="B56" ca="1">IF($A56="","",CreateIndentedString($K56,Definitions!$T$4,SimpleLookup($A56,Questions!$A:$C)))</f>
        <v>Does  the  product  have  debug  /  development  interfaces
(e.g.,  JTAG,  root  access  over  ssh)?</v>
      </c>
      <c r="D56" s="8" t="str">
        <f t="shared" ca="1" si="14"/>
        <v/>
      </c>
      <c r="F56" s="8" t="str">
        <f t="shared" ca="1" si="15"/>
        <v/>
      </c>
      <c r="I56" s="15" t="str">
        <f t="shared" ca="1" si="6"/>
        <v>QA17[]</v>
      </c>
      <c r="J56" s="15" t="str">
        <f t="shared" ca="1" si="7"/>
        <v>QA17[]</v>
      </c>
      <c r="K56" s="15" t="str" cm="1">
        <f t="array" aca="1" ref="K56" ca="1">SimpleLookup($A56,Questions!$A:$B)</f>
        <v>Does the product have debug / development interfaces (e.g., JTAG, root access over ssh)?</v>
      </c>
      <c r="L56" s="15" cm="1">
        <f t="array" aca="1" ref="L56" ca="1">CreateID($L$3,$L:$L,AND($A56&lt;&gt;"",$AC56))</f>
        <v>35</v>
      </c>
      <c r="M56" s="99" cm="1">
        <f t="array" aca="1" ref="M56" ca="1">CreateTaskID($M$3,$M:$M,Tasks!$B$17,$G56)</f>
        <v>0</v>
      </c>
      <c r="N56" s="15" t="str">
        <f t="shared" ca="1" si="8"/>
        <v>QA17 Does the product have debug / development interfaces (e.g., JTAG, root access over ssh)?</v>
      </c>
      <c r="O56" s="15" cm="1">
        <f t="array" aca="1" ref="O56" ca="1">CreateID($O$3,$O:$O,$N56&lt;&gt;"")</f>
        <v>35</v>
      </c>
      <c r="P56" s="99" t="str">
        <f t="shared" ca="1" si="9"/>
        <v/>
      </c>
      <c r="Q56" s="99" cm="1">
        <f t="array" aca="1" ref="Q56" ca="1">CreateID($Q$3,$Q:$Q,$P56&lt;&gt;"")</f>
        <v>0</v>
      </c>
      <c r="R56" s="99" t="str">
        <f t="shared" ca="1" si="10"/>
        <v/>
      </c>
      <c r="S56" s="99" cm="1">
        <f t="array" aca="1" ref="S56" ca="1">CreateID($S$3,$S:$S,$R56&lt;&gt;"")</f>
        <v>0</v>
      </c>
      <c r="T56" s="99" t="str">
        <f t="shared" ca="1" si="11"/>
        <v/>
      </c>
      <c r="U56" s="99" cm="1">
        <f t="array" aca="1" ref="U56" ca="1">CreateID($U$3,$U:$U,$T56&lt;&gt;"")</f>
        <v>0</v>
      </c>
      <c r="V56" s="99" cm="1">
        <f t="array" aca="1" ref="V56" ca="1">CreateID($V$3,$V:$V,IFERROR(FIND(Definitions!$AR$4,$G56)&gt;0,FALSE))</f>
        <v>0</v>
      </c>
      <c r="W56" s="99">
        <f>_xlfn.LET(
_xlpm._comment,$G56,
_xlpm._keyWord,Definitions!$AR$4,
_xlpm._diffLen,LEN(_xlpm._comment)-LEN(SUBSTITUTE(_xlpm._comment,_xlpm._keyWord,"")),
_xlpm._diffLen/LEN(_xlpm._keyWord))</f>
        <v>0</v>
      </c>
      <c r="X56" s="99" cm="1">
        <f t="array" aca="1" ref="X56" ca="1">CreateID($X$3,$X:$X,IFERROR(FIND(Definitions!$AR$5,$G56)&gt;0,FALSE))</f>
        <v>0</v>
      </c>
      <c r="Y56" s="99">
        <f>_xlfn.LET(
_xlpm._comment,$G56,
_xlpm._keyWord,Definitions!$AR$5,
_xlpm._diffLen,LEN(_xlpm._comment)-LEN(SUBSTITUTE(_xlpm._comment,_xlpm._keyWord,"")),
_xlpm._diffLen/LEN(_xlpm._keyWord))</f>
        <v>0</v>
      </c>
      <c r="Z56" s="99" t="b">
        <f ca="1">OR(IFERROR(_xlfn.XMATCH("*,"&amp;$A56&amp;",*",Assumptions!$AL:$AL,2)&gt;0,FALSE),
IFERROR(_xlfn.XMATCH("*,"&amp;$A56&amp;",*",Countermeasures!$AO:$AO,2)&gt;0,FALSE))</f>
        <v>0</v>
      </c>
      <c r="AA56" s="99" t="str" cm="1">
        <f t="array" aca="1" ref="AA56" ca="1">CreateSearchString($I56)</f>
        <v>,QA17[],</v>
      </c>
      <c r="AB56" s="99" t="str">
        <f>IF($E56="","",IFERROR(VLOOKUP($E56,Definitions!$H:$J,COLUMNS(Definitions!$H:$J),FALSE),""))</f>
        <v/>
      </c>
      <c r="AC56" s="99" t="b" cm="1">
        <f t="array" aca="1" ref="AC56" ca="1">IF($A56="",FALSE,SimpleLookup($A56,Questions!$A:$D)="x")</f>
        <v>1</v>
      </c>
      <c r="AD56" s="99" t="str" cm="1">
        <f t="array" aca="1" ref="AD56" ca="1">IF(OR($A56="",NOT($AC56)),"",SimpleLookup($A56,Questions!$A:$E))</f>
        <v>'[2025-07-30_QuBA_libre.xlsx]Definitions'!$A$4</v>
      </c>
      <c r="AE56" s="99" cm="1">
        <f t="array" aca="1" ref="AE56" ca="1">IF(OR($A56="",NOT($AC56)),"",SimpleLookup($A56,Questions!$A:$F))</f>
        <v>2</v>
      </c>
      <c r="AF56" s="99" t="str" cm="1">
        <f t="array" aca="1" ref="AF56" ca="1">_xlfn.LET(
_xlpm._answer,$C56,
_xlpm._infoTextFull,IF($AC56,CHAR(10)&amp;SimpleLookup($A56,Questions!$A:$H)&amp;CHAR(10),""),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56" s="99" t="b" cm="1">
        <f t="array" aca="1" ref="AG56" ca="1">IF(OR($A56="",NOT($AC56)),FALSE,_xlfn.LET(
_xlpm._secondAnswerRequiredOn,SimpleLookup($A56,Questions!$A:$I),
_xlpm._firstAnwer,$C56,
IFERROR(FIND(CHAR(10)&amp;_xlpm._firstAnwer&amp;":",CHAR(10)&amp;_xlpm._secondAnswerRequiredOn)&gt;0,FALSE)))</f>
        <v>0</v>
      </c>
      <c r="AH56" s="99" t="str" cm="1">
        <f t="array" aca="1" ref="AH56" ca="1">IF(OR($A56="",NOT($AC56)),"",_xlfn.LET(
_xlpm._id,$A56,
_xlpm._firstAnswer,$C56,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56" s="99" cm="1">
        <f t="array" aca="1" ref="AI56" ca="1">IF(OR($A56="",NOT($AC56)),"",_xlfn.LET(
_xlpm._id,$A56,
_xlpm._firstAnswer,$C56,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56" s="99" t="str" cm="1">
        <f t="array" aca="1" ref="AJ56" ca="1">IF($AG56,_xlfn.LET(
_xlpm._answer,$E56,
_xlpm._infoTextFull,IF($AC56,CHAR(10)&amp;SimpleLookup($A56,Questions!$A:$L)&amp;CHAR(10),""),
_xlpm._startSelectedByAnswerOne,IF(_xlpm._infoTextFull="",0,FIND("___"&amp;$C56&amp;"___",_xlpm._infoTextFull)+LEN("___"&amp;$C56&amp;"___")),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56" s="99" t="b" cm="1">
        <f t="array" aca="1" ref="AK56" ca="1">IF(OR($A56="",NOT($AC56)),FALSE,SimpleLookup($A56,Questions!$A:$Q))</f>
        <v>0</v>
      </c>
      <c r="AL56" s="99" t="str" cm="1">
        <f t="array" aca="1" ref="AL56" ca="1">IF(AND($A56=Questions!$A$41,IFERROR(SimpleLookup(Questions!$A$36,$A:$E)=Definitions!$O$5,FALSE),$C56=Definitions!$A$5),
Questions!$A$36&amp;" "&amp;Questions!$B$36&amp;CHAR(10)&amp;CHAR(187)&amp;" "&amp;SimpleLookup(Questions!$A$36,$A:$C)&amp;CHAR(10)&amp;SimpleLookup(Questions!$A$36,$A:$D)&amp;CHAR(10)&amp;CHAR(187)&amp;" "&amp;Definitions!$O$5&amp;CHAR(10)&amp;CHAR(10)&amp;
"is incosistent with"&amp;CHAR(10)&amp;CHAR(10)&amp;
$A56&amp;" "&amp;SimpleLookup($A56,Questions!$A:$B)&amp;CHAR(10)&amp;CHAR(187)&amp;" "&amp;$C56,
"")</f>
        <v/>
      </c>
      <c r="AM56" s="99" cm="1">
        <f t="array" aca="1" ref="AM56" ca="1">CreateID($AM$3,$AM:$AM,$AL56&lt;&gt;"")</f>
        <v>0</v>
      </c>
      <c r="AN56" s="99" t="str" cm="1">
        <f t="array" aca="1" ref="AN56" ca="1">IF(OR($C56="",OFFSET($C56,1,0)=""),"",
IF(AND($A56=Questions!$A$59,OFFSET($A56,1,0)=Questions!$A$60,SimpleLookup(Questions!$A$49,$A:$C)=Definitions!$A$4),
IF(MATCH($C56,Definitions!$AW:$AW,0)&gt;MATCH(OFFSET($C56,1,0),Definitions!AW:AW,0),$A56&amp;" "&amp;$K56&amp;": "&amp;$C56&amp;CHAR(10)&amp;"&lt;---&gt;"&amp;CHAR(10)&amp;OFFSET($A56,1,0)&amp;" "&amp;OFFSET($K56,1,0)&amp;": "&amp;OFFSET($C56,1,0),""),
""))</f>
        <v/>
      </c>
      <c r="AO56" s="99" cm="1">
        <f t="array" aca="1" ref="AO56" ca="1">CreateID($AO$3,$AO:$AO,$AN56&lt;&gt;"")</f>
        <v>0</v>
      </c>
    </row>
    <row r="57" spans="1:41" x14ac:dyDescent="0.25">
      <c r="A57" s="96" t="s">
        <v>1140</v>
      </c>
      <c r="B57" s="4" t="str" cm="1">
        <f t="array" aca="1" ref="B57" ca="1">IF($A57="","",CreateIndentedString($K57,Definitions!$T$4,SimpleLookup($A57,Questions!$A:$C)))</f>
        <v>Is  the  product  produced  in  a  secure  environment?</v>
      </c>
      <c r="D57" s="8" t="str">
        <f t="shared" ca="1" si="14"/>
        <v/>
      </c>
      <c r="F57" s="8" t="str">
        <f t="shared" ca="1" si="15"/>
        <v/>
      </c>
      <c r="I57" s="99" t="str">
        <f t="shared" ca="1" si="6"/>
        <v>QA18[]</v>
      </c>
      <c r="J57" s="99" t="str">
        <f t="shared" ca="1" si="7"/>
        <v>QA18[]</v>
      </c>
      <c r="K57" s="99" t="str" cm="1">
        <f t="array" aca="1" ref="K57" ca="1">SimpleLookup($A57,Questions!$A:$B)</f>
        <v>Is the product produced in a secure environment?</v>
      </c>
      <c r="L57" s="99" cm="1">
        <f t="array" aca="1" ref="L57" ca="1">CreateID($L$3,$L:$L,AND($A57&lt;&gt;"",$AC57))</f>
        <v>36</v>
      </c>
      <c r="M57" s="99" cm="1">
        <f t="array" aca="1" ref="M57" ca="1">CreateTaskID($M$3,$M:$M,Tasks!$B$17,$G57)</f>
        <v>0</v>
      </c>
      <c r="N57" s="99" t="str">
        <f t="shared" ca="1" si="8"/>
        <v>QA18 Is the product produced in a secure environment?</v>
      </c>
      <c r="O57" s="99" cm="1">
        <f t="array" aca="1" ref="O57" ca="1">CreateID($O$3,$O:$O,$N57&lt;&gt;"")</f>
        <v>36</v>
      </c>
      <c r="P57" s="99" t="str">
        <f t="shared" ca="1" si="9"/>
        <v/>
      </c>
      <c r="Q57" s="99" cm="1">
        <f t="array" aca="1" ref="Q57" ca="1">CreateID($Q$3,$Q:$Q,$P57&lt;&gt;"")</f>
        <v>0</v>
      </c>
      <c r="R57" s="99" t="str">
        <f t="shared" ca="1" si="10"/>
        <v/>
      </c>
      <c r="S57" s="99" cm="1">
        <f t="array" aca="1" ref="S57" ca="1">CreateID($S$3,$S:$S,$R57&lt;&gt;"")</f>
        <v>0</v>
      </c>
      <c r="T57" s="99" t="str">
        <f t="shared" ca="1" si="11"/>
        <v/>
      </c>
      <c r="U57" s="99" cm="1">
        <f t="array" aca="1" ref="U57" ca="1">CreateID($U$3,$U:$U,$T57&lt;&gt;"")</f>
        <v>0</v>
      </c>
      <c r="V57" s="99" cm="1">
        <f t="array" aca="1" ref="V57" ca="1">CreateID($V$3,$V:$V,IFERROR(FIND(Definitions!$AR$4,$G57)&gt;0,FALSE))</f>
        <v>0</v>
      </c>
      <c r="W57" s="99">
        <f>_xlfn.LET(
_xlpm._comment,$G57,
_xlpm._keyWord,Definitions!$AR$4,
_xlpm._diffLen,LEN(_xlpm._comment)-LEN(SUBSTITUTE(_xlpm._comment,_xlpm._keyWord,"")),
_xlpm._diffLen/LEN(_xlpm._keyWord))</f>
        <v>0</v>
      </c>
      <c r="X57" s="99" cm="1">
        <f t="array" aca="1" ref="X57" ca="1">CreateID($X$3,$X:$X,IFERROR(FIND(Definitions!$AR$5,$G57)&gt;0,FALSE))</f>
        <v>0</v>
      </c>
      <c r="Y57" s="99">
        <f>_xlfn.LET(
_xlpm._comment,$G57,
_xlpm._keyWord,Definitions!$AR$5,
_xlpm._diffLen,LEN(_xlpm._comment)-LEN(SUBSTITUTE(_xlpm._comment,_xlpm._keyWord,"")),
_xlpm._diffLen/LEN(_xlpm._keyWord))</f>
        <v>0</v>
      </c>
      <c r="Z57" s="99" t="b">
        <f ca="1">OR(IFERROR(_xlfn.XMATCH("*,"&amp;$A57&amp;",*",Assumptions!$AL:$AL,2)&gt;0,FALSE),
IFERROR(_xlfn.XMATCH("*,"&amp;$A57&amp;",*",Countermeasures!$AO:$AO,2)&gt;0,FALSE))</f>
        <v>0</v>
      </c>
      <c r="AA57" s="99" t="str" cm="1">
        <f t="array" aca="1" ref="AA57" ca="1">CreateSearchString($I57)</f>
        <v>,QA18[],</v>
      </c>
      <c r="AB57" s="99" t="str">
        <f>IF($E57="","",IFERROR(VLOOKUP($E57,Definitions!$H:$J,COLUMNS(Definitions!$H:$J),FALSE),""))</f>
        <v/>
      </c>
      <c r="AC57" s="99" t="b" cm="1">
        <f t="array" aca="1" ref="AC57" ca="1">IF($A57="",FALSE,SimpleLookup($A57,Questions!$A:$D)="x")</f>
        <v>1</v>
      </c>
      <c r="AD57" s="99" t="str" cm="1">
        <f t="array" aca="1" ref="AD57" ca="1">IF(OR($A57="",NOT($AC57)),"",SimpleLookup($A57,Questions!$A:$E))</f>
        <v>'[2025-07-30_QuBA_libre.xlsx]Definitions'!$A$4</v>
      </c>
      <c r="AE57" s="99" cm="1">
        <f t="array" aca="1" ref="AE57" ca="1">IF(OR($A57="",NOT($AC57)),"",SimpleLookup($A57,Questions!$A:$F))</f>
        <v>2</v>
      </c>
      <c r="AF57" s="99" t="str" cm="1">
        <f t="array" aca="1" ref="AF57" ca="1">_xlfn.LET(
_xlpm._answer,$C57,
_xlpm._infoTextFull,IF($AC57,CHAR(10)&amp;SimpleLookup($A57,Questions!$A:$H)&amp;CHAR(10),""),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57" s="99" t="b" cm="1">
        <f t="array" aca="1" ref="AG57" ca="1">IF(OR($A57="",NOT($AC57)),FALSE,_xlfn.LET(
_xlpm._secondAnswerRequiredOn,SimpleLookup($A57,Questions!$A:$I),
_xlpm._firstAnwer,$C57,
IFERROR(FIND(CHAR(10)&amp;_xlpm._firstAnwer&amp;":",CHAR(10)&amp;_xlpm._secondAnswerRequiredOn)&gt;0,FALSE)))</f>
        <v>0</v>
      </c>
      <c r="AH57" s="99" t="str" cm="1">
        <f t="array" aca="1" ref="AH57" ca="1">IF(OR($A57="",NOT($AC57)),"",_xlfn.LET(
_xlpm._id,$A57,
_xlpm._firstAnswer,$C57,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57" s="99" cm="1">
        <f t="array" aca="1" ref="AI57" ca="1">IF(OR($A57="",NOT($AC57)),"",_xlfn.LET(
_xlpm._id,$A57,
_xlpm._firstAnswer,$C57,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0</v>
      </c>
      <c r="AJ57" s="99" t="str" cm="1">
        <f t="array" aca="1" ref="AJ57" ca="1">IF($AG57,_xlfn.LET(
_xlpm._answer,$E57,
_xlpm._infoTextFull,IF($AC57,CHAR(10)&amp;SimpleLookup($A57,Questions!$A:$L)&amp;CHAR(10),""),
_xlpm._startSelectedByAnswerOne,IF(_xlpm._infoTextFull="",0,FIND("___"&amp;$C57&amp;"___",_xlpm._infoTextFull)+LEN("___"&amp;$C57&amp;"___")),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57" s="99" t="b" cm="1">
        <f t="array" aca="1" ref="AK57" ca="1">IF(OR($A57="",NOT($AC57)),FALSE,SimpleLookup($A57,Questions!$A:$Q))</f>
        <v>0</v>
      </c>
      <c r="AL57" s="99" t="str" cm="1">
        <f t="array" aca="1" ref="AL57" ca="1">IF(AND($A57=Questions!$A$41,IFERROR(SimpleLookup(Questions!$A$36,$A:$E)=Definitions!$O$5,FALSE),$C57=Definitions!$A$5),
Questions!$A$36&amp;" "&amp;Questions!$B$36&amp;CHAR(10)&amp;CHAR(187)&amp;" "&amp;SimpleLookup(Questions!$A$36,$A:$C)&amp;CHAR(10)&amp;SimpleLookup(Questions!$A$36,$A:$D)&amp;CHAR(10)&amp;CHAR(187)&amp;" "&amp;Definitions!$O$5&amp;CHAR(10)&amp;CHAR(10)&amp;
"is incosistent with"&amp;CHAR(10)&amp;CHAR(10)&amp;
$A57&amp;" "&amp;SimpleLookup($A57,Questions!$A:$B)&amp;CHAR(10)&amp;CHAR(187)&amp;" "&amp;$C57,
"")</f>
        <v/>
      </c>
      <c r="AM57" s="99" cm="1">
        <f t="array" aca="1" ref="AM57" ca="1">CreateID($AM$3,$AM:$AM,$AL57&lt;&gt;"")</f>
        <v>0</v>
      </c>
      <c r="AN57" s="99" t="str" cm="1">
        <f t="array" aca="1" ref="AN57" ca="1">IF(OR($C57="",OFFSET($C57,1,0)=""),"",
IF(AND($A57=Questions!$A$59,OFFSET($A57,1,0)=Questions!$A$60,SimpleLookup(Questions!$A$49,$A:$C)=Definitions!$A$4),
IF(MATCH($C57,Definitions!$AW:$AW,0)&gt;MATCH(OFFSET($C57,1,0),Definitions!AW:AW,0),$A57&amp;" "&amp;$K57&amp;": "&amp;$C57&amp;CHAR(10)&amp;"&lt;---&gt;"&amp;CHAR(10)&amp;OFFSET($A57,1,0)&amp;" "&amp;OFFSET($K57,1,0)&amp;": "&amp;OFFSET($C57,1,0),""),
""))</f>
        <v/>
      </c>
      <c r="AO57" s="99" cm="1">
        <f t="array" aca="1" ref="AO57" ca="1">CreateID($AO$3,$AO:$AO,$AN57&lt;&gt;"")</f>
        <v>0</v>
      </c>
    </row>
    <row r="58" spans="1:41" ht="30" x14ac:dyDescent="0.25">
      <c r="A58" s="96" t="s">
        <v>1141</v>
      </c>
      <c r="B58" s="4" t="str" cm="1">
        <f t="array" aca="1" ref="B58" ca="1">IF($A58="","",CreateIndentedString($K58,Definitions!$T$4,SimpleLookup($A58,Questions!$A:$C)))</f>
        <v>Are  the  supply  chain  partners  trustworthy  and
protected  against  attacks?</v>
      </c>
      <c r="D58" s="8" t="str">
        <f t="shared" ca="1" si="14"/>
        <v/>
      </c>
      <c r="F58" s="8" t="str">
        <f t="shared" ca="1" si="15"/>
        <v/>
      </c>
      <c r="I58" s="99" t="str">
        <f t="shared" ca="1" si="6"/>
        <v>QA19[]</v>
      </c>
      <c r="J58" s="99" t="str">
        <f t="shared" ca="1" si="7"/>
        <v>QA19[]</v>
      </c>
      <c r="K58" s="99" t="str" cm="1">
        <f t="array" aca="1" ref="K58" ca="1">SimpleLookup($A58,Questions!$A:$B)</f>
        <v>Are the supply chain partners trustworthy and protected against attacks?</v>
      </c>
      <c r="L58" s="99" cm="1">
        <f t="array" aca="1" ref="L58" ca="1">CreateID($L$3,$L:$L,AND($A58&lt;&gt;"",$AC58))</f>
        <v>37</v>
      </c>
      <c r="M58" s="99" cm="1">
        <f t="array" aca="1" ref="M58" ca="1">CreateTaskID($M$3,$M:$M,Tasks!$B$17,$G58)</f>
        <v>0</v>
      </c>
      <c r="N58" s="99" t="str">
        <f t="shared" ca="1" si="8"/>
        <v>QA19 Are the supply chain partners trustworthy and protected against attacks?</v>
      </c>
      <c r="O58" s="99" cm="1">
        <f t="array" aca="1" ref="O58" ca="1">CreateID($O$3,$O:$O,$N58&lt;&gt;"")</f>
        <v>37</v>
      </c>
      <c r="P58" s="99" t="str">
        <f t="shared" ca="1" si="9"/>
        <v/>
      </c>
      <c r="Q58" s="99" cm="1">
        <f t="array" aca="1" ref="Q58" ca="1">CreateID($Q$3,$Q:$Q,$P58&lt;&gt;"")</f>
        <v>0</v>
      </c>
      <c r="R58" s="99" t="str">
        <f t="shared" ca="1" si="10"/>
        <v/>
      </c>
      <c r="S58" s="99" cm="1">
        <f t="array" aca="1" ref="S58" ca="1">CreateID($S$3,$S:$S,$R58&lt;&gt;"")</f>
        <v>0</v>
      </c>
      <c r="T58" s="99" t="str">
        <f t="shared" ca="1" si="11"/>
        <v/>
      </c>
      <c r="U58" s="99" cm="1">
        <f t="array" aca="1" ref="U58" ca="1">CreateID($U$3,$U:$U,$T58&lt;&gt;"")</f>
        <v>0</v>
      </c>
      <c r="V58" s="99" cm="1">
        <f t="array" aca="1" ref="V58" ca="1">CreateID($V$3,$V:$V,IFERROR(FIND(Definitions!$AR$4,$G58)&gt;0,FALSE))</f>
        <v>0</v>
      </c>
      <c r="W58" s="99">
        <f>_xlfn.LET(
_xlpm._comment,$G58,
_xlpm._keyWord,Definitions!$AR$4,
_xlpm._diffLen,LEN(_xlpm._comment)-LEN(SUBSTITUTE(_xlpm._comment,_xlpm._keyWord,"")),
_xlpm._diffLen/LEN(_xlpm._keyWord))</f>
        <v>0</v>
      </c>
      <c r="X58" s="99" cm="1">
        <f t="array" aca="1" ref="X58" ca="1">CreateID($X$3,$X:$X,IFERROR(FIND(Definitions!$AR$5,$G58)&gt;0,FALSE))</f>
        <v>0</v>
      </c>
      <c r="Y58" s="99">
        <f>_xlfn.LET(
_xlpm._comment,$G58,
_xlpm._keyWord,Definitions!$AR$5,
_xlpm._diffLen,LEN(_xlpm._comment)-LEN(SUBSTITUTE(_xlpm._comment,_xlpm._keyWord,"")),
_xlpm._diffLen/LEN(_xlpm._keyWord))</f>
        <v>0</v>
      </c>
      <c r="Z58" s="99" t="b">
        <f ca="1">OR(IFERROR(_xlfn.XMATCH("*,"&amp;$A58&amp;",*",Assumptions!$AL:$AL,2)&gt;0,FALSE),
IFERROR(_xlfn.XMATCH("*,"&amp;$A58&amp;",*",Countermeasures!$AO:$AO,2)&gt;0,FALSE))</f>
        <v>0</v>
      </c>
      <c r="AA58" s="99" t="str" cm="1">
        <f t="array" aca="1" ref="AA58" ca="1">CreateSearchString($I58)</f>
        <v>,QA19[],</v>
      </c>
      <c r="AB58" s="99" t="str">
        <f>IF($E58="","",IFERROR(VLOOKUP($E58,Definitions!$H:$J,COLUMNS(Definitions!$H:$J),FALSE),""))</f>
        <v/>
      </c>
      <c r="AC58" s="99" t="b" cm="1">
        <f t="array" aca="1" ref="AC58" ca="1">IF($A58="",FALSE,SimpleLookup($A58,Questions!$A:$D)="x")</f>
        <v>1</v>
      </c>
      <c r="AD58" s="99" t="str" cm="1">
        <f t="array" aca="1" ref="AD58" ca="1">IF(OR($A58="",NOT($AC58)),"",SimpleLookup($A58,Questions!$A:$E))</f>
        <v>'[2025-07-30_QuBA_libre.xlsx]Definitions'!$BF$4</v>
      </c>
      <c r="AE58" s="99" cm="1">
        <f t="array" aca="1" ref="AE58" ca="1">IF(OR($A58="",NOT($AC58)),"",SimpleLookup($A58,Questions!$A:$F))</f>
        <v>3</v>
      </c>
      <c r="AF58" s="99" t="str" cm="1">
        <f t="array" aca="1" ref="AF58" ca="1">_xlfn.LET(
_xlpm._answer,$C58,
_xlpm._infoTextFull,IF($AC58,CHAR(10)&amp;SimpleLookup($A58,Questions!$A:$H)&amp;CHAR(10),""),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58" s="99" t="b" cm="1">
        <f t="array" aca="1" ref="AG58" ca="1">IF(OR($A58="",NOT($AC58)),FALSE,_xlfn.LET(
_xlpm._secondAnswerRequiredOn,SimpleLookup($A58,Questions!$A:$I),
_xlpm._firstAnwer,$C58,
IFERROR(FIND(CHAR(10)&amp;_xlpm._firstAnwer&amp;":",CHAR(10)&amp;_xlpm._secondAnswerRequiredOn)&gt;0,FALSE)))</f>
        <v>0</v>
      </c>
      <c r="AH58" s="99" t="str" cm="1">
        <f t="array" aca="1" ref="AH58" ca="1">IF(OR($A58="",NOT($AC58)),"",_xlfn.LET(
_xlpm._id,$A58,
_xlpm._firstAnswer,$C58,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'[2025-07-30_QuBA_libre.xlsx]Definitions'!$A$4</v>
      </c>
      <c r="AI58" s="99" cm="1">
        <f t="array" aca="1" ref="AI58" ca="1">IF(OR($A58="",NOT($AC58)),"",_xlfn.LET(
_xlpm._id,$A58,
_xlpm._firstAnswer,$C58,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2</v>
      </c>
      <c r="AJ58" s="99" t="str" cm="1">
        <f t="array" aca="1" ref="AJ58" ca="1">IF($AG58,_xlfn.LET(
_xlpm._answer,$E58,
_xlpm._infoTextFull,IF($AC58,CHAR(10)&amp;SimpleLookup($A58,Questions!$A:$L)&amp;CHAR(10),""),
_xlpm._startSelectedByAnswerOne,IF(_xlpm._infoTextFull="",0,FIND("___"&amp;$C58&amp;"___",_xlpm._infoTextFull)+LEN("___"&amp;$C58&amp;"___")),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58" s="99" t="b" cm="1">
        <f t="array" aca="1" ref="AK58" ca="1">IF(OR($A58="",NOT($AC58)),FALSE,SimpleLookup($A58,Questions!$A:$Q))</f>
        <v>0</v>
      </c>
      <c r="AL58" s="99" t="str" cm="1">
        <f t="array" aca="1" ref="AL58" ca="1">IF(AND($A58=Questions!$A$41,IFERROR(SimpleLookup(Questions!$A$36,$A:$E)=Definitions!$O$5,FALSE),$C58=Definitions!$A$5),
Questions!$A$36&amp;" "&amp;Questions!$B$36&amp;CHAR(10)&amp;CHAR(187)&amp;" "&amp;SimpleLookup(Questions!$A$36,$A:$C)&amp;CHAR(10)&amp;SimpleLookup(Questions!$A$36,$A:$D)&amp;CHAR(10)&amp;CHAR(187)&amp;" "&amp;Definitions!$O$5&amp;CHAR(10)&amp;CHAR(10)&amp;
"is incosistent with"&amp;CHAR(10)&amp;CHAR(10)&amp;
$A58&amp;" "&amp;SimpleLookup($A58,Questions!$A:$B)&amp;CHAR(10)&amp;CHAR(187)&amp;" "&amp;$C58,
"")</f>
        <v/>
      </c>
      <c r="AM58" s="99" cm="1">
        <f t="array" aca="1" ref="AM58" ca="1">CreateID($AM$3,$AM:$AM,$AL58&lt;&gt;"")</f>
        <v>0</v>
      </c>
      <c r="AN58" s="99" t="str" cm="1">
        <f t="array" aca="1" ref="AN58" ca="1">IF(OR($C58="",OFFSET($C58,1,0)=""),"",
IF(AND($A58=Questions!$A$59,OFFSET($A58,1,0)=Questions!$A$60,SimpleLookup(Questions!$A$49,$A:$C)=Definitions!$A$4),
IF(MATCH($C58,Definitions!$AW:$AW,0)&gt;MATCH(OFFSET($C58,1,0),Definitions!AW:AW,0),$A58&amp;" "&amp;$K58&amp;": "&amp;$C58&amp;CHAR(10)&amp;"&lt;---&gt;"&amp;CHAR(10)&amp;OFFSET($A58,1,0)&amp;" "&amp;OFFSET($K58,1,0)&amp;": "&amp;OFFSET($C58,1,0),""),
""))</f>
        <v/>
      </c>
      <c r="AO58" s="99" cm="1">
        <f t="array" aca="1" ref="AO58" ca="1">CreateID($AO$3,$AO:$AO,$AN58&lt;&gt;"")</f>
        <v>0</v>
      </c>
    </row>
    <row r="59" spans="1:41" x14ac:dyDescent="0.25">
      <c r="A59" s="96" t="s">
        <v>1272</v>
      </c>
      <c r="B59" s="4" t="str" cm="1">
        <f t="array" aca="1" ref="B59" ca="1">IF($A59="","",CreateIndentedString($K59,Definitions!$T$4,SimpleLookup($A59,Questions!$A:$C)))</f>
        <v>What  is  the  product's  expected  lifetime?</v>
      </c>
      <c r="D59" s="8" t="str">
        <f t="shared" ca="1" si="14"/>
        <v/>
      </c>
      <c r="F59" s="8" t="str">
        <f t="shared" ca="1" si="15"/>
        <v/>
      </c>
      <c r="I59" s="99" t="str">
        <f t="shared" ca="1" si="6"/>
        <v>QA20[]</v>
      </c>
      <c r="J59" s="99" t="str">
        <f t="shared" ca="1" si="7"/>
        <v>QA20[]</v>
      </c>
      <c r="K59" s="99" t="str" cm="1">
        <f t="array" aca="1" ref="K59" ca="1">SimpleLookup($A59,Questions!$A:$B)</f>
        <v>What is the product's expected lifetime?</v>
      </c>
      <c r="L59" s="99" cm="1">
        <f t="array" aca="1" ref="L59" ca="1">CreateID($L$3,$L:$L,AND($A59&lt;&gt;"",$AC59))</f>
        <v>38</v>
      </c>
      <c r="M59" s="99" cm="1">
        <f t="array" aca="1" ref="M59" ca="1">CreateTaskID($M$3,$M:$M,Tasks!$B$17,$G59)</f>
        <v>0</v>
      </c>
      <c r="N59" s="99" t="str">
        <f t="shared" ca="1" si="8"/>
        <v>QA20 What is the product's expected lifetime?</v>
      </c>
      <c r="O59" s="99" cm="1">
        <f t="array" aca="1" ref="O59" ca="1">CreateID($O$3,$O:$O,$N59&lt;&gt;"")</f>
        <v>38</v>
      </c>
      <c r="P59" s="99" t="str">
        <f t="shared" ca="1" si="9"/>
        <v/>
      </c>
      <c r="Q59" s="99" cm="1">
        <f t="array" aca="1" ref="Q59" ca="1">CreateID($Q$3,$Q:$Q,$P59&lt;&gt;"")</f>
        <v>0</v>
      </c>
      <c r="R59" s="99" t="str">
        <f t="shared" ca="1" si="10"/>
        <v/>
      </c>
      <c r="S59" s="99" cm="1">
        <f t="array" aca="1" ref="S59" ca="1">CreateID($S$3,$S:$S,$R59&lt;&gt;"")</f>
        <v>0</v>
      </c>
      <c r="T59" s="99" t="str">
        <f t="shared" ca="1" si="11"/>
        <v/>
      </c>
      <c r="U59" s="99" cm="1">
        <f t="array" aca="1" ref="U59" ca="1">CreateID($U$3,$U:$U,$T59&lt;&gt;"")</f>
        <v>0</v>
      </c>
      <c r="V59" s="99" cm="1">
        <f t="array" aca="1" ref="V59" ca="1">CreateID($V$3,$V:$V,IFERROR(FIND(Definitions!$AR$4,$G59)&gt;0,FALSE))</f>
        <v>0</v>
      </c>
      <c r="W59" s="99">
        <f>_xlfn.LET(
_xlpm._comment,$G59,
_xlpm._keyWord,Definitions!$AR$4,
_xlpm._diffLen,LEN(_xlpm._comment)-LEN(SUBSTITUTE(_xlpm._comment,_xlpm._keyWord,"")),
_xlpm._diffLen/LEN(_xlpm._keyWord))</f>
        <v>0</v>
      </c>
      <c r="X59" s="99" cm="1">
        <f t="array" aca="1" ref="X59" ca="1">CreateID($X$3,$X:$X,IFERROR(FIND(Definitions!$AR$5,$G59)&gt;0,FALSE))</f>
        <v>0</v>
      </c>
      <c r="Y59" s="99">
        <f>_xlfn.LET(
_xlpm._comment,$G59,
_xlpm._keyWord,Definitions!$AR$5,
_xlpm._diffLen,LEN(_xlpm._comment)-LEN(SUBSTITUTE(_xlpm._comment,_xlpm._keyWord,"")),
_xlpm._diffLen/LEN(_xlpm._keyWord))</f>
        <v>0</v>
      </c>
      <c r="Z59" s="99" t="b">
        <f ca="1">OR(IFERROR(_xlfn.XMATCH("*,"&amp;$A59&amp;",*",Assumptions!$AL:$AL,2)&gt;0,FALSE),
IFERROR(_xlfn.XMATCH("*,"&amp;$A59&amp;",*",Countermeasures!$AO:$AO,2)&gt;0,FALSE))</f>
        <v>0</v>
      </c>
      <c r="AA59" s="99" t="str" cm="1">
        <f t="array" aca="1" ref="AA59" ca="1">CreateSearchString($I59)</f>
        <v>,QA20[],</v>
      </c>
      <c r="AB59" s="99" t="str">
        <f>IF($E59="","",IFERROR(VLOOKUP($E59,Definitions!$H:$J,COLUMNS(Definitions!$H:$J),FALSE),""))</f>
        <v/>
      </c>
      <c r="AC59" s="99" t="b" cm="1">
        <f t="array" aca="1" ref="AC59" ca="1">IF($A59="",FALSE,SimpleLookup($A59,Questions!$A:$D)="x")</f>
        <v>1</v>
      </c>
      <c r="AD59" s="99" t="str" cm="1">
        <f t="array" aca="1" ref="AD59" ca="1">IF(OR($A59="",NOT($AC59)),"",SimpleLookup($A59,Questions!$A:$E))</f>
        <v>'[2025-07-30_QuBA_libre.xlsx]Definitions'!$AW$4</v>
      </c>
      <c r="AE59" s="99" cm="1">
        <f t="array" aca="1" ref="AE59" ca="1">IF(OR($A59="",NOT($AC59)),"",SimpleLookup($A59,Questions!$A:$F))</f>
        <v>4</v>
      </c>
      <c r="AF59" s="99" t="str" cm="1">
        <f t="array" aca="1" ref="AF59" ca="1">_xlfn.LET(
_xlpm._answer,$C59,
_xlpm._infoTextFull,IF($AC59,CHAR(10)&amp;SimpleLookup($A59,Questions!$A:$H)&amp;CHAR(10),""),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59" s="99" t="b" cm="1">
        <f t="array" aca="1" ref="AG59" ca="1">IF(OR($A59="",NOT($AC59)),FALSE,_xlfn.LET(
_xlpm._secondAnswerRequiredOn,SimpleLookup($A59,Questions!$A:$I),
_xlpm._firstAnwer,$C59,
IFERROR(FIND(CHAR(10)&amp;_xlpm._firstAnwer&amp;":",CHAR(10)&amp;_xlpm._secondAnswerRequiredOn)&gt;0,FALSE)))</f>
        <v>0</v>
      </c>
      <c r="AH59" s="99" t="str" cm="1">
        <f t="array" aca="1" ref="AH59" ca="1">IF(OR($A59="",NOT($AC59)),"",_xlfn.LET(
_xlpm._id,$A59,
_xlpm._firstAnswer,$C59,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59" s="99" t="str" cm="1">
        <f t="array" aca="1" ref="AI59" ca="1">IF(OR($A59="",NOT($AC59)),"",_xlfn.LET(
_xlpm._id,$A59,
_xlpm._firstAnswer,$C59,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59" s="99" t="str" cm="1">
        <f t="array" aca="1" ref="AJ59" ca="1">IF($AG59,_xlfn.LET(
_xlpm._answer,$E59,
_xlpm._infoTextFull,IF($AC59,CHAR(10)&amp;SimpleLookup($A59,Questions!$A:$L)&amp;CHAR(10),""),
_xlpm._startSelectedByAnswerOne,IF(_xlpm._infoTextFull="",0,FIND("___"&amp;$C59&amp;"___",_xlpm._infoTextFull)+LEN("___"&amp;$C59&amp;"___")),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59" s="99" t="b" cm="1">
        <f t="array" aca="1" ref="AK59" ca="1">IF(OR($A59="",NOT($AC59)),FALSE,SimpleLookup($A59,Questions!$A:$Q))</f>
        <v>0</v>
      </c>
      <c r="AL59" s="99" t="str" cm="1">
        <f t="array" aca="1" ref="AL59" ca="1">IF(AND($A59=Questions!$A$41,IFERROR(SimpleLookup(Questions!$A$36,$A:$E)=Definitions!$O$5,FALSE),$C59=Definitions!$A$5),
Questions!$A$36&amp;" "&amp;Questions!$B$36&amp;CHAR(10)&amp;CHAR(187)&amp;" "&amp;SimpleLookup(Questions!$A$36,$A:$C)&amp;CHAR(10)&amp;SimpleLookup(Questions!$A$36,$A:$D)&amp;CHAR(10)&amp;CHAR(187)&amp;" "&amp;Definitions!$O$5&amp;CHAR(10)&amp;CHAR(10)&amp;
"is incosistent with"&amp;CHAR(10)&amp;CHAR(10)&amp;
$A59&amp;" "&amp;SimpleLookup($A59,Questions!$A:$B)&amp;CHAR(10)&amp;CHAR(187)&amp;" "&amp;$C59,
"")</f>
        <v/>
      </c>
      <c r="AM59" s="99" cm="1">
        <f t="array" aca="1" ref="AM59" ca="1">CreateID($AM$3,$AM:$AM,$AL59&lt;&gt;"")</f>
        <v>0</v>
      </c>
      <c r="AN59" s="99" t="str" cm="1">
        <f t="array" aca="1" ref="AN59" ca="1">IF(OR($C59="",OFFSET($C59,1,0)=""),"",
IF(AND($A59=Questions!$A$59,OFFSET($A59,1,0)=Questions!$A$60,SimpleLookup(Questions!$A$49,$A:$C)=Definitions!$A$4),
IF(MATCH($C59,Definitions!$AW:$AW,0)&gt;MATCH(OFFSET($C59,1,0),Definitions!AW:AW,0),$A59&amp;" "&amp;$K59&amp;": "&amp;$C59&amp;CHAR(10)&amp;"&lt;---&gt;"&amp;CHAR(10)&amp;OFFSET($A59,1,0)&amp;" "&amp;OFFSET($K59,1,0)&amp;": "&amp;OFFSET($C59,1,0),""),
""))</f>
        <v/>
      </c>
      <c r="AO59" s="99" cm="1">
        <f t="array" aca="1" ref="AO59" ca="1">CreateID($AO$3,$AO:$AO,$AN59&lt;&gt;"")</f>
        <v>0</v>
      </c>
    </row>
    <row r="60" spans="1:41" x14ac:dyDescent="0.25">
      <c r="A60" s="96" t="s">
        <v>1273</v>
      </c>
      <c r="B60" s="4" t="str" cm="1">
        <f t="array" aca="1" ref="B60" ca="1">IF($A60="","",CreateIndentedString($K60,Definitions!$T$4,SimpleLookup($A60,Questions!$A:$C)))</f>
        <v>What  is  the  product's  planned  support  duration?</v>
      </c>
      <c r="D60" s="8" t="str">
        <f t="shared" ca="1" si="14"/>
        <v/>
      </c>
      <c r="F60" s="8" t="str">
        <f t="shared" ca="1" si="15"/>
        <v/>
      </c>
      <c r="I60" s="99" t="str">
        <f t="shared" ca="1" si="6"/>
        <v>QA21[]</v>
      </c>
      <c r="J60" s="99" t="str">
        <f t="shared" ca="1" si="7"/>
        <v>QA21[]</v>
      </c>
      <c r="K60" s="99" t="str" cm="1">
        <f t="array" aca="1" ref="K60" ca="1">SimpleLookup($A60,Questions!$A:$B)</f>
        <v>What is the product's planned support duration?</v>
      </c>
      <c r="L60" s="99" cm="1">
        <f t="array" aca="1" ref="L60" ca="1">CreateID($L$3,$L:$L,AND($A60&lt;&gt;"",$AC60))</f>
        <v>39</v>
      </c>
      <c r="M60" s="99" cm="1">
        <f t="array" aca="1" ref="M60" ca="1">CreateTaskID($M$3,$M:$M,Tasks!$B$17,$G60)</f>
        <v>0</v>
      </c>
      <c r="N60" s="99" t="str">
        <f t="shared" ca="1" si="8"/>
        <v>QA21 What is the product's planned support duration?</v>
      </c>
      <c r="O60" s="99" cm="1">
        <f t="array" aca="1" ref="O60" ca="1">CreateID($O$3,$O:$O,$N60&lt;&gt;"")</f>
        <v>39</v>
      </c>
      <c r="P60" s="99" t="str">
        <f t="shared" ca="1" si="9"/>
        <v/>
      </c>
      <c r="Q60" s="99" cm="1">
        <f t="array" aca="1" ref="Q60" ca="1">CreateID($Q$3,$Q:$Q,$P60&lt;&gt;"")</f>
        <v>0</v>
      </c>
      <c r="R60" s="99" t="str">
        <f t="shared" ca="1" si="10"/>
        <v/>
      </c>
      <c r="S60" s="99" cm="1">
        <f t="array" aca="1" ref="S60" ca="1">CreateID($S$3,$S:$S,$R60&lt;&gt;"")</f>
        <v>0</v>
      </c>
      <c r="T60" s="99" t="str">
        <f t="shared" ca="1" si="11"/>
        <v/>
      </c>
      <c r="U60" s="99" cm="1">
        <f t="array" aca="1" ref="U60" ca="1">CreateID($U$3,$U:$U,$T60&lt;&gt;"")</f>
        <v>0</v>
      </c>
      <c r="V60" s="99" cm="1">
        <f t="array" aca="1" ref="V60" ca="1">CreateID($V$3,$V:$V,IFERROR(FIND(Definitions!$AR$4,$G60)&gt;0,FALSE))</f>
        <v>0</v>
      </c>
      <c r="W60" s="99">
        <f>_xlfn.LET(
_xlpm._comment,$G60,
_xlpm._keyWord,Definitions!$AR$4,
_xlpm._diffLen,LEN(_xlpm._comment)-LEN(SUBSTITUTE(_xlpm._comment,_xlpm._keyWord,"")),
_xlpm._diffLen/LEN(_xlpm._keyWord))</f>
        <v>0</v>
      </c>
      <c r="X60" s="99" cm="1">
        <f t="array" aca="1" ref="X60" ca="1">CreateID($X$3,$X:$X,IFERROR(FIND(Definitions!$AR$5,$G60)&gt;0,FALSE))</f>
        <v>0</v>
      </c>
      <c r="Y60" s="99">
        <f>_xlfn.LET(
_xlpm._comment,$G60,
_xlpm._keyWord,Definitions!$AR$5,
_xlpm._diffLen,LEN(_xlpm._comment)-LEN(SUBSTITUTE(_xlpm._comment,_xlpm._keyWord,"")),
_xlpm._diffLen/LEN(_xlpm._keyWord))</f>
        <v>0</v>
      </c>
      <c r="Z60" s="99" t="b">
        <f ca="1">OR(IFERROR(_xlfn.XMATCH("*,"&amp;$A60&amp;",*",Assumptions!$AL:$AL,2)&gt;0,FALSE),
IFERROR(_xlfn.XMATCH("*,"&amp;$A60&amp;",*",Countermeasures!$AO:$AO,2)&gt;0,FALSE))</f>
        <v>0</v>
      </c>
      <c r="AA60" s="99" t="str" cm="1">
        <f t="array" aca="1" ref="AA60" ca="1">CreateSearchString($I60)</f>
        <v>,QA21[],</v>
      </c>
      <c r="AB60" s="99" t="str">
        <f>IF($E60="","",IFERROR(VLOOKUP($E60,Definitions!$H:$J,COLUMNS(Definitions!$H:$J),FALSE),""))</f>
        <v/>
      </c>
      <c r="AC60" s="99" t="b" cm="1">
        <f t="array" aca="1" ref="AC60" ca="1">IF($A60="",FALSE,SimpleLookup($A60,Questions!$A:$D)="x")</f>
        <v>1</v>
      </c>
      <c r="AD60" s="99" t="str" cm="1">
        <f t="array" aca="1" ref="AD60" ca="1">IF(OR($A60="",NOT($AC60)),"",SimpleLookup($A60,Questions!$A:$E))</f>
        <v>'[2025-07-30_QuBA_libre.xlsx]Definitions'!$AW$4</v>
      </c>
      <c r="AE60" s="99" cm="1">
        <f t="array" aca="1" ref="AE60" ca="1">IF(OR($A60="",NOT($AC60)),"",SimpleLookup($A60,Questions!$A:$F))</f>
        <v>4</v>
      </c>
      <c r="AF60" s="99" t="str" cm="1">
        <f t="array" aca="1" ref="AF60" ca="1">_xlfn.LET(
_xlpm._answer,$C60,
_xlpm._infoTextFull,IF($AC60,CHAR(10)&amp;SimpleLookup($A60,Questions!$A:$H)&amp;CHAR(10),""),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60" s="99" t="b" cm="1">
        <f t="array" aca="1" ref="AG60" ca="1">IF(OR($A60="",NOT($AC60)),FALSE,_xlfn.LET(
_xlpm._secondAnswerRequiredOn,SimpleLookup($A60,Questions!$A:$I),
_xlpm._firstAnwer,$C60,
IFERROR(FIND(CHAR(10)&amp;_xlpm._firstAnwer&amp;":",CHAR(10)&amp;_xlpm._secondAnswerRequiredOn)&gt;0,FALSE)))</f>
        <v>0</v>
      </c>
      <c r="AH60" s="99" t="str" cm="1">
        <f t="array" aca="1" ref="AH60" ca="1">IF(OR($A60="",NOT($AC60)),"",_xlfn.LET(
_xlpm._id,$A60,
_xlpm._firstAnswer,$C60,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60" s="99" t="str" cm="1">
        <f t="array" aca="1" ref="AI60" ca="1">IF(OR($A60="",NOT($AC60)),"",_xlfn.LET(
_xlpm._id,$A60,
_xlpm._firstAnswer,$C60,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60" s="99" t="str" cm="1">
        <f t="array" aca="1" ref="AJ60" ca="1">IF($AG60,_xlfn.LET(
_xlpm._answer,$E60,
_xlpm._infoTextFull,IF($AC60,CHAR(10)&amp;SimpleLookup($A60,Questions!$A:$L)&amp;CHAR(10),""),
_xlpm._startSelectedByAnswerOne,IF(_xlpm._infoTextFull="",0,FIND("___"&amp;$C60&amp;"___",_xlpm._infoTextFull)+LEN("___"&amp;$C60&amp;"___")),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60" s="99" t="b" cm="1">
        <f t="array" aca="1" ref="AK60" ca="1">IF(OR($A60="",NOT($AC60)),FALSE,SimpleLookup($A60,Questions!$A:$Q))</f>
        <v>0</v>
      </c>
      <c r="AL60" s="99" t="str" cm="1">
        <f t="array" aca="1" ref="AL60" ca="1">IF(AND($A60=Questions!$A$41,IFERROR(SimpleLookup(Questions!$A$36,$A:$E)=Definitions!$O$5,FALSE),$C60=Definitions!$A$5),
Questions!$A$36&amp;" "&amp;Questions!$B$36&amp;CHAR(10)&amp;CHAR(187)&amp;" "&amp;SimpleLookup(Questions!$A$36,$A:$C)&amp;CHAR(10)&amp;SimpleLookup(Questions!$A$36,$A:$D)&amp;CHAR(10)&amp;CHAR(187)&amp;" "&amp;Definitions!$O$5&amp;CHAR(10)&amp;CHAR(10)&amp;
"is incosistent with"&amp;CHAR(10)&amp;CHAR(10)&amp;
$A60&amp;" "&amp;SimpleLookup($A60,Questions!$A:$B)&amp;CHAR(10)&amp;CHAR(187)&amp;" "&amp;$C60,
"")</f>
        <v/>
      </c>
      <c r="AM60" s="99" cm="1">
        <f t="array" aca="1" ref="AM60" ca="1">CreateID($AM$3,$AM:$AM,$AL60&lt;&gt;"")</f>
        <v>0</v>
      </c>
      <c r="AN60" s="99" t="str" cm="1">
        <f t="array" aca="1" ref="AN60" ca="1">IF(OR($C60="",OFFSET($C60,1,0)=""),"",
IF(AND($A60=Questions!$A$59,OFFSET($A60,1,0)=Questions!$A$60,SimpleLookup(Questions!$A$49,$A:$C)=Definitions!$A$4),
IF(MATCH($C60,Definitions!$AW:$AW,0)&gt;MATCH(OFFSET($C60,1,0),Definitions!AW:AW,0),$A60&amp;" "&amp;$K60&amp;": "&amp;$C60&amp;CHAR(10)&amp;"&lt;---&gt;"&amp;CHAR(10)&amp;OFFSET($A60,1,0)&amp;" "&amp;OFFSET($K60,1,0)&amp;": "&amp;OFFSET($C60,1,0),""),
""))</f>
        <v/>
      </c>
      <c r="AO60" s="99" cm="1">
        <f t="array" aca="1" ref="AO60" ca="1">CreateID($AO$3,$AO:$AO,$AN60&lt;&gt;"")</f>
        <v>0</v>
      </c>
    </row>
    <row r="61" spans="1:41" x14ac:dyDescent="0.25">
      <c r="I61" s="99" t="str">
        <f t="shared" si="6"/>
        <v/>
      </c>
      <c r="J61" s="99" t="str">
        <f t="shared" si="7"/>
        <v/>
      </c>
      <c r="K61" s="99" t="e" cm="1">
        <f t="array" aca="1" ref="K61" ca="1">SimpleLookup($A61,Questions!$A:$B)</f>
        <v>#N/A</v>
      </c>
      <c r="L61" s="99" cm="1">
        <f t="array" aca="1" ref="L61" ca="1">CreateID($L$3,$L:$L,AND($A61&lt;&gt;"",$AC61))</f>
        <v>39</v>
      </c>
      <c r="M61" s="99" cm="1">
        <f t="array" aca="1" ref="M61" ca="1">CreateTaskID($M$3,$M:$M,Tasks!$B$17,$G61)</f>
        <v>0</v>
      </c>
      <c r="N61" s="99" t="str">
        <f t="shared" si="8"/>
        <v/>
      </c>
      <c r="O61" s="99" cm="1">
        <f t="array" aca="1" ref="O61" ca="1">CreateID($O$3,$O:$O,$N61&lt;&gt;"")</f>
        <v>39</v>
      </c>
      <c r="P61" s="99" t="str">
        <f t="shared" si="9"/>
        <v/>
      </c>
      <c r="Q61" s="99" cm="1">
        <f t="array" aca="1" ref="Q61" ca="1">CreateID($Q$3,$Q:$Q,$P61&lt;&gt;"")</f>
        <v>0</v>
      </c>
      <c r="R61" s="99" t="str">
        <f t="shared" si="10"/>
        <v/>
      </c>
      <c r="S61" s="99" cm="1">
        <f t="array" aca="1" ref="S61" ca="1">CreateID($S$3,$S:$S,$R61&lt;&gt;"")</f>
        <v>0</v>
      </c>
      <c r="T61" s="99" t="str">
        <f t="shared" si="11"/>
        <v/>
      </c>
      <c r="U61" s="99" cm="1">
        <f t="array" aca="1" ref="U61" ca="1">CreateID($U$3,$U:$U,$T61&lt;&gt;"")</f>
        <v>0</v>
      </c>
      <c r="V61" s="99" cm="1">
        <f t="array" aca="1" ref="V61" ca="1">CreateID($V$3,$V:$V,IFERROR(FIND(Definitions!$AR$4,$G61)&gt;0,FALSE))</f>
        <v>0</v>
      </c>
      <c r="W61" s="99">
        <f>_xlfn.LET(
_xlpm._comment,$G61,
_xlpm._keyWord,Definitions!$AR$4,
_xlpm._diffLen,LEN(_xlpm._comment)-LEN(SUBSTITUTE(_xlpm._comment,_xlpm._keyWord,"")),
_xlpm._diffLen/LEN(_xlpm._keyWord))</f>
        <v>0</v>
      </c>
      <c r="X61" s="99" cm="1">
        <f t="array" aca="1" ref="X61" ca="1">CreateID($X$3,$X:$X,IFERROR(FIND(Definitions!$AR$5,$G61)&gt;0,FALSE))</f>
        <v>0</v>
      </c>
      <c r="Y61" s="99">
        <f>_xlfn.LET(
_xlpm._comment,$G61,
_xlpm._keyWord,Definitions!$AR$5,
_xlpm._diffLen,LEN(_xlpm._comment)-LEN(SUBSTITUTE(_xlpm._comment,_xlpm._keyWord,"")),
_xlpm._diffLen/LEN(_xlpm._keyWord))</f>
        <v>0</v>
      </c>
      <c r="Z61" s="99" t="b">
        <f ca="1">OR(IFERROR(_xlfn.XMATCH("*,"&amp;$A61&amp;",*",Assumptions!$AL:$AL,2)&gt;0,FALSE),
IFERROR(_xlfn.XMATCH("*,"&amp;$A61&amp;",*",Countermeasures!$AO:$AO,2)&gt;0,FALSE))</f>
        <v>0</v>
      </c>
      <c r="AA61" s="99" t="str" cm="1">
        <f t="array" ref="AA61">CreateSearchString($I61)</f>
        <v/>
      </c>
      <c r="AB61" s="99" t="str">
        <f>IF($E61="","",IFERROR(VLOOKUP($E61,Definitions!$H:$J,COLUMNS(Definitions!$H:$J),FALSE),""))</f>
        <v/>
      </c>
      <c r="AC61" s="99" t="b" cm="1">
        <f t="array" ref="AC61">IF($A61="",FALSE,SimpleLookup($A61,Questions!$A:$D)="x")</f>
        <v>0</v>
      </c>
      <c r="AD61" s="99" t="str" cm="1">
        <f t="array" ref="AD61">IF(OR($A61="",NOT($AC61)),"",SimpleLookup($A61,Questions!$A:$E))</f>
        <v/>
      </c>
      <c r="AE61" s="99" t="str" cm="1">
        <f t="array" ref="AE61">IF(OR($A61="",NOT($AC61)),"",SimpleLookup($A61,Questions!$A:$F))</f>
        <v/>
      </c>
      <c r="AF61" s="99" t="str" cm="1">
        <f t="array" ref="AF61">_xlfn.LET(
_xlpm._answer,$C61,
_xlpm._infoTextFull,IF($AC61,CHAR(10)&amp;SimpleLookup($A61,Questions!$A:$H)&amp;CHAR(10),""),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61" s="99" t="b" cm="1">
        <f t="array" ref="AG61">IF(OR($A61="",NOT($AC61)),FALSE,_xlfn.LET(
_xlpm._secondAnswerRequiredOn,SimpleLookup($A61,Questions!$A:$I),
_xlpm._firstAnwer,$C61,
IFERROR(FIND(CHAR(10)&amp;_xlpm._firstAnwer&amp;":",CHAR(10)&amp;_xlpm._secondAnswerRequiredOn)&gt;0,FALSE)))</f>
        <v>0</v>
      </c>
      <c r="AH61" s="99" t="str" cm="1">
        <f t="array" ref="AH61">IF(OR($A61="",NOT($AC61)),"",_xlfn.LET(
_xlpm._id,$A61,
_xlpm._firstAnswer,$C61,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61" s="99" t="str" cm="1">
        <f t="array" ref="AI61">IF(OR($A61="",NOT($AC61)),"",_xlfn.LET(
_xlpm._id,$A61,
_xlpm._firstAnswer,$C61,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61" s="99" t="str" cm="1">
        <f t="array" ref="AJ61">IF($AG61,_xlfn.LET(
_xlpm._answer,$E61,
_xlpm._infoTextFull,IF($AC61,CHAR(10)&amp;SimpleLookup($A61,Questions!$A:$L)&amp;CHAR(10),""),
_xlpm._startSelectedByAnswerOne,IF(_xlpm._infoTextFull="",0,FIND("___"&amp;$C61&amp;"___",_xlpm._infoTextFull)+LEN("___"&amp;$C61&amp;"___")),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61" s="99" t="b" cm="1">
        <f t="array" ref="AK61">IF(OR($A61="",NOT($AC61)),FALSE,SimpleLookup($A61,Questions!$A:$Q))</f>
        <v>0</v>
      </c>
      <c r="AL61" s="99" t="str" cm="1">
        <f t="array" aca="1" ref="AL61" ca="1">IF(AND($A61=Questions!$A$41,IFERROR(SimpleLookup(Questions!$A$36,$A:$E)=Definitions!$O$5,FALSE),$C61=Definitions!$A$5),
Questions!$A$36&amp;" "&amp;Questions!$B$36&amp;CHAR(10)&amp;CHAR(187)&amp;" "&amp;SimpleLookup(Questions!$A$36,$A:$C)&amp;CHAR(10)&amp;SimpleLookup(Questions!$A$36,$A:$D)&amp;CHAR(10)&amp;CHAR(187)&amp;" "&amp;Definitions!$O$5&amp;CHAR(10)&amp;CHAR(10)&amp;
"is incosistent with"&amp;CHAR(10)&amp;CHAR(10)&amp;
$A61&amp;" "&amp;SimpleLookup($A61,Questions!$A:$B)&amp;CHAR(10)&amp;CHAR(187)&amp;" "&amp;$C61,
"")</f>
        <v/>
      </c>
      <c r="AM61" s="99" cm="1">
        <f t="array" aca="1" ref="AM61" ca="1">CreateID($AM$3,$AM:$AM,$AL61&lt;&gt;"")</f>
        <v>0</v>
      </c>
      <c r="AN61" s="99" t="str" cm="1">
        <f t="array" aca="1" ref="AN61" ca="1">IF(OR($C61="",OFFSET($C61,1,0)=""),"",
IF(AND($A61=Questions!$A$59,OFFSET($A61,1,0)=Questions!$A$60,SimpleLookup(Questions!$A$49,$A:$C)=Definitions!$A$4),
IF(MATCH($C61,Definitions!$AW:$AW,0)&gt;MATCH(OFFSET($C61,1,0),Definitions!AW:AW,0),$A61&amp;" "&amp;$K61&amp;": "&amp;$C61&amp;CHAR(10)&amp;"&lt;---&gt;"&amp;CHAR(10)&amp;OFFSET($A61,1,0)&amp;" "&amp;OFFSET($K61,1,0)&amp;": "&amp;OFFSET($C61,1,0),""),
""))</f>
        <v/>
      </c>
      <c r="AO61" s="99" cm="1">
        <f t="array" aca="1" ref="AO61" ca="1">CreateID($AO$3,$AO:$AO,$AN61&lt;&gt;"")</f>
        <v>0</v>
      </c>
    </row>
    <row r="62" spans="1:41" x14ac:dyDescent="0.25">
      <c r="I62" s="99" t="str">
        <f t="shared" si="6"/>
        <v/>
      </c>
      <c r="J62" s="99" t="str">
        <f t="shared" si="7"/>
        <v/>
      </c>
      <c r="K62" s="99" t="e" cm="1">
        <f t="array" aca="1" ref="K62" ca="1">SimpleLookup($A62,Questions!$A:$B)</f>
        <v>#N/A</v>
      </c>
      <c r="L62" s="99" cm="1">
        <f t="array" aca="1" ref="L62" ca="1">CreateID($L$3,$L:$L,AND($A62&lt;&gt;"",$AC62))</f>
        <v>39</v>
      </c>
      <c r="M62" s="99" cm="1">
        <f t="array" aca="1" ref="M62" ca="1">CreateTaskID($M$3,$M:$M,Tasks!$B$17,$G62)</f>
        <v>0</v>
      </c>
      <c r="N62" s="99" t="str">
        <f t="shared" si="8"/>
        <v/>
      </c>
      <c r="O62" s="99" cm="1">
        <f t="array" aca="1" ref="O62" ca="1">CreateID($O$3,$O:$O,$N62&lt;&gt;"")</f>
        <v>39</v>
      </c>
      <c r="P62" s="99" t="str">
        <f t="shared" si="9"/>
        <v/>
      </c>
      <c r="Q62" s="99" cm="1">
        <f t="array" aca="1" ref="Q62" ca="1">CreateID($Q$3,$Q:$Q,$P62&lt;&gt;"")</f>
        <v>0</v>
      </c>
      <c r="R62" s="99" t="str">
        <f t="shared" si="10"/>
        <v/>
      </c>
      <c r="S62" s="99" cm="1">
        <f t="array" aca="1" ref="S62" ca="1">CreateID($S$3,$S:$S,$R62&lt;&gt;"")</f>
        <v>0</v>
      </c>
      <c r="T62" s="99" t="str">
        <f t="shared" si="11"/>
        <v/>
      </c>
      <c r="U62" s="99" cm="1">
        <f t="array" aca="1" ref="U62" ca="1">CreateID($U$3,$U:$U,$T62&lt;&gt;"")</f>
        <v>0</v>
      </c>
      <c r="V62" s="99" cm="1">
        <f t="array" aca="1" ref="V62" ca="1">CreateID($V$3,$V:$V,IFERROR(FIND(Definitions!$AR$4,$G62)&gt;0,FALSE))</f>
        <v>0</v>
      </c>
      <c r="W62" s="99">
        <f>_xlfn.LET(
_xlpm._comment,$G62,
_xlpm._keyWord,Definitions!$AR$4,
_xlpm._diffLen,LEN(_xlpm._comment)-LEN(SUBSTITUTE(_xlpm._comment,_xlpm._keyWord,"")),
_xlpm._diffLen/LEN(_xlpm._keyWord))</f>
        <v>0</v>
      </c>
      <c r="X62" s="99" cm="1">
        <f t="array" aca="1" ref="X62" ca="1">CreateID($X$3,$X:$X,IFERROR(FIND(Definitions!$AR$5,$G62)&gt;0,FALSE))</f>
        <v>0</v>
      </c>
      <c r="Y62" s="99">
        <f>_xlfn.LET(
_xlpm._comment,$G62,
_xlpm._keyWord,Definitions!$AR$5,
_xlpm._diffLen,LEN(_xlpm._comment)-LEN(SUBSTITUTE(_xlpm._comment,_xlpm._keyWord,"")),
_xlpm._diffLen/LEN(_xlpm._keyWord))</f>
        <v>0</v>
      </c>
      <c r="Z62" s="99" t="b">
        <f ca="1">OR(IFERROR(_xlfn.XMATCH("*,"&amp;$A62&amp;",*",Assumptions!$AL:$AL,2)&gt;0,FALSE),
IFERROR(_xlfn.XMATCH("*,"&amp;$A62&amp;",*",Countermeasures!$AO:$AO,2)&gt;0,FALSE))</f>
        <v>0</v>
      </c>
      <c r="AA62" s="99" t="str" cm="1">
        <f t="array" ref="AA62">CreateSearchString($I62)</f>
        <v/>
      </c>
      <c r="AB62" s="99" t="str">
        <f>IF($E62="","",IFERROR(VLOOKUP($E62,Definitions!$H:$J,COLUMNS(Definitions!$H:$J),FALSE),""))</f>
        <v/>
      </c>
      <c r="AC62" s="99" t="b" cm="1">
        <f t="array" ref="AC62">IF($A62="",FALSE,SimpleLookup($A62,Questions!$A:$D)="x")</f>
        <v>0</v>
      </c>
      <c r="AD62" s="99" t="str" cm="1">
        <f t="array" ref="AD62">IF(OR($A62="",NOT($AC62)),"",SimpleLookup($A62,Questions!$A:$E))</f>
        <v/>
      </c>
      <c r="AE62" s="99" t="str" cm="1">
        <f t="array" ref="AE62">IF(OR($A62="",NOT($AC62)),"",SimpleLookup($A62,Questions!$A:$F))</f>
        <v/>
      </c>
      <c r="AF62" s="99" t="str" cm="1">
        <f t="array" ref="AF62">_xlfn.LET(
_xlpm._answer,$C62,
_xlpm._infoTextFull,IF($AC62,CHAR(10)&amp;SimpleLookup($A62,Questions!$A:$H)&amp;CHAR(10),""),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62" s="99" t="b" cm="1">
        <f t="array" ref="AG62">IF(OR($A62="",NOT($AC62)),FALSE,_xlfn.LET(
_xlpm._secondAnswerRequiredOn,SimpleLookup($A62,Questions!$A:$I),
_xlpm._firstAnwer,$C62,
IFERROR(FIND(CHAR(10)&amp;_xlpm._firstAnwer&amp;":",CHAR(10)&amp;_xlpm._secondAnswerRequiredOn)&gt;0,FALSE)))</f>
        <v>0</v>
      </c>
      <c r="AH62" s="99" t="str" cm="1">
        <f t="array" ref="AH62">IF(OR($A62="",NOT($AC62)),"",_xlfn.LET(
_xlpm._id,$A62,
_xlpm._firstAnswer,$C62,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62" s="99" t="str" cm="1">
        <f t="array" ref="AI62">IF(OR($A62="",NOT($AC62)),"",_xlfn.LET(
_xlpm._id,$A62,
_xlpm._firstAnswer,$C62,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62" s="99" t="str" cm="1">
        <f t="array" ref="AJ62">IF($AG62,_xlfn.LET(
_xlpm._answer,$E62,
_xlpm._infoTextFull,IF($AC62,CHAR(10)&amp;SimpleLookup($A62,Questions!$A:$L)&amp;CHAR(10),""),
_xlpm._startSelectedByAnswerOne,IF(_xlpm._infoTextFull="",0,FIND("___"&amp;$C62&amp;"___",_xlpm._infoTextFull)+LEN("___"&amp;$C62&amp;"___")),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62" s="99" t="b" cm="1">
        <f t="array" ref="AK62">IF(OR($A62="",NOT($AC62)),FALSE,SimpleLookup($A62,Questions!$A:$Q))</f>
        <v>0</v>
      </c>
      <c r="AL62" s="99" t="str" cm="1">
        <f t="array" aca="1" ref="AL62" ca="1">IF(AND($A62=Questions!$A$41,IFERROR(SimpleLookup(Questions!$A$36,$A:$E)=Definitions!$O$5,FALSE),$C62=Definitions!$A$5),
Questions!$A$36&amp;" "&amp;Questions!$B$36&amp;CHAR(10)&amp;CHAR(187)&amp;" "&amp;SimpleLookup(Questions!$A$36,$A:$C)&amp;CHAR(10)&amp;SimpleLookup(Questions!$A$36,$A:$D)&amp;CHAR(10)&amp;CHAR(187)&amp;" "&amp;Definitions!$O$5&amp;CHAR(10)&amp;CHAR(10)&amp;
"is incosistent with"&amp;CHAR(10)&amp;CHAR(10)&amp;
$A62&amp;" "&amp;SimpleLookup($A62,Questions!$A:$B)&amp;CHAR(10)&amp;CHAR(187)&amp;" "&amp;$C62,
"")</f>
        <v/>
      </c>
      <c r="AM62" s="99" cm="1">
        <f t="array" aca="1" ref="AM62" ca="1">CreateID($AM$3,$AM:$AM,$AL62&lt;&gt;"")</f>
        <v>0</v>
      </c>
      <c r="AN62" s="99" t="str" cm="1">
        <f t="array" aca="1" ref="AN62" ca="1">IF(OR($C62="",OFFSET($C62,1,0)=""),"",
IF(AND($A62=Questions!$A$59,OFFSET($A62,1,0)=Questions!$A$60,SimpleLookup(Questions!$A$49,$A:$C)=Definitions!$A$4),
IF(MATCH($C62,Definitions!$AW:$AW,0)&gt;MATCH(OFFSET($C62,1,0),Definitions!AW:AW,0),$A62&amp;" "&amp;$K62&amp;": "&amp;$C62&amp;CHAR(10)&amp;"&lt;---&gt;"&amp;CHAR(10)&amp;OFFSET($A62,1,0)&amp;" "&amp;OFFSET($K62,1,0)&amp;": "&amp;OFFSET($C62,1,0),""),
""))</f>
        <v/>
      </c>
      <c r="AO62" s="99" cm="1">
        <f t="array" aca="1" ref="AO62" ca="1">CreateID($AO$3,$AO:$AO,$AN62&lt;&gt;"")</f>
        <v>0</v>
      </c>
    </row>
    <row r="63" spans="1:41" x14ac:dyDescent="0.25">
      <c r="I63" s="99" t="str">
        <f t="shared" si="6"/>
        <v/>
      </c>
      <c r="J63" s="99" t="str">
        <f t="shared" si="7"/>
        <v/>
      </c>
      <c r="K63" s="99" t="e" cm="1">
        <f t="array" aca="1" ref="K63" ca="1">SimpleLookup($A63,Questions!$A:$B)</f>
        <v>#N/A</v>
      </c>
      <c r="L63" s="99" cm="1">
        <f t="array" aca="1" ref="L63" ca="1">CreateID($L$3,$L:$L,AND($A63&lt;&gt;"",$AC63))</f>
        <v>39</v>
      </c>
      <c r="M63" s="99" cm="1">
        <f t="array" aca="1" ref="M63" ca="1">CreateTaskID($M$3,$M:$M,Tasks!$B$17,$G63)</f>
        <v>0</v>
      </c>
      <c r="N63" s="99" t="str">
        <f t="shared" si="8"/>
        <v/>
      </c>
      <c r="O63" s="99" cm="1">
        <f t="array" aca="1" ref="O63" ca="1">CreateID($O$3,$O:$O,$N63&lt;&gt;"")</f>
        <v>39</v>
      </c>
      <c r="P63" s="99" t="str">
        <f t="shared" si="9"/>
        <v/>
      </c>
      <c r="Q63" s="99" cm="1">
        <f t="array" aca="1" ref="Q63" ca="1">CreateID($Q$3,$Q:$Q,$P63&lt;&gt;"")</f>
        <v>0</v>
      </c>
      <c r="R63" s="99" t="str">
        <f t="shared" si="10"/>
        <v/>
      </c>
      <c r="S63" s="99" cm="1">
        <f t="array" aca="1" ref="S63" ca="1">CreateID($S$3,$S:$S,$R63&lt;&gt;"")</f>
        <v>0</v>
      </c>
      <c r="T63" s="99" t="str">
        <f t="shared" si="11"/>
        <v/>
      </c>
      <c r="U63" s="99" cm="1">
        <f t="array" aca="1" ref="U63" ca="1">CreateID($U$3,$U:$U,$T63&lt;&gt;"")</f>
        <v>0</v>
      </c>
      <c r="V63" s="99" cm="1">
        <f t="array" aca="1" ref="V63" ca="1">CreateID($V$3,$V:$V,IFERROR(FIND(Definitions!$AR$4,$G63)&gt;0,FALSE))</f>
        <v>0</v>
      </c>
      <c r="W63" s="99">
        <f>_xlfn.LET(
_xlpm._comment,$G63,
_xlpm._keyWord,Definitions!$AR$4,
_xlpm._diffLen,LEN(_xlpm._comment)-LEN(SUBSTITUTE(_xlpm._comment,_xlpm._keyWord,"")),
_xlpm._diffLen/LEN(_xlpm._keyWord))</f>
        <v>0</v>
      </c>
      <c r="X63" s="99" cm="1">
        <f t="array" aca="1" ref="X63" ca="1">CreateID($X$3,$X:$X,IFERROR(FIND(Definitions!$AR$5,$G63)&gt;0,FALSE))</f>
        <v>0</v>
      </c>
      <c r="Y63" s="99">
        <f>_xlfn.LET(
_xlpm._comment,$G63,
_xlpm._keyWord,Definitions!$AR$5,
_xlpm._diffLen,LEN(_xlpm._comment)-LEN(SUBSTITUTE(_xlpm._comment,_xlpm._keyWord,"")),
_xlpm._diffLen/LEN(_xlpm._keyWord))</f>
        <v>0</v>
      </c>
      <c r="Z63" s="99" t="b">
        <f ca="1">OR(IFERROR(_xlfn.XMATCH("*,"&amp;$A63&amp;",*",Assumptions!$AL:$AL,2)&gt;0,FALSE),
IFERROR(_xlfn.XMATCH("*,"&amp;$A63&amp;",*",Countermeasures!$AO:$AO,2)&gt;0,FALSE))</f>
        <v>0</v>
      </c>
      <c r="AA63" s="99" t="str" cm="1">
        <f t="array" ref="AA63">CreateSearchString($I63)</f>
        <v/>
      </c>
      <c r="AB63" s="99" t="str">
        <f>IF($E63="","",IFERROR(VLOOKUP($E63,Definitions!$H:$J,COLUMNS(Definitions!$H:$J),FALSE),""))</f>
        <v/>
      </c>
      <c r="AC63" s="99" t="b" cm="1">
        <f t="array" ref="AC63">IF($A63="",FALSE,SimpleLookup($A63,Questions!$A:$D)="x")</f>
        <v>0</v>
      </c>
      <c r="AD63" s="99" t="str" cm="1">
        <f t="array" ref="AD63">IF(OR($A63="",NOT($AC63)),"",SimpleLookup($A63,Questions!$A:$E))</f>
        <v/>
      </c>
      <c r="AE63" s="99" t="str" cm="1">
        <f t="array" ref="AE63">IF(OR($A63="",NOT($AC63)),"",SimpleLookup($A63,Questions!$A:$F))</f>
        <v/>
      </c>
      <c r="AF63" s="99" t="str" cm="1">
        <f t="array" ref="AF63">_xlfn.LET(
_xlpm._answer,$C63,
_xlpm._infoTextFull,IF($AC63,CHAR(10)&amp;SimpleLookup($A63,Questions!$A:$H)&amp;CHAR(10),""),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63" s="99" t="b" cm="1">
        <f t="array" ref="AG63">IF(OR($A63="",NOT($AC63)),FALSE,_xlfn.LET(
_xlpm._secondAnswerRequiredOn,SimpleLookup($A63,Questions!$A:$I),
_xlpm._firstAnwer,$C63,
IFERROR(FIND(CHAR(10)&amp;_xlpm._firstAnwer&amp;":",CHAR(10)&amp;_xlpm._secondAnswerRequiredOn)&gt;0,FALSE)))</f>
        <v>0</v>
      </c>
      <c r="AH63" s="99" t="str" cm="1">
        <f t="array" ref="AH63">IF(OR($A63="",NOT($AC63)),"",_xlfn.LET(
_xlpm._id,$A63,
_xlpm._firstAnswer,$C63,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63" s="99" t="str" cm="1">
        <f t="array" ref="AI63">IF(OR($A63="",NOT($AC63)),"",_xlfn.LET(
_xlpm._id,$A63,
_xlpm._firstAnswer,$C63,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63" s="99" t="str" cm="1">
        <f t="array" ref="AJ63">IF($AG63,_xlfn.LET(
_xlpm._answer,$E63,
_xlpm._infoTextFull,IF($AC63,CHAR(10)&amp;SimpleLookup($A63,Questions!$A:$L)&amp;CHAR(10),""),
_xlpm._startSelectedByAnswerOne,IF(_xlpm._infoTextFull="",0,FIND("___"&amp;$C63&amp;"___",_xlpm._infoTextFull)+LEN("___"&amp;$C63&amp;"___")),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63" s="99" t="b" cm="1">
        <f t="array" ref="AK63">IF(OR($A63="",NOT($AC63)),FALSE,SimpleLookup($A63,Questions!$A:$Q))</f>
        <v>0</v>
      </c>
      <c r="AL63" s="99" t="str" cm="1">
        <f t="array" aca="1" ref="AL63" ca="1">IF(AND($A63=Questions!$A$41,IFERROR(SimpleLookup(Questions!$A$36,$A:$E)=Definitions!$O$5,FALSE),$C63=Definitions!$A$5),
Questions!$A$36&amp;" "&amp;Questions!$B$36&amp;CHAR(10)&amp;CHAR(187)&amp;" "&amp;SimpleLookup(Questions!$A$36,$A:$C)&amp;CHAR(10)&amp;SimpleLookup(Questions!$A$36,$A:$D)&amp;CHAR(10)&amp;CHAR(187)&amp;" "&amp;Definitions!$O$5&amp;CHAR(10)&amp;CHAR(10)&amp;
"is incosistent with"&amp;CHAR(10)&amp;CHAR(10)&amp;
$A63&amp;" "&amp;SimpleLookup($A63,Questions!$A:$B)&amp;CHAR(10)&amp;CHAR(187)&amp;" "&amp;$C63,
"")</f>
        <v/>
      </c>
      <c r="AM63" s="99" cm="1">
        <f t="array" aca="1" ref="AM63" ca="1">CreateID($AM$3,$AM:$AM,$AL63&lt;&gt;"")</f>
        <v>0</v>
      </c>
      <c r="AN63" s="99" t="str" cm="1">
        <f t="array" aca="1" ref="AN63" ca="1">IF(OR($C63="",OFFSET($C63,1,0)=""),"",
IF(AND($A63=Questions!$A$59,OFFSET($A63,1,0)=Questions!$A$60,SimpleLookup(Questions!$A$49,$A:$C)=Definitions!$A$4),
IF(MATCH($C63,Definitions!$AW:$AW,0)&gt;MATCH(OFFSET($C63,1,0),Definitions!AW:AW,0),$A63&amp;" "&amp;$K63&amp;": "&amp;$C63&amp;CHAR(10)&amp;"&lt;---&gt;"&amp;CHAR(10)&amp;OFFSET($A63,1,0)&amp;" "&amp;OFFSET($K63,1,0)&amp;": "&amp;OFFSET($C63,1,0),""),
""))</f>
        <v/>
      </c>
      <c r="AO63" s="99" cm="1">
        <f t="array" aca="1" ref="AO63" ca="1">CreateID($AO$3,$AO:$AO,$AN63&lt;&gt;"")</f>
        <v>0</v>
      </c>
    </row>
    <row r="64" spans="1:41" x14ac:dyDescent="0.25">
      <c r="I64" s="99" t="str">
        <f t="shared" si="6"/>
        <v/>
      </c>
      <c r="J64" s="99" t="str">
        <f t="shared" si="7"/>
        <v/>
      </c>
      <c r="K64" s="99" t="e" cm="1">
        <f t="array" aca="1" ref="K64" ca="1">SimpleLookup($A64,Questions!$A:$B)</f>
        <v>#N/A</v>
      </c>
      <c r="L64" s="99" cm="1">
        <f t="array" aca="1" ref="L64" ca="1">CreateID($L$3,$L:$L,AND($A64&lt;&gt;"",$AC64))</f>
        <v>39</v>
      </c>
      <c r="M64" s="99" cm="1">
        <f t="array" aca="1" ref="M64" ca="1">CreateTaskID($M$3,$M:$M,Tasks!$B$17,$G64)</f>
        <v>0</v>
      </c>
      <c r="N64" s="99" t="str">
        <f t="shared" si="8"/>
        <v/>
      </c>
      <c r="O64" s="99" cm="1">
        <f t="array" aca="1" ref="O64" ca="1">CreateID($O$3,$O:$O,$N64&lt;&gt;"")</f>
        <v>39</v>
      </c>
      <c r="P64" s="99" t="str">
        <f t="shared" si="9"/>
        <v/>
      </c>
      <c r="Q64" s="99" cm="1">
        <f t="array" aca="1" ref="Q64" ca="1">CreateID($Q$3,$Q:$Q,$P64&lt;&gt;"")</f>
        <v>0</v>
      </c>
      <c r="R64" s="99" t="str">
        <f t="shared" si="10"/>
        <v/>
      </c>
      <c r="S64" s="99" cm="1">
        <f t="array" aca="1" ref="S64" ca="1">CreateID($S$3,$S:$S,$R64&lt;&gt;"")</f>
        <v>0</v>
      </c>
      <c r="T64" s="99" t="str">
        <f t="shared" si="11"/>
        <v/>
      </c>
      <c r="U64" s="99" cm="1">
        <f t="array" aca="1" ref="U64" ca="1">CreateID($U$3,$U:$U,$T64&lt;&gt;"")</f>
        <v>0</v>
      </c>
      <c r="V64" s="99" cm="1">
        <f t="array" aca="1" ref="V64" ca="1">CreateID($V$3,$V:$V,IFERROR(FIND(Definitions!$AR$4,$G64)&gt;0,FALSE))</f>
        <v>0</v>
      </c>
      <c r="W64" s="99">
        <f>_xlfn.LET(
_xlpm._comment,$G64,
_xlpm._keyWord,Definitions!$AR$4,
_xlpm._diffLen,LEN(_xlpm._comment)-LEN(SUBSTITUTE(_xlpm._comment,_xlpm._keyWord,"")),
_xlpm._diffLen/LEN(_xlpm._keyWord))</f>
        <v>0</v>
      </c>
      <c r="X64" s="99" cm="1">
        <f t="array" aca="1" ref="X64" ca="1">CreateID($X$3,$X:$X,IFERROR(FIND(Definitions!$AR$5,$G64)&gt;0,FALSE))</f>
        <v>0</v>
      </c>
      <c r="Y64" s="99">
        <f>_xlfn.LET(
_xlpm._comment,$G64,
_xlpm._keyWord,Definitions!$AR$5,
_xlpm._diffLen,LEN(_xlpm._comment)-LEN(SUBSTITUTE(_xlpm._comment,_xlpm._keyWord,"")),
_xlpm._diffLen/LEN(_xlpm._keyWord))</f>
        <v>0</v>
      </c>
      <c r="Z64" s="99" t="b">
        <f ca="1">OR(IFERROR(_xlfn.XMATCH("*,"&amp;$A64&amp;",*",Assumptions!$AL:$AL,2)&gt;0,FALSE),
IFERROR(_xlfn.XMATCH("*,"&amp;$A64&amp;",*",Countermeasures!$AO:$AO,2)&gt;0,FALSE))</f>
        <v>0</v>
      </c>
      <c r="AA64" s="99" t="str" cm="1">
        <f t="array" ref="AA64">CreateSearchString($I64)</f>
        <v/>
      </c>
      <c r="AB64" s="99" t="str">
        <f>IF($E64="","",IFERROR(VLOOKUP($E64,Definitions!$H:$J,COLUMNS(Definitions!$H:$J),FALSE),""))</f>
        <v/>
      </c>
      <c r="AC64" s="99" t="b" cm="1">
        <f t="array" ref="AC64">IF($A64="",FALSE,SimpleLookup($A64,Questions!$A:$D)="x")</f>
        <v>0</v>
      </c>
      <c r="AD64" s="99" t="str" cm="1">
        <f t="array" ref="AD64">IF(OR($A64="",NOT($AC64)),"",SimpleLookup($A64,Questions!$A:$E))</f>
        <v/>
      </c>
      <c r="AE64" s="99" t="str" cm="1">
        <f t="array" ref="AE64">IF(OR($A64="",NOT($AC64)),"",SimpleLookup($A64,Questions!$A:$F))</f>
        <v/>
      </c>
      <c r="AF64" s="99" t="str" cm="1">
        <f t="array" ref="AF64">_xlfn.LET(
_xlpm._answer,$C64,
_xlpm._infoTextFull,IF($AC64,CHAR(10)&amp;SimpleLookup($A64,Questions!$A:$H)&amp;CHAR(10),""),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64" s="99" t="b" cm="1">
        <f t="array" ref="AG64">IF(OR($A64="",NOT($AC64)),FALSE,_xlfn.LET(
_xlpm._secondAnswerRequiredOn,SimpleLookup($A64,Questions!$A:$I),
_xlpm._firstAnwer,$C64,
IFERROR(FIND(CHAR(10)&amp;_xlpm._firstAnwer&amp;":",CHAR(10)&amp;_xlpm._secondAnswerRequiredOn)&gt;0,FALSE)))</f>
        <v>0</v>
      </c>
      <c r="AH64" s="99" t="str" cm="1">
        <f t="array" ref="AH64">IF(OR($A64="",NOT($AC64)),"",_xlfn.LET(
_xlpm._id,$A64,
_xlpm._firstAnswer,$C64,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64" s="99" t="str" cm="1">
        <f t="array" ref="AI64">IF(OR($A64="",NOT($AC64)),"",_xlfn.LET(
_xlpm._id,$A64,
_xlpm._firstAnswer,$C64,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64" s="99" t="str" cm="1">
        <f t="array" ref="AJ64">IF($AG64,_xlfn.LET(
_xlpm._answer,$E64,
_xlpm._infoTextFull,IF($AC64,CHAR(10)&amp;SimpleLookup($A64,Questions!$A:$L)&amp;CHAR(10),""),
_xlpm._startSelectedByAnswerOne,IF(_xlpm._infoTextFull="",0,FIND("___"&amp;$C64&amp;"___",_xlpm._infoTextFull)+LEN("___"&amp;$C64&amp;"___")),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64" s="99" t="b" cm="1">
        <f t="array" ref="AK64">IF(OR($A64="",NOT($AC64)),FALSE,SimpleLookup($A64,Questions!$A:$Q))</f>
        <v>0</v>
      </c>
      <c r="AL64" s="99" t="str" cm="1">
        <f t="array" aca="1" ref="AL64" ca="1">IF(AND($A64=Questions!$A$41,IFERROR(SimpleLookup(Questions!$A$36,$A:$E)=Definitions!$O$5,FALSE),$C64=Definitions!$A$5),
Questions!$A$36&amp;" "&amp;Questions!$B$36&amp;CHAR(10)&amp;CHAR(187)&amp;" "&amp;SimpleLookup(Questions!$A$36,$A:$C)&amp;CHAR(10)&amp;SimpleLookup(Questions!$A$36,$A:$D)&amp;CHAR(10)&amp;CHAR(187)&amp;" "&amp;Definitions!$O$5&amp;CHAR(10)&amp;CHAR(10)&amp;
"is incosistent with"&amp;CHAR(10)&amp;CHAR(10)&amp;
$A64&amp;" "&amp;SimpleLookup($A64,Questions!$A:$B)&amp;CHAR(10)&amp;CHAR(187)&amp;" "&amp;$C64,
"")</f>
        <v/>
      </c>
      <c r="AM64" s="99" cm="1">
        <f t="array" aca="1" ref="AM64" ca="1">CreateID($AM$3,$AM:$AM,$AL64&lt;&gt;"")</f>
        <v>0</v>
      </c>
      <c r="AN64" s="99" t="str" cm="1">
        <f t="array" aca="1" ref="AN64" ca="1">IF(OR($C64="",OFFSET($C64,1,0)=""),"",
IF(AND($A64=Questions!$A$59,OFFSET($A64,1,0)=Questions!$A$60,SimpleLookup(Questions!$A$49,$A:$C)=Definitions!$A$4),
IF(MATCH($C64,Definitions!$AW:$AW,0)&gt;MATCH(OFFSET($C64,1,0),Definitions!AW:AW,0),$A64&amp;" "&amp;$K64&amp;": "&amp;$C64&amp;CHAR(10)&amp;"&lt;---&gt;"&amp;CHAR(10)&amp;OFFSET($A64,1,0)&amp;" "&amp;OFFSET($K64,1,0)&amp;": "&amp;OFFSET($C64,1,0),""),
""))</f>
        <v/>
      </c>
      <c r="AO64" s="99" cm="1">
        <f t="array" aca="1" ref="AO64" ca="1">CreateID($AO$3,$AO:$AO,$AN64&lt;&gt;"")</f>
        <v>0</v>
      </c>
    </row>
    <row r="65" spans="9:41" x14ac:dyDescent="0.25">
      <c r="I65" s="99" t="str">
        <f t="shared" si="6"/>
        <v/>
      </c>
      <c r="J65" s="99" t="str">
        <f t="shared" si="7"/>
        <v/>
      </c>
      <c r="K65" s="99" t="e" cm="1">
        <f t="array" aca="1" ref="K65" ca="1">SimpleLookup($A65,Questions!$A:$B)</f>
        <v>#N/A</v>
      </c>
      <c r="L65" s="99" cm="1">
        <f t="array" aca="1" ref="L65" ca="1">CreateID($L$3,$L:$L,AND($A65&lt;&gt;"",$AC65))</f>
        <v>39</v>
      </c>
      <c r="M65" s="99" cm="1">
        <f t="array" aca="1" ref="M65" ca="1">CreateTaskID($M$3,$M:$M,Tasks!$B$17,$G65)</f>
        <v>0</v>
      </c>
      <c r="N65" s="99" t="str">
        <f t="shared" si="8"/>
        <v/>
      </c>
      <c r="O65" s="99" cm="1">
        <f t="array" aca="1" ref="O65" ca="1">CreateID($O$3,$O:$O,$N65&lt;&gt;"")</f>
        <v>39</v>
      </c>
      <c r="P65" s="99" t="str">
        <f t="shared" si="9"/>
        <v/>
      </c>
      <c r="Q65" s="99" cm="1">
        <f t="array" aca="1" ref="Q65" ca="1">CreateID($Q$3,$Q:$Q,$P65&lt;&gt;"")</f>
        <v>0</v>
      </c>
      <c r="R65" s="99" t="str">
        <f t="shared" si="10"/>
        <v/>
      </c>
      <c r="S65" s="99" cm="1">
        <f t="array" aca="1" ref="S65" ca="1">CreateID($S$3,$S:$S,$R65&lt;&gt;"")</f>
        <v>0</v>
      </c>
      <c r="T65" s="99" t="str">
        <f t="shared" si="11"/>
        <v/>
      </c>
      <c r="U65" s="99" cm="1">
        <f t="array" aca="1" ref="U65" ca="1">CreateID($U$3,$U:$U,$T65&lt;&gt;"")</f>
        <v>0</v>
      </c>
      <c r="V65" s="99" cm="1">
        <f t="array" aca="1" ref="V65" ca="1">CreateID($V$3,$V:$V,IFERROR(FIND(Definitions!$AR$4,$G65)&gt;0,FALSE))</f>
        <v>0</v>
      </c>
      <c r="W65" s="99">
        <f>_xlfn.LET(
_xlpm._comment,$G65,
_xlpm._keyWord,Definitions!$AR$4,
_xlpm._diffLen,LEN(_xlpm._comment)-LEN(SUBSTITUTE(_xlpm._comment,_xlpm._keyWord,"")),
_xlpm._diffLen/LEN(_xlpm._keyWord))</f>
        <v>0</v>
      </c>
      <c r="X65" s="99" cm="1">
        <f t="array" aca="1" ref="X65" ca="1">CreateID($X$3,$X:$X,IFERROR(FIND(Definitions!$AR$5,$G65)&gt;0,FALSE))</f>
        <v>0</v>
      </c>
      <c r="Y65" s="99">
        <f>_xlfn.LET(
_xlpm._comment,$G65,
_xlpm._keyWord,Definitions!$AR$5,
_xlpm._diffLen,LEN(_xlpm._comment)-LEN(SUBSTITUTE(_xlpm._comment,_xlpm._keyWord,"")),
_xlpm._diffLen/LEN(_xlpm._keyWord))</f>
        <v>0</v>
      </c>
      <c r="Z65" s="99" t="b">
        <f ca="1">OR(IFERROR(_xlfn.XMATCH("*,"&amp;$A65&amp;",*",Assumptions!$AL:$AL,2)&gt;0,FALSE),
IFERROR(_xlfn.XMATCH("*,"&amp;$A65&amp;",*",Countermeasures!$AO:$AO,2)&gt;0,FALSE))</f>
        <v>0</v>
      </c>
      <c r="AA65" s="99" t="str" cm="1">
        <f t="array" ref="AA65">CreateSearchString($I65)</f>
        <v/>
      </c>
      <c r="AB65" s="99" t="str">
        <f>IF($E65="","",IFERROR(VLOOKUP($E65,Definitions!$H:$J,COLUMNS(Definitions!$H:$J),FALSE),""))</f>
        <v/>
      </c>
      <c r="AC65" s="99" t="b" cm="1">
        <f t="array" ref="AC65">IF($A65="",FALSE,SimpleLookup($A65,Questions!$A:$D)="x")</f>
        <v>0</v>
      </c>
      <c r="AD65" s="99" t="str" cm="1">
        <f t="array" ref="AD65">IF(OR($A65="",NOT($AC65)),"",SimpleLookup($A65,Questions!$A:$E))</f>
        <v/>
      </c>
      <c r="AE65" s="99" t="str" cm="1">
        <f t="array" ref="AE65">IF(OR($A65="",NOT($AC65)),"",SimpleLookup($A65,Questions!$A:$F))</f>
        <v/>
      </c>
      <c r="AF65" s="99" t="str" cm="1">
        <f t="array" ref="AF65">_xlfn.LET(
_xlpm._answer,$C65,
_xlpm._infoTextFull,IF($AC65,CHAR(10)&amp;SimpleLookup($A65,Questions!$A:$H)&amp;CHAR(10),""),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65" s="99" t="b" cm="1">
        <f t="array" ref="AG65">IF(OR($A65="",NOT($AC65)),FALSE,_xlfn.LET(
_xlpm._secondAnswerRequiredOn,SimpleLookup($A65,Questions!$A:$I),
_xlpm._firstAnwer,$C65,
IFERROR(FIND(CHAR(10)&amp;_xlpm._firstAnwer&amp;":",CHAR(10)&amp;_xlpm._secondAnswerRequiredOn)&gt;0,FALSE)))</f>
        <v>0</v>
      </c>
      <c r="AH65" s="99" t="str" cm="1">
        <f t="array" ref="AH65">IF(OR($A65="",NOT($AC65)),"",_xlfn.LET(
_xlpm._id,$A65,
_xlpm._firstAnswer,$C65,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65" s="99" t="str" cm="1">
        <f t="array" ref="AI65">IF(OR($A65="",NOT($AC65)),"",_xlfn.LET(
_xlpm._id,$A65,
_xlpm._firstAnswer,$C65,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65" s="99" t="str" cm="1">
        <f t="array" ref="AJ65">IF($AG65,_xlfn.LET(
_xlpm._answer,$E65,
_xlpm._infoTextFull,IF($AC65,CHAR(10)&amp;SimpleLookup($A65,Questions!$A:$L)&amp;CHAR(10),""),
_xlpm._startSelectedByAnswerOne,IF(_xlpm._infoTextFull="",0,FIND("___"&amp;$C65&amp;"___",_xlpm._infoTextFull)+LEN("___"&amp;$C65&amp;"___")),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65" s="99" t="b" cm="1">
        <f t="array" ref="AK65">IF(OR($A65="",NOT($AC65)),FALSE,SimpleLookup($A65,Questions!$A:$Q))</f>
        <v>0</v>
      </c>
      <c r="AL65" s="99" t="str" cm="1">
        <f t="array" aca="1" ref="AL65" ca="1">IF(AND($A65=Questions!$A$41,IFERROR(SimpleLookup(Questions!$A$36,$A:$E)=Definitions!$O$5,FALSE),$C65=Definitions!$A$5),
Questions!$A$36&amp;" "&amp;Questions!$B$36&amp;CHAR(10)&amp;CHAR(187)&amp;" "&amp;SimpleLookup(Questions!$A$36,$A:$C)&amp;CHAR(10)&amp;SimpleLookup(Questions!$A$36,$A:$D)&amp;CHAR(10)&amp;CHAR(187)&amp;" "&amp;Definitions!$O$5&amp;CHAR(10)&amp;CHAR(10)&amp;
"is incosistent with"&amp;CHAR(10)&amp;CHAR(10)&amp;
$A65&amp;" "&amp;SimpleLookup($A65,Questions!$A:$B)&amp;CHAR(10)&amp;CHAR(187)&amp;" "&amp;$C65,
"")</f>
        <v/>
      </c>
      <c r="AM65" s="99" cm="1">
        <f t="array" aca="1" ref="AM65" ca="1">CreateID($AM$3,$AM:$AM,$AL65&lt;&gt;"")</f>
        <v>0</v>
      </c>
      <c r="AN65" s="99" t="str" cm="1">
        <f t="array" aca="1" ref="AN65" ca="1">IF(OR($C65="",OFFSET($C65,1,0)=""),"",
IF(AND($A65=Questions!$A$59,OFFSET($A65,1,0)=Questions!$A$60,SimpleLookup(Questions!$A$49,$A:$C)=Definitions!$A$4),
IF(MATCH($C65,Definitions!$AW:$AW,0)&gt;MATCH(OFFSET($C65,1,0),Definitions!AW:AW,0),$A65&amp;" "&amp;$K65&amp;": "&amp;$C65&amp;CHAR(10)&amp;"&lt;---&gt;"&amp;CHAR(10)&amp;OFFSET($A65,1,0)&amp;" "&amp;OFFSET($K65,1,0)&amp;": "&amp;OFFSET($C65,1,0),""),
""))</f>
        <v/>
      </c>
      <c r="AO65" s="99" cm="1">
        <f t="array" aca="1" ref="AO65" ca="1">CreateID($AO$3,$AO:$AO,$AN65&lt;&gt;"")</f>
        <v>0</v>
      </c>
    </row>
    <row r="66" spans="9:41" x14ac:dyDescent="0.25">
      <c r="I66" s="99" t="str">
        <f t="shared" si="6"/>
        <v/>
      </c>
      <c r="J66" s="99" t="str">
        <f t="shared" si="7"/>
        <v/>
      </c>
      <c r="K66" s="99" t="e" cm="1">
        <f t="array" aca="1" ref="K66" ca="1">SimpleLookup($A66,Questions!$A:$B)</f>
        <v>#N/A</v>
      </c>
      <c r="L66" s="99" cm="1">
        <f t="array" aca="1" ref="L66" ca="1">CreateID($L$3,$L:$L,AND($A66&lt;&gt;"",$AC66))</f>
        <v>39</v>
      </c>
      <c r="M66" s="99" cm="1">
        <f t="array" aca="1" ref="M66" ca="1">CreateTaskID($M$3,$M:$M,Tasks!$B$17,$G66)</f>
        <v>0</v>
      </c>
      <c r="N66" s="99" t="str">
        <f t="shared" si="8"/>
        <v/>
      </c>
      <c r="O66" s="99" cm="1">
        <f t="array" aca="1" ref="O66" ca="1">CreateID($O$3,$O:$O,$N66&lt;&gt;"")</f>
        <v>39</v>
      </c>
      <c r="P66" s="99" t="str">
        <f t="shared" si="9"/>
        <v/>
      </c>
      <c r="Q66" s="99" cm="1">
        <f t="array" aca="1" ref="Q66" ca="1">CreateID($Q$3,$Q:$Q,$P66&lt;&gt;"")</f>
        <v>0</v>
      </c>
      <c r="R66" s="99" t="str">
        <f t="shared" si="10"/>
        <v/>
      </c>
      <c r="S66" s="99" cm="1">
        <f t="array" aca="1" ref="S66" ca="1">CreateID($S$3,$S:$S,$R66&lt;&gt;"")</f>
        <v>0</v>
      </c>
      <c r="T66" s="99" t="str">
        <f t="shared" si="11"/>
        <v/>
      </c>
      <c r="U66" s="99" cm="1">
        <f t="array" aca="1" ref="U66" ca="1">CreateID($U$3,$U:$U,$T66&lt;&gt;"")</f>
        <v>0</v>
      </c>
      <c r="V66" s="99" cm="1">
        <f t="array" aca="1" ref="V66" ca="1">CreateID($V$3,$V:$V,IFERROR(FIND(Definitions!$AR$4,$G66)&gt;0,FALSE))</f>
        <v>0</v>
      </c>
      <c r="W66" s="99">
        <f>_xlfn.LET(
_xlpm._comment,$G66,
_xlpm._keyWord,Definitions!$AR$4,
_xlpm._diffLen,LEN(_xlpm._comment)-LEN(SUBSTITUTE(_xlpm._comment,_xlpm._keyWord,"")),
_xlpm._diffLen/LEN(_xlpm._keyWord))</f>
        <v>0</v>
      </c>
      <c r="X66" s="99" cm="1">
        <f t="array" aca="1" ref="X66" ca="1">CreateID($X$3,$X:$X,IFERROR(FIND(Definitions!$AR$5,$G66)&gt;0,FALSE))</f>
        <v>0</v>
      </c>
      <c r="Y66" s="99">
        <f>_xlfn.LET(
_xlpm._comment,$G66,
_xlpm._keyWord,Definitions!$AR$5,
_xlpm._diffLen,LEN(_xlpm._comment)-LEN(SUBSTITUTE(_xlpm._comment,_xlpm._keyWord,"")),
_xlpm._diffLen/LEN(_xlpm._keyWord))</f>
        <v>0</v>
      </c>
      <c r="Z66" s="99" t="b">
        <f ca="1">OR(IFERROR(_xlfn.XMATCH("*,"&amp;$A66&amp;",*",Assumptions!$AL:$AL,2)&gt;0,FALSE),
IFERROR(_xlfn.XMATCH("*,"&amp;$A66&amp;",*",Countermeasures!$AO:$AO,2)&gt;0,FALSE))</f>
        <v>0</v>
      </c>
      <c r="AA66" s="99" t="str" cm="1">
        <f t="array" ref="AA66">CreateSearchString($I66)</f>
        <v/>
      </c>
      <c r="AB66" s="99" t="str">
        <f>IF($E66="","",IFERROR(VLOOKUP($E66,Definitions!$H:$J,COLUMNS(Definitions!$H:$J),FALSE),""))</f>
        <v/>
      </c>
      <c r="AC66" s="99" t="b" cm="1">
        <f t="array" ref="AC66">IF($A66="",FALSE,SimpleLookup($A66,Questions!$A:$D)="x")</f>
        <v>0</v>
      </c>
      <c r="AD66" s="99" t="str" cm="1">
        <f t="array" ref="AD66">IF(OR($A66="",NOT($AC66)),"",SimpleLookup($A66,Questions!$A:$E))</f>
        <v/>
      </c>
      <c r="AE66" s="99" t="str" cm="1">
        <f t="array" ref="AE66">IF(OR($A66="",NOT($AC66)),"",SimpleLookup($A66,Questions!$A:$F))</f>
        <v/>
      </c>
      <c r="AF66" s="99" t="str" cm="1">
        <f t="array" ref="AF66">_xlfn.LET(
_xlpm._answer,$C66,
_xlpm._infoTextFull,IF($AC66,CHAR(10)&amp;SimpleLookup($A66,Questions!$A:$H)&amp;CHAR(10),""),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66" s="99" t="b" cm="1">
        <f t="array" ref="AG66">IF(OR($A66="",NOT($AC66)),FALSE,_xlfn.LET(
_xlpm._secondAnswerRequiredOn,SimpleLookup($A66,Questions!$A:$I),
_xlpm._firstAnwer,$C66,
IFERROR(FIND(CHAR(10)&amp;_xlpm._firstAnwer&amp;":",CHAR(10)&amp;_xlpm._secondAnswerRequiredOn)&gt;0,FALSE)))</f>
        <v>0</v>
      </c>
      <c r="AH66" s="99" t="str" cm="1">
        <f t="array" ref="AH66">IF(OR($A66="",NOT($AC66)),"",_xlfn.LET(
_xlpm._id,$A66,
_xlpm._firstAnswer,$C66,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66" s="99" t="str" cm="1">
        <f t="array" ref="AI66">IF(OR($A66="",NOT($AC66)),"",_xlfn.LET(
_xlpm._id,$A66,
_xlpm._firstAnswer,$C66,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66" s="99" t="str" cm="1">
        <f t="array" ref="AJ66">IF($AG66,_xlfn.LET(
_xlpm._answer,$E66,
_xlpm._infoTextFull,IF($AC66,CHAR(10)&amp;SimpleLookup($A66,Questions!$A:$L)&amp;CHAR(10),""),
_xlpm._startSelectedByAnswerOne,IF(_xlpm._infoTextFull="",0,FIND("___"&amp;$C66&amp;"___",_xlpm._infoTextFull)+LEN("___"&amp;$C66&amp;"___")),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66" s="99" t="b" cm="1">
        <f t="array" ref="AK66">IF(OR($A66="",NOT($AC66)),FALSE,SimpleLookup($A66,Questions!$A:$Q))</f>
        <v>0</v>
      </c>
      <c r="AL66" s="99" t="str" cm="1">
        <f t="array" aca="1" ref="AL66" ca="1">IF(AND($A66=Questions!$A$41,IFERROR(SimpleLookup(Questions!$A$36,$A:$E)=Definitions!$O$5,FALSE),$C66=Definitions!$A$5),
Questions!$A$36&amp;" "&amp;Questions!$B$36&amp;CHAR(10)&amp;CHAR(187)&amp;" "&amp;SimpleLookup(Questions!$A$36,$A:$C)&amp;CHAR(10)&amp;SimpleLookup(Questions!$A$36,$A:$D)&amp;CHAR(10)&amp;CHAR(187)&amp;" "&amp;Definitions!$O$5&amp;CHAR(10)&amp;CHAR(10)&amp;
"is incosistent with"&amp;CHAR(10)&amp;CHAR(10)&amp;
$A66&amp;" "&amp;SimpleLookup($A66,Questions!$A:$B)&amp;CHAR(10)&amp;CHAR(187)&amp;" "&amp;$C66,
"")</f>
        <v/>
      </c>
      <c r="AM66" s="99" cm="1">
        <f t="array" aca="1" ref="AM66" ca="1">CreateID($AM$3,$AM:$AM,$AL66&lt;&gt;"")</f>
        <v>0</v>
      </c>
      <c r="AN66" s="99" t="str" cm="1">
        <f t="array" aca="1" ref="AN66" ca="1">IF(OR($C66="",OFFSET($C66,1,0)=""),"",
IF(AND($A66=Questions!$A$59,OFFSET($A66,1,0)=Questions!$A$60,SimpleLookup(Questions!$A$49,$A:$C)=Definitions!$A$4),
IF(MATCH($C66,Definitions!$AW:$AW,0)&gt;MATCH(OFFSET($C66,1,0),Definitions!AW:AW,0),$A66&amp;" "&amp;$K66&amp;": "&amp;$C66&amp;CHAR(10)&amp;"&lt;---&gt;"&amp;CHAR(10)&amp;OFFSET($A66,1,0)&amp;" "&amp;OFFSET($K66,1,0)&amp;": "&amp;OFFSET($C66,1,0),""),
""))</f>
        <v/>
      </c>
      <c r="AO66" s="99" cm="1">
        <f t="array" aca="1" ref="AO66" ca="1">CreateID($AO$3,$AO:$AO,$AN66&lt;&gt;"")</f>
        <v>0</v>
      </c>
    </row>
    <row r="67" spans="9:41" x14ac:dyDescent="0.25">
      <c r="I67" s="99" t="str">
        <f t="shared" si="6"/>
        <v/>
      </c>
      <c r="J67" s="99" t="str">
        <f t="shared" si="7"/>
        <v/>
      </c>
      <c r="K67" s="99" t="e" cm="1">
        <f t="array" aca="1" ref="K67" ca="1">SimpleLookup($A67,Questions!$A:$B)</f>
        <v>#N/A</v>
      </c>
      <c r="L67" s="99" cm="1">
        <f t="array" aca="1" ref="L67" ca="1">CreateID($L$3,$L:$L,AND($A67&lt;&gt;"",$AC67))</f>
        <v>39</v>
      </c>
      <c r="M67" s="99" cm="1">
        <f t="array" aca="1" ref="M67" ca="1">CreateTaskID($M$3,$M:$M,Tasks!$B$17,$G67)</f>
        <v>0</v>
      </c>
      <c r="N67" s="99" t="str">
        <f t="shared" si="8"/>
        <v/>
      </c>
      <c r="O67" s="99" cm="1">
        <f t="array" aca="1" ref="O67" ca="1">CreateID($O$3,$O:$O,$N67&lt;&gt;"")</f>
        <v>39</v>
      </c>
      <c r="P67" s="99" t="str">
        <f t="shared" si="9"/>
        <v/>
      </c>
      <c r="Q67" s="99" cm="1">
        <f t="array" aca="1" ref="Q67" ca="1">CreateID($Q$3,$Q:$Q,$P67&lt;&gt;"")</f>
        <v>0</v>
      </c>
      <c r="R67" s="99" t="str">
        <f t="shared" si="10"/>
        <v/>
      </c>
      <c r="S67" s="99" cm="1">
        <f t="array" aca="1" ref="S67" ca="1">CreateID($S$3,$S:$S,$R67&lt;&gt;"")</f>
        <v>0</v>
      </c>
      <c r="T67" s="99" t="str">
        <f t="shared" si="11"/>
        <v/>
      </c>
      <c r="U67" s="99" cm="1">
        <f t="array" aca="1" ref="U67" ca="1">CreateID($U$3,$U:$U,$T67&lt;&gt;"")</f>
        <v>0</v>
      </c>
      <c r="V67" s="99" cm="1">
        <f t="array" aca="1" ref="V67" ca="1">CreateID($V$3,$V:$V,IFERROR(FIND(Definitions!$AR$4,$G67)&gt;0,FALSE))</f>
        <v>0</v>
      </c>
      <c r="W67" s="99">
        <f>_xlfn.LET(
_xlpm._comment,$G67,
_xlpm._keyWord,Definitions!$AR$4,
_xlpm._diffLen,LEN(_xlpm._comment)-LEN(SUBSTITUTE(_xlpm._comment,_xlpm._keyWord,"")),
_xlpm._diffLen/LEN(_xlpm._keyWord))</f>
        <v>0</v>
      </c>
      <c r="X67" s="99" cm="1">
        <f t="array" aca="1" ref="X67" ca="1">CreateID($X$3,$X:$X,IFERROR(FIND(Definitions!$AR$5,$G67)&gt;0,FALSE))</f>
        <v>0</v>
      </c>
      <c r="Y67" s="99">
        <f>_xlfn.LET(
_xlpm._comment,$G67,
_xlpm._keyWord,Definitions!$AR$5,
_xlpm._diffLen,LEN(_xlpm._comment)-LEN(SUBSTITUTE(_xlpm._comment,_xlpm._keyWord,"")),
_xlpm._diffLen/LEN(_xlpm._keyWord))</f>
        <v>0</v>
      </c>
      <c r="Z67" s="99" t="b">
        <f ca="1">OR(IFERROR(_xlfn.XMATCH("*,"&amp;$A67&amp;",*",Assumptions!$AL:$AL,2)&gt;0,FALSE),
IFERROR(_xlfn.XMATCH("*,"&amp;$A67&amp;",*",Countermeasures!$AO:$AO,2)&gt;0,FALSE))</f>
        <v>0</v>
      </c>
      <c r="AA67" s="99" t="str" cm="1">
        <f t="array" ref="AA67">CreateSearchString($I67)</f>
        <v/>
      </c>
      <c r="AB67" s="99" t="str">
        <f>IF($E67="","",IFERROR(VLOOKUP($E67,Definitions!$H:$J,COLUMNS(Definitions!$H:$J),FALSE),""))</f>
        <v/>
      </c>
      <c r="AC67" s="99" t="b" cm="1">
        <f t="array" ref="AC67">IF($A67="",FALSE,SimpleLookup($A67,Questions!$A:$D)="x")</f>
        <v>0</v>
      </c>
      <c r="AD67" s="99" t="str" cm="1">
        <f t="array" ref="AD67">IF(OR($A67="",NOT($AC67)),"",SimpleLookup($A67,Questions!$A:$E))</f>
        <v/>
      </c>
      <c r="AE67" s="99" t="str" cm="1">
        <f t="array" ref="AE67">IF(OR($A67="",NOT($AC67)),"",SimpleLookup($A67,Questions!$A:$F))</f>
        <v/>
      </c>
      <c r="AF67" s="99" t="str" cm="1">
        <f t="array" ref="AF67">_xlfn.LET(
_xlpm._answer,$C67,
_xlpm._infoTextFull,IF($AC67,CHAR(10)&amp;SimpleLookup($A67,Questions!$A:$H)&amp;CHAR(10),""),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67" s="99" t="b" cm="1">
        <f t="array" ref="AG67">IF(OR($A67="",NOT($AC67)),FALSE,_xlfn.LET(
_xlpm._secondAnswerRequiredOn,SimpleLookup($A67,Questions!$A:$I),
_xlpm._firstAnwer,$C67,
IFERROR(FIND(CHAR(10)&amp;_xlpm._firstAnwer&amp;":",CHAR(10)&amp;_xlpm._secondAnswerRequiredOn)&gt;0,FALSE)))</f>
        <v>0</v>
      </c>
      <c r="AH67" s="99" t="str" cm="1">
        <f t="array" ref="AH67">IF(OR($A67="",NOT($AC67)),"",_xlfn.LET(
_xlpm._id,$A67,
_xlpm._firstAnswer,$C67,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67" s="99" t="str" cm="1">
        <f t="array" ref="AI67">IF(OR($A67="",NOT($AC67)),"",_xlfn.LET(
_xlpm._id,$A67,
_xlpm._firstAnswer,$C67,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67" s="99" t="str" cm="1">
        <f t="array" ref="AJ67">IF($AG67,_xlfn.LET(
_xlpm._answer,$E67,
_xlpm._infoTextFull,IF($AC67,CHAR(10)&amp;SimpleLookup($A67,Questions!$A:$L)&amp;CHAR(10),""),
_xlpm._startSelectedByAnswerOne,IF(_xlpm._infoTextFull="",0,FIND("___"&amp;$C67&amp;"___",_xlpm._infoTextFull)+LEN("___"&amp;$C67&amp;"___")),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67" s="99" t="b" cm="1">
        <f t="array" ref="AK67">IF(OR($A67="",NOT($AC67)),FALSE,SimpleLookup($A67,Questions!$A:$Q))</f>
        <v>0</v>
      </c>
      <c r="AL67" s="99" t="str" cm="1">
        <f t="array" aca="1" ref="AL67" ca="1">IF(AND($A67=Questions!$A$41,IFERROR(SimpleLookup(Questions!$A$36,$A:$E)=Definitions!$O$5,FALSE),$C67=Definitions!$A$5),
Questions!$A$36&amp;" "&amp;Questions!$B$36&amp;CHAR(10)&amp;CHAR(187)&amp;" "&amp;SimpleLookup(Questions!$A$36,$A:$C)&amp;CHAR(10)&amp;SimpleLookup(Questions!$A$36,$A:$D)&amp;CHAR(10)&amp;CHAR(187)&amp;" "&amp;Definitions!$O$5&amp;CHAR(10)&amp;CHAR(10)&amp;
"is incosistent with"&amp;CHAR(10)&amp;CHAR(10)&amp;
$A67&amp;" "&amp;SimpleLookup($A67,Questions!$A:$B)&amp;CHAR(10)&amp;CHAR(187)&amp;" "&amp;$C67,
"")</f>
        <v/>
      </c>
      <c r="AM67" s="99" cm="1">
        <f t="array" aca="1" ref="AM67" ca="1">CreateID($AM$3,$AM:$AM,$AL67&lt;&gt;"")</f>
        <v>0</v>
      </c>
      <c r="AN67" s="99" t="str" cm="1">
        <f t="array" aca="1" ref="AN67" ca="1">IF(OR($C67="",OFFSET($C67,1,0)=""),"",
IF(AND($A67=Questions!$A$59,OFFSET($A67,1,0)=Questions!$A$60,SimpleLookup(Questions!$A$49,$A:$C)=Definitions!$A$4),
IF(MATCH($C67,Definitions!$AW:$AW,0)&gt;MATCH(OFFSET($C67,1,0),Definitions!AW:AW,0),$A67&amp;" "&amp;$K67&amp;": "&amp;$C67&amp;CHAR(10)&amp;"&lt;---&gt;"&amp;CHAR(10)&amp;OFFSET($A67,1,0)&amp;" "&amp;OFFSET($K67,1,0)&amp;": "&amp;OFFSET($C67,1,0),""),
""))</f>
        <v/>
      </c>
      <c r="AO67" s="99" cm="1">
        <f t="array" aca="1" ref="AO67" ca="1">CreateID($AO$3,$AO:$AO,$AN67&lt;&gt;"")</f>
        <v>0</v>
      </c>
    </row>
    <row r="68" spans="9:41" x14ac:dyDescent="0.25">
      <c r="I68" s="99" t="str">
        <f t="shared" si="6"/>
        <v/>
      </c>
      <c r="J68" s="99" t="str">
        <f t="shared" si="7"/>
        <v/>
      </c>
      <c r="K68" s="99" t="e" cm="1">
        <f t="array" aca="1" ref="K68" ca="1">SimpleLookup($A68,Questions!$A:$B)</f>
        <v>#N/A</v>
      </c>
      <c r="L68" s="99" cm="1">
        <f t="array" aca="1" ref="L68" ca="1">CreateID($L$3,$L:$L,AND($A68&lt;&gt;"",$AC68))</f>
        <v>39</v>
      </c>
      <c r="M68" s="99" cm="1">
        <f t="array" aca="1" ref="M68" ca="1">CreateTaskID($M$3,$M:$M,Tasks!$B$17,$G68)</f>
        <v>0</v>
      </c>
      <c r="N68" s="99" t="str">
        <f t="shared" ref="N68:N103" si="16">IF($AC68,IF(AND($A68&lt;&gt;"",$C68="",$AK68=FALSE),$A68&amp;" "&amp;$K68,""),"")</f>
        <v/>
      </c>
      <c r="O68" s="99" cm="1">
        <f t="array" aca="1" ref="O68" ca="1">CreateID($O$3,$O:$O,$N68&lt;&gt;"")</f>
        <v>39</v>
      </c>
      <c r="P68" s="99" t="str">
        <f t="shared" si="9"/>
        <v/>
      </c>
      <c r="Q68" s="99" cm="1">
        <f t="array" aca="1" ref="Q68" ca="1">CreateID($Q$3,$Q:$Q,$P68&lt;&gt;"")</f>
        <v>0</v>
      </c>
      <c r="R68" s="99" t="str">
        <f t="shared" si="10"/>
        <v/>
      </c>
      <c r="S68" s="99" cm="1">
        <f t="array" aca="1" ref="S68" ca="1">CreateID($S$3,$S:$S,$R68&lt;&gt;"")</f>
        <v>0</v>
      </c>
      <c r="T68" s="99" t="str">
        <f t="shared" si="11"/>
        <v/>
      </c>
      <c r="U68" s="99" cm="1">
        <f t="array" aca="1" ref="U68" ca="1">CreateID($U$3,$U:$U,$T68&lt;&gt;"")</f>
        <v>0</v>
      </c>
      <c r="V68" s="99" cm="1">
        <f t="array" aca="1" ref="V68" ca="1">CreateID($V$3,$V:$V,IFERROR(FIND(Definitions!$AR$4,$G68)&gt;0,FALSE))</f>
        <v>0</v>
      </c>
      <c r="W68" s="99">
        <f>_xlfn.LET(
_xlpm._comment,$G68,
_xlpm._keyWord,Definitions!$AR$4,
_xlpm._diffLen,LEN(_xlpm._comment)-LEN(SUBSTITUTE(_xlpm._comment,_xlpm._keyWord,"")),
_xlpm._diffLen/LEN(_xlpm._keyWord))</f>
        <v>0</v>
      </c>
      <c r="X68" s="99" cm="1">
        <f t="array" aca="1" ref="X68" ca="1">CreateID($X$3,$X:$X,IFERROR(FIND(Definitions!$AR$5,$G68)&gt;0,FALSE))</f>
        <v>0</v>
      </c>
      <c r="Y68" s="99">
        <f>_xlfn.LET(
_xlpm._comment,$G68,
_xlpm._keyWord,Definitions!$AR$5,
_xlpm._diffLen,LEN(_xlpm._comment)-LEN(SUBSTITUTE(_xlpm._comment,_xlpm._keyWord,"")),
_xlpm._diffLen/LEN(_xlpm._keyWord))</f>
        <v>0</v>
      </c>
      <c r="Z68" s="99" t="b">
        <f ca="1">OR(IFERROR(_xlfn.XMATCH("*,"&amp;$A68&amp;",*",Assumptions!$AL:$AL,2)&gt;0,FALSE),
IFERROR(_xlfn.XMATCH("*,"&amp;$A68&amp;",*",Countermeasures!$AO:$AO,2)&gt;0,FALSE))</f>
        <v>0</v>
      </c>
      <c r="AA68" s="99" t="str" cm="1">
        <f t="array" ref="AA68">CreateSearchString($I68)</f>
        <v/>
      </c>
      <c r="AB68" s="99" t="str">
        <f>IF($E68="","",IFERROR(VLOOKUP($E68,Definitions!$H:$J,COLUMNS(Definitions!$H:$J),FALSE),""))</f>
        <v/>
      </c>
      <c r="AC68" s="99" t="b" cm="1">
        <f t="array" ref="AC68">IF($A68="",FALSE,SimpleLookup($A68,Questions!$A:$D)="x")</f>
        <v>0</v>
      </c>
      <c r="AD68" s="99" t="str" cm="1">
        <f t="array" ref="AD68">IF(OR($A68="",NOT($AC68)),"",SimpleLookup($A68,Questions!$A:$E))</f>
        <v/>
      </c>
      <c r="AE68" s="99" t="str" cm="1">
        <f t="array" ref="AE68">IF(OR($A68="",NOT($AC68)),"",SimpleLookup($A68,Questions!$A:$F))</f>
        <v/>
      </c>
      <c r="AF68" s="99" t="str" cm="1">
        <f t="array" ref="AF68">_xlfn.LET(
_xlpm._answer,$C68,
_xlpm._infoTextFull,IF($AC68,CHAR(10)&amp;SimpleLookup($A68,Questions!$A:$H)&amp;CHAR(10),""),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68" s="99" t="b" cm="1">
        <f t="array" ref="AG68">IF(OR($A68="",NOT($AC68)),FALSE,_xlfn.LET(
_xlpm._secondAnswerRequiredOn,SimpleLookup($A68,Questions!$A:$I),
_xlpm._firstAnwer,$C68,
IFERROR(FIND(CHAR(10)&amp;_xlpm._firstAnwer&amp;":",CHAR(10)&amp;_xlpm._secondAnswerRequiredOn)&gt;0,FALSE)))</f>
        <v>0</v>
      </c>
      <c r="AH68" s="99" t="str" cm="1">
        <f t="array" ref="AH68">IF(OR($A68="",NOT($AC68)),"",_xlfn.LET(
_xlpm._id,$A68,
_xlpm._firstAnswer,$C68,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68" s="99" t="str" cm="1">
        <f t="array" ref="AI68">IF(OR($A68="",NOT($AC68)),"",_xlfn.LET(
_xlpm._id,$A68,
_xlpm._firstAnswer,$C68,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68" s="99" t="str" cm="1">
        <f t="array" ref="AJ68">IF($AG68,_xlfn.LET(
_xlpm._answer,$E68,
_xlpm._infoTextFull,IF($AC68,CHAR(10)&amp;SimpleLookup($A68,Questions!$A:$L)&amp;CHAR(10),""),
_xlpm._startSelectedByAnswerOne,IF(_xlpm._infoTextFull="",0,FIND("___"&amp;$C68&amp;"___",_xlpm._infoTextFull)+LEN("___"&amp;$C68&amp;"___")),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68" s="99" t="b" cm="1">
        <f t="array" ref="AK68">IF(OR($A68="",NOT($AC68)),FALSE,SimpleLookup($A68,Questions!$A:$Q))</f>
        <v>0</v>
      </c>
      <c r="AL68" s="99" t="str" cm="1">
        <f t="array" aca="1" ref="AL68" ca="1">IF(AND($A68=Questions!$A$41,IFERROR(SimpleLookup(Questions!$A$36,$A:$E)=Definitions!$O$5,FALSE),$C68=Definitions!$A$5),
Questions!$A$36&amp;" "&amp;Questions!$B$36&amp;CHAR(10)&amp;CHAR(187)&amp;" "&amp;SimpleLookup(Questions!$A$36,$A:$C)&amp;CHAR(10)&amp;SimpleLookup(Questions!$A$36,$A:$D)&amp;CHAR(10)&amp;CHAR(187)&amp;" "&amp;Definitions!$O$5&amp;CHAR(10)&amp;CHAR(10)&amp;
"is incosistent with"&amp;CHAR(10)&amp;CHAR(10)&amp;
$A68&amp;" "&amp;SimpleLookup($A68,Questions!$A:$B)&amp;CHAR(10)&amp;CHAR(187)&amp;" "&amp;$C68,
"")</f>
        <v/>
      </c>
      <c r="AM68" s="99" cm="1">
        <f t="array" aca="1" ref="AM68" ca="1">CreateID($AM$3,$AM:$AM,$AL68&lt;&gt;"")</f>
        <v>0</v>
      </c>
      <c r="AN68" s="99" t="str" cm="1">
        <f t="array" aca="1" ref="AN68" ca="1">IF(OR($C68="",OFFSET($C68,1,0)=""),"",
IF(AND($A68=Questions!$A$59,OFFSET($A68,1,0)=Questions!$A$60,SimpleLookup(Questions!$A$49,$A:$C)=Definitions!$A$4),
IF(MATCH($C68,Definitions!$AW:$AW,0)&gt;MATCH(OFFSET($C68,1,0),Definitions!AW:AW,0),$A68&amp;" "&amp;$K68&amp;": "&amp;$C68&amp;CHAR(10)&amp;"&lt;---&gt;"&amp;CHAR(10)&amp;OFFSET($A68,1,0)&amp;" "&amp;OFFSET($K68,1,0)&amp;": "&amp;OFFSET($C68,1,0),""),
""))</f>
        <v/>
      </c>
      <c r="AO68" s="99" cm="1">
        <f t="array" aca="1" ref="AO68" ca="1">CreateID($AO$3,$AO:$AO,$AN68&lt;&gt;"")</f>
        <v>0</v>
      </c>
    </row>
    <row r="69" spans="9:41" x14ac:dyDescent="0.25">
      <c r="I69" s="99" t="str">
        <f t="shared" si="6"/>
        <v/>
      </c>
      <c r="J69" s="99" t="str">
        <f t="shared" si="7"/>
        <v/>
      </c>
      <c r="K69" s="99" t="e" cm="1">
        <f t="array" aca="1" ref="K69" ca="1">SimpleLookup($A69,Questions!$A:$B)</f>
        <v>#N/A</v>
      </c>
      <c r="L69" s="99" cm="1">
        <f t="array" aca="1" ref="L69" ca="1">CreateID($L$3,$L:$L,AND($A69&lt;&gt;"",$AC69))</f>
        <v>39</v>
      </c>
      <c r="M69" s="99" cm="1">
        <f t="array" aca="1" ref="M69" ca="1">CreateTaskID($M$3,$M:$M,Tasks!$B$17,$G69)</f>
        <v>0</v>
      </c>
      <c r="N69" s="99" t="str">
        <f t="shared" si="16"/>
        <v/>
      </c>
      <c r="O69" s="99" cm="1">
        <f t="array" aca="1" ref="O69" ca="1">CreateID($O$3,$O:$O,$N69&lt;&gt;"")</f>
        <v>39</v>
      </c>
      <c r="P69" s="99" t="str">
        <f t="shared" si="9"/>
        <v/>
      </c>
      <c r="Q69" s="99" cm="1">
        <f t="array" aca="1" ref="Q69" ca="1">CreateID($Q$3,$Q:$Q,$P69&lt;&gt;"")</f>
        <v>0</v>
      </c>
      <c r="R69" s="99" t="str">
        <f t="shared" si="10"/>
        <v/>
      </c>
      <c r="S69" s="99" cm="1">
        <f t="array" aca="1" ref="S69" ca="1">CreateID($S$3,$S:$S,$R69&lt;&gt;"")</f>
        <v>0</v>
      </c>
      <c r="T69" s="99" t="str">
        <f t="shared" si="11"/>
        <v/>
      </c>
      <c r="U69" s="99" cm="1">
        <f t="array" aca="1" ref="U69" ca="1">CreateID($U$3,$U:$U,$T69&lt;&gt;"")</f>
        <v>0</v>
      </c>
      <c r="V69" s="99" cm="1">
        <f t="array" aca="1" ref="V69" ca="1">CreateID($V$3,$V:$V,IFERROR(FIND(Definitions!$AR$4,$G69)&gt;0,FALSE))</f>
        <v>0</v>
      </c>
      <c r="W69" s="99">
        <f>_xlfn.LET(
_xlpm._comment,$G69,
_xlpm._keyWord,Definitions!$AR$4,
_xlpm._diffLen,LEN(_xlpm._comment)-LEN(SUBSTITUTE(_xlpm._comment,_xlpm._keyWord,"")),
_xlpm._diffLen/LEN(_xlpm._keyWord))</f>
        <v>0</v>
      </c>
      <c r="X69" s="99" cm="1">
        <f t="array" aca="1" ref="X69" ca="1">CreateID($X$3,$X:$X,IFERROR(FIND(Definitions!$AR$5,$G69)&gt;0,FALSE))</f>
        <v>0</v>
      </c>
      <c r="Y69" s="99">
        <f>_xlfn.LET(
_xlpm._comment,$G69,
_xlpm._keyWord,Definitions!$AR$5,
_xlpm._diffLen,LEN(_xlpm._comment)-LEN(SUBSTITUTE(_xlpm._comment,_xlpm._keyWord,"")),
_xlpm._diffLen/LEN(_xlpm._keyWord))</f>
        <v>0</v>
      </c>
      <c r="Z69" s="99" t="b">
        <f ca="1">OR(IFERROR(_xlfn.XMATCH("*,"&amp;$A69&amp;",*",Assumptions!$AL:$AL,2)&gt;0,FALSE),
IFERROR(_xlfn.XMATCH("*,"&amp;$A69&amp;",*",Countermeasures!$AO:$AO,2)&gt;0,FALSE))</f>
        <v>0</v>
      </c>
      <c r="AA69" s="99" t="str" cm="1">
        <f t="array" ref="AA69">CreateSearchString($I69)</f>
        <v/>
      </c>
      <c r="AB69" s="99" t="str">
        <f>IF($E69="","",IFERROR(VLOOKUP($E69,Definitions!$H:$J,COLUMNS(Definitions!$H:$J),FALSE),""))</f>
        <v/>
      </c>
      <c r="AC69" s="99" t="b" cm="1">
        <f t="array" ref="AC69">IF($A69="",FALSE,SimpleLookup($A69,Questions!$A:$D)="x")</f>
        <v>0</v>
      </c>
      <c r="AD69" s="99" t="str" cm="1">
        <f t="array" ref="AD69">IF(OR($A69="",NOT($AC69)),"",SimpleLookup($A69,Questions!$A:$E))</f>
        <v/>
      </c>
      <c r="AE69" s="99" t="str" cm="1">
        <f t="array" ref="AE69">IF(OR($A69="",NOT($AC69)),"",SimpleLookup($A69,Questions!$A:$F))</f>
        <v/>
      </c>
      <c r="AF69" s="99" t="str" cm="1">
        <f t="array" ref="AF69">_xlfn.LET(
_xlpm._answer,$C69,
_xlpm._infoTextFull,IF($AC69,CHAR(10)&amp;SimpleLookup($A69,Questions!$A:$H)&amp;CHAR(10),""),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69" s="99" t="b" cm="1">
        <f t="array" ref="AG69">IF(OR($A69="",NOT($AC69)),FALSE,_xlfn.LET(
_xlpm._secondAnswerRequiredOn,SimpleLookup($A69,Questions!$A:$I),
_xlpm._firstAnwer,$C69,
IFERROR(FIND(CHAR(10)&amp;_xlpm._firstAnwer&amp;":",CHAR(10)&amp;_xlpm._secondAnswerRequiredOn)&gt;0,FALSE)))</f>
        <v>0</v>
      </c>
      <c r="AH69" s="99" t="str" cm="1">
        <f t="array" ref="AH69">IF(OR($A69="",NOT($AC69)),"",_xlfn.LET(
_xlpm._id,$A69,
_xlpm._firstAnswer,$C69,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69" s="99" t="str" cm="1">
        <f t="array" ref="AI69">IF(OR($A69="",NOT($AC69)),"",_xlfn.LET(
_xlpm._id,$A69,
_xlpm._firstAnswer,$C69,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69" s="99" t="str" cm="1">
        <f t="array" ref="AJ69">IF($AG69,_xlfn.LET(
_xlpm._answer,$E69,
_xlpm._infoTextFull,IF($AC69,CHAR(10)&amp;SimpleLookup($A69,Questions!$A:$L)&amp;CHAR(10),""),
_xlpm._startSelectedByAnswerOne,IF(_xlpm._infoTextFull="",0,FIND("___"&amp;$C69&amp;"___",_xlpm._infoTextFull)+LEN("___"&amp;$C69&amp;"___")),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69" s="99" t="b" cm="1">
        <f t="array" ref="AK69">IF(OR($A69="",NOT($AC69)),FALSE,SimpleLookup($A69,Questions!$A:$Q))</f>
        <v>0</v>
      </c>
      <c r="AL69" s="99" t="str" cm="1">
        <f t="array" aca="1" ref="AL69" ca="1">IF(AND($A69=Questions!$A$41,IFERROR(SimpleLookup(Questions!$A$36,$A:$E)=Definitions!$O$5,FALSE),$C69=Definitions!$A$5),
Questions!$A$36&amp;" "&amp;Questions!$B$36&amp;CHAR(10)&amp;CHAR(187)&amp;" "&amp;SimpleLookup(Questions!$A$36,$A:$C)&amp;CHAR(10)&amp;SimpleLookup(Questions!$A$36,$A:$D)&amp;CHAR(10)&amp;CHAR(187)&amp;" "&amp;Definitions!$O$5&amp;CHAR(10)&amp;CHAR(10)&amp;
"is incosistent with"&amp;CHAR(10)&amp;CHAR(10)&amp;
$A69&amp;" "&amp;SimpleLookup($A69,Questions!$A:$B)&amp;CHAR(10)&amp;CHAR(187)&amp;" "&amp;$C69,
"")</f>
        <v/>
      </c>
      <c r="AM69" s="99" cm="1">
        <f t="array" aca="1" ref="AM69" ca="1">CreateID($AM$3,$AM:$AM,$AL69&lt;&gt;"")</f>
        <v>0</v>
      </c>
      <c r="AN69" s="99" t="str" cm="1">
        <f t="array" aca="1" ref="AN69" ca="1">IF(OR($C69="",OFFSET($C69,1,0)=""),"",
IF(AND($A69=Questions!$A$59,OFFSET($A69,1,0)=Questions!$A$60,SimpleLookup(Questions!$A$49,$A:$C)=Definitions!$A$4),
IF(MATCH($C69,Definitions!$AW:$AW,0)&gt;MATCH(OFFSET($C69,1,0),Definitions!AW:AW,0),$A69&amp;" "&amp;$K69&amp;": "&amp;$C69&amp;CHAR(10)&amp;"&lt;---&gt;"&amp;CHAR(10)&amp;OFFSET($A69,1,0)&amp;" "&amp;OFFSET($K69,1,0)&amp;": "&amp;OFFSET($C69,1,0),""),
""))</f>
        <v/>
      </c>
      <c r="AO69" s="99" cm="1">
        <f t="array" aca="1" ref="AO69" ca="1">CreateID($AO$3,$AO:$AO,$AN69&lt;&gt;"")</f>
        <v>0</v>
      </c>
    </row>
    <row r="70" spans="9:41" x14ac:dyDescent="0.25">
      <c r="I70" s="99" t="str">
        <f t="shared" ref="I70:I103" si="17">IF($AC70,SUBSTITUTE(IF($A70="","",$A70&amp;"["&amp;$C70&amp;IF($E70="","","|"&amp;$E70)&amp;"]")," ",""),"")</f>
        <v/>
      </c>
      <c r="J70" s="99" t="str">
        <f t="shared" ref="J70:J103" si="18">IF($AC70,SUBSTITUTE(IF($A70="","",$A70&amp;"["&amp;$C70&amp;IF($E70="","]","|*]"))," ",""),"")</f>
        <v/>
      </c>
      <c r="K70" s="99" t="e" cm="1">
        <f t="array" aca="1" ref="K70" ca="1">SimpleLookup($A70,Questions!$A:$B)</f>
        <v>#N/A</v>
      </c>
      <c r="L70" s="99" cm="1">
        <f t="array" aca="1" ref="L70" ca="1">CreateID($L$3,$L:$L,AND($A70&lt;&gt;"",$AC70))</f>
        <v>39</v>
      </c>
      <c r="M70" s="99" cm="1">
        <f t="array" aca="1" ref="M70" ca="1">CreateTaskID($M$3,$M:$M,Tasks!$B$17,$G70)</f>
        <v>0</v>
      </c>
      <c r="N70" s="99" t="str">
        <f t="shared" si="16"/>
        <v/>
      </c>
      <c r="O70" s="99" cm="1">
        <f t="array" aca="1" ref="O70" ca="1">CreateID($O$3,$O:$O,$N70&lt;&gt;"")</f>
        <v>39</v>
      </c>
      <c r="P70" s="99" t="str">
        <f t="shared" ref="P70:P103" si="19">IF(AND($D70&lt;&gt;"",$E70=""),$A70&amp;" "&amp;$K70,"")</f>
        <v/>
      </c>
      <c r="Q70" s="99" cm="1">
        <f t="array" aca="1" ref="Q70" ca="1">CreateID($Q$3,$Q:$Q,$P70&lt;&gt;"")</f>
        <v>0</v>
      </c>
      <c r="R70" s="99" t="str">
        <f t="shared" ref="R70:R103" si="20">IF(AND($F70&lt;&gt;"",$G70=""),$A70&amp;" "&amp;$K70,"")</f>
        <v/>
      </c>
      <c r="S70" s="99" cm="1">
        <f t="array" aca="1" ref="S70" ca="1">CreateID($S$3,$S:$S,$R70&lt;&gt;"")</f>
        <v>0</v>
      </c>
      <c r="T70" s="99" t="str">
        <f t="shared" ref="T70:T103" si="21">IF($A70="","",IF(AND(NOT($AG70),$E70&lt;&gt;""),$A70&amp;" "&amp;$K70,""))</f>
        <v/>
      </c>
      <c r="U70" s="99" cm="1">
        <f t="array" aca="1" ref="U70" ca="1">CreateID($U$3,$U:$U,$T70&lt;&gt;"")</f>
        <v>0</v>
      </c>
      <c r="V70" s="99" cm="1">
        <f t="array" aca="1" ref="V70" ca="1">CreateID($V$3,$V:$V,IFERROR(FIND(Definitions!$AR$4,$G70)&gt;0,FALSE))</f>
        <v>0</v>
      </c>
      <c r="W70" s="99">
        <f>_xlfn.LET(
_xlpm._comment,$G70,
_xlpm._keyWord,Definitions!$AR$4,
_xlpm._diffLen,LEN(_xlpm._comment)-LEN(SUBSTITUTE(_xlpm._comment,_xlpm._keyWord,"")),
_xlpm._diffLen/LEN(_xlpm._keyWord))</f>
        <v>0</v>
      </c>
      <c r="X70" s="99" cm="1">
        <f t="array" aca="1" ref="X70" ca="1">CreateID($X$3,$X:$X,IFERROR(FIND(Definitions!$AR$5,$G70)&gt;0,FALSE))</f>
        <v>0</v>
      </c>
      <c r="Y70" s="99">
        <f>_xlfn.LET(
_xlpm._comment,$G70,
_xlpm._keyWord,Definitions!$AR$5,
_xlpm._diffLen,LEN(_xlpm._comment)-LEN(SUBSTITUTE(_xlpm._comment,_xlpm._keyWord,"")),
_xlpm._diffLen/LEN(_xlpm._keyWord))</f>
        <v>0</v>
      </c>
      <c r="Z70" s="99" t="b">
        <f ca="1">OR(IFERROR(_xlfn.XMATCH("*,"&amp;$A70&amp;",*",Assumptions!$AL:$AL,2)&gt;0,FALSE),
IFERROR(_xlfn.XMATCH("*,"&amp;$A70&amp;",*",Countermeasures!$AO:$AO,2)&gt;0,FALSE))</f>
        <v>0</v>
      </c>
      <c r="AA70" s="99" t="str" cm="1">
        <f t="array" ref="AA70">CreateSearchString($I70)</f>
        <v/>
      </c>
      <c r="AB70" s="99" t="str">
        <f>IF($E70="","",IFERROR(VLOOKUP($E70,Definitions!$H:$J,COLUMNS(Definitions!$H:$J),FALSE),""))</f>
        <v/>
      </c>
      <c r="AC70" s="99" t="b" cm="1">
        <f t="array" ref="AC70">IF($A70="",FALSE,SimpleLookup($A70,Questions!$A:$D)="x")</f>
        <v>0</v>
      </c>
      <c r="AD70" s="99" t="str" cm="1">
        <f t="array" ref="AD70">IF(OR($A70="",NOT($AC70)),"",SimpleLookup($A70,Questions!$A:$E))</f>
        <v/>
      </c>
      <c r="AE70" s="99" t="str" cm="1">
        <f t="array" ref="AE70">IF(OR($A70="",NOT($AC70)),"",SimpleLookup($A70,Questions!$A:$F))</f>
        <v/>
      </c>
      <c r="AF70" s="99" t="str" cm="1">
        <f t="array" ref="AF70">_xlfn.LET(
_xlpm._answer,$C70,
_xlpm._infoTextFull,IF($AC70,CHAR(10)&amp;SimpleLookup($A70,Questions!$A:$H)&amp;CHAR(10),""),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70" s="99" t="b" cm="1">
        <f t="array" ref="AG70">IF(OR($A70="",NOT($AC70)),FALSE,_xlfn.LET(
_xlpm._secondAnswerRequiredOn,SimpleLookup($A70,Questions!$A:$I),
_xlpm._firstAnwer,$C70,
IFERROR(FIND(CHAR(10)&amp;_xlpm._firstAnwer&amp;":",CHAR(10)&amp;_xlpm._secondAnswerRequiredOn)&gt;0,FALSE)))</f>
        <v>0</v>
      </c>
      <c r="AH70" s="99" t="str" cm="1">
        <f t="array" ref="AH70">IF(OR($A70="",NOT($AC70)),"",_xlfn.LET(
_xlpm._id,$A70,
_xlpm._firstAnswer,$C70,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70" s="99" t="str" cm="1">
        <f t="array" ref="AI70">IF(OR($A70="",NOT($AC70)),"",_xlfn.LET(
_xlpm._id,$A70,
_xlpm._firstAnswer,$C70,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70" s="99" t="str" cm="1">
        <f t="array" ref="AJ70">IF($AG70,_xlfn.LET(
_xlpm._answer,$E70,
_xlpm._infoTextFull,IF($AC70,CHAR(10)&amp;SimpleLookup($A70,Questions!$A:$L)&amp;CHAR(10),""),
_xlpm._startSelectedByAnswerOne,IF(_xlpm._infoTextFull="",0,FIND("___"&amp;$C70&amp;"___",_xlpm._infoTextFull)+LEN("___"&amp;$C70&amp;"___")),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70" s="99" t="b" cm="1">
        <f t="array" ref="AK70">IF(OR($A70="",NOT($AC70)),FALSE,SimpleLookup($A70,Questions!$A:$Q))</f>
        <v>0</v>
      </c>
      <c r="AL70" s="99" t="str" cm="1">
        <f t="array" aca="1" ref="AL70" ca="1">IF(AND($A70=Questions!$A$41,IFERROR(SimpleLookup(Questions!$A$36,$A:$E)=Definitions!$O$5,FALSE),$C70=Definitions!$A$5),
Questions!$A$36&amp;" "&amp;Questions!$B$36&amp;CHAR(10)&amp;CHAR(187)&amp;" "&amp;SimpleLookup(Questions!$A$36,$A:$C)&amp;CHAR(10)&amp;SimpleLookup(Questions!$A$36,$A:$D)&amp;CHAR(10)&amp;CHAR(187)&amp;" "&amp;Definitions!$O$5&amp;CHAR(10)&amp;CHAR(10)&amp;
"is incosistent with"&amp;CHAR(10)&amp;CHAR(10)&amp;
$A70&amp;" "&amp;SimpleLookup($A70,Questions!$A:$B)&amp;CHAR(10)&amp;CHAR(187)&amp;" "&amp;$C70,
"")</f>
        <v/>
      </c>
      <c r="AM70" s="99" cm="1">
        <f t="array" aca="1" ref="AM70" ca="1">CreateID($AM$3,$AM:$AM,$AL70&lt;&gt;"")</f>
        <v>0</v>
      </c>
      <c r="AN70" s="99" t="str" cm="1">
        <f t="array" aca="1" ref="AN70" ca="1">IF(OR($C70="",OFFSET($C70,1,0)=""),"",
IF(AND($A70=Questions!$A$59,OFFSET($A70,1,0)=Questions!$A$60,SimpleLookup(Questions!$A$49,$A:$C)=Definitions!$A$4),
IF(MATCH($C70,Definitions!$AW:$AW,0)&gt;MATCH(OFFSET($C70,1,0),Definitions!AW:AW,0),$A70&amp;" "&amp;$K70&amp;": "&amp;$C70&amp;CHAR(10)&amp;"&lt;---&gt;"&amp;CHAR(10)&amp;OFFSET($A70,1,0)&amp;" "&amp;OFFSET($K70,1,0)&amp;": "&amp;OFFSET($C70,1,0),""),
""))</f>
        <v/>
      </c>
      <c r="AO70" s="99" cm="1">
        <f t="array" aca="1" ref="AO70" ca="1">CreateID($AO$3,$AO:$AO,$AN70&lt;&gt;"")</f>
        <v>0</v>
      </c>
    </row>
    <row r="71" spans="9:41" x14ac:dyDescent="0.25">
      <c r="I71" s="99" t="str">
        <f t="shared" si="17"/>
        <v/>
      </c>
      <c r="J71" s="99" t="str">
        <f t="shared" si="18"/>
        <v/>
      </c>
      <c r="K71" s="99" t="e" cm="1">
        <f t="array" aca="1" ref="K71" ca="1">SimpleLookup($A71,Questions!$A:$B)</f>
        <v>#N/A</v>
      </c>
      <c r="L71" s="99" cm="1">
        <f t="array" aca="1" ref="L71" ca="1">CreateID($L$3,$L:$L,AND($A71&lt;&gt;"",$AC71))</f>
        <v>39</v>
      </c>
      <c r="M71" s="99" cm="1">
        <f t="array" aca="1" ref="M71" ca="1">CreateTaskID($M$3,$M:$M,Tasks!$B$17,$G71)</f>
        <v>0</v>
      </c>
      <c r="N71" s="99" t="str">
        <f t="shared" si="16"/>
        <v/>
      </c>
      <c r="O71" s="99" cm="1">
        <f t="array" aca="1" ref="O71" ca="1">CreateID($O$3,$O:$O,$N71&lt;&gt;"")</f>
        <v>39</v>
      </c>
      <c r="P71" s="99" t="str">
        <f t="shared" si="19"/>
        <v/>
      </c>
      <c r="Q71" s="99" cm="1">
        <f t="array" aca="1" ref="Q71" ca="1">CreateID($Q$3,$Q:$Q,$P71&lt;&gt;"")</f>
        <v>0</v>
      </c>
      <c r="R71" s="99" t="str">
        <f t="shared" si="20"/>
        <v/>
      </c>
      <c r="S71" s="99" cm="1">
        <f t="array" aca="1" ref="S71" ca="1">CreateID($S$3,$S:$S,$R71&lt;&gt;"")</f>
        <v>0</v>
      </c>
      <c r="T71" s="99" t="str">
        <f t="shared" si="21"/>
        <v/>
      </c>
      <c r="U71" s="99" cm="1">
        <f t="array" aca="1" ref="U71" ca="1">CreateID($U$3,$U:$U,$T71&lt;&gt;"")</f>
        <v>0</v>
      </c>
      <c r="V71" s="99" cm="1">
        <f t="array" aca="1" ref="V71" ca="1">CreateID($V$3,$V:$V,IFERROR(FIND(Definitions!$AR$4,$G71)&gt;0,FALSE))</f>
        <v>0</v>
      </c>
      <c r="W71" s="99">
        <f>_xlfn.LET(
_xlpm._comment,$G71,
_xlpm._keyWord,Definitions!$AR$4,
_xlpm._diffLen,LEN(_xlpm._comment)-LEN(SUBSTITUTE(_xlpm._comment,_xlpm._keyWord,"")),
_xlpm._diffLen/LEN(_xlpm._keyWord))</f>
        <v>0</v>
      </c>
      <c r="X71" s="99" cm="1">
        <f t="array" aca="1" ref="X71" ca="1">CreateID($X$3,$X:$X,IFERROR(FIND(Definitions!$AR$5,$G71)&gt;0,FALSE))</f>
        <v>0</v>
      </c>
      <c r="Y71" s="99">
        <f>_xlfn.LET(
_xlpm._comment,$G71,
_xlpm._keyWord,Definitions!$AR$5,
_xlpm._diffLen,LEN(_xlpm._comment)-LEN(SUBSTITUTE(_xlpm._comment,_xlpm._keyWord,"")),
_xlpm._diffLen/LEN(_xlpm._keyWord))</f>
        <v>0</v>
      </c>
      <c r="Z71" s="99" t="b">
        <f ca="1">OR(IFERROR(_xlfn.XMATCH("*,"&amp;$A71&amp;",*",Assumptions!$AL:$AL,2)&gt;0,FALSE),
IFERROR(_xlfn.XMATCH("*,"&amp;$A71&amp;",*",Countermeasures!$AO:$AO,2)&gt;0,FALSE))</f>
        <v>0</v>
      </c>
      <c r="AA71" s="99" t="str" cm="1">
        <f t="array" ref="AA71">CreateSearchString($I71)</f>
        <v/>
      </c>
      <c r="AB71" s="99" t="str">
        <f>IF($E71="","",IFERROR(VLOOKUP($E71,Definitions!$H:$J,COLUMNS(Definitions!$H:$J),FALSE),""))</f>
        <v/>
      </c>
      <c r="AC71" s="99" t="b" cm="1">
        <f t="array" ref="AC71">IF($A71="",FALSE,SimpleLookup($A71,Questions!$A:$D)="x")</f>
        <v>0</v>
      </c>
      <c r="AD71" s="99" t="str" cm="1">
        <f t="array" ref="AD71">IF(OR($A71="",NOT($AC71)),"",SimpleLookup($A71,Questions!$A:$E))</f>
        <v/>
      </c>
      <c r="AE71" s="99" t="str" cm="1">
        <f t="array" ref="AE71">IF(OR($A71="",NOT($AC71)),"",SimpleLookup($A71,Questions!$A:$F))</f>
        <v/>
      </c>
      <c r="AF71" s="99" t="str" cm="1">
        <f t="array" ref="AF71">_xlfn.LET(
_xlpm._answer,$C71,
_xlpm._infoTextFull,IF($AC71,CHAR(10)&amp;SimpleLookup($A71,Questions!$A:$H)&amp;CHAR(10),""),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71" s="99" t="b" cm="1">
        <f t="array" ref="AG71">IF(OR($A71="",NOT($AC71)),FALSE,_xlfn.LET(
_xlpm._secondAnswerRequiredOn,SimpleLookup($A71,Questions!$A:$I),
_xlpm._firstAnwer,$C71,
IFERROR(FIND(CHAR(10)&amp;_xlpm._firstAnwer&amp;":",CHAR(10)&amp;_xlpm._secondAnswerRequiredOn)&gt;0,FALSE)))</f>
        <v>0</v>
      </c>
      <c r="AH71" s="99" t="str" cm="1">
        <f t="array" ref="AH71">IF(OR($A71="",NOT($AC71)),"",_xlfn.LET(
_xlpm._id,$A71,
_xlpm._firstAnswer,$C71,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71" s="99" t="str" cm="1">
        <f t="array" ref="AI71">IF(OR($A71="",NOT($AC71)),"",_xlfn.LET(
_xlpm._id,$A71,
_xlpm._firstAnswer,$C71,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71" s="99" t="str" cm="1">
        <f t="array" ref="AJ71">IF($AG71,_xlfn.LET(
_xlpm._answer,$E71,
_xlpm._infoTextFull,IF($AC71,CHAR(10)&amp;SimpleLookup($A71,Questions!$A:$L)&amp;CHAR(10),""),
_xlpm._startSelectedByAnswerOne,IF(_xlpm._infoTextFull="",0,FIND("___"&amp;$C71&amp;"___",_xlpm._infoTextFull)+LEN("___"&amp;$C71&amp;"___")),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71" s="99" t="b" cm="1">
        <f t="array" ref="AK71">IF(OR($A71="",NOT($AC71)),FALSE,SimpleLookup($A71,Questions!$A:$Q))</f>
        <v>0</v>
      </c>
      <c r="AL71" s="99" t="str" cm="1">
        <f t="array" aca="1" ref="AL71" ca="1">IF(AND($A71=Questions!$A$41,IFERROR(SimpleLookup(Questions!$A$36,$A:$E)=Definitions!$O$5,FALSE),$C71=Definitions!$A$5),
Questions!$A$36&amp;" "&amp;Questions!$B$36&amp;CHAR(10)&amp;CHAR(187)&amp;" "&amp;SimpleLookup(Questions!$A$36,$A:$C)&amp;CHAR(10)&amp;SimpleLookup(Questions!$A$36,$A:$D)&amp;CHAR(10)&amp;CHAR(187)&amp;" "&amp;Definitions!$O$5&amp;CHAR(10)&amp;CHAR(10)&amp;
"is incosistent with"&amp;CHAR(10)&amp;CHAR(10)&amp;
$A71&amp;" "&amp;SimpleLookup($A71,Questions!$A:$B)&amp;CHAR(10)&amp;CHAR(187)&amp;" "&amp;$C71,
"")</f>
        <v/>
      </c>
      <c r="AM71" s="99" cm="1">
        <f t="array" aca="1" ref="AM71" ca="1">CreateID($AM$3,$AM:$AM,$AL71&lt;&gt;"")</f>
        <v>0</v>
      </c>
      <c r="AN71" s="99" t="str" cm="1">
        <f t="array" aca="1" ref="AN71" ca="1">IF(OR($C71="",OFFSET($C71,1,0)=""),"",
IF(AND($A71=Questions!$A$59,OFFSET($A71,1,0)=Questions!$A$60,SimpleLookup(Questions!$A$49,$A:$C)=Definitions!$A$4),
IF(MATCH($C71,Definitions!$AW:$AW,0)&gt;MATCH(OFFSET($C71,1,0),Definitions!AW:AW,0),$A71&amp;" "&amp;$K71&amp;": "&amp;$C71&amp;CHAR(10)&amp;"&lt;---&gt;"&amp;CHAR(10)&amp;OFFSET($A71,1,0)&amp;" "&amp;OFFSET($K71,1,0)&amp;": "&amp;OFFSET($C71,1,0),""),
""))</f>
        <v/>
      </c>
      <c r="AO71" s="99" cm="1">
        <f t="array" aca="1" ref="AO71" ca="1">CreateID($AO$3,$AO:$AO,$AN71&lt;&gt;"")</f>
        <v>0</v>
      </c>
    </row>
    <row r="72" spans="9:41" x14ac:dyDescent="0.25">
      <c r="I72" s="99" t="str">
        <f t="shared" si="17"/>
        <v/>
      </c>
      <c r="J72" s="99" t="str">
        <f t="shared" si="18"/>
        <v/>
      </c>
      <c r="K72" s="99" t="e" cm="1">
        <f t="array" aca="1" ref="K72" ca="1">SimpleLookup($A72,Questions!$A:$B)</f>
        <v>#N/A</v>
      </c>
      <c r="L72" s="99" cm="1">
        <f t="array" aca="1" ref="L72" ca="1">CreateID($L$3,$L:$L,AND($A72&lt;&gt;"",$AC72))</f>
        <v>39</v>
      </c>
      <c r="M72" s="99" cm="1">
        <f t="array" aca="1" ref="M72" ca="1">CreateTaskID($M$3,$M:$M,Tasks!$B$17,$G72)</f>
        <v>0</v>
      </c>
      <c r="N72" s="99" t="str">
        <f t="shared" si="16"/>
        <v/>
      </c>
      <c r="O72" s="99" cm="1">
        <f t="array" aca="1" ref="O72" ca="1">CreateID($O$3,$O:$O,$N72&lt;&gt;"")</f>
        <v>39</v>
      </c>
      <c r="P72" s="99" t="str">
        <f t="shared" si="19"/>
        <v/>
      </c>
      <c r="Q72" s="99" cm="1">
        <f t="array" aca="1" ref="Q72" ca="1">CreateID($Q$3,$Q:$Q,$P72&lt;&gt;"")</f>
        <v>0</v>
      </c>
      <c r="R72" s="99" t="str">
        <f t="shared" si="20"/>
        <v/>
      </c>
      <c r="S72" s="99" cm="1">
        <f t="array" aca="1" ref="S72" ca="1">CreateID($S$3,$S:$S,$R72&lt;&gt;"")</f>
        <v>0</v>
      </c>
      <c r="T72" s="99" t="str">
        <f t="shared" si="21"/>
        <v/>
      </c>
      <c r="U72" s="99" cm="1">
        <f t="array" aca="1" ref="U72" ca="1">CreateID($U$3,$U:$U,$T72&lt;&gt;"")</f>
        <v>0</v>
      </c>
      <c r="V72" s="99" cm="1">
        <f t="array" aca="1" ref="V72" ca="1">CreateID($V$3,$V:$V,IFERROR(FIND(Definitions!$AR$4,$G72)&gt;0,FALSE))</f>
        <v>0</v>
      </c>
      <c r="W72" s="99">
        <f>_xlfn.LET(
_xlpm._comment,$G72,
_xlpm._keyWord,Definitions!$AR$4,
_xlpm._diffLen,LEN(_xlpm._comment)-LEN(SUBSTITUTE(_xlpm._comment,_xlpm._keyWord,"")),
_xlpm._diffLen/LEN(_xlpm._keyWord))</f>
        <v>0</v>
      </c>
      <c r="X72" s="99" cm="1">
        <f t="array" aca="1" ref="X72" ca="1">CreateID($X$3,$X:$X,IFERROR(FIND(Definitions!$AR$5,$G72)&gt;0,FALSE))</f>
        <v>0</v>
      </c>
      <c r="Y72" s="99">
        <f>_xlfn.LET(
_xlpm._comment,$G72,
_xlpm._keyWord,Definitions!$AR$5,
_xlpm._diffLen,LEN(_xlpm._comment)-LEN(SUBSTITUTE(_xlpm._comment,_xlpm._keyWord,"")),
_xlpm._diffLen/LEN(_xlpm._keyWord))</f>
        <v>0</v>
      </c>
      <c r="Z72" s="99" t="b">
        <f ca="1">OR(IFERROR(_xlfn.XMATCH("*,"&amp;$A72&amp;",*",Assumptions!$AL:$AL,2)&gt;0,FALSE),
IFERROR(_xlfn.XMATCH("*,"&amp;$A72&amp;",*",Countermeasures!$AO:$AO,2)&gt;0,FALSE))</f>
        <v>0</v>
      </c>
      <c r="AA72" s="99" t="str" cm="1">
        <f t="array" ref="AA72">CreateSearchString($I72)</f>
        <v/>
      </c>
      <c r="AB72" s="99" t="str">
        <f>IF($E72="","",IFERROR(VLOOKUP($E72,Definitions!$H:$J,COLUMNS(Definitions!$H:$J),FALSE),""))</f>
        <v/>
      </c>
      <c r="AC72" s="99" t="b" cm="1">
        <f t="array" ref="AC72">IF($A72="",FALSE,SimpleLookup($A72,Questions!$A:$D)="x")</f>
        <v>0</v>
      </c>
      <c r="AD72" s="99" t="str" cm="1">
        <f t="array" ref="AD72">IF(OR($A72="",NOT($AC72)),"",SimpleLookup($A72,Questions!$A:$E))</f>
        <v/>
      </c>
      <c r="AE72" s="99" t="str" cm="1">
        <f t="array" ref="AE72">IF(OR($A72="",NOT($AC72)),"",SimpleLookup($A72,Questions!$A:$F))</f>
        <v/>
      </c>
      <c r="AF72" s="99" t="str" cm="1">
        <f t="array" ref="AF72">_xlfn.LET(
_xlpm._answer,$C72,
_xlpm._infoTextFull,IF($AC72,CHAR(10)&amp;SimpleLookup($A72,Questions!$A:$H)&amp;CHAR(10),""),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72" s="99" t="b" cm="1">
        <f t="array" ref="AG72">IF(OR($A72="",NOT($AC72)),FALSE,_xlfn.LET(
_xlpm._secondAnswerRequiredOn,SimpleLookup($A72,Questions!$A:$I),
_xlpm._firstAnwer,$C72,
IFERROR(FIND(CHAR(10)&amp;_xlpm._firstAnwer&amp;":",CHAR(10)&amp;_xlpm._secondAnswerRequiredOn)&gt;0,FALSE)))</f>
        <v>0</v>
      </c>
      <c r="AH72" s="99" t="str" cm="1">
        <f t="array" ref="AH72">IF(OR($A72="",NOT($AC72)),"",_xlfn.LET(
_xlpm._id,$A72,
_xlpm._firstAnswer,$C72,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72" s="99" t="str" cm="1">
        <f t="array" ref="AI72">IF(OR($A72="",NOT($AC72)),"",_xlfn.LET(
_xlpm._id,$A72,
_xlpm._firstAnswer,$C72,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72" s="99" t="str" cm="1">
        <f t="array" ref="AJ72">IF($AG72,_xlfn.LET(
_xlpm._answer,$E72,
_xlpm._infoTextFull,IF($AC72,CHAR(10)&amp;SimpleLookup($A72,Questions!$A:$L)&amp;CHAR(10),""),
_xlpm._startSelectedByAnswerOne,IF(_xlpm._infoTextFull="",0,FIND("___"&amp;$C72&amp;"___",_xlpm._infoTextFull)+LEN("___"&amp;$C72&amp;"___")),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72" s="99" t="b" cm="1">
        <f t="array" ref="AK72">IF(OR($A72="",NOT($AC72)),FALSE,SimpleLookup($A72,Questions!$A:$Q))</f>
        <v>0</v>
      </c>
      <c r="AL72" s="99" t="str" cm="1">
        <f t="array" aca="1" ref="AL72" ca="1">IF(AND($A72=Questions!$A$41,IFERROR(SimpleLookup(Questions!$A$36,$A:$E)=Definitions!$O$5,FALSE),$C72=Definitions!$A$5),
Questions!$A$36&amp;" "&amp;Questions!$B$36&amp;CHAR(10)&amp;CHAR(187)&amp;" "&amp;SimpleLookup(Questions!$A$36,$A:$C)&amp;CHAR(10)&amp;SimpleLookup(Questions!$A$36,$A:$D)&amp;CHAR(10)&amp;CHAR(187)&amp;" "&amp;Definitions!$O$5&amp;CHAR(10)&amp;CHAR(10)&amp;
"is incosistent with"&amp;CHAR(10)&amp;CHAR(10)&amp;
$A72&amp;" "&amp;SimpleLookup($A72,Questions!$A:$B)&amp;CHAR(10)&amp;CHAR(187)&amp;" "&amp;$C72,
"")</f>
        <v/>
      </c>
      <c r="AM72" s="99" cm="1">
        <f t="array" aca="1" ref="AM72" ca="1">CreateID($AM$3,$AM:$AM,$AL72&lt;&gt;"")</f>
        <v>0</v>
      </c>
      <c r="AN72" s="99" t="str" cm="1">
        <f t="array" aca="1" ref="AN72" ca="1">IF(OR($C72="",OFFSET($C72,1,0)=""),"",
IF(AND($A72=Questions!$A$59,OFFSET($A72,1,0)=Questions!$A$60,SimpleLookup(Questions!$A$49,$A:$C)=Definitions!$A$4),
IF(MATCH($C72,Definitions!$AW:$AW,0)&gt;MATCH(OFFSET($C72,1,0),Definitions!AW:AW,0),$A72&amp;" "&amp;$K72&amp;": "&amp;$C72&amp;CHAR(10)&amp;"&lt;---&gt;"&amp;CHAR(10)&amp;OFFSET($A72,1,0)&amp;" "&amp;OFFSET($K72,1,0)&amp;": "&amp;OFFSET($C72,1,0),""),
""))</f>
        <v/>
      </c>
      <c r="AO72" s="99" cm="1">
        <f t="array" aca="1" ref="AO72" ca="1">CreateID($AO$3,$AO:$AO,$AN72&lt;&gt;"")</f>
        <v>0</v>
      </c>
    </row>
    <row r="73" spans="9:41" x14ac:dyDescent="0.25">
      <c r="I73" s="99" t="str">
        <f t="shared" si="17"/>
        <v/>
      </c>
      <c r="J73" s="99" t="str">
        <f t="shared" si="18"/>
        <v/>
      </c>
      <c r="K73" s="99" t="e" cm="1">
        <f t="array" aca="1" ref="K73" ca="1">SimpleLookup($A73,Questions!$A:$B)</f>
        <v>#N/A</v>
      </c>
      <c r="L73" s="99" cm="1">
        <f t="array" aca="1" ref="L73" ca="1">CreateID($L$3,$L:$L,AND($A73&lt;&gt;"",$AC73))</f>
        <v>39</v>
      </c>
      <c r="M73" s="99" cm="1">
        <f t="array" aca="1" ref="M73" ca="1">CreateTaskID($M$3,$M:$M,Tasks!$B$17,$G73)</f>
        <v>0</v>
      </c>
      <c r="N73" s="99" t="str">
        <f t="shared" si="16"/>
        <v/>
      </c>
      <c r="O73" s="99" cm="1">
        <f t="array" aca="1" ref="O73" ca="1">CreateID($O$3,$O:$O,$N73&lt;&gt;"")</f>
        <v>39</v>
      </c>
      <c r="P73" s="99" t="str">
        <f t="shared" si="19"/>
        <v/>
      </c>
      <c r="Q73" s="99" cm="1">
        <f t="array" aca="1" ref="Q73" ca="1">CreateID($Q$3,$Q:$Q,$P73&lt;&gt;"")</f>
        <v>0</v>
      </c>
      <c r="R73" s="99" t="str">
        <f t="shared" si="20"/>
        <v/>
      </c>
      <c r="S73" s="99" cm="1">
        <f t="array" aca="1" ref="S73" ca="1">CreateID($S$3,$S:$S,$R73&lt;&gt;"")</f>
        <v>0</v>
      </c>
      <c r="T73" s="99" t="str">
        <f t="shared" si="21"/>
        <v/>
      </c>
      <c r="U73" s="99" cm="1">
        <f t="array" aca="1" ref="U73" ca="1">CreateID($U$3,$U:$U,$T73&lt;&gt;"")</f>
        <v>0</v>
      </c>
      <c r="V73" s="99" cm="1">
        <f t="array" aca="1" ref="V73" ca="1">CreateID($V$3,$V:$V,IFERROR(FIND(Definitions!$AR$4,$G73)&gt;0,FALSE))</f>
        <v>0</v>
      </c>
      <c r="W73" s="99">
        <f>_xlfn.LET(
_xlpm._comment,$G73,
_xlpm._keyWord,Definitions!$AR$4,
_xlpm._diffLen,LEN(_xlpm._comment)-LEN(SUBSTITUTE(_xlpm._comment,_xlpm._keyWord,"")),
_xlpm._diffLen/LEN(_xlpm._keyWord))</f>
        <v>0</v>
      </c>
      <c r="X73" s="99" cm="1">
        <f t="array" aca="1" ref="X73" ca="1">CreateID($X$3,$X:$X,IFERROR(FIND(Definitions!$AR$5,$G73)&gt;0,FALSE))</f>
        <v>0</v>
      </c>
      <c r="Y73" s="99">
        <f>_xlfn.LET(
_xlpm._comment,$G73,
_xlpm._keyWord,Definitions!$AR$5,
_xlpm._diffLen,LEN(_xlpm._comment)-LEN(SUBSTITUTE(_xlpm._comment,_xlpm._keyWord,"")),
_xlpm._diffLen/LEN(_xlpm._keyWord))</f>
        <v>0</v>
      </c>
      <c r="Z73" s="99" t="b">
        <f ca="1">OR(IFERROR(_xlfn.XMATCH("*,"&amp;$A73&amp;",*",Assumptions!$AL:$AL,2)&gt;0,FALSE),
IFERROR(_xlfn.XMATCH("*,"&amp;$A73&amp;",*",Countermeasures!$AO:$AO,2)&gt;0,FALSE))</f>
        <v>0</v>
      </c>
      <c r="AA73" s="99" t="str" cm="1">
        <f t="array" ref="AA73">CreateSearchString($I73)</f>
        <v/>
      </c>
      <c r="AB73" s="99" t="str">
        <f>IF($E73="","",IFERROR(VLOOKUP($E73,Definitions!$H:$J,COLUMNS(Definitions!$H:$J),FALSE),""))</f>
        <v/>
      </c>
      <c r="AC73" s="99" t="b" cm="1">
        <f t="array" ref="AC73">IF($A73="",FALSE,SimpleLookup($A73,Questions!$A:$D)="x")</f>
        <v>0</v>
      </c>
      <c r="AD73" s="99" t="str" cm="1">
        <f t="array" ref="AD73">IF(OR($A73="",NOT($AC73)),"",SimpleLookup($A73,Questions!$A:$E))</f>
        <v/>
      </c>
      <c r="AE73" s="99" t="str" cm="1">
        <f t="array" ref="AE73">IF(OR($A73="",NOT($AC73)),"",SimpleLookup($A73,Questions!$A:$F))</f>
        <v/>
      </c>
      <c r="AF73" s="99" t="str" cm="1">
        <f t="array" ref="AF73">_xlfn.LET(
_xlpm._answer,$C73,
_xlpm._infoTextFull,IF($AC73,CHAR(10)&amp;SimpleLookup($A73,Questions!$A:$H)&amp;CHAR(10),""),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73" s="99" t="b" cm="1">
        <f t="array" ref="AG73">IF(OR($A73="",NOT($AC73)),FALSE,_xlfn.LET(
_xlpm._secondAnswerRequiredOn,SimpleLookup($A73,Questions!$A:$I),
_xlpm._firstAnwer,$C73,
IFERROR(FIND(CHAR(10)&amp;_xlpm._firstAnwer&amp;":",CHAR(10)&amp;_xlpm._secondAnswerRequiredOn)&gt;0,FALSE)))</f>
        <v>0</v>
      </c>
      <c r="AH73" s="99" t="str" cm="1">
        <f t="array" ref="AH73">IF(OR($A73="",NOT($AC73)),"",_xlfn.LET(
_xlpm._id,$A73,
_xlpm._firstAnswer,$C73,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73" s="99" t="str" cm="1">
        <f t="array" ref="AI73">IF(OR($A73="",NOT($AC73)),"",_xlfn.LET(
_xlpm._id,$A73,
_xlpm._firstAnswer,$C73,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73" s="99" t="str" cm="1">
        <f t="array" ref="AJ73">IF($AG73,_xlfn.LET(
_xlpm._answer,$E73,
_xlpm._infoTextFull,IF($AC73,CHAR(10)&amp;SimpleLookup($A73,Questions!$A:$L)&amp;CHAR(10),""),
_xlpm._startSelectedByAnswerOne,IF(_xlpm._infoTextFull="",0,FIND("___"&amp;$C73&amp;"___",_xlpm._infoTextFull)+LEN("___"&amp;$C73&amp;"___")),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73" s="99" t="b" cm="1">
        <f t="array" ref="AK73">IF(OR($A73="",NOT($AC73)),FALSE,SimpleLookup($A73,Questions!$A:$Q))</f>
        <v>0</v>
      </c>
      <c r="AL73" s="99" t="str" cm="1">
        <f t="array" aca="1" ref="AL73" ca="1">IF(AND($A73=Questions!$A$41,IFERROR(SimpleLookup(Questions!$A$36,$A:$E)=Definitions!$O$5,FALSE),$C73=Definitions!$A$5),
Questions!$A$36&amp;" "&amp;Questions!$B$36&amp;CHAR(10)&amp;CHAR(187)&amp;" "&amp;SimpleLookup(Questions!$A$36,$A:$C)&amp;CHAR(10)&amp;SimpleLookup(Questions!$A$36,$A:$D)&amp;CHAR(10)&amp;CHAR(187)&amp;" "&amp;Definitions!$O$5&amp;CHAR(10)&amp;CHAR(10)&amp;
"is incosistent with"&amp;CHAR(10)&amp;CHAR(10)&amp;
$A73&amp;" "&amp;SimpleLookup($A73,Questions!$A:$B)&amp;CHAR(10)&amp;CHAR(187)&amp;" "&amp;$C73,
"")</f>
        <v/>
      </c>
      <c r="AM73" s="99" cm="1">
        <f t="array" aca="1" ref="AM73" ca="1">CreateID($AM$3,$AM:$AM,$AL73&lt;&gt;"")</f>
        <v>0</v>
      </c>
      <c r="AN73" s="99" t="str" cm="1">
        <f t="array" aca="1" ref="AN73" ca="1">IF(OR($C73="",OFFSET($C73,1,0)=""),"",
IF(AND($A73=Questions!$A$59,OFFSET($A73,1,0)=Questions!$A$60,SimpleLookup(Questions!$A$49,$A:$C)=Definitions!$A$4),
IF(MATCH($C73,Definitions!$AW:$AW,0)&gt;MATCH(OFFSET($C73,1,0),Definitions!AW:AW,0),$A73&amp;" "&amp;$K73&amp;": "&amp;$C73&amp;CHAR(10)&amp;"&lt;---&gt;"&amp;CHAR(10)&amp;OFFSET($A73,1,0)&amp;" "&amp;OFFSET($K73,1,0)&amp;": "&amp;OFFSET($C73,1,0),""),
""))</f>
        <v/>
      </c>
      <c r="AO73" s="99" cm="1">
        <f t="array" aca="1" ref="AO73" ca="1">CreateID($AO$3,$AO:$AO,$AN73&lt;&gt;"")</f>
        <v>0</v>
      </c>
    </row>
    <row r="74" spans="9:41" x14ac:dyDescent="0.25">
      <c r="I74" s="99" t="str">
        <f t="shared" si="17"/>
        <v/>
      </c>
      <c r="J74" s="99" t="str">
        <f t="shared" si="18"/>
        <v/>
      </c>
      <c r="K74" s="99" t="e" cm="1">
        <f t="array" aca="1" ref="K74" ca="1">SimpleLookup($A74,Questions!$A:$B)</f>
        <v>#N/A</v>
      </c>
      <c r="L74" s="99" cm="1">
        <f t="array" aca="1" ref="L74" ca="1">CreateID($L$3,$L:$L,AND($A74&lt;&gt;"",$AC74))</f>
        <v>39</v>
      </c>
      <c r="M74" s="99" cm="1">
        <f t="array" aca="1" ref="M74" ca="1">CreateTaskID($M$3,$M:$M,Tasks!$B$17,$G74)</f>
        <v>0</v>
      </c>
      <c r="N74" s="99" t="str">
        <f t="shared" si="16"/>
        <v/>
      </c>
      <c r="O74" s="99" cm="1">
        <f t="array" aca="1" ref="O74" ca="1">CreateID($O$3,$O:$O,$N74&lt;&gt;"")</f>
        <v>39</v>
      </c>
      <c r="P74" s="99" t="str">
        <f t="shared" si="19"/>
        <v/>
      </c>
      <c r="Q74" s="99" cm="1">
        <f t="array" aca="1" ref="Q74" ca="1">CreateID($Q$3,$Q:$Q,$P74&lt;&gt;"")</f>
        <v>0</v>
      </c>
      <c r="R74" s="99" t="str">
        <f t="shared" si="20"/>
        <v/>
      </c>
      <c r="S74" s="99" cm="1">
        <f t="array" aca="1" ref="S74" ca="1">CreateID($S$3,$S:$S,$R74&lt;&gt;"")</f>
        <v>0</v>
      </c>
      <c r="T74" s="99" t="str">
        <f t="shared" si="21"/>
        <v/>
      </c>
      <c r="U74" s="99" cm="1">
        <f t="array" aca="1" ref="U74" ca="1">CreateID($U$3,$U:$U,$T74&lt;&gt;"")</f>
        <v>0</v>
      </c>
      <c r="V74" s="99" cm="1">
        <f t="array" aca="1" ref="V74" ca="1">CreateID($V$3,$V:$V,IFERROR(FIND(Definitions!$AR$4,$G74)&gt;0,FALSE))</f>
        <v>0</v>
      </c>
      <c r="W74" s="99">
        <f>_xlfn.LET(
_xlpm._comment,$G74,
_xlpm._keyWord,Definitions!$AR$4,
_xlpm._diffLen,LEN(_xlpm._comment)-LEN(SUBSTITUTE(_xlpm._comment,_xlpm._keyWord,"")),
_xlpm._diffLen/LEN(_xlpm._keyWord))</f>
        <v>0</v>
      </c>
      <c r="X74" s="99" cm="1">
        <f t="array" aca="1" ref="X74" ca="1">CreateID($X$3,$X:$X,IFERROR(FIND(Definitions!$AR$5,$G74)&gt;0,FALSE))</f>
        <v>0</v>
      </c>
      <c r="Y74" s="99">
        <f>_xlfn.LET(
_xlpm._comment,$G74,
_xlpm._keyWord,Definitions!$AR$5,
_xlpm._diffLen,LEN(_xlpm._comment)-LEN(SUBSTITUTE(_xlpm._comment,_xlpm._keyWord,"")),
_xlpm._diffLen/LEN(_xlpm._keyWord))</f>
        <v>0</v>
      </c>
      <c r="Z74" s="99" t="b">
        <f ca="1">OR(IFERROR(_xlfn.XMATCH("*,"&amp;$A74&amp;",*",Assumptions!$AL:$AL,2)&gt;0,FALSE),
IFERROR(_xlfn.XMATCH("*,"&amp;$A74&amp;",*",Countermeasures!$AO:$AO,2)&gt;0,FALSE))</f>
        <v>0</v>
      </c>
      <c r="AA74" s="99" t="str" cm="1">
        <f t="array" ref="AA74">CreateSearchString($I74)</f>
        <v/>
      </c>
      <c r="AB74" s="99" t="str">
        <f>IF($E74="","",IFERROR(VLOOKUP($E74,Definitions!$H:$J,COLUMNS(Definitions!$H:$J),FALSE),""))</f>
        <v/>
      </c>
      <c r="AC74" s="99" t="b" cm="1">
        <f t="array" ref="AC74">IF($A74="",FALSE,SimpleLookup($A74,Questions!$A:$D)="x")</f>
        <v>0</v>
      </c>
      <c r="AD74" s="99" t="str" cm="1">
        <f t="array" ref="AD74">IF(OR($A74="",NOT($AC74)),"",SimpleLookup($A74,Questions!$A:$E))</f>
        <v/>
      </c>
      <c r="AE74" s="99" t="str" cm="1">
        <f t="array" ref="AE74">IF(OR($A74="",NOT($AC74)),"",SimpleLookup($A74,Questions!$A:$F))</f>
        <v/>
      </c>
      <c r="AF74" s="99" t="str" cm="1">
        <f t="array" ref="AF74">_xlfn.LET(
_xlpm._answer,$C74,
_xlpm._infoTextFull,IF($AC74,CHAR(10)&amp;SimpleLookup($A74,Questions!$A:$H)&amp;CHAR(10),""),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74" s="99" t="b" cm="1">
        <f t="array" ref="AG74">IF(OR($A74="",NOT($AC74)),FALSE,_xlfn.LET(
_xlpm._secondAnswerRequiredOn,SimpleLookup($A74,Questions!$A:$I),
_xlpm._firstAnwer,$C74,
IFERROR(FIND(CHAR(10)&amp;_xlpm._firstAnwer&amp;":",CHAR(10)&amp;_xlpm._secondAnswerRequiredOn)&gt;0,FALSE)))</f>
        <v>0</v>
      </c>
      <c r="AH74" s="99" t="str" cm="1">
        <f t="array" ref="AH74">IF(OR($A74="",NOT($AC74)),"",_xlfn.LET(
_xlpm._id,$A74,
_xlpm._firstAnswer,$C74,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74" s="99" t="str" cm="1">
        <f t="array" ref="AI74">IF(OR($A74="",NOT($AC74)),"",_xlfn.LET(
_xlpm._id,$A74,
_xlpm._firstAnswer,$C74,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74" s="99" t="str" cm="1">
        <f t="array" ref="AJ74">IF($AG74,_xlfn.LET(
_xlpm._answer,$E74,
_xlpm._infoTextFull,IF($AC74,CHAR(10)&amp;SimpleLookup($A74,Questions!$A:$L)&amp;CHAR(10),""),
_xlpm._startSelectedByAnswerOne,IF(_xlpm._infoTextFull="",0,FIND("___"&amp;$C74&amp;"___",_xlpm._infoTextFull)+LEN("___"&amp;$C74&amp;"___")),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74" s="99" t="b" cm="1">
        <f t="array" ref="AK74">IF(OR($A74="",NOT($AC74)),FALSE,SimpleLookup($A74,Questions!$A:$Q))</f>
        <v>0</v>
      </c>
      <c r="AL74" s="99" t="str" cm="1">
        <f t="array" aca="1" ref="AL74" ca="1">IF(AND($A74=Questions!$A$41,IFERROR(SimpleLookup(Questions!$A$36,$A:$E)=Definitions!$O$5,FALSE),$C74=Definitions!$A$5),
Questions!$A$36&amp;" "&amp;Questions!$B$36&amp;CHAR(10)&amp;CHAR(187)&amp;" "&amp;SimpleLookup(Questions!$A$36,$A:$C)&amp;CHAR(10)&amp;SimpleLookup(Questions!$A$36,$A:$D)&amp;CHAR(10)&amp;CHAR(187)&amp;" "&amp;Definitions!$O$5&amp;CHAR(10)&amp;CHAR(10)&amp;
"is incosistent with"&amp;CHAR(10)&amp;CHAR(10)&amp;
$A74&amp;" "&amp;SimpleLookup($A74,Questions!$A:$B)&amp;CHAR(10)&amp;CHAR(187)&amp;" "&amp;$C74,
"")</f>
        <v/>
      </c>
      <c r="AM74" s="99" cm="1">
        <f t="array" aca="1" ref="AM74" ca="1">CreateID($AM$3,$AM:$AM,$AL74&lt;&gt;"")</f>
        <v>0</v>
      </c>
      <c r="AN74" s="99" t="str" cm="1">
        <f t="array" aca="1" ref="AN74" ca="1">IF(OR($C74="",OFFSET($C74,1,0)=""),"",
IF(AND($A74=Questions!$A$59,OFFSET($A74,1,0)=Questions!$A$60,SimpleLookup(Questions!$A$49,$A:$C)=Definitions!$A$4),
IF(MATCH($C74,Definitions!$AW:$AW,0)&gt;MATCH(OFFSET($C74,1,0),Definitions!AW:AW,0),$A74&amp;" "&amp;$K74&amp;": "&amp;$C74&amp;CHAR(10)&amp;"&lt;---&gt;"&amp;CHAR(10)&amp;OFFSET($A74,1,0)&amp;" "&amp;OFFSET($K74,1,0)&amp;": "&amp;OFFSET($C74,1,0),""),
""))</f>
        <v/>
      </c>
      <c r="AO74" s="99" cm="1">
        <f t="array" aca="1" ref="AO74" ca="1">CreateID($AO$3,$AO:$AO,$AN74&lt;&gt;"")</f>
        <v>0</v>
      </c>
    </row>
    <row r="75" spans="9:41" x14ac:dyDescent="0.25">
      <c r="I75" s="99" t="str">
        <f t="shared" si="17"/>
        <v/>
      </c>
      <c r="J75" s="99" t="str">
        <f t="shared" si="18"/>
        <v/>
      </c>
      <c r="K75" s="99" t="e" cm="1">
        <f t="array" aca="1" ref="K75" ca="1">SimpleLookup($A75,Questions!$A:$B)</f>
        <v>#N/A</v>
      </c>
      <c r="L75" s="99" cm="1">
        <f t="array" aca="1" ref="L75" ca="1">CreateID($L$3,$L:$L,AND($A75&lt;&gt;"",$AC75))</f>
        <v>39</v>
      </c>
      <c r="M75" s="99" cm="1">
        <f t="array" aca="1" ref="M75" ca="1">CreateTaskID($M$3,$M:$M,Tasks!$B$17,$G75)</f>
        <v>0</v>
      </c>
      <c r="N75" s="99" t="str">
        <f t="shared" si="16"/>
        <v/>
      </c>
      <c r="O75" s="99" cm="1">
        <f t="array" aca="1" ref="O75" ca="1">CreateID($O$3,$O:$O,$N75&lt;&gt;"")</f>
        <v>39</v>
      </c>
      <c r="P75" s="99" t="str">
        <f t="shared" si="19"/>
        <v/>
      </c>
      <c r="Q75" s="99" cm="1">
        <f t="array" aca="1" ref="Q75" ca="1">CreateID($Q$3,$Q:$Q,$P75&lt;&gt;"")</f>
        <v>0</v>
      </c>
      <c r="R75" s="99" t="str">
        <f t="shared" si="20"/>
        <v/>
      </c>
      <c r="S75" s="99" cm="1">
        <f t="array" aca="1" ref="S75" ca="1">CreateID($S$3,$S:$S,$R75&lt;&gt;"")</f>
        <v>0</v>
      </c>
      <c r="T75" s="99" t="str">
        <f t="shared" si="21"/>
        <v/>
      </c>
      <c r="U75" s="99" cm="1">
        <f t="array" aca="1" ref="U75" ca="1">CreateID($U$3,$U:$U,$T75&lt;&gt;"")</f>
        <v>0</v>
      </c>
      <c r="V75" s="99" cm="1">
        <f t="array" aca="1" ref="V75" ca="1">CreateID($V$3,$V:$V,IFERROR(FIND(Definitions!$AR$4,$G75)&gt;0,FALSE))</f>
        <v>0</v>
      </c>
      <c r="W75" s="99">
        <f>_xlfn.LET(
_xlpm._comment,$G75,
_xlpm._keyWord,Definitions!$AR$4,
_xlpm._diffLen,LEN(_xlpm._comment)-LEN(SUBSTITUTE(_xlpm._comment,_xlpm._keyWord,"")),
_xlpm._diffLen/LEN(_xlpm._keyWord))</f>
        <v>0</v>
      </c>
      <c r="X75" s="99" cm="1">
        <f t="array" aca="1" ref="X75" ca="1">CreateID($X$3,$X:$X,IFERROR(FIND(Definitions!$AR$5,$G75)&gt;0,FALSE))</f>
        <v>0</v>
      </c>
      <c r="Y75" s="99">
        <f>_xlfn.LET(
_xlpm._comment,$G75,
_xlpm._keyWord,Definitions!$AR$5,
_xlpm._diffLen,LEN(_xlpm._comment)-LEN(SUBSTITUTE(_xlpm._comment,_xlpm._keyWord,"")),
_xlpm._diffLen/LEN(_xlpm._keyWord))</f>
        <v>0</v>
      </c>
      <c r="Z75" s="99" t="b">
        <f ca="1">OR(IFERROR(_xlfn.XMATCH("*,"&amp;$A75&amp;",*",Assumptions!$AL:$AL,2)&gt;0,FALSE),
IFERROR(_xlfn.XMATCH("*,"&amp;$A75&amp;",*",Countermeasures!$AO:$AO,2)&gt;0,FALSE))</f>
        <v>0</v>
      </c>
      <c r="AA75" s="99" t="str" cm="1">
        <f t="array" ref="AA75">CreateSearchString($I75)</f>
        <v/>
      </c>
      <c r="AB75" s="99" t="str">
        <f>IF($E75="","",IFERROR(VLOOKUP($E75,Definitions!$H:$J,COLUMNS(Definitions!$H:$J),FALSE),""))</f>
        <v/>
      </c>
      <c r="AC75" s="99" t="b" cm="1">
        <f t="array" ref="AC75">IF($A75="",FALSE,SimpleLookup($A75,Questions!$A:$D)="x")</f>
        <v>0</v>
      </c>
      <c r="AD75" s="99" t="str" cm="1">
        <f t="array" ref="AD75">IF(OR($A75="",NOT($AC75)),"",SimpleLookup($A75,Questions!$A:$E))</f>
        <v/>
      </c>
      <c r="AE75" s="99" t="str" cm="1">
        <f t="array" ref="AE75">IF(OR($A75="",NOT($AC75)),"",SimpleLookup($A75,Questions!$A:$F))</f>
        <v/>
      </c>
      <c r="AF75" s="99" t="str" cm="1">
        <f t="array" ref="AF75">_xlfn.LET(
_xlpm._answer,$C75,
_xlpm._infoTextFull,IF($AC75,CHAR(10)&amp;SimpleLookup($A75,Questions!$A:$H)&amp;CHAR(10),""),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75" s="99" t="b" cm="1">
        <f t="array" ref="AG75">IF(OR($A75="",NOT($AC75)),FALSE,_xlfn.LET(
_xlpm._secondAnswerRequiredOn,SimpleLookup($A75,Questions!$A:$I),
_xlpm._firstAnwer,$C75,
IFERROR(FIND(CHAR(10)&amp;_xlpm._firstAnwer&amp;":",CHAR(10)&amp;_xlpm._secondAnswerRequiredOn)&gt;0,FALSE)))</f>
        <v>0</v>
      </c>
      <c r="AH75" s="99" t="str" cm="1">
        <f t="array" ref="AH75">IF(OR($A75="",NOT($AC75)),"",_xlfn.LET(
_xlpm._id,$A75,
_xlpm._firstAnswer,$C75,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75" s="99" t="str" cm="1">
        <f t="array" ref="AI75">IF(OR($A75="",NOT($AC75)),"",_xlfn.LET(
_xlpm._id,$A75,
_xlpm._firstAnswer,$C75,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75" s="99" t="str" cm="1">
        <f t="array" ref="AJ75">IF($AG75,_xlfn.LET(
_xlpm._answer,$E75,
_xlpm._infoTextFull,IF($AC75,CHAR(10)&amp;SimpleLookup($A75,Questions!$A:$L)&amp;CHAR(10),""),
_xlpm._startSelectedByAnswerOne,IF(_xlpm._infoTextFull="",0,FIND("___"&amp;$C75&amp;"___",_xlpm._infoTextFull)+LEN("___"&amp;$C75&amp;"___")),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75" s="99" t="b" cm="1">
        <f t="array" ref="AK75">IF(OR($A75="",NOT($AC75)),FALSE,SimpleLookup($A75,Questions!$A:$Q))</f>
        <v>0</v>
      </c>
      <c r="AL75" s="99" t="str" cm="1">
        <f t="array" aca="1" ref="AL75" ca="1">IF(AND($A75=Questions!$A$41,IFERROR(SimpleLookup(Questions!$A$36,$A:$E)=Definitions!$O$5,FALSE),$C75=Definitions!$A$5),
Questions!$A$36&amp;" "&amp;Questions!$B$36&amp;CHAR(10)&amp;CHAR(187)&amp;" "&amp;SimpleLookup(Questions!$A$36,$A:$C)&amp;CHAR(10)&amp;SimpleLookup(Questions!$A$36,$A:$D)&amp;CHAR(10)&amp;CHAR(187)&amp;" "&amp;Definitions!$O$5&amp;CHAR(10)&amp;CHAR(10)&amp;
"is incosistent with"&amp;CHAR(10)&amp;CHAR(10)&amp;
$A75&amp;" "&amp;SimpleLookup($A75,Questions!$A:$B)&amp;CHAR(10)&amp;CHAR(187)&amp;" "&amp;$C75,
"")</f>
        <v/>
      </c>
      <c r="AM75" s="99" cm="1">
        <f t="array" aca="1" ref="AM75" ca="1">CreateID($AM$3,$AM:$AM,$AL75&lt;&gt;"")</f>
        <v>0</v>
      </c>
      <c r="AN75" s="99" t="str" cm="1">
        <f t="array" aca="1" ref="AN75" ca="1">IF(OR($C75="",OFFSET($C75,1,0)=""),"",
IF(AND($A75=Questions!$A$59,OFFSET($A75,1,0)=Questions!$A$60,SimpleLookup(Questions!$A$49,$A:$C)=Definitions!$A$4),
IF(MATCH($C75,Definitions!$AW:$AW,0)&gt;MATCH(OFFSET($C75,1,0),Definitions!AW:AW,0),$A75&amp;" "&amp;$K75&amp;": "&amp;$C75&amp;CHAR(10)&amp;"&lt;---&gt;"&amp;CHAR(10)&amp;OFFSET($A75,1,0)&amp;" "&amp;OFFSET($K75,1,0)&amp;": "&amp;OFFSET($C75,1,0),""),
""))</f>
        <v/>
      </c>
      <c r="AO75" s="99" cm="1">
        <f t="array" aca="1" ref="AO75" ca="1">CreateID($AO$3,$AO:$AO,$AN75&lt;&gt;"")</f>
        <v>0</v>
      </c>
    </row>
    <row r="76" spans="9:41" x14ac:dyDescent="0.25">
      <c r="I76" s="99" t="str">
        <f t="shared" si="17"/>
        <v/>
      </c>
      <c r="J76" s="99" t="str">
        <f t="shared" si="18"/>
        <v/>
      </c>
      <c r="K76" s="99" t="e" cm="1">
        <f t="array" aca="1" ref="K76" ca="1">SimpleLookup($A76,Questions!$A:$B)</f>
        <v>#N/A</v>
      </c>
      <c r="L76" s="99" cm="1">
        <f t="array" aca="1" ref="L76" ca="1">CreateID($L$3,$L:$L,AND($A76&lt;&gt;"",$AC76))</f>
        <v>39</v>
      </c>
      <c r="M76" s="99" cm="1">
        <f t="array" aca="1" ref="M76" ca="1">CreateTaskID($M$3,$M:$M,Tasks!$B$17,$G76)</f>
        <v>0</v>
      </c>
      <c r="N76" s="99" t="str">
        <f t="shared" si="16"/>
        <v/>
      </c>
      <c r="O76" s="99" cm="1">
        <f t="array" aca="1" ref="O76" ca="1">CreateID($O$3,$O:$O,$N76&lt;&gt;"")</f>
        <v>39</v>
      </c>
      <c r="P76" s="99" t="str">
        <f t="shared" si="19"/>
        <v/>
      </c>
      <c r="Q76" s="99" cm="1">
        <f t="array" aca="1" ref="Q76" ca="1">CreateID($Q$3,$Q:$Q,$P76&lt;&gt;"")</f>
        <v>0</v>
      </c>
      <c r="R76" s="99" t="str">
        <f t="shared" si="20"/>
        <v/>
      </c>
      <c r="S76" s="99" cm="1">
        <f t="array" aca="1" ref="S76" ca="1">CreateID($S$3,$S:$S,$R76&lt;&gt;"")</f>
        <v>0</v>
      </c>
      <c r="T76" s="99" t="str">
        <f t="shared" si="21"/>
        <v/>
      </c>
      <c r="U76" s="99" cm="1">
        <f t="array" aca="1" ref="U76" ca="1">CreateID($U$3,$U:$U,$T76&lt;&gt;"")</f>
        <v>0</v>
      </c>
      <c r="V76" s="99" cm="1">
        <f t="array" aca="1" ref="V76" ca="1">CreateID($V$3,$V:$V,IFERROR(FIND(Definitions!$AR$4,$G76)&gt;0,FALSE))</f>
        <v>0</v>
      </c>
      <c r="W76" s="99">
        <f>_xlfn.LET(
_xlpm._comment,$G76,
_xlpm._keyWord,Definitions!$AR$4,
_xlpm._diffLen,LEN(_xlpm._comment)-LEN(SUBSTITUTE(_xlpm._comment,_xlpm._keyWord,"")),
_xlpm._diffLen/LEN(_xlpm._keyWord))</f>
        <v>0</v>
      </c>
      <c r="X76" s="99" cm="1">
        <f t="array" aca="1" ref="X76" ca="1">CreateID($X$3,$X:$X,IFERROR(FIND(Definitions!$AR$5,$G76)&gt;0,FALSE))</f>
        <v>0</v>
      </c>
      <c r="Y76" s="99">
        <f>_xlfn.LET(
_xlpm._comment,$G76,
_xlpm._keyWord,Definitions!$AR$5,
_xlpm._diffLen,LEN(_xlpm._comment)-LEN(SUBSTITUTE(_xlpm._comment,_xlpm._keyWord,"")),
_xlpm._diffLen/LEN(_xlpm._keyWord))</f>
        <v>0</v>
      </c>
      <c r="Z76" s="99" t="b">
        <f ca="1">OR(IFERROR(_xlfn.XMATCH("*,"&amp;$A76&amp;",*",Assumptions!$AL:$AL,2)&gt;0,FALSE),
IFERROR(_xlfn.XMATCH("*,"&amp;$A76&amp;",*",Countermeasures!$AO:$AO,2)&gt;0,FALSE))</f>
        <v>0</v>
      </c>
      <c r="AA76" s="99" t="str" cm="1">
        <f t="array" ref="AA76">CreateSearchString($I76)</f>
        <v/>
      </c>
      <c r="AB76" s="99" t="str">
        <f>IF($E76="","",IFERROR(VLOOKUP($E76,Definitions!$H:$J,COLUMNS(Definitions!$H:$J),FALSE),""))</f>
        <v/>
      </c>
      <c r="AC76" s="99" t="b" cm="1">
        <f t="array" ref="AC76">IF($A76="",FALSE,SimpleLookup($A76,Questions!$A:$D)="x")</f>
        <v>0</v>
      </c>
      <c r="AD76" s="99" t="str" cm="1">
        <f t="array" ref="AD76">IF(OR($A76="",NOT($AC76)),"",SimpleLookup($A76,Questions!$A:$E))</f>
        <v/>
      </c>
      <c r="AE76" s="99" t="str" cm="1">
        <f t="array" ref="AE76">IF(OR($A76="",NOT($AC76)),"",SimpleLookup($A76,Questions!$A:$F))</f>
        <v/>
      </c>
      <c r="AF76" s="99" t="str" cm="1">
        <f t="array" ref="AF76">_xlfn.LET(
_xlpm._answer,$C76,
_xlpm._infoTextFull,IF($AC76,CHAR(10)&amp;SimpleLookup($A76,Questions!$A:$H)&amp;CHAR(10),""),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76" s="99" t="b" cm="1">
        <f t="array" ref="AG76">IF(OR($A76="",NOT($AC76)),FALSE,_xlfn.LET(
_xlpm._secondAnswerRequiredOn,SimpleLookup($A76,Questions!$A:$I),
_xlpm._firstAnwer,$C76,
IFERROR(FIND(CHAR(10)&amp;_xlpm._firstAnwer&amp;":",CHAR(10)&amp;_xlpm._secondAnswerRequiredOn)&gt;0,FALSE)))</f>
        <v>0</v>
      </c>
      <c r="AH76" s="99" t="str" cm="1">
        <f t="array" ref="AH76">IF(OR($A76="",NOT($AC76)),"",_xlfn.LET(
_xlpm._id,$A76,
_xlpm._firstAnswer,$C76,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76" s="99" t="str" cm="1">
        <f t="array" ref="AI76">IF(OR($A76="",NOT($AC76)),"",_xlfn.LET(
_xlpm._id,$A76,
_xlpm._firstAnswer,$C76,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76" s="99" t="str" cm="1">
        <f t="array" ref="AJ76">IF($AG76,_xlfn.LET(
_xlpm._answer,$E76,
_xlpm._infoTextFull,IF($AC76,CHAR(10)&amp;SimpleLookup($A76,Questions!$A:$L)&amp;CHAR(10),""),
_xlpm._startSelectedByAnswerOne,IF(_xlpm._infoTextFull="",0,FIND("___"&amp;$C76&amp;"___",_xlpm._infoTextFull)+LEN("___"&amp;$C76&amp;"___")),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76" s="99" t="b" cm="1">
        <f t="array" ref="AK76">IF(OR($A76="",NOT($AC76)),FALSE,SimpleLookup($A76,Questions!$A:$Q))</f>
        <v>0</v>
      </c>
      <c r="AL76" s="99" t="str" cm="1">
        <f t="array" aca="1" ref="AL76" ca="1">IF(AND($A76=Questions!$A$41,IFERROR(SimpleLookup(Questions!$A$36,$A:$E)=Definitions!$O$5,FALSE),$C76=Definitions!$A$5),
Questions!$A$36&amp;" "&amp;Questions!$B$36&amp;CHAR(10)&amp;CHAR(187)&amp;" "&amp;SimpleLookup(Questions!$A$36,$A:$C)&amp;CHAR(10)&amp;SimpleLookup(Questions!$A$36,$A:$D)&amp;CHAR(10)&amp;CHAR(187)&amp;" "&amp;Definitions!$O$5&amp;CHAR(10)&amp;CHAR(10)&amp;
"is incosistent with"&amp;CHAR(10)&amp;CHAR(10)&amp;
$A76&amp;" "&amp;SimpleLookup($A76,Questions!$A:$B)&amp;CHAR(10)&amp;CHAR(187)&amp;" "&amp;$C76,
"")</f>
        <v/>
      </c>
      <c r="AM76" s="99" cm="1">
        <f t="array" aca="1" ref="AM76" ca="1">CreateID($AM$3,$AM:$AM,$AL76&lt;&gt;"")</f>
        <v>0</v>
      </c>
      <c r="AN76" s="99" t="str" cm="1">
        <f t="array" aca="1" ref="AN76" ca="1">IF(OR($C76="",OFFSET($C76,1,0)=""),"",
IF(AND($A76=Questions!$A$59,OFFSET($A76,1,0)=Questions!$A$60,SimpleLookup(Questions!$A$49,$A:$C)=Definitions!$A$4),
IF(MATCH($C76,Definitions!$AW:$AW,0)&gt;MATCH(OFFSET($C76,1,0),Definitions!AW:AW,0),$A76&amp;" "&amp;$K76&amp;": "&amp;$C76&amp;CHAR(10)&amp;"&lt;---&gt;"&amp;CHAR(10)&amp;OFFSET($A76,1,0)&amp;" "&amp;OFFSET($K76,1,0)&amp;": "&amp;OFFSET($C76,1,0),""),
""))</f>
        <v/>
      </c>
      <c r="AO76" s="99" cm="1">
        <f t="array" aca="1" ref="AO76" ca="1">CreateID($AO$3,$AO:$AO,$AN76&lt;&gt;"")</f>
        <v>0</v>
      </c>
    </row>
    <row r="77" spans="9:41" x14ac:dyDescent="0.25">
      <c r="I77" s="99" t="str">
        <f t="shared" si="17"/>
        <v/>
      </c>
      <c r="J77" s="99" t="str">
        <f t="shared" si="18"/>
        <v/>
      </c>
      <c r="K77" s="99" t="e" cm="1">
        <f t="array" aca="1" ref="K77" ca="1">SimpleLookup($A77,Questions!$A:$B)</f>
        <v>#N/A</v>
      </c>
      <c r="L77" s="99" cm="1">
        <f t="array" aca="1" ref="L77" ca="1">CreateID($L$3,$L:$L,AND($A77&lt;&gt;"",$AC77))</f>
        <v>39</v>
      </c>
      <c r="M77" s="99" cm="1">
        <f t="array" aca="1" ref="M77" ca="1">CreateTaskID($M$3,$M:$M,Tasks!$B$17,$G77)</f>
        <v>0</v>
      </c>
      <c r="N77" s="99" t="str">
        <f t="shared" si="16"/>
        <v/>
      </c>
      <c r="O77" s="99" cm="1">
        <f t="array" aca="1" ref="O77" ca="1">CreateID($O$3,$O:$O,$N77&lt;&gt;"")</f>
        <v>39</v>
      </c>
      <c r="P77" s="99" t="str">
        <f t="shared" si="19"/>
        <v/>
      </c>
      <c r="Q77" s="99" cm="1">
        <f t="array" aca="1" ref="Q77" ca="1">CreateID($Q$3,$Q:$Q,$P77&lt;&gt;"")</f>
        <v>0</v>
      </c>
      <c r="R77" s="99" t="str">
        <f t="shared" si="20"/>
        <v/>
      </c>
      <c r="S77" s="99" cm="1">
        <f t="array" aca="1" ref="S77" ca="1">CreateID($S$3,$S:$S,$R77&lt;&gt;"")</f>
        <v>0</v>
      </c>
      <c r="T77" s="99" t="str">
        <f t="shared" si="21"/>
        <v/>
      </c>
      <c r="U77" s="99" cm="1">
        <f t="array" aca="1" ref="U77" ca="1">CreateID($U$3,$U:$U,$T77&lt;&gt;"")</f>
        <v>0</v>
      </c>
      <c r="V77" s="99" cm="1">
        <f t="array" aca="1" ref="V77" ca="1">CreateID($V$3,$V:$V,IFERROR(FIND(Definitions!$AR$4,$G77)&gt;0,FALSE))</f>
        <v>0</v>
      </c>
      <c r="W77" s="99">
        <f>_xlfn.LET(
_xlpm._comment,$G77,
_xlpm._keyWord,Definitions!$AR$4,
_xlpm._diffLen,LEN(_xlpm._comment)-LEN(SUBSTITUTE(_xlpm._comment,_xlpm._keyWord,"")),
_xlpm._diffLen/LEN(_xlpm._keyWord))</f>
        <v>0</v>
      </c>
      <c r="X77" s="99" cm="1">
        <f t="array" aca="1" ref="X77" ca="1">CreateID($X$3,$X:$X,IFERROR(FIND(Definitions!$AR$5,$G77)&gt;0,FALSE))</f>
        <v>0</v>
      </c>
      <c r="Y77" s="99">
        <f>_xlfn.LET(
_xlpm._comment,$G77,
_xlpm._keyWord,Definitions!$AR$5,
_xlpm._diffLen,LEN(_xlpm._comment)-LEN(SUBSTITUTE(_xlpm._comment,_xlpm._keyWord,"")),
_xlpm._diffLen/LEN(_xlpm._keyWord))</f>
        <v>0</v>
      </c>
      <c r="Z77" s="99" t="b">
        <f ca="1">OR(IFERROR(_xlfn.XMATCH("*,"&amp;$A77&amp;",*",Assumptions!$AL:$AL,2)&gt;0,FALSE),
IFERROR(_xlfn.XMATCH("*,"&amp;$A77&amp;",*",Countermeasures!$AO:$AO,2)&gt;0,FALSE))</f>
        <v>0</v>
      </c>
      <c r="AA77" s="99" t="str" cm="1">
        <f t="array" ref="AA77">CreateSearchString($I77)</f>
        <v/>
      </c>
      <c r="AB77" s="99" t="str">
        <f>IF($E77="","",IFERROR(VLOOKUP($E77,Definitions!$H:$J,COLUMNS(Definitions!$H:$J),FALSE),""))</f>
        <v/>
      </c>
      <c r="AC77" s="99" t="b" cm="1">
        <f t="array" ref="AC77">IF($A77="",FALSE,SimpleLookup($A77,Questions!$A:$D)="x")</f>
        <v>0</v>
      </c>
      <c r="AD77" s="99" t="str" cm="1">
        <f t="array" ref="AD77">IF(OR($A77="",NOT($AC77)),"",SimpleLookup($A77,Questions!$A:$E))</f>
        <v/>
      </c>
      <c r="AE77" s="99" t="str" cm="1">
        <f t="array" ref="AE77">IF(OR($A77="",NOT($AC77)),"",SimpleLookup($A77,Questions!$A:$F))</f>
        <v/>
      </c>
      <c r="AF77" s="99" t="str" cm="1">
        <f t="array" ref="AF77">_xlfn.LET(
_xlpm._answer,$C77,
_xlpm._infoTextFull,IF($AC77,CHAR(10)&amp;SimpleLookup($A77,Questions!$A:$H)&amp;CHAR(10),""),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77" s="99" t="b" cm="1">
        <f t="array" ref="AG77">IF(OR($A77="",NOT($AC77)),FALSE,_xlfn.LET(
_xlpm._secondAnswerRequiredOn,SimpleLookup($A77,Questions!$A:$I),
_xlpm._firstAnwer,$C77,
IFERROR(FIND(CHAR(10)&amp;_xlpm._firstAnwer&amp;":",CHAR(10)&amp;_xlpm._secondAnswerRequiredOn)&gt;0,FALSE)))</f>
        <v>0</v>
      </c>
      <c r="AH77" s="99" t="str" cm="1">
        <f t="array" ref="AH77">IF(OR($A77="",NOT($AC77)),"",_xlfn.LET(
_xlpm._id,$A77,
_xlpm._firstAnswer,$C77,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77" s="99" t="str" cm="1">
        <f t="array" ref="AI77">IF(OR($A77="",NOT($AC77)),"",_xlfn.LET(
_xlpm._id,$A77,
_xlpm._firstAnswer,$C77,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77" s="99" t="str" cm="1">
        <f t="array" ref="AJ77">IF($AG77,_xlfn.LET(
_xlpm._answer,$E77,
_xlpm._infoTextFull,IF($AC77,CHAR(10)&amp;SimpleLookup($A77,Questions!$A:$L)&amp;CHAR(10),""),
_xlpm._startSelectedByAnswerOne,IF(_xlpm._infoTextFull="",0,FIND("___"&amp;$C77&amp;"___",_xlpm._infoTextFull)+LEN("___"&amp;$C77&amp;"___")),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77" s="99" t="b" cm="1">
        <f t="array" ref="AK77">IF(OR($A77="",NOT($AC77)),FALSE,SimpleLookup($A77,Questions!$A:$Q))</f>
        <v>0</v>
      </c>
      <c r="AL77" s="99" t="str" cm="1">
        <f t="array" aca="1" ref="AL77" ca="1">IF(AND($A77=Questions!$A$41,IFERROR(SimpleLookup(Questions!$A$36,$A:$E)=Definitions!$O$5,FALSE),$C77=Definitions!$A$5),
Questions!$A$36&amp;" "&amp;Questions!$B$36&amp;CHAR(10)&amp;CHAR(187)&amp;" "&amp;SimpleLookup(Questions!$A$36,$A:$C)&amp;CHAR(10)&amp;SimpleLookup(Questions!$A$36,$A:$D)&amp;CHAR(10)&amp;CHAR(187)&amp;" "&amp;Definitions!$O$5&amp;CHAR(10)&amp;CHAR(10)&amp;
"is incosistent with"&amp;CHAR(10)&amp;CHAR(10)&amp;
$A77&amp;" "&amp;SimpleLookup($A77,Questions!$A:$B)&amp;CHAR(10)&amp;CHAR(187)&amp;" "&amp;$C77,
"")</f>
        <v/>
      </c>
      <c r="AM77" s="99" cm="1">
        <f t="array" aca="1" ref="AM77" ca="1">CreateID($AM$3,$AM:$AM,$AL77&lt;&gt;"")</f>
        <v>0</v>
      </c>
      <c r="AN77" s="99" t="str" cm="1">
        <f t="array" aca="1" ref="AN77" ca="1">IF(OR($C77="",OFFSET($C77,1,0)=""),"",
IF(AND($A77=Questions!$A$59,OFFSET($A77,1,0)=Questions!$A$60,SimpleLookup(Questions!$A$49,$A:$C)=Definitions!$A$4),
IF(MATCH($C77,Definitions!$AW:$AW,0)&gt;MATCH(OFFSET($C77,1,0),Definitions!AW:AW,0),$A77&amp;" "&amp;$K77&amp;": "&amp;$C77&amp;CHAR(10)&amp;"&lt;---&gt;"&amp;CHAR(10)&amp;OFFSET($A77,1,0)&amp;" "&amp;OFFSET($K77,1,0)&amp;": "&amp;OFFSET($C77,1,0),""),
""))</f>
        <v/>
      </c>
      <c r="AO77" s="99" cm="1">
        <f t="array" aca="1" ref="AO77" ca="1">CreateID($AO$3,$AO:$AO,$AN77&lt;&gt;"")</f>
        <v>0</v>
      </c>
    </row>
    <row r="78" spans="9:41" x14ac:dyDescent="0.25">
      <c r="I78" s="99" t="str">
        <f t="shared" si="17"/>
        <v/>
      </c>
      <c r="J78" s="99" t="str">
        <f t="shared" si="18"/>
        <v/>
      </c>
      <c r="K78" s="99" t="e" cm="1">
        <f t="array" aca="1" ref="K78" ca="1">SimpleLookup($A78,Questions!$A:$B)</f>
        <v>#N/A</v>
      </c>
      <c r="L78" s="99" cm="1">
        <f t="array" aca="1" ref="L78" ca="1">CreateID($L$3,$L:$L,AND($A78&lt;&gt;"",$AC78))</f>
        <v>39</v>
      </c>
      <c r="M78" s="99" cm="1">
        <f t="array" aca="1" ref="M78" ca="1">CreateTaskID($M$3,$M:$M,Tasks!$B$17,$G78)</f>
        <v>0</v>
      </c>
      <c r="N78" s="99" t="str">
        <f t="shared" si="16"/>
        <v/>
      </c>
      <c r="O78" s="99" cm="1">
        <f t="array" aca="1" ref="O78" ca="1">CreateID($O$3,$O:$O,$N78&lt;&gt;"")</f>
        <v>39</v>
      </c>
      <c r="P78" s="99" t="str">
        <f t="shared" si="19"/>
        <v/>
      </c>
      <c r="Q78" s="99" cm="1">
        <f t="array" aca="1" ref="Q78" ca="1">CreateID($Q$3,$Q:$Q,$P78&lt;&gt;"")</f>
        <v>0</v>
      </c>
      <c r="R78" s="99" t="str">
        <f t="shared" si="20"/>
        <v/>
      </c>
      <c r="S78" s="99" cm="1">
        <f t="array" aca="1" ref="S78" ca="1">CreateID($S$3,$S:$S,$R78&lt;&gt;"")</f>
        <v>0</v>
      </c>
      <c r="T78" s="99" t="str">
        <f t="shared" si="21"/>
        <v/>
      </c>
      <c r="U78" s="99" cm="1">
        <f t="array" aca="1" ref="U78" ca="1">CreateID($U$3,$U:$U,$T78&lt;&gt;"")</f>
        <v>0</v>
      </c>
      <c r="V78" s="99" cm="1">
        <f t="array" aca="1" ref="V78" ca="1">CreateID($V$3,$V:$V,IFERROR(FIND(Definitions!$AR$4,$G78)&gt;0,FALSE))</f>
        <v>0</v>
      </c>
      <c r="W78" s="99">
        <f>_xlfn.LET(
_xlpm._comment,$G78,
_xlpm._keyWord,Definitions!$AR$4,
_xlpm._diffLen,LEN(_xlpm._comment)-LEN(SUBSTITUTE(_xlpm._comment,_xlpm._keyWord,"")),
_xlpm._diffLen/LEN(_xlpm._keyWord))</f>
        <v>0</v>
      </c>
      <c r="X78" s="99" cm="1">
        <f t="array" aca="1" ref="X78" ca="1">CreateID($X$3,$X:$X,IFERROR(FIND(Definitions!$AR$5,$G78)&gt;0,FALSE))</f>
        <v>0</v>
      </c>
      <c r="Y78" s="99">
        <f>_xlfn.LET(
_xlpm._comment,$G78,
_xlpm._keyWord,Definitions!$AR$5,
_xlpm._diffLen,LEN(_xlpm._comment)-LEN(SUBSTITUTE(_xlpm._comment,_xlpm._keyWord,"")),
_xlpm._diffLen/LEN(_xlpm._keyWord))</f>
        <v>0</v>
      </c>
      <c r="Z78" s="99" t="b">
        <f ca="1">OR(IFERROR(_xlfn.XMATCH("*,"&amp;$A78&amp;",*",Assumptions!$AL:$AL,2)&gt;0,FALSE),
IFERROR(_xlfn.XMATCH("*,"&amp;$A78&amp;",*",Countermeasures!$AO:$AO,2)&gt;0,FALSE))</f>
        <v>0</v>
      </c>
      <c r="AA78" s="99" t="str" cm="1">
        <f t="array" ref="AA78">CreateSearchString($I78)</f>
        <v/>
      </c>
      <c r="AB78" s="99" t="str">
        <f>IF($E78="","",IFERROR(VLOOKUP($E78,Definitions!$H:$J,COLUMNS(Definitions!$H:$J),FALSE),""))</f>
        <v/>
      </c>
      <c r="AC78" s="99" t="b" cm="1">
        <f t="array" ref="AC78">IF($A78="",FALSE,SimpleLookup($A78,Questions!$A:$D)="x")</f>
        <v>0</v>
      </c>
      <c r="AD78" s="99" t="str" cm="1">
        <f t="array" ref="AD78">IF(OR($A78="",NOT($AC78)),"",SimpleLookup($A78,Questions!$A:$E))</f>
        <v/>
      </c>
      <c r="AE78" s="99" t="str" cm="1">
        <f t="array" ref="AE78">IF(OR($A78="",NOT($AC78)),"",SimpleLookup($A78,Questions!$A:$F))</f>
        <v/>
      </c>
      <c r="AF78" s="99" t="str" cm="1">
        <f t="array" ref="AF78">_xlfn.LET(
_xlpm._answer,$C78,
_xlpm._infoTextFull,IF($AC78,CHAR(10)&amp;SimpleLookup($A78,Questions!$A:$H)&amp;CHAR(10),""),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78" s="99" t="b" cm="1">
        <f t="array" ref="AG78">IF(OR($A78="",NOT($AC78)),FALSE,_xlfn.LET(
_xlpm._secondAnswerRequiredOn,SimpleLookup($A78,Questions!$A:$I),
_xlpm._firstAnwer,$C78,
IFERROR(FIND(CHAR(10)&amp;_xlpm._firstAnwer&amp;":",CHAR(10)&amp;_xlpm._secondAnswerRequiredOn)&gt;0,FALSE)))</f>
        <v>0</v>
      </c>
      <c r="AH78" s="99" t="str" cm="1">
        <f t="array" ref="AH78">IF(OR($A78="",NOT($AC78)),"",_xlfn.LET(
_xlpm._id,$A78,
_xlpm._firstAnswer,$C78,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78" s="99" t="str" cm="1">
        <f t="array" ref="AI78">IF(OR($A78="",NOT($AC78)),"",_xlfn.LET(
_xlpm._id,$A78,
_xlpm._firstAnswer,$C78,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78" s="99" t="str" cm="1">
        <f t="array" ref="AJ78">IF($AG78,_xlfn.LET(
_xlpm._answer,$E78,
_xlpm._infoTextFull,IF($AC78,CHAR(10)&amp;SimpleLookup($A78,Questions!$A:$L)&amp;CHAR(10),""),
_xlpm._startSelectedByAnswerOne,IF(_xlpm._infoTextFull="",0,FIND("___"&amp;$C78&amp;"___",_xlpm._infoTextFull)+LEN("___"&amp;$C78&amp;"___")),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78" s="99" t="b" cm="1">
        <f t="array" ref="AK78">IF(OR($A78="",NOT($AC78)),FALSE,SimpleLookup($A78,Questions!$A:$Q))</f>
        <v>0</v>
      </c>
      <c r="AL78" s="99" t="str" cm="1">
        <f t="array" aca="1" ref="AL78" ca="1">IF(AND($A78=Questions!$A$41,IFERROR(SimpleLookup(Questions!$A$36,$A:$E)=Definitions!$O$5,FALSE),$C78=Definitions!$A$5),
Questions!$A$36&amp;" "&amp;Questions!$B$36&amp;CHAR(10)&amp;CHAR(187)&amp;" "&amp;SimpleLookup(Questions!$A$36,$A:$C)&amp;CHAR(10)&amp;SimpleLookup(Questions!$A$36,$A:$D)&amp;CHAR(10)&amp;CHAR(187)&amp;" "&amp;Definitions!$O$5&amp;CHAR(10)&amp;CHAR(10)&amp;
"is incosistent with"&amp;CHAR(10)&amp;CHAR(10)&amp;
$A78&amp;" "&amp;SimpleLookup($A78,Questions!$A:$B)&amp;CHAR(10)&amp;CHAR(187)&amp;" "&amp;$C78,
"")</f>
        <v/>
      </c>
      <c r="AM78" s="99" cm="1">
        <f t="array" aca="1" ref="AM78" ca="1">CreateID($AM$3,$AM:$AM,$AL78&lt;&gt;"")</f>
        <v>0</v>
      </c>
      <c r="AN78" s="99" t="str" cm="1">
        <f t="array" aca="1" ref="AN78" ca="1">IF(OR($C78="",OFFSET($C78,1,0)=""),"",
IF(AND($A78=Questions!$A$59,OFFSET($A78,1,0)=Questions!$A$60,SimpleLookup(Questions!$A$49,$A:$C)=Definitions!$A$4),
IF(MATCH($C78,Definitions!$AW:$AW,0)&gt;MATCH(OFFSET($C78,1,0),Definitions!AW:AW,0),$A78&amp;" "&amp;$K78&amp;": "&amp;$C78&amp;CHAR(10)&amp;"&lt;---&gt;"&amp;CHAR(10)&amp;OFFSET($A78,1,0)&amp;" "&amp;OFFSET($K78,1,0)&amp;": "&amp;OFFSET($C78,1,0),""),
""))</f>
        <v/>
      </c>
      <c r="AO78" s="99" cm="1">
        <f t="array" aca="1" ref="AO78" ca="1">CreateID($AO$3,$AO:$AO,$AN78&lt;&gt;"")</f>
        <v>0</v>
      </c>
    </row>
    <row r="79" spans="9:41" x14ac:dyDescent="0.25">
      <c r="I79" s="99" t="str">
        <f t="shared" si="17"/>
        <v/>
      </c>
      <c r="J79" s="99" t="str">
        <f t="shared" si="18"/>
        <v/>
      </c>
      <c r="K79" s="99" t="e" cm="1">
        <f t="array" aca="1" ref="K79" ca="1">SimpleLookup($A79,Questions!$A:$B)</f>
        <v>#N/A</v>
      </c>
      <c r="L79" s="99" cm="1">
        <f t="array" aca="1" ref="L79" ca="1">CreateID($L$3,$L:$L,AND($A79&lt;&gt;"",$AC79))</f>
        <v>39</v>
      </c>
      <c r="M79" s="99" cm="1">
        <f t="array" aca="1" ref="M79" ca="1">CreateTaskID($M$3,$M:$M,Tasks!$B$17,$G79)</f>
        <v>0</v>
      </c>
      <c r="N79" s="99" t="str">
        <f t="shared" si="16"/>
        <v/>
      </c>
      <c r="O79" s="99" cm="1">
        <f t="array" aca="1" ref="O79" ca="1">CreateID($O$3,$O:$O,$N79&lt;&gt;"")</f>
        <v>39</v>
      </c>
      <c r="P79" s="99" t="str">
        <f t="shared" si="19"/>
        <v/>
      </c>
      <c r="Q79" s="99" cm="1">
        <f t="array" aca="1" ref="Q79" ca="1">CreateID($Q$3,$Q:$Q,$P79&lt;&gt;"")</f>
        <v>0</v>
      </c>
      <c r="R79" s="99" t="str">
        <f t="shared" si="20"/>
        <v/>
      </c>
      <c r="S79" s="99" cm="1">
        <f t="array" aca="1" ref="S79" ca="1">CreateID($S$3,$S:$S,$R79&lt;&gt;"")</f>
        <v>0</v>
      </c>
      <c r="T79" s="99" t="str">
        <f t="shared" si="21"/>
        <v/>
      </c>
      <c r="U79" s="99" cm="1">
        <f t="array" aca="1" ref="U79" ca="1">CreateID($U$3,$U:$U,$T79&lt;&gt;"")</f>
        <v>0</v>
      </c>
      <c r="V79" s="99" cm="1">
        <f t="array" aca="1" ref="V79" ca="1">CreateID($V$3,$V:$V,IFERROR(FIND(Definitions!$AR$4,$G79)&gt;0,FALSE))</f>
        <v>0</v>
      </c>
      <c r="W79" s="99">
        <f>_xlfn.LET(
_xlpm._comment,$G79,
_xlpm._keyWord,Definitions!$AR$4,
_xlpm._diffLen,LEN(_xlpm._comment)-LEN(SUBSTITUTE(_xlpm._comment,_xlpm._keyWord,"")),
_xlpm._diffLen/LEN(_xlpm._keyWord))</f>
        <v>0</v>
      </c>
      <c r="X79" s="99" cm="1">
        <f t="array" aca="1" ref="X79" ca="1">CreateID($X$3,$X:$X,IFERROR(FIND(Definitions!$AR$5,$G79)&gt;0,FALSE))</f>
        <v>0</v>
      </c>
      <c r="Y79" s="99">
        <f>_xlfn.LET(
_xlpm._comment,$G79,
_xlpm._keyWord,Definitions!$AR$5,
_xlpm._diffLen,LEN(_xlpm._comment)-LEN(SUBSTITUTE(_xlpm._comment,_xlpm._keyWord,"")),
_xlpm._diffLen/LEN(_xlpm._keyWord))</f>
        <v>0</v>
      </c>
      <c r="Z79" s="99" t="b">
        <f ca="1">OR(IFERROR(_xlfn.XMATCH("*,"&amp;$A79&amp;",*",Assumptions!$AL:$AL,2)&gt;0,FALSE),
IFERROR(_xlfn.XMATCH("*,"&amp;$A79&amp;",*",Countermeasures!$AO:$AO,2)&gt;0,FALSE))</f>
        <v>0</v>
      </c>
      <c r="AA79" s="99" t="str" cm="1">
        <f t="array" ref="AA79">CreateSearchString($I79)</f>
        <v/>
      </c>
      <c r="AB79" s="99" t="str">
        <f>IF($E79="","",IFERROR(VLOOKUP($E79,Definitions!$H:$J,COLUMNS(Definitions!$H:$J),FALSE),""))</f>
        <v/>
      </c>
      <c r="AC79" s="99" t="b" cm="1">
        <f t="array" ref="AC79">IF($A79="",FALSE,SimpleLookup($A79,Questions!$A:$D)="x")</f>
        <v>0</v>
      </c>
      <c r="AD79" s="99" t="str" cm="1">
        <f t="array" ref="AD79">IF(OR($A79="",NOT($AC79)),"",SimpleLookup($A79,Questions!$A:$E))</f>
        <v/>
      </c>
      <c r="AE79" s="99" t="str" cm="1">
        <f t="array" ref="AE79">IF(OR($A79="",NOT($AC79)),"",SimpleLookup($A79,Questions!$A:$F))</f>
        <v/>
      </c>
      <c r="AF79" s="99" t="str" cm="1">
        <f t="array" ref="AF79">_xlfn.LET(
_xlpm._answer,$C79,
_xlpm._infoTextFull,IF($AC79,CHAR(10)&amp;SimpleLookup($A79,Questions!$A:$H)&amp;CHAR(10),""),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79" s="99" t="b" cm="1">
        <f t="array" ref="AG79">IF(OR($A79="",NOT($AC79)),FALSE,_xlfn.LET(
_xlpm._secondAnswerRequiredOn,SimpleLookup($A79,Questions!$A:$I),
_xlpm._firstAnwer,$C79,
IFERROR(FIND(CHAR(10)&amp;_xlpm._firstAnwer&amp;":",CHAR(10)&amp;_xlpm._secondAnswerRequiredOn)&gt;0,FALSE)))</f>
        <v>0</v>
      </c>
      <c r="AH79" s="99" t="str" cm="1">
        <f t="array" ref="AH79">IF(OR($A79="",NOT($AC79)),"",_xlfn.LET(
_xlpm._id,$A79,
_xlpm._firstAnswer,$C79,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79" s="99" t="str" cm="1">
        <f t="array" ref="AI79">IF(OR($A79="",NOT($AC79)),"",_xlfn.LET(
_xlpm._id,$A79,
_xlpm._firstAnswer,$C79,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79" s="99" t="str" cm="1">
        <f t="array" ref="AJ79">IF($AG79,_xlfn.LET(
_xlpm._answer,$E79,
_xlpm._infoTextFull,IF($AC79,CHAR(10)&amp;SimpleLookup($A79,Questions!$A:$L)&amp;CHAR(10),""),
_xlpm._startSelectedByAnswerOne,IF(_xlpm._infoTextFull="",0,FIND("___"&amp;$C79&amp;"___",_xlpm._infoTextFull)+LEN("___"&amp;$C79&amp;"___")),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79" s="99" t="b" cm="1">
        <f t="array" ref="AK79">IF(OR($A79="",NOT($AC79)),FALSE,SimpleLookup($A79,Questions!$A:$Q))</f>
        <v>0</v>
      </c>
      <c r="AL79" s="99" t="str" cm="1">
        <f t="array" aca="1" ref="AL79" ca="1">IF(AND($A79=Questions!$A$41,IFERROR(SimpleLookup(Questions!$A$36,$A:$E)=Definitions!$O$5,FALSE),$C79=Definitions!$A$5),
Questions!$A$36&amp;" "&amp;Questions!$B$36&amp;CHAR(10)&amp;CHAR(187)&amp;" "&amp;SimpleLookup(Questions!$A$36,$A:$C)&amp;CHAR(10)&amp;SimpleLookup(Questions!$A$36,$A:$D)&amp;CHAR(10)&amp;CHAR(187)&amp;" "&amp;Definitions!$O$5&amp;CHAR(10)&amp;CHAR(10)&amp;
"is incosistent with"&amp;CHAR(10)&amp;CHAR(10)&amp;
$A79&amp;" "&amp;SimpleLookup($A79,Questions!$A:$B)&amp;CHAR(10)&amp;CHAR(187)&amp;" "&amp;$C79,
"")</f>
        <v/>
      </c>
      <c r="AM79" s="99" cm="1">
        <f t="array" aca="1" ref="AM79" ca="1">CreateID($AM$3,$AM:$AM,$AL79&lt;&gt;"")</f>
        <v>0</v>
      </c>
      <c r="AN79" s="99" t="str" cm="1">
        <f t="array" aca="1" ref="AN79" ca="1">IF(OR($C79="",OFFSET($C79,1,0)=""),"",
IF(AND($A79=Questions!$A$59,OFFSET($A79,1,0)=Questions!$A$60,SimpleLookup(Questions!$A$49,$A:$C)=Definitions!$A$4),
IF(MATCH($C79,Definitions!$AW:$AW,0)&gt;MATCH(OFFSET($C79,1,0),Definitions!AW:AW,0),$A79&amp;" "&amp;$K79&amp;": "&amp;$C79&amp;CHAR(10)&amp;"&lt;---&gt;"&amp;CHAR(10)&amp;OFFSET($A79,1,0)&amp;" "&amp;OFFSET($K79,1,0)&amp;": "&amp;OFFSET($C79,1,0),""),
""))</f>
        <v/>
      </c>
      <c r="AO79" s="99" cm="1">
        <f t="array" aca="1" ref="AO79" ca="1">CreateID($AO$3,$AO:$AO,$AN79&lt;&gt;"")</f>
        <v>0</v>
      </c>
    </row>
    <row r="80" spans="9:41" x14ac:dyDescent="0.25">
      <c r="I80" s="99" t="str">
        <f t="shared" si="17"/>
        <v/>
      </c>
      <c r="J80" s="99" t="str">
        <f t="shared" si="18"/>
        <v/>
      </c>
      <c r="K80" s="99" t="e" cm="1">
        <f t="array" aca="1" ref="K80" ca="1">SimpleLookup($A80,Questions!$A:$B)</f>
        <v>#N/A</v>
      </c>
      <c r="L80" s="99" cm="1">
        <f t="array" aca="1" ref="L80" ca="1">CreateID($L$3,$L:$L,AND($A80&lt;&gt;"",$AC80))</f>
        <v>39</v>
      </c>
      <c r="M80" s="99" cm="1">
        <f t="array" aca="1" ref="M80" ca="1">CreateTaskID($M$3,$M:$M,Tasks!$B$17,$G80)</f>
        <v>0</v>
      </c>
      <c r="N80" s="99" t="str">
        <f t="shared" si="16"/>
        <v/>
      </c>
      <c r="O80" s="99" cm="1">
        <f t="array" aca="1" ref="O80" ca="1">CreateID($O$3,$O:$O,$N80&lt;&gt;"")</f>
        <v>39</v>
      </c>
      <c r="P80" s="99" t="str">
        <f t="shared" si="19"/>
        <v/>
      </c>
      <c r="Q80" s="99" cm="1">
        <f t="array" aca="1" ref="Q80" ca="1">CreateID($Q$3,$Q:$Q,$P80&lt;&gt;"")</f>
        <v>0</v>
      </c>
      <c r="R80" s="99" t="str">
        <f t="shared" si="20"/>
        <v/>
      </c>
      <c r="S80" s="99" cm="1">
        <f t="array" aca="1" ref="S80" ca="1">CreateID($S$3,$S:$S,$R80&lt;&gt;"")</f>
        <v>0</v>
      </c>
      <c r="T80" s="99" t="str">
        <f t="shared" si="21"/>
        <v/>
      </c>
      <c r="U80" s="99" cm="1">
        <f t="array" aca="1" ref="U80" ca="1">CreateID($U$3,$U:$U,$T80&lt;&gt;"")</f>
        <v>0</v>
      </c>
      <c r="V80" s="99" cm="1">
        <f t="array" aca="1" ref="V80" ca="1">CreateID($V$3,$V:$V,IFERROR(FIND(Definitions!$AR$4,$G80)&gt;0,FALSE))</f>
        <v>0</v>
      </c>
      <c r="W80" s="99">
        <f>_xlfn.LET(
_xlpm._comment,$G80,
_xlpm._keyWord,Definitions!$AR$4,
_xlpm._diffLen,LEN(_xlpm._comment)-LEN(SUBSTITUTE(_xlpm._comment,_xlpm._keyWord,"")),
_xlpm._diffLen/LEN(_xlpm._keyWord))</f>
        <v>0</v>
      </c>
      <c r="X80" s="99" cm="1">
        <f t="array" aca="1" ref="X80" ca="1">CreateID($X$3,$X:$X,IFERROR(FIND(Definitions!$AR$5,$G80)&gt;0,FALSE))</f>
        <v>0</v>
      </c>
      <c r="Y80" s="99">
        <f>_xlfn.LET(
_xlpm._comment,$G80,
_xlpm._keyWord,Definitions!$AR$5,
_xlpm._diffLen,LEN(_xlpm._comment)-LEN(SUBSTITUTE(_xlpm._comment,_xlpm._keyWord,"")),
_xlpm._diffLen/LEN(_xlpm._keyWord))</f>
        <v>0</v>
      </c>
      <c r="Z80" s="99" t="b">
        <f ca="1">OR(IFERROR(_xlfn.XMATCH("*,"&amp;$A80&amp;",*",Assumptions!$AL:$AL,2)&gt;0,FALSE),
IFERROR(_xlfn.XMATCH("*,"&amp;$A80&amp;",*",Countermeasures!$AO:$AO,2)&gt;0,FALSE))</f>
        <v>0</v>
      </c>
      <c r="AA80" s="99" t="str" cm="1">
        <f t="array" ref="AA80">CreateSearchString($I80)</f>
        <v/>
      </c>
      <c r="AB80" s="99" t="str">
        <f>IF($E80="","",IFERROR(VLOOKUP($E80,Definitions!$H:$J,COLUMNS(Definitions!$H:$J),FALSE),""))</f>
        <v/>
      </c>
      <c r="AC80" s="99" t="b" cm="1">
        <f t="array" ref="AC80">IF($A80="",FALSE,SimpleLookup($A80,Questions!$A:$D)="x")</f>
        <v>0</v>
      </c>
      <c r="AD80" s="99" t="str" cm="1">
        <f t="array" ref="AD80">IF(OR($A80="",NOT($AC80)),"",SimpleLookup($A80,Questions!$A:$E))</f>
        <v/>
      </c>
      <c r="AE80" s="99" t="str" cm="1">
        <f t="array" ref="AE80">IF(OR($A80="",NOT($AC80)),"",SimpleLookup($A80,Questions!$A:$F))</f>
        <v/>
      </c>
      <c r="AF80" s="99" t="str" cm="1">
        <f t="array" ref="AF80">_xlfn.LET(
_xlpm._answer,$C80,
_xlpm._infoTextFull,IF($AC80,CHAR(10)&amp;SimpleLookup($A80,Questions!$A:$H)&amp;CHAR(10),""),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80" s="99" t="b" cm="1">
        <f t="array" ref="AG80">IF(OR($A80="",NOT($AC80)),FALSE,_xlfn.LET(
_xlpm._secondAnswerRequiredOn,SimpleLookup($A80,Questions!$A:$I),
_xlpm._firstAnwer,$C80,
IFERROR(FIND(CHAR(10)&amp;_xlpm._firstAnwer&amp;":",CHAR(10)&amp;_xlpm._secondAnswerRequiredOn)&gt;0,FALSE)))</f>
        <v>0</v>
      </c>
      <c r="AH80" s="99" t="str" cm="1">
        <f t="array" ref="AH80">IF(OR($A80="",NOT($AC80)),"",_xlfn.LET(
_xlpm._id,$A80,
_xlpm._firstAnswer,$C80,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80" s="99" t="str" cm="1">
        <f t="array" ref="AI80">IF(OR($A80="",NOT($AC80)),"",_xlfn.LET(
_xlpm._id,$A80,
_xlpm._firstAnswer,$C80,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80" s="99" t="str" cm="1">
        <f t="array" ref="AJ80">IF($AG80,_xlfn.LET(
_xlpm._answer,$E80,
_xlpm._infoTextFull,IF($AC80,CHAR(10)&amp;SimpleLookup($A80,Questions!$A:$L)&amp;CHAR(10),""),
_xlpm._startSelectedByAnswerOne,IF(_xlpm._infoTextFull="",0,FIND("___"&amp;$C80&amp;"___",_xlpm._infoTextFull)+LEN("___"&amp;$C80&amp;"___")),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80" s="99" t="b" cm="1">
        <f t="array" ref="AK80">IF(OR($A80="",NOT($AC80)),FALSE,SimpleLookup($A80,Questions!$A:$Q))</f>
        <v>0</v>
      </c>
      <c r="AL80" s="99" t="str" cm="1">
        <f t="array" aca="1" ref="AL80" ca="1">IF(AND($A80=Questions!$A$41,IFERROR(SimpleLookup(Questions!$A$36,$A:$E)=Definitions!$O$5,FALSE),$C80=Definitions!$A$5),
Questions!$A$36&amp;" "&amp;Questions!$B$36&amp;CHAR(10)&amp;CHAR(187)&amp;" "&amp;SimpleLookup(Questions!$A$36,$A:$C)&amp;CHAR(10)&amp;SimpleLookup(Questions!$A$36,$A:$D)&amp;CHAR(10)&amp;CHAR(187)&amp;" "&amp;Definitions!$O$5&amp;CHAR(10)&amp;CHAR(10)&amp;
"is incosistent with"&amp;CHAR(10)&amp;CHAR(10)&amp;
$A80&amp;" "&amp;SimpleLookup($A80,Questions!$A:$B)&amp;CHAR(10)&amp;CHAR(187)&amp;" "&amp;$C80,
"")</f>
        <v/>
      </c>
      <c r="AM80" s="99" cm="1">
        <f t="array" aca="1" ref="AM80" ca="1">CreateID($AM$3,$AM:$AM,$AL80&lt;&gt;"")</f>
        <v>0</v>
      </c>
      <c r="AN80" s="99" t="str" cm="1">
        <f t="array" aca="1" ref="AN80" ca="1">IF(OR($C80="",OFFSET($C80,1,0)=""),"",
IF(AND($A80=Questions!$A$59,OFFSET($A80,1,0)=Questions!$A$60,SimpleLookup(Questions!$A$49,$A:$C)=Definitions!$A$4),
IF(MATCH($C80,Definitions!$AW:$AW,0)&gt;MATCH(OFFSET($C80,1,0),Definitions!AW:AW,0),$A80&amp;" "&amp;$K80&amp;": "&amp;$C80&amp;CHAR(10)&amp;"&lt;---&gt;"&amp;CHAR(10)&amp;OFFSET($A80,1,0)&amp;" "&amp;OFFSET($K80,1,0)&amp;": "&amp;OFFSET($C80,1,0),""),
""))</f>
        <v/>
      </c>
      <c r="AO80" s="99" cm="1">
        <f t="array" aca="1" ref="AO80" ca="1">CreateID($AO$3,$AO:$AO,$AN80&lt;&gt;"")</f>
        <v>0</v>
      </c>
    </row>
    <row r="81" spans="9:41" x14ac:dyDescent="0.25">
      <c r="I81" s="99" t="str">
        <f t="shared" si="17"/>
        <v/>
      </c>
      <c r="J81" s="99" t="str">
        <f t="shared" si="18"/>
        <v/>
      </c>
      <c r="K81" s="99" t="e" cm="1">
        <f t="array" aca="1" ref="K81" ca="1">SimpleLookup($A81,Questions!$A:$B)</f>
        <v>#N/A</v>
      </c>
      <c r="L81" s="99" cm="1">
        <f t="array" aca="1" ref="L81" ca="1">CreateID($L$3,$L:$L,AND($A81&lt;&gt;"",$AC81))</f>
        <v>39</v>
      </c>
      <c r="M81" s="99" cm="1">
        <f t="array" aca="1" ref="M81" ca="1">CreateTaskID($M$3,$M:$M,Tasks!$B$17,$G81)</f>
        <v>0</v>
      </c>
      <c r="N81" s="99" t="str">
        <f t="shared" si="16"/>
        <v/>
      </c>
      <c r="O81" s="99" cm="1">
        <f t="array" aca="1" ref="O81" ca="1">CreateID($O$3,$O:$O,$N81&lt;&gt;"")</f>
        <v>39</v>
      </c>
      <c r="P81" s="99" t="str">
        <f t="shared" si="19"/>
        <v/>
      </c>
      <c r="Q81" s="99" cm="1">
        <f t="array" aca="1" ref="Q81" ca="1">CreateID($Q$3,$Q:$Q,$P81&lt;&gt;"")</f>
        <v>0</v>
      </c>
      <c r="R81" s="99" t="str">
        <f t="shared" si="20"/>
        <v/>
      </c>
      <c r="S81" s="99" cm="1">
        <f t="array" aca="1" ref="S81" ca="1">CreateID($S$3,$S:$S,$R81&lt;&gt;"")</f>
        <v>0</v>
      </c>
      <c r="T81" s="99" t="str">
        <f t="shared" si="21"/>
        <v/>
      </c>
      <c r="U81" s="99" cm="1">
        <f t="array" aca="1" ref="U81" ca="1">CreateID($U$3,$U:$U,$T81&lt;&gt;"")</f>
        <v>0</v>
      </c>
      <c r="V81" s="99" cm="1">
        <f t="array" aca="1" ref="V81" ca="1">CreateID($V$3,$V:$V,IFERROR(FIND(Definitions!$AR$4,$G81)&gt;0,FALSE))</f>
        <v>0</v>
      </c>
      <c r="W81" s="99">
        <f>_xlfn.LET(
_xlpm._comment,$G81,
_xlpm._keyWord,Definitions!$AR$4,
_xlpm._diffLen,LEN(_xlpm._comment)-LEN(SUBSTITUTE(_xlpm._comment,_xlpm._keyWord,"")),
_xlpm._diffLen/LEN(_xlpm._keyWord))</f>
        <v>0</v>
      </c>
      <c r="X81" s="99" cm="1">
        <f t="array" aca="1" ref="X81" ca="1">CreateID($X$3,$X:$X,IFERROR(FIND(Definitions!$AR$5,$G81)&gt;0,FALSE))</f>
        <v>0</v>
      </c>
      <c r="Y81" s="99">
        <f>_xlfn.LET(
_xlpm._comment,$G81,
_xlpm._keyWord,Definitions!$AR$5,
_xlpm._diffLen,LEN(_xlpm._comment)-LEN(SUBSTITUTE(_xlpm._comment,_xlpm._keyWord,"")),
_xlpm._diffLen/LEN(_xlpm._keyWord))</f>
        <v>0</v>
      </c>
      <c r="Z81" s="99" t="b">
        <f ca="1">OR(IFERROR(_xlfn.XMATCH("*,"&amp;$A81&amp;",*",Assumptions!$AL:$AL,2)&gt;0,FALSE),
IFERROR(_xlfn.XMATCH("*,"&amp;$A81&amp;",*",Countermeasures!$AO:$AO,2)&gt;0,FALSE))</f>
        <v>0</v>
      </c>
      <c r="AA81" s="99" t="str" cm="1">
        <f t="array" ref="AA81">CreateSearchString($I81)</f>
        <v/>
      </c>
      <c r="AB81" s="99" t="str">
        <f>IF($E81="","",IFERROR(VLOOKUP($E81,Definitions!$H:$J,COLUMNS(Definitions!$H:$J),FALSE),""))</f>
        <v/>
      </c>
      <c r="AC81" s="99" t="b" cm="1">
        <f t="array" ref="AC81">IF($A81="",FALSE,SimpleLookup($A81,Questions!$A:$D)="x")</f>
        <v>0</v>
      </c>
      <c r="AD81" s="99" t="str" cm="1">
        <f t="array" ref="AD81">IF(OR($A81="",NOT($AC81)),"",SimpleLookup($A81,Questions!$A:$E))</f>
        <v/>
      </c>
      <c r="AE81" s="99" t="str" cm="1">
        <f t="array" ref="AE81">IF(OR($A81="",NOT($AC81)),"",SimpleLookup($A81,Questions!$A:$F))</f>
        <v/>
      </c>
      <c r="AF81" s="99" t="str" cm="1">
        <f t="array" ref="AF81">_xlfn.LET(
_xlpm._answer,$C81,
_xlpm._infoTextFull,IF($AC81,CHAR(10)&amp;SimpleLookup($A81,Questions!$A:$H)&amp;CHAR(10),""),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81" s="99" t="b" cm="1">
        <f t="array" ref="AG81">IF(OR($A81="",NOT($AC81)),FALSE,_xlfn.LET(
_xlpm._secondAnswerRequiredOn,SimpleLookup($A81,Questions!$A:$I),
_xlpm._firstAnwer,$C81,
IFERROR(FIND(CHAR(10)&amp;_xlpm._firstAnwer&amp;":",CHAR(10)&amp;_xlpm._secondAnswerRequiredOn)&gt;0,FALSE)))</f>
        <v>0</v>
      </c>
      <c r="AH81" s="99" t="str" cm="1">
        <f t="array" ref="AH81">IF(OR($A81="",NOT($AC81)),"",_xlfn.LET(
_xlpm._id,$A81,
_xlpm._firstAnswer,$C81,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81" s="99" t="str" cm="1">
        <f t="array" ref="AI81">IF(OR($A81="",NOT($AC81)),"",_xlfn.LET(
_xlpm._id,$A81,
_xlpm._firstAnswer,$C81,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81" s="99" t="str" cm="1">
        <f t="array" ref="AJ81">IF($AG81,_xlfn.LET(
_xlpm._answer,$E81,
_xlpm._infoTextFull,IF($AC81,CHAR(10)&amp;SimpleLookup($A81,Questions!$A:$L)&amp;CHAR(10),""),
_xlpm._startSelectedByAnswerOne,IF(_xlpm._infoTextFull="",0,FIND("___"&amp;$C81&amp;"___",_xlpm._infoTextFull)+LEN("___"&amp;$C81&amp;"___")),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81" s="99" t="b" cm="1">
        <f t="array" ref="AK81">IF(OR($A81="",NOT($AC81)),FALSE,SimpleLookup($A81,Questions!$A:$Q))</f>
        <v>0</v>
      </c>
      <c r="AL81" s="99" t="str" cm="1">
        <f t="array" aca="1" ref="AL81" ca="1">IF(AND($A81=Questions!$A$41,IFERROR(SimpleLookup(Questions!$A$36,$A:$E)=Definitions!$O$5,FALSE),$C81=Definitions!$A$5),
Questions!$A$36&amp;" "&amp;Questions!$B$36&amp;CHAR(10)&amp;CHAR(187)&amp;" "&amp;SimpleLookup(Questions!$A$36,$A:$C)&amp;CHAR(10)&amp;SimpleLookup(Questions!$A$36,$A:$D)&amp;CHAR(10)&amp;CHAR(187)&amp;" "&amp;Definitions!$O$5&amp;CHAR(10)&amp;CHAR(10)&amp;
"is incosistent with"&amp;CHAR(10)&amp;CHAR(10)&amp;
$A81&amp;" "&amp;SimpleLookup($A81,Questions!$A:$B)&amp;CHAR(10)&amp;CHAR(187)&amp;" "&amp;$C81,
"")</f>
        <v/>
      </c>
      <c r="AM81" s="99" cm="1">
        <f t="array" aca="1" ref="AM81" ca="1">CreateID($AM$3,$AM:$AM,$AL81&lt;&gt;"")</f>
        <v>0</v>
      </c>
      <c r="AN81" s="99" t="str" cm="1">
        <f t="array" aca="1" ref="AN81" ca="1">IF(OR($C81="",OFFSET($C81,1,0)=""),"",
IF(AND($A81=Questions!$A$59,OFFSET($A81,1,0)=Questions!$A$60,SimpleLookup(Questions!$A$49,$A:$C)=Definitions!$A$4),
IF(MATCH($C81,Definitions!$AW:$AW,0)&gt;MATCH(OFFSET($C81,1,0),Definitions!AW:AW,0),$A81&amp;" "&amp;$K81&amp;": "&amp;$C81&amp;CHAR(10)&amp;"&lt;---&gt;"&amp;CHAR(10)&amp;OFFSET($A81,1,0)&amp;" "&amp;OFFSET($K81,1,0)&amp;": "&amp;OFFSET($C81,1,0),""),
""))</f>
        <v/>
      </c>
      <c r="AO81" s="99" cm="1">
        <f t="array" aca="1" ref="AO81" ca="1">CreateID($AO$3,$AO:$AO,$AN81&lt;&gt;"")</f>
        <v>0</v>
      </c>
    </row>
    <row r="82" spans="9:41" x14ac:dyDescent="0.25">
      <c r="I82" s="99" t="str">
        <f t="shared" si="17"/>
        <v/>
      </c>
      <c r="J82" s="99" t="str">
        <f t="shared" si="18"/>
        <v/>
      </c>
      <c r="K82" s="99" t="e" cm="1">
        <f t="array" aca="1" ref="K82" ca="1">SimpleLookup($A82,Questions!$A:$B)</f>
        <v>#N/A</v>
      </c>
      <c r="L82" s="99" cm="1">
        <f t="array" aca="1" ref="L82" ca="1">CreateID($L$3,$L:$L,AND($A82&lt;&gt;"",$AC82))</f>
        <v>39</v>
      </c>
      <c r="M82" s="99" cm="1">
        <f t="array" aca="1" ref="M82" ca="1">CreateTaskID($M$3,$M:$M,Tasks!$B$17,$G82)</f>
        <v>0</v>
      </c>
      <c r="N82" s="99" t="str">
        <f t="shared" si="16"/>
        <v/>
      </c>
      <c r="O82" s="99" cm="1">
        <f t="array" aca="1" ref="O82" ca="1">CreateID($O$3,$O:$O,$N82&lt;&gt;"")</f>
        <v>39</v>
      </c>
      <c r="P82" s="99" t="str">
        <f t="shared" si="19"/>
        <v/>
      </c>
      <c r="Q82" s="99" cm="1">
        <f t="array" aca="1" ref="Q82" ca="1">CreateID($Q$3,$Q:$Q,$P82&lt;&gt;"")</f>
        <v>0</v>
      </c>
      <c r="R82" s="99" t="str">
        <f t="shared" si="20"/>
        <v/>
      </c>
      <c r="S82" s="99" cm="1">
        <f t="array" aca="1" ref="S82" ca="1">CreateID($S$3,$S:$S,$R82&lt;&gt;"")</f>
        <v>0</v>
      </c>
      <c r="T82" s="99" t="str">
        <f t="shared" si="21"/>
        <v/>
      </c>
      <c r="U82" s="99" cm="1">
        <f t="array" aca="1" ref="U82" ca="1">CreateID($U$3,$U:$U,$T82&lt;&gt;"")</f>
        <v>0</v>
      </c>
      <c r="V82" s="99" cm="1">
        <f t="array" aca="1" ref="V82" ca="1">CreateID($V$3,$V:$V,IFERROR(FIND(Definitions!$AR$4,$G82)&gt;0,FALSE))</f>
        <v>0</v>
      </c>
      <c r="W82" s="99">
        <f>_xlfn.LET(
_xlpm._comment,$G82,
_xlpm._keyWord,Definitions!$AR$4,
_xlpm._diffLen,LEN(_xlpm._comment)-LEN(SUBSTITUTE(_xlpm._comment,_xlpm._keyWord,"")),
_xlpm._diffLen/LEN(_xlpm._keyWord))</f>
        <v>0</v>
      </c>
      <c r="X82" s="99" cm="1">
        <f t="array" aca="1" ref="X82" ca="1">CreateID($X$3,$X:$X,IFERROR(FIND(Definitions!$AR$5,$G82)&gt;0,FALSE))</f>
        <v>0</v>
      </c>
      <c r="Y82" s="99">
        <f>_xlfn.LET(
_xlpm._comment,$G82,
_xlpm._keyWord,Definitions!$AR$5,
_xlpm._diffLen,LEN(_xlpm._comment)-LEN(SUBSTITUTE(_xlpm._comment,_xlpm._keyWord,"")),
_xlpm._diffLen/LEN(_xlpm._keyWord))</f>
        <v>0</v>
      </c>
      <c r="Z82" s="99" t="b">
        <f ca="1">OR(IFERROR(_xlfn.XMATCH("*,"&amp;$A82&amp;",*",Assumptions!$AL:$AL,2)&gt;0,FALSE),
IFERROR(_xlfn.XMATCH("*,"&amp;$A82&amp;",*",Countermeasures!$AO:$AO,2)&gt;0,FALSE))</f>
        <v>0</v>
      </c>
      <c r="AA82" s="99" t="str" cm="1">
        <f t="array" ref="AA82">CreateSearchString($I82)</f>
        <v/>
      </c>
      <c r="AB82" s="99" t="str">
        <f>IF($E82="","",IFERROR(VLOOKUP($E82,Definitions!$H:$J,COLUMNS(Definitions!$H:$J),FALSE),""))</f>
        <v/>
      </c>
      <c r="AC82" s="99" t="b" cm="1">
        <f t="array" ref="AC82">IF($A82="",FALSE,SimpleLookup($A82,Questions!$A:$D)="x")</f>
        <v>0</v>
      </c>
      <c r="AD82" s="99" t="str" cm="1">
        <f t="array" ref="AD82">IF(OR($A82="",NOT($AC82)),"",SimpleLookup($A82,Questions!$A:$E))</f>
        <v/>
      </c>
      <c r="AE82" s="99" t="str" cm="1">
        <f t="array" ref="AE82">IF(OR($A82="",NOT($AC82)),"",SimpleLookup($A82,Questions!$A:$F))</f>
        <v/>
      </c>
      <c r="AF82" s="99" t="str" cm="1">
        <f t="array" ref="AF82">_xlfn.LET(
_xlpm._answer,$C82,
_xlpm._infoTextFull,IF($AC82,CHAR(10)&amp;SimpleLookup($A82,Questions!$A:$H)&amp;CHAR(10),""),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82" s="99" t="b" cm="1">
        <f t="array" ref="AG82">IF(OR($A82="",NOT($AC82)),FALSE,_xlfn.LET(
_xlpm._secondAnswerRequiredOn,SimpleLookup($A82,Questions!$A:$I),
_xlpm._firstAnwer,$C82,
IFERROR(FIND(CHAR(10)&amp;_xlpm._firstAnwer&amp;":",CHAR(10)&amp;_xlpm._secondAnswerRequiredOn)&gt;0,FALSE)))</f>
        <v>0</v>
      </c>
      <c r="AH82" s="99" t="str" cm="1">
        <f t="array" ref="AH82">IF(OR($A82="",NOT($AC82)),"",_xlfn.LET(
_xlpm._id,$A82,
_xlpm._firstAnswer,$C82,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82" s="99" t="str" cm="1">
        <f t="array" ref="AI82">IF(OR($A82="",NOT($AC82)),"",_xlfn.LET(
_xlpm._id,$A82,
_xlpm._firstAnswer,$C82,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82" s="99" t="str" cm="1">
        <f t="array" ref="AJ82">IF($AG82,_xlfn.LET(
_xlpm._answer,$E82,
_xlpm._infoTextFull,IF($AC82,CHAR(10)&amp;SimpleLookup($A82,Questions!$A:$L)&amp;CHAR(10),""),
_xlpm._startSelectedByAnswerOne,IF(_xlpm._infoTextFull="",0,FIND("___"&amp;$C82&amp;"___",_xlpm._infoTextFull)+LEN("___"&amp;$C82&amp;"___")),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82" s="99" t="b" cm="1">
        <f t="array" ref="AK82">IF(OR($A82="",NOT($AC82)),FALSE,SimpleLookup($A82,Questions!$A:$Q))</f>
        <v>0</v>
      </c>
      <c r="AL82" s="99" t="str" cm="1">
        <f t="array" aca="1" ref="AL82" ca="1">IF(AND($A82=Questions!$A$41,IFERROR(SimpleLookup(Questions!$A$36,$A:$E)=Definitions!$O$5,FALSE),$C82=Definitions!$A$5),
Questions!$A$36&amp;" "&amp;Questions!$B$36&amp;CHAR(10)&amp;CHAR(187)&amp;" "&amp;SimpleLookup(Questions!$A$36,$A:$C)&amp;CHAR(10)&amp;SimpleLookup(Questions!$A$36,$A:$D)&amp;CHAR(10)&amp;CHAR(187)&amp;" "&amp;Definitions!$O$5&amp;CHAR(10)&amp;CHAR(10)&amp;
"is incosistent with"&amp;CHAR(10)&amp;CHAR(10)&amp;
$A82&amp;" "&amp;SimpleLookup($A82,Questions!$A:$B)&amp;CHAR(10)&amp;CHAR(187)&amp;" "&amp;$C82,
"")</f>
        <v/>
      </c>
      <c r="AM82" s="99" cm="1">
        <f t="array" aca="1" ref="AM82" ca="1">CreateID($AM$3,$AM:$AM,$AL82&lt;&gt;"")</f>
        <v>0</v>
      </c>
      <c r="AN82" s="99" t="str" cm="1">
        <f t="array" aca="1" ref="AN82" ca="1">IF(OR($C82="",OFFSET($C82,1,0)=""),"",
IF(AND($A82=Questions!$A$59,OFFSET($A82,1,0)=Questions!$A$60,SimpleLookup(Questions!$A$49,$A:$C)=Definitions!$A$4),
IF(MATCH($C82,Definitions!$AW:$AW,0)&gt;MATCH(OFFSET($C82,1,0),Definitions!AW:AW,0),$A82&amp;" "&amp;$K82&amp;": "&amp;$C82&amp;CHAR(10)&amp;"&lt;---&gt;"&amp;CHAR(10)&amp;OFFSET($A82,1,0)&amp;" "&amp;OFFSET($K82,1,0)&amp;": "&amp;OFFSET($C82,1,0),""),
""))</f>
        <v/>
      </c>
      <c r="AO82" s="99" cm="1">
        <f t="array" aca="1" ref="AO82" ca="1">CreateID($AO$3,$AO:$AO,$AN82&lt;&gt;"")</f>
        <v>0</v>
      </c>
    </row>
    <row r="83" spans="9:41" x14ac:dyDescent="0.25">
      <c r="I83" s="99" t="str">
        <f t="shared" si="17"/>
        <v/>
      </c>
      <c r="J83" s="99" t="str">
        <f t="shared" si="18"/>
        <v/>
      </c>
      <c r="K83" s="99" t="e" cm="1">
        <f t="array" aca="1" ref="K83" ca="1">SimpleLookup($A83,Questions!$A:$B)</f>
        <v>#N/A</v>
      </c>
      <c r="L83" s="99" cm="1">
        <f t="array" aca="1" ref="L83" ca="1">CreateID($L$3,$L:$L,AND($A83&lt;&gt;"",$AC83))</f>
        <v>39</v>
      </c>
      <c r="M83" s="99" cm="1">
        <f t="array" aca="1" ref="M83" ca="1">CreateTaskID($M$3,$M:$M,Tasks!$B$17,$G83)</f>
        <v>0</v>
      </c>
      <c r="N83" s="99" t="str">
        <f t="shared" si="16"/>
        <v/>
      </c>
      <c r="O83" s="99" cm="1">
        <f t="array" aca="1" ref="O83" ca="1">CreateID($O$3,$O:$O,$N83&lt;&gt;"")</f>
        <v>39</v>
      </c>
      <c r="P83" s="99" t="str">
        <f t="shared" si="19"/>
        <v/>
      </c>
      <c r="Q83" s="99" cm="1">
        <f t="array" aca="1" ref="Q83" ca="1">CreateID($Q$3,$Q:$Q,$P83&lt;&gt;"")</f>
        <v>0</v>
      </c>
      <c r="R83" s="99" t="str">
        <f t="shared" si="20"/>
        <v/>
      </c>
      <c r="S83" s="99" cm="1">
        <f t="array" aca="1" ref="S83" ca="1">CreateID($S$3,$S:$S,$R83&lt;&gt;"")</f>
        <v>0</v>
      </c>
      <c r="T83" s="99" t="str">
        <f t="shared" si="21"/>
        <v/>
      </c>
      <c r="U83" s="99" cm="1">
        <f t="array" aca="1" ref="U83" ca="1">CreateID($U$3,$U:$U,$T83&lt;&gt;"")</f>
        <v>0</v>
      </c>
      <c r="V83" s="99" cm="1">
        <f t="array" aca="1" ref="V83" ca="1">CreateID($V$3,$V:$V,IFERROR(FIND(Definitions!$AR$4,$G83)&gt;0,FALSE))</f>
        <v>0</v>
      </c>
      <c r="W83" s="99">
        <f>_xlfn.LET(
_xlpm._comment,$G83,
_xlpm._keyWord,Definitions!$AR$4,
_xlpm._diffLen,LEN(_xlpm._comment)-LEN(SUBSTITUTE(_xlpm._comment,_xlpm._keyWord,"")),
_xlpm._diffLen/LEN(_xlpm._keyWord))</f>
        <v>0</v>
      </c>
      <c r="X83" s="99" cm="1">
        <f t="array" aca="1" ref="X83" ca="1">CreateID($X$3,$X:$X,IFERROR(FIND(Definitions!$AR$5,$G83)&gt;0,FALSE))</f>
        <v>0</v>
      </c>
      <c r="Y83" s="99">
        <f>_xlfn.LET(
_xlpm._comment,$G83,
_xlpm._keyWord,Definitions!$AR$5,
_xlpm._diffLen,LEN(_xlpm._comment)-LEN(SUBSTITUTE(_xlpm._comment,_xlpm._keyWord,"")),
_xlpm._diffLen/LEN(_xlpm._keyWord))</f>
        <v>0</v>
      </c>
      <c r="Z83" s="99" t="b">
        <f ca="1">OR(IFERROR(_xlfn.XMATCH("*,"&amp;$A83&amp;",*",Assumptions!$AL:$AL,2)&gt;0,FALSE),
IFERROR(_xlfn.XMATCH("*,"&amp;$A83&amp;",*",Countermeasures!$AO:$AO,2)&gt;0,FALSE))</f>
        <v>0</v>
      </c>
      <c r="AA83" s="99" t="str" cm="1">
        <f t="array" ref="AA83">CreateSearchString($I83)</f>
        <v/>
      </c>
      <c r="AB83" s="99" t="str">
        <f>IF($E83="","",IFERROR(VLOOKUP($E83,Definitions!$H:$J,COLUMNS(Definitions!$H:$J),FALSE),""))</f>
        <v/>
      </c>
      <c r="AC83" s="99" t="b" cm="1">
        <f t="array" ref="AC83">IF($A83="",FALSE,SimpleLookup($A83,Questions!$A:$D)="x")</f>
        <v>0</v>
      </c>
      <c r="AD83" s="99" t="str" cm="1">
        <f t="array" ref="AD83">IF(OR($A83="",NOT($AC83)),"",SimpleLookup($A83,Questions!$A:$E))</f>
        <v/>
      </c>
      <c r="AE83" s="99" t="str" cm="1">
        <f t="array" ref="AE83">IF(OR($A83="",NOT($AC83)),"",SimpleLookup($A83,Questions!$A:$F))</f>
        <v/>
      </c>
      <c r="AF83" s="99" t="str" cm="1">
        <f t="array" ref="AF83">_xlfn.LET(
_xlpm._answer,$C83,
_xlpm._infoTextFull,IF($AC83,CHAR(10)&amp;SimpleLookup($A83,Questions!$A:$H)&amp;CHAR(10),""),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83" s="99" t="b" cm="1">
        <f t="array" ref="AG83">IF(OR($A83="",NOT($AC83)),FALSE,_xlfn.LET(
_xlpm._secondAnswerRequiredOn,SimpleLookup($A83,Questions!$A:$I),
_xlpm._firstAnwer,$C83,
IFERROR(FIND(CHAR(10)&amp;_xlpm._firstAnwer&amp;":",CHAR(10)&amp;_xlpm._secondAnswerRequiredOn)&gt;0,FALSE)))</f>
        <v>0</v>
      </c>
      <c r="AH83" s="99" t="str" cm="1">
        <f t="array" ref="AH83">IF(OR($A83="",NOT($AC83)),"",_xlfn.LET(
_xlpm._id,$A83,
_xlpm._firstAnswer,$C83,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83" s="99" t="str" cm="1">
        <f t="array" ref="AI83">IF(OR($A83="",NOT($AC83)),"",_xlfn.LET(
_xlpm._id,$A83,
_xlpm._firstAnswer,$C83,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83" s="99" t="str" cm="1">
        <f t="array" ref="AJ83">IF($AG83,_xlfn.LET(
_xlpm._answer,$E83,
_xlpm._infoTextFull,IF($AC83,CHAR(10)&amp;SimpleLookup($A83,Questions!$A:$L)&amp;CHAR(10),""),
_xlpm._startSelectedByAnswerOne,IF(_xlpm._infoTextFull="",0,FIND("___"&amp;$C83&amp;"___",_xlpm._infoTextFull)+LEN("___"&amp;$C83&amp;"___")),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83" s="99" t="b" cm="1">
        <f t="array" ref="AK83">IF(OR($A83="",NOT($AC83)),FALSE,SimpleLookup($A83,Questions!$A:$Q))</f>
        <v>0</v>
      </c>
      <c r="AL83" s="99" t="str" cm="1">
        <f t="array" aca="1" ref="AL83" ca="1">IF(AND($A83=Questions!$A$41,IFERROR(SimpleLookup(Questions!$A$36,$A:$E)=Definitions!$O$5,FALSE),$C83=Definitions!$A$5),
Questions!$A$36&amp;" "&amp;Questions!$B$36&amp;CHAR(10)&amp;CHAR(187)&amp;" "&amp;SimpleLookup(Questions!$A$36,$A:$C)&amp;CHAR(10)&amp;SimpleLookup(Questions!$A$36,$A:$D)&amp;CHAR(10)&amp;CHAR(187)&amp;" "&amp;Definitions!$O$5&amp;CHAR(10)&amp;CHAR(10)&amp;
"is incosistent with"&amp;CHAR(10)&amp;CHAR(10)&amp;
$A83&amp;" "&amp;SimpleLookup($A83,Questions!$A:$B)&amp;CHAR(10)&amp;CHAR(187)&amp;" "&amp;$C83,
"")</f>
        <v/>
      </c>
      <c r="AM83" s="99" cm="1">
        <f t="array" aca="1" ref="AM83" ca="1">CreateID($AM$3,$AM:$AM,$AL83&lt;&gt;"")</f>
        <v>0</v>
      </c>
      <c r="AN83" s="99" t="str" cm="1">
        <f t="array" aca="1" ref="AN83" ca="1">IF(OR($C83="",OFFSET($C83,1,0)=""),"",
IF(AND($A83=Questions!$A$59,OFFSET($A83,1,0)=Questions!$A$60,SimpleLookup(Questions!$A$49,$A:$C)=Definitions!$A$4),
IF(MATCH($C83,Definitions!$AW:$AW,0)&gt;MATCH(OFFSET($C83,1,0),Definitions!AW:AW,0),$A83&amp;" "&amp;$K83&amp;": "&amp;$C83&amp;CHAR(10)&amp;"&lt;---&gt;"&amp;CHAR(10)&amp;OFFSET($A83,1,0)&amp;" "&amp;OFFSET($K83,1,0)&amp;": "&amp;OFFSET($C83,1,0),""),
""))</f>
        <v/>
      </c>
      <c r="AO83" s="99" cm="1">
        <f t="array" aca="1" ref="AO83" ca="1">CreateID($AO$3,$AO:$AO,$AN83&lt;&gt;"")</f>
        <v>0</v>
      </c>
    </row>
    <row r="84" spans="9:41" x14ac:dyDescent="0.25">
      <c r="I84" s="99" t="str">
        <f t="shared" si="17"/>
        <v/>
      </c>
      <c r="J84" s="99" t="str">
        <f t="shared" si="18"/>
        <v/>
      </c>
      <c r="K84" s="99" t="e" cm="1">
        <f t="array" aca="1" ref="K84" ca="1">SimpleLookup($A84,Questions!$A:$B)</f>
        <v>#N/A</v>
      </c>
      <c r="L84" s="99" cm="1">
        <f t="array" aca="1" ref="L84" ca="1">CreateID($L$3,$L:$L,AND($A84&lt;&gt;"",$AC84))</f>
        <v>39</v>
      </c>
      <c r="M84" s="99" cm="1">
        <f t="array" aca="1" ref="M84" ca="1">CreateTaskID($M$3,$M:$M,Tasks!$B$17,$G84)</f>
        <v>0</v>
      </c>
      <c r="N84" s="99" t="str">
        <f t="shared" si="16"/>
        <v/>
      </c>
      <c r="O84" s="99" cm="1">
        <f t="array" aca="1" ref="O84" ca="1">CreateID($O$3,$O:$O,$N84&lt;&gt;"")</f>
        <v>39</v>
      </c>
      <c r="P84" s="99" t="str">
        <f t="shared" si="19"/>
        <v/>
      </c>
      <c r="Q84" s="99" cm="1">
        <f t="array" aca="1" ref="Q84" ca="1">CreateID($Q$3,$Q:$Q,$P84&lt;&gt;"")</f>
        <v>0</v>
      </c>
      <c r="R84" s="99" t="str">
        <f t="shared" si="20"/>
        <v/>
      </c>
      <c r="S84" s="99" cm="1">
        <f t="array" aca="1" ref="S84" ca="1">CreateID($S$3,$S:$S,$R84&lt;&gt;"")</f>
        <v>0</v>
      </c>
      <c r="T84" s="99" t="str">
        <f t="shared" si="21"/>
        <v/>
      </c>
      <c r="U84" s="99" cm="1">
        <f t="array" aca="1" ref="U84" ca="1">CreateID($U$3,$U:$U,$T84&lt;&gt;"")</f>
        <v>0</v>
      </c>
      <c r="V84" s="99" cm="1">
        <f t="array" aca="1" ref="V84" ca="1">CreateID($V$3,$V:$V,IFERROR(FIND(Definitions!$AR$4,$G84)&gt;0,FALSE))</f>
        <v>0</v>
      </c>
      <c r="W84" s="99">
        <f>_xlfn.LET(
_xlpm._comment,$G84,
_xlpm._keyWord,Definitions!$AR$4,
_xlpm._diffLen,LEN(_xlpm._comment)-LEN(SUBSTITUTE(_xlpm._comment,_xlpm._keyWord,"")),
_xlpm._diffLen/LEN(_xlpm._keyWord))</f>
        <v>0</v>
      </c>
      <c r="X84" s="99" cm="1">
        <f t="array" aca="1" ref="X84" ca="1">CreateID($X$3,$X:$X,IFERROR(FIND(Definitions!$AR$5,$G84)&gt;0,FALSE))</f>
        <v>0</v>
      </c>
      <c r="Y84" s="99">
        <f>_xlfn.LET(
_xlpm._comment,$G84,
_xlpm._keyWord,Definitions!$AR$5,
_xlpm._diffLen,LEN(_xlpm._comment)-LEN(SUBSTITUTE(_xlpm._comment,_xlpm._keyWord,"")),
_xlpm._diffLen/LEN(_xlpm._keyWord))</f>
        <v>0</v>
      </c>
      <c r="Z84" s="99" t="b">
        <f ca="1">OR(IFERROR(_xlfn.XMATCH("*,"&amp;$A84&amp;",*",Assumptions!$AL:$AL,2)&gt;0,FALSE),
IFERROR(_xlfn.XMATCH("*,"&amp;$A84&amp;",*",Countermeasures!$AO:$AO,2)&gt;0,FALSE))</f>
        <v>0</v>
      </c>
      <c r="AA84" s="99" t="str" cm="1">
        <f t="array" ref="AA84">CreateSearchString($I84)</f>
        <v/>
      </c>
      <c r="AB84" s="99" t="str">
        <f>IF($E84="","",IFERROR(VLOOKUP($E84,Definitions!$H:$J,COLUMNS(Definitions!$H:$J),FALSE),""))</f>
        <v/>
      </c>
      <c r="AC84" s="99" t="b" cm="1">
        <f t="array" ref="AC84">IF($A84="",FALSE,SimpleLookup($A84,Questions!$A:$D)="x")</f>
        <v>0</v>
      </c>
      <c r="AD84" s="99" t="str" cm="1">
        <f t="array" ref="AD84">IF(OR($A84="",NOT($AC84)),"",SimpleLookup($A84,Questions!$A:$E))</f>
        <v/>
      </c>
      <c r="AE84" s="99" t="str" cm="1">
        <f t="array" ref="AE84">IF(OR($A84="",NOT($AC84)),"",SimpleLookup($A84,Questions!$A:$F))</f>
        <v/>
      </c>
      <c r="AF84" s="99" t="str" cm="1">
        <f t="array" ref="AF84">_xlfn.LET(
_xlpm._answer,$C84,
_xlpm._infoTextFull,IF($AC84,CHAR(10)&amp;SimpleLookup($A84,Questions!$A:$H)&amp;CHAR(10),""),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84" s="99" t="b" cm="1">
        <f t="array" ref="AG84">IF(OR($A84="",NOT($AC84)),FALSE,_xlfn.LET(
_xlpm._secondAnswerRequiredOn,SimpleLookup($A84,Questions!$A:$I),
_xlpm._firstAnwer,$C84,
IFERROR(FIND(CHAR(10)&amp;_xlpm._firstAnwer&amp;":",CHAR(10)&amp;_xlpm._secondAnswerRequiredOn)&gt;0,FALSE)))</f>
        <v>0</v>
      </c>
      <c r="AH84" s="99" t="str" cm="1">
        <f t="array" ref="AH84">IF(OR($A84="",NOT($AC84)),"",_xlfn.LET(
_xlpm._id,$A84,
_xlpm._firstAnswer,$C84,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84" s="99" t="str" cm="1">
        <f t="array" ref="AI84">IF(OR($A84="",NOT($AC84)),"",_xlfn.LET(
_xlpm._id,$A84,
_xlpm._firstAnswer,$C84,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84" s="99" t="str" cm="1">
        <f t="array" ref="AJ84">IF($AG84,_xlfn.LET(
_xlpm._answer,$E84,
_xlpm._infoTextFull,IF($AC84,CHAR(10)&amp;SimpleLookup($A84,Questions!$A:$L)&amp;CHAR(10),""),
_xlpm._startSelectedByAnswerOne,IF(_xlpm._infoTextFull="",0,FIND("___"&amp;$C84&amp;"___",_xlpm._infoTextFull)+LEN("___"&amp;$C84&amp;"___")),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84" s="99" t="b" cm="1">
        <f t="array" ref="AK84">IF(OR($A84="",NOT($AC84)),FALSE,SimpleLookup($A84,Questions!$A:$Q))</f>
        <v>0</v>
      </c>
      <c r="AL84" s="99" t="str" cm="1">
        <f t="array" aca="1" ref="AL84" ca="1">IF(AND($A84=Questions!$A$41,IFERROR(SimpleLookup(Questions!$A$36,$A:$E)=Definitions!$O$5,FALSE),$C84=Definitions!$A$5),
Questions!$A$36&amp;" "&amp;Questions!$B$36&amp;CHAR(10)&amp;CHAR(187)&amp;" "&amp;SimpleLookup(Questions!$A$36,$A:$C)&amp;CHAR(10)&amp;SimpleLookup(Questions!$A$36,$A:$D)&amp;CHAR(10)&amp;CHAR(187)&amp;" "&amp;Definitions!$O$5&amp;CHAR(10)&amp;CHAR(10)&amp;
"is incosistent with"&amp;CHAR(10)&amp;CHAR(10)&amp;
$A84&amp;" "&amp;SimpleLookup($A84,Questions!$A:$B)&amp;CHAR(10)&amp;CHAR(187)&amp;" "&amp;$C84,
"")</f>
        <v/>
      </c>
      <c r="AM84" s="99" cm="1">
        <f t="array" aca="1" ref="AM84" ca="1">CreateID($AM$3,$AM:$AM,$AL84&lt;&gt;"")</f>
        <v>0</v>
      </c>
      <c r="AN84" s="99" t="str" cm="1">
        <f t="array" aca="1" ref="AN84" ca="1">IF(OR($C84="",OFFSET($C84,1,0)=""),"",
IF(AND($A84=Questions!$A$59,OFFSET($A84,1,0)=Questions!$A$60,SimpleLookup(Questions!$A$49,$A:$C)=Definitions!$A$4),
IF(MATCH($C84,Definitions!$AW:$AW,0)&gt;MATCH(OFFSET($C84,1,0),Definitions!AW:AW,0),$A84&amp;" "&amp;$K84&amp;": "&amp;$C84&amp;CHAR(10)&amp;"&lt;---&gt;"&amp;CHAR(10)&amp;OFFSET($A84,1,0)&amp;" "&amp;OFFSET($K84,1,0)&amp;": "&amp;OFFSET($C84,1,0),""),
""))</f>
        <v/>
      </c>
      <c r="AO84" s="99" cm="1">
        <f t="array" aca="1" ref="AO84" ca="1">CreateID($AO$3,$AO:$AO,$AN84&lt;&gt;"")</f>
        <v>0</v>
      </c>
    </row>
    <row r="85" spans="9:41" x14ac:dyDescent="0.25">
      <c r="I85" s="99" t="str">
        <f t="shared" si="17"/>
        <v/>
      </c>
      <c r="J85" s="99" t="str">
        <f t="shared" si="18"/>
        <v/>
      </c>
      <c r="K85" s="99" t="e" cm="1">
        <f t="array" aca="1" ref="K85" ca="1">SimpleLookup($A85,Questions!$A:$B)</f>
        <v>#N/A</v>
      </c>
      <c r="L85" s="99" cm="1">
        <f t="array" aca="1" ref="L85" ca="1">CreateID($L$3,$L:$L,AND($A85&lt;&gt;"",$AC85))</f>
        <v>39</v>
      </c>
      <c r="M85" s="99" cm="1">
        <f t="array" aca="1" ref="M85" ca="1">CreateTaskID($M$3,$M:$M,Tasks!$B$17,$G85)</f>
        <v>0</v>
      </c>
      <c r="N85" s="99" t="str">
        <f t="shared" si="16"/>
        <v/>
      </c>
      <c r="O85" s="99" cm="1">
        <f t="array" aca="1" ref="O85" ca="1">CreateID($O$3,$O:$O,$N85&lt;&gt;"")</f>
        <v>39</v>
      </c>
      <c r="P85" s="99" t="str">
        <f t="shared" si="19"/>
        <v/>
      </c>
      <c r="Q85" s="99" cm="1">
        <f t="array" aca="1" ref="Q85" ca="1">CreateID($Q$3,$Q:$Q,$P85&lt;&gt;"")</f>
        <v>0</v>
      </c>
      <c r="R85" s="99" t="str">
        <f t="shared" si="20"/>
        <v/>
      </c>
      <c r="S85" s="99" cm="1">
        <f t="array" aca="1" ref="S85" ca="1">CreateID($S$3,$S:$S,$R85&lt;&gt;"")</f>
        <v>0</v>
      </c>
      <c r="T85" s="99" t="str">
        <f t="shared" si="21"/>
        <v/>
      </c>
      <c r="U85" s="99" cm="1">
        <f t="array" aca="1" ref="U85" ca="1">CreateID($U$3,$U:$U,$T85&lt;&gt;"")</f>
        <v>0</v>
      </c>
      <c r="V85" s="99" cm="1">
        <f t="array" aca="1" ref="V85" ca="1">CreateID($V$3,$V:$V,IFERROR(FIND(Definitions!$AR$4,$G85)&gt;0,FALSE))</f>
        <v>0</v>
      </c>
      <c r="W85" s="99">
        <f>_xlfn.LET(
_xlpm._comment,$G85,
_xlpm._keyWord,Definitions!$AR$4,
_xlpm._diffLen,LEN(_xlpm._comment)-LEN(SUBSTITUTE(_xlpm._comment,_xlpm._keyWord,"")),
_xlpm._diffLen/LEN(_xlpm._keyWord))</f>
        <v>0</v>
      </c>
      <c r="X85" s="99" cm="1">
        <f t="array" aca="1" ref="X85" ca="1">CreateID($X$3,$X:$X,IFERROR(FIND(Definitions!$AR$5,$G85)&gt;0,FALSE))</f>
        <v>0</v>
      </c>
      <c r="Y85" s="99">
        <f>_xlfn.LET(
_xlpm._comment,$G85,
_xlpm._keyWord,Definitions!$AR$5,
_xlpm._diffLen,LEN(_xlpm._comment)-LEN(SUBSTITUTE(_xlpm._comment,_xlpm._keyWord,"")),
_xlpm._diffLen/LEN(_xlpm._keyWord))</f>
        <v>0</v>
      </c>
      <c r="Z85" s="99" t="b">
        <f ca="1">OR(IFERROR(_xlfn.XMATCH("*,"&amp;$A85&amp;",*",Assumptions!$AL:$AL,2)&gt;0,FALSE),
IFERROR(_xlfn.XMATCH("*,"&amp;$A85&amp;",*",Countermeasures!$AO:$AO,2)&gt;0,FALSE))</f>
        <v>0</v>
      </c>
      <c r="AA85" s="99" t="str" cm="1">
        <f t="array" ref="AA85">CreateSearchString($I85)</f>
        <v/>
      </c>
      <c r="AB85" s="99" t="str">
        <f>IF($E85="","",IFERROR(VLOOKUP($E85,Definitions!$H:$J,COLUMNS(Definitions!$H:$J),FALSE),""))</f>
        <v/>
      </c>
      <c r="AC85" s="99" t="b" cm="1">
        <f t="array" ref="AC85">IF($A85="",FALSE,SimpleLookup($A85,Questions!$A:$D)="x")</f>
        <v>0</v>
      </c>
      <c r="AD85" s="99" t="str" cm="1">
        <f t="array" ref="AD85">IF(OR($A85="",NOT($AC85)),"",SimpleLookup($A85,Questions!$A:$E))</f>
        <v/>
      </c>
      <c r="AE85" s="99" t="str" cm="1">
        <f t="array" ref="AE85">IF(OR($A85="",NOT($AC85)),"",SimpleLookup($A85,Questions!$A:$F))</f>
        <v/>
      </c>
      <c r="AF85" s="99" t="str" cm="1">
        <f t="array" ref="AF85">_xlfn.LET(
_xlpm._answer,$C85,
_xlpm._infoTextFull,IF($AC85,CHAR(10)&amp;SimpleLookup($A85,Questions!$A:$H)&amp;CHAR(10),""),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85" s="99" t="b" cm="1">
        <f t="array" ref="AG85">IF(OR($A85="",NOT($AC85)),FALSE,_xlfn.LET(
_xlpm._secondAnswerRequiredOn,SimpleLookup($A85,Questions!$A:$I),
_xlpm._firstAnwer,$C85,
IFERROR(FIND(CHAR(10)&amp;_xlpm._firstAnwer&amp;":",CHAR(10)&amp;_xlpm._secondAnswerRequiredOn)&gt;0,FALSE)))</f>
        <v>0</v>
      </c>
      <c r="AH85" s="99" t="str" cm="1">
        <f t="array" ref="AH85">IF(OR($A85="",NOT($AC85)),"",_xlfn.LET(
_xlpm._id,$A85,
_xlpm._firstAnswer,$C85,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85" s="99" t="str" cm="1">
        <f t="array" ref="AI85">IF(OR($A85="",NOT($AC85)),"",_xlfn.LET(
_xlpm._id,$A85,
_xlpm._firstAnswer,$C85,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85" s="99" t="str" cm="1">
        <f t="array" ref="AJ85">IF($AG85,_xlfn.LET(
_xlpm._answer,$E85,
_xlpm._infoTextFull,IF($AC85,CHAR(10)&amp;SimpleLookup($A85,Questions!$A:$L)&amp;CHAR(10),""),
_xlpm._startSelectedByAnswerOne,IF(_xlpm._infoTextFull="",0,FIND("___"&amp;$C85&amp;"___",_xlpm._infoTextFull)+LEN("___"&amp;$C85&amp;"___")),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85" s="99" t="b" cm="1">
        <f t="array" ref="AK85">IF(OR($A85="",NOT($AC85)),FALSE,SimpleLookup($A85,Questions!$A:$Q))</f>
        <v>0</v>
      </c>
      <c r="AL85" s="99" t="str" cm="1">
        <f t="array" aca="1" ref="AL85" ca="1">IF(AND($A85=Questions!$A$41,IFERROR(SimpleLookup(Questions!$A$36,$A:$E)=Definitions!$O$5,FALSE),$C85=Definitions!$A$5),
Questions!$A$36&amp;" "&amp;Questions!$B$36&amp;CHAR(10)&amp;CHAR(187)&amp;" "&amp;SimpleLookup(Questions!$A$36,$A:$C)&amp;CHAR(10)&amp;SimpleLookup(Questions!$A$36,$A:$D)&amp;CHAR(10)&amp;CHAR(187)&amp;" "&amp;Definitions!$O$5&amp;CHAR(10)&amp;CHAR(10)&amp;
"is incosistent with"&amp;CHAR(10)&amp;CHAR(10)&amp;
$A85&amp;" "&amp;SimpleLookup($A85,Questions!$A:$B)&amp;CHAR(10)&amp;CHAR(187)&amp;" "&amp;$C85,
"")</f>
        <v/>
      </c>
      <c r="AM85" s="99" cm="1">
        <f t="array" aca="1" ref="AM85" ca="1">CreateID($AM$3,$AM:$AM,$AL85&lt;&gt;"")</f>
        <v>0</v>
      </c>
      <c r="AN85" s="99" t="str" cm="1">
        <f t="array" aca="1" ref="AN85" ca="1">IF(OR($C85="",OFFSET($C85,1,0)=""),"",
IF(AND($A85=Questions!$A$59,OFFSET($A85,1,0)=Questions!$A$60,SimpleLookup(Questions!$A$49,$A:$C)=Definitions!$A$4),
IF(MATCH($C85,Definitions!$AW:$AW,0)&gt;MATCH(OFFSET($C85,1,0),Definitions!AW:AW,0),$A85&amp;" "&amp;$K85&amp;": "&amp;$C85&amp;CHAR(10)&amp;"&lt;---&gt;"&amp;CHAR(10)&amp;OFFSET($A85,1,0)&amp;" "&amp;OFFSET($K85,1,0)&amp;": "&amp;OFFSET($C85,1,0),""),
""))</f>
        <v/>
      </c>
      <c r="AO85" s="99" cm="1">
        <f t="array" aca="1" ref="AO85" ca="1">CreateID($AO$3,$AO:$AO,$AN85&lt;&gt;"")</f>
        <v>0</v>
      </c>
    </row>
    <row r="86" spans="9:41" x14ac:dyDescent="0.25">
      <c r="I86" s="99" t="str">
        <f t="shared" si="17"/>
        <v/>
      </c>
      <c r="J86" s="99" t="str">
        <f t="shared" si="18"/>
        <v/>
      </c>
      <c r="K86" s="99" t="e" cm="1">
        <f t="array" aca="1" ref="K86" ca="1">SimpleLookup($A86,Questions!$A:$B)</f>
        <v>#N/A</v>
      </c>
      <c r="L86" s="99" cm="1">
        <f t="array" aca="1" ref="L86" ca="1">CreateID($L$3,$L:$L,AND($A86&lt;&gt;"",$AC86))</f>
        <v>39</v>
      </c>
      <c r="M86" s="99" cm="1">
        <f t="array" aca="1" ref="M86" ca="1">CreateTaskID($M$3,$M:$M,Tasks!$B$17,$G86)</f>
        <v>0</v>
      </c>
      <c r="N86" s="99" t="str">
        <f t="shared" si="16"/>
        <v/>
      </c>
      <c r="O86" s="99" cm="1">
        <f t="array" aca="1" ref="O86" ca="1">CreateID($O$3,$O:$O,$N86&lt;&gt;"")</f>
        <v>39</v>
      </c>
      <c r="P86" s="99" t="str">
        <f t="shared" si="19"/>
        <v/>
      </c>
      <c r="Q86" s="99" cm="1">
        <f t="array" aca="1" ref="Q86" ca="1">CreateID($Q$3,$Q:$Q,$P86&lt;&gt;"")</f>
        <v>0</v>
      </c>
      <c r="R86" s="99" t="str">
        <f t="shared" si="20"/>
        <v/>
      </c>
      <c r="S86" s="99" cm="1">
        <f t="array" aca="1" ref="S86" ca="1">CreateID($S$3,$S:$S,$R86&lt;&gt;"")</f>
        <v>0</v>
      </c>
      <c r="T86" s="99" t="str">
        <f t="shared" si="21"/>
        <v/>
      </c>
      <c r="U86" s="99" cm="1">
        <f t="array" aca="1" ref="U86" ca="1">CreateID($U$3,$U:$U,$T86&lt;&gt;"")</f>
        <v>0</v>
      </c>
      <c r="V86" s="99" cm="1">
        <f t="array" aca="1" ref="V86" ca="1">CreateID($V$3,$V:$V,IFERROR(FIND(Definitions!$AR$4,$G86)&gt;0,FALSE))</f>
        <v>0</v>
      </c>
      <c r="W86" s="99">
        <f>_xlfn.LET(
_xlpm._comment,$G86,
_xlpm._keyWord,Definitions!$AR$4,
_xlpm._diffLen,LEN(_xlpm._comment)-LEN(SUBSTITUTE(_xlpm._comment,_xlpm._keyWord,"")),
_xlpm._diffLen/LEN(_xlpm._keyWord))</f>
        <v>0</v>
      </c>
      <c r="X86" s="99" cm="1">
        <f t="array" aca="1" ref="X86" ca="1">CreateID($X$3,$X:$X,IFERROR(FIND(Definitions!$AR$5,$G86)&gt;0,FALSE))</f>
        <v>0</v>
      </c>
      <c r="Y86" s="99">
        <f>_xlfn.LET(
_xlpm._comment,$G86,
_xlpm._keyWord,Definitions!$AR$5,
_xlpm._diffLen,LEN(_xlpm._comment)-LEN(SUBSTITUTE(_xlpm._comment,_xlpm._keyWord,"")),
_xlpm._diffLen/LEN(_xlpm._keyWord))</f>
        <v>0</v>
      </c>
      <c r="Z86" s="99" t="b">
        <f ca="1">OR(IFERROR(_xlfn.XMATCH("*,"&amp;$A86&amp;",*",Assumptions!$AL:$AL,2)&gt;0,FALSE),
IFERROR(_xlfn.XMATCH("*,"&amp;$A86&amp;",*",Countermeasures!$AO:$AO,2)&gt;0,FALSE))</f>
        <v>0</v>
      </c>
      <c r="AA86" s="99" t="str" cm="1">
        <f t="array" ref="AA86">CreateSearchString($I86)</f>
        <v/>
      </c>
      <c r="AB86" s="99" t="str">
        <f>IF($E86="","",IFERROR(VLOOKUP($E86,Definitions!$H:$J,COLUMNS(Definitions!$H:$J),FALSE),""))</f>
        <v/>
      </c>
      <c r="AC86" s="99" t="b" cm="1">
        <f t="array" ref="AC86">IF($A86="",FALSE,SimpleLookup($A86,Questions!$A:$D)="x")</f>
        <v>0</v>
      </c>
      <c r="AD86" s="99" t="str" cm="1">
        <f t="array" ref="AD86">IF(OR($A86="",NOT($AC86)),"",SimpleLookup($A86,Questions!$A:$E))</f>
        <v/>
      </c>
      <c r="AE86" s="99" t="str" cm="1">
        <f t="array" ref="AE86">IF(OR($A86="",NOT($AC86)),"",SimpleLookup($A86,Questions!$A:$F))</f>
        <v/>
      </c>
      <c r="AF86" s="99" t="str" cm="1">
        <f t="array" ref="AF86">_xlfn.LET(
_xlpm._answer,$C86,
_xlpm._infoTextFull,IF($AC86,CHAR(10)&amp;SimpleLookup($A86,Questions!$A:$H)&amp;CHAR(10),""),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86" s="99" t="b" cm="1">
        <f t="array" ref="AG86">IF(OR($A86="",NOT($AC86)),FALSE,_xlfn.LET(
_xlpm._secondAnswerRequiredOn,SimpleLookup($A86,Questions!$A:$I),
_xlpm._firstAnwer,$C86,
IFERROR(FIND(CHAR(10)&amp;_xlpm._firstAnwer&amp;":",CHAR(10)&amp;_xlpm._secondAnswerRequiredOn)&gt;0,FALSE)))</f>
        <v>0</v>
      </c>
      <c r="AH86" s="99" t="str" cm="1">
        <f t="array" ref="AH86">IF(OR($A86="",NOT($AC86)),"",_xlfn.LET(
_xlpm._id,$A86,
_xlpm._firstAnswer,$C86,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86" s="99" t="str" cm="1">
        <f t="array" ref="AI86">IF(OR($A86="",NOT($AC86)),"",_xlfn.LET(
_xlpm._id,$A86,
_xlpm._firstAnswer,$C86,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86" s="99" t="str" cm="1">
        <f t="array" ref="AJ86">IF($AG86,_xlfn.LET(
_xlpm._answer,$E86,
_xlpm._infoTextFull,IF($AC86,CHAR(10)&amp;SimpleLookup($A86,Questions!$A:$L)&amp;CHAR(10),""),
_xlpm._startSelectedByAnswerOne,IF(_xlpm._infoTextFull="",0,FIND("___"&amp;$C86&amp;"___",_xlpm._infoTextFull)+LEN("___"&amp;$C86&amp;"___")),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86" s="99" t="b" cm="1">
        <f t="array" ref="AK86">IF(OR($A86="",NOT($AC86)),FALSE,SimpleLookup($A86,Questions!$A:$Q))</f>
        <v>0</v>
      </c>
      <c r="AL86" s="99" t="str" cm="1">
        <f t="array" aca="1" ref="AL86" ca="1">IF(AND($A86=Questions!$A$41,IFERROR(SimpleLookup(Questions!$A$36,$A:$E)=Definitions!$O$5,FALSE),$C86=Definitions!$A$5),
Questions!$A$36&amp;" "&amp;Questions!$B$36&amp;CHAR(10)&amp;CHAR(187)&amp;" "&amp;SimpleLookup(Questions!$A$36,$A:$C)&amp;CHAR(10)&amp;SimpleLookup(Questions!$A$36,$A:$D)&amp;CHAR(10)&amp;CHAR(187)&amp;" "&amp;Definitions!$O$5&amp;CHAR(10)&amp;CHAR(10)&amp;
"is incosistent with"&amp;CHAR(10)&amp;CHAR(10)&amp;
$A86&amp;" "&amp;SimpleLookup($A86,Questions!$A:$B)&amp;CHAR(10)&amp;CHAR(187)&amp;" "&amp;$C86,
"")</f>
        <v/>
      </c>
      <c r="AM86" s="99" cm="1">
        <f t="array" aca="1" ref="AM86" ca="1">CreateID($AM$3,$AM:$AM,$AL86&lt;&gt;"")</f>
        <v>0</v>
      </c>
      <c r="AN86" s="99" t="str" cm="1">
        <f t="array" aca="1" ref="AN86" ca="1">IF(OR($C86="",OFFSET($C86,1,0)=""),"",
IF(AND($A86=Questions!$A$59,OFFSET($A86,1,0)=Questions!$A$60,SimpleLookup(Questions!$A$49,$A:$C)=Definitions!$A$4),
IF(MATCH($C86,Definitions!$AW:$AW,0)&gt;MATCH(OFFSET($C86,1,0),Definitions!AW:AW,0),$A86&amp;" "&amp;$K86&amp;": "&amp;$C86&amp;CHAR(10)&amp;"&lt;---&gt;"&amp;CHAR(10)&amp;OFFSET($A86,1,0)&amp;" "&amp;OFFSET($K86,1,0)&amp;": "&amp;OFFSET($C86,1,0),""),
""))</f>
        <v/>
      </c>
      <c r="AO86" s="99" cm="1">
        <f t="array" aca="1" ref="AO86" ca="1">CreateID($AO$3,$AO:$AO,$AN86&lt;&gt;"")</f>
        <v>0</v>
      </c>
    </row>
    <row r="87" spans="9:41" x14ac:dyDescent="0.25">
      <c r="I87" s="99" t="str">
        <f t="shared" si="17"/>
        <v/>
      </c>
      <c r="J87" s="99" t="str">
        <f t="shared" si="18"/>
        <v/>
      </c>
      <c r="K87" s="99" t="e" cm="1">
        <f t="array" aca="1" ref="K87" ca="1">SimpleLookup($A87,Questions!$A:$B)</f>
        <v>#N/A</v>
      </c>
      <c r="L87" s="99" cm="1">
        <f t="array" aca="1" ref="L87" ca="1">CreateID($L$3,$L:$L,AND($A87&lt;&gt;"",$AC87))</f>
        <v>39</v>
      </c>
      <c r="M87" s="99" cm="1">
        <f t="array" aca="1" ref="M87" ca="1">CreateTaskID($M$3,$M:$M,Tasks!$B$17,$G87)</f>
        <v>0</v>
      </c>
      <c r="N87" s="99" t="str">
        <f t="shared" si="16"/>
        <v/>
      </c>
      <c r="O87" s="99" cm="1">
        <f t="array" aca="1" ref="O87" ca="1">CreateID($O$3,$O:$O,$N87&lt;&gt;"")</f>
        <v>39</v>
      </c>
      <c r="P87" s="99" t="str">
        <f t="shared" si="19"/>
        <v/>
      </c>
      <c r="Q87" s="99" cm="1">
        <f t="array" aca="1" ref="Q87" ca="1">CreateID($Q$3,$Q:$Q,$P87&lt;&gt;"")</f>
        <v>0</v>
      </c>
      <c r="R87" s="99" t="str">
        <f t="shared" si="20"/>
        <v/>
      </c>
      <c r="S87" s="99" cm="1">
        <f t="array" aca="1" ref="S87" ca="1">CreateID($S$3,$S:$S,$R87&lt;&gt;"")</f>
        <v>0</v>
      </c>
      <c r="T87" s="99" t="str">
        <f t="shared" si="21"/>
        <v/>
      </c>
      <c r="U87" s="99" cm="1">
        <f t="array" aca="1" ref="U87" ca="1">CreateID($U$3,$U:$U,$T87&lt;&gt;"")</f>
        <v>0</v>
      </c>
      <c r="V87" s="99" cm="1">
        <f t="array" aca="1" ref="V87" ca="1">CreateID($V$3,$V:$V,IFERROR(FIND(Definitions!$AR$4,$G87)&gt;0,FALSE))</f>
        <v>0</v>
      </c>
      <c r="W87" s="99">
        <f>_xlfn.LET(
_xlpm._comment,$G87,
_xlpm._keyWord,Definitions!$AR$4,
_xlpm._diffLen,LEN(_xlpm._comment)-LEN(SUBSTITUTE(_xlpm._comment,_xlpm._keyWord,"")),
_xlpm._diffLen/LEN(_xlpm._keyWord))</f>
        <v>0</v>
      </c>
      <c r="X87" s="99" cm="1">
        <f t="array" aca="1" ref="X87" ca="1">CreateID($X$3,$X:$X,IFERROR(FIND(Definitions!$AR$5,$G87)&gt;0,FALSE))</f>
        <v>0</v>
      </c>
      <c r="Y87" s="99">
        <f>_xlfn.LET(
_xlpm._comment,$G87,
_xlpm._keyWord,Definitions!$AR$5,
_xlpm._diffLen,LEN(_xlpm._comment)-LEN(SUBSTITUTE(_xlpm._comment,_xlpm._keyWord,"")),
_xlpm._diffLen/LEN(_xlpm._keyWord))</f>
        <v>0</v>
      </c>
      <c r="Z87" s="99" t="b">
        <f ca="1">OR(IFERROR(_xlfn.XMATCH("*,"&amp;$A87&amp;",*",Assumptions!$AL:$AL,2)&gt;0,FALSE),
IFERROR(_xlfn.XMATCH("*,"&amp;$A87&amp;",*",Countermeasures!$AO:$AO,2)&gt;0,FALSE))</f>
        <v>0</v>
      </c>
      <c r="AA87" s="99" t="str" cm="1">
        <f t="array" ref="AA87">CreateSearchString($I87)</f>
        <v/>
      </c>
      <c r="AB87" s="99" t="str">
        <f>IF($E87="","",IFERROR(VLOOKUP($E87,Definitions!$H:$J,COLUMNS(Definitions!$H:$J),FALSE),""))</f>
        <v/>
      </c>
      <c r="AC87" s="99" t="b" cm="1">
        <f t="array" ref="AC87">IF($A87="",FALSE,SimpleLookup($A87,Questions!$A:$D)="x")</f>
        <v>0</v>
      </c>
      <c r="AD87" s="99" t="str" cm="1">
        <f t="array" ref="AD87">IF(OR($A87="",NOT($AC87)),"",SimpleLookup($A87,Questions!$A:$E))</f>
        <v/>
      </c>
      <c r="AE87" s="99" t="str" cm="1">
        <f t="array" ref="AE87">IF(OR($A87="",NOT($AC87)),"",SimpleLookup($A87,Questions!$A:$F))</f>
        <v/>
      </c>
      <c r="AF87" s="99" t="str" cm="1">
        <f t="array" ref="AF87">_xlfn.LET(
_xlpm._answer,$C87,
_xlpm._infoTextFull,IF($AC87,CHAR(10)&amp;SimpleLookup($A87,Questions!$A:$H)&amp;CHAR(10),""),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87" s="99" t="b" cm="1">
        <f t="array" ref="AG87">IF(OR($A87="",NOT($AC87)),FALSE,_xlfn.LET(
_xlpm._secondAnswerRequiredOn,SimpleLookup($A87,Questions!$A:$I),
_xlpm._firstAnwer,$C87,
IFERROR(FIND(CHAR(10)&amp;_xlpm._firstAnwer&amp;":",CHAR(10)&amp;_xlpm._secondAnswerRequiredOn)&gt;0,FALSE)))</f>
        <v>0</v>
      </c>
      <c r="AH87" s="99" t="str" cm="1">
        <f t="array" ref="AH87">IF(OR($A87="",NOT($AC87)),"",_xlfn.LET(
_xlpm._id,$A87,
_xlpm._firstAnswer,$C87,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87" s="99" t="str" cm="1">
        <f t="array" ref="AI87">IF(OR($A87="",NOT($AC87)),"",_xlfn.LET(
_xlpm._id,$A87,
_xlpm._firstAnswer,$C87,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87" s="99" t="str" cm="1">
        <f t="array" ref="AJ87">IF($AG87,_xlfn.LET(
_xlpm._answer,$E87,
_xlpm._infoTextFull,IF($AC87,CHAR(10)&amp;SimpleLookup($A87,Questions!$A:$L)&amp;CHAR(10),""),
_xlpm._startSelectedByAnswerOne,IF(_xlpm._infoTextFull="",0,FIND("___"&amp;$C87&amp;"___",_xlpm._infoTextFull)+LEN("___"&amp;$C87&amp;"___")),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87" s="99" t="b" cm="1">
        <f t="array" ref="AK87">IF(OR($A87="",NOT($AC87)),FALSE,SimpleLookup($A87,Questions!$A:$Q))</f>
        <v>0</v>
      </c>
      <c r="AL87" s="99" t="str" cm="1">
        <f t="array" aca="1" ref="AL87" ca="1">IF(AND($A87=Questions!$A$41,IFERROR(SimpleLookup(Questions!$A$36,$A:$E)=Definitions!$O$5,FALSE),$C87=Definitions!$A$5),
Questions!$A$36&amp;" "&amp;Questions!$B$36&amp;CHAR(10)&amp;CHAR(187)&amp;" "&amp;SimpleLookup(Questions!$A$36,$A:$C)&amp;CHAR(10)&amp;SimpleLookup(Questions!$A$36,$A:$D)&amp;CHAR(10)&amp;CHAR(187)&amp;" "&amp;Definitions!$O$5&amp;CHAR(10)&amp;CHAR(10)&amp;
"is incosistent with"&amp;CHAR(10)&amp;CHAR(10)&amp;
$A87&amp;" "&amp;SimpleLookup($A87,Questions!$A:$B)&amp;CHAR(10)&amp;CHAR(187)&amp;" "&amp;$C87,
"")</f>
        <v/>
      </c>
      <c r="AM87" s="99" cm="1">
        <f t="array" aca="1" ref="AM87" ca="1">CreateID($AM$3,$AM:$AM,$AL87&lt;&gt;"")</f>
        <v>0</v>
      </c>
      <c r="AN87" s="99" t="str" cm="1">
        <f t="array" aca="1" ref="AN87" ca="1">IF(OR($C87="",OFFSET($C87,1,0)=""),"",
IF(AND($A87=Questions!$A$59,OFFSET($A87,1,0)=Questions!$A$60,SimpleLookup(Questions!$A$49,$A:$C)=Definitions!$A$4),
IF(MATCH($C87,Definitions!$AW:$AW,0)&gt;MATCH(OFFSET($C87,1,0),Definitions!AW:AW,0),$A87&amp;" "&amp;$K87&amp;": "&amp;$C87&amp;CHAR(10)&amp;"&lt;---&gt;"&amp;CHAR(10)&amp;OFFSET($A87,1,0)&amp;" "&amp;OFFSET($K87,1,0)&amp;": "&amp;OFFSET($C87,1,0),""),
""))</f>
        <v/>
      </c>
      <c r="AO87" s="99" cm="1">
        <f t="array" aca="1" ref="AO87" ca="1">CreateID($AO$3,$AO:$AO,$AN87&lt;&gt;"")</f>
        <v>0</v>
      </c>
    </row>
    <row r="88" spans="9:41" x14ac:dyDescent="0.25">
      <c r="I88" s="99" t="str">
        <f t="shared" si="17"/>
        <v/>
      </c>
      <c r="J88" s="99" t="str">
        <f t="shared" si="18"/>
        <v/>
      </c>
      <c r="K88" s="99" t="e" cm="1">
        <f t="array" aca="1" ref="K88" ca="1">SimpleLookup($A88,Questions!$A:$B)</f>
        <v>#N/A</v>
      </c>
      <c r="L88" s="99" cm="1">
        <f t="array" aca="1" ref="L88" ca="1">CreateID($L$3,$L:$L,AND($A88&lt;&gt;"",$AC88))</f>
        <v>39</v>
      </c>
      <c r="M88" s="99" cm="1">
        <f t="array" aca="1" ref="M88" ca="1">CreateTaskID($M$3,$M:$M,Tasks!$B$17,$G88)</f>
        <v>0</v>
      </c>
      <c r="N88" s="99" t="str">
        <f t="shared" si="16"/>
        <v/>
      </c>
      <c r="O88" s="99" cm="1">
        <f t="array" aca="1" ref="O88" ca="1">CreateID($O$3,$O:$O,$N88&lt;&gt;"")</f>
        <v>39</v>
      </c>
      <c r="P88" s="99" t="str">
        <f t="shared" si="19"/>
        <v/>
      </c>
      <c r="Q88" s="99" cm="1">
        <f t="array" aca="1" ref="Q88" ca="1">CreateID($Q$3,$Q:$Q,$P88&lt;&gt;"")</f>
        <v>0</v>
      </c>
      <c r="R88" s="99" t="str">
        <f t="shared" si="20"/>
        <v/>
      </c>
      <c r="S88" s="99" cm="1">
        <f t="array" aca="1" ref="S88" ca="1">CreateID($S$3,$S:$S,$R88&lt;&gt;"")</f>
        <v>0</v>
      </c>
      <c r="T88" s="99" t="str">
        <f t="shared" si="21"/>
        <v/>
      </c>
      <c r="U88" s="99" cm="1">
        <f t="array" aca="1" ref="U88" ca="1">CreateID($U$3,$U:$U,$T88&lt;&gt;"")</f>
        <v>0</v>
      </c>
      <c r="V88" s="99" cm="1">
        <f t="array" aca="1" ref="V88" ca="1">CreateID($V$3,$V:$V,IFERROR(FIND(Definitions!$AR$4,$G88)&gt;0,FALSE))</f>
        <v>0</v>
      </c>
      <c r="W88" s="99">
        <f>_xlfn.LET(
_xlpm._comment,$G88,
_xlpm._keyWord,Definitions!$AR$4,
_xlpm._diffLen,LEN(_xlpm._comment)-LEN(SUBSTITUTE(_xlpm._comment,_xlpm._keyWord,"")),
_xlpm._diffLen/LEN(_xlpm._keyWord))</f>
        <v>0</v>
      </c>
      <c r="X88" s="99" cm="1">
        <f t="array" aca="1" ref="X88" ca="1">CreateID($X$3,$X:$X,IFERROR(FIND(Definitions!$AR$5,$G88)&gt;0,FALSE))</f>
        <v>0</v>
      </c>
      <c r="Y88" s="99">
        <f>_xlfn.LET(
_xlpm._comment,$G88,
_xlpm._keyWord,Definitions!$AR$5,
_xlpm._diffLen,LEN(_xlpm._comment)-LEN(SUBSTITUTE(_xlpm._comment,_xlpm._keyWord,"")),
_xlpm._diffLen/LEN(_xlpm._keyWord))</f>
        <v>0</v>
      </c>
      <c r="Z88" s="99" t="b">
        <f ca="1">OR(IFERROR(_xlfn.XMATCH("*,"&amp;$A88&amp;",*",Assumptions!$AL:$AL,2)&gt;0,FALSE),
IFERROR(_xlfn.XMATCH("*,"&amp;$A88&amp;",*",Countermeasures!$AO:$AO,2)&gt;0,FALSE))</f>
        <v>0</v>
      </c>
      <c r="AA88" s="99" t="str" cm="1">
        <f t="array" ref="AA88">CreateSearchString($I88)</f>
        <v/>
      </c>
      <c r="AB88" s="99" t="str">
        <f>IF($E88="","",IFERROR(VLOOKUP($E88,Definitions!$H:$J,COLUMNS(Definitions!$H:$J),FALSE),""))</f>
        <v/>
      </c>
      <c r="AC88" s="99" t="b" cm="1">
        <f t="array" ref="AC88">IF($A88="",FALSE,SimpleLookup($A88,Questions!$A:$D)="x")</f>
        <v>0</v>
      </c>
      <c r="AD88" s="99" t="str" cm="1">
        <f t="array" ref="AD88">IF(OR($A88="",NOT($AC88)),"",SimpleLookup($A88,Questions!$A:$E))</f>
        <v/>
      </c>
      <c r="AE88" s="99" t="str" cm="1">
        <f t="array" ref="AE88">IF(OR($A88="",NOT($AC88)),"",SimpleLookup($A88,Questions!$A:$F))</f>
        <v/>
      </c>
      <c r="AF88" s="99" t="str" cm="1">
        <f t="array" ref="AF88">_xlfn.LET(
_xlpm._answer,$C88,
_xlpm._infoTextFull,IF($AC88,CHAR(10)&amp;SimpleLookup($A88,Questions!$A:$H)&amp;CHAR(10),""),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88" s="99" t="b" cm="1">
        <f t="array" ref="AG88">IF(OR($A88="",NOT($AC88)),FALSE,_xlfn.LET(
_xlpm._secondAnswerRequiredOn,SimpleLookup($A88,Questions!$A:$I),
_xlpm._firstAnwer,$C88,
IFERROR(FIND(CHAR(10)&amp;_xlpm._firstAnwer&amp;":",CHAR(10)&amp;_xlpm._secondAnswerRequiredOn)&gt;0,FALSE)))</f>
        <v>0</v>
      </c>
      <c r="AH88" s="99" t="str" cm="1">
        <f t="array" ref="AH88">IF(OR($A88="",NOT($AC88)),"",_xlfn.LET(
_xlpm._id,$A88,
_xlpm._firstAnswer,$C88,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88" s="99" t="str" cm="1">
        <f t="array" ref="AI88">IF(OR($A88="",NOT($AC88)),"",_xlfn.LET(
_xlpm._id,$A88,
_xlpm._firstAnswer,$C88,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88" s="99" t="str" cm="1">
        <f t="array" ref="AJ88">IF($AG88,_xlfn.LET(
_xlpm._answer,$E88,
_xlpm._infoTextFull,IF($AC88,CHAR(10)&amp;SimpleLookup($A88,Questions!$A:$L)&amp;CHAR(10),""),
_xlpm._startSelectedByAnswerOne,IF(_xlpm._infoTextFull="",0,FIND("___"&amp;$C88&amp;"___",_xlpm._infoTextFull)+LEN("___"&amp;$C88&amp;"___")),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88" s="99" t="b" cm="1">
        <f t="array" ref="AK88">IF(OR($A88="",NOT($AC88)),FALSE,SimpleLookup($A88,Questions!$A:$Q))</f>
        <v>0</v>
      </c>
      <c r="AL88" s="99" t="str" cm="1">
        <f t="array" aca="1" ref="AL88" ca="1">IF(AND($A88=Questions!$A$41,IFERROR(SimpleLookup(Questions!$A$36,$A:$E)=Definitions!$O$5,FALSE),$C88=Definitions!$A$5),
Questions!$A$36&amp;" "&amp;Questions!$B$36&amp;CHAR(10)&amp;CHAR(187)&amp;" "&amp;SimpleLookup(Questions!$A$36,$A:$C)&amp;CHAR(10)&amp;SimpleLookup(Questions!$A$36,$A:$D)&amp;CHAR(10)&amp;CHAR(187)&amp;" "&amp;Definitions!$O$5&amp;CHAR(10)&amp;CHAR(10)&amp;
"is incosistent with"&amp;CHAR(10)&amp;CHAR(10)&amp;
$A88&amp;" "&amp;SimpleLookup($A88,Questions!$A:$B)&amp;CHAR(10)&amp;CHAR(187)&amp;" "&amp;$C88,
"")</f>
        <v/>
      </c>
      <c r="AM88" s="99" cm="1">
        <f t="array" aca="1" ref="AM88" ca="1">CreateID($AM$3,$AM:$AM,$AL88&lt;&gt;"")</f>
        <v>0</v>
      </c>
      <c r="AN88" s="99" t="str" cm="1">
        <f t="array" aca="1" ref="AN88" ca="1">IF(OR($C88="",OFFSET($C88,1,0)=""),"",
IF(AND($A88=Questions!$A$59,OFFSET($A88,1,0)=Questions!$A$60,SimpleLookup(Questions!$A$49,$A:$C)=Definitions!$A$4),
IF(MATCH($C88,Definitions!$AW:$AW,0)&gt;MATCH(OFFSET($C88,1,0),Definitions!AW:AW,0),$A88&amp;" "&amp;$K88&amp;": "&amp;$C88&amp;CHAR(10)&amp;"&lt;---&gt;"&amp;CHAR(10)&amp;OFFSET($A88,1,0)&amp;" "&amp;OFFSET($K88,1,0)&amp;": "&amp;OFFSET($C88,1,0),""),
""))</f>
        <v/>
      </c>
      <c r="AO88" s="99" cm="1">
        <f t="array" aca="1" ref="AO88" ca="1">CreateID($AO$3,$AO:$AO,$AN88&lt;&gt;"")</f>
        <v>0</v>
      </c>
    </row>
    <row r="89" spans="9:41" x14ac:dyDescent="0.25">
      <c r="I89" s="99" t="str">
        <f t="shared" si="17"/>
        <v/>
      </c>
      <c r="J89" s="99" t="str">
        <f t="shared" si="18"/>
        <v/>
      </c>
      <c r="K89" s="99" t="e" cm="1">
        <f t="array" aca="1" ref="K89" ca="1">SimpleLookup($A89,Questions!$A:$B)</f>
        <v>#N/A</v>
      </c>
      <c r="L89" s="99" cm="1">
        <f t="array" aca="1" ref="L89" ca="1">CreateID($L$3,$L:$L,AND($A89&lt;&gt;"",$AC89))</f>
        <v>39</v>
      </c>
      <c r="M89" s="99" cm="1">
        <f t="array" aca="1" ref="M89" ca="1">CreateTaskID($M$3,$M:$M,Tasks!$B$17,$G89)</f>
        <v>0</v>
      </c>
      <c r="N89" s="99" t="str">
        <f t="shared" si="16"/>
        <v/>
      </c>
      <c r="O89" s="99" cm="1">
        <f t="array" aca="1" ref="O89" ca="1">CreateID($O$3,$O:$O,$N89&lt;&gt;"")</f>
        <v>39</v>
      </c>
      <c r="P89" s="99" t="str">
        <f t="shared" si="19"/>
        <v/>
      </c>
      <c r="Q89" s="99" cm="1">
        <f t="array" aca="1" ref="Q89" ca="1">CreateID($Q$3,$Q:$Q,$P89&lt;&gt;"")</f>
        <v>0</v>
      </c>
      <c r="R89" s="99" t="str">
        <f t="shared" si="20"/>
        <v/>
      </c>
      <c r="S89" s="99" cm="1">
        <f t="array" aca="1" ref="S89" ca="1">CreateID($S$3,$S:$S,$R89&lt;&gt;"")</f>
        <v>0</v>
      </c>
      <c r="T89" s="99" t="str">
        <f t="shared" si="21"/>
        <v/>
      </c>
      <c r="U89" s="99" cm="1">
        <f t="array" aca="1" ref="U89" ca="1">CreateID($U$3,$U:$U,$T89&lt;&gt;"")</f>
        <v>0</v>
      </c>
      <c r="V89" s="99" cm="1">
        <f t="array" aca="1" ref="V89" ca="1">CreateID($V$3,$V:$V,IFERROR(FIND(Definitions!$AR$4,$G89)&gt;0,FALSE))</f>
        <v>0</v>
      </c>
      <c r="W89" s="99">
        <f>_xlfn.LET(
_xlpm._comment,$G89,
_xlpm._keyWord,Definitions!$AR$4,
_xlpm._diffLen,LEN(_xlpm._comment)-LEN(SUBSTITUTE(_xlpm._comment,_xlpm._keyWord,"")),
_xlpm._diffLen/LEN(_xlpm._keyWord))</f>
        <v>0</v>
      </c>
      <c r="X89" s="99" cm="1">
        <f t="array" aca="1" ref="X89" ca="1">CreateID($X$3,$X:$X,IFERROR(FIND(Definitions!$AR$5,$G89)&gt;0,FALSE))</f>
        <v>0</v>
      </c>
      <c r="Y89" s="99">
        <f>_xlfn.LET(
_xlpm._comment,$G89,
_xlpm._keyWord,Definitions!$AR$5,
_xlpm._diffLen,LEN(_xlpm._comment)-LEN(SUBSTITUTE(_xlpm._comment,_xlpm._keyWord,"")),
_xlpm._diffLen/LEN(_xlpm._keyWord))</f>
        <v>0</v>
      </c>
      <c r="Z89" s="99" t="b">
        <f ca="1">OR(IFERROR(_xlfn.XMATCH("*,"&amp;$A89&amp;",*",Assumptions!$AL:$AL,2)&gt;0,FALSE),
IFERROR(_xlfn.XMATCH("*,"&amp;$A89&amp;",*",Countermeasures!$AO:$AO,2)&gt;0,FALSE))</f>
        <v>0</v>
      </c>
      <c r="AA89" s="99" t="str" cm="1">
        <f t="array" ref="AA89">CreateSearchString($I89)</f>
        <v/>
      </c>
      <c r="AB89" s="99" t="str">
        <f>IF($E89="","",IFERROR(VLOOKUP($E89,Definitions!$H:$J,COLUMNS(Definitions!$H:$J),FALSE),""))</f>
        <v/>
      </c>
      <c r="AC89" s="99" t="b" cm="1">
        <f t="array" ref="AC89">IF($A89="",FALSE,SimpleLookup($A89,Questions!$A:$D)="x")</f>
        <v>0</v>
      </c>
      <c r="AD89" s="99" t="str" cm="1">
        <f t="array" ref="AD89">IF(OR($A89="",NOT($AC89)),"",SimpleLookup($A89,Questions!$A:$E))</f>
        <v/>
      </c>
      <c r="AE89" s="99" t="str" cm="1">
        <f t="array" ref="AE89">IF(OR($A89="",NOT($AC89)),"",SimpleLookup($A89,Questions!$A:$F))</f>
        <v/>
      </c>
      <c r="AF89" s="99" t="str" cm="1">
        <f t="array" ref="AF89">_xlfn.LET(
_xlpm._answer,$C89,
_xlpm._infoTextFull,IF($AC89,CHAR(10)&amp;SimpleLookup($A89,Questions!$A:$H)&amp;CHAR(10),""),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89" s="99" t="b" cm="1">
        <f t="array" ref="AG89">IF(OR($A89="",NOT($AC89)),FALSE,_xlfn.LET(
_xlpm._secondAnswerRequiredOn,SimpleLookup($A89,Questions!$A:$I),
_xlpm._firstAnwer,$C89,
IFERROR(FIND(CHAR(10)&amp;_xlpm._firstAnwer&amp;":",CHAR(10)&amp;_xlpm._secondAnswerRequiredOn)&gt;0,FALSE)))</f>
        <v>0</v>
      </c>
      <c r="AH89" s="99" t="str" cm="1">
        <f t="array" ref="AH89">IF(OR($A89="",NOT($AC89)),"",_xlfn.LET(
_xlpm._id,$A89,
_xlpm._firstAnswer,$C89,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89" s="99" t="str" cm="1">
        <f t="array" ref="AI89">IF(OR($A89="",NOT($AC89)),"",_xlfn.LET(
_xlpm._id,$A89,
_xlpm._firstAnswer,$C89,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89" s="99" t="str" cm="1">
        <f t="array" ref="AJ89">IF($AG89,_xlfn.LET(
_xlpm._answer,$E89,
_xlpm._infoTextFull,IF($AC89,CHAR(10)&amp;SimpleLookup($A89,Questions!$A:$L)&amp;CHAR(10),""),
_xlpm._startSelectedByAnswerOne,IF(_xlpm._infoTextFull="",0,FIND("___"&amp;$C89&amp;"___",_xlpm._infoTextFull)+LEN("___"&amp;$C89&amp;"___")),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89" s="99" t="b" cm="1">
        <f t="array" ref="AK89">IF(OR($A89="",NOT($AC89)),FALSE,SimpleLookup($A89,Questions!$A:$Q))</f>
        <v>0</v>
      </c>
      <c r="AL89" s="99" t="str" cm="1">
        <f t="array" aca="1" ref="AL89" ca="1">IF(AND($A89=Questions!$A$41,IFERROR(SimpleLookup(Questions!$A$36,$A:$E)=Definitions!$O$5,FALSE),$C89=Definitions!$A$5),
Questions!$A$36&amp;" "&amp;Questions!$B$36&amp;CHAR(10)&amp;CHAR(187)&amp;" "&amp;SimpleLookup(Questions!$A$36,$A:$C)&amp;CHAR(10)&amp;SimpleLookup(Questions!$A$36,$A:$D)&amp;CHAR(10)&amp;CHAR(187)&amp;" "&amp;Definitions!$O$5&amp;CHAR(10)&amp;CHAR(10)&amp;
"is incosistent with"&amp;CHAR(10)&amp;CHAR(10)&amp;
$A89&amp;" "&amp;SimpleLookup($A89,Questions!$A:$B)&amp;CHAR(10)&amp;CHAR(187)&amp;" "&amp;$C89,
"")</f>
        <v/>
      </c>
      <c r="AM89" s="99" cm="1">
        <f t="array" aca="1" ref="AM89" ca="1">CreateID($AM$3,$AM:$AM,$AL89&lt;&gt;"")</f>
        <v>0</v>
      </c>
      <c r="AN89" s="99" t="str" cm="1">
        <f t="array" aca="1" ref="AN89" ca="1">IF(OR($C89="",OFFSET($C89,1,0)=""),"",
IF(AND($A89=Questions!$A$59,OFFSET($A89,1,0)=Questions!$A$60,SimpleLookup(Questions!$A$49,$A:$C)=Definitions!$A$4),
IF(MATCH($C89,Definitions!$AW:$AW,0)&gt;MATCH(OFFSET($C89,1,0),Definitions!AW:AW,0),$A89&amp;" "&amp;$K89&amp;": "&amp;$C89&amp;CHAR(10)&amp;"&lt;---&gt;"&amp;CHAR(10)&amp;OFFSET($A89,1,0)&amp;" "&amp;OFFSET($K89,1,0)&amp;": "&amp;OFFSET($C89,1,0),""),
""))</f>
        <v/>
      </c>
      <c r="AO89" s="99" cm="1">
        <f t="array" aca="1" ref="AO89" ca="1">CreateID($AO$3,$AO:$AO,$AN89&lt;&gt;"")</f>
        <v>0</v>
      </c>
    </row>
    <row r="90" spans="9:41" x14ac:dyDescent="0.25">
      <c r="I90" s="99" t="str">
        <f t="shared" si="17"/>
        <v/>
      </c>
      <c r="J90" s="99" t="str">
        <f t="shared" si="18"/>
        <v/>
      </c>
      <c r="K90" s="99" t="e" cm="1">
        <f t="array" aca="1" ref="K90" ca="1">SimpleLookup($A90,Questions!$A:$B)</f>
        <v>#N/A</v>
      </c>
      <c r="L90" s="99" cm="1">
        <f t="array" aca="1" ref="L90" ca="1">CreateID($L$3,$L:$L,AND($A90&lt;&gt;"",$AC90))</f>
        <v>39</v>
      </c>
      <c r="M90" s="99" cm="1">
        <f t="array" aca="1" ref="M90" ca="1">CreateTaskID($M$3,$M:$M,Tasks!$B$17,$G90)</f>
        <v>0</v>
      </c>
      <c r="N90" s="99" t="str">
        <f t="shared" si="16"/>
        <v/>
      </c>
      <c r="O90" s="99" cm="1">
        <f t="array" aca="1" ref="O90" ca="1">CreateID($O$3,$O:$O,$N90&lt;&gt;"")</f>
        <v>39</v>
      </c>
      <c r="P90" s="99" t="str">
        <f t="shared" si="19"/>
        <v/>
      </c>
      <c r="Q90" s="99" cm="1">
        <f t="array" aca="1" ref="Q90" ca="1">CreateID($Q$3,$Q:$Q,$P90&lt;&gt;"")</f>
        <v>0</v>
      </c>
      <c r="R90" s="99" t="str">
        <f t="shared" si="20"/>
        <v/>
      </c>
      <c r="S90" s="99" cm="1">
        <f t="array" aca="1" ref="S90" ca="1">CreateID($S$3,$S:$S,$R90&lt;&gt;"")</f>
        <v>0</v>
      </c>
      <c r="T90" s="99" t="str">
        <f t="shared" si="21"/>
        <v/>
      </c>
      <c r="U90" s="99" cm="1">
        <f t="array" aca="1" ref="U90" ca="1">CreateID($U$3,$U:$U,$T90&lt;&gt;"")</f>
        <v>0</v>
      </c>
      <c r="V90" s="99" cm="1">
        <f t="array" aca="1" ref="V90" ca="1">CreateID($V$3,$V:$V,IFERROR(FIND(Definitions!$AR$4,$G90)&gt;0,FALSE))</f>
        <v>0</v>
      </c>
      <c r="W90" s="99">
        <f>_xlfn.LET(
_xlpm._comment,$G90,
_xlpm._keyWord,Definitions!$AR$4,
_xlpm._diffLen,LEN(_xlpm._comment)-LEN(SUBSTITUTE(_xlpm._comment,_xlpm._keyWord,"")),
_xlpm._diffLen/LEN(_xlpm._keyWord))</f>
        <v>0</v>
      </c>
      <c r="X90" s="99" cm="1">
        <f t="array" aca="1" ref="X90" ca="1">CreateID($X$3,$X:$X,IFERROR(FIND(Definitions!$AR$5,$G90)&gt;0,FALSE))</f>
        <v>0</v>
      </c>
      <c r="Y90" s="99">
        <f>_xlfn.LET(
_xlpm._comment,$G90,
_xlpm._keyWord,Definitions!$AR$5,
_xlpm._diffLen,LEN(_xlpm._comment)-LEN(SUBSTITUTE(_xlpm._comment,_xlpm._keyWord,"")),
_xlpm._diffLen/LEN(_xlpm._keyWord))</f>
        <v>0</v>
      </c>
      <c r="Z90" s="99" t="b">
        <f ca="1">OR(IFERROR(_xlfn.XMATCH("*,"&amp;$A90&amp;",*",Assumptions!$AL:$AL,2)&gt;0,FALSE),
IFERROR(_xlfn.XMATCH("*,"&amp;$A90&amp;",*",Countermeasures!$AO:$AO,2)&gt;0,FALSE))</f>
        <v>0</v>
      </c>
      <c r="AA90" s="99" t="str" cm="1">
        <f t="array" ref="AA90">CreateSearchString($I90)</f>
        <v/>
      </c>
      <c r="AB90" s="99" t="str">
        <f>IF($E90="","",IFERROR(VLOOKUP($E90,Definitions!$H:$J,COLUMNS(Definitions!$H:$J),FALSE),""))</f>
        <v/>
      </c>
      <c r="AC90" s="99" t="b" cm="1">
        <f t="array" ref="AC90">IF($A90="",FALSE,SimpleLookup($A90,Questions!$A:$D)="x")</f>
        <v>0</v>
      </c>
      <c r="AD90" s="99" t="str" cm="1">
        <f t="array" ref="AD90">IF(OR($A90="",NOT($AC90)),"",SimpleLookup($A90,Questions!$A:$E))</f>
        <v/>
      </c>
      <c r="AE90" s="99" t="str" cm="1">
        <f t="array" ref="AE90">IF(OR($A90="",NOT($AC90)),"",SimpleLookup($A90,Questions!$A:$F))</f>
        <v/>
      </c>
      <c r="AF90" s="99" t="str" cm="1">
        <f t="array" ref="AF90">_xlfn.LET(
_xlpm._answer,$C90,
_xlpm._infoTextFull,IF($AC90,CHAR(10)&amp;SimpleLookup($A90,Questions!$A:$H)&amp;CHAR(10),""),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90" s="99" t="b" cm="1">
        <f t="array" ref="AG90">IF(OR($A90="",NOT($AC90)),FALSE,_xlfn.LET(
_xlpm._secondAnswerRequiredOn,SimpleLookup($A90,Questions!$A:$I),
_xlpm._firstAnwer,$C90,
IFERROR(FIND(CHAR(10)&amp;_xlpm._firstAnwer&amp;":",CHAR(10)&amp;_xlpm._secondAnswerRequiredOn)&gt;0,FALSE)))</f>
        <v>0</v>
      </c>
      <c r="AH90" s="99" t="str" cm="1">
        <f t="array" ref="AH90">IF(OR($A90="",NOT($AC90)),"",_xlfn.LET(
_xlpm._id,$A90,
_xlpm._firstAnswer,$C90,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90" s="99" t="str" cm="1">
        <f t="array" ref="AI90">IF(OR($A90="",NOT($AC90)),"",_xlfn.LET(
_xlpm._id,$A90,
_xlpm._firstAnswer,$C90,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90" s="99" t="str" cm="1">
        <f t="array" ref="AJ90">IF($AG90,_xlfn.LET(
_xlpm._answer,$E90,
_xlpm._infoTextFull,IF($AC90,CHAR(10)&amp;SimpleLookup($A90,Questions!$A:$L)&amp;CHAR(10),""),
_xlpm._startSelectedByAnswerOne,IF(_xlpm._infoTextFull="",0,FIND("___"&amp;$C90&amp;"___",_xlpm._infoTextFull)+LEN("___"&amp;$C90&amp;"___")),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90" s="99" t="b" cm="1">
        <f t="array" ref="AK90">IF(OR($A90="",NOT($AC90)),FALSE,SimpleLookup($A90,Questions!$A:$Q))</f>
        <v>0</v>
      </c>
      <c r="AL90" s="99" t="str" cm="1">
        <f t="array" aca="1" ref="AL90" ca="1">IF(AND($A90=Questions!$A$41,IFERROR(SimpleLookup(Questions!$A$36,$A:$E)=Definitions!$O$5,FALSE),$C90=Definitions!$A$5),
Questions!$A$36&amp;" "&amp;Questions!$B$36&amp;CHAR(10)&amp;CHAR(187)&amp;" "&amp;SimpleLookup(Questions!$A$36,$A:$C)&amp;CHAR(10)&amp;SimpleLookup(Questions!$A$36,$A:$D)&amp;CHAR(10)&amp;CHAR(187)&amp;" "&amp;Definitions!$O$5&amp;CHAR(10)&amp;CHAR(10)&amp;
"is incosistent with"&amp;CHAR(10)&amp;CHAR(10)&amp;
$A90&amp;" "&amp;SimpleLookup($A90,Questions!$A:$B)&amp;CHAR(10)&amp;CHAR(187)&amp;" "&amp;$C90,
"")</f>
        <v/>
      </c>
      <c r="AM90" s="99" cm="1">
        <f t="array" aca="1" ref="AM90" ca="1">CreateID($AM$3,$AM:$AM,$AL90&lt;&gt;"")</f>
        <v>0</v>
      </c>
      <c r="AN90" s="99" t="str" cm="1">
        <f t="array" aca="1" ref="AN90" ca="1">IF(OR($C90="",OFFSET($C90,1,0)=""),"",
IF(AND($A90=Questions!$A$59,OFFSET($A90,1,0)=Questions!$A$60,SimpleLookup(Questions!$A$49,$A:$C)=Definitions!$A$4),
IF(MATCH($C90,Definitions!$AW:$AW,0)&gt;MATCH(OFFSET($C90,1,0),Definitions!AW:AW,0),$A90&amp;" "&amp;$K90&amp;": "&amp;$C90&amp;CHAR(10)&amp;"&lt;---&gt;"&amp;CHAR(10)&amp;OFFSET($A90,1,0)&amp;" "&amp;OFFSET($K90,1,0)&amp;": "&amp;OFFSET($C90,1,0),""),
""))</f>
        <v/>
      </c>
      <c r="AO90" s="99" cm="1">
        <f t="array" aca="1" ref="AO90" ca="1">CreateID($AO$3,$AO:$AO,$AN90&lt;&gt;"")</f>
        <v>0</v>
      </c>
    </row>
    <row r="91" spans="9:41" x14ac:dyDescent="0.25">
      <c r="I91" s="99" t="str">
        <f t="shared" si="17"/>
        <v/>
      </c>
      <c r="J91" s="99" t="str">
        <f t="shared" si="18"/>
        <v/>
      </c>
      <c r="K91" s="99" t="e" cm="1">
        <f t="array" aca="1" ref="K91" ca="1">SimpleLookup($A91,Questions!$A:$B)</f>
        <v>#N/A</v>
      </c>
      <c r="L91" s="99" cm="1">
        <f t="array" aca="1" ref="L91" ca="1">CreateID($L$3,$L:$L,AND($A91&lt;&gt;"",$AC91))</f>
        <v>39</v>
      </c>
      <c r="M91" s="99" cm="1">
        <f t="array" aca="1" ref="M91" ca="1">CreateTaskID($M$3,$M:$M,Tasks!$B$17,$G91)</f>
        <v>0</v>
      </c>
      <c r="N91" s="99" t="str">
        <f t="shared" si="16"/>
        <v/>
      </c>
      <c r="O91" s="99" cm="1">
        <f t="array" aca="1" ref="O91" ca="1">CreateID($O$3,$O:$O,$N91&lt;&gt;"")</f>
        <v>39</v>
      </c>
      <c r="P91" s="99" t="str">
        <f t="shared" si="19"/>
        <v/>
      </c>
      <c r="Q91" s="99" cm="1">
        <f t="array" aca="1" ref="Q91" ca="1">CreateID($Q$3,$Q:$Q,$P91&lt;&gt;"")</f>
        <v>0</v>
      </c>
      <c r="R91" s="99" t="str">
        <f t="shared" si="20"/>
        <v/>
      </c>
      <c r="S91" s="99" cm="1">
        <f t="array" aca="1" ref="S91" ca="1">CreateID($S$3,$S:$S,$R91&lt;&gt;"")</f>
        <v>0</v>
      </c>
      <c r="T91" s="99" t="str">
        <f t="shared" si="21"/>
        <v/>
      </c>
      <c r="U91" s="99" cm="1">
        <f t="array" aca="1" ref="U91" ca="1">CreateID($U$3,$U:$U,$T91&lt;&gt;"")</f>
        <v>0</v>
      </c>
      <c r="V91" s="99" cm="1">
        <f t="array" aca="1" ref="V91" ca="1">CreateID($V$3,$V:$V,IFERROR(FIND(Definitions!$AR$4,$G91)&gt;0,FALSE))</f>
        <v>0</v>
      </c>
      <c r="W91" s="99">
        <f>_xlfn.LET(
_xlpm._comment,$G91,
_xlpm._keyWord,Definitions!$AR$4,
_xlpm._diffLen,LEN(_xlpm._comment)-LEN(SUBSTITUTE(_xlpm._comment,_xlpm._keyWord,"")),
_xlpm._diffLen/LEN(_xlpm._keyWord))</f>
        <v>0</v>
      </c>
      <c r="X91" s="99" cm="1">
        <f t="array" aca="1" ref="X91" ca="1">CreateID($X$3,$X:$X,IFERROR(FIND(Definitions!$AR$5,$G91)&gt;0,FALSE))</f>
        <v>0</v>
      </c>
      <c r="Y91" s="99">
        <f>_xlfn.LET(
_xlpm._comment,$G91,
_xlpm._keyWord,Definitions!$AR$5,
_xlpm._diffLen,LEN(_xlpm._comment)-LEN(SUBSTITUTE(_xlpm._comment,_xlpm._keyWord,"")),
_xlpm._diffLen/LEN(_xlpm._keyWord))</f>
        <v>0</v>
      </c>
      <c r="Z91" s="99" t="b">
        <f ca="1">OR(IFERROR(_xlfn.XMATCH("*,"&amp;$A91&amp;",*",Assumptions!$AL:$AL,2)&gt;0,FALSE),
IFERROR(_xlfn.XMATCH("*,"&amp;$A91&amp;",*",Countermeasures!$AO:$AO,2)&gt;0,FALSE))</f>
        <v>0</v>
      </c>
      <c r="AA91" s="99" t="str" cm="1">
        <f t="array" ref="AA91">CreateSearchString($I91)</f>
        <v/>
      </c>
      <c r="AB91" s="99" t="str">
        <f>IF($E91="","",IFERROR(VLOOKUP($E91,Definitions!$H:$J,COLUMNS(Definitions!$H:$J),FALSE),""))</f>
        <v/>
      </c>
      <c r="AC91" s="99" t="b" cm="1">
        <f t="array" ref="AC91">IF($A91="",FALSE,SimpleLookup($A91,Questions!$A:$D)="x")</f>
        <v>0</v>
      </c>
      <c r="AD91" s="99" t="str" cm="1">
        <f t="array" ref="AD91">IF(OR($A91="",NOT($AC91)),"",SimpleLookup($A91,Questions!$A:$E))</f>
        <v/>
      </c>
      <c r="AE91" s="99" t="str" cm="1">
        <f t="array" ref="AE91">IF(OR($A91="",NOT($AC91)),"",SimpleLookup($A91,Questions!$A:$F))</f>
        <v/>
      </c>
      <c r="AF91" s="99" t="str" cm="1">
        <f t="array" ref="AF91">_xlfn.LET(
_xlpm._answer,$C91,
_xlpm._infoTextFull,IF($AC91,CHAR(10)&amp;SimpleLookup($A91,Questions!$A:$H)&amp;CHAR(10),""),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91" s="99" t="b" cm="1">
        <f t="array" ref="AG91">IF(OR($A91="",NOT($AC91)),FALSE,_xlfn.LET(
_xlpm._secondAnswerRequiredOn,SimpleLookup($A91,Questions!$A:$I),
_xlpm._firstAnwer,$C91,
IFERROR(FIND(CHAR(10)&amp;_xlpm._firstAnwer&amp;":",CHAR(10)&amp;_xlpm._secondAnswerRequiredOn)&gt;0,FALSE)))</f>
        <v>0</v>
      </c>
      <c r="AH91" s="99" t="str" cm="1">
        <f t="array" ref="AH91">IF(OR($A91="",NOT($AC91)),"",_xlfn.LET(
_xlpm._id,$A91,
_xlpm._firstAnswer,$C91,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91" s="99" t="str" cm="1">
        <f t="array" ref="AI91">IF(OR($A91="",NOT($AC91)),"",_xlfn.LET(
_xlpm._id,$A91,
_xlpm._firstAnswer,$C91,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91" s="99" t="str" cm="1">
        <f t="array" ref="AJ91">IF($AG91,_xlfn.LET(
_xlpm._answer,$E91,
_xlpm._infoTextFull,IF($AC91,CHAR(10)&amp;SimpleLookup($A91,Questions!$A:$L)&amp;CHAR(10),""),
_xlpm._startSelectedByAnswerOne,IF(_xlpm._infoTextFull="",0,FIND("___"&amp;$C91&amp;"___",_xlpm._infoTextFull)+LEN("___"&amp;$C91&amp;"___")),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91" s="99" t="b" cm="1">
        <f t="array" ref="AK91">IF(OR($A91="",NOT($AC91)),FALSE,SimpleLookup($A91,Questions!$A:$Q))</f>
        <v>0</v>
      </c>
      <c r="AL91" s="99" t="str" cm="1">
        <f t="array" aca="1" ref="AL91" ca="1">IF(AND($A91=Questions!$A$41,IFERROR(SimpleLookup(Questions!$A$36,$A:$E)=Definitions!$O$5,FALSE),$C91=Definitions!$A$5),
Questions!$A$36&amp;" "&amp;Questions!$B$36&amp;CHAR(10)&amp;CHAR(187)&amp;" "&amp;SimpleLookup(Questions!$A$36,$A:$C)&amp;CHAR(10)&amp;SimpleLookup(Questions!$A$36,$A:$D)&amp;CHAR(10)&amp;CHAR(187)&amp;" "&amp;Definitions!$O$5&amp;CHAR(10)&amp;CHAR(10)&amp;
"is incosistent with"&amp;CHAR(10)&amp;CHAR(10)&amp;
$A91&amp;" "&amp;SimpleLookup($A91,Questions!$A:$B)&amp;CHAR(10)&amp;CHAR(187)&amp;" "&amp;$C91,
"")</f>
        <v/>
      </c>
      <c r="AM91" s="99" cm="1">
        <f t="array" aca="1" ref="AM91" ca="1">CreateID($AM$3,$AM:$AM,$AL91&lt;&gt;"")</f>
        <v>0</v>
      </c>
      <c r="AN91" s="99" t="str" cm="1">
        <f t="array" aca="1" ref="AN91" ca="1">IF(OR($C91="",OFFSET($C91,1,0)=""),"",
IF(AND($A91=Questions!$A$59,OFFSET($A91,1,0)=Questions!$A$60,SimpleLookup(Questions!$A$49,$A:$C)=Definitions!$A$4),
IF(MATCH($C91,Definitions!$AW:$AW,0)&gt;MATCH(OFFSET($C91,1,0),Definitions!AW:AW,0),$A91&amp;" "&amp;$K91&amp;": "&amp;$C91&amp;CHAR(10)&amp;"&lt;---&gt;"&amp;CHAR(10)&amp;OFFSET($A91,1,0)&amp;" "&amp;OFFSET($K91,1,0)&amp;": "&amp;OFFSET($C91,1,0),""),
""))</f>
        <v/>
      </c>
      <c r="AO91" s="99" cm="1">
        <f t="array" aca="1" ref="AO91" ca="1">CreateID($AO$3,$AO:$AO,$AN91&lt;&gt;"")</f>
        <v>0</v>
      </c>
    </row>
    <row r="92" spans="9:41" x14ac:dyDescent="0.25">
      <c r="I92" s="99" t="str">
        <f t="shared" si="17"/>
        <v/>
      </c>
      <c r="J92" s="99" t="str">
        <f t="shared" si="18"/>
        <v/>
      </c>
      <c r="K92" s="99" t="e" cm="1">
        <f t="array" aca="1" ref="K92" ca="1">SimpleLookup($A92,Questions!$A:$B)</f>
        <v>#N/A</v>
      </c>
      <c r="L92" s="99" cm="1">
        <f t="array" aca="1" ref="L92" ca="1">CreateID($L$3,$L:$L,AND($A92&lt;&gt;"",$AC92))</f>
        <v>39</v>
      </c>
      <c r="M92" s="99" cm="1">
        <f t="array" aca="1" ref="M92" ca="1">CreateTaskID($M$3,$M:$M,Tasks!$B$17,$G92)</f>
        <v>0</v>
      </c>
      <c r="N92" s="99" t="str">
        <f t="shared" si="16"/>
        <v/>
      </c>
      <c r="O92" s="99" cm="1">
        <f t="array" aca="1" ref="O92" ca="1">CreateID($O$3,$O:$O,$N92&lt;&gt;"")</f>
        <v>39</v>
      </c>
      <c r="P92" s="99" t="str">
        <f t="shared" si="19"/>
        <v/>
      </c>
      <c r="Q92" s="99" cm="1">
        <f t="array" aca="1" ref="Q92" ca="1">CreateID($Q$3,$Q:$Q,$P92&lt;&gt;"")</f>
        <v>0</v>
      </c>
      <c r="R92" s="99" t="str">
        <f t="shared" si="20"/>
        <v/>
      </c>
      <c r="S92" s="99" cm="1">
        <f t="array" aca="1" ref="S92" ca="1">CreateID($S$3,$S:$S,$R92&lt;&gt;"")</f>
        <v>0</v>
      </c>
      <c r="T92" s="99" t="str">
        <f t="shared" si="21"/>
        <v/>
      </c>
      <c r="U92" s="99" cm="1">
        <f t="array" aca="1" ref="U92" ca="1">CreateID($U$3,$U:$U,$T92&lt;&gt;"")</f>
        <v>0</v>
      </c>
      <c r="V92" s="99" cm="1">
        <f t="array" aca="1" ref="V92" ca="1">CreateID($V$3,$V:$V,IFERROR(FIND(Definitions!$AR$4,$G92)&gt;0,FALSE))</f>
        <v>0</v>
      </c>
      <c r="W92" s="99">
        <f>_xlfn.LET(
_xlpm._comment,$G92,
_xlpm._keyWord,Definitions!$AR$4,
_xlpm._diffLen,LEN(_xlpm._comment)-LEN(SUBSTITUTE(_xlpm._comment,_xlpm._keyWord,"")),
_xlpm._diffLen/LEN(_xlpm._keyWord))</f>
        <v>0</v>
      </c>
      <c r="X92" s="99" cm="1">
        <f t="array" aca="1" ref="X92" ca="1">CreateID($X$3,$X:$X,IFERROR(FIND(Definitions!$AR$5,$G92)&gt;0,FALSE))</f>
        <v>0</v>
      </c>
      <c r="Y92" s="99">
        <f>_xlfn.LET(
_xlpm._comment,$G92,
_xlpm._keyWord,Definitions!$AR$5,
_xlpm._diffLen,LEN(_xlpm._comment)-LEN(SUBSTITUTE(_xlpm._comment,_xlpm._keyWord,"")),
_xlpm._diffLen/LEN(_xlpm._keyWord))</f>
        <v>0</v>
      </c>
      <c r="Z92" s="99" t="b">
        <f ca="1">OR(IFERROR(_xlfn.XMATCH("*,"&amp;$A92&amp;",*",Assumptions!$AL:$AL,2)&gt;0,FALSE),
IFERROR(_xlfn.XMATCH("*,"&amp;$A92&amp;",*",Countermeasures!$AO:$AO,2)&gt;0,FALSE))</f>
        <v>0</v>
      </c>
      <c r="AA92" s="99" t="str" cm="1">
        <f t="array" ref="AA92">CreateSearchString($I92)</f>
        <v/>
      </c>
      <c r="AB92" s="99" t="str">
        <f>IF($E92="","",IFERROR(VLOOKUP($E92,Definitions!$H:$J,COLUMNS(Definitions!$H:$J),FALSE),""))</f>
        <v/>
      </c>
      <c r="AC92" s="99" t="b" cm="1">
        <f t="array" ref="AC92">IF($A92="",FALSE,SimpleLookup($A92,Questions!$A:$D)="x")</f>
        <v>0</v>
      </c>
      <c r="AD92" s="99" t="str" cm="1">
        <f t="array" ref="AD92">IF(OR($A92="",NOT($AC92)),"",SimpleLookup($A92,Questions!$A:$E))</f>
        <v/>
      </c>
      <c r="AE92" s="99" t="str" cm="1">
        <f t="array" ref="AE92">IF(OR($A92="",NOT($AC92)),"",SimpleLookup($A92,Questions!$A:$F))</f>
        <v/>
      </c>
      <c r="AF92" s="99" t="str" cm="1">
        <f t="array" ref="AF92">_xlfn.LET(
_xlpm._answer,$C92,
_xlpm._infoTextFull,IF($AC92,CHAR(10)&amp;SimpleLookup($A92,Questions!$A:$H)&amp;CHAR(10),""),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92" s="99" t="b" cm="1">
        <f t="array" ref="AG92">IF(OR($A92="",NOT($AC92)),FALSE,_xlfn.LET(
_xlpm._secondAnswerRequiredOn,SimpleLookup($A92,Questions!$A:$I),
_xlpm._firstAnwer,$C92,
IFERROR(FIND(CHAR(10)&amp;_xlpm._firstAnwer&amp;":",CHAR(10)&amp;_xlpm._secondAnswerRequiredOn)&gt;0,FALSE)))</f>
        <v>0</v>
      </c>
      <c r="AH92" s="99" t="str" cm="1">
        <f t="array" ref="AH92">IF(OR($A92="",NOT($AC92)),"",_xlfn.LET(
_xlpm._id,$A92,
_xlpm._firstAnswer,$C92,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92" s="99" t="str" cm="1">
        <f t="array" ref="AI92">IF(OR($A92="",NOT($AC92)),"",_xlfn.LET(
_xlpm._id,$A92,
_xlpm._firstAnswer,$C92,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92" s="99" t="str" cm="1">
        <f t="array" ref="AJ92">IF($AG92,_xlfn.LET(
_xlpm._answer,$E92,
_xlpm._infoTextFull,IF($AC92,CHAR(10)&amp;SimpleLookup($A92,Questions!$A:$L)&amp;CHAR(10),""),
_xlpm._startSelectedByAnswerOne,IF(_xlpm._infoTextFull="",0,FIND("___"&amp;$C92&amp;"___",_xlpm._infoTextFull)+LEN("___"&amp;$C92&amp;"___")),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92" s="99" t="b" cm="1">
        <f t="array" ref="AK92">IF(OR($A92="",NOT($AC92)),FALSE,SimpleLookup($A92,Questions!$A:$Q))</f>
        <v>0</v>
      </c>
      <c r="AL92" s="99" t="str" cm="1">
        <f t="array" aca="1" ref="AL92" ca="1">IF(AND($A92=Questions!$A$41,IFERROR(SimpleLookup(Questions!$A$36,$A:$E)=Definitions!$O$5,FALSE),$C92=Definitions!$A$5),
Questions!$A$36&amp;" "&amp;Questions!$B$36&amp;CHAR(10)&amp;CHAR(187)&amp;" "&amp;SimpleLookup(Questions!$A$36,$A:$C)&amp;CHAR(10)&amp;SimpleLookup(Questions!$A$36,$A:$D)&amp;CHAR(10)&amp;CHAR(187)&amp;" "&amp;Definitions!$O$5&amp;CHAR(10)&amp;CHAR(10)&amp;
"is incosistent with"&amp;CHAR(10)&amp;CHAR(10)&amp;
$A92&amp;" "&amp;SimpleLookup($A92,Questions!$A:$B)&amp;CHAR(10)&amp;CHAR(187)&amp;" "&amp;$C92,
"")</f>
        <v/>
      </c>
      <c r="AM92" s="99" cm="1">
        <f t="array" aca="1" ref="AM92" ca="1">CreateID($AM$3,$AM:$AM,$AL92&lt;&gt;"")</f>
        <v>0</v>
      </c>
      <c r="AN92" s="99" t="str" cm="1">
        <f t="array" aca="1" ref="AN92" ca="1">IF(OR($C92="",OFFSET($C92,1,0)=""),"",
IF(AND($A92=Questions!$A$59,OFFSET($A92,1,0)=Questions!$A$60,SimpleLookup(Questions!$A$49,$A:$C)=Definitions!$A$4),
IF(MATCH($C92,Definitions!$AW:$AW,0)&gt;MATCH(OFFSET($C92,1,0),Definitions!AW:AW,0),$A92&amp;" "&amp;$K92&amp;": "&amp;$C92&amp;CHAR(10)&amp;"&lt;---&gt;"&amp;CHAR(10)&amp;OFFSET($A92,1,0)&amp;" "&amp;OFFSET($K92,1,0)&amp;": "&amp;OFFSET($C92,1,0),""),
""))</f>
        <v/>
      </c>
      <c r="AO92" s="99" cm="1">
        <f t="array" aca="1" ref="AO92" ca="1">CreateID($AO$3,$AO:$AO,$AN92&lt;&gt;"")</f>
        <v>0</v>
      </c>
    </row>
    <row r="93" spans="9:41" x14ac:dyDescent="0.25">
      <c r="I93" s="99" t="str">
        <f t="shared" si="17"/>
        <v/>
      </c>
      <c r="J93" s="99" t="str">
        <f t="shared" si="18"/>
        <v/>
      </c>
      <c r="K93" s="99" t="e" cm="1">
        <f t="array" aca="1" ref="K93" ca="1">SimpleLookup($A93,Questions!$A:$B)</f>
        <v>#N/A</v>
      </c>
      <c r="L93" s="99" cm="1">
        <f t="array" aca="1" ref="L93" ca="1">CreateID($L$3,$L:$L,AND($A93&lt;&gt;"",$AC93))</f>
        <v>39</v>
      </c>
      <c r="M93" s="99" cm="1">
        <f t="array" aca="1" ref="M93" ca="1">CreateTaskID($M$3,$M:$M,Tasks!$B$17,$G93)</f>
        <v>0</v>
      </c>
      <c r="N93" s="99" t="str">
        <f t="shared" si="16"/>
        <v/>
      </c>
      <c r="O93" s="99" cm="1">
        <f t="array" aca="1" ref="O93" ca="1">CreateID($O$3,$O:$O,$N93&lt;&gt;"")</f>
        <v>39</v>
      </c>
      <c r="P93" s="99" t="str">
        <f t="shared" si="19"/>
        <v/>
      </c>
      <c r="Q93" s="99" cm="1">
        <f t="array" aca="1" ref="Q93" ca="1">CreateID($Q$3,$Q:$Q,$P93&lt;&gt;"")</f>
        <v>0</v>
      </c>
      <c r="R93" s="99" t="str">
        <f t="shared" si="20"/>
        <v/>
      </c>
      <c r="S93" s="99" cm="1">
        <f t="array" aca="1" ref="S93" ca="1">CreateID($S$3,$S:$S,$R93&lt;&gt;"")</f>
        <v>0</v>
      </c>
      <c r="T93" s="99" t="str">
        <f t="shared" si="21"/>
        <v/>
      </c>
      <c r="U93" s="99" cm="1">
        <f t="array" aca="1" ref="U93" ca="1">CreateID($U$3,$U:$U,$T93&lt;&gt;"")</f>
        <v>0</v>
      </c>
      <c r="V93" s="99" cm="1">
        <f t="array" aca="1" ref="V93" ca="1">CreateID($V$3,$V:$V,IFERROR(FIND(Definitions!$AR$4,$G93)&gt;0,FALSE))</f>
        <v>0</v>
      </c>
      <c r="W93" s="99">
        <f>_xlfn.LET(
_xlpm._comment,$G93,
_xlpm._keyWord,Definitions!$AR$4,
_xlpm._diffLen,LEN(_xlpm._comment)-LEN(SUBSTITUTE(_xlpm._comment,_xlpm._keyWord,"")),
_xlpm._diffLen/LEN(_xlpm._keyWord))</f>
        <v>0</v>
      </c>
      <c r="X93" s="99" cm="1">
        <f t="array" aca="1" ref="X93" ca="1">CreateID($X$3,$X:$X,IFERROR(FIND(Definitions!$AR$5,$G93)&gt;0,FALSE))</f>
        <v>0</v>
      </c>
      <c r="Y93" s="99">
        <f>_xlfn.LET(
_xlpm._comment,$G93,
_xlpm._keyWord,Definitions!$AR$5,
_xlpm._diffLen,LEN(_xlpm._comment)-LEN(SUBSTITUTE(_xlpm._comment,_xlpm._keyWord,"")),
_xlpm._diffLen/LEN(_xlpm._keyWord))</f>
        <v>0</v>
      </c>
      <c r="Z93" s="99" t="b">
        <f ca="1">OR(IFERROR(_xlfn.XMATCH("*,"&amp;$A93&amp;",*",Assumptions!$AL:$AL,2)&gt;0,FALSE),
IFERROR(_xlfn.XMATCH("*,"&amp;$A93&amp;",*",Countermeasures!$AO:$AO,2)&gt;0,FALSE))</f>
        <v>0</v>
      </c>
      <c r="AA93" s="99" t="str" cm="1">
        <f t="array" ref="AA93">CreateSearchString($I93)</f>
        <v/>
      </c>
      <c r="AB93" s="99" t="str">
        <f>IF($E93="","",IFERROR(VLOOKUP($E93,Definitions!$H:$J,COLUMNS(Definitions!$H:$J),FALSE),""))</f>
        <v/>
      </c>
      <c r="AC93" s="99" t="b" cm="1">
        <f t="array" ref="AC93">IF($A93="",FALSE,SimpleLookup($A93,Questions!$A:$D)="x")</f>
        <v>0</v>
      </c>
      <c r="AD93" s="99" t="str" cm="1">
        <f t="array" ref="AD93">IF(OR($A93="",NOT($AC93)),"",SimpleLookup($A93,Questions!$A:$E))</f>
        <v/>
      </c>
      <c r="AE93" s="99" t="str" cm="1">
        <f t="array" ref="AE93">IF(OR($A93="",NOT($AC93)),"",SimpleLookup($A93,Questions!$A:$F))</f>
        <v/>
      </c>
      <c r="AF93" s="99" t="str" cm="1">
        <f t="array" ref="AF93">_xlfn.LET(
_xlpm._answer,$C93,
_xlpm._infoTextFull,IF($AC93,CHAR(10)&amp;SimpleLookup($A93,Questions!$A:$H)&amp;CHAR(10),""),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93" s="99" t="b" cm="1">
        <f t="array" ref="AG93">IF(OR($A93="",NOT($AC93)),FALSE,_xlfn.LET(
_xlpm._secondAnswerRequiredOn,SimpleLookup($A93,Questions!$A:$I),
_xlpm._firstAnwer,$C93,
IFERROR(FIND(CHAR(10)&amp;_xlpm._firstAnwer&amp;":",CHAR(10)&amp;_xlpm._secondAnswerRequiredOn)&gt;0,FALSE)))</f>
        <v>0</v>
      </c>
      <c r="AH93" s="99" t="str" cm="1">
        <f t="array" ref="AH93">IF(OR($A93="",NOT($AC93)),"",_xlfn.LET(
_xlpm._id,$A93,
_xlpm._firstAnswer,$C93,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93" s="99" t="str" cm="1">
        <f t="array" ref="AI93">IF(OR($A93="",NOT($AC93)),"",_xlfn.LET(
_xlpm._id,$A93,
_xlpm._firstAnswer,$C93,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93" s="99" t="str" cm="1">
        <f t="array" ref="AJ93">IF($AG93,_xlfn.LET(
_xlpm._answer,$E93,
_xlpm._infoTextFull,IF($AC93,CHAR(10)&amp;SimpleLookup($A93,Questions!$A:$L)&amp;CHAR(10),""),
_xlpm._startSelectedByAnswerOne,IF(_xlpm._infoTextFull="",0,FIND("___"&amp;$C93&amp;"___",_xlpm._infoTextFull)+LEN("___"&amp;$C93&amp;"___")),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93" s="99" t="b" cm="1">
        <f t="array" ref="AK93">IF(OR($A93="",NOT($AC93)),FALSE,SimpleLookup($A93,Questions!$A:$Q))</f>
        <v>0</v>
      </c>
      <c r="AL93" s="99" t="str" cm="1">
        <f t="array" aca="1" ref="AL93" ca="1">IF(AND($A93=Questions!$A$41,IFERROR(SimpleLookup(Questions!$A$36,$A:$E)=Definitions!$O$5,FALSE),$C93=Definitions!$A$5),
Questions!$A$36&amp;" "&amp;Questions!$B$36&amp;CHAR(10)&amp;CHAR(187)&amp;" "&amp;SimpleLookup(Questions!$A$36,$A:$C)&amp;CHAR(10)&amp;SimpleLookup(Questions!$A$36,$A:$D)&amp;CHAR(10)&amp;CHAR(187)&amp;" "&amp;Definitions!$O$5&amp;CHAR(10)&amp;CHAR(10)&amp;
"is incosistent with"&amp;CHAR(10)&amp;CHAR(10)&amp;
$A93&amp;" "&amp;SimpleLookup($A93,Questions!$A:$B)&amp;CHAR(10)&amp;CHAR(187)&amp;" "&amp;$C93,
"")</f>
        <v/>
      </c>
      <c r="AM93" s="99" cm="1">
        <f t="array" aca="1" ref="AM93" ca="1">CreateID($AM$3,$AM:$AM,$AL93&lt;&gt;"")</f>
        <v>0</v>
      </c>
      <c r="AN93" s="99" t="str" cm="1">
        <f t="array" aca="1" ref="AN93" ca="1">IF(OR($C93="",OFFSET($C93,1,0)=""),"",
IF(AND($A93=Questions!$A$59,OFFSET($A93,1,0)=Questions!$A$60,SimpleLookup(Questions!$A$49,$A:$C)=Definitions!$A$4),
IF(MATCH($C93,Definitions!$AW:$AW,0)&gt;MATCH(OFFSET($C93,1,0),Definitions!AW:AW,0),$A93&amp;" "&amp;$K93&amp;": "&amp;$C93&amp;CHAR(10)&amp;"&lt;---&gt;"&amp;CHAR(10)&amp;OFFSET($A93,1,0)&amp;" "&amp;OFFSET($K93,1,0)&amp;": "&amp;OFFSET($C93,1,0),""),
""))</f>
        <v/>
      </c>
      <c r="AO93" s="99" cm="1">
        <f t="array" aca="1" ref="AO93" ca="1">CreateID($AO$3,$AO:$AO,$AN93&lt;&gt;"")</f>
        <v>0</v>
      </c>
    </row>
    <row r="94" spans="9:41" x14ac:dyDescent="0.25">
      <c r="I94" s="99" t="str">
        <f t="shared" si="17"/>
        <v/>
      </c>
      <c r="J94" s="99" t="str">
        <f t="shared" si="18"/>
        <v/>
      </c>
      <c r="K94" s="99" t="e" cm="1">
        <f t="array" aca="1" ref="K94" ca="1">SimpleLookup($A94,Questions!$A:$B)</f>
        <v>#N/A</v>
      </c>
      <c r="L94" s="99" cm="1">
        <f t="array" aca="1" ref="L94" ca="1">CreateID($L$3,$L:$L,AND($A94&lt;&gt;"",$AC94))</f>
        <v>39</v>
      </c>
      <c r="M94" s="99" cm="1">
        <f t="array" aca="1" ref="M94" ca="1">CreateTaskID($M$3,$M:$M,Tasks!$B$17,$G94)</f>
        <v>0</v>
      </c>
      <c r="N94" s="99" t="str">
        <f t="shared" si="16"/>
        <v/>
      </c>
      <c r="O94" s="99" cm="1">
        <f t="array" aca="1" ref="O94" ca="1">CreateID($O$3,$O:$O,$N94&lt;&gt;"")</f>
        <v>39</v>
      </c>
      <c r="P94" s="99" t="str">
        <f t="shared" si="19"/>
        <v/>
      </c>
      <c r="Q94" s="99" cm="1">
        <f t="array" aca="1" ref="Q94" ca="1">CreateID($Q$3,$Q:$Q,$P94&lt;&gt;"")</f>
        <v>0</v>
      </c>
      <c r="R94" s="99" t="str">
        <f t="shared" si="20"/>
        <v/>
      </c>
      <c r="S94" s="99" cm="1">
        <f t="array" aca="1" ref="S94" ca="1">CreateID($S$3,$S:$S,$R94&lt;&gt;"")</f>
        <v>0</v>
      </c>
      <c r="T94" s="99" t="str">
        <f t="shared" si="21"/>
        <v/>
      </c>
      <c r="U94" s="99" cm="1">
        <f t="array" aca="1" ref="U94" ca="1">CreateID($U$3,$U:$U,$T94&lt;&gt;"")</f>
        <v>0</v>
      </c>
      <c r="V94" s="99" cm="1">
        <f t="array" aca="1" ref="V94" ca="1">CreateID($V$3,$V:$V,IFERROR(FIND(Definitions!$AR$4,$G94)&gt;0,FALSE))</f>
        <v>0</v>
      </c>
      <c r="W94" s="99">
        <f>_xlfn.LET(
_xlpm._comment,$G94,
_xlpm._keyWord,Definitions!$AR$4,
_xlpm._diffLen,LEN(_xlpm._comment)-LEN(SUBSTITUTE(_xlpm._comment,_xlpm._keyWord,"")),
_xlpm._diffLen/LEN(_xlpm._keyWord))</f>
        <v>0</v>
      </c>
      <c r="X94" s="99" cm="1">
        <f t="array" aca="1" ref="X94" ca="1">CreateID($X$3,$X:$X,IFERROR(FIND(Definitions!$AR$5,$G94)&gt;0,FALSE))</f>
        <v>0</v>
      </c>
      <c r="Y94" s="99">
        <f>_xlfn.LET(
_xlpm._comment,$G94,
_xlpm._keyWord,Definitions!$AR$5,
_xlpm._diffLen,LEN(_xlpm._comment)-LEN(SUBSTITUTE(_xlpm._comment,_xlpm._keyWord,"")),
_xlpm._diffLen/LEN(_xlpm._keyWord))</f>
        <v>0</v>
      </c>
      <c r="Z94" s="99" t="b">
        <f ca="1">OR(IFERROR(_xlfn.XMATCH("*,"&amp;$A94&amp;",*",Assumptions!$AL:$AL,2)&gt;0,FALSE),
IFERROR(_xlfn.XMATCH("*,"&amp;$A94&amp;",*",Countermeasures!$AO:$AO,2)&gt;0,FALSE))</f>
        <v>0</v>
      </c>
      <c r="AA94" s="99" t="str" cm="1">
        <f t="array" ref="AA94">CreateSearchString($I94)</f>
        <v/>
      </c>
      <c r="AB94" s="99" t="str">
        <f>IF($E94="","",IFERROR(VLOOKUP($E94,Definitions!$H:$J,COLUMNS(Definitions!$H:$J),FALSE),""))</f>
        <v/>
      </c>
      <c r="AC94" s="99" t="b" cm="1">
        <f t="array" ref="AC94">IF($A94="",FALSE,SimpleLookup($A94,Questions!$A:$D)="x")</f>
        <v>0</v>
      </c>
      <c r="AD94" s="99" t="str" cm="1">
        <f t="array" ref="AD94">IF(OR($A94="",NOT($AC94)),"",SimpleLookup($A94,Questions!$A:$E))</f>
        <v/>
      </c>
      <c r="AE94" s="99" t="str" cm="1">
        <f t="array" ref="AE94">IF(OR($A94="",NOT($AC94)),"",SimpleLookup($A94,Questions!$A:$F))</f>
        <v/>
      </c>
      <c r="AF94" s="99" t="str" cm="1">
        <f t="array" ref="AF94">_xlfn.LET(
_xlpm._answer,$C94,
_xlpm._infoTextFull,IF($AC94,CHAR(10)&amp;SimpleLookup($A94,Questions!$A:$H)&amp;CHAR(10),""),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94" s="99" t="b" cm="1">
        <f t="array" ref="AG94">IF(OR($A94="",NOT($AC94)),FALSE,_xlfn.LET(
_xlpm._secondAnswerRequiredOn,SimpleLookup($A94,Questions!$A:$I),
_xlpm._firstAnwer,$C94,
IFERROR(FIND(CHAR(10)&amp;_xlpm._firstAnwer&amp;":",CHAR(10)&amp;_xlpm._secondAnswerRequiredOn)&gt;0,FALSE)))</f>
        <v>0</v>
      </c>
      <c r="AH94" s="99" t="str" cm="1">
        <f t="array" ref="AH94">IF(OR($A94="",NOT($AC94)),"",_xlfn.LET(
_xlpm._id,$A94,
_xlpm._firstAnswer,$C94,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94" s="99" t="str" cm="1">
        <f t="array" ref="AI94">IF(OR($A94="",NOT($AC94)),"",_xlfn.LET(
_xlpm._id,$A94,
_xlpm._firstAnswer,$C94,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94" s="99" t="str" cm="1">
        <f t="array" ref="AJ94">IF($AG94,_xlfn.LET(
_xlpm._answer,$E94,
_xlpm._infoTextFull,IF($AC94,CHAR(10)&amp;SimpleLookup($A94,Questions!$A:$L)&amp;CHAR(10),""),
_xlpm._startSelectedByAnswerOne,IF(_xlpm._infoTextFull="",0,FIND("___"&amp;$C94&amp;"___",_xlpm._infoTextFull)+LEN("___"&amp;$C94&amp;"___")),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94" s="99" t="b" cm="1">
        <f t="array" ref="AK94">IF(OR($A94="",NOT($AC94)),FALSE,SimpleLookup($A94,Questions!$A:$Q))</f>
        <v>0</v>
      </c>
      <c r="AL94" s="99" t="str" cm="1">
        <f t="array" aca="1" ref="AL94" ca="1">IF(AND($A94=Questions!$A$41,IFERROR(SimpleLookup(Questions!$A$36,$A:$E)=Definitions!$O$5,FALSE),$C94=Definitions!$A$5),
Questions!$A$36&amp;" "&amp;Questions!$B$36&amp;CHAR(10)&amp;CHAR(187)&amp;" "&amp;SimpleLookup(Questions!$A$36,$A:$C)&amp;CHAR(10)&amp;SimpleLookup(Questions!$A$36,$A:$D)&amp;CHAR(10)&amp;CHAR(187)&amp;" "&amp;Definitions!$O$5&amp;CHAR(10)&amp;CHAR(10)&amp;
"is incosistent with"&amp;CHAR(10)&amp;CHAR(10)&amp;
$A94&amp;" "&amp;SimpleLookup($A94,Questions!$A:$B)&amp;CHAR(10)&amp;CHAR(187)&amp;" "&amp;$C94,
"")</f>
        <v/>
      </c>
      <c r="AM94" s="99" cm="1">
        <f t="array" aca="1" ref="AM94" ca="1">CreateID($AM$3,$AM:$AM,$AL94&lt;&gt;"")</f>
        <v>0</v>
      </c>
      <c r="AN94" s="99" t="str" cm="1">
        <f t="array" aca="1" ref="AN94" ca="1">IF(OR($C94="",OFFSET($C94,1,0)=""),"",
IF(AND($A94=Questions!$A$59,OFFSET($A94,1,0)=Questions!$A$60,SimpleLookup(Questions!$A$49,$A:$C)=Definitions!$A$4),
IF(MATCH($C94,Definitions!$AW:$AW,0)&gt;MATCH(OFFSET($C94,1,0),Definitions!AW:AW,0),$A94&amp;" "&amp;$K94&amp;": "&amp;$C94&amp;CHAR(10)&amp;"&lt;---&gt;"&amp;CHAR(10)&amp;OFFSET($A94,1,0)&amp;" "&amp;OFFSET($K94,1,0)&amp;": "&amp;OFFSET($C94,1,0),""),
""))</f>
        <v/>
      </c>
      <c r="AO94" s="99" cm="1">
        <f t="array" aca="1" ref="AO94" ca="1">CreateID($AO$3,$AO:$AO,$AN94&lt;&gt;"")</f>
        <v>0</v>
      </c>
    </row>
    <row r="95" spans="9:41" x14ac:dyDescent="0.25">
      <c r="I95" s="99" t="str">
        <f t="shared" si="17"/>
        <v/>
      </c>
      <c r="J95" s="99" t="str">
        <f t="shared" si="18"/>
        <v/>
      </c>
      <c r="K95" s="99" t="e" cm="1">
        <f t="array" aca="1" ref="K95" ca="1">SimpleLookup($A95,Questions!$A:$B)</f>
        <v>#N/A</v>
      </c>
      <c r="L95" s="99" cm="1">
        <f t="array" aca="1" ref="L95" ca="1">CreateID($L$3,$L:$L,AND($A95&lt;&gt;"",$AC95))</f>
        <v>39</v>
      </c>
      <c r="M95" s="99" cm="1">
        <f t="array" aca="1" ref="M95" ca="1">CreateTaskID($M$3,$M:$M,Tasks!$B$17,$G95)</f>
        <v>0</v>
      </c>
      <c r="N95" s="99" t="str">
        <f t="shared" si="16"/>
        <v/>
      </c>
      <c r="O95" s="99" cm="1">
        <f t="array" aca="1" ref="O95" ca="1">CreateID($O$3,$O:$O,$N95&lt;&gt;"")</f>
        <v>39</v>
      </c>
      <c r="P95" s="99" t="str">
        <f t="shared" si="19"/>
        <v/>
      </c>
      <c r="Q95" s="99" cm="1">
        <f t="array" aca="1" ref="Q95" ca="1">CreateID($Q$3,$Q:$Q,$P95&lt;&gt;"")</f>
        <v>0</v>
      </c>
      <c r="R95" s="99" t="str">
        <f t="shared" si="20"/>
        <v/>
      </c>
      <c r="S95" s="99" cm="1">
        <f t="array" aca="1" ref="S95" ca="1">CreateID($S$3,$S:$S,$R95&lt;&gt;"")</f>
        <v>0</v>
      </c>
      <c r="T95" s="99" t="str">
        <f t="shared" si="21"/>
        <v/>
      </c>
      <c r="U95" s="99" cm="1">
        <f t="array" aca="1" ref="U95" ca="1">CreateID($U$3,$U:$U,$T95&lt;&gt;"")</f>
        <v>0</v>
      </c>
      <c r="V95" s="99" cm="1">
        <f t="array" aca="1" ref="V95" ca="1">CreateID($V$3,$V:$V,IFERROR(FIND(Definitions!$AR$4,$G95)&gt;0,FALSE))</f>
        <v>0</v>
      </c>
      <c r="W95" s="99">
        <f>_xlfn.LET(
_xlpm._comment,$G95,
_xlpm._keyWord,Definitions!$AR$4,
_xlpm._diffLen,LEN(_xlpm._comment)-LEN(SUBSTITUTE(_xlpm._comment,_xlpm._keyWord,"")),
_xlpm._diffLen/LEN(_xlpm._keyWord))</f>
        <v>0</v>
      </c>
      <c r="X95" s="99" cm="1">
        <f t="array" aca="1" ref="X95" ca="1">CreateID($X$3,$X:$X,IFERROR(FIND(Definitions!$AR$5,$G95)&gt;0,FALSE))</f>
        <v>0</v>
      </c>
      <c r="Y95" s="99">
        <f>_xlfn.LET(
_xlpm._comment,$G95,
_xlpm._keyWord,Definitions!$AR$5,
_xlpm._diffLen,LEN(_xlpm._comment)-LEN(SUBSTITUTE(_xlpm._comment,_xlpm._keyWord,"")),
_xlpm._diffLen/LEN(_xlpm._keyWord))</f>
        <v>0</v>
      </c>
      <c r="Z95" s="99" t="b">
        <f ca="1">OR(IFERROR(_xlfn.XMATCH("*,"&amp;$A95&amp;",*",Assumptions!$AL:$AL,2)&gt;0,FALSE),
IFERROR(_xlfn.XMATCH("*,"&amp;$A95&amp;",*",Countermeasures!$AO:$AO,2)&gt;0,FALSE))</f>
        <v>0</v>
      </c>
      <c r="AA95" s="99" t="str" cm="1">
        <f t="array" ref="AA95">CreateSearchString($I95)</f>
        <v/>
      </c>
      <c r="AB95" s="99" t="str">
        <f>IF($E95="","",IFERROR(VLOOKUP($E95,Definitions!$H:$J,COLUMNS(Definitions!$H:$J),FALSE),""))</f>
        <v/>
      </c>
      <c r="AC95" s="99" t="b" cm="1">
        <f t="array" ref="AC95">IF($A95="",FALSE,SimpleLookup($A95,Questions!$A:$D)="x")</f>
        <v>0</v>
      </c>
      <c r="AD95" s="99" t="str" cm="1">
        <f t="array" ref="AD95">IF(OR($A95="",NOT($AC95)),"",SimpleLookup($A95,Questions!$A:$E))</f>
        <v/>
      </c>
      <c r="AE95" s="99" t="str" cm="1">
        <f t="array" ref="AE95">IF(OR($A95="",NOT($AC95)),"",SimpleLookup($A95,Questions!$A:$F))</f>
        <v/>
      </c>
      <c r="AF95" s="99" t="str" cm="1">
        <f t="array" ref="AF95">_xlfn.LET(
_xlpm._answer,$C95,
_xlpm._infoTextFull,IF($AC95,CHAR(10)&amp;SimpleLookup($A95,Questions!$A:$H)&amp;CHAR(10),""),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95" s="99" t="b" cm="1">
        <f t="array" ref="AG95">IF(OR($A95="",NOT($AC95)),FALSE,_xlfn.LET(
_xlpm._secondAnswerRequiredOn,SimpleLookup($A95,Questions!$A:$I),
_xlpm._firstAnwer,$C95,
IFERROR(FIND(CHAR(10)&amp;_xlpm._firstAnwer&amp;":",CHAR(10)&amp;_xlpm._secondAnswerRequiredOn)&gt;0,FALSE)))</f>
        <v>0</v>
      </c>
      <c r="AH95" s="99" t="str" cm="1">
        <f t="array" ref="AH95">IF(OR($A95="",NOT($AC95)),"",_xlfn.LET(
_xlpm._id,$A95,
_xlpm._firstAnswer,$C95,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95" s="99" t="str" cm="1">
        <f t="array" ref="AI95">IF(OR($A95="",NOT($AC95)),"",_xlfn.LET(
_xlpm._id,$A95,
_xlpm._firstAnswer,$C95,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95" s="99" t="str" cm="1">
        <f t="array" ref="AJ95">IF($AG95,_xlfn.LET(
_xlpm._answer,$E95,
_xlpm._infoTextFull,IF($AC95,CHAR(10)&amp;SimpleLookup($A95,Questions!$A:$L)&amp;CHAR(10),""),
_xlpm._startSelectedByAnswerOne,IF(_xlpm._infoTextFull="",0,FIND("___"&amp;$C95&amp;"___",_xlpm._infoTextFull)+LEN("___"&amp;$C95&amp;"___")),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95" s="99" t="b" cm="1">
        <f t="array" ref="AK95">IF(OR($A95="",NOT($AC95)),FALSE,SimpleLookup($A95,Questions!$A:$Q))</f>
        <v>0</v>
      </c>
      <c r="AL95" s="99" t="str" cm="1">
        <f t="array" aca="1" ref="AL95" ca="1">IF(AND($A95=Questions!$A$41,IFERROR(SimpleLookup(Questions!$A$36,$A:$E)=Definitions!$O$5,FALSE),$C95=Definitions!$A$5),
Questions!$A$36&amp;" "&amp;Questions!$B$36&amp;CHAR(10)&amp;CHAR(187)&amp;" "&amp;SimpleLookup(Questions!$A$36,$A:$C)&amp;CHAR(10)&amp;SimpleLookup(Questions!$A$36,$A:$D)&amp;CHAR(10)&amp;CHAR(187)&amp;" "&amp;Definitions!$O$5&amp;CHAR(10)&amp;CHAR(10)&amp;
"is incosistent with"&amp;CHAR(10)&amp;CHAR(10)&amp;
$A95&amp;" "&amp;SimpleLookup($A95,Questions!$A:$B)&amp;CHAR(10)&amp;CHAR(187)&amp;" "&amp;$C95,
"")</f>
        <v/>
      </c>
      <c r="AM95" s="99" cm="1">
        <f t="array" aca="1" ref="AM95" ca="1">CreateID($AM$3,$AM:$AM,$AL95&lt;&gt;"")</f>
        <v>0</v>
      </c>
      <c r="AN95" s="99" t="str" cm="1">
        <f t="array" aca="1" ref="AN95" ca="1">IF(OR($C95="",OFFSET($C95,1,0)=""),"",
IF(AND($A95=Questions!$A$59,OFFSET($A95,1,0)=Questions!$A$60,SimpleLookup(Questions!$A$49,$A:$C)=Definitions!$A$4),
IF(MATCH($C95,Definitions!$AW:$AW,0)&gt;MATCH(OFFSET($C95,1,0),Definitions!AW:AW,0),$A95&amp;" "&amp;$K95&amp;": "&amp;$C95&amp;CHAR(10)&amp;"&lt;---&gt;"&amp;CHAR(10)&amp;OFFSET($A95,1,0)&amp;" "&amp;OFFSET($K95,1,0)&amp;": "&amp;OFFSET($C95,1,0),""),
""))</f>
        <v/>
      </c>
      <c r="AO95" s="99" cm="1">
        <f t="array" aca="1" ref="AO95" ca="1">CreateID($AO$3,$AO:$AO,$AN95&lt;&gt;"")</f>
        <v>0</v>
      </c>
    </row>
    <row r="96" spans="9:41" x14ac:dyDescent="0.25">
      <c r="I96" s="99" t="str">
        <f t="shared" si="17"/>
        <v/>
      </c>
      <c r="J96" s="99" t="str">
        <f t="shared" si="18"/>
        <v/>
      </c>
      <c r="K96" s="99" t="e" cm="1">
        <f t="array" aca="1" ref="K96" ca="1">SimpleLookup($A96,Questions!$A:$B)</f>
        <v>#N/A</v>
      </c>
      <c r="L96" s="99" cm="1">
        <f t="array" aca="1" ref="L96" ca="1">CreateID($L$3,$L:$L,AND($A96&lt;&gt;"",$AC96))</f>
        <v>39</v>
      </c>
      <c r="M96" s="99" cm="1">
        <f t="array" aca="1" ref="M96" ca="1">CreateTaskID($M$3,$M:$M,Tasks!$B$17,$G96)</f>
        <v>0</v>
      </c>
      <c r="N96" s="99" t="str">
        <f t="shared" si="16"/>
        <v/>
      </c>
      <c r="O96" s="99" cm="1">
        <f t="array" aca="1" ref="O96" ca="1">CreateID($O$3,$O:$O,$N96&lt;&gt;"")</f>
        <v>39</v>
      </c>
      <c r="P96" s="99" t="str">
        <f t="shared" si="19"/>
        <v/>
      </c>
      <c r="Q96" s="99" cm="1">
        <f t="array" aca="1" ref="Q96" ca="1">CreateID($Q$3,$Q:$Q,$P96&lt;&gt;"")</f>
        <v>0</v>
      </c>
      <c r="R96" s="99" t="str">
        <f t="shared" si="20"/>
        <v/>
      </c>
      <c r="S96" s="99" cm="1">
        <f t="array" aca="1" ref="S96" ca="1">CreateID($S$3,$S:$S,$R96&lt;&gt;"")</f>
        <v>0</v>
      </c>
      <c r="T96" s="99" t="str">
        <f t="shared" si="21"/>
        <v/>
      </c>
      <c r="U96" s="99" cm="1">
        <f t="array" aca="1" ref="U96" ca="1">CreateID($U$3,$U:$U,$T96&lt;&gt;"")</f>
        <v>0</v>
      </c>
      <c r="V96" s="99" cm="1">
        <f t="array" aca="1" ref="V96" ca="1">CreateID($V$3,$V:$V,IFERROR(FIND(Definitions!$AR$4,$G96)&gt;0,FALSE))</f>
        <v>0</v>
      </c>
      <c r="W96" s="99">
        <f>_xlfn.LET(
_xlpm._comment,$G96,
_xlpm._keyWord,Definitions!$AR$4,
_xlpm._diffLen,LEN(_xlpm._comment)-LEN(SUBSTITUTE(_xlpm._comment,_xlpm._keyWord,"")),
_xlpm._diffLen/LEN(_xlpm._keyWord))</f>
        <v>0</v>
      </c>
      <c r="X96" s="99" cm="1">
        <f t="array" aca="1" ref="X96" ca="1">CreateID($X$3,$X:$X,IFERROR(FIND(Definitions!$AR$5,$G96)&gt;0,FALSE))</f>
        <v>0</v>
      </c>
      <c r="Y96" s="99">
        <f>_xlfn.LET(
_xlpm._comment,$G96,
_xlpm._keyWord,Definitions!$AR$5,
_xlpm._diffLen,LEN(_xlpm._comment)-LEN(SUBSTITUTE(_xlpm._comment,_xlpm._keyWord,"")),
_xlpm._diffLen/LEN(_xlpm._keyWord))</f>
        <v>0</v>
      </c>
      <c r="Z96" s="99" t="b">
        <f ca="1">OR(IFERROR(_xlfn.XMATCH("*,"&amp;$A96&amp;",*",Assumptions!$AL:$AL,2)&gt;0,FALSE),
IFERROR(_xlfn.XMATCH("*,"&amp;$A96&amp;",*",Countermeasures!$AO:$AO,2)&gt;0,FALSE))</f>
        <v>0</v>
      </c>
      <c r="AA96" s="99" t="str" cm="1">
        <f t="array" ref="AA96">CreateSearchString($I96)</f>
        <v/>
      </c>
      <c r="AB96" s="99" t="str">
        <f>IF($E96="","",IFERROR(VLOOKUP($E96,Definitions!$H:$J,COLUMNS(Definitions!$H:$J),FALSE),""))</f>
        <v/>
      </c>
      <c r="AC96" s="99" t="b" cm="1">
        <f t="array" ref="AC96">IF($A96="",FALSE,SimpleLookup($A96,Questions!$A:$D)="x")</f>
        <v>0</v>
      </c>
      <c r="AD96" s="99" t="str" cm="1">
        <f t="array" ref="AD96">IF(OR($A96="",NOT($AC96)),"",SimpleLookup($A96,Questions!$A:$E))</f>
        <v/>
      </c>
      <c r="AE96" s="99" t="str" cm="1">
        <f t="array" ref="AE96">IF(OR($A96="",NOT($AC96)),"",SimpleLookup($A96,Questions!$A:$F))</f>
        <v/>
      </c>
      <c r="AF96" s="99" t="str" cm="1">
        <f t="array" ref="AF96">_xlfn.LET(
_xlpm._answer,$C96,
_xlpm._infoTextFull,IF($AC96,CHAR(10)&amp;SimpleLookup($A96,Questions!$A:$H)&amp;CHAR(10),""),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96" s="99" t="b" cm="1">
        <f t="array" ref="AG96">IF(OR($A96="",NOT($AC96)),FALSE,_xlfn.LET(
_xlpm._secondAnswerRequiredOn,SimpleLookup($A96,Questions!$A:$I),
_xlpm._firstAnwer,$C96,
IFERROR(FIND(CHAR(10)&amp;_xlpm._firstAnwer&amp;":",CHAR(10)&amp;_xlpm._secondAnswerRequiredOn)&gt;0,FALSE)))</f>
        <v>0</v>
      </c>
      <c r="AH96" s="99" t="str" cm="1">
        <f t="array" ref="AH96">IF(OR($A96="",NOT($AC96)),"",_xlfn.LET(
_xlpm._id,$A96,
_xlpm._firstAnswer,$C96,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96" s="99" t="str" cm="1">
        <f t="array" ref="AI96">IF(OR($A96="",NOT($AC96)),"",_xlfn.LET(
_xlpm._id,$A96,
_xlpm._firstAnswer,$C96,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96" s="99" t="str" cm="1">
        <f t="array" ref="AJ96">IF($AG96,_xlfn.LET(
_xlpm._answer,$E96,
_xlpm._infoTextFull,IF($AC96,CHAR(10)&amp;SimpleLookup($A96,Questions!$A:$L)&amp;CHAR(10),""),
_xlpm._startSelectedByAnswerOne,IF(_xlpm._infoTextFull="",0,FIND("___"&amp;$C96&amp;"___",_xlpm._infoTextFull)+LEN("___"&amp;$C96&amp;"___")),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96" s="99" t="b" cm="1">
        <f t="array" ref="AK96">IF(OR($A96="",NOT($AC96)),FALSE,SimpleLookup($A96,Questions!$A:$Q))</f>
        <v>0</v>
      </c>
      <c r="AL96" s="99" t="str" cm="1">
        <f t="array" aca="1" ref="AL96" ca="1">IF(AND($A96=Questions!$A$41,IFERROR(SimpleLookup(Questions!$A$36,$A:$E)=Definitions!$O$5,FALSE),$C96=Definitions!$A$5),
Questions!$A$36&amp;" "&amp;Questions!$B$36&amp;CHAR(10)&amp;CHAR(187)&amp;" "&amp;SimpleLookup(Questions!$A$36,$A:$C)&amp;CHAR(10)&amp;SimpleLookup(Questions!$A$36,$A:$D)&amp;CHAR(10)&amp;CHAR(187)&amp;" "&amp;Definitions!$O$5&amp;CHAR(10)&amp;CHAR(10)&amp;
"is incosistent with"&amp;CHAR(10)&amp;CHAR(10)&amp;
$A96&amp;" "&amp;SimpleLookup($A96,Questions!$A:$B)&amp;CHAR(10)&amp;CHAR(187)&amp;" "&amp;$C96,
"")</f>
        <v/>
      </c>
      <c r="AM96" s="99" cm="1">
        <f t="array" aca="1" ref="AM96" ca="1">CreateID($AM$3,$AM:$AM,$AL96&lt;&gt;"")</f>
        <v>0</v>
      </c>
      <c r="AN96" s="99" t="str" cm="1">
        <f t="array" aca="1" ref="AN96" ca="1">IF(OR($C96="",OFFSET($C96,1,0)=""),"",
IF(AND($A96=Questions!$A$59,OFFSET($A96,1,0)=Questions!$A$60,SimpleLookup(Questions!$A$49,$A:$C)=Definitions!$A$4),
IF(MATCH($C96,Definitions!$AW:$AW,0)&gt;MATCH(OFFSET($C96,1,0),Definitions!AW:AW,0),$A96&amp;" "&amp;$K96&amp;": "&amp;$C96&amp;CHAR(10)&amp;"&lt;---&gt;"&amp;CHAR(10)&amp;OFFSET($A96,1,0)&amp;" "&amp;OFFSET($K96,1,0)&amp;": "&amp;OFFSET($C96,1,0),""),
""))</f>
        <v/>
      </c>
      <c r="AO96" s="99" cm="1">
        <f t="array" aca="1" ref="AO96" ca="1">CreateID($AO$3,$AO:$AO,$AN96&lt;&gt;"")</f>
        <v>0</v>
      </c>
    </row>
    <row r="97" spans="9:41" x14ac:dyDescent="0.25">
      <c r="I97" s="99" t="str">
        <f t="shared" si="17"/>
        <v/>
      </c>
      <c r="J97" s="99" t="str">
        <f t="shared" si="18"/>
        <v/>
      </c>
      <c r="K97" s="99" t="e" cm="1">
        <f t="array" aca="1" ref="K97" ca="1">SimpleLookup($A97,Questions!$A:$B)</f>
        <v>#N/A</v>
      </c>
      <c r="L97" s="99" cm="1">
        <f t="array" aca="1" ref="L97" ca="1">CreateID($L$3,$L:$L,AND($A97&lt;&gt;"",$AC97))</f>
        <v>39</v>
      </c>
      <c r="M97" s="99" cm="1">
        <f t="array" aca="1" ref="M97" ca="1">CreateTaskID($M$3,$M:$M,Tasks!$B$17,$G97)</f>
        <v>0</v>
      </c>
      <c r="N97" s="99" t="str">
        <f t="shared" si="16"/>
        <v/>
      </c>
      <c r="O97" s="99" cm="1">
        <f t="array" aca="1" ref="O97" ca="1">CreateID($O$3,$O:$O,$N97&lt;&gt;"")</f>
        <v>39</v>
      </c>
      <c r="P97" s="99" t="str">
        <f t="shared" si="19"/>
        <v/>
      </c>
      <c r="Q97" s="99" cm="1">
        <f t="array" aca="1" ref="Q97" ca="1">CreateID($Q$3,$Q:$Q,$P97&lt;&gt;"")</f>
        <v>0</v>
      </c>
      <c r="R97" s="99" t="str">
        <f t="shared" si="20"/>
        <v/>
      </c>
      <c r="S97" s="99" cm="1">
        <f t="array" aca="1" ref="S97" ca="1">CreateID($S$3,$S:$S,$R97&lt;&gt;"")</f>
        <v>0</v>
      </c>
      <c r="T97" s="99" t="str">
        <f t="shared" si="21"/>
        <v/>
      </c>
      <c r="U97" s="99" cm="1">
        <f t="array" aca="1" ref="U97" ca="1">CreateID($U$3,$U:$U,$T97&lt;&gt;"")</f>
        <v>0</v>
      </c>
      <c r="V97" s="99" cm="1">
        <f t="array" aca="1" ref="V97" ca="1">CreateID($V$3,$V:$V,IFERROR(FIND(Definitions!$AR$4,$G97)&gt;0,FALSE))</f>
        <v>0</v>
      </c>
      <c r="W97" s="99">
        <f>_xlfn.LET(
_xlpm._comment,$G97,
_xlpm._keyWord,Definitions!$AR$4,
_xlpm._diffLen,LEN(_xlpm._comment)-LEN(SUBSTITUTE(_xlpm._comment,_xlpm._keyWord,"")),
_xlpm._diffLen/LEN(_xlpm._keyWord))</f>
        <v>0</v>
      </c>
      <c r="X97" s="99" cm="1">
        <f t="array" aca="1" ref="X97" ca="1">CreateID($X$3,$X:$X,IFERROR(FIND(Definitions!$AR$5,$G97)&gt;0,FALSE))</f>
        <v>0</v>
      </c>
      <c r="Y97" s="99">
        <f>_xlfn.LET(
_xlpm._comment,$G97,
_xlpm._keyWord,Definitions!$AR$5,
_xlpm._diffLen,LEN(_xlpm._comment)-LEN(SUBSTITUTE(_xlpm._comment,_xlpm._keyWord,"")),
_xlpm._diffLen/LEN(_xlpm._keyWord))</f>
        <v>0</v>
      </c>
      <c r="Z97" s="99" t="b">
        <f ca="1">OR(IFERROR(_xlfn.XMATCH("*,"&amp;$A97&amp;",*",Assumptions!$AL:$AL,2)&gt;0,FALSE),
IFERROR(_xlfn.XMATCH("*,"&amp;$A97&amp;",*",Countermeasures!$AO:$AO,2)&gt;0,FALSE))</f>
        <v>0</v>
      </c>
      <c r="AA97" s="99" t="str" cm="1">
        <f t="array" ref="AA97">CreateSearchString($I97)</f>
        <v/>
      </c>
      <c r="AB97" s="99" t="str">
        <f>IF($E97="","",IFERROR(VLOOKUP($E97,Definitions!$H:$J,COLUMNS(Definitions!$H:$J),FALSE),""))</f>
        <v/>
      </c>
      <c r="AC97" s="99" t="b" cm="1">
        <f t="array" ref="AC97">IF($A97="",FALSE,SimpleLookup($A97,Questions!$A:$D)="x")</f>
        <v>0</v>
      </c>
      <c r="AD97" s="99" t="str" cm="1">
        <f t="array" ref="AD97">IF(OR($A97="",NOT($AC97)),"",SimpleLookup($A97,Questions!$A:$E))</f>
        <v/>
      </c>
      <c r="AE97" s="99" t="str" cm="1">
        <f t="array" ref="AE97">IF(OR($A97="",NOT($AC97)),"",SimpleLookup($A97,Questions!$A:$F))</f>
        <v/>
      </c>
      <c r="AF97" s="99" t="str" cm="1">
        <f t="array" ref="AF97">_xlfn.LET(
_xlpm._answer,$C97,
_xlpm._infoTextFull,IF($AC97,CHAR(10)&amp;SimpleLookup($A97,Questions!$A:$H)&amp;CHAR(10),""),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97" s="99" t="b" cm="1">
        <f t="array" ref="AG97">IF(OR($A97="",NOT($AC97)),FALSE,_xlfn.LET(
_xlpm._secondAnswerRequiredOn,SimpleLookup($A97,Questions!$A:$I),
_xlpm._firstAnwer,$C97,
IFERROR(FIND(CHAR(10)&amp;_xlpm._firstAnwer&amp;":",CHAR(10)&amp;_xlpm._secondAnswerRequiredOn)&gt;0,FALSE)))</f>
        <v>0</v>
      </c>
      <c r="AH97" s="99" t="str" cm="1">
        <f t="array" ref="AH97">IF(OR($A97="",NOT($AC97)),"",_xlfn.LET(
_xlpm._id,$A97,
_xlpm._firstAnswer,$C97,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97" s="99" t="str" cm="1">
        <f t="array" ref="AI97">IF(OR($A97="",NOT($AC97)),"",_xlfn.LET(
_xlpm._id,$A97,
_xlpm._firstAnswer,$C97,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97" s="99" t="str" cm="1">
        <f t="array" ref="AJ97">IF($AG97,_xlfn.LET(
_xlpm._answer,$E97,
_xlpm._infoTextFull,IF($AC97,CHAR(10)&amp;SimpleLookup($A97,Questions!$A:$L)&amp;CHAR(10),""),
_xlpm._startSelectedByAnswerOne,IF(_xlpm._infoTextFull="",0,FIND("___"&amp;$C97&amp;"___",_xlpm._infoTextFull)+LEN("___"&amp;$C97&amp;"___")),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97" s="99" t="b" cm="1">
        <f t="array" ref="AK97">IF(OR($A97="",NOT($AC97)),FALSE,SimpleLookup($A97,Questions!$A:$Q))</f>
        <v>0</v>
      </c>
      <c r="AL97" s="99" t="str" cm="1">
        <f t="array" aca="1" ref="AL97" ca="1">IF(AND($A97=Questions!$A$41,IFERROR(SimpleLookup(Questions!$A$36,$A:$E)=Definitions!$O$5,FALSE),$C97=Definitions!$A$5),
Questions!$A$36&amp;" "&amp;Questions!$B$36&amp;CHAR(10)&amp;CHAR(187)&amp;" "&amp;SimpleLookup(Questions!$A$36,$A:$C)&amp;CHAR(10)&amp;SimpleLookup(Questions!$A$36,$A:$D)&amp;CHAR(10)&amp;CHAR(187)&amp;" "&amp;Definitions!$O$5&amp;CHAR(10)&amp;CHAR(10)&amp;
"is incosistent with"&amp;CHAR(10)&amp;CHAR(10)&amp;
$A97&amp;" "&amp;SimpleLookup($A97,Questions!$A:$B)&amp;CHAR(10)&amp;CHAR(187)&amp;" "&amp;$C97,
"")</f>
        <v/>
      </c>
      <c r="AM97" s="99" cm="1">
        <f t="array" aca="1" ref="AM97" ca="1">CreateID($AM$3,$AM:$AM,$AL97&lt;&gt;"")</f>
        <v>0</v>
      </c>
      <c r="AN97" s="99" t="str" cm="1">
        <f t="array" aca="1" ref="AN97" ca="1">IF(OR($C97="",OFFSET($C97,1,0)=""),"",
IF(AND($A97=Questions!$A$59,OFFSET($A97,1,0)=Questions!$A$60,SimpleLookup(Questions!$A$49,$A:$C)=Definitions!$A$4),
IF(MATCH($C97,Definitions!$AW:$AW,0)&gt;MATCH(OFFSET($C97,1,0),Definitions!AW:AW,0),$A97&amp;" "&amp;$K97&amp;": "&amp;$C97&amp;CHAR(10)&amp;"&lt;---&gt;"&amp;CHAR(10)&amp;OFFSET($A97,1,0)&amp;" "&amp;OFFSET($K97,1,0)&amp;": "&amp;OFFSET($C97,1,0),""),
""))</f>
        <v/>
      </c>
      <c r="AO97" s="99" cm="1">
        <f t="array" aca="1" ref="AO97" ca="1">CreateID($AO$3,$AO:$AO,$AN97&lt;&gt;"")</f>
        <v>0</v>
      </c>
    </row>
    <row r="98" spans="9:41" x14ac:dyDescent="0.25">
      <c r="I98" s="99" t="str">
        <f t="shared" si="17"/>
        <v/>
      </c>
      <c r="J98" s="99" t="str">
        <f t="shared" si="18"/>
        <v/>
      </c>
      <c r="K98" s="99" t="e" cm="1">
        <f t="array" aca="1" ref="K98" ca="1">SimpleLookup($A98,Questions!$A:$B)</f>
        <v>#N/A</v>
      </c>
      <c r="L98" s="99" cm="1">
        <f t="array" aca="1" ref="L98" ca="1">CreateID($L$3,$L:$L,AND($A98&lt;&gt;"",$AC98))</f>
        <v>39</v>
      </c>
      <c r="M98" s="99" cm="1">
        <f t="array" aca="1" ref="M98" ca="1">CreateTaskID($M$3,$M:$M,Tasks!$B$17,$G98)</f>
        <v>0</v>
      </c>
      <c r="N98" s="99" t="str">
        <f t="shared" si="16"/>
        <v/>
      </c>
      <c r="O98" s="99" cm="1">
        <f t="array" aca="1" ref="O98" ca="1">CreateID($O$3,$O:$O,$N98&lt;&gt;"")</f>
        <v>39</v>
      </c>
      <c r="P98" s="99" t="str">
        <f t="shared" si="19"/>
        <v/>
      </c>
      <c r="Q98" s="99" cm="1">
        <f t="array" aca="1" ref="Q98" ca="1">CreateID($Q$3,$Q:$Q,$P98&lt;&gt;"")</f>
        <v>0</v>
      </c>
      <c r="R98" s="99" t="str">
        <f t="shared" si="20"/>
        <v/>
      </c>
      <c r="S98" s="99" cm="1">
        <f t="array" aca="1" ref="S98" ca="1">CreateID($S$3,$S:$S,$R98&lt;&gt;"")</f>
        <v>0</v>
      </c>
      <c r="T98" s="99" t="str">
        <f t="shared" si="21"/>
        <v/>
      </c>
      <c r="U98" s="99" cm="1">
        <f t="array" aca="1" ref="U98" ca="1">CreateID($U$3,$U:$U,$T98&lt;&gt;"")</f>
        <v>0</v>
      </c>
      <c r="V98" s="99" cm="1">
        <f t="array" aca="1" ref="V98" ca="1">CreateID($V$3,$V:$V,IFERROR(FIND(Definitions!$AR$4,$G98)&gt;0,FALSE))</f>
        <v>0</v>
      </c>
      <c r="W98" s="99">
        <f>_xlfn.LET(
_xlpm._comment,$G98,
_xlpm._keyWord,Definitions!$AR$4,
_xlpm._diffLen,LEN(_xlpm._comment)-LEN(SUBSTITUTE(_xlpm._comment,_xlpm._keyWord,"")),
_xlpm._diffLen/LEN(_xlpm._keyWord))</f>
        <v>0</v>
      </c>
      <c r="X98" s="99" cm="1">
        <f t="array" aca="1" ref="X98" ca="1">CreateID($X$3,$X:$X,IFERROR(FIND(Definitions!$AR$5,$G98)&gt;0,FALSE))</f>
        <v>0</v>
      </c>
      <c r="Y98" s="99">
        <f>_xlfn.LET(
_xlpm._comment,$G98,
_xlpm._keyWord,Definitions!$AR$5,
_xlpm._diffLen,LEN(_xlpm._comment)-LEN(SUBSTITUTE(_xlpm._comment,_xlpm._keyWord,"")),
_xlpm._diffLen/LEN(_xlpm._keyWord))</f>
        <v>0</v>
      </c>
      <c r="Z98" s="99" t="b">
        <f ca="1">OR(IFERROR(_xlfn.XMATCH("*,"&amp;$A98&amp;",*",Assumptions!$AL:$AL,2)&gt;0,FALSE),
IFERROR(_xlfn.XMATCH("*,"&amp;$A98&amp;",*",Countermeasures!$AO:$AO,2)&gt;0,FALSE))</f>
        <v>0</v>
      </c>
      <c r="AA98" s="99" t="str" cm="1">
        <f t="array" ref="AA98">CreateSearchString($I98)</f>
        <v/>
      </c>
      <c r="AB98" s="99" t="str">
        <f>IF($E98="","",IFERROR(VLOOKUP($E98,Definitions!$H:$J,COLUMNS(Definitions!$H:$J),FALSE),""))</f>
        <v/>
      </c>
      <c r="AC98" s="99" t="b" cm="1">
        <f t="array" ref="AC98">IF($A98="",FALSE,SimpleLookup($A98,Questions!$A:$D)="x")</f>
        <v>0</v>
      </c>
      <c r="AD98" s="99" t="str" cm="1">
        <f t="array" ref="AD98">IF(OR($A98="",NOT($AC98)),"",SimpleLookup($A98,Questions!$A:$E))</f>
        <v/>
      </c>
      <c r="AE98" s="99" t="str" cm="1">
        <f t="array" ref="AE98">IF(OR($A98="",NOT($AC98)),"",SimpleLookup($A98,Questions!$A:$F))</f>
        <v/>
      </c>
      <c r="AF98" s="99" t="str" cm="1">
        <f t="array" ref="AF98">_xlfn.LET(
_xlpm._answer,$C98,
_xlpm._infoTextFull,IF($AC98,CHAR(10)&amp;SimpleLookup($A98,Questions!$A:$H)&amp;CHAR(10),""),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98" s="99" t="b" cm="1">
        <f t="array" ref="AG98">IF(OR($A98="",NOT($AC98)),FALSE,_xlfn.LET(
_xlpm._secondAnswerRequiredOn,SimpleLookup($A98,Questions!$A:$I),
_xlpm._firstAnwer,$C98,
IFERROR(FIND(CHAR(10)&amp;_xlpm._firstAnwer&amp;":",CHAR(10)&amp;_xlpm._secondAnswerRequiredOn)&gt;0,FALSE)))</f>
        <v>0</v>
      </c>
      <c r="AH98" s="99" t="str" cm="1">
        <f t="array" ref="AH98">IF(OR($A98="",NOT($AC98)),"",_xlfn.LET(
_xlpm._id,$A98,
_xlpm._firstAnswer,$C98,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98" s="99" t="str" cm="1">
        <f t="array" ref="AI98">IF(OR($A98="",NOT($AC98)),"",_xlfn.LET(
_xlpm._id,$A98,
_xlpm._firstAnswer,$C98,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98" s="99" t="str" cm="1">
        <f t="array" ref="AJ98">IF($AG98,_xlfn.LET(
_xlpm._answer,$E98,
_xlpm._infoTextFull,IF($AC98,CHAR(10)&amp;SimpleLookup($A98,Questions!$A:$L)&amp;CHAR(10),""),
_xlpm._startSelectedByAnswerOne,IF(_xlpm._infoTextFull="",0,FIND("___"&amp;$C98&amp;"___",_xlpm._infoTextFull)+LEN("___"&amp;$C98&amp;"___")),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98" s="99" t="b" cm="1">
        <f t="array" ref="AK98">IF(OR($A98="",NOT($AC98)),FALSE,SimpleLookup($A98,Questions!$A:$Q))</f>
        <v>0</v>
      </c>
      <c r="AL98" s="99" t="str" cm="1">
        <f t="array" aca="1" ref="AL98" ca="1">IF(AND($A98=Questions!$A$41,IFERROR(SimpleLookup(Questions!$A$36,$A:$E)=Definitions!$O$5,FALSE),$C98=Definitions!$A$5),
Questions!$A$36&amp;" "&amp;Questions!$B$36&amp;CHAR(10)&amp;CHAR(187)&amp;" "&amp;SimpleLookup(Questions!$A$36,$A:$C)&amp;CHAR(10)&amp;SimpleLookup(Questions!$A$36,$A:$D)&amp;CHAR(10)&amp;CHAR(187)&amp;" "&amp;Definitions!$O$5&amp;CHAR(10)&amp;CHAR(10)&amp;
"is incosistent with"&amp;CHAR(10)&amp;CHAR(10)&amp;
$A98&amp;" "&amp;SimpleLookup($A98,Questions!$A:$B)&amp;CHAR(10)&amp;CHAR(187)&amp;" "&amp;$C98,
"")</f>
        <v/>
      </c>
      <c r="AM98" s="99" cm="1">
        <f t="array" aca="1" ref="AM98" ca="1">CreateID($AM$3,$AM:$AM,$AL98&lt;&gt;"")</f>
        <v>0</v>
      </c>
      <c r="AN98" s="99" t="str" cm="1">
        <f t="array" aca="1" ref="AN98" ca="1">IF(OR($C98="",OFFSET($C98,1,0)=""),"",
IF(AND($A98=Questions!$A$59,OFFSET($A98,1,0)=Questions!$A$60,SimpleLookup(Questions!$A$49,$A:$C)=Definitions!$A$4),
IF(MATCH($C98,Definitions!$AW:$AW,0)&gt;MATCH(OFFSET($C98,1,0),Definitions!AW:AW,0),$A98&amp;" "&amp;$K98&amp;": "&amp;$C98&amp;CHAR(10)&amp;"&lt;---&gt;"&amp;CHAR(10)&amp;OFFSET($A98,1,0)&amp;" "&amp;OFFSET($K98,1,0)&amp;": "&amp;OFFSET($C98,1,0),""),
""))</f>
        <v/>
      </c>
      <c r="AO98" s="99" cm="1">
        <f t="array" aca="1" ref="AO98" ca="1">CreateID($AO$3,$AO:$AO,$AN98&lt;&gt;"")</f>
        <v>0</v>
      </c>
    </row>
    <row r="99" spans="9:41" x14ac:dyDescent="0.25">
      <c r="I99" s="99" t="str">
        <f t="shared" si="17"/>
        <v/>
      </c>
      <c r="J99" s="99" t="str">
        <f t="shared" si="18"/>
        <v/>
      </c>
      <c r="K99" s="99" t="e" cm="1">
        <f t="array" aca="1" ref="K99" ca="1">SimpleLookup($A99,Questions!$A:$B)</f>
        <v>#N/A</v>
      </c>
      <c r="L99" s="99" cm="1">
        <f t="array" aca="1" ref="L99" ca="1">CreateID($L$3,$L:$L,AND($A99&lt;&gt;"",$AC99))</f>
        <v>39</v>
      </c>
      <c r="M99" s="99" cm="1">
        <f t="array" aca="1" ref="M99" ca="1">CreateTaskID($M$3,$M:$M,Tasks!$B$17,$G99)</f>
        <v>0</v>
      </c>
      <c r="N99" s="99" t="str">
        <f t="shared" si="16"/>
        <v/>
      </c>
      <c r="O99" s="99" cm="1">
        <f t="array" aca="1" ref="O99" ca="1">CreateID($O$3,$O:$O,$N99&lt;&gt;"")</f>
        <v>39</v>
      </c>
      <c r="P99" s="99" t="str">
        <f t="shared" si="19"/>
        <v/>
      </c>
      <c r="Q99" s="99" cm="1">
        <f t="array" aca="1" ref="Q99" ca="1">CreateID($Q$3,$Q:$Q,$P99&lt;&gt;"")</f>
        <v>0</v>
      </c>
      <c r="R99" s="99" t="str">
        <f t="shared" si="20"/>
        <v/>
      </c>
      <c r="S99" s="99" cm="1">
        <f t="array" aca="1" ref="S99" ca="1">CreateID($S$3,$S:$S,$R99&lt;&gt;"")</f>
        <v>0</v>
      </c>
      <c r="T99" s="99" t="str">
        <f t="shared" si="21"/>
        <v/>
      </c>
      <c r="U99" s="99" cm="1">
        <f t="array" aca="1" ref="U99" ca="1">CreateID($U$3,$U:$U,$T99&lt;&gt;"")</f>
        <v>0</v>
      </c>
      <c r="V99" s="99" cm="1">
        <f t="array" aca="1" ref="V99" ca="1">CreateID($V$3,$V:$V,IFERROR(FIND(Definitions!$AR$4,$G99)&gt;0,FALSE))</f>
        <v>0</v>
      </c>
      <c r="W99" s="99">
        <f>_xlfn.LET(
_xlpm._comment,$G99,
_xlpm._keyWord,Definitions!$AR$4,
_xlpm._diffLen,LEN(_xlpm._comment)-LEN(SUBSTITUTE(_xlpm._comment,_xlpm._keyWord,"")),
_xlpm._diffLen/LEN(_xlpm._keyWord))</f>
        <v>0</v>
      </c>
      <c r="X99" s="99" cm="1">
        <f t="array" aca="1" ref="X99" ca="1">CreateID($X$3,$X:$X,IFERROR(FIND(Definitions!$AR$5,$G99)&gt;0,FALSE))</f>
        <v>0</v>
      </c>
      <c r="Y99" s="99">
        <f>_xlfn.LET(
_xlpm._comment,$G99,
_xlpm._keyWord,Definitions!$AR$5,
_xlpm._diffLen,LEN(_xlpm._comment)-LEN(SUBSTITUTE(_xlpm._comment,_xlpm._keyWord,"")),
_xlpm._diffLen/LEN(_xlpm._keyWord))</f>
        <v>0</v>
      </c>
      <c r="Z99" s="99" t="b">
        <f ca="1">OR(IFERROR(_xlfn.XMATCH("*,"&amp;$A99&amp;",*",Assumptions!$AL:$AL,2)&gt;0,FALSE),
IFERROR(_xlfn.XMATCH("*,"&amp;$A99&amp;",*",Countermeasures!$AO:$AO,2)&gt;0,FALSE))</f>
        <v>0</v>
      </c>
      <c r="AA99" s="99" t="str" cm="1">
        <f t="array" ref="AA99">CreateSearchString($I99)</f>
        <v/>
      </c>
      <c r="AB99" s="99" t="str">
        <f>IF($E99="","",IFERROR(VLOOKUP($E99,Definitions!$H:$J,COLUMNS(Definitions!$H:$J),FALSE),""))</f>
        <v/>
      </c>
      <c r="AC99" s="99" t="b" cm="1">
        <f t="array" ref="AC99">IF($A99="",FALSE,SimpleLookup($A99,Questions!$A:$D)="x")</f>
        <v>0</v>
      </c>
      <c r="AD99" s="99" t="str" cm="1">
        <f t="array" ref="AD99">IF(OR($A99="",NOT($AC99)),"",SimpleLookup($A99,Questions!$A:$E))</f>
        <v/>
      </c>
      <c r="AE99" s="99" t="str" cm="1">
        <f t="array" ref="AE99">IF(OR($A99="",NOT($AC99)),"",SimpleLookup($A99,Questions!$A:$F))</f>
        <v/>
      </c>
      <c r="AF99" s="99" t="str" cm="1">
        <f t="array" ref="AF99">_xlfn.LET(
_xlpm._answer,$C99,
_xlpm._infoTextFull,IF($AC99,CHAR(10)&amp;SimpleLookup($A99,Questions!$A:$H)&amp;CHAR(10),""),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99" s="99" t="b" cm="1">
        <f t="array" ref="AG99">IF(OR($A99="",NOT($AC99)),FALSE,_xlfn.LET(
_xlpm._secondAnswerRequiredOn,SimpleLookup($A99,Questions!$A:$I),
_xlpm._firstAnwer,$C99,
IFERROR(FIND(CHAR(10)&amp;_xlpm._firstAnwer&amp;":",CHAR(10)&amp;_xlpm._secondAnswerRequiredOn)&gt;0,FALSE)))</f>
        <v>0</v>
      </c>
      <c r="AH99" s="99" t="str" cm="1">
        <f t="array" ref="AH99">IF(OR($A99="",NOT($AC99)),"",_xlfn.LET(
_xlpm._id,$A99,
_xlpm._firstAnswer,$C99,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99" s="99" t="str" cm="1">
        <f t="array" ref="AI99">IF(OR($A99="",NOT($AC99)),"",_xlfn.LET(
_xlpm._id,$A99,
_xlpm._firstAnswer,$C99,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99" s="99" t="str" cm="1">
        <f t="array" ref="AJ99">IF($AG99,_xlfn.LET(
_xlpm._answer,$E99,
_xlpm._infoTextFull,IF($AC99,CHAR(10)&amp;SimpleLookup($A99,Questions!$A:$L)&amp;CHAR(10),""),
_xlpm._startSelectedByAnswerOne,IF(_xlpm._infoTextFull="",0,FIND("___"&amp;$C99&amp;"___",_xlpm._infoTextFull)+LEN("___"&amp;$C99&amp;"___")),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99" s="99" t="b" cm="1">
        <f t="array" ref="AK99">IF(OR($A99="",NOT($AC99)),FALSE,SimpleLookup($A99,Questions!$A:$Q))</f>
        <v>0</v>
      </c>
      <c r="AL99" s="99" t="str" cm="1">
        <f t="array" aca="1" ref="AL99" ca="1">IF(AND($A99=Questions!$A$41,IFERROR(SimpleLookup(Questions!$A$36,$A:$E)=Definitions!$O$5,FALSE),$C99=Definitions!$A$5),
Questions!$A$36&amp;" "&amp;Questions!$B$36&amp;CHAR(10)&amp;CHAR(187)&amp;" "&amp;SimpleLookup(Questions!$A$36,$A:$C)&amp;CHAR(10)&amp;SimpleLookup(Questions!$A$36,$A:$D)&amp;CHAR(10)&amp;CHAR(187)&amp;" "&amp;Definitions!$O$5&amp;CHAR(10)&amp;CHAR(10)&amp;
"is incosistent with"&amp;CHAR(10)&amp;CHAR(10)&amp;
$A99&amp;" "&amp;SimpleLookup($A99,Questions!$A:$B)&amp;CHAR(10)&amp;CHAR(187)&amp;" "&amp;$C99,
"")</f>
        <v/>
      </c>
      <c r="AM99" s="99" cm="1">
        <f t="array" aca="1" ref="AM99" ca="1">CreateID($AM$3,$AM:$AM,$AL99&lt;&gt;"")</f>
        <v>0</v>
      </c>
      <c r="AN99" s="99" t="str" cm="1">
        <f t="array" aca="1" ref="AN99" ca="1">IF(OR($C99="",OFFSET($C99,1,0)=""),"",
IF(AND($A99=Questions!$A$59,OFFSET($A99,1,0)=Questions!$A$60,SimpleLookup(Questions!$A$49,$A:$C)=Definitions!$A$4),
IF(MATCH($C99,Definitions!$AW:$AW,0)&gt;MATCH(OFFSET($C99,1,0),Definitions!AW:AW,0),$A99&amp;" "&amp;$K99&amp;": "&amp;$C99&amp;CHAR(10)&amp;"&lt;---&gt;"&amp;CHAR(10)&amp;OFFSET($A99,1,0)&amp;" "&amp;OFFSET($K99,1,0)&amp;": "&amp;OFFSET($C99,1,0),""),
""))</f>
        <v/>
      </c>
      <c r="AO99" s="99" cm="1">
        <f t="array" aca="1" ref="AO99" ca="1">CreateID($AO$3,$AO:$AO,$AN99&lt;&gt;"")</f>
        <v>0</v>
      </c>
    </row>
    <row r="100" spans="9:41" x14ac:dyDescent="0.25">
      <c r="I100" s="99" t="str">
        <f t="shared" si="17"/>
        <v/>
      </c>
      <c r="J100" s="99" t="str">
        <f t="shared" si="18"/>
        <v/>
      </c>
      <c r="K100" s="99" t="e" cm="1">
        <f t="array" aca="1" ref="K100" ca="1">SimpleLookup($A100,Questions!$A:$B)</f>
        <v>#N/A</v>
      </c>
      <c r="L100" s="99" cm="1">
        <f t="array" aca="1" ref="L100" ca="1">CreateID($L$3,$L:$L,AND($A100&lt;&gt;"",$AC100))</f>
        <v>39</v>
      </c>
      <c r="M100" s="99" cm="1">
        <f t="array" aca="1" ref="M100" ca="1">CreateTaskID($M$3,$M:$M,Tasks!$B$17,$G100)</f>
        <v>0</v>
      </c>
      <c r="N100" s="99" t="str">
        <f t="shared" si="16"/>
        <v/>
      </c>
      <c r="O100" s="99" cm="1">
        <f t="array" aca="1" ref="O100" ca="1">CreateID($O$3,$O:$O,$N100&lt;&gt;"")</f>
        <v>39</v>
      </c>
      <c r="P100" s="99" t="str">
        <f t="shared" si="19"/>
        <v/>
      </c>
      <c r="Q100" s="99" cm="1">
        <f t="array" aca="1" ref="Q100" ca="1">CreateID($Q$3,$Q:$Q,$P100&lt;&gt;"")</f>
        <v>0</v>
      </c>
      <c r="R100" s="99" t="str">
        <f t="shared" si="20"/>
        <v/>
      </c>
      <c r="S100" s="99" cm="1">
        <f t="array" aca="1" ref="S100" ca="1">CreateID($S$3,$S:$S,$R100&lt;&gt;"")</f>
        <v>0</v>
      </c>
      <c r="T100" s="99" t="str">
        <f t="shared" si="21"/>
        <v/>
      </c>
      <c r="U100" s="99" cm="1">
        <f t="array" aca="1" ref="U100" ca="1">CreateID($U$3,$U:$U,$T100&lt;&gt;"")</f>
        <v>0</v>
      </c>
      <c r="V100" s="99" cm="1">
        <f t="array" aca="1" ref="V100" ca="1">CreateID($V$3,$V:$V,IFERROR(FIND(Definitions!$AR$4,$G100)&gt;0,FALSE))</f>
        <v>0</v>
      </c>
      <c r="W100" s="99">
        <f>_xlfn.LET(
_xlpm._comment,$G100,
_xlpm._keyWord,Definitions!$AR$4,
_xlpm._diffLen,LEN(_xlpm._comment)-LEN(SUBSTITUTE(_xlpm._comment,_xlpm._keyWord,"")),
_xlpm._diffLen/LEN(_xlpm._keyWord))</f>
        <v>0</v>
      </c>
      <c r="X100" s="99" cm="1">
        <f t="array" aca="1" ref="X100" ca="1">CreateID($X$3,$X:$X,IFERROR(FIND(Definitions!$AR$5,$G100)&gt;0,FALSE))</f>
        <v>0</v>
      </c>
      <c r="Y100" s="99">
        <f>_xlfn.LET(
_xlpm._comment,$G100,
_xlpm._keyWord,Definitions!$AR$5,
_xlpm._diffLen,LEN(_xlpm._comment)-LEN(SUBSTITUTE(_xlpm._comment,_xlpm._keyWord,"")),
_xlpm._diffLen/LEN(_xlpm._keyWord))</f>
        <v>0</v>
      </c>
      <c r="Z100" s="99" t="b">
        <f ca="1">OR(IFERROR(_xlfn.XMATCH("*,"&amp;$A100&amp;",*",Assumptions!$AL:$AL,2)&gt;0,FALSE),
IFERROR(_xlfn.XMATCH("*,"&amp;$A100&amp;",*",Countermeasures!$AO:$AO,2)&gt;0,FALSE))</f>
        <v>0</v>
      </c>
      <c r="AA100" s="99" t="str" cm="1">
        <f t="array" ref="AA100">CreateSearchString($I100)</f>
        <v/>
      </c>
      <c r="AB100" s="99" t="str">
        <f>IF($E100="","",IFERROR(VLOOKUP($E100,Definitions!$H:$J,COLUMNS(Definitions!$H:$J),FALSE),""))</f>
        <v/>
      </c>
      <c r="AC100" s="99" t="b" cm="1">
        <f t="array" ref="AC100">IF($A100="",FALSE,SimpleLookup($A100,Questions!$A:$D)="x")</f>
        <v>0</v>
      </c>
      <c r="AD100" s="99" t="str" cm="1">
        <f t="array" ref="AD100">IF(OR($A100="",NOT($AC100)),"",SimpleLookup($A100,Questions!$A:$E))</f>
        <v/>
      </c>
      <c r="AE100" s="99" t="str" cm="1">
        <f t="array" ref="AE100">IF(OR($A100="",NOT($AC100)),"",SimpleLookup($A100,Questions!$A:$F))</f>
        <v/>
      </c>
      <c r="AF100" s="99" t="str" cm="1">
        <f t="array" ref="AF100">_xlfn.LET(
_xlpm._answer,$C100,
_xlpm._infoTextFull,IF($AC100,CHAR(10)&amp;SimpleLookup($A100,Questions!$A:$H)&amp;CHAR(10),""),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00" s="99" t="b" cm="1">
        <f t="array" ref="AG100">IF(OR($A100="",NOT($AC100)),FALSE,_xlfn.LET(
_xlpm._secondAnswerRequiredOn,SimpleLookup($A100,Questions!$A:$I),
_xlpm._firstAnwer,$C100,
IFERROR(FIND(CHAR(10)&amp;_xlpm._firstAnwer&amp;":",CHAR(10)&amp;_xlpm._secondAnswerRequiredOn)&gt;0,FALSE)))</f>
        <v>0</v>
      </c>
      <c r="AH100" s="99" t="str" cm="1">
        <f t="array" ref="AH100">IF(OR($A100="",NOT($AC100)),"",_xlfn.LET(
_xlpm._id,$A100,
_xlpm._firstAnswer,$C100,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100" s="99" t="str" cm="1">
        <f t="array" ref="AI100">IF(OR($A100="",NOT($AC100)),"",_xlfn.LET(
_xlpm._id,$A100,
_xlpm._firstAnswer,$C100,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100" s="99" t="str" cm="1">
        <f t="array" ref="AJ100">IF($AG100,_xlfn.LET(
_xlpm._answer,$E100,
_xlpm._infoTextFull,IF($AC100,CHAR(10)&amp;SimpleLookup($A100,Questions!$A:$L)&amp;CHAR(10),""),
_xlpm._startSelectedByAnswerOne,IF(_xlpm._infoTextFull="",0,FIND("___"&amp;$C100&amp;"___",_xlpm._infoTextFull)+LEN("___"&amp;$C100&amp;"___")),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00" s="99" t="b" cm="1">
        <f t="array" ref="AK100">IF(OR($A100="",NOT($AC100)),FALSE,SimpleLookup($A100,Questions!$A:$Q))</f>
        <v>0</v>
      </c>
      <c r="AL100" s="99" t="str" cm="1">
        <f t="array" aca="1" ref="AL100" ca="1">IF(AND($A100=Questions!$A$41,IFERROR(SimpleLookup(Questions!$A$36,$A:$E)=Definitions!$O$5,FALSE),$C100=Definitions!$A$5),
Questions!$A$36&amp;" "&amp;Questions!$B$36&amp;CHAR(10)&amp;CHAR(187)&amp;" "&amp;SimpleLookup(Questions!$A$36,$A:$C)&amp;CHAR(10)&amp;SimpleLookup(Questions!$A$36,$A:$D)&amp;CHAR(10)&amp;CHAR(187)&amp;" "&amp;Definitions!$O$5&amp;CHAR(10)&amp;CHAR(10)&amp;
"is incosistent with"&amp;CHAR(10)&amp;CHAR(10)&amp;
$A100&amp;" "&amp;SimpleLookup($A100,Questions!$A:$B)&amp;CHAR(10)&amp;CHAR(187)&amp;" "&amp;$C100,
"")</f>
        <v/>
      </c>
      <c r="AM100" s="99" cm="1">
        <f t="array" aca="1" ref="AM100" ca="1">CreateID($AM$3,$AM:$AM,$AL100&lt;&gt;"")</f>
        <v>0</v>
      </c>
      <c r="AN100" s="99" t="str" cm="1">
        <f t="array" aca="1" ref="AN100" ca="1">IF(OR($C100="",OFFSET($C100,1,0)=""),"",
IF(AND($A100=Questions!$A$59,OFFSET($A100,1,0)=Questions!$A$60,SimpleLookup(Questions!$A$49,$A:$C)=Definitions!$A$4),
IF(MATCH($C100,Definitions!$AW:$AW,0)&gt;MATCH(OFFSET($C100,1,0),Definitions!AW:AW,0),$A100&amp;" "&amp;$K100&amp;": "&amp;$C100&amp;CHAR(10)&amp;"&lt;---&gt;"&amp;CHAR(10)&amp;OFFSET($A100,1,0)&amp;" "&amp;OFFSET($K100,1,0)&amp;": "&amp;OFFSET($C100,1,0),""),
""))</f>
        <v/>
      </c>
      <c r="AO100" s="99" cm="1">
        <f t="array" aca="1" ref="AO100" ca="1">CreateID($AO$3,$AO:$AO,$AN100&lt;&gt;"")</f>
        <v>0</v>
      </c>
    </row>
    <row r="101" spans="9:41" x14ac:dyDescent="0.25">
      <c r="I101" s="99" t="str">
        <f t="shared" si="17"/>
        <v/>
      </c>
      <c r="J101" s="99" t="str">
        <f t="shared" si="18"/>
        <v/>
      </c>
      <c r="K101" s="99" t="e" cm="1">
        <f t="array" aca="1" ref="K101" ca="1">SimpleLookup($A101,Questions!$A:$B)</f>
        <v>#N/A</v>
      </c>
      <c r="L101" s="99" cm="1">
        <f t="array" aca="1" ref="L101" ca="1">CreateID($L$3,$L:$L,AND($A101&lt;&gt;"",$AC101))</f>
        <v>39</v>
      </c>
      <c r="M101" s="99" cm="1">
        <f t="array" aca="1" ref="M101" ca="1">CreateTaskID($M$3,$M:$M,Tasks!$B$17,$G101)</f>
        <v>0</v>
      </c>
      <c r="N101" s="99" t="str">
        <f t="shared" si="16"/>
        <v/>
      </c>
      <c r="O101" s="99" cm="1">
        <f t="array" aca="1" ref="O101" ca="1">CreateID($O$3,$O:$O,$N101&lt;&gt;"")</f>
        <v>39</v>
      </c>
      <c r="P101" s="99" t="str">
        <f t="shared" si="19"/>
        <v/>
      </c>
      <c r="Q101" s="99" cm="1">
        <f t="array" aca="1" ref="Q101" ca="1">CreateID($Q$3,$Q:$Q,$P101&lt;&gt;"")</f>
        <v>0</v>
      </c>
      <c r="R101" s="99" t="str">
        <f t="shared" si="20"/>
        <v/>
      </c>
      <c r="S101" s="99" cm="1">
        <f t="array" aca="1" ref="S101" ca="1">CreateID($S$3,$S:$S,$R101&lt;&gt;"")</f>
        <v>0</v>
      </c>
      <c r="T101" s="99" t="str">
        <f t="shared" si="21"/>
        <v/>
      </c>
      <c r="U101" s="99" cm="1">
        <f t="array" aca="1" ref="U101" ca="1">CreateID($U$3,$U:$U,$T101&lt;&gt;"")</f>
        <v>0</v>
      </c>
      <c r="V101" s="99" cm="1">
        <f t="array" aca="1" ref="V101" ca="1">CreateID($V$3,$V:$V,IFERROR(FIND(Definitions!$AR$4,$G101)&gt;0,FALSE))</f>
        <v>0</v>
      </c>
      <c r="W101" s="99">
        <f>_xlfn.LET(
_xlpm._comment,$G101,
_xlpm._keyWord,Definitions!$AR$4,
_xlpm._diffLen,LEN(_xlpm._comment)-LEN(SUBSTITUTE(_xlpm._comment,_xlpm._keyWord,"")),
_xlpm._diffLen/LEN(_xlpm._keyWord))</f>
        <v>0</v>
      </c>
      <c r="X101" s="99" cm="1">
        <f t="array" aca="1" ref="X101" ca="1">CreateID($X$3,$X:$X,IFERROR(FIND(Definitions!$AR$5,$G101)&gt;0,FALSE))</f>
        <v>0</v>
      </c>
      <c r="Y101" s="99">
        <f>_xlfn.LET(
_xlpm._comment,$G101,
_xlpm._keyWord,Definitions!$AR$5,
_xlpm._diffLen,LEN(_xlpm._comment)-LEN(SUBSTITUTE(_xlpm._comment,_xlpm._keyWord,"")),
_xlpm._diffLen/LEN(_xlpm._keyWord))</f>
        <v>0</v>
      </c>
      <c r="Z101" s="99" t="b">
        <f ca="1">OR(IFERROR(_xlfn.XMATCH("*,"&amp;$A101&amp;",*",Assumptions!$AL:$AL,2)&gt;0,FALSE),
IFERROR(_xlfn.XMATCH("*,"&amp;$A101&amp;",*",Countermeasures!$AO:$AO,2)&gt;0,FALSE))</f>
        <v>0</v>
      </c>
      <c r="AA101" s="99" t="str" cm="1">
        <f t="array" ref="AA101">CreateSearchString($I101)</f>
        <v/>
      </c>
      <c r="AB101" s="99" t="str">
        <f>IF($E101="","",IFERROR(VLOOKUP($E101,Definitions!$H:$J,COLUMNS(Definitions!$H:$J),FALSE),""))</f>
        <v/>
      </c>
      <c r="AC101" s="99" t="b" cm="1">
        <f t="array" ref="AC101">IF($A101="",FALSE,SimpleLookup($A101,Questions!$A:$D)="x")</f>
        <v>0</v>
      </c>
      <c r="AD101" s="99" t="str" cm="1">
        <f t="array" ref="AD101">IF(OR($A101="",NOT($AC101)),"",SimpleLookup($A101,Questions!$A:$E))</f>
        <v/>
      </c>
      <c r="AE101" s="99" t="str" cm="1">
        <f t="array" ref="AE101">IF(OR($A101="",NOT($AC101)),"",SimpleLookup($A101,Questions!$A:$F))</f>
        <v/>
      </c>
      <c r="AF101" s="99" t="str" cm="1">
        <f t="array" ref="AF101">_xlfn.LET(
_xlpm._answer,$C101,
_xlpm._infoTextFull,IF($AC101,CHAR(10)&amp;SimpleLookup($A101,Questions!$A:$H)&amp;CHAR(10),""),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01" s="99" t="b" cm="1">
        <f t="array" ref="AG101">IF(OR($A101="",NOT($AC101)),FALSE,_xlfn.LET(
_xlpm._secondAnswerRequiredOn,SimpleLookup($A101,Questions!$A:$I),
_xlpm._firstAnwer,$C101,
IFERROR(FIND(CHAR(10)&amp;_xlpm._firstAnwer&amp;":",CHAR(10)&amp;_xlpm._secondAnswerRequiredOn)&gt;0,FALSE)))</f>
        <v>0</v>
      </c>
      <c r="AH101" s="99" t="str" cm="1">
        <f t="array" ref="AH101">IF(OR($A101="",NOT($AC101)),"",_xlfn.LET(
_xlpm._id,$A101,
_xlpm._firstAnswer,$C101,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101" s="99" t="str" cm="1">
        <f t="array" ref="AI101">IF(OR($A101="",NOT($AC101)),"",_xlfn.LET(
_xlpm._id,$A101,
_xlpm._firstAnswer,$C101,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101" s="99" t="str" cm="1">
        <f t="array" ref="AJ101">IF($AG101,_xlfn.LET(
_xlpm._answer,$E101,
_xlpm._infoTextFull,IF($AC101,CHAR(10)&amp;SimpleLookup($A101,Questions!$A:$L)&amp;CHAR(10),""),
_xlpm._startSelectedByAnswerOne,IF(_xlpm._infoTextFull="",0,FIND("___"&amp;$C101&amp;"___",_xlpm._infoTextFull)+LEN("___"&amp;$C101&amp;"___")),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01" s="99" t="b" cm="1">
        <f t="array" ref="AK101">IF(OR($A101="",NOT($AC101)),FALSE,SimpleLookup($A101,Questions!$A:$Q))</f>
        <v>0</v>
      </c>
      <c r="AL101" s="99" t="str" cm="1">
        <f t="array" aca="1" ref="AL101" ca="1">IF(AND($A101=Questions!$A$41,IFERROR(SimpleLookup(Questions!$A$36,$A:$E)=Definitions!$O$5,FALSE),$C101=Definitions!$A$5),
Questions!$A$36&amp;" "&amp;Questions!$B$36&amp;CHAR(10)&amp;CHAR(187)&amp;" "&amp;SimpleLookup(Questions!$A$36,$A:$C)&amp;CHAR(10)&amp;SimpleLookup(Questions!$A$36,$A:$D)&amp;CHAR(10)&amp;CHAR(187)&amp;" "&amp;Definitions!$O$5&amp;CHAR(10)&amp;CHAR(10)&amp;
"is incosistent with"&amp;CHAR(10)&amp;CHAR(10)&amp;
$A101&amp;" "&amp;SimpleLookup($A101,Questions!$A:$B)&amp;CHAR(10)&amp;CHAR(187)&amp;" "&amp;$C101,
"")</f>
        <v/>
      </c>
      <c r="AM101" s="99" cm="1">
        <f t="array" aca="1" ref="AM101" ca="1">CreateID($AM$3,$AM:$AM,$AL101&lt;&gt;"")</f>
        <v>0</v>
      </c>
      <c r="AN101" s="99" t="str" cm="1">
        <f t="array" aca="1" ref="AN101" ca="1">IF(OR($C101="",OFFSET($C101,1,0)=""),"",
IF(AND($A101=Questions!$A$59,OFFSET($A101,1,0)=Questions!$A$60,SimpleLookup(Questions!$A$49,$A:$C)=Definitions!$A$4),
IF(MATCH($C101,Definitions!$AW:$AW,0)&gt;MATCH(OFFSET($C101,1,0),Definitions!AW:AW,0),$A101&amp;" "&amp;$K101&amp;": "&amp;$C101&amp;CHAR(10)&amp;"&lt;---&gt;"&amp;CHAR(10)&amp;OFFSET($A101,1,0)&amp;" "&amp;OFFSET($K101,1,0)&amp;": "&amp;OFFSET($C101,1,0),""),
""))</f>
        <v/>
      </c>
      <c r="AO101" s="99" cm="1">
        <f t="array" aca="1" ref="AO101" ca="1">CreateID($AO$3,$AO:$AO,$AN101&lt;&gt;"")</f>
        <v>0</v>
      </c>
    </row>
    <row r="102" spans="9:41" x14ac:dyDescent="0.25">
      <c r="I102" s="99" t="str">
        <f t="shared" si="17"/>
        <v/>
      </c>
      <c r="J102" s="99" t="str">
        <f t="shared" si="18"/>
        <v/>
      </c>
      <c r="K102" s="99" t="e" cm="1">
        <f t="array" aca="1" ref="K102" ca="1">SimpleLookup($A102,Questions!$A:$B)</f>
        <v>#N/A</v>
      </c>
      <c r="L102" s="99" cm="1">
        <f t="array" aca="1" ref="L102" ca="1">CreateID($L$3,$L:$L,AND($A102&lt;&gt;"",$AC102))</f>
        <v>39</v>
      </c>
      <c r="M102" s="99" cm="1">
        <f t="array" aca="1" ref="M102" ca="1">CreateTaskID($M$3,$M:$M,Tasks!$B$17,$G102)</f>
        <v>0</v>
      </c>
      <c r="N102" s="99" t="str">
        <f t="shared" si="16"/>
        <v/>
      </c>
      <c r="O102" s="99" cm="1">
        <f t="array" aca="1" ref="O102" ca="1">CreateID($O$3,$O:$O,$N102&lt;&gt;"")</f>
        <v>39</v>
      </c>
      <c r="P102" s="99" t="str">
        <f t="shared" si="19"/>
        <v/>
      </c>
      <c r="Q102" s="99" cm="1">
        <f t="array" aca="1" ref="Q102" ca="1">CreateID($Q$3,$Q:$Q,$P102&lt;&gt;"")</f>
        <v>0</v>
      </c>
      <c r="R102" s="99" t="str">
        <f t="shared" si="20"/>
        <v/>
      </c>
      <c r="S102" s="99" cm="1">
        <f t="array" aca="1" ref="S102" ca="1">CreateID($S$3,$S:$S,$R102&lt;&gt;"")</f>
        <v>0</v>
      </c>
      <c r="T102" s="99" t="str">
        <f t="shared" si="21"/>
        <v/>
      </c>
      <c r="U102" s="99" cm="1">
        <f t="array" aca="1" ref="U102" ca="1">CreateID($U$3,$U:$U,$T102&lt;&gt;"")</f>
        <v>0</v>
      </c>
      <c r="V102" s="99" cm="1">
        <f t="array" aca="1" ref="V102" ca="1">CreateID($V$3,$V:$V,IFERROR(FIND(Definitions!$AR$4,$G102)&gt;0,FALSE))</f>
        <v>0</v>
      </c>
      <c r="W102" s="99">
        <f>_xlfn.LET(
_xlpm._comment,$G102,
_xlpm._keyWord,Definitions!$AR$4,
_xlpm._diffLen,LEN(_xlpm._comment)-LEN(SUBSTITUTE(_xlpm._comment,_xlpm._keyWord,"")),
_xlpm._diffLen/LEN(_xlpm._keyWord))</f>
        <v>0</v>
      </c>
      <c r="X102" s="99" cm="1">
        <f t="array" aca="1" ref="X102" ca="1">CreateID($X$3,$X:$X,IFERROR(FIND(Definitions!$AR$5,$G102)&gt;0,FALSE))</f>
        <v>0</v>
      </c>
      <c r="Y102" s="99">
        <f>_xlfn.LET(
_xlpm._comment,$G102,
_xlpm._keyWord,Definitions!$AR$5,
_xlpm._diffLen,LEN(_xlpm._comment)-LEN(SUBSTITUTE(_xlpm._comment,_xlpm._keyWord,"")),
_xlpm._diffLen/LEN(_xlpm._keyWord))</f>
        <v>0</v>
      </c>
      <c r="Z102" s="99" t="b">
        <f ca="1">OR(IFERROR(_xlfn.XMATCH("*,"&amp;$A102&amp;",*",Assumptions!$AL:$AL,2)&gt;0,FALSE),
IFERROR(_xlfn.XMATCH("*,"&amp;$A102&amp;",*",Countermeasures!$AO:$AO,2)&gt;0,FALSE))</f>
        <v>0</v>
      </c>
      <c r="AA102" s="99" t="str" cm="1">
        <f t="array" ref="AA102">CreateSearchString($I102)</f>
        <v/>
      </c>
      <c r="AB102" s="99" t="str">
        <f>IF($E102="","",IFERROR(VLOOKUP($E102,Definitions!$H:$J,COLUMNS(Definitions!$H:$J),FALSE),""))</f>
        <v/>
      </c>
      <c r="AC102" s="99" t="b" cm="1">
        <f t="array" ref="AC102">IF($A102="",FALSE,SimpleLookup($A102,Questions!$A:$D)="x")</f>
        <v>0</v>
      </c>
      <c r="AD102" s="99" t="str" cm="1">
        <f t="array" ref="AD102">IF(OR($A102="",NOT($AC102)),"",SimpleLookup($A102,Questions!$A:$E))</f>
        <v/>
      </c>
      <c r="AE102" s="99" t="str" cm="1">
        <f t="array" ref="AE102">IF(OR($A102="",NOT($AC102)),"",SimpleLookup($A102,Questions!$A:$F))</f>
        <v/>
      </c>
      <c r="AF102" s="99" t="str" cm="1">
        <f t="array" ref="AF102">_xlfn.LET(
_xlpm._answer,$C102,
_xlpm._infoTextFull,IF($AC102,CHAR(10)&amp;SimpleLookup($A102,Questions!$A:$H)&amp;CHAR(10),""),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02" s="99" t="b" cm="1">
        <f t="array" ref="AG102">IF(OR($A102="",NOT($AC102)),FALSE,_xlfn.LET(
_xlpm._secondAnswerRequiredOn,SimpleLookup($A102,Questions!$A:$I),
_xlpm._firstAnwer,$C102,
IFERROR(FIND(CHAR(10)&amp;_xlpm._firstAnwer&amp;":",CHAR(10)&amp;_xlpm._secondAnswerRequiredOn)&gt;0,FALSE)))</f>
        <v>0</v>
      </c>
      <c r="AH102" s="99" t="str" cm="1">
        <f t="array" ref="AH102">IF(OR($A102="",NOT($AC102)),"",_xlfn.LET(
_xlpm._id,$A102,
_xlpm._firstAnswer,$C102,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102" s="99" t="str" cm="1">
        <f t="array" ref="AI102">IF(OR($A102="",NOT($AC102)),"",_xlfn.LET(
_xlpm._id,$A102,
_xlpm._firstAnswer,$C102,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102" s="99" t="str" cm="1">
        <f t="array" ref="AJ102">IF($AG102,_xlfn.LET(
_xlpm._answer,$E102,
_xlpm._infoTextFull,IF($AC102,CHAR(10)&amp;SimpleLookup($A102,Questions!$A:$L)&amp;CHAR(10),""),
_xlpm._startSelectedByAnswerOne,IF(_xlpm._infoTextFull="",0,FIND("___"&amp;$C102&amp;"___",_xlpm._infoTextFull)+LEN("___"&amp;$C102&amp;"___")),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02" s="99" t="b" cm="1">
        <f t="array" ref="AK102">IF(OR($A102="",NOT($AC102)),FALSE,SimpleLookup($A102,Questions!$A:$Q))</f>
        <v>0</v>
      </c>
      <c r="AL102" s="99" t="str" cm="1">
        <f t="array" aca="1" ref="AL102" ca="1">IF(AND($A102=Questions!$A$41,IFERROR(SimpleLookup(Questions!$A$36,$A:$E)=Definitions!$O$5,FALSE),$C102=Definitions!$A$5),
Questions!$A$36&amp;" "&amp;Questions!$B$36&amp;CHAR(10)&amp;CHAR(187)&amp;" "&amp;SimpleLookup(Questions!$A$36,$A:$C)&amp;CHAR(10)&amp;SimpleLookup(Questions!$A$36,$A:$D)&amp;CHAR(10)&amp;CHAR(187)&amp;" "&amp;Definitions!$O$5&amp;CHAR(10)&amp;CHAR(10)&amp;
"is incosistent with"&amp;CHAR(10)&amp;CHAR(10)&amp;
$A102&amp;" "&amp;SimpleLookup($A102,Questions!$A:$B)&amp;CHAR(10)&amp;CHAR(187)&amp;" "&amp;$C102,
"")</f>
        <v/>
      </c>
      <c r="AM102" s="99" cm="1">
        <f t="array" aca="1" ref="AM102" ca="1">CreateID($AM$3,$AM:$AM,$AL102&lt;&gt;"")</f>
        <v>0</v>
      </c>
      <c r="AN102" s="99" t="str" cm="1">
        <f t="array" aca="1" ref="AN102" ca="1">IF(OR($C102="",OFFSET($C102,1,0)=""),"",
IF(AND($A102=Questions!$A$59,OFFSET($A102,1,0)=Questions!$A$60,SimpleLookup(Questions!$A$49,$A:$C)=Definitions!$A$4),
IF(MATCH($C102,Definitions!$AW:$AW,0)&gt;MATCH(OFFSET($C102,1,0),Definitions!AW:AW,0),$A102&amp;" "&amp;$K102&amp;": "&amp;$C102&amp;CHAR(10)&amp;"&lt;---&gt;"&amp;CHAR(10)&amp;OFFSET($A102,1,0)&amp;" "&amp;OFFSET($K102,1,0)&amp;": "&amp;OFFSET($C102,1,0),""),
""))</f>
        <v/>
      </c>
      <c r="AO102" s="99" cm="1">
        <f t="array" aca="1" ref="AO102" ca="1">CreateID($AO$3,$AO:$AO,$AN102&lt;&gt;"")</f>
        <v>0</v>
      </c>
    </row>
    <row r="103" spans="9:41" x14ac:dyDescent="0.25">
      <c r="I103" s="99" t="str">
        <f t="shared" si="17"/>
        <v/>
      </c>
      <c r="J103" s="99" t="str">
        <f t="shared" si="18"/>
        <v/>
      </c>
      <c r="K103" s="99" t="e" cm="1">
        <f t="array" aca="1" ref="K103" ca="1">SimpleLookup($A103,Questions!$A:$B)</f>
        <v>#N/A</v>
      </c>
      <c r="L103" s="99" cm="1">
        <f t="array" aca="1" ref="L103" ca="1">CreateID($L$3,$L:$L,AND($A103&lt;&gt;"",$AC103))</f>
        <v>39</v>
      </c>
      <c r="M103" s="99" cm="1">
        <f t="array" aca="1" ref="M103" ca="1">CreateTaskID($M$3,$M:$M,Tasks!$B$17,$G103)</f>
        <v>0</v>
      </c>
      <c r="N103" s="99" t="str">
        <f t="shared" si="16"/>
        <v/>
      </c>
      <c r="O103" s="99" cm="1">
        <f t="array" aca="1" ref="O103" ca="1">CreateID($O$3,$O:$O,$N103&lt;&gt;"")</f>
        <v>39</v>
      </c>
      <c r="P103" s="99" t="str">
        <f t="shared" si="19"/>
        <v/>
      </c>
      <c r="Q103" s="99" cm="1">
        <f t="array" aca="1" ref="Q103" ca="1">CreateID($Q$3,$Q:$Q,$P103&lt;&gt;"")</f>
        <v>0</v>
      </c>
      <c r="R103" s="99" t="str">
        <f t="shared" si="20"/>
        <v/>
      </c>
      <c r="S103" s="99" cm="1">
        <f t="array" aca="1" ref="S103" ca="1">CreateID($S$3,$S:$S,$R103&lt;&gt;"")</f>
        <v>0</v>
      </c>
      <c r="T103" s="99" t="str">
        <f t="shared" si="21"/>
        <v/>
      </c>
      <c r="U103" s="99" cm="1">
        <f t="array" aca="1" ref="U103" ca="1">CreateID($U$3,$U:$U,$T103&lt;&gt;"")</f>
        <v>0</v>
      </c>
      <c r="V103" s="99" cm="1">
        <f t="array" aca="1" ref="V103" ca="1">CreateID($V$3,$V:$V,IFERROR(FIND(Definitions!$AR$4,$G103)&gt;0,FALSE))</f>
        <v>0</v>
      </c>
      <c r="W103" s="99">
        <f>_xlfn.LET(
_xlpm._comment,$G103,
_xlpm._keyWord,Definitions!$AR$4,
_xlpm._diffLen,LEN(_xlpm._comment)-LEN(SUBSTITUTE(_xlpm._comment,_xlpm._keyWord,"")),
_xlpm._diffLen/LEN(_xlpm._keyWord))</f>
        <v>0</v>
      </c>
      <c r="X103" s="99" cm="1">
        <f t="array" aca="1" ref="X103" ca="1">CreateID($X$3,$X:$X,IFERROR(FIND(Definitions!$AR$5,$G103)&gt;0,FALSE))</f>
        <v>0</v>
      </c>
      <c r="Y103" s="99">
        <f>_xlfn.LET(
_xlpm._comment,$G103,
_xlpm._keyWord,Definitions!$AR$5,
_xlpm._diffLen,LEN(_xlpm._comment)-LEN(SUBSTITUTE(_xlpm._comment,_xlpm._keyWord,"")),
_xlpm._diffLen/LEN(_xlpm._keyWord))</f>
        <v>0</v>
      </c>
      <c r="Z103" s="99" t="b">
        <f ca="1">OR(IFERROR(_xlfn.XMATCH("*,"&amp;$A103&amp;",*",Assumptions!$AL:$AL,2)&gt;0,FALSE),
IFERROR(_xlfn.XMATCH("*,"&amp;$A103&amp;",*",Countermeasures!$AO:$AO,2)&gt;0,FALSE))</f>
        <v>0</v>
      </c>
      <c r="AA103" s="99" t="str" cm="1">
        <f t="array" ref="AA103">CreateSearchString($I103)</f>
        <v/>
      </c>
      <c r="AB103" s="99" t="str">
        <f>IF($E103="","",IFERROR(VLOOKUP($E103,Definitions!$H:$J,COLUMNS(Definitions!$H:$J),FALSE),""))</f>
        <v/>
      </c>
      <c r="AC103" s="99" t="b" cm="1">
        <f t="array" ref="AC103">IF($A103="",FALSE,SimpleLookup($A103,Questions!$A:$D)="x")</f>
        <v>0</v>
      </c>
      <c r="AD103" s="99" t="str" cm="1">
        <f t="array" ref="AD103">IF(OR($A103="",NOT($AC103)),"",SimpleLookup($A103,Questions!$A:$E))</f>
        <v/>
      </c>
      <c r="AE103" s="99" t="str" cm="1">
        <f t="array" ref="AE103">IF(OR($A103="",NOT($AC103)),"",SimpleLookup($A103,Questions!$A:$F))</f>
        <v/>
      </c>
      <c r="AF103" s="99" t="str" cm="1">
        <f t="array" ref="AF103">_xlfn.LET(
_xlpm._answer,$C103,
_xlpm._infoTextFull,IF($AC103,CHAR(10)&amp;SimpleLookup($A103,Questions!$A:$H)&amp;CHAR(10),""),
IF(_xlpm._answer="","",_xlfn.LET(
_xlpm._start,FIND(CHAR(10)&amp;_xlpm._answer&amp;":",_xlpm._infoTextFull)+LEN(CHAR(10)&amp;_xlpm._answer&amp;":"),
_xlpm._end,FIND(CHAR(10),_xlpm._infoTextFull,_xlpm._start)-_xlpm._start,
_xlpm._textForAnswer,MID(_xlpm._infoTextFull,_xlpm._start,_xlpm._end),
IFERROR(TRIM(_xlpm._textForAnswer),"Error: No information text for answer "&amp;_xlpm._answer&amp;" defined."))))</f>
        <v/>
      </c>
      <c r="AG103" s="99" t="b" cm="1">
        <f t="array" ref="AG103">IF(OR($A103="",NOT($AC103)),FALSE,_xlfn.LET(
_xlpm._secondAnswerRequiredOn,SimpleLookup($A103,Questions!$A:$I),
_xlpm._firstAnwer,$C103,
IFERROR(FIND(CHAR(10)&amp;_xlpm._firstAnwer&amp;":",CHAR(10)&amp;_xlpm._secondAnswerRequiredOn)&gt;0,FALSE)))</f>
        <v>0</v>
      </c>
      <c r="AH103" s="99" t="str" cm="1">
        <f t="array" ref="AH103">IF(OR($A103="",NOT($AC103)),"",_xlfn.LET(
_xlpm._id,$A103,
_xlpm._firstAnswer,$C103,
_xlpm._optionsHeaders,SimpleLookup(_xlpm._id,Questions!$A:$I)&amp;CHAR(10),
_xlpm._startPos,IFERROR(FIND(_xlpm._firstAnswer&amp;":",_xlpm._optionsHeaders),0),
_xlpm._endPos,IF(_xlpm._startPos=0,0,FIND(CHAR(10),_xlpm._optionsHeaders,_xlpm._startPos)),
_xlpm._optionSelected,IF(_xlpm._startPos=0,"",MID(_xlpm._optionsHeaders,_xlpm._startPos,_xlpm._endPos-_xlpm._startPos)),
TRIM(SUBSTITUTE(_xlpm._optionSelected,_xlpm._firstAnswer&amp;":",""))))</f>
        <v/>
      </c>
      <c r="AI103" s="99" t="str" cm="1">
        <f t="array" ref="AI103">IF(OR($A103="",NOT($AC103)),"",_xlfn.LET(
_xlpm._id,$A103,
_xlpm._firstAnswer,$C103,
_xlpm._optionsHeaders,SimpleLookup(_xlpm._id,Questions!$A:$J)&amp;CHAR(10),
_xlpm._startPos,IFERROR(FIND(_xlpm._firstAnswer&amp;":",_xlpm._optionsHeaders),0),
_xlpm._endPos,IF(_xlpm._startPos=0,0,FIND(CHAR(10),_xlpm._optionsHeaders,_xlpm._startPos)),
_xlpm._optionSelected,IF(_xlpm._startPos=0,"",MID(_xlpm._optionsHeaders,_xlpm._startPos,_xlpm._endPos-_xlpm._startPos)),
IF(_xlpm._optionSelected="","",VALUE(TRIM(SUBSTITUTE(_xlpm._optionSelected,_xlpm._firstAnswer&amp;":",""))))))</f>
        <v/>
      </c>
      <c r="AJ103" s="99" t="str" cm="1">
        <f t="array" ref="AJ103">IF($AG103,_xlfn.LET(
_xlpm._answer,$E103,
_xlpm._infoTextFull,IF($AC103,CHAR(10)&amp;SimpleLookup($A103,Questions!$A:$L)&amp;CHAR(10),""),
_xlpm._startSelectedByAnswerOne,IF(_xlpm._infoTextFull="",0,FIND("___"&amp;$C103&amp;"___",_xlpm._infoTextFull)+LEN("___"&amp;$C103&amp;"___")),
_xlpm._endSelectedByAnswerOne,IF(_xlpm._infoTextFull="",0,FIND("___",_xlpm._infoTextFull&amp;"___",_xlpm._startSelectedByAnswerOne)),
_xlpm._infoTextMatchingFirstAnswer,IF(_xlpm._infoTextFull="","",MID(_xlpm._infoTextFull,_xlpm._startSelectedByAnswerOne,_xlpm._endSelectedByAnswerOne-_xlpm._startSelectedByAnswerOne)),
_xlpm._inforTextWithoutStar,SUBSTITUTE(_xlpm._infoTextMatchingFirstAnswer,"*",""),
_xlpm._start,FIND(CHAR(10)&amp;_xlpm._answer&amp;":",_xlpm._inforTextWithoutStar)+LEN(CHAR(10)&amp;_xlpm._answer&amp;":"),
_xlpm._end,FIND(CHAR(10),_xlpm._inforTextWithoutStar,_xlpm._start)-_xlpm._start,
_xlpm._textForAnswer,MID(_xlpm._inforTextWithoutStar,_xlpm._start,_xlpm._end),
IF(AND(_xlpm._answer="",NOT(IFERROR(FIND("*",_xlpm._infoTextMatchingFirstAnswer)&gt;0,FALSE))),"",
IFERROR(TRIM(_xlpm._textForAnswer),"Error: No information text for answer "&amp;_xlpm._answer&amp;" defined."))),
"")</f>
        <v/>
      </c>
      <c r="AK103" s="99" t="b" cm="1">
        <f t="array" ref="AK103">IF(OR($A103="",NOT($AC103)),FALSE,SimpleLookup($A103,Questions!$A:$Q))</f>
        <v>0</v>
      </c>
      <c r="AL103" s="99" t="str" cm="1">
        <f t="array" aca="1" ref="AL103" ca="1">IF(AND($A103=Questions!$A$41,IFERROR(SimpleLookup(Questions!$A$36,$A:$E)=Definitions!$O$5,FALSE),$C103=Definitions!$A$5),
Questions!$A$36&amp;" "&amp;Questions!$B$36&amp;CHAR(10)&amp;CHAR(187)&amp;" "&amp;SimpleLookup(Questions!$A$36,$A:$C)&amp;CHAR(10)&amp;SimpleLookup(Questions!$A$36,$A:$D)&amp;CHAR(10)&amp;CHAR(187)&amp;" "&amp;Definitions!$O$5&amp;CHAR(10)&amp;CHAR(10)&amp;
"is incosistent with"&amp;CHAR(10)&amp;CHAR(10)&amp;
$A103&amp;" "&amp;SimpleLookup($A103,Questions!$A:$B)&amp;CHAR(10)&amp;CHAR(187)&amp;" "&amp;$C103,
"")</f>
        <v/>
      </c>
      <c r="AM103" s="99" cm="1">
        <f t="array" aca="1" ref="AM103" ca="1">CreateID($AM$3,$AM:$AM,$AL103&lt;&gt;"")</f>
        <v>0</v>
      </c>
      <c r="AN103" s="99" t="str" cm="1">
        <f t="array" aca="1" ref="AN103" ca="1">IF(OR($C103="",OFFSET($C103,1,0)=""),"",
IF(AND($A103=Questions!$A$59,OFFSET($A103,1,0)=Questions!$A$60,SimpleLookup(Questions!$A$49,$A:$C)=Definitions!$A$4),
IF(MATCH($C103,Definitions!$AW:$AW,0)&gt;MATCH(OFFSET($C103,1,0),Definitions!AW:AW,0),$A103&amp;" "&amp;$K103&amp;": "&amp;$C103&amp;CHAR(10)&amp;"&lt;---&gt;"&amp;CHAR(10)&amp;OFFSET($A103,1,0)&amp;" "&amp;OFFSET($K103,1,0)&amp;": "&amp;OFFSET($C103,1,0),""),
""))</f>
        <v/>
      </c>
      <c r="AO103" s="99" cm="1">
        <f t="array" aca="1" ref="AO103" ca="1">CreateID($AO$3,$AO:$AO,$AN103&lt;&gt;"")</f>
        <v>0</v>
      </c>
    </row>
  </sheetData>
  <phoneticPr fontId="4" type="noConversion"/>
  <conditionalFormatting sqref="A1 B1:G1048576">
    <cfRule type="expression" dxfId="56" priority="355">
      <formula>AND(ROW($B1)&gt;ROW($B$2),$B1&lt;&gt;"",MOD(ROW($B1),2)=1)</formula>
    </cfRule>
  </conditionalFormatting>
  <conditionalFormatting sqref="B1:G1 A1:A1048576">
    <cfRule type="expression" dxfId="55" priority="357">
      <formula>$AC1</formula>
    </cfRule>
  </conditionalFormatting>
  <conditionalFormatting sqref="B1:G1048576 A1">
    <cfRule type="expression" dxfId="54" priority="354">
      <formula>AND($B1&lt;&gt;"",LEFT($B1,1)&lt;&gt;" ")</formula>
    </cfRule>
    <cfRule type="expression" dxfId="53" priority="356">
      <formula>$AK1</formula>
    </cfRule>
  </conditionalFormatting>
  <conditionalFormatting sqref="C1:C1048576">
    <cfRule type="expression" dxfId="52" priority="360">
      <formula>AND($A1&lt;&gt;"",$C1="",NOT($AK1),$AC1)</formula>
    </cfRule>
  </conditionalFormatting>
  <conditionalFormatting sqref="E1:E1048576">
    <cfRule type="expression" dxfId="51" priority="358">
      <formula>AND($D1&lt;&gt;"",$E1="")</formula>
    </cfRule>
    <cfRule type="expression" dxfId="50" priority="359">
      <formula>AND($AG1&lt;&gt;"",$AG1=FALSE,$E1&lt;&gt;"")</formula>
    </cfRule>
  </conditionalFormatting>
  <conditionalFormatting sqref="G1:G1048576">
    <cfRule type="expression" dxfId="44" priority="353">
      <formula>AND($F1&lt;&gt;"",$G1="")</formula>
    </cfRule>
  </conditionalFormatting>
  <dataValidations count="2">
    <dataValidation type="list" allowBlank="1" showInputMessage="1" showErrorMessage="1" sqref="C6:C7 C9 C38:C41 C31:C32 C29 C25:C27 C23 C19:C20 C17 C15 C11:C12 C35:C36 C53:C60 C43:C51" xr:uid="{B6F34ED9-BE4F-4F2C-879B-0BD345F83BA2}">
      <formula1>OFFSET(INDIRECT($AD6),0,0,$AE6,1)</formula1>
    </dataValidation>
    <dataValidation type="list" allowBlank="1" showInputMessage="1" showErrorMessage="1" sqref="E6:E7 E9 E38:E41 E35:E36 E11:E12 E15 E17 E19:E20 E23 E25:E27 E29 E31:E32 E43:E51 E53:E60" xr:uid="{C4591C9A-524A-4570-BD88-371D8676482D}">
      <formula1>IF($D6="","",OFFSET(INDIRECT($AH6),0,0,$AI6,1))</formula1>
    </dataValidation>
  </dataValidations>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361" id="{C3CD6B64-F6EF-4FD9-83FF-20CF71B3B842}">
            <xm:f>$AB1=Definitions!$Q$5</xm:f>
            <x14:dxf>
              <font>
                <color rgb="FF92D050"/>
              </font>
            </x14:dxf>
          </x14:cfRule>
          <x14:cfRule type="expression" priority="362" id="{307B8EBC-65C7-4378-9161-7A6443592ADC}">
            <xm:f>$AB1=Definitions!$Q$6</xm:f>
            <x14:dxf>
              <font>
                <color rgb="FFFFFF9B"/>
              </font>
            </x14:dxf>
          </x14:cfRule>
          <x14:cfRule type="expression" priority="363" id="{5AD1C065-4315-4213-9674-37B538AF4A2B}">
            <xm:f>$AB1=Definitions!$Q$7</xm:f>
            <x14:dxf>
              <font>
                <color theme="5" tint="0.39994506668294322"/>
              </font>
            </x14:dxf>
          </x14:cfRule>
          <x14:cfRule type="expression" priority="364" id="{EA221D0E-E5F2-4A61-9661-FA49AE4896D8}">
            <xm:f>$AB1=Definitions!$Q$8</xm:f>
            <x14:dxf>
              <font>
                <color rgb="FFFFB9B9"/>
              </font>
            </x14:dxf>
          </x14:cfRule>
          <xm:sqref>E1:E1048576</xm:sqref>
        </x14:conditionalFormatting>
        <x14:conditionalFormatting xmlns:xm="http://schemas.microsoft.com/office/excel/2006/main">
          <x14:cfRule type="expression" priority="9" id="{82ED4715-C010-452B-95D5-D5E0114E259B}">
            <xm:f>IFERROR(FIND(Tasks!$B$17,G1)&gt;0,FALSE)</xm:f>
            <x14:dxf>
              <font>
                <b/>
                <i val="0"/>
                <color rgb="FF99FFCC"/>
              </font>
            </x14:dxf>
          </x14:cfRule>
          <x14:cfRule type="expression" priority="365" id="{96AF377D-6D69-4E90-9F88-1E93816E9933}">
            <xm:f>AND(Definitions!$AU$4=Definitions!$A$4,$Z1=TRUE,$A1&lt;&gt;"")</xm:f>
            <x14:dxf>
              <border>
                <left style="thin">
                  <color theme="4" tint="0.59996337778862885"/>
                </left>
                <right style="thin">
                  <color theme="4" tint="0.59996337778862885"/>
                </right>
                <top style="thin">
                  <color theme="4" tint="0.59996337778862885"/>
                </top>
                <bottom style="thin">
                  <color theme="4" tint="0.59996337778862885"/>
                </bottom>
                <vertical/>
                <horizontal/>
              </border>
            </x14:dxf>
          </x14:cfRule>
          <xm:sqref>G1:G1048576</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5A6EF-D578-4924-93EF-5F1BC0353EB7}">
  <sheetPr>
    <tabColor theme="3"/>
  </sheetPr>
  <dimension ref="A1:H20"/>
  <sheetViews>
    <sheetView workbookViewId="0">
      <selection activeCell="A3" sqref="A3"/>
    </sheetView>
  </sheetViews>
  <sheetFormatPr defaultColWidth="9.140625" defaultRowHeight="15" x14ac:dyDescent="0.25"/>
  <cols>
    <col min="1" max="1" width="9.140625" style="4"/>
    <col min="2" max="2" width="60.7109375" style="4" customWidth="1"/>
    <col min="3" max="3" width="15.7109375" style="4" bestFit="1" customWidth="1"/>
    <col min="4" max="4" width="60.7109375" style="4" customWidth="1"/>
    <col min="5" max="5" width="60.7109375" style="4" hidden="1" customWidth="1"/>
    <col min="6" max="6" width="12.42578125" style="2" hidden="1" customWidth="1"/>
    <col min="7" max="8" width="9.140625" style="2" hidden="1" customWidth="1"/>
    <col min="9" max="16384" width="9.140625" style="2"/>
  </cols>
  <sheetData>
    <row r="1" spans="1:8" s="115" customFormat="1" x14ac:dyDescent="0.25">
      <c r="A1" s="114"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HYPERLINK("#'"&amp;Helper!$G$2&amp;"'!"&amp;CHAR(CODE("A")+COLUMN(_xlpm._columnNameHeader)-1)&amp;_xlpm._entryOffset,Definitions!$AY$4)))(Helper!$G$11,A$2,README!$E:$E,README!$I$36,README!$B$36)</f>
        <v>◈</v>
      </c>
      <c r="B1" s="114"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HYPERLINK("#'"&amp;Helper!$G$2&amp;"'!"&amp;CHAR(CODE("A")+COLUMN(_xlpm._columnNameHeader)-1)&amp;_xlpm._entryOffset,Definitions!$AY$4)))(Helper!$G$11,B$2,README!$E:$E,README!$I$36,README!$B$36)</f>
        <v>◈</v>
      </c>
      <c r="C1" s="114"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HYPERLINK("#'"&amp;Helper!$G$2&amp;"'!"&amp;CHAR(CODE("A")+COLUMN(_xlpm._columnNameHeader)-1)&amp;_xlpm._entryOffset,Definitions!$AY$4)))(Helper!$G$11,C$2,README!$E:$E,README!$I$36,README!$B$36)</f>
        <v>◈</v>
      </c>
      <c r="D1" s="114"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HYPERLINK("#'"&amp;Helper!$G$2&amp;"'!"&amp;CHAR(CODE("A")+COLUMN(_xlpm._columnNameHeader)-1)&amp;_xlpm._entryOffset,Definitions!$AY$4)))(Helper!$G$11,D$2,README!$E:$E,README!$I$36,README!$B$36)</f>
        <v>◈</v>
      </c>
      <c r="E1" s="114"/>
    </row>
    <row r="2" spans="1:8" x14ac:dyDescent="0.25">
      <c r="A2" s="16" t="s">
        <v>53</v>
      </c>
      <c r="B2" s="16" t="s">
        <v>52</v>
      </c>
      <c r="C2" s="16" t="s">
        <v>187</v>
      </c>
      <c r="D2" s="16" t="s">
        <v>441</v>
      </c>
      <c r="E2" s="13" t="s">
        <v>3</v>
      </c>
      <c r="F2" s="10" t="s">
        <v>54</v>
      </c>
      <c r="G2" s="10" t="s">
        <v>104</v>
      </c>
      <c r="H2" s="10" t="s">
        <v>230</v>
      </c>
    </row>
    <row r="3" spans="1:8" x14ac:dyDescent="0.25">
      <c r="A3" s="16" t="str" cm="1">
        <f t="array" aca="1" ref="A3" ca="1">IF($G3="","",INDEX('Damage Scenarios'!A:A,$G3))</f>
        <v/>
      </c>
      <c r="B3" s="16" t="str" cm="1">
        <f t="array" aca="1" ref="B3" ca="1">IF($G3="","",INDEX('Damage Scenarios'!J:J,$G3))</f>
        <v/>
      </c>
      <c r="C3" s="16" t="str" cm="1">
        <f t="array" aca="1" ref="C3" ca="1">IF($G3="","",INDEX('Damage Scenarios'!M:M,$G3))</f>
        <v/>
      </c>
      <c r="D3" s="16" t="str" cm="1">
        <f t="array" aca="1" ref="D3" ca="1">IF($G3="","",INDEX('Damage Scenarios'!$O:$O,$G3))</f>
        <v/>
      </c>
      <c r="E3" s="13"/>
      <c r="F3" s="10" cm="1">
        <f t="array" aca="1" ref="F3" ca="1">IF(ROW()=ROW($F$2)+1,0,INDEX($F:$F,ROW()-1))+IF($A3="",0,1)</f>
        <v>0</v>
      </c>
      <c r="G3" s="24" t="str">
        <f ca="1">IFERROR(MATCH(ROW()-ROW($G$2),'Damage Scenarios'!$S:$S,0),"")</f>
        <v/>
      </c>
      <c r="H3" s="14" cm="1">
        <f t="array" ref="H3">CreateTaskID($H$2,$H:$H,Tasks!$B$17,$E3)</f>
        <v>0</v>
      </c>
    </row>
    <row r="4" spans="1:8" x14ac:dyDescent="0.25">
      <c r="A4" s="16" t="str" cm="1">
        <f t="array" aca="1" ref="A4" ca="1">IF($G4="","",INDEX('Damage Scenarios'!A:A,$G4))</f>
        <v/>
      </c>
      <c r="B4" s="16" t="str" cm="1">
        <f t="array" aca="1" ref="B4" ca="1">IF($G4="","",INDEX('Damage Scenarios'!J:J,$G4))</f>
        <v/>
      </c>
      <c r="C4" s="16" t="str" cm="1">
        <f t="array" aca="1" ref="C4" ca="1">IF($G4="","",INDEX('Damage Scenarios'!M:M,$G4))</f>
        <v/>
      </c>
      <c r="D4" s="16" t="str" cm="1">
        <f t="array" aca="1" ref="D4" ca="1">IF($G4="","",INDEX('Damage Scenarios'!$O:$O,$G4))</f>
        <v/>
      </c>
      <c r="E4" s="13"/>
      <c r="F4" s="10" cm="1">
        <f t="array" aca="1" ref="F4" ca="1">IF(ROW()=ROW($F$2)+1,0,INDEX($F:$F,ROW()-1))+IF($A4="",0,1)</f>
        <v>0</v>
      </c>
      <c r="G4" s="24" t="str">
        <f ca="1">IFERROR(MATCH(ROW()-ROW($G$2),'Damage Scenarios'!$S:$S,0),"")</f>
        <v/>
      </c>
      <c r="H4" s="14" cm="1">
        <f t="array" ref="H4">CreateTaskID($H$2,$H:$H,Tasks!$B$17,$E4)</f>
        <v>0</v>
      </c>
    </row>
    <row r="5" spans="1:8" x14ac:dyDescent="0.25">
      <c r="A5" s="16" t="str" cm="1">
        <f t="array" aca="1" ref="A5" ca="1">IF($G5="","",INDEX('Damage Scenarios'!A:A,$G5))</f>
        <v/>
      </c>
      <c r="B5" s="16" t="str" cm="1">
        <f t="array" aca="1" ref="B5" ca="1">IF($G5="","",INDEX('Damage Scenarios'!J:J,$G5))</f>
        <v/>
      </c>
      <c r="C5" s="16" t="str" cm="1">
        <f t="array" aca="1" ref="C5" ca="1">IF($G5="","",INDEX('Damage Scenarios'!M:M,$G5))</f>
        <v/>
      </c>
      <c r="D5" s="16" t="str" cm="1">
        <f t="array" aca="1" ref="D5" ca="1">IF($G5="","",INDEX('Damage Scenarios'!$O:$O,$G5))</f>
        <v/>
      </c>
      <c r="E5" s="13"/>
      <c r="F5" s="10" cm="1">
        <f t="array" aca="1" ref="F5" ca="1">IF(ROW()=ROW($F$2)+1,0,INDEX($F:$F,ROW()-1))+IF($A5="",0,1)</f>
        <v>0</v>
      </c>
      <c r="G5" s="24" t="str">
        <f ca="1">IFERROR(MATCH(ROW()-ROW($G$2),'Damage Scenarios'!$S:$S,0),"")</f>
        <v/>
      </c>
      <c r="H5" s="14" cm="1">
        <f t="array" ref="H5">CreateTaskID($H$2,$H:$H,Tasks!$B$17,$E5)</f>
        <v>0</v>
      </c>
    </row>
    <row r="6" spans="1:8" x14ac:dyDescent="0.25">
      <c r="A6" s="16" t="str" cm="1">
        <f t="array" aca="1" ref="A6" ca="1">IF($G6="","",INDEX('Damage Scenarios'!A:A,$G6))</f>
        <v/>
      </c>
      <c r="B6" s="16" t="str" cm="1">
        <f t="array" aca="1" ref="B6" ca="1">IF($G6="","",INDEX('Damage Scenarios'!J:J,$G6))</f>
        <v/>
      </c>
      <c r="C6" s="16" t="str" cm="1">
        <f t="array" aca="1" ref="C6" ca="1">IF($G6="","",INDEX('Damage Scenarios'!M:M,$G6))</f>
        <v/>
      </c>
      <c r="D6" s="16" t="str" cm="1">
        <f t="array" aca="1" ref="D6" ca="1">IF($G6="","",INDEX('Damage Scenarios'!$O:$O,$G6))</f>
        <v/>
      </c>
      <c r="E6" s="13"/>
      <c r="F6" s="10" cm="1">
        <f t="array" aca="1" ref="F6" ca="1">IF(ROW()=ROW($F$2)+1,0,INDEX($F:$F,ROW()-1))+IF($A6="",0,1)</f>
        <v>0</v>
      </c>
      <c r="G6" s="24" t="str">
        <f ca="1">IFERROR(MATCH(ROW()-ROW($G$2),'Damage Scenarios'!$S:$S,0),"")</f>
        <v/>
      </c>
      <c r="H6" s="14" cm="1">
        <f t="array" ref="H6">CreateTaskID($H$2,$H:$H,Tasks!$B$17,$E6)</f>
        <v>0</v>
      </c>
    </row>
    <row r="7" spans="1:8" x14ac:dyDescent="0.25">
      <c r="A7" s="16" t="str" cm="1">
        <f t="array" aca="1" ref="A7" ca="1">IF($G7="","",INDEX('Damage Scenarios'!A:A,$G7))</f>
        <v/>
      </c>
      <c r="B7" s="16" t="str" cm="1">
        <f t="array" aca="1" ref="B7" ca="1">IF($G7="","",INDEX('Damage Scenarios'!J:J,$G7))</f>
        <v/>
      </c>
      <c r="C7" s="16" t="str" cm="1">
        <f t="array" aca="1" ref="C7" ca="1">IF($G7="","",INDEX('Damage Scenarios'!M:M,$G7))</f>
        <v/>
      </c>
      <c r="D7" s="16" t="str" cm="1">
        <f t="array" aca="1" ref="D7" ca="1">IF($G7="","",INDEX('Damage Scenarios'!$O:$O,$G7))</f>
        <v/>
      </c>
      <c r="E7" s="13"/>
      <c r="F7" s="10" cm="1">
        <f t="array" aca="1" ref="F7" ca="1">IF(ROW()=ROW($F$2)+1,0,INDEX($F:$F,ROW()-1))+IF($A7="",0,1)</f>
        <v>0</v>
      </c>
      <c r="G7" s="24" t="str">
        <f ca="1">IFERROR(MATCH(ROW()-ROW($G$2),'Damage Scenarios'!$S:$S,0),"")</f>
        <v/>
      </c>
      <c r="H7" s="14" cm="1">
        <f t="array" ref="H7">CreateTaskID($H$2,$H:$H,Tasks!$B$17,$E7)</f>
        <v>0</v>
      </c>
    </row>
    <row r="8" spans="1:8" x14ac:dyDescent="0.25">
      <c r="A8" s="16" t="str" cm="1">
        <f t="array" aca="1" ref="A8" ca="1">IF($G8="","",INDEX('Damage Scenarios'!A:A,$G8))</f>
        <v/>
      </c>
      <c r="B8" s="16" t="str" cm="1">
        <f t="array" aca="1" ref="B8" ca="1">IF($G8="","",INDEX('Damage Scenarios'!J:J,$G8))</f>
        <v/>
      </c>
      <c r="C8" s="16" t="str" cm="1">
        <f t="array" aca="1" ref="C8" ca="1">IF($G8="","",INDEX('Damage Scenarios'!M:M,$G8))</f>
        <v/>
      </c>
      <c r="D8" s="16" t="str" cm="1">
        <f t="array" aca="1" ref="D8" ca="1">IF($G8="","",INDEX('Damage Scenarios'!$O:$O,$G8))</f>
        <v/>
      </c>
      <c r="E8" s="13"/>
      <c r="F8" s="10" cm="1">
        <f t="array" aca="1" ref="F8" ca="1">IF(ROW()=ROW($F$2)+1,0,INDEX($F:$F,ROW()-1))+IF($A8="",0,1)</f>
        <v>0</v>
      </c>
      <c r="G8" s="24" t="str">
        <f ca="1">IFERROR(MATCH(ROW()-ROW($G$2),'Damage Scenarios'!$S:$S,0),"")</f>
        <v/>
      </c>
      <c r="H8" s="14" cm="1">
        <f t="array" ref="H8">CreateTaskID($H$2,$H:$H,Tasks!$B$17,$E8)</f>
        <v>0</v>
      </c>
    </row>
    <row r="9" spans="1:8" x14ac:dyDescent="0.25">
      <c r="A9" s="16" t="str" cm="1">
        <f t="array" aca="1" ref="A9" ca="1">IF($G9="","",INDEX('Damage Scenarios'!A:A,$G9))</f>
        <v/>
      </c>
      <c r="B9" s="16" t="str" cm="1">
        <f t="array" aca="1" ref="B9" ca="1">IF($G9="","",INDEX('Damage Scenarios'!J:J,$G9))</f>
        <v/>
      </c>
      <c r="C9" s="16" t="str" cm="1">
        <f t="array" aca="1" ref="C9" ca="1">IF($G9="","",INDEX('Damage Scenarios'!M:M,$G9))</f>
        <v/>
      </c>
      <c r="D9" s="16" t="str" cm="1">
        <f t="array" aca="1" ref="D9" ca="1">IF($G9="","",INDEX('Damage Scenarios'!$O:$O,$G9))</f>
        <v/>
      </c>
      <c r="E9" s="13"/>
      <c r="F9" s="10" cm="1">
        <f t="array" aca="1" ref="F9" ca="1">IF(ROW()=ROW($F$2)+1,0,INDEX($F:$F,ROW()-1))+IF($A9="",0,1)</f>
        <v>0</v>
      </c>
      <c r="G9" s="24" t="str">
        <f ca="1">IFERROR(MATCH(ROW()-ROW($G$2),'Damage Scenarios'!$S:$S,0),"")</f>
        <v/>
      </c>
      <c r="H9" s="14" cm="1">
        <f t="array" ref="H9">CreateTaskID($H$2,$H:$H,Tasks!$B$17,$E9)</f>
        <v>0</v>
      </c>
    </row>
    <row r="10" spans="1:8" x14ac:dyDescent="0.25">
      <c r="A10" s="16" t="str" cm="1">
        <f t="array" aca="1" ref="A10" ca="1">IF($G10="","",INDEX('Damage Scenarios'!A:A,$G10))</f>
        <v/>
      </c>
      <c r="B10" s="16" t="str" cm="1">
        <f t="array" aca="1" ref="B10" ca="1">IF($G10="","",INDEX('Damage Scenarios'!J:J,$G10))</f>
        <v/>
      </c>
      <c r="C10" s="16" t="str" cm="1">
        <f t="array" aca="1" ref="C10" ca="1">IF($G10="","",INDEX('Damage Scenarios'!M:M,$G10))</f>
        <v/>
      </c>
      <c r="D10" s="16" t="str" cm="1">
        <f t="array" aca="1" ref="D10" ca="1">IF($G10="","",INDEX('Damage Scenarios'!$O:$O,$G10))</f>
        <v/>
      </c>
      <c r="E10" s="13"/>
      <c r="F10" s="10" cm="1">
        <f t="array" aca="1" ref="F10" ca="1">IF(ROW()=ROW($F$2)+1,0,INDEX($F:$F,ROW()-1))+IF($A10="",0,1)</f>
        <v>0</v>
      </c>
      <c r="G10" s="24" t="str">
        <f ca="1">IFERROR(MATCH(ROW()-ROW($G$2),'Damage Scenarios'!$S:$S,0),"")</f>
        <v/>
      </c>
      <c r="H10" s="14" cm="1">
        <f t="array" ref="H10">CreateTaskID($H$2,$H:$H,Tasks!$B$17,$E10)</f>
        <v>0</v>
      </c>
    </row>
    <row r="11" spans="1:8" x14ac:dyDescent="0.25">
      <c r="A11" s="16" t="str" cm="1">
        <f t="array" aca="1" ref="A11" ca="1">IF($G11="","",INDEX('Damage Scenarios'!A:A,$G11))</f>
        <v/>
      </c>
      <c r="B11" s="16" t="str" cm="1">
        <f t="array" aca="1" ref="B11" ca="1">IF($G11="","",INDEX('Damage Scenarios'!J:J,$G11))</f>
        <v/>
      </c>
      <c r="C11" s="16" t="str" cm="1">
        <f t="array" aca="1" ref="C11" ca="1">IF($G11="","",INDEX('Damage Scenarios'!M:M,$G11))</f>
        <v/>
      </c>
      <c r="D11" s="16" t="str" cm="1">
        <f t="array" aca="1" ref="D11" ca="1">IF($G11="","",INDEX('Damage Scenarios'!$O:$O,$G11))</f>
        <v/>
      </c>
      <c r="E11" s="13"/>
      <c r="F11" s="10" cm="1">
        <f t="array" aca="1" ref="F11" ca="1">IF(ROW()=ROW($F$2)+1,0,INDEX($F:$F,ROW()-1))+IF($A11="",0,1)</f>
        <v>0</v>
      </c>
      <c r="G11" s="24" t="str">
        <f ca="1">IFERROR(MATCH(ROW()-ROW($G$2),'Damage Scenarios'!$S:$S,0),"")</f>
        <v/>
      </c>
      <c r="H11" s="14" cm="1">
        <f t="array" ref="H11">CreateTaskID($H$2,$H:$H,Tasks!$B$17,$E11)</f>
        <v>0</v>
      </c>
    </row>
    <row r="12" spans="1:8" x14ac:dyDescent="0.25">
      <c r="A12" s="16" t="str" cm="1">
        <f t="array" aca="1" ref="A12" ca="1">IF($G12="","",INDEX('Damage Scenarios'!A:A,$G12))</f>
        <v/>
      </c>
      <c r="B12" s="16" t="str" cm="1">
        <f t="array" aca="1" ref="B12" ca="1">IF($G12="","",INDEX('Damage Scenarios'!J:J,$G12))</f>
        <v/>
      </c>
      <c r="C12" s="16" t="str" cm="1">
        <f t="array" aca="1" ref="C12" ca="1">IF($G12="","",INDEX('Damage Scenarios'!M:M,$G12))</f>
        <v/>
      </c>
      <c r="D12" s="16" t="str" cm="1">
        <f t="array" aca="1" ref="D12" ca="1">IF($G12="","",INDEX('Damage Scenarios'!$O:$O,$G12))</f>
        <v/>
      </c>
      <c r="E12" s="13"/>
      <c r="F12" s="10" cm="1">
        <f t="array" aca="1" ref="F12" ca="1">IF(ROW()=ROW($F$2)+1,0,INDEX($F:$F,ROW()-1))+IF($A12="",0,1)</f>
        <v>0</v>
      </c>
      <c r="G12" s="24" t="str">
        <f ca="1">IFERROR(MATCH(ROW()-ROW($G$2),'Damage Scenarios'!$S:$S,0),"")</f>
        <v/>
      </c>
      <c r="H12" s="14" cm="1">
        <f t="array" ref="H12">CreateTaskID($H$2,$H:$H,Tasks!$B$17,$E12)</f>
        <v>0</v>
      </c>
    </row>
    <row r="13" spans="1:8" x14ac:dyDescent="0.25">
      <c r="A13" s="16" t="str" cm="1">
        <f t="array" aca="1" ref="A13" ca="1">IF($G13="","",INDEX('Damage Scenarios'!A:A,$G13))</f>
        <v/>
      </c>
      <c r="B13" s="16" t="str" cm="1">
        <f t="array" aca="1" ref="B13" ca="1">IF($G13="","",INDEX('Damage Scenarios'!J:J,$G13))</f>
        <v/>
      </c>
      <c r="C13" s="16" t="str" cm="1">
        <f t="array" aca="1" ref="C13" ca="1">IF($G13="","",INDEX('Damage Scenarios'!M:M,$G13))</f>
        <v/>
      </c>
      <c r="D13" s="16" t="str" cm="1">
        <f t="array" aca="1" ref="D13" ca="1">IF($G13="","",INDEX('Damage Scenarios'!$O:$O,$G13))</f>
        <v/>
      </c>
      <c r="E13" s="13"/>
      <c r="F13" s="10" cm="1">
        <f t="array" aca="1" ref="F13" ca="1">IF(ROW()=ROW($F$2)+1,0,INDEX($F:$F,ROW()-1))+IF($A13="",0,1)</f>
        <v>0</v>
      </c>
      <c r="G13" s="24" t="str">
        <f ca="1">IFERROR(MATCH(ROW()-ROW($G$2),'Damage Scenarios'!$S:$S,0),"")</f>
        <v/>
      </c>
      <c r="H13" s="14" cm="1">
        <f t="array" ref="H13">CreateTaskID($H$2,$H:$H,Tasks!$B$17,$E13)</f>
        <v>0</v>
      </c>
    </row>
    <row r="14" spans="1:8" x14ac:dyDescent="0.25">
      <c r="A14" s="16" t="str" cm="1">
        <f t="array" aca="1" ref="A14" ca="1">IF($G14="","",INDEX('Damage Scenarios'!A:A,$G14))</f>
        <v/>
      </c>
      <c r="B14" s="16" t="str" cm="1">
        <f t="array" aca="1" ref="B14" ca="1">IF($G14="","",INDEX('Damage Scenarios'!J:J,$G14))</f>
        <v/>
      </c>
      <c r="C14" s="16" t="str" cm="1">
        <f t="array" aca="1" ref="C14" ca="1">IF($G14="","",INDEX('Damage Scenarios'!M:M,$G14))</f>
        <v/>
      </c>
      <c r="D14" s="16" t="str" cm="1">
        <f t="array" aca="1" ref="D14" ca="1">IF($G14="","",INDEX('Damage Scenarios'!$O:$O,$G14))</f>
        <v/>
      </c>
      <c r="E14" s="13"/>
      <c r="F14" s="10" cm="1">
        <f t="array" aca="1" ref="F14" ca="1">IF(ROW()=ROW($F$2)+1,0,INDEX($F:$F,ROW()-1))+IF($A14="",0,1)</f>
        <v>0</v>
      </c>
      <c r="G14" s="24" t="str">
        <f ca="1">IFERROR(MATCH(ROW()-ROW($G$2),'Damage Scenarios'!$S:$S,0),"")</f>
        <v/>
      </c>
      <c r="H14" s="14" cm="1">
        <f t="array" ref="H14">CreateTaskID($H$2,$H:$H,Tasks!$B$17,$E14)</f>
        <v>0</v>
      </c>
    </row>
    <row r="15" spans="1:8" x14ac:dyDescent="0.25">
      <c r="A15" s="16" t="str" cm="1">
        <f t="array" aca="1" ref="A15" ca="1">IF($G15="","",INDEX('Damage Scenarios'!A:A,$G15))</f>
        <v/>
      </c>
      <c r="B15" s="16" t="str" cm="1">
        <f t="array" aca="1" ref="B15" ca="1">IF($G15="","",INDEX('Damage Scenarios'!J:J,$G15))</f>
        <v/>
      </c>
      <c r="C15" s="16" t="str" cm="1">
        <f t="array" aca="1" ref="C15" ca="1">IF($G15="","",INDEX('Damage Scenarios'!M:M,$G15))</f>
        <v/>
      </c>
      <c r="D15" s="16" t="str" cm="1">
        <f t="array" aca="1" ref="D15" ca="1">IF($G15="","",INDEX('Damage Scenarios'!$O:$O,$G15))</f>
        <v/>
      </c>
      <c r="E15" s="13"/>
      <c r="F15" s="10" cm="1">
        <f t="array" aca="1" ref="F15" ca="1">IF(ROW()=ROW($F$2)+1,0,INDEX($F:$F,ROW()-1))+IF($A15="",0,1)</f>
        <v>0</v>
      </c>
      <c r="G15" s="24" t="str">
        <f ca="1">IFERROR(MATCH(ROW()-ROW($G$2),'Damage Scenarios'!$S:$S,0),"")</f>
        <v/>
      </c>
      <c r="H15" s="14" cm="1">
        <f t="array" ref="H15">CreateTaskID($H$2,$H:$H,Tasks!$B$17,$E15)</f>
        <v>0</v>
      </c>
    </row>
    <row r="16" spans="1:8" x14ac:dyDescent="0.25">
      <c r="A16" s="16" t="str" cm="1">
        <f t="array" aca="1" ref="A16" ca="1">IF($G16="","",INDEX('Damage Scenarios'!A:A,$G16))</f>
        <v/>
      </c>
      <c r="B16" s="16" t="str" cm="1">
        <f t="array" aca="1" ref="B16" ca="1">IF($G16="","",INDEX('Damage Scenarios'!J:J,$G16))</f>
        <v/>
      </c>
      <c r="C16" s="16" t="str" cm="1">
        <f t="array" aca="1" ref="C16" ca="1">IF($G16="","",INDEX('Damage Scenarios'!M:M,$G16))</f>
        <v/>
      </c>
      <c r="D16" s="16" t="str" cm="1">
        <f t="array" aca="1" ref="D16" ca="1">IF($G16="","",INDEX('Damage Scenarios'!$O:$O,$G16))</f>
        <v/>
      </c>
      <c r="E16" s="13"/>
      <c r="F16" s="10" cm="1">
        <f t="array" aca="1" ref="F16" ca="1">IF(ROW()=ROW($F$2)+1,0,INDEX($F:$F,ROW()-1))+IF($A16="",0,1)</f>
        <v>0</v>
      </c>
      <c r="G16" s="24" t="str">
        <f ca="1">IFERROR(MATCH(ROW()-ROW($G$2),'Damage Scenarios'!$S:$S,0),"")</f>
        <v/>
      </c>
      <c r="H16" s="14" cm="1">
        <f t="array" ref="H16">CreateTaskID($H$2,$H:$H,Tasks!$B$17,$E16)</f>
        <v>0</v>
      </c>
    </row>
    <row r="17" spans="1:8" x14ac:dyDescent="0.25">
      <c r="A17" s="16" t="str" cm="1">
        <f t="array" aca="1" ref="A17" ca="1">IF($G17="","",INDEX('Damage Scenarios'!A:A,$G17))</f>
        <v/>
      </c>
      <c r="B17" s="16" t="str" cm="1">
        <f t="array" aca="1" ref="B17" ca="1">IF($G17="","",INDEX('Damage Scenarios'!J:J,$G17))</f>
        <v/>
      </c>
      <c r="C17" s="16" t="str" cm="1">
        <f t="array" aca="1" ref="C17" ca="1">IF($G17="","",INDEX('Damage Scenarios'!M:M,$G17))</f>
        <v/>
      </c>
      <c r="D17" s="16" t="str" cm="1">
        <f t="array" aca="1" ref="D17" ca="1">IF($G17="","",INDEX('Damage Scenarios'!$O:$O,$G17))</f>
        <v/>
      </c>
      <c r="E17" s="13"/>
      <c r="F17" s="10" cm="1">
        <f t="array" aca="1" ref="F17" ca="1">IF(ROW()=ROW($F$2)+1,0,INDEX($F:$F,ROW()-1))+IF($A17="",0,1)</f>
        <v>0</v>
      </c>
      <c r="G17" s="24" t="str">
        <f ca="1">IFERROR(MATCH(ROW()-ROW($G$2),'Damage Scenarios'!$S:$S,0),"")</f>
        <v/>
      </c>
      <c r="H17" s="14" cm="1">
        <f t="array" ref="H17">CreateTaskID($H$2,$H:$H,Tasks!$B$17,$E17)</f>
        <v>0</v>
      </c>
    </row>
    <row r="18" spans="1:8" x14ac:dyDescent="0.25">
      <c r="A18" s="16" t="str" cm="1">
        <f t="array" aca="1" ref="A18" ca="1">IF($G18="","",INDEX('Damage Scenarios'!A:A,$G18))</f>
        <v/>
      </c>
      <c r="B18" s="16" t="str" cm="1">
        <f t="array" aca="1" ref="B18" ca="1">IF($G18="","",INDEX('Damage Scenarios'!J:J,$G18))</f>
        <v/>
      </c>
      <c r="C18" s="16" t="str" cm="1">
        <f t="array" aca="1" ref="C18" ca="1">IF($G18="","",INDEX('Damage Scenarios'!M:M,$G18))</f>
        <v/>
      </c>
      <c r="D18" s="16" t="str" cm="1">
        <f t="array" aca="1" ref="D18" ca="1">IF($G18="","",INDEX('Damage Scenarios'!$O:$O,$G18))</f>
        <v/>
      </c>
      <c r="E18" s="13"/>
      <c r="F18" s="10" cm="1">
        <f t="array" aca="1" ref="F18" ca="1">IF(ROW()=ROW($F$2)+1,0,INDEX($F:$F,ROW()-1))+IF($A18="",0,1)</f>
        <v>0</v>
      </c>
      <c r="G18" s="24" t="str">
        <f ca="1">IFERROR(MATCH(ROW()-ROW($G$2),'Damage Scenarios'!$S:$S,0),"")</f>
        <v/>
      </c>
      <c r="H18" s="14" cm="1">
        <f t="array" ref="H18">CreateTaskID($H$2,$H:$H,Tasks!$B$17,$E18)</f>
        <v>0</v>
      </c>
    </row>
    <row r="19" spans="1:8" x14ac:dyDescent="0.25">
      <c r="A19" s="16" t="str" cm="1">
        <f t="array" aca="1" ref="A19" ca="1">IF($G19="","",INDEX('Damage Scenarios'!A:A,$G19))</f>
        <v/>
      </c>
      <c r="B19" s="16" t="str" cm="1">
        <f t="array" aca="1" ref="B19" ca="1">IF($G19="","",INDEX('Damage Scenarios'!J:J,$G19))</f>
        <v/>
      </c>
      <c r="C19" s="16" t="str" cm="1">
        <f t="array" aca="1" ref="C19" ca="1">IF($G19="","",INDEX('Damage Scenarios'!M:M,$G19))</f>
        <v/>
      </c>
      <c r="D19" s="16" t="str" cm="1">
        <f t="array" aca="1" ref="D19" ca="1">IF($G19="","",INDEX('Damage Scenarios'!$O:$O,$G19))</f>
        <v/>
      </c>
      <c r="E19" s="13"/>
      <c r="F19" s="10" cm="1">
        <f t="array" aca="1" ref="F19" ca="1">IF(ROW()=ROW($F$2)+1,0,INDEX($F:$F,ROW()-1))+IF($A19="",0,1)</f>
        <v>0</v>
      </c>
      <c r="G19" s="24" t="str">
        <f ca="1">IFERROR(MATCH(ROW()-ROW($G$2),'Damage Scenarios'!$S:$S,0),"")</f>
        <v/>
      </c>
      <c r="H19" s="14" cm="1">
        <f t="array" ref="H19">CreateTaskID($H$2,$H:$H,Tasks!$B$17,$E19)</f>
        <v>0</v>
      </c>
    </row>
    <row r="20" spans="1:8" x14ac:dyDescent="0.25">
      <c r="A20" s="16" t="str" cm="1">
        <f t="array" aca="1" ref="A20" ca="1">IF($G20="","",INDEX('Damage Scenarios'!A:A,$G20))</f>
        <v/>
      </c>
      <c r="B20" s="16" t="str" cm="1">
        <f t="array" aca="1" ref="B20" ca="1">IF($G20="","",INDEX('Damage Scenarios'!J:J,$G20))</f>
        <v/>
      </c>
      <c r="C20" s="16" t="str" cm="1">
        <f t="array" aca="1" ref="C20" ca="1">IF($G20="","",INDEX('Damage Scenarios'!M:M,$G20))</f>
        <v/>
      </c>
      <c r="D20" s="16" t="str" cm="1">
        <f t="array" aca="1" ref="D20" ca="1">IF($G20="","",INDEX('Damage Scenarios'!$O:$O,$G20))</f>
        <v/>
      </c>
      <c r="E20" s="13"/>
      <c r="F20" s="10" cm="1">
        <f t="array" aca="1" ref="F20" ca="1">IF(ROW()=ROW($F$2)+1,0,INDEX($F:$F,ROW()-1))+IF($A20="",0,1)</f>
        <v>0</v>
      </c>
      <c r="G20" s="24" t="str">
        <f ca="1">IFERROR(MATCH(ROW()-ROW($G$2),'Damage Scenarios'!$S:$S,0),"")</f>
        <v/>
      </c>
      <c r="H20" s="14" cm="1">
        <f t="array" ref="H20">CreateTaskID($H$2,$H:$H,Tasks!$B$17,$E20)</f>
        <v>0</v>
      </c>
    </row>
  </sheetData>
  <phoneticPr fontId="4" type="noConversion"/>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CF315-27FA-4AA2-984B-11893A7618E5}">
  <sheetPr>
    <tabColor theme="3"/>
  </sheetPr>
  <dimension ref="A1:CW77"/>
  <sheetViews>
    <sheetView workbookViewId="0">
      <selection activeCell="A2" sqref="A2"/>
    </sheetView>
  </sheetViews>
  <sheetFormatPr defaultColWidth="9.140625" defaultRowHeight="15" x14ac:dyDescent="0.25"/>
  <cols>
    <col min="1" max="1" width="15.7109375" style="4" customWidth="1"/>
    <col min="2" max="3" width="60.7109375" style="4" customWidth="1"/>
    <col min="4" max="4" width="15.7109375" style="4" customWidth="1"/>
    <col min="5" max="5" width="35.7109375" style="4" customWidth="1"/>
    <col min="6" max="7" width="15.7109375" style="4" customWidth="1"/>
    <col min="8" max="8" width="15.7109375" style="4" hidden="1" customWidth="1"/>
    <col min="9" max="9" width="15.5703125" style="2" hidden="1" customWidth="1"/>
    <col min="10" max="11" width="13.140625" style="2" hidden="1" customWidth="1"/>
    <col min="12" max="12" width="29.5703125" style="2" hidden="1" customWidth="1"/>
    <col min="13" max="13" width="13.140625" style="2" hidden="1" customWidth="1"/>
    <col min="14" max="14" width="24.85546875" style="2" hidden="1" customWidth="1"/>
    <col min="15" max="15" width="20.7109375" style="2" hidden="1" customWidth="1"/>
    <col min="16" max="16" width="18.5703125" style="2" hidden="1" customWidth="1"/>
    <col min="17" max="17" width="20" style="2" hidden="1" customWidth="1"/>
    <col min="18" max="18" width="9.140625" style="2" hidden="1" customWidth="1"/>
    <col min="19" max="19" width="10.5703125" style="2" hidden="1" customWidth="1"/>
    <col min="20" max="20" width="9.140625" style="2" hidden="1" customWidth="1"/>
    <col min="21" max="21" width="24.28515625" style="2" hidden="1" customWidth="1"/>
    <col min="22" max="22" width="20.42578125" style="2" hidden="1" customWidth="1"/>
    <col min="23" max="27" width="9.140625" style="2" hidden="1" customWidth="1"/>
    <col min="28" max="32" width="10.7109375" style="2" hidden="1" customWidth="1"/>
    <col min="33" max="34" width="9.140625" style="2" hidden="1" customWidth="1"/>
    <col min="35" max="35" width="12" style="2" hidden="1" customWidth="1"/>
    <col min="36" max="36" width="17.7109375" style="2" hidden="1" customWidth="1"/>
    <col min="37" max="37" width="27.5703125" style="2" hidden="1" customWidth="1"/>
    <col min="38" max="42" width="9.140625" style="2" hidden="1" customWidth="1"/>
    <col min="43" max="43" width="10.42578125" style="2" hidden="1" customWidth="1"/>
    <col min="44" max="45" width="10.5703125" style="2" hidden="1" customWidth="1"/>
    <col min="46" max="46" width="11.85546875" style="2" hidden="1" customWidth="1"/>
    <col min="47" max="47" width="10.85546875" style="2" hidden="1" customWidth="1"/>
    <col min="48" max="52" width="9.140625" style="2" hidden="1" customWidth="1"/>
    <col min="53" max="53" width="10.7109375" style="2" hidden="1" customWidth="1"/>
    <col min="54" max="55" width="10.85546875" style="2" hidden="1" customWidth="1"/>
    <col min="56" max="56" width="12.140625" style="2" hidden="1" customWidth="1"/>
    <col min="57" max="57" width="11.140625" style="2" hidden="1" customWidth="1"/>
    <col min="58" max="58" width="9.7109375" style="2" hidden="1" customWidth="1"/>
    <col min="59" max="59" width="19.140625" style="2" hidden="1" customWidth="1"/>
    <col min="60" max="61" width="14.85546875" style="2" hidden="1" customWidth="1"/>
    <col min="62" max="63" width="14.140625" style="2" hidden="1" customWidth="1"/>
    <col min="64" max="64" width="38.5703125" style="2" hidden="1" customWidth="1"/>
    <col min="65" max="65" width="27.85546875" style="2" hidden="1" customWidth="1"/>
    <col min="66" max="66" width="23.7109375" style="2" hidden="1" customWidth="1"/>
    <col min="67" max="67" width="27.140625" style="2" hidden="1" customWidth="1"/>
    <col min="68" max="68" width="23.28515625" style="2" hidden="1" customWidth="1"/>
    <col min="69" max="69" width="8.140625" style="2" hidden="1" customWidth="1"/>
    <col min="70" max="71" width="8.28515625" style="2" hidden="1" customWidth="1"/>
    <col min="72" max="72" width="9.5703125" style="2" hidden="1" customWidth="1"/>
    <col min="73" max="73" width="8.5703125" style="2" hidden="1" customWidth="1"/>
    <col min="74" max="74" width="11.42578125" style="2" hidden="1" customWidth="1"/>
    <col min="75" max="76" width="11.5703125" style="2" hidden="1" customWidth="1"/>
    <col min="77" max="77" width="12.85546875" style="2" hidden="1" customWidth="1"/>
    <col min="78" max="78" width="11.85546875" style="2" hidden="1" customWidth="1"/>
    <col min="79" max="83" width="9.140625" style="2" hidden="1" customWidth="1"/>
    <col min="84" max="84" width="10.28515625" style="2" hidden="1" customWidth="1"/>
    <col min="85" max="86" width="10.42578125" style="2" hidden="1" customWidth="1"/>
    <col min="87" max="87" width="11.7109375" style="2" hidden="1" customWidth="1"/>
    <col min="88" max="88" width="10.7109375" style="2" hidden="1" customWidth="1"/>
    <col min="89" max="89" width="9.28515625" style="2" hidden="1" customWidth="1"/>
    <col min="90" max="90" width="18.7109375" style="2" hidden="1" customWidth="1"/>
    <col min="91" max="91" width="14.42578125" style="2" hidden="1" customWidth="1"/>
    <col min="92" max="92" width="8.5703125" style="2" hidden="1" customWidth="1"/>
    <col min="93" max="93" width="13.7109375" style="2" hidden="1" customWidth="1"/>
    <col min="94" max="94" width="14.140625" style="2" hidden="1" customWidth="1"/>
    <col min="95" max="95" width="14.5703125" style="2" hidden="1" customWidth="1"/>
    <col min="96" max="97" width="24.28515625" style="2" hidden="1" customWidth="1"/>
    <col min="98" max="98" width="21.140625" style="2" hidden="1" customWidth="1"/>
    <col min="99" max="99" width="19" style="2" hidden="1" customWidth="1"/>
    <col min="100" max="100" width="9.140625" style="2" customWidth="1"/>
    <col min="101" max="101" width="40.7109375" style="2" customWidth="1"/>
    <col min="102" max="102" width="9.140625" style="2" customWidth="1"/>
    <col min="103" max="16384" width="9.140625" style="2"/>
  </cols>
  <sheetData>
    <row r="1" spans="1:101" s="115" customFormat="1" x14ac:dyDescent="0.25">
      <c r="A1" s="114"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HYPERLINK("#'"&amp;Helper!$G$2&amp;"'!"&amp;CHAR(CODE("A")+COLUMN(_xlpm._columnNameHeader)-1)&amp;_xlpm._entryOffset,Definitions!$AY$4)))(Helper!$G$12,A$2,README!$E:$E,README!$I$36,README!$B$36)</f>
        <v>◈</v>
      </c>
      <c r="B1" s="114"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HYPERLINK("#'"&amp;Helper!$G$2&amp;"'!"&amp;CHAR(CODE("A")+COLUMN(_xlpm._columnNameHeader)-1)&amp;_xlpm._entryOffset,Definitions!$AY$4)))(Helper!$G$12,B$2,README!$E:$E,README!$I$36,README!$B$36)</f>
        <v>◈</v>
      </c>
      <c r="C1" s="114"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HYPERLINK("#'"&amp;Helper!$G$2&amp;"'!"&amp;CHAR(CODE("A")+COLUMN(_xlpm._columnNameHeader)-1)&amp;_xlpm._entryOffset,Definitions!$AY$4)))(Helper!$G$12,C$2,README!$E:$E,README!$I$36,README!$B$36)</f>
        <v>◈</v>
      </c>
      <c r="D1" s="114"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HYPERLINK("#'"&amp;Helper!$G$2&amp;"'!"&amp;CHAR(CODE("A")+COLUMN(_xlpm._columnNameHeader)-1)&amp;_xlpm._entryOffset,Definitions!$AY$4)))(Helper!$G$12,D$2,README!$E:$E,README!$I$36,README!$B$36)</f>
        <v>◈</v>
      </c>
      <c r="E1" s="114"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HYPERLINK("#'"&amp;Helper!$G$2&amp;"'!"&amp;CHAR(CODE("A")+COLUMN(_xlpm._columnNameHeader)-1)&amp;_xlpm._entryOffset,Definitions!$AY$4)))(Helper!$G$12,E$2,README!$E:$E,README!$I$36,README!$B$36)</f>
        <v>◈</v>
      </c>
      <c r="F1" s="114"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HYPERLINK("#'"&amp;Helper!$G$2&amp;"'!"&amp;CHAR(CODE("A")+COLUMN(_xlpm._columnNameHeader)-1)&amp;_xlpm._entryOffset,Definitions!$AY$4)))(Helper!$G$12,F$2,README!$E:$E,README!$I$36,README!$B$36)</f>
        <v>◈</v>
      </c>
      <c r="G1" s="114"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HYPERLINK("#'"&amp;Helper!$G$2&amp;"'!"&amp;CHAR(CODE("A")+COLUMN(_xlpm._columnNameHeader)-1)&amp;_xlpm._entryOffset,Definitions!$AY$4)))(Helper!$G$12,G$2,README!$E:$E,README!$I$36,README!$B$36)</f>
        <v>◈</v>
      </c>
      <c r="H1" s="114"/>
    </row>
    <row r="2" spans="1:101" x14ac:dyDescent="0.25">
      <c r="A2" s="16" t="s">
        <v>176</v>
      </c>
      <c r="B2" s="16" t="s">
        <v>105</v>
      </c>
      <c r="C2" s="16" t="s">
        <v>157</v>
      </c>
      <c r="D2" s="16" t="s">
        <v>187</v>
      </c>
      <c r="E2" s="16" t="s">
        <v>575</v>
      </c>
      <c r="F2" s="16" t="s">
        <v>188</v>
      </c>
      <c r="G2" s="16" t="s">
        <v>189</v>
      </c>
      <c r="H2" s="13" t="s">
        <v>54</v>
      </c>
      <c r="I2" s="10" t="s">
        <v>177</v>
      </c>
      <c r="J2" s="10" t="s">
        <v>179</v>
      </c>
      <c r="K2" s="10" t="s">
        <v>183</v>
      </c>
      <c r="L2" s="10" t="s">
        <v>208</v>
      </c>
      <c r="M2" s="10" t="s">
        <v>184</v>
      </c>
      <c r="N2" s="10" t="s">
        <v>427</v>
      </c>
      <c r="O2" s="10" t="s">
        <v>426</v>
      </c>
      <c r="P2" s="10" t="s">
        <v>180</v>
      </c>
      <c r="Q2" s="10" t="s">
        <v>181</v>
      </c>
      <c r="R2" s="10" t="s">
        <v>178</v>
      </c>
      <c r="S2" s="10" t="s">
        <v>182</v>
      </c>
      <c r="T2" s="10" t="s">
        <v>190</v>
      </c>
      <c r="U2" s="10" t="s">
        <v>428</v>
      </c>
      <c r="V2" s="10" t="s">
        <v>429</v>
      </c>
      <c r="W2" s="10" t="s">
        <v>44</v>
      </c>
      <c r="X2" s="10" t="s">
        <v>45</v>
      </c>
      <c r="Y2" s="10" t="s">
        <v>46</v>
      </c>
      <c r="Z2" s="10" t="s">
        <v>47</v>
      </c>
      <c r="AA2" s="10" t="s">
        <v>48</v>
      </c>
      <c r="AB2" s="10" t="s">
        <v>209</v>
      </c>
      <c r="AC2" s="10" t="s">
        <v>210</v>
      </c>
      <c r="AD2" s="10" t="s">
        <v>211</v>
      </c>
      <c r="AE2" s="10" t="s">
        <v>212</v>
      </c>
      <c r="AF2" s="10" t="s">
        <v>213</v>
      </c>
      <c r="AG2" s="10" t="s">
        <v>78</v>
      </c>
      <c r="AH2" s="10" t="s">
        <v>264</v>
      </c>
      <c r="AI2" s="10" t="s">
        <v>288</v>
      </c>
      <c r="AJ2" s="10" t="s">
        <v>289</v>
      </c>
      <c r="AK2" s="10" t="s">
        <v>301</v>
      </c>
      <c r="AL2" s="10" t="s">
        <v>291</v>
      </c>
      <c r="AM2" s="10" t="s">
        <v>292</v>
      </c>
      <c r="AN2" s="10" t="s">
        <v>293</v>
      </c>
      <c r="AO2" s="10" t="s">
        <v>294</v>
      </c>
      <c r="AP2" s="10" t="s">
        <v>295</v>
      </c>
      <c r="AQ2" s="10" t="s">
        <v>296</v>
      </c>
      <c r="AR2" s="10" t="s">
        <v>297</v>
      </c>
      <c r="AS2" s="10" t="s">
        <v>298</v>
      </c>
      <c r="AT2" s="10" t="s">
        <v>299</v>
      </c>
      <c r="AU2" s="10" t="s">
        <v>300</v>
      </c>
      <c r="AV2" s="10" t="s">
        <v>304</v>
      </c>
      <c r="AW2" s="10" t="s">
        <v>305</v>
      </c>
      <c r="AX2" s="10" t="s">
        <v>306</v>
      </c>
      <c r="AY2" s="10" t="s">
        <v>307</v>
      </c>
      <c r="AZ2" s="10" t="s">
        <v>308</v>
      </c>
      <c r="BA2" s="10" t="s">
        <v>309</v>
      </c>
      <c r="BB2" s="10" t="s">
        <v>310</v>
      </c>
      <c r="BC2" s="10" t="s">
        <v>311</v>
      </c>
      <c r="BD2" s="10" t="s">
        <v>312</v>
      </c>
      <c r="BE2" s="10" t="s">
        <v>313</v>
      </c>
      <c r="BF2" s="10" t="s">
        <v>314</v>
      </c>
      <c r="BG2" s="10" t="s">
        <v>1283</v>
      </c>
      <c r="BH2" s="10" t="s">
        <v>1285</v>
      </c>
      <c r="BI2" s="10" t="s">
        <v>315</v>
      </c>
      <c r="BJ2" s="10" t="s">
        <v>316</v>
      </c>
      <c r="BK2" s="10" t="s">
        <v>318</v>
      </c>
      <c r="BL2" s="10" t="s">
        <v>1455</v>
      </c>
      <c r="BM2" s="10" t="s">
        <v>1470</v>
      </c>
      <c r="BN2" s="10" t="s">
        <v>1471</v>
      </c>
      <c r="BO2" s="10" t="s">
        <v>1468</v>
      </c>
      <c r="BP2" s="10" t="s">
        <v>1469</v>
      </c>
      <c r="BQ2" s="10" t="s">
        <v>1456</v>
      </c>
      <c r="BR2" s="10" t="s">
        <v>1457</v>
      </c>
      <c r="BS2" s="10" t="s">
        <v>1458</v>
      </c>
      <c r="BT2" s="10" t="s">
        <v>1459</v>
      </c>
      <c r="BU2" s="10" t="s">
        <v>1460</v>
      </c>
      <c r="BV2" s="10" t="s">
        <v>1461</v>
      </c>
      <c r="BW2" s="10" t="s">
        <v>1462</v>
      </c>
      <c r="BX2" s="10" t="s">
        <v>1463</v>
      </c>
      <c r="BY2" s="10" t="s">
        <v>1464</v>
      </c>
      <c r="BZ2" s="10" t="s">
        <v>1465</v>
      </c>
      <c r="CA2" s="10" t="s">
        <v>1439</v>
      </c>
      <c r="CB2" s="10" t="s">
        <v>1440</v>
      </c>
      <c r="CC2" s="10" t="s">
        <v>1441</v>
      </c>
      <c r="CD2" s="10" t="s">
        <v>1442</v>
      </c>
      <c r="CE2" s="10" t="s">
        <v>1443</v>
      </c>
      <c r="CF2" s="10" t="s">
        <v>1444</v>
      </c>
      <c r="CG2" s="10" t="s">
        <v>1445</v>
      </c>
      <c r="CH2" s="10" t="s">
        <v>1446</v>
      </c>
      <c r="CI2" s="10" t="s">
        <v>1447</v>
      </c>
      <c r="CJ2" s="10" t="s">
        <v>1448</v>
      </c>
      <c r="CK2" s="10" t="s">
        <v>1449</v>
      </c>
      <c r="CL2" s="10" t="s">
        <v>1450</v>
      </c>
      <c r="CM2" s="10" t="s">
        <v>1451</v>
      </c>
      <c r="CN2" s="10" t="s">
        <v>1452</v>
      </c>
      <c r="CO2" s="10" t="s">
        <v>1453</v>
      </c>
      <c r="CP2" s="10" t="s">
        <v>1454</v>
      </c>
      <c r="CQ2" s="10" t="s">
        <v>615</v>
      </c>
      <c r="CR2" s="10" t="s">
        <v>617</v>
      </c>
      <c r="CS2" s="10" t="s">
        <v>618</v>
      </c>
      <c r="CT2" s="10" t="s">
        <v>1322</v>
      </c>
      <c r="CU2" s="10" t="s">
        <v>1323</v>
      </c>
      <c r="CW2" s="53" t="str">
        <f>IF(MAX($CV:$CV)=0,"","Please enlarge the table to calculate all risks!")</f>
        <v/>
      </c>
    </row>
    <row r="3" spans="1:101" x14ac:dyDescent="0.25">
      <c r="A3" s="16" t="str" cm="1">
        <f t="array" aca="1" ref="A3" ca="1">IF($B3="","","R"&amp;RemoveDelimiter(SUBSTITUTE(SUBSTITUTE($K3,"AS",""),",","-"),"-"))</f>
        <v/>
      </c>
      <c r="B3" s="16" t="str" cm="1">
        <f t="array" aca="1" ref="B3" ca="1">IF($L3="","",_xlfn.LET(
_xlpm._finalAttackStep,$L3,
_xlpm._prepAttacks,RemoveFirstElement(_xlpm._finalAttackStep&amp;","&amp;$K3),
_xlpm._prepAttackNames,IFERROR(LookupNames(_xlpm._prepAttacks,'Attack Steps'!$A:$B),""),
_xlpm._delimiter,REPT(CHAR(150),55),
$L3&amp;" "&amp;SimpleLookup($L3,'Attack Steps'!$A:$B)&amp;
IF(_xlpm._prepAttackNames="","",CHAR(10)&amp;_xlpm._delimiter&amp;CHAR(10)&amp;_xlpm._prepAttackNames)))</f>
        <v/>
      </c>
      <c r="C3" s="19" t="str" cm="1">
        <f t="array" aca="1" ref="C3" ca="1">IFERROR(LookupNames($M3,'Damage Scenarios'!$A:$V),"")</f>
        <v/>
      </c>
      <c r="D3" s="16" t="str">
        <f ca="1">IFERROR(IF($T3=0,"",INDEX(Definitions!$Q:$Q,MATCH($T3,Definitions!$R:$R,0))),"")</f>
        <v/>
      </c>
      <c r="E3" s="19" t="str" cm="1">
        <f t="array" aca="1" ref="E3" ca="1">IF($A3="","",_xlfn.LET(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_xlpm._factorFunction($A3,$A:W,Definitions!$Y:$Y,Definitions!$AB:$AB,1)&amp;CHAR(10)&amp;
_xlpm._factorFunction($A3,$A:X,Definitions!$Y:$Y,Definitions!$AB:$AB,2)&amp;CHAR(10)&amp;
_xlpm._factorFunction($A3,$A:Y,Definitions!$Y:$Y,Definitions!$AB:$AB,3)&amp;CHAR(10)&amp;
_xlpm._factorFunction($A3,$A:Z,Definitions!$Y:$Y,Definitions!$AB:$AB,4)&amp;CHAR(10)&amp;
_xlpm._factorFunction($A3,$A:AA,Definitions!$Y:$Y,Definitions!$AB:$AB,5)))</f>
        <v/>
      </c>
      <c r="F3" s="16" t="str">
        <f ca="1">IF($A3="","",IFERROR(VLOOKUP($AG3,Definitions!$V:$W,COLUMNS(Definitions!$V:$W),TRUE),""))</f>
        <v/>
      </c>
      <c r="G3" s="16" t="str">
        <f ca="1">IFERROR(IF(OR($D3="",$F3=""),
"",
VLOOKUP($D3,Definitions!$AH:$AM,MATCH($F3,Definitions!$AH$3:$AM$3,0),FALSE)),
"")</f>
        <v/>
      </c>
      <c r="H3" s="13" cm="1">
        <f t="array" aca="1" ref="H3" ca="1">IF(ROW()=ROW($H$2)+1,0,INDEX($H:$H,ROW()-1))+IF($A3="",0,1)</f>
        <v>0</v>
      </c>
      <c r="I3" s="10" cm="1">
        <f t="array" ref="I3">IF(ROW()=ROW($I$2)+1,
1,
INDEX($I:$I,ROW()-1)+IF(INDEX($S:$S,ROW()-1),1,0))</f>
        <v>1</v>
      </c>
      <c r="J3" s="10">
        <f t="shared" ref="J3:J34" ca="1" si="0">COUNTIF(OFFSET($I$2,1,0,ROW()-ROW($I$2),1),$I3)</f>
        <v>1</v>
      </c>
      <c r="K3" s="10" t="str">
        <f ca="1">IF($Q3="","",_xlfn.LET(
_xlpm._aps,$Q3,
_xlpm._firstPos,FIND("$",SUBSTITUTE(_xlpm._aps,"§","$",$J3))+1,
_xlpm._lastPos,FIND("$",SUBSTITUTE(_xlpm._aps,"§","$",$J3+1)),
MID(_xlpm._aps,_xlpm._firstPos,_xlpm._lastPos-_xlpm._firstPos)))</f>
        <v/>
      </c>
      <c r="L3" s="10" t="str" cm="1">
        <f t="array" aca="1" ref="L3" ca="1">IF($P3="","",INDEX('Attack Steps'!$A:$A,$P3))</f>
        <v/>
      </c>
      <c r="M3" s="10" t="str" cm="1">
        <f t="array" aca="1" ref="M3" ca="1">IF($P3="","",INDEX('Attack Steps'!$T:$T,$P3))</f>
        <v/>
      </c>
      <c r="N3" s="10" t="str" cm="1">
        <f t="array" aca="1" ref="N3" ca="1">_xlfn.LET(_xlpm._dm,SanitizeInput(GetValuesWithFallback(SanitizeInput($AK3),Assumptions!$A:$I,Countermeasures!$A:$I,"",",",FALSE)),
IF(_xlpm._dm="","",","&amp;_xlpm._dm))</f>
        <v/>
      </c>
      <c r="O3" s="10" t="str" cm="1">
        <f t="array" aca="1" ref="O3" ca="1">ApplyDamageMitigation($M3,$N3,"")</f>
        <v/>
      </c>
      <c r="P3" s="10" t="str">
        <f ca="1">IFERROR(MATCH($I3,'Attack Steps'!$V:$V,0),"")</f>
        <v/>
      </c>
      <c r="Q3" s="10" t="str" cm="1">
        <f t="array" aca="1" ref="Q3" ca="1">IF($P3="","","§"&amp;INDEX('Attack Steps'!$S:$S,$P3))</f>
        <v/>
      </c>
      <c r="R3" s="21" t="str" cm="1">
        <f t="array" aca="1" ref="R3" ca="1">IF($P3="","",INDEX('Attack Steps'!$W:$W,$P3))</f>
        <v/>
      </c>
      <c r="S3" s="21" t="b">
        <f t="shared" ref="S3:S4" ca="1" si="1">$J3=$R3</f>
        <v>0</v>
      </c>
      <c r="T3" s="21" cm="1">
        <f t="array" aca="1" ref="T3" ca="1">_xlfn.LAMBDA(_xlpm._in,_xlpm._val,_xlpm._range,
IF(_xlpm._in="",_xlpm._val,_xlfn.LET(
_xlpm._id,LEFT(_xlpm._in,FIND(",",_xlpm._in)-1),
CalculateMaxFromList(RemoveFirstElement(_xlpm._in),MAX(_xlpm._val,VLOOKUP(_xlpm._id,_xlpm._range,COLUMNS(_xlpm._range),FALSE)),_xlpm._range))))($M3,0,'Damage Scenarios'!$A:$U)</f>
        <v>0</v>
      </c>
      <c r="U3" s="21" cm="1">
        <f t="array" aca="1" ref="U3" ca="1">CalculateMaxFromList($O3,0,'Damage Scenarios'!$A:$U)</f>
        <v>0</v>
      </c>
      <c r="V3" s="21" t="str">
        <f ca="1">IF($U3=0,"",INDEX(Definitions!$Q:$Q,MATCH($U3,Definitions!$R:$R,0)))</f>
        <v/>
      </c>
      <c r="W3" s="21" t="str" cm="1">
        <f t="array" aca="1" ref="W3" ca="1">CalculateMaxAndElements($K3,0,"",'Attack Steps'!$A:X)</f>
        <v>0:</v>
      </c>
      <c r="X3" s="21" t="str" cm="1">
        <f t="array" aca="1" ref="X3" ca="1">CalculateMaxAndElements($K3,0,"",'Attack Steps'!$A:Y)</f>
        <v>0:</v>
      </c>
      <c r="Y3" s="21" t="str" cm="1">
        <f t="array" aca="1" ref="Y3" ca="1">CalculateMaxAndElements($K3,0,"",'Attack Steps'!$A:Z)</f>
        <v>0:</v>
      </c>
      <c r="Z3" s="21" t="str" cm="1">
        <f t="array" aca="1" ref="Z3" ca="1">CalculateMaxAndElements($K3,0,"",'Attack Steps'!$A:AA)</f>
        <v>0:</v>
      </c>
      <c r="AA3" s="21" t="str" cm="1">
        <f t="array" aca="1" ref="AA3" ca="1">CalculateMaxAndElements($K3,0,"",'Attack Steps'!$A:AB)</f>
        <v>0:</v>
      </c>
      <c r="AB3" s="21">
        <f t="shared" ref="AB3:AF4" ca="1" si="2">IF(W3="","",VALUE(LEFT(W3,FIND(":",W3)-1)))</f>
        <v>0</v>
      </c>
      <c r="AC3" s="21">
        <f t="shared" ca="1" si="2"/>
        <v>0</v>
      </c>
      <c r="AD3" s="21">
        <f t="shared" ca="1" si="2"/>
        <v>0</v>
      </c>
      <c r="AE3" s="21">
        <f t="shared" ca="1" si="2"/>
        <v>0</v>
      </c>
      <c r="AF3" s="21">
        <f t="shared" ca="1" si="2"/>
        <v>0</v>
      </c>
      <c r="AG3" s="21">
        <f t="shared" ref="AG3:AG34" ca="1" si="3">SUM(OFFSET($AB3,0,0,1,COLUMNS($AB:$AF)))</f>
        <v>0</v>
      </c>
      <c r="AH3" s="21" t="str" cm="1">
        <f t="array" aca="1" ref="AH3" ca="1">IF(ROW()=ROW($AH$2)+1,"",INDEX($AH:$AH,ROW()-1))&amp;IF($A3="","",$A3&amp;",")</f>
        <v/>
      </c>
      <c r="AI3" s="21" t="str">
        <f ca="1">IF($K3="","",","&amp;$K3)</f>
        <v/>
      </c>
      <c r="AJ3" s="21" cm="1">
        <f t="array" aca="1" ref="AJ3" ca="1">IF($G3="",0,SimpleLookup($G3,Definitions!$AE:$AF))</f>
        <v>0</v>
      </c>
      <c r="AK3" s="21" t="str" cm="1">
        <f t="array" aca="1" ref="AK3" ca="1">InverseLookup($A3,Mitigation!$U$2,Mitigation!$J$2,1,Helper!$B$5,",")</f>
        <v/>
      </c>
      <c r="AL3" s="21" t="str" cm="1">
        <f t="array" aca="1" ref="AL3" ca="1">CalculateMaxAndElementsWithFallback(SanitizeInput($AK3),0,"",Countermeasures!$A:Y,Assumptions!$A:Z)</f>
        <v>0:</v>
      </c>
      <c r="AM3" s="21" t="str" cm="1">
        <f t="array" aca="1" ref="AM3" ca="1">CalculateMaxAndElementsWithFallback(SanitizeInput($AK3),0,"",Countermeasures!$A:Z,Assumptions!$A:AA)</f>
        <v>0:</v>
      </c>
      <c r="AN3" s="21" t="str" cm="1">
        <f t="array" aca="1" ref="AN3" ca="1">CalculateMaxAndElementsWithFallback(SanitizeInput($AK3),0,"",Countermeasures!$A:AA,Assumptions!$A:AB)</f>
        <v>0:</v>
      </c>
      <c r="AO3" s="21" t="str" cm="1">
        <f t="array" aca="1" ref="AO3" ca="1">CalculateMaxAndElementsWithFallback(SanitizeInput($AK3),0,"",Countermeasures!$A:AB,Assumptions!$A:AC)</f>
        <v>0:</v>
      </c>
      <c r="AP3" s="21" t="str" cm="1">
        <f t="array" aca="1" ref="AP3" ca="1">CalculateMaxAndElementsWithFallback(SanitizeInput($AK3),0,"",Countermeasures!$A:AC,Assumptions!$A:AD)</f>
        <v>0:</v>
      </c>
      <c r="AQ3" s="21">
        <f t="shared" ref="AQ3:AU4" ca="1" si="4">IF(AL3="","",VALUE(LEFT(AL3,FIND(":",AL3)-1)))</f>
        <v>0</v>
      </c>
      <c r="AR3" s="21">
        <f t="shared" ca="1" si="4"/>
        <v>0</v>
      </c>
      <c r="AS3" s="21">
        <f t="shared" ca="1" si="4"/>
        <v>0</v>
      </c>
      <c r="AT3" s="21">
        <f t="shared" ca="1" si="4"/>
        <v>0</v>
      </c>
      <c r="AU3" s="21">
        <f t="shared" ca="1" si="4"/>
        <v>0</v>
      </c>
      <c r="AV3" s="21" t="str">
        <f ca="1">IF(AB3=AQ3,W3&amp;RIGHT(AL3,LEN(AL3)-FIND(":",AL3)),
IF(AB3&gt;AQ3,W3,AL3))</f>
        <v>0:</v>
      </c>
      <c r="AW3" s="21" t="str">
        <f t="shared" ref="AW3:AW4" ca="1" si="5">IF(AC3=AR3,X3&amp;RIGHT(AM3,LEN(AM3)-FIND(":",AM3)),
IF(AC3&gt;AR3,X3,AM3))</f>
        <v>0:</v>
      </c>
      <c r="AX3" s="21" t="str">
        <f t="shared" ref="AX3:AZ4" ca="1" si="6">IF(AD3=AS3,Y3&amp;RIGHT(AN3,LEN(AN3)-FIND(":",AN3)),
IF(AD3&gt;AS3,Y3,AN3))</f>
        <v>0:</v>
      </c>
      <c r="AY3" s="21" t="str">
        <f t="shared" ca="1" si="6"/>
        <v>0:</v>
      </c>
      <c r="AZ3" s="21" t="str">
        <f t="shared" ca="1" si="6"/>
        <v>0:</v>
      </c>
      <c r="BA3" s="21">
        <f ca="1">MAX(AB3,AQ3)</f>
        <v>0</v>
      </c>
      <c r="BB3" s="21">
        <f t="shared" ref="BB3:BB4" ca="1" si="7">MAX(AC3,AR3)</f>
        <v>0</v>
      </c>
      <c r="BC3" s="21">
        <f t="shared" ref="BC3:BE4" ca="1" si="8">MAX(AD3,AS3)</f>
        <v>0</v>
      </c>
      <c r="BD3" s="21">
        <f t="shared" ca="1" si="8"/>
        <v>0</v>
      </c>
      <c r="BE3" s="21">
        <f t="shared" ca="1" si="8"/>
        <v>0</v>
      </c>
      <c r="BF3" s="21">
        <f t="shared" ref="BF3:BF34" ca="1" si="9">SUM(OFFSET($BA3,0,0,1,COLUMNS($BA:$BE)))</f>
        <v>0</v>
      </c>
      <c r="BG3" s="21" t="str">
        <f ca="1">IFERROR(VLOOKUP($BF3,Definitions!$V:$W,COLUMNS(Definitions!$V:$W),TRUE),"")</f>
        <v>Basic</v>
      </c>
      <c r="BH3" s="21" t="str">
        <f ca="1">_xlfn.LET(
_xlpm._comments,GetValues($K3,Mitigation!$A:$O,"","",FALSE),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3" s="21" t="str" cm="1">
        <f t="array" aca="1" ref="BI3" ca="1">_xlfn.LET(
_xlpm._rapRange,Definitions!$W:$W,
_xlpm._calculatedRAP,$BG3,
_xlpm._inlineRAP,$BH3,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3" s="21" t="str">
        <f ca="1">IFERROR(IF(OR($V3="",$BI3=""),
Definitions!$AE$4,
VLOOKUP($V3,Definitions!$AH:$AM,MATCH($BI3,Definitions!$AH$3:$AM$3,0),FALSE)),
"")</f>
        <v>No Risk</v>
      </c>
      <c r="BK3" s="21" cm="1">
        <f t="array" aca="1" ref="BK3" ca="1">IF($BJ3="",0,SimpleLookup($BJ3,Definitions!$AE:$AF))</f>
        <v>0</v>
      </c>
      <c r="BL3" s="21" t="str" cm="1">
        <f t="array" aca="1" ref="BL3" ca="1">IFERROR(SimpleLookup($A3,Tracing!$B:$Z),"")</f>
        <v/>
      </c>
      <c r="BM3" s="21" t="str" cm="1">
        <f t="array" aca="1" ref="BM3" ca="1">_xlfn.LET(_xlpm._dm,SanitizeInput(GetValuesWithFallback(SanitizeInput($BL3),Assumptions!$A:$I,Countermeasures!$A:$I,"",",",FALSE)),
IF(_xlpm._dm="","",","&amp;_xlpm._dm))</f>
        <v/>
      </c>
      <c r="BN3" s="21" t="str" cm="1">
        <f t="array" aca="1" ref="BN3" ca="1">ApplyDamageMitigation($M3,$BM3,"")</f>
        <v/>
      </c>
      <c r="BO3" s="21" cm="1">
        <f t="array" aca="1" ref="BO3" ca="1">CalculateMaxFromList($BN3,0,'Damage Scenarios'!$A:$U)</f>
        <v>0</v>
      </c>
      <c r="BP3" s="21" t="str">
        <f ca="1">IF($BO3=0,"",INDEX(Definitions!$Q:$Q,MATCH($BO3,Definitions!$R:$R,0)))</f>
        <v/>
      </c>
      <c r="BQ3" s="21" t="str" cm="1">
        <f t="array" aca="1" ref="BQ3" ca="1">CalculateMaxAndElementsWithFallback(SanitizeInput($BL3),0,"",Countermeasures!$A:Y,Assumptions!$A:Z)</f>
        <v>0:</v>
      </c>
      <c r="BR3" s="21" t="str" cm="1">
        <f t="array" aca="1" ref="BR3" ca="1">CalculateMaxAndElementsWithFallback(SanitizeInput($BL3),0,"",Countermeasures!$A:Z,Assumptions!$A:AA)</f>
        <v>0:</v>
      </c>
      <c r="BS3" s="21" t="str" cm="1">
        <f t="array" aca="1" ref="BS3" ca="1">CalculateMaxAndElementsWithFallback(SanitizeInput($BL3),0,"",Countermeasures!$A:AA,Assumptions!$A:AB)</f>
        <v>0:</v>
      </c>
      <c r="BT3" s="21" t="str" cm="1">
        <f t="array" aca="1" ref="BT3" ca="1">CalculateMaxAndElementsWithFallback(SanitizeInput($BL3),0,"",Countermeasures!$A:AB,Assumptions!$A:AC)</f>
        <v>0:</v>
      </c>
      <c r="BU3" s="21" t="str" cm="1">
        <f t="array" aca="1" ref="BU3" ca="1">CalculateMaxAndElementsWithFallback(SanitizeInput($BL3),0,"",Countermeasures!$A:AC,Assumptions!$A:AD)</f>
        <v>0:</v>
      </c>
      <c r="BV3" s="21">
        <f t="shared" ref="BV3" ca="1" si="10">IF(BQ3="","",VALUE(LEFT(BQ3,FIND(":",BQ3)-1)))</f>
        <v>0</v>
      </c>
      <c r="BW3" s="21">
        <f t="shared" ref="BW3" ca="1" si="11">IF(BR3="","",VALUE(LEFT(BR3,FIND(":",BR3)-1)))</f>
        <v>0</v>
      </c>
      <c r="BX3" s="21">
        <f t="shared" ref="BX3" ca="1" si="12">IF(BS3="","",VALUE(LEFT(BS3,FIND(":",BS3)-1)))</f>
        <v>0</v>
      </c>
      <c r="BY3" s="21">
        <f t="shared" ref="BY3" ca="1" si="13">IF(BT3="","",VALUE(LEFT(BT3,FIND(":",BT3)-1)))</f>
        <v>0</v>
      </c>
      <c r="BZ3" s="21">
        <f t="shared" ref="BZ3" ca="1" si="14">IF(BU3="","",VALUE(LEFT(BU3,FIND(":",BU3)-1)))</f>
        <v>0</v>
      </c>
      <c r="CA3" s="21" t="str">
        <f ca="1">IF(AB3=BV3,W3&amp;RIGHT(BQ3,LEN(BQ3)-FIND(":",BQ3)),
IF(AB3&gt;BV3,W3,BQ3))</f>
        <v>0:</v>
      </c>
      <c r="CB3" s="21" t="str">
        <f t="shared" ref="CB3" ca="1" si="15">IF(AC3=BW3,X3&amp;RIGHT(BR3,LEN(BR3)-FIND(":",BR3)),
IF(AC3&gt;BW3,X3,BR3))</f>
        <v>0:</v>
      </c>
      <c r="CC3" s="21" t="str">
        <f t="shared" ref="CC3" ca="1" si="16">IF(AD3=BX3,Y3&amp;RIGHT(BS3,LEN(BS3)-FIND(":",BS3)),
IF(AD3&gt;BX3,Y3,BS3))</f>
        <v>0:</v>
      </c>
      <c r="CD3" s="21" t="str">
        <f t="shared" ref="CD3" ca="1" si="17">IF(AE3=BY3,Z3&amp;RIGHT(BT3,LEN(BT3)-FIND(":",BT3)),
IF(AE3&gt;BY3,Z3,BT3))</f>
        <v>0:</v>
      </c>
      <c r="CE3" s="21" t="str">
        <f t="shared" ref="CE3" ca="1" si="18">IF(AF3=BZ3,AA3&amp;RIGHT(BU3,LEN(BU3)-FIND(":",BU3)),
IF(AF3&gt;BZ3,AA3,BU3))</f>
        <v>0:</v>
      </c>
      <c r="CF3" s="21">
        <f ca="1">MAX(AB3,BV3)</f>
        <v>0</v>
      </c>
      <c r="CG3" s="21">
        <f t="shared" ref="CG3" ca="1" si="19">MAX(AC3,BW3)</f>
        <v>0</v>
      </c>
      <c r="CH3" s="21">
        <f t="shared" ref="CH3" ca="1" si="20">MAX(AD3,BX3)</f>
        <v>0</v>
      </c>
      <c r="CI3" s="21">
        <f t="shared" ref="CI3" ca="1" si="21">MAX(AE3,BY3)</f>
        <v>0</v>
      </c>
      <c r="CJ3" s="21">
        <f t="shared" ref="CJ3" ca="1" si="22">MAX(AF3,BZ3)</f>
        <v>0</v>
      </c>
      <c r="CK3" s="21">
        <f t="shared" ref="CK3:CK34" ca="1" si="23">SUM(OFFSET($CF3,0,0,1,COLUMNS($CF:$CJ)))</f>
        <v>0</v>
      </c>
      <c r="CL3" s="21" t="str">
        <f ca="1">IFERROR(VLOOKUP($CK3,Definitions!$V:$W,COLUMNS(Definitions!$V:$W),TRUE),"")</f>
        <v>Basic</v>
      </c>
      <c r="CM3" s="21" t="str">
        <f ca="1">_xlfn.LET(
_xlpm._comments,SimpleLookup($A3,Tracing!$B:$AB),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3" s="21" t="str" cm="1">
        <f t="array" aca="1" ref="CN3" ca="1">_xlfn.LET(
_xlpm._rapRange,Definitions!$W:$W,
_xlpm._calculatedRAP,$CL3,
_xlpm._inlineRAP,$CM3,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3" s="21" t="str">
        <f ca="1">IFERROR(IF(OR($BP3="",$CN3=""),
Definitions!$AE$4,
VLOOKUP($BP3,Definitions!$AH:$AM,MATCH($CN3,Definitions!$AH$3:$AM$3,0),FALSE)),
"")</f>
        <v>No Risk</v>
      </c>
      <c r="CP3" s="21" cm="1">
        <f t="array" aca="1" ref="CP3" ca="1">IF($CO3="",0,SimpleLookup($CO3,Definitions!$AE:$AF))</f>
        <v>0</v>
      </c>
      <c r="CQ3" s="21" t="b">
        <f ca="1">OR(AND($S3,$I3=Helper!$B$7),$I3&gt;Helper!$B$7)</f>
        <v>1</v>
      </c>
      <c r="CR3" s="21" t="str">
        <f t="shared" ref="CR3:CR34" ca="1" si="24">IF(NOT(OR($CQ3,AND(NOT($CQ3),OFFSET($CQ3,1,0)&lt;&gt;""))),"Please enlarge the table!","")</f>
        <v/>
      </c>
      <c r="CS3" s="21" cm="1">
        <f t="array" aca="1" ref="CS3" ca="1">CreateID($CS$2,$CV:$CV,$CR3&lt;&gt;"")</f>
        <v>0</v>
      </c>
      <c r="CT3" s="21" t="str">
        <f ca="1">IF(IFERROR(MATCH(","&amp;A3&amp;",",'Risk Treatment'!$AT:$AT,0)&gt;0,FALSE),"",$A3)</f>
        <v/>
      </c>
      <c r="CU3" s="21" cm="1">
        <f t="array" aca="1" ref="CU3" ca="1">CreateID($CU$2,$CU:$CU,$CT3&lt;&gt;"")</f>
        <v>0</v>
      </c>
    </row>
    <row r="4" spans="1:101" x14ac:dyDescent="0.25">
      <c r="A4" s="16" t="str" cm="1">
        <f t="array" aca="1" ref="A4" ca="1">IF($B4="","","R"&amp;RemoveDelimiter(SUBSTITUTE(SUBSTITUTE($K4,"AS",""),",","-"),"-"))</f>
        <v/>
      </c>
      <c r="B4" s="16" t="str" cm="1">
        <f t="array" aca="1" ref="B4" ca="1">IF($L4="","",_xlfn.LET(
_xlpm._finalAttackStep,$L4,
_xlpm._prepAttacks,RemoveFirstElement(_xlpm._finalAttackStep&amp;","&amp;$K4),
_xlpm._prepAttackNames,IFERROR(LookupNames(_xlpm._prepAttacks,'Attack Steps'!$A:$B),""),
_xlpm._delimiter,REPT(CHAR(150),55),
$L4&amp;" "&amp;SimpleLookup($L4,'Attack Steps'!$A:$B)&amp;
IF(_xlpm._prepAttackNames="","",CHAR(10)&amp;_xlpm._delimiter&amp;CHAR(10)&amp;_xlpm._prepAttackNames)))</f>
        <v/>
      </c>
      <c r="C4" s="19" t="str" cm="1">
        <f t="array" aca="1" ref="C4" ca="1">IFERROR(LookupNames($M4,'Damage Scenarios'!$A:$V),"")</f>
        <v/>
      </c>
      <c r="D4" s="16" t="str">
        <f ca="1">IFERROR(IF($T4=0,"",INDEX(Definitions!$Q:$Q,MATCH($T4,Definitions!$R:$R,0))),"")</f>
        <v/>
      </c>
      <c r="E4" s="19" t="str" cm="1">
        <f t="array" aca="1" ref="E4" ca="1">IF($A4="","",_xlfn.LET(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_xlpm._factorFunction($A4,$A:W,Definitions!$Y:$Y,Definitions!$AB:$AB,1)&amp;CHAR(10)&amp;
_xlpm._factorFunction($A4,$A:X,Definitions!$Y:$Y,Definitions!$AB:$AB,2)&amp;CHAR(10)&amp;
_xlpm._factorFunction($A4,$A:Y,Definitions!$Y:$Y,Definitions!$AB:$AB,3)&amp;CHAR(10)&amp;
_xlpm._factorFunction($A4,$A:Z,Definitions!$Y:$Y,Definitions!$AB:$AB,4)&amp;CHAR(10)&amp;
_xlpm._factorFunction($A4,$A:AA,Definitions!$Y:$Y,Definitions!$AB:$AB,5)))</f>
        <v/>
      </c>
      <c r="F4" s="16" t="str">
        <f ca="1">IF($A4="","",IFERROR(VLOOKUP($AG4,Definitions!$V:$W,COLUMNS(Definitions!$V:$W),TRUE),""))</f>
        <v/>
      </c>
      <c r="G4" s="16" t="str">
        <f ca="1">IFERROR(IF(OR($D4="",$F4=""),
"",
VLOOKUP($D4,Definitions!$AH:$AM,MATCH($F4,Definitions!$AH$3:$AM$3,0),FALSE)),
"")</f>
        <v/>
      </c>
      <c r="H4" s="13" cm="1">
        <f t="array" aca="1" ref="H4" ca="1">IF(ROW()=ROW($H$2)+1,0,INDEX($H:$H,ROW()-1))+IF($A4="",0,1)</f>
        <v>0</v>
      </c>
      <c r="I4" s="10" cm="1">
        <f t="array" aca="1" ref="I4" ca="1">IF(ROW()=ROW($I$2)+1,
1,
INDEX($I:$I,ROW()-1)+IF(INDEX($S:$S,ROW()-1),1,0))</f>
        <v>1</v>
      </c>
      <c r="J4" s="10">
        <f t="shared" ca="1" si="0"/>
        <v>2</v>
      </c>
      <c r="K4" s="10" t="str">
        <f ca="1">IF($Q4="","",_xlfn.LET(
_xlpm._aps,$Q4,
_xlpm._firstPos,FIND("$",SUBSTITUTE(_xlpm._aps,"§","$",$J4))+1,
_xlpm._lastPos,FIND("$",SUBSTITUTE(_xlpm._aps,"§","$",$J4+1)),
MID(_xlpm._aps,_xlpm._firstPos,_xlpm._lastPos-_xlpm._firstPos)))</f>
        <v/>
      </c>
      <c r="L4" s="10" t="str" cm="1">
        <f t="array" aca="1" ref="L4" ca="1">IF($P4="","",INDEX('Attack Steps'!$A:$A,$P4))</f>
        <v/>
      </c>
      <c r="M4" s="22" t="str" cm="1">
        <f t="array" aca="1" ref="M4" ca="1">IF($P4="","",INDEX('Attack Steps'!$T:$T,$P4))</f>
        <v/>
      </c>
      <c r="N4" s="22" t="str" cm="1">
        <f t="array" aca="1" ref="N4" ca="1">_xlfn.LET(_xlpm._dm,SanitizeInput(GetValuesWithFallback(SanitizeInput($AK4),Assumptions!$A:$I,Countermeasures!$A:$I,"",",",FALSE)),
IF(_xlpm._dm="","",","&amp;_xlpm._dm))</f>
        <v/>
      </c>
      <c r="O4" s="22" t="str" cm="1">
        <f t="array" aca="1" ref="O4" ca="1">ApplyDamageMitigation($M4,$N4,"")</f>
        <v/>
      </c>
      <c r="P4" s="10" t="str">
        <f ca="1">IFERROR(MATCH($I4,'Attack Steps'!$V:$V,0),"")</f>
        <v/>
      </c>
      <c r="Q4" s="10" t="str" cm="1">
        <f t="array" aca="1" ref="Q4" ca="1">IF($P4="","","§"&amp;INDEX('Attack Steps'!$S:$S,$P4))</f>
        <v/>
      </c>
      <c r="R4" s="21" t="str" cm="1">
        <f t="array" aca="1" ref="R4" ca="1">IF($P4="","",INDEX('Attack Steps'!$W:$W,$P4))</f>
        <v/>
      </c>
      <c r="S4" s="21" t="b">
        <f t="shared" ca="1" si="1"/>
        <v>0</v>
      </c>
      <c r="T4" s="21" cm="1">
        <f t="array" aca="1" ref="T4" ca="1">_xlfn.LAMBDA(_xlpm._in,_xlpm._val,_xlpm._range,
IF(_xlpm._in="",_xlpm._val,_xlfn.LET(
_xlpm._id,LEFT(_xlpm._in,FIND(",",_xlpm._in)-1),
CalculateMaxFromList(RemoveFirstElement(_xlpm._in),MAX(_xlpm._val,VLOOKUP(_xlpm._id,_xlpm._range,COLUMNS(_xlpm._range),FALSE)),_xlpm._range))))($M4,0,'Damage Scenarios'!$A:$U)</f>
        <v>0</v>
      </c>
      <c r="U4" s="21" cm="1">
        <f t="array" aca="1" ref="U4" ca="1">CalculateMaxFromList($O4,0,'Damage Scenarios'!$A:$U)</f>
        <v>0</v>
      </c>
      <c r="V4" s="21" t="str">
        <f ca="1">IF($U4=0,"",INDEX(Definitions!$Q:$Q,MATCH($U4,Definitions!$R:$R,0)))</f>
        <v/>
      </c>
      <c r="W4" s="21" t="str" cm="1">
        <f t="array" aca="1" ref="W4" ca="1">CalculateMaxAndElements($K4,0,"",'Attack Steps'!$A:X)</f>
        <v>0:</v>
      </c>
      <c r="X4" s="21" t="str" cm="1">
        <f t="array" aca="1" ref="X4" ca="1">CalculateMaxAndElements($K4,0,"",'Attack Steps'!$A:Y)</f>
        <v>0:</v>
      </c>
      <c r="Y4" s="21" t="str" cm="1">
        <f t="array" aca="1" ref="Y4" ca="1">CalculateMaxAndElements($K4,0,"",'Attack Steps'!$A:Z)</f>
        <v>0:</v>
      </c>
      <c r="Z4" s="21" t="str" cm="1">
        <f t="array" aca="1" ref="Z4" ca="1">CalculateMaxAndElements($K4,0,"",'Attack Steps'!$A:AA)</f>
        <v>0:</v>
      </c>
      <c r="AA4" s="21" t="str" cm="1">
        <f t="array" aca="1" ref="AA4" ca="1">CalculateMaxAndElements($K4,0,"",'Attack Steps'!$A:AB)</f>
        <v>0:</v>
      </c>
      <c r="AB4" s="21">
        <f t="shared" ca="1" si="2"/>
        <v>0</v>
      </c>
      <c r="AC4" s="21">
        <f t="shared" ca="1" si="2"/>
        <v>0</v>
      </c>
      <c r="AD4" s="21">
        <f t="shared" ca="1" si="2"/>
        <v>0</v>
      </c>
      <c r="AE4" s="21">
        <f t="shared" ca="1" si="2"/>
        <v>0</v>
      </c>
      <c r="AF4" s="21">
        <f t="shared" ca="1" si="2"/>
        <v>0</v>
      </c>
      <c r="AG4" s="21">
        <f t="shared" ca="1" si="3"/>
        <v>0</v>
      </c>
      <c r="AH4" s="21" t="str" cm="1">
        <f t="array" aca="1" ref="AH4" ca="1">IF(ROW()=ROW($AH$2)+1,"",INDEX($AH:$AH,ROW()-1))&amp;IF($A4="","",$A4&amp;",")</f>
        <v/>
      </c>
      <c r="AI4" s="21" t="str">
        <f ca="1">IF($K4="","",","&amp;$K4)</f>
        <v/>
      </c>
      <c r="AJ4" s="21" cm="1">
        <f t="array" aca="1" ref="AJ4" ca="1">IF($G4="",0,SimpleLookup($G4,Definitions!$AE:$AF))</f>
        <v>0</v>
      </c>
      <c r="AK4" s="21" t="str" cm="1">
        <f t="array" aca="1" ref="AK4" ca="1">InverseLookup($A4,Mitigation!$U$2,Mitigation!$J$2,1,Helper!$B$5,",")</f>
        <v/>
      </c>
      <c r="AL4" s="21" t="str" cm="1">
        <f t="array" aca="1" ref="AL4" ca="1">CalculateMaxAndElementsWithFallback(SanitizeInput($AK4),0,"",Countermeasures!$A:Y,Assumptions!$A:Z)</f>
        <v>0:</v>
      </c>
      <c r="AM4" s="21" t="str" cm="1">
        <f t="array" aca="1" ref="AM4" ca="1">CalculateMaxAndElementsWithFallback(SanitizeInput($AK4),0,"",Countermeasures!$A:Z,Assumptions!$A:AA)</f>
        <v>0:</v>
      </c>
      <c r="AN4" s="21" t="str" cm="1">
        <f t="array" aca="1" ref="AN4" ca="1">CalculateMaxAndElementsWithFallback(SanitizeInput($AK4),0,"",Countermeasures!$A:AA,Assumptions!$A:AB)</f>
        <v>0:</v>
      </c>
      <c r="AO4" s="21" t="str" cm="1">
        <f t="array" aca="1" ref="AO4" ca="1">CalculateMaxAndElementsWithFallback(SanitizeInput($AK4),0,"",Countermeasures!$A:AB,Assumptions!$A:AC)</f>
        <v>0:</v>
      </c>
      <c r="AP4" s="21" t="str" cm="1">
        <f t="array" aca="1" ref="AP4" ca="1">CalculateMaxAndElementsWithFallback(SanitizeInput($AK4),0,"",Countermeasures!$A:AC,Assumptions!$A:AD)</f>
        <v>0:</v>
      </c>
      <c r="AQ4" s="21">
        <f t="shared" ca="1" si="4"/>
        <v>0</v>
      </c>
      <c r="AR4" s="21">
        <f t="shared" ca="1" si="4"/>
        <v>0</v>
      </c>
      <c r="AS4" s="21">
        <f t="shared" ca="1" si="4"/>
        <v>0</v>
      </c>
      <c r="AT4" s="21">
        <f t="shared" ca="1" si="4"/>
        <v>0</v>
      </c>
      <c r="AU4" s="21">
        <f t="shared" ca="1" si="4"/>
        <v>0</v>
      </c>
      <c r="AV4" s="21" t="str">
        <f ca="1">IF(AB4=AQ4,W4&amp;RIGHT(AL4,LEN(AL4)-FIND(":",AL4)),
IF(AB4&gt;AQ4,W4,AL4))</f>
        <v>0:</v>
      </c>
      <c r="AW4" s="21" t="str">
        <f t="shared" ca="1" si="5"/>
        <v>0:</v>
      </c>
      <c r="AX4" s="21" t="str">
        <f t="shared" ca="1" si="6"/>
        <v>0:</v>
      </c>
      <c r="AY4" s="21" t="str">
        <f t="shared" ca="1" si="6"/>
        <v>0:</v>
      </c>
      <c r="AZ4" s="21" t="str">
        <f t="shared" ca="1" si="6"/>
        <v>0:</v>
      </c>
      <c r="BA4" s="21">
        <f ca="1">MAX(AB4,AQ4)</f>
        <v>0</v>
      </c>
      <c r="BB4" s="21">
        <f t="shared" ca="1" si="7"/>
        <v>0</v>
      </c>
      <c r="BC4" s="21">
        <f t="shared" ca="1" si="8"/>
        <v>0</v>
      </c>
      <c r="BD4" s="21">
        <f t="shared" ca="1" si="8"/>
        <v>0</v>
      </c>
      <c r="BE4" s="21">
        <f t="shared" ca="1" si="8"/>
        <v>0</v>
      </c>
      <c r="BF4" s="21">
        <f t="shared" ca="1" si="9"/>
        <v>0</v>
      </c>
      <c r="BG4" s="21" t="str">
        <f ca="1">IFERROR(VLOOKUP($BF4,Definitions!$V:$W,COLUMNS(Definitions!$V:$W),TRUE),"")</f>
        <v>Basic</v>
      </c>
      <c r="BH4" s="21" t="str">
        <f ca="1">_xlfn.LET(
_xlpm._comments,GetValues($K4,Mitigation!$A:$O,"","",FALSE),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4" s="21" t="str" cm="1">
        <f t="array" aca="1" ref="BI4" ca="1">_xlfn.LET(
_xlpm._rapRange,Definitions!$W:$W,
_xlpm._calculatedRAP,$BG4,
_xlpm._inlineRAP,$BH4,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4" s="21" t="str">
        <f ca="1">IFERROR(IF(OR($V4="",$BI4=""),
Definitions!$AE$4,
VLOOKUP($V4,Definitions!$AH:$AM,MATCH($BI4,Definitions!$AH$3:$AM$3,0),FALSE)),
"")</f>
        <v>No Risk</v>
      </c>
      <c r="BK4" s="21" cm="1">
        <f t="array" aca="1" ref="BK4" ca="1">IF($BJ4="",0,SimpleLookup($BJ4,Definitions!$AE:$AF))</f>
        <v>0</v>
      </c>
      <c r="BL4" s="21" t="str" cm="1">
        <f t="array" aca="1" ref="BL4" ca="1">IFERROR(SimpleLookup($A4,Tracing!$B:$Z),"")</f>
        <v/>
      </c>
      <c r="BM4" s="21" t="str" cm="1">
        <f t="array" aca="1" ref="BM4" ca="1">_xlfn.LET(_xlpm._dm,SanitizeInput(GetValuesWithFallback(SanitizeInput($BL4),Assumptions!$A:$I,Countermeasures!$A:$I,"",",",FALSE)),
IF(_xlpm._dm="","",","&amp;_xlpm._dm))</f>
        <v/>
      </c>
      <c r="BN4" s="21" t="str" cm="1">
        <f t="array" aca="1" ref="BN4" ca="1">ApplyDamageMitigation($M4,$BM4,"")</f>
        <v/>
      </c>
      <c r="BO4" s="21" cm="1">
        <f t="array" aca="1" ref="BO4" ca="1">CalculateMaxFromList($BN4,0,'Damage Scenarios'!$A:$U)</f>
        <v>0</v>
      </c>
      <c r="BP4" s="21" t="str">
        <f ca="1">IF($BO4=0,"",INDEX(Definitions!$Q:$Q,MATCH($BO4,Definitions!$R:$R,0)))</f>
        <v/>
      </c>
      <c r="BQ4" s="21" t="str" cm="1">
        <f t="array" aca="1" ref="BQ4" ca="1">CalculateMaxAndElementsWithFallback(SanitizeInput($BL4),0,"",Countermeasures!$A:Y,Assumptions!$A:Z)</f>
        <v>0:</v>
      </c>
      <c r="BR4" s="21" t="str" cm="1">
        <f t="array" aca="1" ref="BR4" ca="1">CalculateMaxAndElementsWithFallback(SanitizeInput($BL4),0,"",Countermeasures!$A:Z,Assumptions!$A:AA)</f>
        <v>0:</v>
      </c>
      <c r="BS4" s="21" t="str" cm="1">
        <f t="array" aca="1" ref="BS4" ca="1">CalculateMaxAndElementsWithFallback(SanitizeInput($BL4),0,"",Countermeasures!$A:AA,Assumptions!$A:AB)</f>
        <v>0:</v>
      </c>
      <c r="BT4" s="21" t="str" cm="1">
        <f t="array" aca="1" ref="BT4" ca="1">CalculateMaxAndElementsWithFallback(SanitizeInput($BL4),0,"",Countermeasures!$A:AB,Assumptions!$A:AC)</f>
        <v>0:</v>
      </c>
      <c r="BU4" s="21" t="str" cm="1">
        <f t="array" aca="1" ref="BU4" ca="1">CalculateMaxAndElementsWithFallback(SanitizeInput($BL4),0,"",Countermeasures!$A:AC,Assumptions!$A:AD)</f>
        <v>0:</v>
      </c>
      <c r="BV4" s="21">
        <f t="shared" ref="BV4:BV67" ca="1" si="25">IF(BQ4="","",VALUE(LEFT(BQ4,FIND(":",BQ4)-1)))</f>
        <v>0</v>
      </c>
      <c r="BW4" s="21">
        <f t="shared" ref="BW4:BW67" ca="1" si="26">IF(BR4="","",VALUE(LEFT(BR4,FIND(":",BR4)-1)))</f>
        <v>0</v>
      </c>
      <c r="BX4" s="21">
        <f t="shared" ref="BX4:BX67" ca="1" si="27">IF(BS4="","",VALUE(LEFT(BS4,FIND(":",BS4)-1)))</f>
        <v>0</v>
      </c>
      <c r="BY4" s="21">
        <f t="shared" ref="BY4:BY67" ca="1" si="28">IF(BT4="","",VALUE(LEFT(BT4,FIND(":",BT4)-1)))</f>
        <v>0</v>
      </c>
      <c r="BZ4" s="21">
        <f t="shared" ref="BZ4:BZ67" ca="1" si="29">IF(BU4="","",VALUE(LEFT(BU4,FIND(":",BU4)-1)))</f>
        <v>0</v>
      </c>
      <c r="CA4" s="21" t="str">
        <f t="shared" ref="CA4:CA67" ca="1" si="30">IF(AB4=BV4,W4&amp;RIGHT(BQ4,LEN(BQ4)-FIND(":",BQ4)),
IF(AB4&gt;BV4,W4,BQ4))</f>
        <v>0:</v>
      </c>
      <c r="CB4" s="21" t="str">
        <f t="shared" ref="CB4:CB67" ca="1" si="31">IF(AC4=BW4,X4&amp;RIGHT(BR4,LEN(BR4)-FIND(":",BR4)),
IF(AC4&gt;BW4,X4,BR4))</f>
        <v>0:</v>
      </c>
      <c r="CC4" s="21" t="str">
        <f t="shared" ref="CC4:CC67" ca="1" si="32">IF(AD4=BX4,Y4&amp;RIGHT(BS4,LEN(BS4)-FIND(":",BS4)),
IF(AD4&gt;BX4,Y4,BS4))</f>
        <v>0:</v>
      </c>
      <c r="CD4" s="21" t="str">
        <f t="shared" ref="CD4:CD67" ca="1" si="33">IF(AE4=BY4,Z4&amp;RIGHT(BT4,LEN(BT4)-FIND(":",BT4)),
IF(AE4&gt;BY4,Z4,BT4))</f>
        <v>0:</v>
      </c>
      <c r="CE4" s="21" t="str">
        <f t="shared" ref="CE4:CE67" ca="1" si="34">IF(AF4=BZ4,AA4&amp;RIGHT(BU4,LEN(BU4)-FIND(":",BU4)),
IF(AF4&gt;BZ4,AA4,BU4))</f>
        <v>0:</v>
      </c>
      <c r="CF4" s="21">
        <f t="shared" ref="CF4:CF67" ca="1" si="35">MAX(AB4,BV4)</f>
        <v>0</v>
      </c>
      <c r="CG4" s="21">
        <f t="shared" ref="CG4:CG67" ca="1" si="36">MAX(AC4,BW4)</f>
        <v>0</v>
      </c>
      <c r="CH4" s="21">
        <f t="shared" ref="CH4:CH67" ca="1" si="37">MAX(AD4,BX4)</f>
        <v>0</v>
      </c>
      <c r="CI4" s="21">
        <f t="shared" ref="CI4:CI67" ca="1" si="38">MAX(AE4,BY4)</f>
        <v>0</v>
      </c>
      <c r="CJ4" s="21">
        <f t="shared" ref="CJ4:CJ67" ca="1" si="39">MAX(AF4,BZ4)</f>
        <v>0</v>
      </c>
      <c r="CK4" s="21">
        <f t="shared" ca="1" si="23"/>
        <v>0</v>
      </c>
      <c r="CL4" s="21" t="str">
        <f ca="1">IFERROR(VLOOKUP($CK4,Definitions!$V:$W,COLUMNS(Definitions!$V:$W),TRUE),"")</f>
        <v>Basic</v>
      </c>
      <c r="CM4" s="21" t="str">
        <f ca="1">_xlfn.LET(
_xlpm._comments,SimpleLookup($A4,Tracing!$B:$AB),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4" s="21" t="str" cm="1">
        <f t="array" aca="1" ref="CN4" ca="1">_xlfn.LET(
_xlpm._rapRange,Definitions!$W:$W,
_xlpm._calculatedRAP,$CL4,
_xlpm._inlineRAP,$CM4,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4" s="21" t="str">
        <f ca="1">IFERROR(IF(OR($BP4="",$CN4=""),
Definitions!$AE$4,
VLOOKUP($BP4,Definitions!$AH:$AM,MATCH($CN4,Definitions!$AH$3:$AM$3,0),FALSE)),
"")</f>
        <v>No Risk</v>
      </c>
      <c r="CP4" s="21" cm="1">
        <f t="array" aca="1" ref="CP4" ca="1">IF($CO4="",0,SimpleLookup($CO4,Definitions!$AE:$AF))</f>
        <v>0</v>
      </c>
      <c r="CQ4" s="21" t="b">
        <f ca="1">OR(AND($S4,$I4=Helper!$B$7),$I4&gt;Helper!$B$7)</f>
        <v>1</v>
      </c>
      <c r="CR4" s="21" t="str">
        <f t="shared" ca="1" si="24"/>
        <v/>
      </c>
      <c r="CS4" s="21" cm="1">
        <f t="array" aca="1" ref="CS4" ca="1">CreateID($CS$2,$CV:$CV,$CR4&lt;&gt;"")</f>
        <v>0</v>
      </c>
      <c r="CT4" s="21" t="str">
        <f ca="1">IF(IFERROR(MATCH(","&amp;A4&amp;",",'Risk Treatment'!$AT:$AT,0)&gt;0,FALSE),"",$A4)</f>
        <v/>
      </c>
      <c r="CU4" s="21" cm="1">
        <f t="array" aca="1" ref="CU4" ca="1">CreateID($CU$2,$CU:$CU,$CT4&lt;&gt;"")</f>
        <v>0</v>
      </c>
    </row>
    <row r="5" spans="1:101" x14ac:dyDescent="0.25">
      <c r="A5" s="33" t="str" cm="1">
        <f t="array" aca="1" ref="A5" ca="1">IF($B5="","","R"&amp;RemoveDelimiter(SUBSTITUTE(SUBSTITUTE($K5,"AS",""),",","-"),"-"))</f>
        <v/>
      </c>
      <c r="B5" s="33" t="str" cm="1">
        <f t="array" aca="1" ref="B5" ca="1">IF($L5="","",_xlfn.LET(
_xlpm._finalAttackStep,$L5,
_xlpm._prepAttacks,RemoveFirstElement(_xlpm._finalAttackStep&amp;","&amp;$K5),
_xlpm._prepAttackNames,IFERROR(LookupNames(_xlpm._prepAttacks,'Attack Steps'!$A:$B),""),
_xlpm._delimiter,REPT(CHAR(150),55),
$L5&amp;" "&amp;SimpleLookup($L5,'Attack Steps'!$A:$B)&amp;
IF(_xlpm._prepAttackNames="","",CHAR(10)&amp;_xlpm._delimiter&amp;CHAR(10)&amp;_xlpm._prepAttackNames)))</f>
        <v/>
      </c>
      <c r="C5" s="34" t="str" cm="1">
        <f t="array" aca="1" ref="C5" ca="1">IFERROR(LookupNames($M5,'Damage Scenarios'!$A:$V),"")</f>
        <v/>
      </c>
      <c r="D5" s="33" t="str">
        <f ca="1">IFERROR(IF($T5=0,"",INDEX(Definitions!$Q:$Q,MATCH($T5,Definitions!$R:$R,0))),"")</f>
        <v/>
      </c>
      <c r="E5" s="34" t="str" cm="1">
        <f t="array" aca="1" ref="E5" ca="1">IF($A5="","",_xlfn.LET(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_xlpm._factorFunction($A5,$A:W,Definitions!$Y:$Y,Definitions!$AB:$AB,1)&amp;CHAR(10)&amp;
_xlpm._factorFunction($A5,$A:X,Definitions!$Y:$Y,Definitions!$AB:$AB,2)&amp;CHAR(10)&amp;
_xlpm._factorFunction($A5,$A:Y,Definitions!$Y:$Y,Definitions!$AB:$AB,3)&amp;CHAR(10)&amp;
_xlpm._factorFunction($A5,$A:Z,Definitions!$Y:$Y,Definitions!$AB:$AB,4)&amp;CHAR(10)&amp;
_xlpm._factorFunction($A5,$A:AA,Definitions!$Y:$Y,Definitions!$AB:$AB,5)))</f>
        <v/>
      </c>
      <c r="F5" s="33" t="str">
        <f ca="1">IF($A5="","",IFERROR(VLOOKUP($AG5,Definitions!$V:$W,COLUMNS(Definitions!$V:$W),TRUE),""))</f>
        <v/>
      </c>
      <c r="G5" s="33" t="str">
        <f ca="1">IFERROR(IF(OR($D5="",$F5=""),
"",
VLOOKUP($D5,Definitions!$AH:$AM,MATCH($F5,Definitions!$AH$3:$AM$3,0),FALSE)),
"")</f>
        <v/>
      </c>
      <c r="H5" s="23" cm="1">
        <f t="array" aca="1" ref="H5" ca="1">IF(ROW()=ROW($H$2)+1,0,INDEX($H:$H,ROW()-1))+IF($A5="",0,1)</f>
        <v>0</v>
      </c>
      <c r="I5" s="21" cm="1">
        <f t="array" aca="1" ref="I5" ca="1">IF(ROW()=ROW($I$2)+1,
1,
INDEX($I:$I,ROW()-1)+IF(INDEX($S:$S,ROW()-1),1,0))</f>
        <v>1</v>
      </c>
      <c r="J5" s="21">
        <f t="shared" ca="1" si="0"/>
        <v>3</v>
      </c>
      <c r="K5" s="21" t="str">
        <f t="shared" ref="K5:K36" ca="1" si="40">IF($Q5="","",_xlfn.LET(
_xlpm._aps,$Q5,
_xlpm._firstPos,FIND("$",SUBSTITUTE(_xlpm._aps,"§","$",$J5))+1,
_xlpm._lastPos,FIND("$",SUBSTITUTE(_xlpm._aps,"§","$",$J5+1)),
MID(_xlpm._aps,_xlpm._firstPos,_xlpm._lastPos-_xlpm._firstPos)))</f>
        <v/>
      </c>
      <c r="L5" s="21" t="str" cm="1">
        <f t="array" aca="1" ref="L5" ca="1">IF($P5="","",INDEX('Attack Steps'!$A:$A,$P5))</f>
        <v/>
      </c>
      <c r="M5" s="21" t="str" cm="1">
        <f t="array" aca="1" ref="M5" ca="1">IF($P5="","",INDEX('Attack Steps'!$T:$T,$P5))</f>
        <v/>
      </c>
      <c r="N5" s="21" t="str" cm="1">
        <f t="array" aca="1" ref="N5" ca="1">_xlfn.LET(_xlpm._dm,SanitizeInput(GetValuesWithFallback(SanitizeInput($AK5),Assumptions!$A:$I,Countermeasures!$A:$I,"",",",FALSE)),
IF(_xlpm._dm="","",","&amp;_xlpm._dm))</f>
        <v/>
      </c>
      <c r="O5" s="21" t="str" cm="1">
        <f t="array" aca="1" ref="O5" ca="1">ApplyDamageMitigation($M5,$N5,"")</f>
        <v/>
      </c>
      <c r="P5" s="21" t="str">
        <f ca="1">IFERROR(MATCH($I5,'Attack Steps'!$V:$V,0),"")</f>
        <v/>
      </c>
      <c r="Q5" s="21" t="str" cm="1">
        <f t="array" aca="1" ref="Q5" ca="1">IF($P5="","","§"&amp;INDEX('Attack Steps'!$S:$S,$P5))</f>
        <v/>
      </c>
      <c r="R5" s="21" t="str" cm="1">
        <f t="array" aca="1" ref="R5" ca="1">IF($P5="","",INDEX('Attack Steps'!$W:$W,$P5))</f>
        <v/>
      </c>
      <c r="S5" s="21" t="b">
        <f t="shared" ref="S5:S36" ca="1" si="41">$J5=$R5</f>
        <v>0</v>
      </c>
      <c r="T5" s="21" cm="1">
        <f t="array" aca="1" ref="T5" ca="1">_xlfn.LAMBDA(_xlpm._in,_xlpm._val,_xlpm._range,
IF(_xlpm._in="",_xlpm._val,_xlfn.LET(
_xlpm._id,LEFT(_xlpm._in,FIND(",",_xlpm._in)-1),
CalculateMaxFromList(RemoveFirstElement(_xlpm._in),MAX(_xlpm._val,VLOOKUP(_xlpm._id,_xlpm._range,COLUMNS(_xlpm._range),FALSE)),_xlpm._range))))($M5,0,'Damage Scenarios'!$A:$U)</f>
        <v>0</v>
      </c>
      <c r="U5" s="21" cm="1">
        <f t="array" aca="1" ref="U5" ca="1">CalculateMaxFromList($O5,0,'Damage Scenarios'!$A:$U)</f>
        <v>0</v>
      </c>
      <c r="V5" s="21" t="str">
        <f ca="1">IF($U5=0,"",INDEX(Definitions!$Q:$Q,MATCH($U5,Definitions!$R:$R,0)))</f>
        <v/>
      </c>
      <c r="W5" s="21" t="str" cm="1">
        <f t="array" aca="1" ref="W5" ca="1">CalculateMaxAndElements($K5,0,"",'Attack Steps'!$A:X)</f>
        <v>0:</v>
      </c>
      <c r="X5" s="21" t="str" cm="1">
        <f t="array" aca="1" ref="X5" ca="1">CalculateMaxAndElements($K5,0,"",'Attack Steps'!$A:Y)</f>
        <v>0:</v>
      </c>
      <c r="Y5" s="21" t="str" cm="1">
        <f t="array" aca="1" ref="Y5" ca="1">CalculateMaxAndElements($K5,0,"",'Attack Steps'!$A:Z)</f>
        <v>0:</v>
      </c>
      <c r="Z5" s="21" t="str" cm="1">
        <f t="array" aca="1" ref="Z5" ca="1">CalculateMaxAndElements($K5,0,"",'Attack Steps'!$A:AA)</f>
        <v>0:</v>
      </c>
      <c r="AA5" s="21" t="str" cm="1">
        <f t="array" aca="1" ref="AA5" ca="1">CalculateMaxAndElements($K5,0,"",'Attack Steps'!$A:AB)</f>
        <v>0:</v>
      </c>
      <c r="AB5" s="21">
        <f t="shared" ref="AB5:AB36" ca="1" si="42">IF(W5="","",VALUE(LEFT(W5,FIND(":",W5)-1)))</f>
        <v>0</v>
      </c>
      <c r="AC5" s="21">
        <f t="shared" ref="AC5:AC36" ca="1" si="43">IF(X5="","",VALUE(LEFT(X5,FIND(":",X5)-1)))</f>
        <v>0</v>
      </c>
      <c r="AD5" s="21">
        <f t="shared" ref="AD5:AD36" ca="1" si="44">IF(Y5="","",VALUE(LEFT(Y5,FIND(":",Y5)-1)))</f>
        <v>0</v>
      </c>
      <c r="AE5" s="21">
        <f t="shared" ref="AE5:AE36" ca="1" si="45">IF(Z5="","",VALUE(LEFT(Z5,FIND(":",Z5)-1)))</f>
        <v>0</v>
      </c>
      <c r="AF5" s="21">
        <f t="shared" ref="AF5:AF36" ca="1" si="46">IF(AA5="","",VALUE(LEFT(AA5,FIND(":",AA5)-1)))</f>
        <v>0</v>
      </c>
      <c r="AG5" s="21">
        <f t="shared" ca="1" si="3"/>
        <v>0</v>
      </c>
      <c r="AH5" s="21" t="str" cm="1">
        <f t="array" aca="1" ref="AH5" ca="1">IF(ROW()=ROW($AH$2)+1,"",INDEX($AH:$AH,ROW()-1))&amp;IF($A5="","",$A5&amp;",")</f>
        <v/>
      </c>
      <c r="AI5" s="21" t="str">
        <f t="shared" ref="AI5:AI36" ca="1" si="47">IF($K5="","",","&amp;$K5)</f>
        <v/>
      </c>
      <c r="AJ5" s="21" cm="1">
        <f t="array" aca="1" ref="AJ5" ca="1">IF($G5="",0,SimpleLookup($G5,Definitions!$AE:$AF))</f>
        <v>0</v>
      </c>
      <c r="AK5" s="21" t="str" cm="1">
        <f t="array" aca="1" ref="AK5" ca="1">InverseLookup($A5,Mitigation!$U$2,Mitigation!$J$2,1,Helper!$B$5,",")</f>
        <v/>
      </c>
      <c r="AL5" s="21" t="str" cm="1">
        <f t="array" aca="1" ref="AL5" ca="1">CalculateMaxAndElementsWithFallback(SanitizeInput($AK5),0,"",Countermeasures!$A:Y,Assumptions!$A:Z)</f>
        <v>0:</v>
      </c>
      <c r="AM5" s="21" t="str" cm="1">
        <f t="array" aca="1" ref="AM5" ca="1">CalculateMaxAndElementsWithFallback(SanitizeInput($AK5),0,"",Countermeasures!$A:Z,Assumptions!$A:AA)</f>
        <v>0:</v>
      </c>
      <c r="AN5" s="21" t="str" cm="1">
        <f t="array" aca="1" ref="AN5" ca="1">CalculateMaxAndElementsWithFallback(SanitizeInput($AK5),0,"",Countermeasures!$A:AA,Assumptions!$A:AB)</f>
        <v>0:</v>
      </c>
      <c r="AO5" s="21" t="str" cm="1">
        <f t="array" aca="1" ref="AO5" ca="1">CalculateMaxAndElementsWithFallback(SanitizeInput($AK5),0,"",Countermeasures!$A:AB,Assumptions!$A:AC)</f>
        <v>0:</v>
      </c>
      <c r="AP5" s="21" t="str" cm="1">
        <f t="array" aca="1" ref="AP5" ca="1">CalculateMaxAndElementsWithFallback(SanitizeInput($AK5),0,"",Countermeasures!$A:AC,Assumptions!$A:AD)</f>
        <v>0:</v>
      </c>
      <c r="AQ5" s="21">
        <f t="shared" ref="AQ5:AQ36" ca="1" si="48">IF(AL5="","",VALUE(LEFT(AL5,FIND(":",AL5)-1)))</f>
        <v>0</v>
      </c>
      <c r="AR5" s="21">
        <f t="shared" ref="AR5:AR36" ca="1" si="49">IF(AM5="","",VALUE(LEFT(AM5,FIND(":",AM5)-1)))</f>
        <v>0</v>
      </c>
      <c r="AS5" s="21">
        <f t="shared" ref="AS5:AS36" ca="1" si="50">IF(AN5="","",VALUE(LEFT(AN5,FIND(":",AN5)-1)))</f>
        <v>0</v>
      </c>
      <c r="AT5" s="21">
        <f t="shared" ref="AT5:AT36" ca="1" si="51">IF(AO5="","",VALUE(LEFT(AO5,FIND(":",AO5)-1)))</f>
        <v>0</v>
      </c>
      <c r="AU5" s="21">
        <f t="shared" ref="AU5:AU36" ca="1" si="52">IF(AP5="","",VALUE(LEFT(AP5,FIND(":",AP5)-1)))</f>
        <v>0</v>
      </c>
      <c r="AV5" s="21" t="str">
        <f t="shared" ref="AV5:AV36" ca="1" si="53">IF(AB5=AQ5,W5&amp;RIGHT(AL5,LEN(AL5)-FIND(":",AL5)),
IF(AB5&gt;AQ5,W5,AL5))</f>
        <v>0:</v>
      </c>
      <c r="AW5" s="21" t="str">
        <f t="shared" ref="AW5:AW36" ca="1" si="54">IF(AC5=AR5,X5&amp;RIGHT(AM5,LEN(AM5)-FIND(":",AM5)),
IF(AC5&gt;AR5,X5,AM5))</f>
        <v>0:</v>
      </c>
      <c r="AX5" s="21" t="str">
        <f t="shared" ref="AX5:AX36" ca="1" si="55">IF(AD5=AS5,Y5&amp;RIGHT(AN5,LEN(AN5)-FIND(":",AN5)),
IF(AD5&gt;AS5,Y5,AN5))</f>
        <v>0:</v>
      </c>
      <c r="AY5" s="21" t="str">
        <f t="shared" ref="AY5:AY36" ca="1" si="56">IF(AE5=AT5,Z5&amp;RIGHT(AO5,LEN(AO5)-FIND(":",AO5)),
IF(AE5&gt;AT5,Z5,AO5))</f>
        <v>0:</v>
      </c>
      <c r="AZ5" s="21" t="str">
        <f t="shared" ref="AZ5:AZ36" ca="1" si="57">IF(AF5=AU5,AA5&amp;RIGHT(AP5,LEN(AP5)-FIND(":",AP5)),
IF(AF5&gt;AU5,AA5,AP5))</f>
        <v>0:</v>
      </c>
      <c r="BA5" s="21">
        <f t="shared" ref="BA5:BA36" ca="1" si="58">MAX(AB5,AQ5)</f>
        <v>0</v>
      </c>
      <c r="BB5" s="21">
        <f t="shared" ref="BB5:BB36" ca="1" si="59">MAX(AC5,AR5)</f>
        <v>0</v>
      </c>
      <c r="BC5" s="21">
        <f t="shared" ref="BC5:BC36" ca="1" si="60">MAX(AD5,AS5)</f>
        <v>0</v>
      </c>
      <c r="BD5" s="21">
        <f t="shared" ref="BD5:BD36" ca="1" si="61">MAX(AE5,AT5)</f>
        <v>0</v>
      </c>
      <c r="BE5" s="21">
        <f t="shared" ref="BE5:BE36" ca="1" si="62">MAX(AF5,AU5)</f>
        <v>0</v>
      </c>
      <c r="BF5" s="21">
        <f t="shared" ca="1" si="9"/>
        <v>0</v>
      </c>
      <c r="BG5" s="21" t="str">
        <f ca="1">IFERROR(VLOOKUP($BF5,Definitions!$V:$W,COLUMNS(Definitions!$V:$W),TRUE),"")</f>
        <v>Basic</v>
      </c>
      <c r="BH5" s="21" t="str">
        <f ca="1">_xlfn.LET(
_xlpm._comments,GetValues($K5,Mitigation!$A:$O,"","",FALSE),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5" s="21" t="str" cm="1">
        <f t="array" aca="1" ref="BI5" ca="1">_xlfn.LET(
_xlpm._rapRange,Definitions!$W:$W,
_xlpm._calculatedRAP,$BG5,
_xlpm._inlineRAP,$BH5,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5" s="21" t="str">
        <f ca="1">IFERROR(IF(OR($V5="",$BI5=""),
Definitions!$AE$4,
VLOOKUP($V5,Definitions!$AH:$AM,MATCH($BI5,Definitions!$AH$3:$AM$3,0),FALSE)),
"")</f>
        <v>No Risk</v>
      </c>
      <c r="BK5" s="21" cm="1">
        <f t="array" aca="1" ref="BK5" ca="1">IF($BJ5="",0,SimpleLookup($BJ5,Definitions!$AE:$AF))</f>
        <v>0</v>
      </c>
      <c r="BL5" s="21" t="str" cm="1">
        <f t="array" aca="1" ref="BL5" ca="1">IFERROR(SimpleLookup($A5,Tracing!$B:$Z),"")</f>
        <v/>
      </c>
      <c r="BM5" s="21" t="str" cm="1">
        <f t="array" aca="1" ref="BM5" ca="1">_xlfn.LET(_xlpm._dm,SanitizeInput(GetValuesWithFallback(SanitizeInput($BL5),Assumptions!$A:$I,Countermeasures!$A:$I,"",",",FALSE)),
IF(_xlpm._dm="","",","&amp;_xlpm._dm))</f>
        <v/>
      </c>
      <c r="BN5" s="21" t="str" cm="1">
        <f t="array" aca="1" ref="BN5" ca="1">ApplyDamageMitigation($M5,$BM5,"")</f>
        <v/>
      </c>
      <c r="BO5" s="21" cm="1">
        <f t="array" aca="1" ref="BO5" ca="1">CalculateMaxFromList($BN5,0,'Damage Scenarios'!$A:$U)</f>
        <v>0</v>
      </c>
      <c r="BP5" s="21" t="str">
        <f ca="1">IF($BO5=0,"",INDEX(Definitions!$Q:$Q,MATCH($BO5,Definitions!$R:$R,0)))</f>
        <v/>
      </c>
      <c r="BQ5" s="21" t="str" cm="1">
        <f t="array" aca="1" ref="BQ5" ca="1">CalculateMaxAndElementsWithFallback(SanitizeInput($BL5),0,"",Countermeasures!$A:Y,Assumptions!$A:Z)</f>
        <v>0:</v>
      </c>
      <c r="BR5" s="21" t="str" cm="1">
        <f t="array" aca="1" ref="BR5" ca="1">CalculateMaxAndElementsWithFallback(SanitizeInput($BL5),0,"",Countermeasures!$A:Z,Assumptions!$A:AA)</f>
        <v>0:</v>
      </c>
      <c r="BS5" s="21" t="str" cm="1">
        <f t="array" aca="1" ref="BS5" ca="1">CalculateMaxAndElementsWithFallback(SanitizeInput($BL5),0,"",Countermeasures!$A:AA,Assumptions!$A:AB)</f>
        <v>0:</v>
      </c>
      <c r="BT5" s="21" t="str" cm="1">
        <f t="array" aca="1" ref="BT5" ca="1">CalculateMaxAndElementsWithFallback(SanitizeInput($BL5),0,"",Countermeasures!$A:AB,Assumptions!$A:AC)</f>
        <v>0:</v>
      </c>
      <c r="BU5" s="21" t="str" cm="1">
        <f t="array" aca="1" ref="BU5" ca="1">CalculateMaxAndElementsWithFallback(SanitizeInput($BL5),0,"",Countermeasures!$A:AC,Assumptions!$A:AD)</f>
        <v>0:</v>
      </c>
      <c r="BV5" s="21">
        <f t="shared" ca="1" si="25"/>
        <v>0</v>
      </c>
      <c r="BW5" s="21">
        <f t="shared" ca="1" si="26"/>
        <v>0</v>
      </c>
      <c r="BX5" s="21">
        <f t="shared" ca="1" si="27"/>
        <v>0</v>
      </c>
      <c r="BY5" s="21">
        <f t="shared" ca="1" si="28"/>
        <v>0</v>
      </c>
      <c r="BZ5" s="21">
        <f t="shared" ca="1" si="29"/>
        <v>0</v>
      </c>
      <c r="CA5" s="21" t="str">
        <f t="shared" ca="1" si="30"/>
        <v>0:</v>
      </c>
      <c r="CB5" s="21" t="str">
        <f t="shared" ca="1" si="31"/>
        <v>0:</v>
      </c>
      <c r="CC5" s="21" t="str">
        <f t="shared" ca="1" si="32"/>
        <v>0:</v>
      </c>
      <c r="CD5" s="21" t="str">
        <f t="shared" ca="1" si="33"/>
        <v>0:</v>
      </c>
      <c r="CE5" s="21" t="str">
        <f t="shared" ca="1" si="34"/>
        <v>0:</v>
      </c>
      <c r="CF5" s="21">
        <f t="shared" ca="1" si="35"/>
        <v>0</v>
      </c>
      <c r="CG5" s="21">
        <f t="shared" ca="1" si="36"/>
        <v>0</v>
      </c>
      <c r="CH5" s="21">
        <f t="shared" ca="1" si="37"/>
        <v>0</v>
      </c>
      <c r="CI5" s="21">
        <f t="shared" ca="1" si="38"/>
        <v>0</v>
      </c>
      <c r="CJ5" s="21">
        <f t="shared" ca="1" si="39"/>
        <v>0</v>
      </c>
      <c r="CK5" s="21">
        <f t="shared" ca="1" si="23"/>
        <v>0</v>
      </c>
      <c r="CL5" s="21" t="str">
        <f ca="1">IFERROR(VLOOKUP($CK5,Definitions!$V:$W,COLUMNS(Definitions!$V:$W),TRUE),"")</f>
        <v>Basic</v>
      </c>
      <c r="CM5" s="21" t="str">
        <f ca="1">_xlfn.LET(
_xlpm._comments,SimpleLookup($A5,Tracing!$B:$AB),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5" s="21" t="str" cm="1">
        <f t="array" aca="1" ref="CN5" ca="1">_xlfn.LET(
_xlpm._rapRange,Definitions!$W:$W,
_xlpm._calculatedRAP,$CL5,
_xlpm._inlineRAP,$CM5,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5" s="21" t="str">
        <f ca="1">IFERROR(IF(OR($BP5="",$CN5=""),
Definitions!$AE$4,
VLOOKUP($BP5,Definitions!$AH:$AM,MATCH($CN5,Definitions!$AH$3:$AM$3,0),FALSE)),
"")</f>
        <v>No Risk</v>
      </c>
      <c r="CP5" s="21" cm="1">
        <f t="array" aca="1" ref="CP5" ca="1">IF($CO5="",0,SimpleLookup($CO5,Definitions!$AE:$AF))</f>
        <v>0</v>
      </c>
      <c r="CQ5" s="21" t="b">
        <f ca="1">OR(AND($S5,$I5=Helper!$B$7),$I5&gt;Helper!$B$7)</f>
        <v>1</v>
      </c>
      <c r="CR5" s="21" t="str">
        <f t="shared" ca="1" si="24"/>
        <v/>
      </c>
      <c r="CS5" s="21" cm="1">
        <f t="array" aca="1" ref="CS5" ca="1">CreateID($CS$2,$CV:$CV,$CR5&lt;&gt;"")</f>
        <v>0</v>
      </c>
      <c r="CT5" s="21" t="str">
        <f ca="1">IF(IFERROR(MATCH(","&amp;A5&amp;",",'Risk Treatment'!$AT:$AT,0)&gt;0,FALSE),"",$A5)</f>
        <v/>
      </c>
      <c r="CU5" s="21" cm="1">
        <f t="array" aca="1" ref="CU5" ca="1">CreateID($CU$2,$CU:$CU,$CT5&lt;&gt;"")</f>
        <v>0</v>
      </c>
    </row>
    <row r="6" spans="1:101" x14ac:dyDescent="0.25">
      <c r="A6" s="33" t="str" cm="1">
        <f t="array" aca="1" ref="A6" ca="1">IF($B6="","","R"&amp;RemoveDelimiter(SUBSTITUTE(SUBSTITUTE($K6,"AS",""),",","-"),"-"))</f>
        <v/>
      </c>
      <c r="B6" s="33" t="str" cm="1">
        <f t="array" aca="1" ref="B6" ca="1">IF($L6="","",_xlfn.LET(
_xlpm._finalAttackStep,$L6,
_xlpm._prepAttacks,RemoveFirstElement(_xlpm._finalAttackStep&amp;","&amp;$K6),
_xlpm._prepAttackNames,IFERROR(LookupNames(_xlpm._prepAttacks,'Attack Steps'!$A:$B),""),
_xlpm._delimiter,REPT(CHAR(150),55),
$L6&amp;" "&amp;SimpleLookup($L6,'Attack Steps'!$A:$B)&amp;
IF(_xlpm._prepAttackNames="","",CHAR(10)&amp;_xlpm._delimiter&amp;CHAR(10)&amp;_xlpm._prepAttackNames)))</f>
        <v/>
      </c>
      <c r="C6" s="34" t="str" cm="1">
        <f t="array" aca="1" ref="C6" ca="1">IFERROR(LookupNames($M6,'Damage Scenarios'!$A:$V),"")</f>
        <v/>
      </c>
      <c r="D6" s="33" t="str">
        <f ca="1">IFERROR(IF($T6=0,"",INDEX(Definitions!$Q:$Q,MATCH($T6,Definitions!$R:$R,0))),"")</f>
        <v/>
      </c>
      <c r="E6" s="34" t="str" cm="1">
        <f t="array" aca="1" ref="E6" ca="1">IF($A6="","",_xlfn.LET(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_xlpm._factorFunction($A6,$A:W,Definitions!$Y:$Y,Definitions!$AB:$AB,1)&amp;CHAR(10)&amp;
_xlpm._factorFunction($A6,$A:X,Definitions!$Y:$Y,Definitions!$AB:$AB,2)&amp;CHAR(10)&amp;
_xlpm._factorFunction($A6,$A:Y,Definitions!$Y:$Y,Definitions!$AB:$AB,3)&amp;CHAR(10)&amp;
_xlpm._factorFunction($A6,$A:Z,Definitions!$Y:$Y,Definitions!$AB:$AB,4)&amp;CHAR(10)&amp;
_xlpm._factorFunction($A6,$A:AA,Definitions!$Y:$Y,Definitions!$AB:$AB,5)))</f>
        <v/>
      </c>
      <c r="F6" s="33" t="str">
        <f ca="1">IF($A6="","",IFERROR(VLOOKUP($AG6,Definitions!$V:$W,COLUMNS(Definitions!$V:$W),TRUE),""))</f>
        <v/>
      </c>
      <c r="G6" s="33" t="str">
        <f ca="1">IFERROR(IF(OR($D6="",$F6=""),
"",
VLOOKUP($D6,Definitions!$AH:$AM,MATCH($F6,Definitions!$AH$3:$AM$3,0),FALSE)),
"")</f>
        <v/>
      </c>
      <c r="H6" s="23" cm="1">
        <f t="array" aca="1" ref="H6" ca="1">IF(ROW()=ROW($H$2)+1,0,INDEX($H:$H,ROW()-1))+IF($A6="",0,1)</f>
        <v>0</v>
      </c>
      <c r="I6" s="21" cm="1">
        <f t="array" aca="1" ref="I6" ca="1">IF(ROW()=ROW($I$2)+1,
1,
INDEX($I:$I,ROW()-1)+IF(INDEX($S:$S,ROW()-1),1,0))</f>
        <v>1</v>
      </c>
      <c r="J6" s="21">
        <f t="shared" ca="1" si="0"/>
        <v>4</v>
      </c>
      <c r="K6" s="21" t="str">
        <f t="shared" ca="1" si="40"/>
        <v/>
      </c>
      <c r="L6" s="21" t="str" cm="1">
        <f t="array" aca="1" ref="L6" ca="1">IF($P6="","",INDEX('Attack Steps'!$A:$A,$P6))</f>
        <v/>
      </c>
      <c r="M6" s="21" t="str" cm="1">
        <f t="array" aca="1" ref="M6" ca="1">IF($P6="","",INDEX('Attack Steps'!$T:$T,$P6))</f>
        <v/>
      </c>
      <c r="N6" s="21" t="str" cm="1">
        <f t="array" aca="1" ref="N6" ca="1">_xlfn.LET(_xlpm._dm,SanitizeInput(GetValuesWithFallback(SanitizeInput($AK6),Assumptions!$A:$I,Countermeasures!$A:$I,"",",",FALSE)),
IF(_xlpm._dm="","",","&amp;_xlpm._dm))</f>
        <v/>
      </c>
      <c r="O6" s="21" t="str" cm="1">
        <f t="array" aca="1" ref="O6" ca="1">ApplyDamageMitigation($M6,$N6,"")</f>
        <v/>
      </c>
      <c r="P6" s="21" t="str">
        <f ca="1">IFERROR(MATCH($I6,'Attack Steps'!$V:$V,0),"")</f>
        <v/>
      </c>
      <c r="Q6" s="21" t="str" cm="1">
        <f t="array" aca="1" ref="Q6" ca="1">IF($P6="","","§"&amp;INDEX('Attack Steps'!$S:$S,$P6))</f>
        <v/>
      </c>
      <c r="R6" s="21" t="str" cm="1">
        <f t="array" aca="1" ref="R6" ca="1">IF($P6="","",INDEX('Attack Steps'!$W:$W,$P6))</f>
        <v/>
      </c>
      <c r="S6" s="21" t="b">
        <f t="shared" ca="1" si="41"/>
        <v>0</v>
      </c>
      <c r="T6" s="21" cm="1">
        <f t="array" aca="1" ref="T6" ca="1">_xlfn.LAMBDA(_xlpm._in,_xlpm._val,_xlpm._range,
IF(_xlpm._in="",_xlpm._val,_xlfn.LET(
_xlpm._id,LEFT(_xlpm._in,FIND(",",_xlpm._in)-1),
CalculateMaxFromList(RemoveFirstElement(_xlpm._in),MAX(_xlpm._val,VLOOKUP(_xlpm._id,_xlpm._range,COLUMNS(_xlpm._range),FALSE)),_xlpm._range))))($M6,0,'Damage Scenarios'!$A:$U)</f>
        <v>0</v>
      </c>
      <c r="U6" s="21" cm="1">
        <f t="array" aca="1" ref="U6" ca="1">CalculateMaxFromList($O6,0,'Damage Scenarios'!$A:$U)</f>
        <v>0</v>
      </c>
      <c r="V6" s="21" t="str">
        <f ca="1">IF($U6=0,"",INDEX(Definitions!$Q:$Q,MATCH($U6,Definitions!$R:$R,0)))</f>
        <v/>
      </c>
      <c r="W6" s="21" t="str" cm="1">
        <f t="array" aca="1" ref="W6" ca="1">CalculateMaxAndElements($K6,0,"",'Attack Steps'!$A:X)</f>
        <v>0:</v>
      </c>
      <c r="X6" s="21" t="str" cm="1">
        <f t="array" aca="1" ref="X6" ca="1">CalculateMaxAndElements($K6,0,"",'Attack Steps'!$A:Y)</f>
        <v>0:</v>
      </c>
      <c r="Y6" s="21" t="str" cm="1">
        <f t="array" aca="1" ref="Y6" ca="1">CalculateMaxAndElements($K6,0,"",'Attack Steps'!$A:Z)</f>
        <v>0:</v>
      </c>
      <c r="Z6" s="21" t="str" cm="1">
        <f t="array" aca="1" ref="Z6" ca="1">CalculateMaxAndElements($K6,0,"",'Attack Steps'!$A:AA)</f>
        <v>0:</v>
      </c>
      <c r="AA6" s="21" t="str" cm="1">
        <f t="array" aca="1" ref="AA6" ca="1">CalculateMaxAndElements($K6,0,"",'Attack Steps'!$A:AB)</f>
        <v>0:</v>
      </c>
      <c r="AB6" s="21">
        <f t="shared" ca="1" si="42"/>
        <v>0</v>
      </c>
      <c r="AC6" s="21">
        <f t="shared" ca="1" si="43"/>
        <v>0</v>
      </c>
      <c r="AD6" s="21">
        <f t="shared" ca="1" si="44"/>
        <v>0</v>
      </c>
      <c r="AE6" s="21">
        <f t="shared" ca="1" si="45"/>
        <v>0</v>
      </c>
      <c r="AF6" s="21">
        <f t="shared" ca="1" si="46"/>
        <v>0</v>
      </c>
      <c r="AG6" s="21">
        <f t="shared" ca="1" si="3"/>
        <v>0</v>
      </c>
      <c r="AH6" s="21" t="str" cm="1">
        <f t="array" aca="1" ref="AH6" ca="1">IF(ROW()=ROW($AH$2)+1,"",INDEX($AH:$AH,ROW()-1))&amp;IF($A6="","",$A6&amp;",")</f>
        <v/>
      </c>
      <c r="AI6" s="21" t="str">
        <f t="shared" ca="1" si="47"/>
        <v/>
      </c>
      <c r="AJ6" s="21" cm="1">
        <f t="array" aca="1" ref="AJ6" ca="1">IF($G6="",0,SimpleLookup($G6,Definitions!$AE:$AF))</f>
        <v>0</v>
      </c>
      <c r="AK6" s="21" t="str" cm="1">
        <f t="array" aca="1" ref="AK6" ca="1">InverseLookup($A6,Mitigation!$U$2,Mitigation!$J$2,1,Helper!$B$5,",")</f>
        <v/>
      </c>
      <c r="AL6" s="21" t="str" cm="1">
        <f t="array" aca="1" ref="AL6" ca="1">CalculateMaxAndElementsWithFallback(SanitizeInput($AK6),0,"",Countermeasures!$A:Y,Assumptions!$A:Z)</f>
        <v>0:</v>
      </c>
      <c r="AM6" s="21" t="str" cm="1">
        <f t="array" aca="1" ref="AM6" ca="1">CalculateMaxAndElementsWithFallback(SanitizeInput($AK6),0,"",Countermeasures!$A:Z,Assumptions!$A:AA)</f>
        <v>0:</v>
      </c>
      <c r="AN6" s="21" t="str" cm="1">
        <f t="array" aca="1" ref="AN6" ca="1">CalculateMaxAndElementsWithFallback(SanitizeInput($AK6),0,"",Countermeasures!$A:AA,Assumptions!$A:AB)</f>
        <v>0:</v>
      </c>
      <c r="AO6" s="21" t="str" cm="1">
        <f t="array" aca="1" ref="AO6" ca="1">CalculateMaxAndElementsWithFallback(SanitizeInput($AK6),0,"",Countermeasures!$A:AB,Assumptions!$A:AC)</f>
        <v>0:</v>
      </c>
      <c r="AP6" s="21" t="str" cm="1">
        <f t="array" aca="1" ref="AP6" ca="1">CalculateMaxAndElementsWithFallback(SanitizeInput($AK6),0,"",Countermeasures!$A:AC,Assumptions!$A:AD)</f>
        <v>0:</v>
      </c>
      <c r="AQ6" s="21">
        <f t="shared" ca="1" si="48"/>
        <v>0</v>
      </c>
      <c r="AR6" s="21">
        <f t="shared" ca="1" si="49"/>
        <v>0</v>
      </c>
      <c r="AS6" s="21">
        <f t="shared" ca="1" si="50"/>
        <v>0</v>
      </c>
      <c r="AT6" s="21">
        <f t="shared" ca="1" si="51"/>
        <v>0</v>
      </c>
      <c r="AU6" s="21">
        <f t="shared" ca="1" si="52"/>
        <v>0</v>
      </c>
      <c r="AV6" s="21" t="str">
        <f t="shared" ca="1" si="53"/>
        <v>0:</v>
      </c>
      <c r="AW6" s="21" t="str">
        <f t="shared" ca="1" si="54"/>
        <v>0:</v>
      </c>
      <c r="AX6" s="21" t="str">
        <f t="shared" ca="1" si="55"/>
        <v>0:</v>
      </c>
      <c r="AY6" s="21" t="str">
        <f t="shared" ca="1" si="56"/>
        <v>0:</v>
      </c>
      <c r="AZ6" s="21" t="str">
        <f t="shared" ca="1" si="57"/>
        <v>0:</v>
      </c>
      <c r="BA6" s="21">
        <f t="shared" ca="1" si="58"/>
        <v>0</v>
      </c>
      <c r="BB6" s="21">
        <f t="shared" ca="1" si="59"/>
        <v>0</v>
      </c>
      <c r="BC6" s="21">
        <f t="shared" ca="1" si="60"/>
        <v>0</v>
      </c>
      <c r="BD6" s="21">
        <f t="shared" ca="1" si="61"/>
        <v>0</v>
      </c>
      <c r="BE6" s="21">
        <f t="shared" ca="1" si="62"/>
        <v>0</v>
      </c>
      <c r="BF6" s="21">
        <f t="shared" ca="1" si="9"/>
        <v>0</v>
      </c>
      <c r="BG6" s="21" t="str">
        <f ca="1">IFERROR(VLOOKUP($BF6,Definitions!$V:$W,COLUMNS(Definitions!$V:$W),TRUE),"")</f>
        <v>Basic</v>
      </c>
      <c r="BH6" s="21" t="str">
        <f ca="1">_xlfn.LET(
_xlpm._comments,GetValues($K6,Mitigation!$A:$O,"","",FALSE),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6" s="21" t="str" cm="1">
        <f t="array" aca="1" ref="BI6" ca="1">_xlfn.LET(
_xlpm._rapRange,Definitions!$W:$W,
_xlpm._calculatedRAP,$BG6,
_xlpm._inlineRAP,$BH6,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6" s="21" t="str">
        <f ca="1">IFERROR(IF(OR($V6="",$BI6=""),
Definitions!$AE$4,
VLOOKUP($V6,Definitions!$AH:$AM,MATCH($BI6,Definitions!$AH$3:$AM$3,0),FALSE)),
"")</f>
        <v>No Risk</v>
      </c>
      <c r="BK6" s="21" cm="1">
        <f t="array" aca="1" ref="BK6" ca="1">IF($BJ6="",0,SimpleLookup($BJ6,Definitions!$AE:$AF))</f>
        <v>0</v>
      </c>
      <c r="BL6" s="21" t="str" cm="1">
        <f t="array" aca="1" ref="BL6" ca="1">IFERROR(SimpleLookup($A6,Tracing!$B:$Z),"")</f>
        <v/>
      </c>
      <c r="BM6" s="21" t="str" cm="1">
        <f t="array" aca="1" ref="BM6" ca="1">_xlfn.LET(_xlpm._dm,SanitizeInput(GetValuesWithFallback(SanitizeInput($BL6),Assumptions!$A:$I,Countermeasures!$A:$I,"",",",FALSE)),
IF(_xlpm._dm="","",","&amp;_xlpm._dm))</f>
        <v/>
      </c>
      <c r="BN6" s="21" t="str" cm="1">
        <f t="array" aca="1" ref="BN6" ca="1">ApplyDamageMitigation($M6,$BM6,"")</f>
        <v/>
      </c>
      <c r="BO6" s="21" cm="1">
        <f t="array" aca="1" ref="BO6" ca="1">CalculateMaxFromList($BN6,0,'Damage Scenarios'!$A:$U)</f>
        <v>0</v>
      </c>
      <c r="BP6" s="21" t="str">
        <f ca="1">IF($BO6=0,"",INDEX(Definitions!$Q:$Q,MATCH($BO6,Definitions!$R:$R,0)))</f>
        <v/>
      </c>
      <c r="BQ6" s="21" t="str" cm="1">
        <f t="array" aca="1" ref="BQ6" ca="1">CalculateMaxAndElementsWithFallback(SanitizeInput($BL6),0,"",Countermeasures!$A:Y,Assumptions!$A:Z)</f>
        <v>0:</v>
      </c>
      <c r="BR6" s="21" t="str" cm="1">
        <f t="array" aca="1" ref="BR6" ca="1">CalculateMaxAndElementsWithFallback(SanitizeInput($BL6),0,"",Countermeasures!$A:Z,Assumptions!$A:AA)</f>
        <v>0:</v>
      </c>
      <c r="BS6" s="21" t="str" cm="1">
        <f t="array" aca="1" ref="BS6" ca="1">CalculateMaxAndElementsWithFallback(SanitizeInput($BL6),0,"",Countermeasures!$A:AA,Assumptions!$A:AB)</f>
        <v>0:</v>
      </c>
      <c r="BT6" s="21" t="str" cm="1">
        <f t="array" aca="1" ref="BT6" ca="1">CalculateMaxAndElementsWithFallback(SanitizeInput($BL6),0,"",Countermeasures!$A:AB,Assumptions!$A:AC)</f>
        <v>0:</v>
      </c>
      <c r="BU6" s="21" t="str" cm="1">
        <f t="array" aca="1" ref="BU6" ca="1">CalculateMaxAndElementsWithFallback(SanitizeInput($BL6),0,"",Countermeasures!$A:AC,Assumptions!$A:AD)</f>
        <v>0:</v>
      </c>
      <c r="BV6" s="21">
        <f t="shared" ca="1" si="25"/>
        <v>0</v>
      </c>
      <c r="BW6" s="21">
        <f t="shared" ca="1" si="26"/>
        <v>0</v>
      </c>
      <c r="BX6" s="21">
        <f t="shared" ca="1" si="27"/>
        <v>0</v>
      </c>
      <c r="BY6" s="21">
        <f t="shared" ca="1" si="28"/>
        <v>0</v>
      </c>
      <c r="BZ6" s="21">
        <f t="shared" ca="1" si="29"/>
        <v>0</v>
      </c>
      <c r="CA6" s="21" t="str">
        <f t="shared" ca="1" si="30"/>
        <v>0:</v>
      </c>
      <c r="CB6" s="21" t="str">
        <f t="shared" ca="1" si="31"/>
        <v>0:</v>
      </c>
      <c r="CC6" s="21" t="str">
        <f t="shared" ca="1" si="32"/>
        <v>0:</v>
      </c>
      <c r="CD6" s="21" t="str">
        <f t="shared" ca="1" si="33"/>
        <v>0:</v>
      </c>
      <c r="CE6" s="21" t="str">
        <f t="shared" ca="1" si="34"/>
        <v>0:</v>
      </c>
      <c r="CF6" s="21">
        <f t="shared" ca="1" si="35"/>
        <v>0</v>
      </c>
      <c r="CG6" s="21">
        <f t="shared" ca="1" si="36"/>
        <v>0</v>
      </c>
      <c r="CH6" s="21">
        <f t="shared" ca="1" si="37"/>
        <v>0</v>
      </c>
      <c r="CI6" s="21">
        <f t="shared" ca="1" si="38"/>
        <v>0</v>
      </c>
      <c r="CJ6" s="21">
        <f t="shared" ca="1" si="39"/>
        <v>0</v>
      </c>
      <c r="CK6" s="21">
        <f t="shared" ca="1" si="23"/>
        <v>0</v>
      </c>
      <c r="CL6" s="21" t="str">
        <f ca="1">IFERROR(VLOOKUP($CK6,Definitions!$V:$W,COLUMNS(Definitions!$V:$W),TRUE),"")</f>
        <v>Basic</v>
      </c>
      <c r="CM6" s="21" t="str">
        <f ca="1">_xlfn.LET(
_xlpm._comments,SimpleLookup($A6,Tracing!$B:$AB),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6" s="21" t="str" cm="1">
        <f t="array" aca="1" ref="CN6" ca="1">_xlfn.LET(
_xlpm._rapRange,Definitions!$W:$W,
_xlpm._calculatedRAP,$CL6,
_xlpm._inlineRAP,$CM6,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6" s="21" t="str">
        <f ca="1">IFERROR(IF(OR($BP6="",$CN6=""),
Definitions!$AE$4,
VLOOKUP($BP6,Definitions!$AH:$AM,MATCH($CN6,Definitions!$AH$3:$AM$3,0),FALSE)),
"")</f>
        <v>No Risk</v>
      </c>
      <c r="CP6" s="21" cm="1">
        <f t="array" aca="1" ref="CP6" ca="1">IF($CO6="",0,SimpleLookup($CO6,Definitions!$AE:$AF))</f>
        <v>0</v>
      </c>
      <c r="CQ6" s="21" t="b">
        <f ca="1">OR(AND($S6,$I6=Helper!$B$7),$I6&gt;Helper!$B$7)</f>
        <v>1</v>
      </c>
      <c r="CR6" s="21" t="str">
        <f t="shared" ca="1" si="24"/>
        <v/>
      </c>
      <c r="CS6" s="21" cm="1">
        <f t="array" aca="1" ref="CS6" ca="1">CreateID($CS$2,$CV:$CV,$CR6&lt;&gt;"")</f>
        <v>0</v>
      </c>
      <c r="CT6" s="21" t="str">
        <f ca="1">IF(IFERROR(MATCH(","&amp;A6&amp;",",'Risk Treatment'!$AT:$AT,0)&gt;0,FALSE),"",$A6)</f>
        <v/>
      </c>
      <c r="CU6" s="21" cm="1">
        <f t="array" aca="1" ref="CU6" ca="1">CreateID($CU$2,$CU:$CU,$CT6&lt;&gt;"")</f>
        <v>0</v>
      </c>
    </row>
    <row r="7" spans="1:101" x14ac:dyDescent="0.25">
      <c r="A7" s="33" t="str" cm="1">
        <f t="array" aca="1" ref="A7" ca="1">IF($B7="","","R"&amp;RemoveDelimiter(SUBSTITUTE(SUBSTITUTE($K7,"AS",""),",","-"),"-"))</f>
        <v/>
      </c>
      <c r="B7" s="33" t="str" cm="1">
        <f t="array" aca="1" ref="B7" ca="1">IF($L7="","",_xlfn.LET(
_xlpm._finalAttackStep,$L7,
_xlpm._prepAttacks,RemoveFirstElement(_xlpm._finalAttackStep&amp;","&amp;$K7),
_xlpm._prepAttackNames,IFERROR(LookupNames(_xlpm._prepAttacks,'Attack Steps'!$A:$B),""),
_xlpm._delimiter,REPT(CHAR(150),55),
$L7&amp;" "&amp;SimpleLookup($L7,'Attack Steps'!$A:$B)&amp;
IF(_xlpm._prepAttackNames="","",CHAR(10)&amp;_xlpm._delimiter&amp;CHAR(10)&amp;_xlpm._prepAttackNames)))</f>
        <v/>
      </c>
      <c r="C7" s="34" t="str" cm="1">
        <f t="array" aca="1" ref="C7" ca="1">IFERROR(LookupNames($M7,'Damage Scenarios'!$A:$V),"")</f>
        <v/>
      </c>
      <c r="D7" s="33" t="str">
        <f ca="1">IFERROR(IF($T7=0,"",INDEX(Definitions!$Q:$Q,MATCH($T7,Definitions!$R:$R,0))),"")</f>
        <v/>
      </c>
      <c r="E7" s="34" t="str" cm="1">
        <f t="array" aca="1" ref="E7" ca="1">IF($A7="","",_xlfn.LET(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_xlpm._factorFunction($A7,$A:W,Definitions!$Y:$Y,Definitions!$AB:$AB,1)&amp;CHAR(10)&amp;
_xlpm._factorFunction($A7,$A:X,Definitions!$Y:$Y,Definitions!$AB:$AB,2)&amp;CHAR(10)&amp;
_xlpm._factorFunction($A7,$A:Y,Definitions!$Y:$Y,Definitions!$AB:$AB,3)&amp;CHAR(10)&amp;
_xlpm._factorFunction($A7,$A:Z,Definitions!$Y:$Y,Definitions!$AB:$AB,4)&amp;CHAR(10)&amp;
_xlpm._factorFunction($A7,$A:AA,Definitions!$Y:$Y,Definitions!$AB:$AB,5)))</f>
        <v/>
      </c>
      <c r="F7" s="33" t="str">
        <f ca="1">IF($A7="","",IFERROR(VLOOKUP($AG7,Definitions!$V:$W,COLUMNS(Definitions!$V:$W),TRUE),""))</f>
        <v/>
      </c>
      <c r="G7" s="33" t="str">
        <f ca="1">IFERROR(IF(OR($D7="",$F7=""),
"",
VLOOKUP($D7,Definitions!$AH:$AM,MATCH($F7,Definitions!$AH$3:$AM$3,0),FALSE)),
"")</f>
        <v/>
      </c>
      <c r="H7" s="23" cm="1">
        <f t="array" aca="1" ref="H7" ca="1">IF(ROW()=ROW($H$2)+1,0,INDEX($H:$H,ROW()-1))+IF($A7="",0,1)</f>
        <v>0</v>
      </c>
      <c r="I7" s="21" cm="1">
        <f t="array" aca="1" ref="I7" ca="1">IF(ROW()=ROW($I$2)+1,
1,
INDEX($I:$I,ROW()-1)+IF(INDEX($S:$S,ROW()-1),1,0))</f>
        <v>1</v>
      </c>
      <c r="J7" s="21">
        <f t="shared" ca="1" si="0"/>
        <v>5</v>
      </c>
      <c r="K7" s="21" t="str">
        <f t="shared" ca="1" si="40"/>
        <v/>
      </c>
      <c r="L7" s="21" t="str" cm="1">
        <f t="array" aca="1" ref="L7" ca="1">IF($P7="","",INDEX('Attack Steps'!$A:$A,$P7))</f>
        <v/>
      </c>
      <c r="M7" s="21" t="str" cm="1">
        <f t="array" aca="1" ref="M7" ca="1">IF($P7="","",INDEX('Attack Steps'!$T:$T,$P7))</f>
        <v/>
      </c>
      <c r="N7" s="21" t="str" cm="1">
        <f t="array" aca="1" ref="N7" ca="1">_xlfn.LET(_xlpm._dm,SanitizeInput(GetValuesWithFallback(SanitizeInput($AK7),Assumptions!$A:$I,Countermeasures!$A:$I,"",",",FALSE)),
IF(_xlpm._dm="","",","&amp;_xlpm._dm))</f>
        <v/>
      </c>
      <c r="O7" s="21" t="str" cm="1">
        <f t="array" aca="1" ref="O7" ca="1">ApplyDamageMitigation($M7,$N7,"")</f>
        <v/>
      </c>
      <c r="P7" s="21" t="str">
        <f ca="1">IFERROR(MATCH($I7,'Attack Steps'!$V:$V,0),"")</f>
        <v/>
      </c>
      <c r="Q7" s="21" t="str" cm="1">
        <f t="array" aca="1" ref="Q7" ca="1">IF($P7="","","§"&amp;INDEX('Attack Steps'!$S:$S,$P7))</f>
        <v/>
      </c>
      <c r="R7" s="21" t="str" cm="1">
        <f t="array" aca="1" ref="R7" ca="1">IF($P7="","",INDEX('Attack Steps'!$W:$W,$P7))</f>
        <v/>
      </c>
      <c r="S7" s="21" t="b">
        <f t="shared" ca="1" si="41"/>
        <v>0</v>
      </c>
      <c r="T7" s="21" cm="1">
        <f t="array" aca="1" ref="T7" ca="1">_xlfn.LAMBDA(_xlpm._in,_xlpm._val,_xlpm._range,
IF(_xlpm._in="",_xlpm._val,_xlfn.LET(
_xlpm._id,LEFT(_xlpm._in,FIND(",",_xlpm._in)-1),
CalculateMaxFromList(RemoveFirstElement(_xlpm._in),MAX(_xlpm._val,VLOOKUP(_xlpm._id,_xlpm._range,COLUMNS(_xlpm._range),FALSE)),_xlpm._range))))($M7,0,'Damage Scenarios'!$A:$U)</f>
        <v>0</v>
      </c>
      <c r="U7" s="21" cm="1">
        <f t="array" aca="1" ref="U7" ca="1">CalculateMaxFromList($O7,0,'Damage Scenarios'!$A:$U)</f>
        <v>0</v>
      </c>
      <c r="V7" s="21" t="str">
        <f ca="1">IF($U7=0,"",INDEX(Definitions!$Q:$Q,MATCH($U7,Definitions!$R:$R,0)))</f>
        <v/>
      </c>
      <c r="W7" s="21" t="str" cm="1">
        <f t="array" aca="1" ref="W7" ca="1">CalculateMaxAndElements($K7,0,"",'Attack Steps'!$A:X)</f>
        <v>0:</v>
      </c>
      <c r="X7" s="21" t="str" cm="1">
        <f t="array" aca="1" ref="X7" ca="1">CalculateMaxAndElements($K7,0,"",'Attack Steps'!$A:Y)</f>
        <v>0:</v>
      </c>
      <c r="Y7" s="21" t="str" cm="1">
        <f t="array" aca="1" ref="Y7" ca="1">CalculateMaxAndElements($K7,0,"",'Attack Steps'!$A:Z)</f>
        <v>0:</v>
      </c>
      <c r="Z7" s="21" t="str" cm="1">
        <f t="array" aca="1" ref="Z7" ca="1">CalculateMaxAndElements($K7,0,"",'Attack Steps'!$A:AA)</f>
        <v>0:</v>
      </c>
      <c r="AA7" s="21" t="str" cm="1">
        <f t="array" aca="1" ref="AA7" ca="1">CalculateMaxAndElements($K7,0,"",'Attack Steps'!$A:AB)</f>
        <v>0:</v>
      </c>
      <c r="AB7" s="21">
        <f t="shared" ca="1" si="42"/>
        <v>0</v>
      </c>
      <c r="AC7" s="21">
        <f t="shared" ca="1" si="43"/>
        <v>0</v>
      </c>
      <c r="AD7" s="21">
        <f t="shared" ca="1" si="44"/>
        <v>0</v>
      </c>
      <c r="AE7" s="21">
        <f t="shared" ca="1" si="45"/>
        <v>0</v>
      </c>
      <c r="AF7" s="21">
        <f t="shared" ca="1" si="46"/>
        <v>0</v>
      </c>
      <c r="AG7" s="21">
        <f t="shared" ca="1" si="3"/>
        <v>0</v>
      </c>
      <c r="AH7" s="21" t="str" cm="1">
        <f t="array" aca="1" ref="AH7" ca="1">IF(ROW()=ROW($AH$2)+1,"",INDEX($AH:$AH,ROW()-1))&amp;IF($A7="","",$A7&amp;",")</f>
        <v/>
      </c>
      <c r="AI7" s="21" t="str">
        <f t="shared" ca="1" si="47"/>
        <v/>
      </c>
      <c r="AJ7" s="21" cm="1">
        <f t="array" aca="1" ref="AJ7" ca="1">IF($G7="",0,SimpleLookup($G7,Definitions!$AE:$AF))</f>
        <v>0</v>
      </c>
      <c r="AK7" s="21" t="str" cm="1">
        <f t="array" aca="1" ref="AK7" ca="1">InverseLookup($A7,Mitigation!$U$2,Mitigation!$J$2,1,Helper!$B$5,",")</f>
        <v/>
      </c>
      <c r="AL7" s="21" t="str" cm="1">
        <f t="array" aca="1" ref="AL7" ca="1">CalculateMaxAndElementsWithFallback(SanitizeInput($AK7),0,"",Countermeasures!$A:Y,Assumptions!$A:Z)</f>
        <v>0:</v>
      </c>
      <c r="AM7" s="21" t="str" cm="1">
        <f t="array" aca="1" ref="AM7" ca="1">CalculateMaxAndElementsWithFallback(SanitizeInput($AK7),0,"",Countermeasures!$A:Z,Assumptions!$A:AA)</f>
        <v>0:</v>
      </c>
      <c r="AN7" s="21" t="str" cm="1">
        <f t="array" aca="1" ref="AN7" ca="1">CalculateMaxAndElementsWithFallback(SanitizeInput($AK7),0,"",Countermeasures!$A:AA,Assumptions!$A:AB)</f>
        <v>0:</v>
      </c>
      <c r="AO7" s="21" t="str" cm="1">
        <f t="array" aca="1" ref="AO7" ca="1">CalculateMaxAndElementsWithFallback(SanitizeInput($AK7),0,"",Countermeasures!$A:AB,Assumptions!$A:AC)</f>
        <v>0:</v>
      </c>
      <c r="AP7" s="21" t="str" cm="1">
        <f t="array" aca="1" ref="AP7" ca="1">CalculateMaxAndElementsWithFallback(SanitizeInput($AK7),0,"",Countermeasures!$A:AC,Assumptions!$A:AD)</f>
        <v>0:</v>
      </c>
      <c r="AQ7" s="21">
        <f t="shared" ca="1" si="48"/>
        <v>0</v>
      </c>
      <c r="AR7" s="21">
        <f t="shared" ca="1" si="49"/>
        <v>0</v>
      </c>
      <c r="AS7" s="21">
        <f t="shared" ca="1" si="50"/>
        <v>0</v>
      </c>
      <c r="AT7" s="21">
        <f t="shared" ca="1" si="51"/>
        <v>0</v>
      </c>
      <c r="AU7" s="21">
        <f t="shared" ca="1" si="52"/>
        <v>0</v>
      </c>
      <c r="AV7" s="21" t="str">
        <f t="shared" ca="1" si="53"/>
        <v>0:</v>
      </c>
      <c r="AW7" s="21" t="str">
        <f t="shared" ca="1" si="54"/>
        <v>0:</v>
      </c>
      <c r="AX7" s="21" t="str">
        <f t="shared" ca="1" si="55"/>
        <v>0:</v>
      </c>
      <c r="AY7" s="21" t="str">
        <f t="shared" ca="1" si="56"/>
        <v>0:</v>
      </c>
      <c r="AZ7" s="21" t="str">
        <f t="shared" ca="1" si="57"/>
        <v>0:</v>
      </c>
      <c r="BA7" s="21">
        <f t="shared" ca="1" si="58"/>
        <v>0</v>
      </c>
      <c r="BB7" s="21">
        <f t="shared" ca="1" si="59"/>
        <v>0</v>
      </c>
      <c r="BC7" s="21">
        <f t="shared" ca="1" si="60"/>
        <v>0</v>
      </c>
      <c r="BD7" s="21">
        <f t="shared" ca="1" si="61"/>
        <v>0</v>
      </c>
      <c r="BE7" s="21">
        <f t="shared" ca="1" si="62"/>
        <v>0</v>
      </c>
      <c r="BF7" s="21">
        <f t="shared" ca="1" si="9"/>
        <v>0</v>
      </c>
      <c r="BG7" s="21" t="str">
        <f ca="1">IFERROR(VLOOKUP($BF7,Definitions!$V:$W,COLUMNS(Definitions!$V:$W),TRUE),"")</f>
        <v>Basic</v>
      </c>
      <c r="BH7" s="21" t="str">
        <f ca="1">_xlfn.LET(
_xlpm._comments,GetValues($K7,Mitigation!$A:$O,"","",FALSE),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7" s="21" t="str" cm="1">
        <f t="array" aca="1" ref="BI7" ca="1">_xlfn.LET(
_xlpm._rapRange,Definitions!$W:$W,
_xlpm._calculatedRAP,$BG7,
_xlpm._inlineRAP,$BH7,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7" s="21" t="str">
        <f ca="1">IFERROR(IF(OR($V7="",$BI7=""),
Definitions!$AE$4,
VLOOKUP($V7,Definitions!$AH:$AM,MATCH($BI7,Definitions!$AH$3:$AM$3,0),FALSE)),
"")</f>
        <v>No Risk</v>
      </c>
      <c r="BK7" s="21" cm="1">
        <f t="array" aca="1" ref="BK7" ca="1">IF($BJ7="",0,SimpleLookup($BJ7,Definitions!$AE:$AF))</f>
        <v>0</v>
      </c>
      <c r="BL7" s="21" t="str" cm="1">
        <f t="array" aca="1" ref="BL7" ca="1">IFERROR(SimpleLookup($A7,Tracing!$B:$Z),"")</f>
        <v/>
      </c>
      <c r="BM7" s="21" t="str" cm="1">
        <f t="array" aca="1" ref="BM7" ca="1">_xlfn.LET(_xlpm._dm,SanitizeInput(GetValuesWithFallback(SanitizeInput($BL7),Assumptions!$A:$I,Countermeasures!$A:$I,"",",",FALSE)),
IF(_xlpm._dm="","",","&amp;_xlpm._dm))</f>
        <v/>
      </c>
      <c r="BN7" s="21" t="str" cm="1">
        <f t="array" aca="1" ref="BN7" ca="1">ApplyDamageMitigation($M7,$BM7,"")</f>
        <v/>
      </c>
      <c r="BO7" s="21" cm="1">
        <f t="array" aca="1" ref="BO7" ca="1">CalculateMaxFromList($BN7,0,'Damage Scenarios'!$A:$U)</f>
        <v>0</v>
      </c>
      <c r="BP7" s="21" t="str">
        <f ca="1">IF($BO7=0,"",INDEX(Definitions!$Q:$Q,MATCH($BO7,Definitions!$R:$R,0)))</f>
        <v/>
      </c>
      <c r="BQ7" s="21" t="str" cm="1">
        <f t="array" aca="1" ref="BQ7" ca="1">CalculateMaxAndElementsWithFallback(SanitizeInput($BL7),0,"",Countermeasures!$A:Y,Assumptions!$A:Z)</f>
        <v>0:</v>
      </c>
      <c r="BR7" s="21" t="str" cm="1">
        <f t="array" aca="1" ref="BR7" ca="1">CalculateMaxAndElementsWithFallback(SanitizeInput($BL7),0,"",Countermeasures!$A:Z,Assumptions!$A:AA)</f>
        <v>0:</v>
      </c>
      <c r="BS7" s="21" t="str" cm="1">
        <f t="array" aca="1" ref="BS7" ca="1">CalculateMaxAndElementsWithFallback(SanitizeInput($BL7),0,"",Countermeasures!$A:AA,Assumptions!$A:AB)</f>
        <v>0:</v>
      </c>
      <c r="BT7" s="21" t="str" cm="1">
        <f t="array" aca="1" ref="BT7" ca="1">CalculateMaxAndElementsWithFallback(SanitizeInput($BL7),0,"",Countermeasures!$A:AB,Assumptions!$A:AC)</f>
        <v>0:</v>
      </c>
      <c r="BU7" s="21" t="str" cm="1">
        <f t="array" aca="1" ref="BU7" ca="1">CalculateMaxAndElementsWithFallback(SanitizeInput($BL7),0,"",Countermeasures!$A:AC,Assumptions!$A:AD)</f>
        <v>0:</v>
      </c>
      <c r="BV7" s="21">
        <f t="shared" ca="1" si="25"/>
        <v>0</v>
      </c>
      <c r="BW7" s="21">
        <f t="shared" ca="1" si="26"/>
        <v>0</v>
      </c>
      <c r="BX7" s="21">
        <f t="shared" ca="1" si="27"/>
        <v>0</v>
      </c>
      <c r="BY7" s="21">
        <f t="shared" ca="1" si="28"/>
        <v>0</v>
      </c>
      <c r="BZ7" s="21">
        <f t="shared" ca="1" si="29"/>
        <v>0</v>
      </c>
      <c r="CA7" s="21" t="str">
        <f t="shared" ca="1" si="30"/>
        <v>0:</v>
      </c>
      <c r="CB7" s="21" t="str">
        <f t="shared" ca="1" si="31"/>
        <v>0:</v>
      </c>
      <c r="CC7" s="21" t="str">
        <f t="shared" ca="1" si="32"/>
        <v>0:</v>
      </c>
      <c r="CD7" s="21" t="str">
        <f t="shared" ca="1" si="33"/>
        <v>0:</v>
      </c>
      <c r="CE7" s="21" t="str">
        <f t="shared" ca="1" si="34"/>
        <v>0:</v>
      </c>
      <c r="CF7" s="21">
        <f t="shared" ca="1" si="35"/>
        <v>0</v>
      </c>
      <c r="CG7" s="21">
        <f t="shared" ca="1" si="36"/>
        <v>0</v>
      </c>
      <c r="CH7" s="21">
        <f t="shared" ca="1" si="37"/>
        <v>0</v>
      </c>
      <c r="CI7" s="21">
        <f t="shared" ca="1" si="38"/>
        <v>0</v>
      </c>
      <c r="CJ7" s="21">
        <f t="shared" ca="1" si="39"/>
        <v>0</v>
      </c>
      <c r="CK7" s="21">
        <f t="shared" ca="1" si="23"/>
        <v>0</v>
      </c>
      <c r="CL7" s="21" t="str">
        <f ca="1">IFERROR(VLOOKUP($CK7,Definitions!$V:$W,COLUMNS(Definitions!$V:$W),TRUE),"")</f>
        <v>Basic</v>
      </c>
      <c r="CM7" s="21" t="str">
        <f ca="1">_xlfn.LET(
_xlpm._comments,SimpleLookup($A7,Tracing!$B:$AB),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7" s="21" t="str" cm="1">
        <f t="array" aca="1" ref="CN7" ca="1">_xlfn.LET(
_xlpm._rapRange,Definitions!$W:$W,
_xlpm._calculatedRAP,$CL7,
_xlpm._inlineRAP,$CM7,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7" s="21" t="str">
        <f ca="1">IFERROR(IF(OR($BP7="",$CN7=""),
Definitions!$AE$4,
VLOOKUP($BP7,Definitions!$AH:$AM,MATCH($CN7,Definitions!$AH$3:$AM$3,0),FALSE)),
"")</f>
        <v>No Risk</v>
      </c>
      <c r="CP7" s="21" cm="1">
        <f t="array" aca="1" ref="CP7" ca="1">IF($CO7="",0,SimpleLookup($CO7,Definitions!$AE:$AF))</f>
        <v>0</v>
      </c>
      <c r="CQ7" s="21" t="b">
        <f ca="1">OR(AND($S7,$I7=Helper!$B$7),$I7&gt;Helper!$B$7)</f>
        <v>1</v>
      </c>
      <c r="CR7" s="21" t="str">
        <f t="shared" ca="1" si="24"/>
        <v/>
      </c>
      <c r="CS7" s="21" cm="1">
        <f t="array" aca="1" ref="CS7" ca="1">CreateID($CS$2,$CV:$CV,$CR7&lt;&gt;"")</f>
        <v>0</v>
      </c>
      <c r="CT7" s="21" t="str">
        <f ca="1">IF(IFERROR(MATCH(","&amp;A7&amp;",",'Risk Treatment'!$AT:$AT,0)&gt;0,FALSE),"",$A7)</f>
        <v/>
      </c>
      <c r="CU7" s="21" cm="1">
        <f t="array" aca="1" ref="CU7" ca="1">CreateID($CU$2,$CU:$CU,$CT7&lt;&gt;"")</f>
        <v>0</v>
      </c>
    </row>
    <row r="8" spans="1:101" x14ac:dyDescent="0.25">
      <c r="A8" s="33" t="str" cm="1">
        <f t="array" aca="1" ref="A8" ca="1">IF($B8="","","R"&amp;RemoveDelimiter(SUBSTITUTE(SUBSTITUTE($K8,"AS",""),",","-"),"-"))</f>
        <v/>
      </c>
      <c r="B8" s="33" t="str" cm="1">
        <f t="array" aca="1" ref="B8" ca="1">IF($L8="","",_xlfn.LET(
_xlpm._finalAttackStep,$L8,
_xlpm._prepAttacks,RemoveFirstElement(_xlpm._finalAttackStep&amp;","&amp;$K8),
_xlpm._prepAttackNames,IFERROR(LookupNames(_xlpm._prepAttacks,'Attack Steps'!$A:$B),""),
_xlpm._delimiter,REPT(CHAR(150),55),
$L8&amp;" "&amp;SimpleLookup($L8,'Attack Steps'!$A:$B)&amp;
IF(_xlpm._prepAttackNames="","",CHAR(10)&amp;_xlpm._delimiter&amp;CHAR(10)&amp;_xlpm._prepAttackNames)))</f>
        <v/>
      </c>
      <c r="C8" s="34" t="str" cm="1">
        <f t="array" aca="1" ref="C8" ca="1">IFERROR(LookupNames($M8,'Damage Scenarios'!$A:$V),"")</f>
        <v/>
      </c>
      <c r="D8" s="33" t="str">
        <f ca="1">IFERROR(IF($T8=0,"",INDEX(Definitions!$Q:$Q,MATCH($T8,Definitions!$R:$R,0))),"")</f>
        <v/>
      </c>
      <c r="E8" s="34" t="str" cm="1">
        <f t="array" aca="1" ref="E8" ca="1">IF($A8="","",_xlfn.LET(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_xlpm._factorFunction($A8,$A:W,Definitions!$Y:$Y,Definitions!$AB:$AB,1)&amp;CHAR(10)&amp;
_xlpm._factorFunction($A8,$A:X,Definitions!$Y:$Y,Definitions!$AB:$AB,2)&amp;CHAR(10)&amp;
_xlpm._factorFunction($A8,$A:Y,Definitions!$Y:$Y,Definitions!$AB:$AB,3)&amp;CHAR(10)&amp;
_xlpm._factorFunction($A8,$A:Z,Definitions!$Y:$Y,Definitions!$AB:$AB,4)&amp;CHAR(10)&amp;
_xlpm._factorFunction($A8,$A:AA,Definitions!$Y:$Y,Definitions!$AB:$AB,5)))</f>
        <v/>
      </c>
      <c r="F8" s="33" t="str">
        <f ca="1">IF($A8="","",IFERROR(VLOOKUP($AG8,Definitions!$V:$W,COLUMNS(Definitions!$V:$W),TRUE),""))</f>
        <v/>
      </c>
      <c r="G8" s="33" t="str">
        <f ca="1">IFERROR(IF(OR($D8="",$F8=""),
"",
VLOOKUP($D8,Definitions!$AH:$AM,MATCH($F8,Definitions!$AH$3:$AM$3,0),FALSE)),
"")</f>
        <v/>
      </c>
      <c r="H8" s="23" cm="1">
        <f t="array" aca="1" ref="H8" ca="1">IF(ROW()=ROW($H$2)+1,0,INDEX($H:$H,ROW()-1))+IF($A8="",0,1)</f>
        <v>0</v>
      </c>
      <c r="I8" s="21" cm="1">
        <f t="array" aca="1" ref="I8" ca="1">IF(ROW()=ROW($I$2)+1,
1,
INDEX($I:$I,ROW()-1)+IF(INDEX($S:$S,ROW()-1),1,0))</f>
        <v>1</v>
      </c>
      <c r="J8" s="21">
        <f t="shared" ca="1" si="0"/>
        <v>6</v>
      </c>
      <c r="K8" s="21" t="str">
        <f t="shared" ca="1" si="40"/>
        <v/>
      </c>
      <c r="L8" s="21" t="str" cm="1">
        <f t="array" aca="1" ref="L8" ca="1">IF($P8="","",INDEX('Attack Steps'!$A:$A,$P8))</f>
        <v/>
      </c>
      <c r="M8" s="21" t="str" cm="1">
        <f t="array" aca="1" ref="M8" ca="1">IF($P8="","",INDEX('Attack Steps'!$T:$T,$P8))</f>
        <v/>
      </c>
      <c r="N8" s="21" t="str" cm="1">
        <f t="array" aca="1" ref="N8" ca="1">_xlfn.LET(_xlpm._dm,SanitizeInput(GetValuesWithFallback(SanitizeInput($AK8),Assumptions!$A:$I,Countermeasures!$A:$I,"",",",FALSE)),
IF(_xlpm._dm="","",","&amp;_xlpm._dm))</f>
        <v/>
      </c>
      <c r="O8" s="21" t="str" cm="1">
        <f t="array" aca="1" ref="O8" ca="1">ApplyDamageMitigation($M8,$N8,"")</f>
        <v/>
      </c>
      <c r="P8" s="21" t="str">
        <f ca="1">IFERROR(MATCH($I8,'Attack Steps'!$V:$V,0),"")</f>
        <v/>
      </c>
      <c r="Q8" s="21" t="str" cm="1">
        <f t="array" aca="1" ref="Q8" ca="1">IF($P8="","","§"&amp;INDEX('Attack Steps'!$S:$S,$P8))</f>
        <v/>
      </c>
      <c r="R8" s="21" t="str" cm="1">
        <f t="array" aca="1" ref="R8" ca="1">IF($P8="","",INDEX('Attack Steps'!$W:$W,$P8))</f>
        <v/>
      </c>
      <c r="S8" s="21" t="b">
        <f t="shared" ca="1" si="41"/>
        <v>0</v>
      </c>
      <c r="T8" s="21" cm="1">
        <f t="array" aca="1" ref="T8" ca="1">_xlfn.LAMBDA(_xlpm._in,_xlpm._val,_xlpm._range,
IF(_xlpm._in="",_xlpm._val,_xlfn.LET(
_xlpm._id,LEFT(_xlpm._in,FIND(",",_xlpm._in)-1),
CalculateMaxFromList(RemoveFirstElement(_xlpm._in),MAX(_xlpm._val,VLOOKUP(_xlpm._id,_xlpm._range,COLUMNS(_xlpm._range),FALSE)),_xlpm._range))))($M8,0,'Damage Scenarios'!$A:$U)</f>
        <v>0</v>
      </c>
      <c r="U8" s="21" cm="1">
        <f t="array" aca="1" ref="U8" ca="1">CalculateMaxFromList($O8,0,'Damage Scenarios'!$A:$U)</f>
        <v>0</v>
      </c>
      <c r="V8" s="21" t="str">
        <f ca="1">IF($U8=0,"",INDEX(Definitions!$Q:$Q,MATCH($U8,Definitions!$R:$R,0)))</f>
        <v/>
      </c>
      <c r="W8" s="21" t="str" cm="1">
        <f t="array" aca="1" ref="W8" ca="1">CalculateMaxAndElements($K8,0,"",'Attack Steps'!$A:X)</f>
        <v>0:</v>
      </c>
      <c r="X8" s="21" t="str" cm="1">
        <f t="array" aca="1" ref="X8" ca="1">CalculateMaxAndElements($K8,0,"",'Attack Steps'!$A:Y)</f>
        <v>0:</v>
      </c>
      <c r="Y8" s="21" t="str" cm="1">
        <f t="array" aca="1" ref="Y8" ca="1">CalculateMaxAndElements($K8,0,"",'Attack Steps'!$A:Z)</f>
        <v>0:</v>
      </c>
      <c r="Z8" s="21" t="str" cm="1">
        <f t="array" aca="1" ref="Z8" ca="1">CalculateMaxAndElements($K8,0,"",'Attack Steps'!$A:AA)</f>
        <v>0:</v>
      </c>
      <c r="AA8" s="21" t="str" cm="1">
        <f t="array" aca="1" ref="AA8" ca="1">CalculateMaxAndElements($K8,0,"",'Attack Steps'!$A:AB)</f>
        <v>0:</v>
      </c>
      <c r="AB8" s="21">
        <f t="shared" ca="1" si="42"/>
        <v>0</v>
      </c>
      <c r="AC8" s="21">
        <f t="shared" ca="1" si="43"/>
        <v>0</v>
      </c>
      <c r="AD8" s="21">
        <f t="shared" ca="1" si="44"/>
        <v>0</v>
      </c>
      <c r="AE8" s="21">
        <f t="shared" ca="1" si="45"/>
        <v>0</v>
      </c>
      <c r="AF8" s="21">
        <f t="shared" ca="1" si="46"/>
        <v>0</v>
      </c>
      <c r="AG8" s="21">
        <f t="shared" ca="1" si="3"/>
        <v>0</v>
      </c>
      <c r="AH8" s="21" t="str" cm="1">
        <f t="array" aca="1" ref="AH8" ca="1">IF(ROW()=ROW($AH$2)+1,"",INDEX($AH:$AH,ROW()-1))&amp;IF($A8="","",$A8&amp;",")</f>
        <v/>
      </c>
      <c r="AI8" s="21" t="str">
        <f t="shared" ca="1" si="47"/>
        <v/>
      </c>
      <c r="AJ8" s="21" cm="1">
        <f t="array" aca="1" ref="AJ8" ca="1">IF($G8="",0,SimpleLookup($G8,Definitions!$AE:$AF))</f>
        <v>0</v>
      </c>
      <c r="AK8" s="21" t="str" cm="1">
        <f t="array" aca="1" ref="AK8" ca="1">InverseLookup($A8,Mitigation!$U$2,Mitigation!$J$2,1,Helper!$B$5,",")</f>
        <v/>
      </c>
      <c r="AL8" s="21" t="str" cm="1">
        <f t="array" aca="1" ref="AL8" ca="1">CalculateMaxAndElementsWithFallback(SanitizeInput($AK8),0,"",Countermeasures!$A:Y,Assumptions!$A:Z)</f>
        <v>0:</v>
      </c>
      <c r="AM8" s="21" t="str" cm="1">
        <f t="array" aca="1" ref="AM8" ca="1">CalculateMaxAndElementsWithFallback(SanitizeInput($AK8),0,"",Countermeasures!$A:Z,Assumptions!$A:AA)</f>
        <v>0:</v>
      </c>
      <c r="AN8" s="21" t="str" cm="1">
        <f t="array" aca="1" ref="AN8" ca="1">CalculateMaxAndElementsWithFallback(SanitizeInput($AK8),0,"",Countermeasures!$A:AA,Assumptions!$A:AB)</f>
        <v>0:</v>
      </c>
      <c r="AO8" s="21" t="str" cm="1">
        <f t="array" aca="1" ref="AO8" ca="1">CalculateMaxAndElementsWithFallback(SanitizeInput($AK8),0,"",Countermeasures!$A:AB,Assumptions!$A:AC)</f>
        <v>0:</v>
      </c>
      <c r="AP8" s="21" t="str" cm="1">
        <f t="array" aca="1" ref="AP8" ca="1">CalculateMaxAndElementsWithFallback(SanitizeInput($AK8),0,"",Countermeasures!$A:AC,Assumptions!$A:AD)</f>
        <v>0:</v>
      </c>
      <c r="AQ8" s="21">
        <f t="shared" ca="1" si="48"/>
        <v>0</v>
      </c>
      <c r="AR8" s="21">
        <f t="shared" ca="1" si="49"/>
        <v>0</v>
      </c>
      <c r="AS8" s="21">
        <f t="shared" ca="1" si="50"/>
        <v>0</v>
      </c>
      <c r="AT8" s="21">
        <f t="shared" ca="1" si="51"/>
        <v>0</v>
      </c>
      <c r="AU8" s="21">
        <f t="shared" ca="1" si="52"/>
        <v>0</v>
      </c>
      <c r="AV8" s="21" t="str">
        <f t="shared" ca="1" si="53"/>
        <v>0:</v>
      </c>
      <c r="AW8" s="21" t="str">
        <f t="shared" ca="1" si="54"/>
        <v>0:</v>
      </c>
      <c r="AX8" s="21" t="str">
        <f t="shared" ca="1" si="55"/>
        <v>0:</v>
      </c>
      <c r="AY8" s="21" t="str">
        <f t="shared" ca="1" si="56"/>
        <v>0:</v>
      </c>
      <c r="AZ8" s="21" t="str">
        <f t="shared" ca="1" si="57"/>
        <v>0:</v>
      </c>
      <c r="BA8" s="21">
        <f t="shared" ca="1" si="58"/>
        <v>0</v>
      </c>
      <c r="BB8" s="21">
        <f t="shared" ca="1" si="59"/>
        <v>0</v>
      </c>
      <c r="BC8" s="21">
        <f t="shared" ca="1" si="60"/>
        <v>0</v>
      </c>
      <c r="BD8" s="21">
        <f t="shared" ca="1" si="61"/>
        <v>0</v>
      </c>
      <c r="BE8" s="21">
        <f t="shared" ca="1" si="62"/>
        <v>0</v>
      </c>
      <c r="BF8" s="21">
        <f t="shared" ca="1" si="9"/>
        <v>0</v>
      </c>
      <c r="BG8" s="21" t="str">
        <f ca="1">IFERROR(VLOOKUP($BF8,Definitions!$V:$W,COLUMNS(Definitions!$V:$W),TRUE),"")</f>
        <v>Basic</v>
      </c>
      <c r="BH8" s="21" t="str">
        <f ca="1">_xlfn.LET(
_xlpm._comments,GetValues($K8,Mitigation!$A:$O,"","",FALSE),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8" s="21" t="str" cm="1">
        <f t="array" aca="1" ref="BI8" ca="1">_xlfn.LET(
_xlpm._rapRange,Definitions!$W:$W,
_xlpm._calculatedRAP,$BG8,
_xlpm._inlineRAP,$BH8,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8" s="21" t="str">
        <f ca="1">IFERROR(IF(OR($V8="",$BI8=""),
Definitions!$AE$4,
VLOOKUP($V8,Definitions!$AH:$AM,MATCH($BI8,Definitions!$AH$3:$AM$3,0),FALSE)),
"")</f>
        <v>No Risk</v>
      </c>
      <c r="BK8" s="21" cm="1">
        <f t="array" aca="1" ref="BK8" ca="1">IF($BJ8="",0,SimpleLookup($BJ8,Definitions!$AE:$AF))</f>
        <v>0</v>
      </c>
      <c r="BL8" s="21" t="str" cm="1">
        <f t="array" aca="1" ref="BL8" ca="1">IFERROR(SimpleLookup($A8,Tracing!$B:$Z),"")</f>
        <v/>
      </c>
      <c r="BM8" s="21" t="str" cm="1">
        <f t="array" aca="1" ref="BM8" ca="1">_xlfn.LET(_xlpm._dm,SanitizeInput(GetValuesWithFallback(SanitizeInput($BL8),Assumptions!$A:$I,Countermeasures!$A:$I,"",",",FALSE)),
IF(_xlpm._dm="","",","&amp;_xlpm._dm))</f>
        <v/>
      </c>
      <c r="BN8" s="21" t="str" cm="1">
        <f t="array" aca="1" ref="BN8" ca="1">ApplyDamageMitigation($M8,$BM8,"")</f>
        <v/>
      </c>
      <c r="BO8" s="21" cm="1">
        <f t="array" aca="1" ref="BO8" ca="1">CalculateMaxFromList($BN8,0,'Damage Scenarios'!$A:$U)</f>
        <v>0</v>
      </c>
      <c r="BP8" s="21" t="str">
        <f ca="1">IF($BO8=0,"",INDEX(Definitions!$Q:$Q,MATCH($BO8,Definitions!$R:$R,0)))</f>
        <v/>
      </c>
      <c r="BQ8" s="21" t="str" cm="1">
        <f t="array" aca="1" ref="BQ8" ca="1">CalculateMaxAndElementsWithFallback(SanitizeInput($BL8),0,"",Countermeasures!$A:Y,Assumptions!$A:Z)</f>
        <v>0:</v>
      </c>
      <c r="BR8" s="21" t="str" cm="1">
        <f t="array" aca="1" ref="BR8" ca="1">CalculateMaxAndElementsWithFallback(SanitizeInput($BL8),0,"",Countermeasures!$A:Z,Assumptions!$A:AA)</f>
        <v>0:</v>
      </c>
      <c r="BS8" s="21" t="str" cm="1">
        <f t="array" aca="1" ref="BS8" ca="1">CalculateMaxAndElementsWithFallback(SanitizeInput($BL8),0,"",Countermeasures!$A:AA,Assumptions!$A:AB)</f>
        <v>0:</v>
      </c>
      <c r="BT8" s="21" t="str" cm="1">
        <f t="array" aca="1" ref="BT8" ca="1">CalculateMaxAndElementsWithFallback(SanitizeInput($BL8),0,"",Countermeasures!$A:AB,Assumptions!$A:AC)</f>
        <v>0:</v>
      </c>
      <c r="BU8" s="21" t="str" cm="1">
        <f t="array" aca="1" ref="BU8" ca="1">CalculateMaxAndElementsWithFallback(SanitizeInput($BL8),0,"",Countermeasures!$A:AC,Assumptions!$A:AD)</f>
        <v>0:</v>
      </c>
      <c r="BV8" s="21">
        <f t="shared" ca="1" si="25"/>
        <v>0</v>
      </c>
      <c r="BW8" s="21">
        <f t="shared" ca="1" si="26"/>
        <v>0</v>
      </c>
      <c r="BX8" s="21">
        <f t="shared" ca="1" si="27"/>
        <v>0</v>
      </c>
      <c r="BY8" s="21">
        <f t="shared" ca="1" si="28"/>
        <v>0</v>
      </c>
      <c r="BZ8" s="21">
        <f t="shared" ca="1" si="29"/>
        <v>0</v>
      </c>
      <c r="CA8" s="21" t="str">
        <f t="shared" ca="1" si="30"/>
        <v>0:</v>
      </c>
      <c r="CB8" s="21" t="str">
        <f t="shared" ca="1" si="31"/>
        <v>0:</v>
      </c>
      <c r="CC8" s="21" t="str">
        <f t="shared" ca="1" si="32"/>
        <v>0:</v>
      </c>
      <c r="CD8" s="21" t="str">
        <f t="shared" ca="1" si="33"/>
        <v>0:</v>
      </c>
      <c r="CE8" s="21" t="str">
        <f t="shared" ca="1" si="34"/>
        <v>0:</v>
      </c>
      <c r="CF8" s="21">
        <f t="shared" ca="1" si="35"/>
        <v>0</v>
      </c>
      <c r="CG8" s="21">
        <f t="shared" ca="1" si="36"/>
        <v>0</v>
      </c>
      <c r="CH8" s="21">
        <f t="shared" ca="1" si="37"/>
        <v>0</v>
      </c>
      <c r="CI8" s="21">
        <f t="shared" ca="1" si="38"/>
        <v>0</v>
      </c>
      <c r="CJ8" s="21">
        <f t="shared" ca="1" si="39"/>
        <v>0</v>
      </c>
      <c r="CK8" s="21">
        <f t="shared" ca="1" si="23"/>
        <v>0</v>
      </c>
      <c r="CL8" s="21" t="str">
        <f ca="1">IFERROR(VLOOKUP($CK8,Definitions!$V:$W,COLUMNS(Definitions!$V:$W),TRUE),"")</f>
        <v>Basic</v>
      </c>
      <c r="CM8" s="21" t="str">
        <f ca="1">_xlfn.LET(
_xlpm._comments,SimpleLookup($A8,Tracing!$B:$AB),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8" s="21" t="str" cm="1">
        <f t="array" aca="1" ref="CN8" ca="1">_xlfn.LET(
_xlpm._rapRange,Definitions!$W:$W,
_xlpm._calculatedRAP,$CL8,
_xlpm._inlineRAP,$CM8,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8" s="21" t="str">
        <f ca="1">IFERROR(IF(OR($BP8="",$CN8=""),
Definitions!$AE$4,
VLOOKUP($BP8,Definitions!$AH:$AM,MATCH($CN8,Definitions!$AH$3:$AM$3,0),FALSE)),
"")</f>
        <v>No Risk</v>
      </c>
      <c r="CP8" s="21" cm="1">
        <f t="array" aca="1" ref="CP8" ca="1">IF($CO8="",0,SimpleLookup($CO8,Definitions!$AE:$AF))</f>
        <v>0</v>
      </c>
      <c r="CQ8" s="21" t="b">
        <f ca="1">OR(AND($S8,$I8=Helper!$B$7),$I8&gt;Helper!$B$7)</f>
        <v>1</v>
      </c>
      <c r="CR8" s="21" t="str">
        <f t="shared" ca="1" si="24"/>
        <v/>
      </c>
      <c r="CS8" s="21" cm="1">
        <f t="array" aca="1" ref="CS8" ca="1">CreateID($CS$2,$CV:$CV,$CR8&lt;&gt;"")</f>
        <v>0</v>
      </c>
      <c r="CT8" s="21" t="str">
        <f ca="1">IF(IFERROR(MATCH(","&amp;A8&amp;",",'Risk Treatment'!$AT:$AT,0)&gt;0,FALSE),"",$A8)</f>
        <v/>
      </c>
      <c r="CU8" s="21" cm="1">
        <f t="array" aca="1" ref="CU8" ca="1">CreateID($CU$2,$CU:$CU,$CT8&lt;&gt;"")</f>
        <v>0</v>
      </c>
    </row>
    <row r="9" spans="1:101" x14ac:dyDescent="0.25">
      <c r="A9" s="33" t="str" cm="1">
        <f t="array" aca="1" ref="A9" ca="1">IF($B9="","","R"&amp;RemoveDelimiter(SUBSTITUTE(SUBSTITUTE($K9,"AS",""),",","-"),"-"))</f>
        <v/>
      </c>
      <c r="B9" s="33" t="str" cm="1">
        <f t="array" aca="1" ref="B9" ca="1">IF($L9="","",_xlfn.LET(
_xlpm._finalAttackStep,$L9,
_xlpm._prepAttacks,RemoveFirstElement(_xlpm._finalAttackStep&amp;","&amp;$K9),
_xlpm._prepAttackNames,IFERROR(LookupNames(_xlpm._prepAttacks,'Attack Steps'!$A:$B),""),
_xlpm._delimiter,REPT(CHAR(150),55),
$L9&amp;" "&amp;SimpleLookup($L9,'Attack Steps'!$A:$B)&amp;
IF(_xlpm._prepAttackNames="","",CHAR(10)&amp;_xlpm._delimiter&amp;CHAR(10)&amp;_xlpm._prepAttackNames)))</f>
        <v/>
      </c>
      <c r="C9" s="34" t="str" cm="1">
        <f t="array" aca="1" ref="C9" ca="1">IFERROR(LookupNames($M9,'Damage Scenarios'!$A:$V),"")</f>
        <v/>
      </c>
      <c r="D9" s="33" t="str">
        <f ca="1">IFERROR(IF($T9=0,"",INDEX(Definitions!$Q:$Q,MATCH($T9,Definitions!$R:$R,0))),"")</f>
        <v/>
      </c>
      <c r="E9" s="34" t="str" cm="1">
        <f t="array" aca="1" ref="E9" ca="1">IF($A9="","",_xlfn.LET(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_xlpm._factorFunction($A9,$A:W,Definitions!$Y:$Y,Definitions!$AB:$AB,1)&amp;CHAR(10)&amp;
_xlpm._factorFunction($A9,$A:X,Definitions!$Y:$Y,Definitions!$AB:$AB,2)&amp;CHAR(10)&amp;
_xlpm._factorFunction($A9,$A:Y,Definitions!$Y:$Y,Definitions!$AB:$AB,3)&amp;CHAR(10)&amp;
_xlpm._factorFunction($A9,$A:Z,Definitions!$Y:$Y,Definitions!$AB:$AB,4)&amp;CHAR(10)&amp;
_xlpm._factorFunction($A9,$A:AA,Definitions!$Y:$Y,Definitions!$AB:$AB,5)))</f>
        <v/>
      </c>
      <c r="F9" s="33" t="str">
        <f ca="1">IF($A9="","",IFERROR(VLOOKUP($AG9,Definitions!$V:$W,COLUMNS(Definitions!$V:$W),TRUE),""))</f>
        <v/>
      </c>
      <c r="G9" s="33" t="str">
        <f ca="1">IFERROR(IF(OR($D9="",$F9=""),
"",
VLOOKUP($D9,Definitions!$AH:$AM,MATCH($F9,Definitions!$AH$3:$AM$3,0),FALSE)),
"")</f>
        <v/>
      </c>
      <c r="H9" s="23" cm="1">
        <f t="array" aca="1" ref="H9" ca="1">IF(ROW()=ROW($H$2)+1,0,INDEX($H:$H,ROW()-1))+IF($A9="",0,1)</f>
        <v>0</v>
      </c>
      <c r="I9" s="21" cm="1">
        <f t="array" aca="1" ref="I9" ca="1">IF(ROW()=ROW($I$2)+1,
1,
INDEX($I:$I,ROW()-1)+IF(INDEX($S:$S,ROW()-1),1,0))</f>
        <v>1</v>
      </c>
      <c r="J9" s="21">
        <f t="shared" ca="1" si="0"/>
        <v>7</v>
      </c>
      <c r="K9" s="21" t="str">
        <f t="shared" ca="1" si="40"/>
        <v/>
      </c>
      <c r="L9" s="21" t="str" cm="1">
        <f t="array" aca="1" ref="L9" ca="1">IF($P9="","",INDEX('Attack Steps'!$A:$A,$P9))</f>
        <v/>
      </c>
      <c r="M9" s="21" t="str" cm="1">
        <f t="array" aca="1" ref="M9" ca="1">IF($P9="","",INDEX('Attack Steps'!$T:$T,$P9))</f>
        <v/>
      </c>
      <c r="N9" s="21" t="str" cm="1">
        <f t="array" aca="1" ref="N9" ca="1">_xlfn.LET(_xlpm._dm,SanitizeInput(GetValuesWithFallback(SanitizeInput($AK9),Assumptions!$A:$I,Countermeasures!$A:$I,"",",",FALSE)),
IF(_xlpm._dm="","",","&amp;_xlpm._dm))</f>
        <v/>
      </c>
      <c r="O9" s="21" t="str" cm="1">
        <f t="array" aca="1" ref="O9" ca="1">ApplyDamageMitigation($M9,$N9,"")</f>
        <v/>
      </c>
      <c r="P9" s="21" t="str">
        <f ca="1">IFERROR(MATCH($I9,'Attack Steps'!$V:$V,0),"")</f>
        <v/>
      </c>
      <c r="Q9" s="21" t="str" cm="1">
        <f t="array" aca="1" ref="Q9" ca="1">IF($P9="","","§"&amp;INDEX('Attack Steps'!$S:$S,$P9))</f>
        <v/>
      </c>
      <c r="R9" s="21" t="str" cm="1">
        <f t="array" aca="1" ref="R9" ca="1">IF($P9="","",INDEX('Attack Steps'!$W:$W,$P9))</f>
        <v/>
      </c>
      <c r="S9" s="21" t="b">
        <f t="shared" ca="1" si="41"/>
        <v>0</v>
      </c>
      <c r="T9" s="21" cm="1">
        <f t="array" aca="1" ref="T9" ca="1">_xlfn.LAMBDA(_xlpm._in,_xlpm._val,_xlpm._range,
IF(_xlpm._in="",_xlpm._val,_xlfn.LET(
_xlpm._id,LEFT(_xlpm._in,FIND(",",_xlpm._in)-1),
CalculateMaxFromList(RemoveFirstElement(_xlpm._in),MAX(_xlpm._val,VLOOKUP(_xlpm._id,_xlpm._range,COLUMNS(_xlpm._range),FALSE)),_xlpm._range))))($M9,0,'Damage Scenarios'!$A:$U)</f>
        <v>0</v>
      </c>
      <c r="U9" s="21" cm="1">
        <f t="array" aca="1" ref="U9" ca="1">CalculateMaxFromList($O9,0,'Damage Scenarios'!$A:$U)</f>
        <v>0</v>
      </c>
      <c r="V9" s="21" t="str">
        <f ca="1">IF($U9=0,"",INDEX(Definitions!$Q:$Q,MATCH($U9,Definitions!$R:$R,0)))</f>
        <v/>
      </c>
      <c r="W9" s="21" t="str" cm="1">
        <f t="array" aca="1" ref="W9" ca="1">CalculateMaxAndElements($K9,0,"",'Attack Steps'!$A:X)</f>
        <v>0:</v>
      </c>
      <c r="X9" s="21" t="str" cm="1">
        <f t="array" aca="1" ref="X9" ca="1">CalculateMaxAndElements($K9,0,"",'Attack Steps'!$A:Y)</f>
        <v>0:</v>
      </c>
      <c r="Y9" s="21" t="str" cm="1">
        <f t="array" aca="1" ref="Y9" ca="1">CalculateMaxAndElements($K9,0,"",'Attack Steps'!$A:Z)</f>
        <v>0:</v>
      </c>
      <c r="Z9" s="21" t="str" cm="1">
        <f t="array" aca="1" ref="Z9" ca="1">CalculateMaxAndElements($K9,0,"",'Attack Steps'!$A:AA)</f>
        <v>0:</v>
      </c>
      <c r="AA9" s="21" t="str" cm="1">
        <f t="array" aca="1" ref="AA9" ca="1">CalculateMaxAndElements($K9,0,"",'Attack Steps'!$A:AB)</f>
        <v>0:</v>
      </c>
      <c r="AB9" s="21">
        <f t="shared" ca="1" si="42"/>
        <v>0</v>
      </c>
      <c r="AC9" s="21">
        <f t="shared" ca="1" si="43"/>
        <v>0</v>
      </c>
      <c r="AD9" s="21">
        <f t="shared" ca="1" si="44"/>
        <v>0</v>
      </c>
      <c r="AE9" s="21">
        <f t="shared" ca="1" si="45"/>
        <v>0</v>
      </c>
      <c r="AF9" s="21">
        <f t="shared" ca="1" si="46"/>
        <v>0</v>
      </c>
      <c r="AG9" s="21">
        <f t="shared" ca="1" si="3"/>
        <v>0</v>
      </c>
      <c r="AH9" s="21" t="str" cm="1">
        <f t="array" aca="1" ref="AH9" ca="1">IF(ROW()=ROW($AH$2)+1,"",INDEX($AH:$AH,ROW()-1))&amp;IF($A9="","",$A9&amp;",")</f>
        <v/>
      </c>
      <c r="AI9" s="21" t="str">
        <f t="shared" ca="1" si="47"/>
        <v/>
      </c>
      <c r="AJ9" s="21" cm="1">
        <f t="array" aca="1" ref="AJ9" ca="1">IF($G9="",0,SimpleLookup($G9,Definitions!$AE:$AF))</f>
        <v>0</v>
      </c>
      <c r="AK9" s="21" t="str" cm="1">
        <f t="array" aca="1" ref="AK9" ca="1">InverseLookup($A9,Mitigation!$U$2,Mitigation!$J$2,1,Helper!$B$5,",")</f>
        <v/>
      </c>
      <c r="AL9" s="21" t="str" cm="1">
        <f t="array" aca="1" ref="AL9" ca="1">CalculateMaxAndElementsWithFallback(SanitizeInput($AK9),0,"",Countermeasures!$A:Y,Assumptions!$A:Z)</f>
        <v>0:</v>
      </c>
      <c r="AM9" s="21" t="str" cm="1">
        <f t="array" aca="1" ref="AM9" ca="1">CalculateMaxAndElementsWithFallback(SanitizeInput($AK9),0,"",Countermeasures!$A:Z,Assumptions!$A:AA)</f>
        <v>0:</v>
      </c>
      <c r="AN9" s="21" t="str" cm="1">
        <f t="array" aca="1" ref="AN9" ca="1">CalculateMaxAndElementsWithFallback(SanitizeInput($AK9),0,"",Countermeasures!$A:AA,Assumptions!$A:AB)</f>
        <v>0:</v>
      </c>
      <c r="AO9" s="21" t="str" cm="1">
        <f t="array" aca="1" ref="AO9" ca="1">CalculateMaxAndElementsWithFallback(SanitizeInput($AK9),0,"",Countermeasures!$A:AB,Assumptions!$A:AC)</f>
        <v>0:</v>
      </c>
      <c r="AP9" s="21" t="str" cm="1">
        <f t="array" aca="1" ref="AP9" ca="1">CalculateMaxAndElementsWithFallback(SanitizeInput($AK9),0,"",Countermeasures!$A:AC,Assumptions!$A:AD)</f>
        <v>0:</v>
      </c>
      <c r="AQ9" s="21">
        <f t="shared" ca="1" si="48"/>
        <v>0</v>
      </c>
      <c r="AR9" s="21">
        <f t="shared" ca="1" si="49"/>
        <v>0</v>
      </c>
      <c r="AS9" s="21">
        <f t="shared" ca="1" si="50"/>
        <v>0</v>
      </c>
      <c r="AT9" s="21">
        <f t="shared" ca="1" si="51"/>
        <v>0</v>
      </c>
      <c r="AU9" s="21">
        <f t="shared" ca="1" si="52"/>
        <v>0</v>
      </c>
      <c r="AV9" s="21" t="str">
        <f t="shared" ca="1" si="53"/>
        <v>0:</v>
      </c>
      <c r="AW9" s="21" t="str">
        <f t="shared" ca="1" si="54"/>
        <v>0:</v>
      </c>
      <c r="AX9" s="21" t="str">
        <f t="shared" ca="1" si="55"/>
        <v>0:</v>
      </c>
      <c r="AY9" s="21" t="str">
        <f t="shared" ca="1" si="56"/>
        <v>0:</v>
      </c>
      <c r="AZ9" s="21" t="str">
        <f t="shared" ca="1" si="57"/>
        <v>0:</v>
      </c>
      <c r="BA9" s="21">
        <f t="shared" ca="1" si="58"/>
        <v>0</v>
      </c>
      <c r="BB9" s="21">
        <f t="shared" ca="1" si="59"/>
        <v>0</v>
      </c>
      <c r="BC9" s="21">
        <f t="shared" ca="1" si="60"/>
        <v>0</v>
      </c>
      <c r="BD9" s="21">
        <f t="shared" ca="1" si="61"/>
        <v>0</v>
      </c>
      <c r="BE9" s="21">
        <f t="shared" ca="1" si="62"/>
        <v>0</v>
      </c>
      <c r="BF9" s="21">
        <f t="shared" ca="1" si="9"/>
        <v>0</v>
      </c>
      <c r="BG9" s="21" t="str">
        <f ca="1">IFERROR(VLOOKUP($BF9,Definitions!$V:$W,COLUMNS(Definitions!$V:$W),TRUE),"")</f>
        <v>Basic</v>
      </c>
      <c r="BH9" s="21" t="str">
        <f ca="1">_xlfn.LET(
_xlpm._comments,GetValues($K9,Mitigation!$A:$O,"","",FALSE),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9" s="21" t="str" cm="1">
        <f t="array" aca="1" ref="BI9" ca="1">_xlfn.LET(
_xlpm._rapRange,Definitions!$W:$W,
_xlpm._calculatedRAP,$BG9,
_xlpm._inlineRAP,$BH9,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9" s="21" t="str">
        <f ca="1">IFERROR(IF(OR($V9="",$BI9=""),
Definitions!$AE$4,
VLOOKUP($V9,Definitions!$AH:$AM,MATCH($BI9,Definitions!$AH$3:$AM$3,0),FALSE)),
"")</f>
        <v>No Risk</v>
      </c>
      <c r="BK9" s="21" cm="1">
        <f t="array" aca="1" ref="BK9" ca="1">IF($BJ9="",0,SimpleLookup($BJ9,Definitions!$AE:$AF))</f>
        <v>0</v>
      </c>
      <c r="BL9" s="21" t="str" cm="1">
        <f t="array" aca="1" ref="BL9" ca="1">IFERROR(SimpleLookup($A9,Tracing!$B:$Z),"")</f>
        <v/>
      </c>
      <c r="BM9" s="21" t="str" cm="1">
        <f t="array" aca="1" ref="BM9" ca="1">_xlfn.LET(_xlpm._dm,SanitizeInput(GetValuesWithFallback(SanitizeInput($BL9),Assumptions!$A:$I,Countermeasures!$A:$I,"",",",FALSE)),
IF(_xlpm._dm="","",","&amp;_xlpm._dm))</f>
        <v/>
      </c>
      <c r="BN9" s="21" t="str" cm="1">
        <f t="array" aca="1" ref="BN9" ca="1">ApplyDamageMitigation($M9,$BM9,"")</f>
        <v/>
      </c>
      <c r="BO9" s="21" cm="1">
        <f t="array" aca="1" ref="BO9" ca="1">CalculateMaxFromList($BN9,0,'Damage Scenarios'!$A:$U)</f>
        <v>0</v>
      </c>
      <c r="BP9" s="21" t="str">
        <f ca="1">IF($BO9=0,"",INDEX(Definitions!$Q:$Q,MATCH($BO9,Definitions!$R:$R,0)))</f>
        <v/>
      </c>
      <c r="BQ9" s="21" t="str" cm="1">
        <f t="array" aca="1" ref="BQ9" ca="1">CalculateMaxAndElementsWithFallback(SanitizeInput($BL9),0,"",Countermeasures!$A:Y,Assumptions!$A:Z)</f>
        <v>0:</v>
      </c>
      <c r="BR9" s="21" t="str" cm="1">
        <f t="array" aca="1" ref="BR9" ca="1">CalculateMaxAndElementsWithFallback(SanitizeInput($BL9),0,"",Countermeasures!$A:Z,Assumptions!$A:AA)</f>
        <v>0:</v>
      </c>
      <c r="BS9" s="21" t="str" cm="1">
        <f t="array" aca="1" ref="BS9" ca="1">CalculateMaxAndElementsWithFallback(SanitizeInput($BL9),0,"",Countermeasures!$A:AA,Assumptions!$A:AB)</f>
        <v>0:</v>
      </c>
      <c r="BT9" s="21" t="str" cm="1">
        <f t="array" aca="1" ref="BT9" ca="1">CalculateMaxAndElementsWithFallback(SanitizeInput($BL9),0,"",Countermeasures!$A:AB,Assumptions!$A:AC)</f>
        <v>0:</v>
      </c>
      <c r="BU9" s="21" t="str" cm="1">
        <f t="array" aca="1" ref="BU9" ca="1">CalculateMaxAndElementsWithFallback(SanitizeInput($BL9),0,"",Countermeasures!$A:AC,Assumptions!$A:AD)</f>
        <v>0:</v>
      </c>
      <c r="BV9" s="21">
        <f t="shared" ca="1" si="25"/>
        <v>0</v>
      </c>
      <c r="BW9" s="21">
        <f t="shared" ca="1" si="26"/>
        <v>0</v>
      </c>
      <c r="BX9" s="21">
        <f t="shared" ca="1" si="27"/>
        <v>0</v>
      </c>
      <c r="BY9" s="21">
        <f t="shared" ca="1" si="28"/>
        <v>0</v>
      </c>
      <c r="BZ9" s="21">
        <f t="shared" ca="1" si="29"/>
        <v>0</v>
      </c>
      <c r="CA9" s="21" t="str">
        <f t="shared" ca="1" si="30"/>
        <v>0:</v>
      </c>
      <c r="CB9" s="21" t="str">
        <f t="shared" ca="1" si="31"/>
        <v>0:</v>
      </c>
      <c r="CC9" s="21" t="str">
        <f t="shared" ca="1" si="32"/>
        <v>0:</v>
      </c>
      <c r="CD9" s="21" t="str">
        <f t="shared" ca="1" si="33"/>
        <v>0:</v>
      </c>
      <c r="CE9" s="21" t="str">
        <f t="shared" ca="1" si="34"/>
        <v>0:</v>
      </c>
      <c r="CF9" s="21">
        <f t="shared" ca="1" si="35"/>
        <v>0</v>
      </c>
      <c r="CG9" s="21">
        <f t="shared" ca="1" si="36"/>
        <v>0</v>
      </c>
      <c r="CH9" s="21">
        <f t="shared" ca="1" si="37"/>
        <v>0</v>
      </c>
      <c r="CI9" s="21">
        <f t="shared" ca="1" si="38"/>
        <v>0</v>
      </c>
      <c r="CJ9" s="21">
        <f t="shared" ca="1" si="39"/>
        <v>0</v>
      </c>
      <c r="CK9" s="21">
        <f t="shared" ca="1" si="23"/>
        <v>0</v>
      </c>
      <c r="CL9" s="21" t="str">
        <f ca="1">IFERROR(VLOOKUP($CK9,Definitions!$V:$W,COLUMNS(Definitions!$V:$W),TRUE),"")</f>
        <v>Basic</v>
      </c>
      <c r="CM9" s="21" t="str">
        <f ca="1">_xlfn.LET(
_xlpm._comments,SimpleLookup($A9,Tracing!$B:$AB),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9" s="21" t="str" cm="1">
        <f t="array" aca="1" ref="CN9" ca="1">_xlfn.LET(
_xlpm._rapRange,Definitions!$W:$W,
_xlpm._calculatedRAP,$CL9,
_xlpm._inlineRAP,$CM9,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9" s="21" t="str">
        <f ca="1">IFERROR(IF(OR($BP9="",$CN9=""),
Definitions!$AE$4,
VLOOKUP($BP9,Definitions!$AH:$AM,MATCH($CN9,Definitions!$AH$3:$AM$3,0),FALSE)),
"")</f>
        <v>No Risk</v>
      </c>
      <c r="CP9" s="21" cm="1">
        <f t="array" aca="1" ref="CP9" ca="1">IF($CO9="",0,SimpleLookup($CO9,Definitions!$AE:$AF))</f>
        <v>0</v>
      </c>
      <c r="CQ9" s="21" t="b">
        <f ca="1">OR(AND($S9,$I9=Helper!$B$7),$I9&gt;Helper!$B$7)</f>
        <v>1</v>
      </c>
      <c r="CR9" s="21" t="str">
        <f t="shared" ca="1" si="24"/>
        <v/>
      </c>
      <c r="CS9" s="21" cm="1">
        <f t="array" aca="1" ref="CS9" ca="1">CreateID($CS$2,$CV:$CV,$CR9&lt;&gt;"")</f>
        <v>0</v>
      </c>
      <c r="CT9" s="21" t="str">
        <f ca="1">IF(IFERROR(MATCH(","&amp;A9&amp;",",'Risk Treatment'!$AT:$AT,0)&gt;0,FALSE),"",$A9)</f>
        <v/>
      </c>
      <c r="CU9" s="21" cm="1">
        <f t="array" aca="1" ref="CU9" ca="1">CreateID($CU$2,$CU:$CU,$CT9&lt;&gt;"")</f>
        <v>0</v>
      </c>
    </row>
    <row r="10" spans="1:101" x14ac:dyDescent="0.25">
      <c r="A10" s="33" t="str" cm="1">
        <f t="array" aca="1" ref="A10" ca="1">IF($B10="","","R"&amp;RemoveDelimiter(SUBSTITUTE(SUBSTITUTE($K10,"AS",""),",","-"),"-"))</f>
        <v/>
      </c>
      <c r="B10" s="33" t="str" cm="1">
        <f t="array" aca="1" ref="B10" ca="1">IF($L10="","",_xlfn.LET(
_xlpm._finalAttackStep,$L10,
_xlpm._prepAttacks,RemoveFirstElement(_xlpm._finalAttackStep&amp;","&amp;$K10),
_xlpm._prepAttackNames,IFERROR(LookupNames(_xlpm._prepAttacks,'Attack Steps'!$A:$B),""),
_xlpm._delimiter,REPT(CHAR(150),55),
$L10&amp;" "&amp;SimpleLookup($L10,'Attack Steps'!$A:$B)&amp;
IF(_xlpm._prepAttackNames="","",CHAR(10)&amp;_xlpm._delimiter&amp;CHAR(10)&amp;_xlpm._prepAttackNames)))</f>
        <v/>
      </c>
      <c r="C10" s="34" t="str" cm="1">
        <f t="array" aca="1" ref="C10" ca="1">IFERROR(LookupNames($M10,'Damage Scenarios'!$A:$V),"")</f>
        <v/>
      </c>
      <c r="D10" s="33" t="str">
        <f ca="1">IFERROR(IF($T10=0,"",INDEX(Definitions!$Q:$Q,MATCH($T10,Definitions!$R:$R,0))),"")</f>
        <v/>
      </c>
      <c r="E10" s="34" t="str" cm="1">
        <f t="array" aca="1" ref="E10" ca="1">IF($A10="","",_xlfn.LET(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_xlpm._factorFunction($A10,$A:W,Definitions!$Y:$Y,Definitions!$AB:$AB,1)&amp;CHAR(10)&amp;
_xlpm._factorFunction($A10,$A:X,Definitions!$Y:$Y,Definitions!$AB:$AB,2)&amp;CHAR(10)&amp;
_xlpm._factorFunction($A10,$A:Y,Definitions!$Y:$Y,Definitions!$AB:$AB,3)&amp;CHAR(10)&amp;
_xlpm._factorFunction($A10,$A:Z,Definitions!$Y:$Y,Definitions!$AB:$AB,4)&amp;CHAR(10)&amp;
_xlpm._factorFunction($A10,$A:AA,Definitions!$Y:$Y,Definitions!$AB:$AB,5)))</f>
        <v/>
      </c>
      <c r="F10" s="33" t="str">
        <f ca="1">IF($A10="","",IFERROR(VLOOKUP($AG10,Definitions!$V:$W,COLUMNS(Definitions!$V:$W),TRUE),""))</f>
        <v/>
      </c>
      <c r="G10" s="33" t="str">
        <f ca="1">IFERROR(IF(OR($D10="",$F10=""),
"",
VLOOKUP($D10,Definitions!$AH:$AM,MATCH($F10,Definitions!$AH$3:$AM$3,0),FALSE)),
"")</f>
        <v/>
      </c>
      <c r="H10" s="23" cm="1">
        <f t="array" aca="1" ref="H10" ca="1">IF(ROW()=ROW($H$2)+1,0,INDEX($H:$H,ROW()-1))+IF($A10="",0,1)</f>
        <v>0</v>
      </c>
      <c r="I10" s="21" cm="1">
        <f t="array" aca="1" ref="I10" ca="1">IF(ROW()=ROW($I$2)+1,
1,
INDEX($I:$I,ROW()-1)+IF(INDEX($S:$S,ROW()-1),1,0))</f>
        <v>1</v>
      </c>
      <c r="J10" s="21">
        <f t="shared" ca="1" si="0"/>
        <v>8</v>
      </c>
      <c r="K10" s="21" t="str">
        <f t="shared" ca="1" si="40"/>
        <v/>
      </c>
      <c r="L10" s="21" t="str" cm="1">
        <f t="array" aca="1" ref="L10" ca="1">IF($P10="","",INDEX('Attack Steps'!$A:$A,$P10))</f>
        <v/>
      </c>
      <c r="M10" s="21" t="str" cm="1">
        <f t="array" aca="1" ref="M10" ca="1">IF($P10="","",INDEX('Attack Steps'!$T:$T,$P10))</f>
        <v/>
      </c>
      <c r="N10" s="21" t="str" cm="1">
        <f t="array" aca="1" ref="N10" ca="1">_xlfn.LET(_xlpm._dm,SanitizeInput(GetValuesWithFallback(SanitizeInput($AK10),Assumptions!$A:$I,Countermeasures!$A:$I,"",",",FALSE)),
IF(_xlpm._dm="","",","&amp;_xlpm._dm))</f>
        <v/>
      </c>
      <c r="O10" s="21" t="str" cm="1">
        <f t="array" aca="1" ref="O10" ca="1">ApplyDamageMitigation($M10,$N10,"")</f>
        <v/>
      </c>
      <c r="P10" s="21" t="str">
        <f ca="1">IFERROR(MATCH($I10,'Attack Steps'!$V:$V,0),"")</f>
        <v/>
      </c>
      <c r="Q10" s="21" t="str" cm="1">
        <f t="array" aca="1" ref="Q10" ca="1">IF($P10="","","§"&amp;INDEX('Attack Steps'!$S:$S,$P10))</f>
        <v/>
      </c>
      <c r="R10" s="21" t="str" cm="1">
        <f t="array" aca="1" ref="R10" ca="1">IF($P10="","",INDEX('Attack Steps'!$W:$W,$P10))</f>
        <v/>
      </c>
      <c r="S10" s="21" t="b">
        <f t="shared" ca="1" si="41"/>
        <v>0</v>
      </c>
      <c r="T10" s="21" cm="1">
        <f t="array" aca="1" ref="T10" ca="1">_xlfn.LAMBDA(_xlpm._in,_xlpm._val,_xlpm._range,
IF(_xlpm._in="",_xlpm._val,_xlfn.LET(
_xlpm._id,LEFT(_xlpm._in,FIND(",",_xlpm._in)-1),
CalculateMaxFromList(RemoveFirstElement(_xlpm._in),MAX(_xlpm._val,VLOOKUP(_xlpm._id,_xlpm._range,COLUMNS(_xlpm._range),FALSE)),_xlpm._range))))($M10,0,'Damage Scenarios'!$A:$U)</f>
        <v>0</v>
      </c>
      <c r="U10" s="21" cm="1">
        <f t="array" aca="1" ref="U10" ca="1">CalculateMaxFromList($O10,0,'Damage Scenarios'!$A:$U)</f>
        <v>0</v>
      </c>
      <c r="V10" s="21" t="str">
        <f ca="1">IF($U10=0,"",INDEX(Definitions!$Q:$Q,MATCH($U10,Definitions!$R:$R,0)))</f>
        <v/>
      </c>
      <c r="W10" s="21" t="str" cm="1">
        <f t="array" aca="1" ref="W10" ca="1">CalculateMaxAndElements($K10,0,"",'Attack Steps'!$A:X)</f>
        <v>0:</v>
      </c>
      <c r="X10" s="21" t="str" cm="1">
        <f t="array" aca="1" ref="X10" ca="1">CalculateMaxAndElements($K10,0,"",'Attack Steps'!$A:Y)</f>
        <v>0:</v>
      </c>
      <c r="Y10" s="21" t="str" cm="1">
        <f t="array" aca="1" ref="Y10" ca="1">CalculateMaxAndElements($K10,0,"",'Attack Steps'!$A:Z)</f>
        <v>0:</v>
      </c>
      <c r="Z10" s="21" t="str" cm="1">
        <f t="array" aca="1" ref="Z10" ca="1">CalculateMaxAndElements($K10,0,"",'Attack Steps'!$A:AA)</f>
        <v>0:</v>
      </c>
      <c r="AA10" s="21" t="str" cm="1">
        <f t="array" aca="1" ref="AA10" ca="1">CalculateMaxAndElements($K10,0,"",'Attack Steps'!$A:AB)</f>
        <v>0:</v>
      </c>
      <c r="AB10" s="21">
        <f t="shared" ca="1" si="42"/>
        <v>0</v>
      </c>
      <c r="AC10" s="21">
        <f t="shared" ca="1" si="43"/>
        <v>0</v>
      </c>
      <c r="AD10" s="21">
        <f t="shared" ca="1" si="44"/>
        <v>0</v>
      </c>
      <c r="AE10" s="21">
        <f t="shared" ca="1" si="45"/>
        <v>0</v>
      </c>
      <c r="AF10" s="21">
        <f t="shared" ca="1" si="46"/>
        <v>0</v>
      </c>
      <c r="AG10" s="21">
        <f t="shared" ca="1" si="3"/>
        <v>0</v>
      </c>
      <c r="AH10" s="21" t="str" cm="1">
        <f t="array" aca="1" ref="AH10" ca="1">IF(ROW()=ROW($AH$2)+1,"",INDEX($AH:$AH,ROW()-1))&amp;IF($A10="","",$A10&amp;",")</f>
        <v/>
      </c>
      <c r="AI10" s="21" t="str">
        <f t="shared" ca="1" si="47"/>
        <v/>
      </c>
      <c r="AJ10" s="21" cm="1">
        <f t="array" aca="1" ref="AJ10" ca="1">IF($G10="",0,SimpleLookup($G10,Definitions!$AE:$AF))</f>
        <v>0</v>
      </c>
      <c r="AK10" s="21" t="str" cm="1">
        <f t="array" aca="1" ref="AK10" ca="1">InverseLookup($A10,Mitigation!$U$2,Mitigation!$J$2,1,Helper!$B$5,",")</f>
        <v/>
      </c>
      <c r="AL10" s="21" t="str" cm="1">
        <f t="array" aca="1" ref="AL10" ca="1">CalculateMaxAndElementsWithFallback(SanitizeInput($AK10),0,"",Countermeasures!$A:Y,Assumptions!$A:Z)</f>
        <v>0:</v>
      </c>
      <c r="AM10" s="21" t="str" cm="1">
        <f t="array" aca="1" ref="AM10" ca="1">CalculateMaxAndElementsWithFallback(SanitizeInput($AK10),0,"",Countermeasures!$A:Z,Assumptions!$A:AA)</f>
        <v>0:</v>
      </c>
      <c r="AN10" s="21" t="str" cm="1">
        <f t="array" aca="1" ref="AN10" ca="1">CalculateMaxAndElementsWithFallback(SanitizeInput($AK10),0,"",Countermeasures!$A:AA,Assumptions!$A:AB)</f>
        <v>0:</v>
      </c>
      <c r="AO10" s="21" t="str" cm="1">
        <f t="array" aca="1" ref="AO10" ca="1">CalculateMaxAndElementsWithFallback(SanitizeInput($AK10),0,"",Countermeasures!$A:AB,Assumptions!$A:AC)</f>
        <v>0:</v>
      </c>
      <c r="AP10" s="21" t="str" cm="1">
        <f t="array" aca="1" ref="AP10" ca="1">CalculateMaxAndElementsWithFallback(SanitizeInput($AK10),0,"",Countermeasures!$A:AC,Assumptions!$A:AD)</f>
        <v>0:</v>
      </c>
      <c r="AQ10" s="21">
        <f t="shared" ca="1" si="48"/>
        <v>0</v>
      </c>
      <c r="AR10" s="21">
        <f t="shared" ca="1" si="49"/>
        <v>0</v>
      </c>
      <c r="AS10" s="21">
        <f t="shared" ca="1" si="50"/>
        <v>0</v>
      </c>
      <c r="AT10" s="21">
        <f t="shared" ca="1" si="51"/>
        <v>0</v>
      </c>
      <c r="AU10" s="21">
        <f t="shared" ca="1" si="52"/>
        <v>0</v>
      </c>
      <c r="AV10" s="21" t="str">
        <f t="shared" ca="1" si="53"/>
        <v>0:</v>
      </c>
      <c r="AW10" s="21" t="str">
        <f t="shared" ca="1" si="54"/>
        <v>0:</v>
      </c>
      <c r="AX10" s="21" t="str">
        <f t="shared" ca="1" si="55"/>
        <v>0:</v>
      </c>
      <c r="AY10" s="21" t="str">
        <f t="shared" ca="1" si="56"/>
        <v>0:</v>
      </c>
      <c r="AZ10" s="21" t="str">
        <f t="shared" ca="1" si="57"/>
        <v>0:</v>
      </c>
      <c r="BA10" s="21">
        <f t="shared" ca="1" si="58"/>
        <v>0</v>
      </c>
      <c r="BB10" s="21">
        <f t="shared" ca="1" si="59"/>
        <v>0</v>
      </c>
      <c r="BC10" s="21">
        <f t="shared" ca="1" si="60"/>
        <v>0</v>
      </c>
      <c r="BD10" s="21">
        <f t="shared" ca="1" si="61"/>
        <v>0</v>
      </c>
      <c r="BE10" s="21">
        <f t="shared" ca="1" si="62"/>
        <v>0</v>
      </c>
      <c r="BF10" s="21">
        <f t="shared" ca="1" si="9"/>
        <v>0</v>
      </c>
      <c r="BG10" s="21" t="str">
        <f ca="1">IFERROR(VLOOKUP($BF10,Definitions!$V:$W,COLUMNS(Definitions!$V:$W),TRUE),"")</f>
        <v>Basic</v>
      </c>
      <c r="BH10" s="21" t="str">
        <f ca="1">_xlfn.LET(
_xlpm._comments,GetValues($K10,Mitigation!$A:$O,"","",FALSE),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10" s="21" t="str" cm="1">
        <f t="array" aca="1" ref="BI10" ca="1">_xlfn.LET(
_xlpm._rapRange,Definitions!$W:$W,
_xlpm._calculatedRAP,$BG10,
_xlpm._inlineRAP,$BH10,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10" s="21" t="str">
        <f ca="1">IFERROR(IF(OR($V10="",$BI10=""),
Definitions!$AE$4,
VLOOKUP($V10,Definitions!$AH:$AM,MATCH($BI10,Definitions!$AH$3:$AM$3,0),FALSE)),
"")</f>
        <v>No Risk</v>
      </c>
      <c r="BK10" s="21" cm="1">
        <f t="array" aca="1" ref="BK10" ca="1">IF($BJ10="",0,SimpleLookup($BJ10,Definitions!$AE:$AF))</f>
        <v>0</v>
      </c>
      <c r="BL10" s="21" t="str" cm="1">
        <f t="array" aca="1" ref="BL10" ca="1">IFERROR(SimpleLookup($A10,Tracing!$B:$Z),"")</f>
        <v/>
      </c>
      <c r="BM10" s="21" t="str" cm="1">
        <f t="array" aca="1" ref="BM10" ca="1">_xlfn.LET(_xlpm._dm,SanitizeInput(GetValuesWithFallback(SanitizeInput($BL10),Assumptions!$A:$I,Countermeasures!$A:$I,"",",",FALSE)),
IF(_xlpm._dm="","",","&amp;_xlpm._dm))</f>
        <v/>
      </c>
      <c r="BN10" s="21" t="str" cm="1">
        <f t="array" aca="1" ref="BN10" ca="1">ApplyDamageMitigation($M10,$BM10,"")</f>
        <v/>
      </c>
      <c r="BO10" s="21" cm="1">
        <f t="array" aca="1" ref="BO10" ca="1">CalculateMaxFromList($BN10,0,'Damage Scenarios'!$A:$U)</f>
        <v>0</v>
      </c>
      <c r="BP10" s="21" t="str">
        <f ca="1">IF($BO10=0,"",INDEX(Definitions!$Q:$Q,MATCH($BO10,Definitions!$R:$R,0)))</f>
        <v/>
      </c>
      <c r="BQ10" s="21" t="str" cm="1">
        <f t="array" aca="1" ref="BQ10" ca="1">CalculateMaxAndElementsWithFallback(SanitizeInput($BL10),0,"",Countermeasures!$A:Y,Assumptions!$A:Z)</f>
        <v>0:</v>
      </c>
      <c r="BR10" s="21" t="str" cm="1">
        <f t="array" aca="1" ref="BR10" ca="1">CalculateMaxAndElementsWithFallback(SanitizeInput($BL10),0,"",Countermeasures!$A:Z,Assumptions!$A:AA)</f>
        <v>0:</v>
      </c>
      <c r="BS10" s="21" t="str" cm="1">
        <f t="array" aca="1" ref="BS10" ca="1">CalculateMaxAndElementsWithFallback(SanitizeInput($BL10),0,"",Countermeasures!$A:AA,Assumptions!$A:AB)</f>
        <v>0:</v>
      </c>
      <c r="BT10" s="21" t="str" cm="1">
        <f t="array" aca="1" ref="BT10" ca="1">CalculateMaxAndElementsWithFallback(SanitizeInput($BL10),0,"",Countermeasures!$A:AB,Assumptions!$A:AC)</f>
        <v>0:</v>
      </c>
      <c r="BU10" s="21" t="str" cm="1">
        <f t="array" aca="1" ref="BU10" ca="1">CalculateMaxAndElementsWithFallback(SanitizeInput($BL10),0,"",Countermeasures!$A:AC,Assumptions!$A:AD)</f>
        <v>0:</v>
      </c>
      <c r="BV10" s="21">
        <f t="shared" ca="1" si="25"/>
        <v>0</v>
      </c>
      <c r="BW10" s="21">
        <f t="shared" ca="1" si="26"/>
        <v>0</v>
      </c>
      <c r="BX10" s="21">
        <f t="shared" ca="1" si="27"/>
        <v>0</v>
      </c>
      <c r="BY10" s="21">
        <f t="shared" ca="1" si="28"/>
        <v>0</v>
      </c>
      <c r="BZ10" s="21">
        <f t="shared" ca="1" si="29"/>
        <v>0</v>
      </c>
      <c r="CA10" s="21" t="str">
        <f t="shared" ca="1" si="30"/>
        <v>0:</v>
      </c>
      <c r="CB10" s="21" t="str">
        <f t="shared" ca="1" si="31"/>
        <v>0:</v>
      </c>
      <c r="CC10" s="21" t="str">
        <f t="shared" ca="1" si="32"/>
        <v>0:</v>
      </c>
      <c r="CD10" s="21" t="str">
        <f t="shared" ca="1" si="33"/>
        <v>0:</v>
      </c>
      <c r="CE10" s="21" t="str">
        <f t="shared" ca="1" si="34"/>
        <v>0:</v>
      </c>
      <c r="CF10" s="21">
        <f t="shared" ca="1" si="35"/>
        <v>0</v>
      </c>
      <c r="CG10" s="21">
        <f t="shared" ca="1" si="36"/>
        <v>0</v>
      </c>
      <c r="CH10" s="21">
        <f t="shared" ca="1" si="37"/>
        <v>0</v>
      </c>
      <c r="CI10" s="21">
        <f t="shared" ca="1" si="38"/>
        <v>0</v>
      </c>
      <c r="CJ10" s="21">
        <f t="shared" ca="1" si="39"/>
        <v>0</v>
      </c>
      <c r="CK10" s="21">
        <f t="shared" ca="1" si="23"/>
        <v>0</v>
      </c>
      <c r="CL10" s="21" t="str">
        <f ca="1">IFERROR(VLOOKUP($CK10,Definitions!$V:$W,COLUMNS(Definitions!$V:$W),TRUE),"")</f>
        <v>Basic</v>
      </c>
      <c r="CM10" s="21" t="str">
        <f ca="1">_xlfn.LET(
_xlpm._comments,SimpleLookup($A10,Tracing!$B:$AB),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10" s="21" t="str" cm="1">
        <f t="array" aca="1" ref="CN10" ca="1">_xlfn.LET(
_xlpm._rapRange,Definitions!$W:$W,
_xlpm._calculatedRAP,$CL10,
_xlpm._inlineRAP,$CM10,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10" s="21" t="str">
        <f ca="1">IFERROR(IF(OR($BP10="",$CN10=""),
Definitions!$AE$4,
VLOOKUP($BP10,Definitions!$AH:$AM,MATCH($CN10,Definitions!$AH$3:$AM$3,0),FALSE)),
"")</f>
        <v>No Risk</v>
      </c>
      <c r="CP10" s="21" cm="1">
        <f t="array" aca="1" ref="CP10" ca="1">IF($CO10="",0,SimpleLookup($CO10,Definitions!$AE:$AF))</f>
        <v>0</v>
      </c>
      <c r="CQ10" s="21" t="b">
        <f ca="1">OR(AND($S10,$I10=Helper!$B$7),$I10&gt;Helper!$B$7)</f>
        <v>1</v>
      </c>
      <c r="CR10" s="21" t="str">
        <f t="shared" ca="1" si="24"/>
        <v/>
      </c>
      <c r="CS10" s="21" cm="1">
        <f t="array" aca="1" ref="CS10" ca="1">CreateID($CS$2,$CV:$CV,$CR10&lt;&gt;"")</f>
        <v>0</v>
      </c>
      <c r="CT10" s="21" t="str">
        <f ca="1">IF(IFERROR(MATCH(","&amp;A10&amp;",",'Risk Treatment'!$AT:$AT,0)&gt;0,FALSE),"",$A10)</f>
        <v/>
      </c>
      <c r="CU10" s="21" cm="1">
        <f t="array" aca="1" ref="CU10" ca="1">CreateID($CU$2,$CU:$CU,$CT10&lt;&gt;"")</f>
        <v>0</v>
      </c>
    </row>
    <row r="11" spans="1:101" x14ac:dyDescent="0.25">
      <c r="A11" s="33" t="str" cm="1">
        <f t="array" aca="1" ref="A11" ca="1">IF($B11="","","R"&amp;RemoveDelimiter(SUBSTITUTE(SUBSTITUTE($K11,"AS",""),",","-"),"-"))</f>
        <v/>
      </c>
      <c r="B11" s="33" t="str" cm="1">
        <f t="array" aca="1" ref="B11" ca="1">IF($L11="","",_xlfn.LET(
_xlpm._finalAttackStep,$L11,
_xlpm._prepAttacks,RemoveFirstElement(_xlpm._finalAttackStep&amp;","&amp;$K11),
_xlpm._prepAttackNames,IFERROR(LookupNames(_xlpm._prepAttacks,'Attack Steps'!$A:$B),""),
_xlpm._delimiter,REPT(CHAR(150),55),
$L11&amp;" "&amp;SimpleLookup($L11,'Attack Steps'!$A:$B)&amp;
IF(_xlpm._prepAttackNames="","",CHAR(10)&amp;_xlpm._delimiter&amp;CHAR(10)&amp;_xlpm._prepAttackNames)))</f>
        <v/>
      </c>
      <c r="C11" s="34" t="str" cm="1">
        <f t="array" aca="1" ref="C11" ca="1">IFERROR(LookupNames($M11,'Damage Scenarios'!$A:$V),"")</f>
        <v/>
      </c>
      <c r="D11" s="33" t="str">
        <f ca="1">IFERROR(IF($T11=0,"",INDEX(Definitions!$Q:$Q,MATCH($T11,Definitions!$R:$R,0))),"")</f>
        <v/>
      </c>
      <c r="E11" s="34" t="str" cm="1">
        <f t="array" aca="1" ref="E11" ca="1">IF($A11="","",_xlfn.LET(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_xlpm._factorFunction($A11,$A:W,Definitions!$Y:$Y,Definitions!$AB:$AB,1)&amp;CHAR(10)&amp;
_xlpm._factorFunction($A11,$A:X,Definitions!$Y:$Y,Definitions!$AB:$AB,2)&amp;CHAR(10)&amp;
_xlpm._factorFunction($A11,$A:Y,Definitions!$Y:$Y,Definitions!$AB:$AB,3)&amp;CHAR(10)&amp;
_xlpm._factorFunction($A11,$A:Z,Definitions!$Y:$Y,Definitions!$AB:$AB,4)&amp;CHAR(10)&amp;
_xlpm._factorFunction($A11,$A:AA,Definitions!$Y:$Y,Definitions!$AB:$AB,5)))</f>
        <v/>
      </c>
      <c r="F11" s="33" t="str">
        <f ca="1">IF($A11="","",IFERROR(VLOOKUP($AG11,Definitions!$V:$W,COLUMNS(Definitions!$V:$W),TRUE),""))</f>
        <v/>
      </c>
      <c r="G11" s="33" t="str">
        <f ca="1">IFERROR(IF(OR($D11="",$F11=""),
"",
VLOOKUP($D11,Definitions!$AH:$AM,MATCH($F11,Definitions!$AH$3:$AM$3,0),FALSE)),
"")</f>
        <v/>
      </c>
      <c r="H11" s="23" cm="1">
        <f t="array" aca="1" ref="H11" ca="1">IF(ROW()=ROW($H$2)+1,0,INDEX($H:$H,ROW()-1))+IF($A11="",0,1)</f>
        <v>0</v>
      </c>
      <c r="I11" s="21" cm="1">
        <f t="array" aca="1" ref="I11" ca="1">IF(ROW()=ROW($I$2)+1,
1,
INDEX($I:$I,ROW()-1)+IF(INDEX($S:$S,ROW()-1),1,0))</f>
        <v>1</v>
      </c>
      <c r="J11" s="21">
        <f t="shared" ca="1" si="0"/>
        <v>9</v>
      </c>
      <c r="K11" s="21" t="str">
        <f t="shared" ca="1" si="40"/>
        <v/>
      </c>
      <c r="L11" s="21" t="str" cm="1">
        <f t="array" aca="1" ref="L11" ca="1">IF($P11="","",INDEX('Attack Steps'!$A:$A,$P11))</f>
        <v/>
      </c>
      <c r="M11" s="21" t="str" cm="1">
        <f t="array" aca="1" ref="M11" ca="1">IF($P11="","",INDEX('Attack Steps'!$T:$T,$P11))</f>
        <v/>
      </c>
      <c r="N11" s="21" t="str" cm="1">
        <f t="array" aca="1" ref="N11" ca="1">_xlfn.LET(_xlpm._dm,SanitizeInput(GetValuesWithFallback(SanitizeInput($AK11),Assumptions!$A:$I,Countermeasures!$A:$I,"",",",FALSE)),
IF(_xlpm._dm="","",","&amp;_xlpm._dm))</f>
        <v/>
      </c>
      <c r="O11" s="21" t="str" cm="1">
        <f t="array" aca="1" ref="O11" ca="1">ApplyDamageMitigation($M11,$N11,"")</f>
        <v/>
      </c>
      <c r="P11" s="21" t="str">
        <f ca="1">IFERROR(MATCH($I11,'Attack Steps'!$V:$V,0),"")</f>
        <v/>
      </c>
      <c r="Q11" s="21" t="str" cm="1">
        <f t="array" aca="1" ref="Q11" ca="1">IF($P11="","","§"&amp;INDEX('Attack Steps'!$S:$S,$P11))</f>
        <v/>
      </c>
      <c r="R11" s="21" t="str" cm="1">
        <f t="array" aca="1" ref="R11" ca="1">IF($P11="","",INDEX('Attack Steps'!$W:$W,$P11))</f>
        <v/>
      </c>
      <c r="S11" s="21" t="b">
        <f t="shared" ca="1" si="41"/>
        <v>0</v>
      </c>
      <c r="T11" s="21" cm="1">
        <f t="array" aca="1" ref="T11" ca="1">_xlfn.LAMBDA(_xlpm._in,_xlpm._val,_xlpm._range,
IF(_xlpm._in="",_xlpm._val,_xlfn.LET(
_xlpm._id,LEFT(_xlpm._in,FIND(",",_xlpm._in)-1),
CalculateMaxFromList(RemoveFirstElement(_xlpm._in),MAX(_xlpm._val,VLOOKUP(_xlpm._id,_xlpm._range,COLUMNS(_xlpm._range),FALSE)),_xlpm._range))))($M11,0,'Damage Scenarios'!$A:$U)</f>
        <v>0</v>
      </c>
      <c r="U11" s="21" cm="1">
        <f t="array" aca="1" ref="U11" ca="1">CalculateMaxFromList($O11,0,'Damage Scenarios'!$A:$U)</f>
        <v>0</v>
      </c>
      <c r="V11" s="21" t="str">
        <f ca="1">IF($U11=0,"",INDEX(Definitions!$Q:$Q,MATCH($U11,Definitions!$R:$R,0)))</f>
        <v/>
      </c>
      <c r="W11" s="21" t="str" cm="1">
        <f t="array" aca="1" ref="W11" ca="1">CalculateMaxAndElements($K11,0,"",'Attack Steps'!$A:X)</f>
        <v>0:</v>
      </c>
      <c r="X11" s="21" t="str" cm="1">
        <f t="array" aca="1" ref="X11" ca="1">CalculateMaxAndElements($K11,0,"",'Attack Steps'!$A:Y)</f>
        <v>0:</v>
      </c>
      <c r="Y11" s="21" t="str" cm="1">
        <f t="array" aca="1" ref="Y11" ca="1">CalculateMaxAndElements($K11,0,"",'Attack Steps'!$A:Z)</f>
        <v>0:</v>
      </c>
      <c r="Z11" s="21" t="str" cm="1">
        <f t="array" aca="1" ref="Z11" ca="1">CalculateMaxAndElements($K11,0,"",'Attack Steps'!$A:AA)</f>
        <v>0:</v>
      </c>
      <c r="AA11" s="21" t="str" cm="1">
        <f t="array" aca="1" ref="AA11" ca="1">CalculateMaxAndElements($K11,0,"",'Attack Steps'!$A:AB)</f>
        <v>0:</v>
      </c>
      <c r="AB11" s="21">
        <f t="shared" ca="1" si="42"/>
        <v>0</v>
      </c>
      <c r="AC11" s="21">
        <f t="shared" ca="1" si="43"/>
        <v>0</v>
      </c>
      <c r="AD11" s="21">
        <f t="shared" ca="1" si="44"/>
        <v>0</v>
      </c>
      <c r="AE11" s="21">
        <f t="shared" ca="1" si="45"/>
        <v>0</v>
      </c>
      <c r="AF11" s="21">
        <f t="shared" ca="1" si="46"/>
        <v>0</v>
      </c>
      <c r="AG11" s="21">
        <f t="shared" ca="1" si="3"/>
        <v>0</v>
      </c>
      <c r="AH11" s="21" t="str" cm="1">
        <f t="array" aca="1" ref="AH11" ca="1">IF(ROW()=ROW($AH$2)+1,"",INDEX($AH:$AH,ROW()-1))&amp;IF($A11="","",$A11&amp;",")</f>
        <v/>
      </c>
      <c r="AI11" s="21" t="str">
        <f t="shared" ca="1" si="47"/>
        <v/>
      </c>
      <c r="AJ11" s="21" cm="1">
        <f t="array" aca="1" ref="AJ11" ca="1">IF($G11="",0,SimpleLookup($G11,Definitions!$AE:$AF))</f>
        <v>0</v>
      </c>
      <c r="AK11" s="21" t="str" cm="1">
        <f t="array" aca="1" ref="AK11" ca="1">InverseLookup($A11,Mitigation!$U$2,Mitigation!$J$2,1,Helper!$B$5,",")</f>
        <v/>
      </c>
      <c r="AL11" s="21" t="str" cm="1">
        <f t="array" aca="1" ref="AL11" ca="1">CalculateMaxAndElementsWithFallback(SanitizeInput($AK11),0,"",Countermeasures!$A:Y,Assumptions!$A:Z)</f>
        <v>0:</v>
      </c>
      <c r="AM11" s="21" t="str" cm="1">
        <f t="array" aca="1" ref="AM11" ca="1">CalculateMaxAndElementsWithFallback(SanitizeInput($AK11),0,"",Countermeasures!$A:Z,Assumptions!$A:AA)</f>
        <v>0:</v>
      </c>
      <c r="AN11" s="21" t="str" cm="1">
        <f t="array" aca="1" ref="AN11" ca="1">CalculateMaxAndElementsWithFallback(SanitizeInput($AK11),0,"",Countermeasures!$A:AA,Assumptions!$A:AB)</f>
        <v>0:</v>
      </c>
      <c r="AO11" s="21" t="str" cm="1">
        <f t="array" aca="1" ref="AO11" ca="1">CalculateMaxAndElementsWithFallback(SanitizeInput($AK11),0,"",Countermeasures!$A:AB,Assumptions!$A:AC)</f>
        <v>0:</v>
      </c>
      <c r="AP11" s="21" t="str" cm="1">
        <f t="array" aca="1" ref="AP11" ca="1">CalculateMaxAndElementsWithFallback(SanitizeInput($AK11),0,"",Countermeasures!$A:AC,Assumptions!$A:AD)</f>
        <v>0:</v>
      </c>
      <c r="AQ11" s="21">
        <f t="shared" ca="1" si="48"/>
        <v>0</v>
      </c>
      <c r="AR11" s="21">
        <f t="shared" ca="1" si="49"/>
        <v>0</v>
      </c>
      <c r="AS11" s="21">
        <f t="shared" ca="1" si="50"/>
        <v>0</v>
      </c>
      <c r="AT11" s="21">
        <f t="shared" ca="1" si="51"/>
        <v>0</v>
      </c>
      <c r="AU11" s="21">
        <f t="shared" ca="1" si="52"/>
        <v>0</v>
      </c>
      <c r="AV11" s="21" t="str">
        <f t="shared" ca="1" si="53"/>
        <v>0:</v>
      </c>
      <c r="AW11" s="21" t="str">
        <f t="shared" ca="1" si="54"/>
        <v>0:</v>
      </c>
      <c r="AX11" s="21" t="str">
        <f t="shared" ca="1" si="55"/>
        <v>0:</v>
      </c>
      <c r="AY11" s="21" t="str">
        <f t="shared" ca="1" si="56"/>
        <v>0:</v>
      </c>
      <c r="AZ11" s="21" t="str">
        <f t="shared" ca="1" si="57"/>
        <v>0:</v>
      </c>
      <c r="BA11" s="21">
        <f t="shared" ca="1" si="58"/>
        <v>0</v>
      </c>
      <c r="BB11" s="21">
        <f t="shared" ca="1" si="59"/>
        <v>0</v>
      </c>
      <c r="BC11" s="21">
        <f t="shared" ca="1" si="60"/>
        <v>0</v>
      </c>
      <c r="BD11" s="21">
        <f t="shared" ca="1" si="61"/>
        <v>0</v>
      </c>
      <c r="BE11" s="21">
        <f t="shared" ca="1" si="62"/>
        <v>0</v>
      </c>
      <c r="BF11" s="21">
        <f t="shared" ca="1" si="9"/>
        <v>0</v>
      </c>
      <c r="BG11" s="21" t="str">
        <f ca="1">IFERROR(VLOOKUP($BF11,Definitions!$V:$W,COLUMNS(Definitions!$V:$W),TRUE),"")</f>
        <v>Basic</v>
      </c>
      <c r="BH11" s="21" t="str">
        <f ca="1">_xlfn.LET(
_xlpm._comments,GetValues($K11,Mitigation!$A:$O,"","",FALSE),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11" s="21" t="str" cm="1">
        <f t="array" aca="1" ref="BI11" ca="1">_xlfn.LET(
_xlpm._rapRange,Definitions!$W:$W,
_xlpm._calculatedRAP,$BG11,
_xlpm._inlineRAP,$BH11,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11" s="21" t="str">
        <f ca="1">IFERROR(IF(OR($V11="",$BI11=""),
Definitions!$AE$4,
VLOOKUP($V11,Definitions!$AH:$AM,MATCH($BI11,Definitions!$AH$3:$AM$3,0),FALSE)),
"")</f>
        <v>No Risk</v>
      </c>
      <c r="BK11" s="21" cm="1">
        <f t="array" aca="1" ref="BK11" ca="1">IF($BJ11="",0,SimpleLookup($BJ11,Definitions!$AE:$AF))</f>
        <v>0</v>
      </c>
      <c r="BL11" s="21" t="str" cm="1">
        <f t="array" aca="1" ref="BL11" ca="1">IFERROR(SimpleLookup($A11,Tracing!$B:$Z),"")</f>
        <v/>
      </c>
      <c r="BM11" s="21" t="str" cm="1">
        <f t="array" aca="1" ref="BM11" ca="1">_xlfn.LET(_xlpm._dm,SanitizeInput(GetValuesWithFallback(SanitizeInput($BL11),Assumptions!$A:$I,Countermeasures!$A:$I,"",",",FALSE)),
IF(_xlpm._dm="","",","&amp;_xlpm._dm))</f>
        <v/>
      </c>
      <c r="BN11" s="21" t="str" cm="1">
        <f t="array" aca="1" ref="BN11" ca="1">ApplyDamageMitigation($M11,$BM11,"")</f>
        <v/>
      </c>
      <c r="BO11" s="21" cm="1">
        <f t="array" aca="1" ref="BO11" ca="1">CalculateMaxFromList($BN11,0,'Damage Scenarios'!$A:$U)</f>
        <v>0</v>
      </c>
      <c r="BP11" s="21" t="str">
        <f ca="1">IF($BO11=0,"",INDEX(Definitions!$Q:$Q,MATCH($BO11,Definitions!$R:$R,0)))</f>
        <v/>
      </c>
      <c r="BQ11" s="21" t="str" cm="1">
        <f t="array" aca="1" ref="BQ11" ca="1">CalculateMaxAndElementsWithFallback(SanitizeInput($BL11),0,"",Countermeasures!$A:Y,Assumptions!$A:Z)</f>
        <v>0:</v>
      </c>
      <c r="BR11" s="21" t="str" cm="1">
        <f t="array" aca="1" ref="BR11" ca="1">CalculateMaxAndElementsWithFallback(SanitizeInput($BL11),0,"",Countermeasures!$A:Z,Assumptions!$A:AA)</f>
        <v>0:</v>
      </c>
      <c r="BS11" s="21" t="str" cm="1">
        <f t="array" aca="1" ref="BS11" ca="1">CalculateMaxAndElementsWithFallback(SanitizeInput($BL11),0,"",Countermeasures!$A:AA,Assumptions!$A:AB)</f>
        <v>0:</v>
      </c>
      <c r="BT11" s="21" t="str" cm="1">
        <f t="array" aca="1" ref="BT11" ca="1">CalculateMaxAndElementsWithFallback(SanitizeInput($BL11),0,"",Countermeasures!$A:AB,Assumptions!$A:AC)</f>
        <v>0:</v>
      </c>
      <c r="BU11" s="21" t="str" cm="1">
        <f t="array" aca="1" ref="BU11" ca="1">CalculateMaxAndElementsWithFallback(SanitizeInput($BL11),0,"",Countermeasures!$A:AC,Assumptions!$A:AD)</f>
        <v>0:</v>
      </c>
      <c r="BV11" s="21">
        <f t="shared" ca="1" si="25"/>
        <v>0</v>
      </c>
      <c r="BW11" s="21">
        <f t="shared" ca="1" si="26"/>
        <v>0</v>
      </c>
      <c r="BX11" s="21">
        <f t="shared" ca="1" si="27"/>
        <v>0</v>
      </c>
      <c r="BY11" s="21">
        <f t="shared" ca="1" si="28"/>
        <v>0</v>
      </c>
      <c r="BZ11" s="21">
        <f t="shared" ca="1" si="29"/>
        <v>0</v>
      </c>
      <c r="CA11" s="21" t="str">
        <f t="shared" ca="1" si="30"/>
        <v>0:</v>
      </c>
      <c r="CB11" s="21" t="str">
        <f t="shared" ca="1" si="31"/>
        <v>0:</v>
      </c>
      <c r="CC11" s="21" t="str">
        <f t="shared" ca="1" si="32"/>
        <v>0:</v>
      </c>
      <c r="CD11" s="21" t="str">
        <f t="shared" ca="1" si="33"/>
        <v>0:</v>
      </c>
      <c r="CE11" s="21" t="str">
        <f t="shared" ca="1" si="34"/>
        <v>0:</v>
      </c>
      <c r="CF11" s="21">
        <f t="shared" ca="1" si="35"/>
        <v>0</v>
      </c>
      <c r="CG11" s="21">
        <f t="shared" ca="1" si="36"/>
        <v>0</v>
      </c>
      <c r="CH11" s="21">
        <f t="shared" ca="1" si="37"/>
        <v>0</v>
      </c>
      <c r="CI11" s="21">
        <f t="shared" ca="1" si="38"/>
        <v>0</v>
      </c>
      <c r="CJ11" s="21">
        <f t="shared" ca="1" si="39"/>
        <v>0</v>
      </c>
      <c r="CK11" s="21">
        <f t="shared" ca="1" si="23"/>
        <v>0</v>
      </c>
      <c r="CL11" s="21" t="str">
        <f ca="1">IFERROR(VLOOKUP($CK11,Definitions!$V:$W,COLUMNS(Definitions!$V:$W),TRUE),"")</f>
        <v>Basic</v>
      </c>
      <c r="CM11" s="21" t="str">
        <f ca="1">_xlfn.LET(
_xlpm._comments,SimpleLookup($A11,Tracing!$B:$AB),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11" s="21" t="str" cm="1">
        <f t="array" aca="1" ref="CN11" ca="1">_xlfn.LET(
_xlpm._rapRange,Definitions!$W:$W,
_xlpm._calculatedRAP,$CL11,
_xlpm._inlineRAP,$CM11,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11" s="21" t="str">
        <f ca="1">IFERROR(IF(OR($BP11="",$CN11=""),
Definitions!$AE$4,
VLOOKUP($BP11,Definitions!$AH:$AM,MATCH($CN11,Definitions!$AH$3:$AM$3,0),FALSE)),
"")</f>
        <v>No Risk</v>
      </c>
      <c r="CP11" s="21" cm="1">
        <f t="array" aca="1" ref="CP11" ca="1">IF($CO11="",0,SimpleLookup($CO11,Definitions!$AE:$AF))</f>
        <v>0</v>
      </c>
      <c r="CQ11" s="21" t="b">
        <f ca="1">OR(AND($S11,$I11=Helper!$B$7),$I11&gt;Helper!$B$7)</f>
        <v>1</v>
      </c>
      <c r="CR11" s="21" t="str">
        <f t="shared" ca="1" si="24"/>
        <v/>
      </c>
      <c r="CS11" s="21" cm="1">
        <f t="array" aca="1" ref="CS11" ca="1">CreateID($CS$2,$CV:$CV,$CR11&lt;&gt;"")</f>
        <v>0</v>
      </c>
      <c r="CT11" s="21" t="str">
        <f ca="1">IF(IFERROR(MATCH(","&amp;A11&amp;",",'Risk Treatment'!$AT:$AT,0)&gt;0,FALSE),"",$A11)</f>
        <v/>
      </c>
      <c r="CU11" s="21" cm="1">
        <f t="array" aca="1" ref="CU11" ca="1">CreateID($CU$2,$CU:$CU,$CT11&lt;&gt;"")</f>
        <v>0</v>
      </c>
    </row>
    <row r="12" spans="1:101" x14ac:dyDescent="0.25">
      <c r="A12" s="33" t="str" cm="1">
        <f t="array" aca="1" ref="A12" ca="1">IF($B12="","","R"&amp;RemoveDelimiter(SUBSTITUTE(SUBSTITUTE($K12,"AS",""),",","-"),"-"))</f>
        <v/>
      </c>
      <c r="B12" s="33" t="str" cm="1">
        <f t="array" aca="1" ref="B12" ca="1">IF($L12="","",_xlfn.LET(
_xlpm._finalAttackStep,$L12,
_xlpm._prepAttacks,RemoveFirstElement(_xlpm._finalAttackStep&amp;","&amp;$K12),
_xlpm._prepAttackNames,IFERROR(LookupNames(_xlpm._prepAttacks,'Attack Steps'!$A:$B),""),
_xlpm._delimiter,REPT(CHAR(150),55),
$L12&amp;" "&amp;SimpleLookup($L12,'Attack Steps'!$A:$B)&amp;
IF(_xlpm._prepAttackNames="","",CHAR(10)&amp;_xlpm._delimiter&amp;CHAR(10)&amp;_xlpm._prepAttackNames)))</f>
        <v/>
      </c>
      <c r="C12" s="34" t="str" cm="1">
        <f t="array" aca="1" ref="C12" ca="1">IFERROR(LookupNames($M12,'Damage Scenarios'!$A:$V),"")</f>
        <v/>
      </c>
      <c r="D12" s="33" t="str">
        <f ca="1">IFERROR(IF($T12=0,"",INDEX(Definitions!$Q:$Q,MATCH($T12,Definitions!$R:$R,0))),"")</f>
        <v/>
      </c>
      <c r="E12" s="34" t="str" cm="1">
        <f t="array" aca="1" ref="E12" ca="1">IF($A12="","",_xlfn.LET(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_xlpm._factorFunction($A12,$A:W,Definitions!$Y:$Y,Definitions!$AB:$AB,1)&amp;CHAR(10)&amp;
_xlpm._factorFunction($A12,$A:X,Definitions!$Y:$Y,Definitions!$AB:$AB,2)&amp;CHAR(10)&amp;
_xlpm._factorFunction($A12,$A:Y,Definitions!$Y:$Y,Definitions!$AB:$AB,3)&amp;CHAR(10)&amp;
_xlpm._factorFunction($A12,$A:Z,Definitions!$Y:$Y,Definitions!$AB:$AB,4)&amp;CHAR(10)&amp;
_xlpm._factorFunction($A12,$A:AA,Definitions!$Y:$Y,Definitions!$AB:$AB,5)))</f>
        <v/>
      </c>
      <c r="F12" s="33" t="str">
        <f ca="1">IF($A12="","",IFERROR(VLOOKUP($AG12,Definitions!$V:$W,COLUMNS(Definitions!$V:$W),TRUE),""))</f>
        <v/>
      </c>
      <c r="G12" s="33" t="str">
        <f ca="1">IFERROR(IF(OR($D12="",$F12=""),
"",
VLOOKUP($D12,Definitions!$AH:$AM,MATCH($F12,Definitions!$AH$3:$AM$3,0),FALSE)),
"")</f>
        <v/>
      </c>
      <c r="H12" s="23" cm="1">
        <f t="array" aca="1" ref="H12" ca="1">IF(ROW()=ROW($H$2)+1,0,INDEX($H:$H,ROW()-1))+IF($A12="",0,1)</f>
        <v>0</v>
      </c>
      <c r="I12" s="21" cm="1">
        <f t="array" aca="1" ref="I12" ca="1">IF(ROW()=ROW($I$2)+1,
1,
INDEX($I:$I,ROW()-1)+IF(INDEX($S:$S,ROW()-1),1,0))</f>
        <v>1</v>
      </c>
      <c r="J12" s="21">
        <f t="shared" ca="1" si="0"/>
        <v>10</v>
      </c>
      <c r="K12" s="21" t="str">
        <f t="shared" ca="1" si="40"/>
        <v/>
      </c>
      <c r="L12" s="21" t="str" cm="1">
        <f t="array" aca="1" ref="L12" ca="1">IF($P12="","",INDEX('Attack Steps'!$A:$A,$P12))</f>
        <v/>
      </c>
      <c r="M12" s="21" t="str" cm="1">
        <f t="array" aca="1" ref="M12" ca="1">IF($P12="","",INDEX('Attack Steps'!$T:$T,$P12))</f>
        <v/>
      </c>
      <c r="N12" s="21" t="str" cm="1">
        <f t="array" aca="1" ref="N12" ca="1">_xlfn.LET(_xlpm._dm,SanitizeInput(GetValuesWithFallback(SanitizeInput($AK12),Assumptions!$A:$I,Countermeasures!$A:$I,"",",",FALSE)),
IF(_xlpm._dm="","",","&amp;_xlpm._dm))</f>
        <v/>
      </c>
      <c r="O12" s="21" t="str" cm="1">
        <f t="array" aca="1" ref="O12" ca="1">ApplyDamageMitigation($M12,$N12,"")</f>
        <v/>
      </c>
      <c r="P12" s="21" t="str">
        <f ca="1">IFERROR(MATCH($I12,'Attack Steps'!$V:$V,0),"")</f>
        <v/>
      </c>
      <c r="Q12" s="21" t="str" cm="1">
        <f t="array" aca="1" ref="Q12" ca="1">IF($P12="","","§"&amp;INDEX('Attack Steps'!$S:$S,$P12))</f>
        <v/>
      </c>
      <c r="R12" s="21" t="str" cm="1">
        <f t="array" aca="1" ref="R12" ca="1">IF($P12="","",INDEX('Attack Steps'!$W:$W,$P12))</f>
        <v/>
      </c>
      <c r="S12" s="21" t="b">
        <f t="shared" ca="1" si="41"/>
        <v>0</v>
      </c>
      <c r="T12" s="21" cm="1">
        <f t="array" aca="1" ref="T12" ca="1">_xlfn.LAMBDA(_xlpm._in,_xlpm._val,_xlpm._range,
IF(_xlpm._in="",_xlpm._val,_xlfn.LET(
_xlpm._id,LEFT(_xlpm._in,FIND(",",_xlpm._in)-1),
CalculateMaxFromList(RemoveFirstElement(_xlpm._in),MAX(_xlpm._val,VLOOKUP(_xlpm._id,_xlpm._range,COLUMNS(_xlpm._range),FALSE)),_xlpm._range))))($M12,0,'Damage Scenarios'!$A:$U)</f>
        <v>0</v>
      </c>
      <c r="U12" s="21" cm="1">
        <f t="array" aca="1" ref="U12" ca="1">CalculateMaxFromList($O12,0,'Damage Scenarios'!$A:$U)</f>
        <v>0</v>
      </c>
      <c r="V12" s="21" t="str">
        <f ca="1">IF($U12=0,"",INDEX(Definitions!$Q:$Q,MATCH($U12,Definitions!$R:$R,0)))</f>
        <v/>
      </c>
      <c r="W12" s="21" t="str" cm="1">
        <f t="array" aca="1" ref="W12" ca="1">CalculateMaxAndElements($K12,0,"",'Attack Steps'!$A:X)</f>
        <v>0:</v>
      </c>
      <c r="X12" s="21" t="str" cm="1">
        <f t="array" aca="1" ref="X12" ca="1">CalculateMaxAndElements($K12,0,"",'Attack Steps'!$A:Y)</f>
        <v>0:</v>
      </c>
      <c r="Y12" s="21" t="str" cm="1">
        <f t="array" aca="1" ref="Y12" ca="1">CalculateMaxAndElements($K12,0,"",'Attack Steps'!$A:Z)</f>
        <v>0:</v>
      </c>
      <c r="Z12" s="21" t="str" cm="1">
        <f t="array" aca="1" ref="Z12" ca="1">CalculateMaxAndElements($K12,0,"",'Attack Steps'!$A:AA)</f>
        <v>0:</v>
      </c>
      <c r="AA12" s="21" t="str" cm="1">
        <f t="array" aca="1" ref="AA12" ca="1">CalculateMaxAndElements($K12,0,"",'Attack Steps'!$A:AB)</f>
        <v>0:</v>
      </c>
      <c r="AB12" s="21">
        <f t="shared" ca="1" si="42"/>
        <v>0</v>
      </c>
      <c r="AC12" s="21">
        <f t="shared" ca="1" si="43"/>
        <v>0</v>
      </c>
      <c r="AD12" s="21">
        <f t="shared" ca="1" si="44"/>
        <v>0</v>
      </c>
      <c r="AE12" s="21">
        <f t="shared" ca="1" si="45"/>
        <v>0</v>
      </c>
      <c r="AF12" s="21">
        <f t="shared" ca="1" si="46"/>
        <v>0</v>
      </c>
      <c r="AG12" s="21">
        <f t="shared" ca="1" si="3"/>
        <v>0</v>
      </c>
      <c r="AH12" s="21" t="str" cm="1">
        <f t="array" aca="1" ref="AH12" ca="1">IF(ROW()=ROW($AH$2)+1,"",INDEX($AH:$AH,ROW()-1))&amp;IF($A12="","",$A12&amp;",")</f>
        <v/>
      </c>
      <c r="AI12" s="21" t="str">
        <f t="shared" ca="1" si="47"/>
        <v/>
      </c>
      <c r="AJ12" s="21" cm="1">
        <f t="array" aca="1" ref="AJ12" ca="1">IF($G12="",0,SimpleLookup($G12,Definitions!$AE:$AF))</f>
        <v>0</v>
      </c>
      <c r="AK12" s="21" t="str" cm="1">
        <f t="array" aca="1" ref="AK12" ca="1">InverseLookup($A12,Mitigation!$U$2,Mitigation!$J$2,1,Helper!$B$5,",")</f>
        <v/>
      </c>
      <c r="AL12" s="21" t="str" cm="1">
        <f t="array" aca="1" ref="AL12" ca="1">CalculateMaxAndElementsWithFallback(SanitizeInput($AK12),0,"",Countermeasures!$A:Y,Assumptions!$A:Z)</f>
        <v>0:</v>
      </c>
      <c r="AM12" s="21" t="str" cm="1">
        <f t="array" aca="1" ref="AM12" ca="1">CalculateMaxAndElementsWithFallback(SanitizeInput($AK12),0,"",Countermeasures!$A:Z,Assumptions!$A:AA)</f>
        <v>0:</v>
      </c>
      <c r="AN12" s="21" t="str" cm="1">
        <f t="array" aca="1" ref="AN12" ca="1">CalculateMaxAndElementsWithFallback(SanitizeInput($AK12),0,"",Countermeasures!$A:AA,Assumptions!$A:AB)</f>
        <v>0:</v>
      </c>
      <c r="AO12" s="21" t="str" cm="1">
        <f t="array" aca="1" ref="AO12" ca="1">CalculateMaxAndElementsWithFallback(SanitizeInput($AK12),0,"",Countermeasures!$A:AB,Assumptions!$A:AC)</f>
        <v>0:</v>
      </c>
      <c r="AP12" s="21" t="str" cm="1">
        <f t="array" aca="1" ref="AP12" ca="1">CalculateMaxAndElementsWithFallback(SanitizeInput($AK12),0,"",Countermeasures!$A:AC,Assumptions!$A:AD)</f>
        <v>0:</v>
      </c>
      <c r="AQ12" s="21">
        <f t="shared" ca="1" si="48"/>
        <v>0</v>
      </c>
      <c r="AR12" s="21">
        <f t="shared" ca="1" si="49"/>
        <v>0</v>
      </c>
      <c r="AS12" s="21">
        <f t="shared" ca="1" si="50"/>
        <v>0</v>
      </c>
      <c r="AT12" s="21">
        <f t="shared" ca="1" si="51"/>
        <v>0</v>
      </c>
      <c r="AU12" s="21">
        <f t="shared" ca="1" si="52"/>
        <v>0</v>
      </c>
      <c r="AV12" s="21" t="str">
        <f t="shared" ca="1" si="53"/>
        <v>0:</v>
      </c>
      <c r="AW12" s="21" t="str">
        <f t="shared" ca="1" si="54"/>
        <v>0:</v>
      </c>
      <c r="AX12" s="21" t="str">
        <f t="shared" ca="1" si="55"/>
        <v>0:</v>
      </c>
      <c r="AY12" s="21" t="str">
        <f t="shared" ca="1" si="56"/>
        <v>0:</v>
      </c>
      <c r="AZ12" s="21" t="str">
        <f t="shared" ca="1" si="57"/>
        <v>0:</v>
      </c>
      <c r="BA12" s="21">
        <f t="shared" ca="1" si="58"/>
        <v>0</v>
      </c>
      <c r="BB12" s="21">
        <f t="shared" ca="1" si="59"/>
        <v>0</v>
      </c>
      <c r="BC12" s="21">
        <f t="shared" ca="1" si="60"/>
        <v>0</v>
      </c>
      <c r="BD12" s="21">
        <f t="shared" ca="1" si="61"/>
        <v>0</v>
      </c>
      <c r="BE12" s="21">
        <f t="shared" ca="1" si="62"/>
        <v>0</v>
      </c>
      <c r="BF12" s="21">
        <f t="shared" ca="1" si="9"/>
        <v>0</v>
      </c>
      <c r="BG12" s="21" t="str">
        <f ca="1">IFERROR(VLOOKUP($BF12,Definitions!$V:$W,COLUMNS(Definitions!$V:$W),TRUE),"")</f>
        <v>Basic</v>
      </c>
      <c r="BH12" s="21" t="str">
        <f ca="1">_xlfn.LET(
_xlpm._comments,GetValues($K12,Mitigation!$A:$O,"","",FALSE),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12" s="21" t="str" cm="1">
        <f t="array" aca="1" ref="BI12" ca="1">_xlfn.LET(
_xlpm._rapRange,Definitions!$W:$W,
_xlpm._calculatedRAP,$BG12,
_xlpm._inlineRAP,$BH12,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12" s="21" t="str">
        <f ca="1">IFERROR(IF(OR($V12="",$BI12=""),
Definitions!$AE$4,
VLOOKUP($V12,Definitions!$AH:$AM,MATCH($BI12,Definitions!$AH$3:$AM$3,0),FALSE)),
"")</f>
        <v>No Risk</v>
      </c>
      <c r="BK12" s="21" cm="1">
        <f t="array" aca="1" ref="BK12" ca="1">IF($BJ12="",0,SimpleLookup($BJ12,Definitions!$AE:$AF))</f>
        <v>0</v>
      </c>
      <c r="BL12" s="21" t="str" cm="1">
        <f t="array" aca="1" ref="BL12" ca="1">IFERROR(SimpleLookup($A12,Tracing!$B:$Z),"")</f>
        <v/>
      </c>
      <c r="BM12" s="21" t="str" cm="1">
        <f t="array" aca="1" ref="BM12" ca="1">_xlfn.LET(_xlpm._dm,SanitizeInput(GetValuesWithFallback(SanitizeInput($BL12),Assumptions!$A:$I,Countermeasures!$A:$I,"",",",FALSE)),
IF(_xlpm._dm="","",","&amp;_xlpm._dm))</f>
        <v/>
      </c>
      <c r="BN12" s="21" t="str" cm="1">
        <f t="array" aca="1" ref="BN12" ca="1">ApplyDamageMitigation($M12,$BM12,"")</f>
        <v/>
      </c>
      <c r="BO12" s="21" cm="1">
        <f t="array" aca="1" ref="BO12" ca="1">CalculateMaxFromList($BN12,0,'Damage Scenarios'!$A:$U)</f>
        <v>0</v>
      </c>
      <c r="BP12" s="21" t="str">
        <f ca="1">IF($BO12=0,"",INDEX(Definitions!$Q:$Q,MATCH($BO12,Definitions!$R:$R,0)))</f>
        <v/>
      </c>
      <c r="BQ12" s="21" t="str" cm="1">
        <f t="array" aca="1" ref="BQ12" ca="1">CalculateMaxAndElementsWithFallback(SanitizeInput($BL12),0,"",Countermeasures!$A:Y,Assumptions!$A:Z)</f>
        <v>0:</v>
      </c>
      <c r="BR12" s="21" t="str" cm="1">
        <f t="array" aca="1" ref="BR12" ca="1">CalculateMaxAndElementsWithFallback(SanitizeInput($BL12),0,"",Countermeasures!$A:Z,Assumptions!$A:AA)</f>
        <v>0:</v>
      </c>
      <c r="BS12" s="21" t="str" cm="1">
        <f t="array" aca="1" ref="BS12" ca="1">CalculateMaxAndElementsWithFallback(SanitizeInput($BL12),0,"",Countermeasures!$A:AA,Assumptions!$A:AB)</f>
        <v>0:</v>
      </c>
      <c r="BT12" s="21" t="str" cm="1">
        <f t="array" aca="1" ref="BT12" ca="1">CalculateMaxAndElementsWithFallback(SanitizeInput($BL12),0,"",Countermeasures!$A:AB,Assumptions!$A:AC)</f>
        <v>0:</v>
      </c>
      <c r="BU12" s="21" t="str" cm="1">
        <f t="array" aca="1" ref="BU12" ca="1">CalculateMaxAndElementsWithFallback(SanitizeInput($BL12),0,"",Countermeasures!$A:AC,Assumptions!$A:AD)</f>
        <v>0:</v>
      </c>
      <c r="BV12" s="21">
        <f t="shared" ca="1" si="25"/>
        <v>0</v>
      </c>
      <c r="BW12" s="21">
        <f t="shared" ca="1" si="26"/>
        <v>0</v>
      </c>
      <c r="BX12" s="21">
        <f t="shared" ca="1" si="27"/>
        <v>0</v>
      </c>
      <c r="BY12" s="21">
        <f t="shared" ca="1" si="28"/>
        <v>0</v>
      </c>
      <c r="BZ12" s="21">
        <f t="shared" ca="1" si="29"/>
        <v>0</v>
      </c>
      <c r="CA12" s="21" t="str">
        <f t="shared" ca="1" si="30"/>
        <v>0:</v>
      </c>
      <c r="CB12" s="21" t="str">
        <f t="shared" ca="1" si="31"/>
        <v>0:</v>
      </c>
      <c r="CC12" s="21" t="str">
        <f t="shared" ca="1" si="32"/>
        <v>0:</v>
      </c>
      <c r="CD12" s="21" t="str">
        <f t="shared" ca="1" si="33"/>
        <v>0:</v>
      </c>
      <c r="CE12" s="21" t="str">
        <f t="shared" ca="1" si="34"/>
        <v>0:</v>
      </c>
      <c r="CF12" s="21">
        <f t="shared" ca="1" si="35"/>
        <v>0</v>
      </c>
      <c r="CG12" s="21">
        <f t="shared" ca="1" si="36"/>
        <v>0</v>
      </c>
      <c r="CH12" s="21">
        <f t="shared" ca="1" si="37"/>
        <v>0</v>
      </c>
      <c r="CI12" s="21">
        <f t="shared" ca="1" si="38"/>
        <v>0</v>
      </c>
      <c r="CJ12" s="21">
        <f t="shared" ca="1" si="39"/>
        <v>0</v>
      </c>
      <c r="CK12" s="21">
        <f t="shared" ca="1" si="23"/>
        <v>0</v>
      </c>
      <c r="CL12" s="21" t="str">
        <f ca="1">IFERROR(VLOOKUP($CK12,Definitions!$V:$W,COLUMNS(Definitions!$V:$W),TRUE),"")</f>
        <v>Basic</v>
      </c>
      <c r="CM12" s="21" t="str">
        <f ca="1">_xlfn.LET(
_xlpm._comments,SimpleLookup($A12,Tracing!$B:$AB),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12" s="21" t="str" cm="1">
        <f t="array" aca="1" ref="CN12" ca="1">_xlfn.LET(
_xlpm._rapRange,Definitions!$W:$W,
_xlpm._calculatedRAP,$CL12,
_xlpm._inlineRAP,$CM12,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12" s="21" t="str">
        <f ca="1">IFERROR(IF(OR($BP12="",$CN12=""),
Definitions!$AE$4,
VLOOKUP($BP12,Definitions!$AH:$AM,MATCH($CN12,Definitions!$AH$3:$AM$3,0),FALSE)),
"")</f>
        <v>No Risk</v>
      </c>
      <c r="CP12" s="21" cm="1">
        <f t="array" aca="1" ref="CP12" ca="1">IF($CO12="",0,SimpleLookup($CO12,Definitions!$AE:$AF))</f>
        <v>0</v>
      </c>
      <c r="CQ12" s="21" t="b">
        <f ca="1">OR(AND($S12,$I12=Helper!$B$7),$I12&gt;Helper!$B$7)</f>
        <v>1</v>
      </c>
      <c r="CR12" s="21" t="str">
        <f t="shared" ca="1" si="24"/>
        <v/>
      </c>
      <c r="CS12" s="21" cm="1">
        <f t="array" aca="1" ref="CS12" ca="1">CreateID($CS$2,$CV:$CV,$CR12&lt;&gt;"")</f>
        <v>0</v>
      </c>
      <c r="CT12" s="21" t="str">
        <f ca="1">IF(IFERROR(MATCH(","&amp;A12&amp;",",'Risk Treatment'!$AT:$AT,0)&gt;0,FALSE),"",$A12)</f>
        <v/>
      </c>
      <c r="CU12" s="21" cm="1">
        <f t="array" aca="1" ref="CU12" ca="1">CreateID($CU$2,$CU:$CU,$CT12&lt;&gt;"")</f>
        <v>0</v>
      </c>
    </row>
    <row r="13" spans="1:101" x14ac:dyDescent="0.25">
      <c r="A13" s="33" t="str" cm="1">
        <f t="array" aca="1" ref="A13" ca="1">IF($B13="","","R"&amp;RemoveDelimiter(SUBSTITUTE(SUBSTITUTE($K13,"AS",""),",","-"),"-"))</f>
        <v/>
      </c>
      <c r="B13" s="33" t="str" cm="1">
        <f t="array" aca="1" ref="B13" ca="1">IF($L13="","",_xlfn.LET(
_xlpm._finalAttackStep,$L13,
_xlpm._prepAttacks,RemoveFirstElement(_xlpm._finalAttackStep&amp;","&amp;$K13),
_xlpm._prepAttackNames,IFERROR(LookupNames(_xlpm._prepAttacks,'Attack Steps'!$A:$B),""),
_xlpm._delimiter,REPT(CHAR(150),55),
$L13&amp;" "&amp;SimpleLookup($L13,'Attack Steps'!$A:$B)&amp;
IF(_xlpm._prepAttackNames="","",CHAR(10)&amp;_xlpm._delimiter&amp;CHAR(10)&amp;_xlpm._prepAttackNames)))</f>
        <v/>
      </c>
      <c r="C13" s="34" t="str" cm="1">
        <f t="array" aca="1" ref="C13" ca="1">IFERROR(LookupNames($M13,'Damage Scenarios'!$A:$V),"")</f>
        <v/>
      </c>
      <c r="D13" s="33" t="str">
        <f ca="1">IFERROR(IF($T13=0,"",INDEX(Definitions!$Q:$Q,MATCH($T13,Definitions!$R:$R,0))),"")</f>
        <v/>
      </c>
      <c r="E13" s="34" t="str" cm="1">
        <f t="array" aca="1" ref="E13" ca="1">IF($A13="","",_xlfn.LET(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_xlpm._factorFunction($A13,$A:W,Definitions!$Y:$Y,Definitions!$AB:$AB,1)&amp;CHAR(10)&amp;
_xlpm._factorFunction($A13,$A:X,Definitions!$Y:$Y,Definitions!$AB:$AB,2)&amp;CHAR(10)&amp;
_xlpm._factorFunction($A13,$A:Y,Definitions!$Y:$Y,Definitions!$AB:$AB,3)&amp;CHAR(10)&amp;
_xlpm._factorFunction($A13,$A:Z,Definitions!$Y:$Y,Definitions!$AB:$AB,4)&amp;CHAR(10)&amp;
_xlpm._factorFunction($A13,$A:AA,Definitions!$Y:$Y,Definitions!$AB:$AB,5)))</f>
        <v/>
      </c>
      <c r="F13" s="33" t="str">
        <f ca="1">IF($A13="","",IFERROR(VLOOKUP($AG13,Definitions!$V:$W,COLUMNS(Definitions!$V:$W),TRUE),""))</f>
        <v/>
      </c>
      <c r="G13" s="33" t="str">
        <f ca="1">IFERROR(IF(OR($D13="",$F13=""),
"",
VLOOKUP($D13,Definitions!$AH:$AM,MATCH($F13,Definitions!$AH$3:$AM$3,0),FALSE)),
"")</f>
        <v/>
      </c>
      <c r="H13" s="23" cm="1">
        <f t="array" aca="1" ref="H13" ca="1">IF(ROW()=ROW($H$2)+1,0,INDEX($H:$H,ROW()-1))+IF($A13="",0,1)</f>
        <v>0</v>
      </c>
      <c r="I13" s="21" cm="1">
        <f t="array" aca="1" ref="I13" ca="1">IF(ROW()=ROW($I$2)+1,
1,
INDEX($I:$I,ROW()-1)+IF(INDEX($S:$S,ROW()-1),1,0))</f>
        <v>1</v>
      </c>
      <c r="J13" s="21">
        <f t="shared" ca="1" si="0"/>
        <v>11</v>
      </c>
      <c r="K13" s="21" t="str">
        <f t="shared" ca="1" si="40"/>
        <v/>
      </c>
      <c r="L13" s="21" t="str" cm="1">
        <f t="array" aca="1" ref="L13" ca="1">IF($P13="","",INDEX('Attack Steps'!$A:$A,$P13))</f>
        <v/>
      </c>
      <c r="M13" s="21" t="str" cm="1">
        <f t="array" aca="1" ref="M13" ca="1">IF($P13="","",INDEX('Attack Steps'!$T:$T,$P13))</f>
        <v/>
      </c>
      <c r="N13" s="21" t="str" cm="1">
        <f t="array" aca="1" ref="N13" ca="1">_xlfn.LET(_xlpm._dm,SanitizeInput(GetValuesWithFallback(SanitizeInput($AK13),Assumptions!$A:$I,Countermeasures!$A:$I,"",",",FALSE)),
IF(_xlpm._dm="","",","&amp;_xlpm._dm))</f>
        <v/>
      </c>
      <c r="O13" s="21" t="str" cm="1">
        <f t="array" aca="1" ref="O13" ca="1">ApplyDamageMitigation($M13,$N13,"")</f>
        <v/>
      </c>
      <c r="P13" s="21" t="str">
        <f ca="1">IFERROR(MATCH($I13,'Attack Steps'!$V:$V,0),"")</f>
        <v/>
      </c>
      <c r="Q13" s="21" t="str" cm="1">
        <f t="array" aca="1" ref="Q13" ca="1">IF($P13="","","§"&amp;INDEX('Attack Steps'!$S:$S,$P13))</f>
        <v/>
      </c>
      <c r="R13" s="21" t="str" cm="1">
        <f t="array" aca="1" ref="R13" ca="1">IF($P13="","",INDEX('Attack Steps'!$W:$W,$P13))</f>
        <v/>
      </c>
      <c r="S13" s="21" t="b">
        <f t="shared" ca="1" si="41"/>
        <v>0</v>
      </c>
      <c r="T13" s="21" cm="1">
        <f t="array" aca="1" ref="T13" ca="1">_xlfn.LAMBDA(_xlpm._in,_xlpm._val,_xlpm._range,
IF(_xlpm._in="",_xlpm._val,_xlfn.LET(
_xlpm._id,LEFT(_xlpm._in,FIND(",",_xlpm._in)-1),
CalculateMaxFromList(RemoveFirstElement(_xlpm._in),MAX(_xlpm._val,VLOOKUP(_xlpm._id,_xlpm._range,COLUMNS(_xlpm._range),FALSE)),_xlpm._range))))($M13,0,'Damage Scenarios'!$A:$U)</f>
        <v>0</v>
      </c>
      <c r="U13" s="21" cm="1">
        <f t="array" aca="1" ref="U13" ca="1">CalculateMaxFromList($O13,0,'Damage Scenarios'!$A:$U)</f>
        <v>0</v>
      </c>
      <c r="V13" s="21" t="str">
        <f ca="1">IF($U13=0,"",INDEX(Definitions!$Q:$Q,MATCH($U13,Definitions!$R:$R,0)))</f>
        <v/>
      </c>
      <c r="W13" s="21" t="str" cm="1">
        <f t="array" aca="1" ref="W13" ca="1">CalculateMaxAndElements($K13,0,"",'Attack Steps'!$A:X)</f>
        <v>0:</v>
      </c>
      <c r="X13" s="21" t="str" cm="1">
        <f t="array" aca="1" ref="X13" ca="1">CalculateMaxAndElements($K13,0,"",'Attack Steps'!$A:Y)</f>
        <v>0:</v>
      </c>
      <c r="Y13" s="21" t="str" cm="1">
        <f t="array" aca="1" ref="Y13" ca="1">CalculateMaxAndElements($K13,0,"",'Attack Steps'!$A:Z)</f>
        <v>0:</v>
      </c>
      <c r="Z13" s="21" t="str" cm="1">
        <f t="array" aca="1" ref="Z13" ca="1">CalculateMaxAndElements($K13,0,"",'Attack Steps'!$A:AA)</f>
        <v>0:</v>
      </c>
      <c r="AA13" s="21" t="str" cm="1">
        <f t="array" aca="1" ref="AA13" ca="1">CalculateMaxAndElements($K13,0,"",'Attack Steps'!$A:AB)</f>
        <v>0:</v>
      </c>
      <c r="AB13" s="21">
        <f t="shared" ca="1" si="42"/>
        <v>0</v>
      </c>
      <c r="AC13" s="21">
        <f t="shared" ca="1" si="43"/>
        <v>0</v>
      </c>
      <c r="AD13" s="21">
        <f t="shared" ca="1" si="44"/>
        <v>0</v>
      </c>
      <c r="AE13" s="21">
        <f t="shared" ca="1" si="45"/>
        <v>0</v>
      </c>
      <c r="AF13" s="21">
        <f t="shared" ca="1" si="46"/>
        <v>0</v>
      </c>
      <c r="AG13" s="21">
        <f t="shared" ca="1" si="3"/>
        <v>0</v>
      </c>
      <c r="AH13" s="21" t="str" cm="1">
        <f t="array" aca="1" ref="AH13" ca="1">IF(ROW()=ROW($AH$2)+1,"",INDEX($AH:$AH,ROW()-1))&amp;IF($A13="","",$A13&amp;",")</f>
        <v/>
      </c>
      <c r="AI13" s="21" t="str">
        <f t="shared" ca="1" si="47"/>
        <v/>
      </c>
      <c r="AJ13" s="21" cm="1">
        <f t="array" aca="1" ref="AJ13" ca="1">IF($G13="",0,SimpleLookup($G13,Definitions!$AE:$AF))</f>
        <v>0</v>
      </c>
      <c r="AK13" s="21" t="str" cm="1">
        <f t="array" aca="1" ref="AK13" ca="1">InverseLookup($A13,Mitigation!$U$2,Mitigation!$J$2,1,Helper!$B$5,",")</f>
        <v/>
      </c>
      <c r="AL13" s="21" t="str" cm="1">
        <f t="array" aca="1" ref="AL13" ca="1">CalculateMaxAndElementsWithFallback(SanitizeInput($AK13),0,"",Countermeasures!$A:Y,Assumptions!$A:Z)</f>
        <v>0:</v>
      </c>
      <c r="AM13" s="21" t="str" cm="1">
        <f t="array" aca="1" ref="AM13" ca="1">CalculateMaxAndElementsWithFallback(SanitizeInput($AK13),0,"",Countermeasures!$A:Z,Assumptions!$A:AA)</f>
        <v>0:</v>
      </c>
      <c r="AN13" s="21" t="str" cm="1">
        <f t="array" aca="1" ref="AN13" ca="1">CalculateMaxAndElementsWithFallback(SanitizeInput($AK13),0,"",Countermeasures!$A:AA,Assumptions!$A:AB)</f>
        <v>0:</v>
      </c>
      <c r="AO13" s="21" t="str" cm="1">
        <f t="array" aca="1" ref="AO13" ca="1">CalculateMaxAndElementsWithFallback(SanitizeInput($AK13),0,"",Countermeasures!$A:AB,Assumptions!$A:AC)</f>
        <v>0:</v>
      </c>
      <c r="AP13" s="21" t="str" cm="1">
        <f t="array" aca="1" ref="AP13" ca="1">CalculateMaxAndElementsWithFallback(SanitizeInput($AK13),0,"",Countermeasures!$A:AC,Assumptions!$A:AD)</f>
        <v>0:</v>
      </c>
      <c r="AQ13" s="21">
        <f t="shared" ca="1" si="48"/>
        <v>0</v>
      </c>
      <c r="AR13" s="21">
        <f t="shared" ca="1" si="49"/>
        <v>0</v>
      </c>
      <c r="AS13" s="21">
        <f t="shared" ca="1" si="50"/>
        <v>0</v>
      </c>
      <c r="AT13" s="21">
        <f t="shared" ca="1" si="51"/>
        <v>0</v>
      </c>
      <c r="AU13" s="21">
        <f t="shared" ca="1" si="52"/>
        <v>0</v>
      </c>
      <c r="AV13" s="21" t="str">
        <f t="shared" ca="1" si="53"/>
        <v>0:</v>
      </c>
      <c r="AW13" s="21" t="str">
        <f t="shared" ca="1" si="54"/>
        <v>0:</v>
      </c>
      <c r="AX13" s="21" t="str">
        <f t="shared" ca="1" si="55"/>
        <v>0:</v>
      </c>
      <c r="AY13" s="21" t="str">
        <f t="shared" ca="1" si="56"/>
        <v>0:</v>
      </c>
      <c r="AZ13" s="21" t="str">
        <f t="shared" ca="1" si="57"/>
        <v>0:</v>
      </c>
      <c r="BA13" s="21">
        <f t="shared" ca="1" si="58"/>
        <v>0</v>
      </c>
      <c r="BB13" s="21">
        <f t="shared" ca="1" si="59"/>
        <v>0</v>
      </c>
      <c r="BC13" s="21">
        <f t="shared" ca="1" si="60"/>
        <v>0</v>
      </c>
      <c r="BD13" s="21">
        <f t="shared" ca="1" si="61"/>
        <v>0</v>
      </c>
      <c r="BE13" s="21">
        <f t="shared" ca="1" si="62"/>
        <v>0</v>
      </c>
      <c r="BF13" s="21">
        <f t="shared" ca="1" si="9"/>
        <v>0</v>
      </c>
      <c r="BG13" s="21" t="str">
        <f ca="1">IFERROR(VLOOKUP($BF13,Definitions!$V:$W,COLUMNS(Definitions!$V:$W),TRUE),"")</f>
        <v>Basic</v>
      </c>
      <c r="BH13" s="21" t="str">
        <f ca="1">_xlfn.LET(
_xlpm._comments,GetValues($K13,Mitigation!$A:$O,"","",FALSE),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13" s="21" t="str" cm="1">
        <f t="array" aca="1" ref="BI13" ca="1">_xlfn.LET(
_xlpm._rapRange,Definitions!$W:$W,
_xlpm._calculatedRAP,$BG13,
_xlpm._inlineRAP,$BH13,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13" s="21" t="str">
        <f ca="1">IFERROR(IF(OR($V13="",$BI13=""),
Definitions!$AE$4,
VLOOKUP($V13,Definitions!$AH:$AM,MATCH($BI13,Definitions!$AH$3:$AM$3,0),FALSE)),
"")</f>
        <v>No Risk</v>
      </c>
      <c r="BK13" s="21" cm="1">
        <f t="array" aca="1" ref="BK13" ca="1">IF($BJ13="",0,SimpleLookup($BJ13,Definitions!$AE:$AF))</f>
        <v>0</v>
      </c>
      <c r="BL13" s="21" t="str" cm="1">
        <f t="array" aca="1" ref="BL13" ca="1">IFERROR(SimpleLookup($A13,Tracing!$B:$Z),"")</f>
        <v/>
      </c>
      <c r="BM13" s="21" t="str" cm="1">
        <f t="array" aca="1" ref="BM13" ca="1">_xlfn.LET(_xlpm._dm,SanitizeInput(GetValuesWithFallback(SanitizeInput($BL13),Assumptions!$A:$I,Countermeasures!$A:$I,"",",",FALSE)),
IF(_xlpm._dm="","",","&amp;_xlpm._dm))</f>
        <v/>
      </c>
      <c r="BN13" s="21" t="str" cm="1">
        <f t="array" aca="1" ref="BN13" ca="1">ApplyDamageMitigation($M13,$BM13,"")</f>
        <v/>
      </c>
      <c r="BO13" s="21" cm="1">
        <f t="array" aca="1" ref="BO13" ca="1">CalculateMaxFromList($BN13,0,'Damage Scenarios'!$A:$U)</f>
        <v>0</v>
      </c>
      <c r="BP13" s="21" t="str">
        <f ca="1">IF($BO13=0,"",INDEX(Definitions!$Q:$Q,MATCH($BO13,Definitions!$R:$R,0)))</f>
        <v/>
      </c>
      <c r="BQ13" s="21" t="str" cm="1">
        <f t="array" aca="1" ref="BQ13" ca="1">CalculateMaxAndElementsWithFallback(SanitizeInput($BL13),0,"",Countermeasures!$A:Y,Assumptions!$A:Z)</f>
        <v>0:</v>
      </c>
      <c r="BR13" s="21" t="str" cm="1">
        <f t="array" aca="1" ref="BR13" ca="1">CalculateMaxAndElementsWithFallback(SanitizeInput($BL13),0,"",Countermeasures!$A:Z,Assumptions!$A:AA)</f>
        <v>0:</v>
      </c>
      <c r="BS13" s="21" t="str" cm="1">
        <f t="array" aca="1" ref="BS13" ca="1">CalculateMaxAndElementsWithFallback(SanitizeInput($BL13),0,"",Countermeasures!$A:AA,Assumptions!$A:AB)</f>
        <v>0:</v>
      </c>
      <c r="BT13" s="21" t="str" cm="1">
        <f t="array" aca="1" ref="BT13" ca="1">CalculateMaxAndElementsWithFallback(SanitizeInput($BL13),0,"",Countermeasures!$A:AB,Assumptions!$A:AC)</f>
        <v>0:</v>
      </c>
      <c r="BU13" s="21" t="str" cm="1">
        <f t="array" aca="1" ref="BU13" ca="1">CalculateMaxAndElementsWithFallback(SanitizeInput($BL13),0,"",Countermeasures!$A:AC,Assumptions!$A:AD)</f>
        <v>0:</v>
      </c>
      <c r="BV13" s="21">
        <f t="shared" ca="1" si="25"/>
        <v>0</v>
      </c>
      <c r="BW13" s="21">
        <f t="shared" ca="1" si="26"/>
        <v>0</v>
      </c>
      <c r="BX13" s="21">
        <f t="shared" ca="1" si="27"/>
        <v>0</v>
      </c>
      <c r="BY13" s="21">
        <f t="shared" ca="1" si="28"/>
        <v>0</v>
      </c>
      <c r="BZ13" s="21">
        <f t="shared" ca="1" si="29"/>
        <v>0</v>
      </c>
      <c r="CA13" s="21" t="str">
        <f t="shared" ca="1" si="30"/>
        <v>0:</v>
      </c>
      <c r="CB13" s="21" t="str">
        <f t="shared" ca="1" si="31"/>
        <v>0:</v>
      </c>
      <c r="CC13" s="21" t="str">
        <f t="shared" ca="1" si="32"/>
        <v>0:</v>
      </c>
      <c r="CD13" s="21" t="str">
        <f t="shared" ca="1" si="33"/>
        <v>0:</v>
      </c>
      <c r="CE13" s="21" t="str">
        <f t="shared" ca="1" si="34"/>
        <v>0:</v>
      </c>
      <c r="CF13" s="21">
        <f t="shared" ca="1" si="35"/>
        <v>0</v>
      </c>
      <c r="CG13" s="21">
        <f t="shared" ca="1" si="36"/>
        <v>0</v>
      </c>
      <c r="CH13" s="21">
        <f t="shared" ca="1" si="37"/>
        <v>0</v>
      </c>
      <c r="CI13" s="21">
        <f t="shared" ca="1" si="38"/>
        <v>0</v>
      </c>
      <c r="CJ13" s="21">
        <f t="shared" ca="1" si="39"/>
        <v>0</v>
      </c>
      <c r="CK13" s="21">
        <f t="shared" ca="1" si="23"/>
        <v>0</v>
      </c>
      <c r="CL13" s="21" t="str">
        <f ca="1">IFERROR(VLOOKUP($CK13,Definitions!$V:$W,COLUMNS(Definitions!$V:$W),TRUE),"")</f>
        <v>Basic</v>
      </c>
      <c r="CM13" s="21" t="str">
        <f ca="1">_xlfn.LET(
_xlpm._comments,SimpleLookup($A13,Tracing!$B:$AB),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13" s="21" t="str" cm="1">
        <f t="array" aca="1" ref="CN13" ca="1">_xlfn.LET(
_xlpm._rapRange,Definitions!$W:$W,
_xlpm._calculatedRAP,$CL13,
_xlpm._inlineRAP,$CM13,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13" s="21" t="str">
        <f ca="1">IFERROR(IF(OR($BP13="",$CN13=""),
Definitions!$AE$4,
VLOOKUP($BP13,Definitions!$AH:$AM,MATCH($CN13,Definitions!$AH$3:$AM$3,0),FALSE)),
"")</f>
        <v>No Risk</v>
      </c>
      <c r="CP13" s="21" cm="1">
        <f t="array" aca="1" ref="CP13" ca="1">IF($CO13="",0,SimpleLookup($CO13,Definitions!$AE:$AF))</f>
        <v>0</v>
      </c>
      <c r="CQ13" s="21" t="b">
        <f ca="1">OR(AND($S13,$I13=Helper!$B$7),$I13&gt;Helper!$B$7)</f>
        <v>1</v>
      </c>
      <c r="CR13" s="21" t="str">
        <f t="shared" ca="1" si="24"/>
        <v/>
      </c>
      <c r="CS13" s="21" cm="1">
        <f t="array" aca="1" ref="CS13" ca="1">CreateID($CS$2,$CV:$CV,$CR13&lt;&gt;"")</f>
        <v>0</v>
      </c>
      <c r="CT13" s="21" t="str">
        <f ca="1">IF(IFERROR(MATCH(","&amp;A13&amp;",",'Risk Treatment'!$AT:$AT,0)&gt;0,FALSE),"",$A13)</f>
        <v/>
      </c>
      <c r="CU13" s="21" cm="1">
        <f t="array" aca="1" ref="CU13" ca="1">CreateID($CU$2,$CU:$CU,$CT13&lt;&gt;"")</f>
        <v>0</v>
      </c>
    </row>
    <row r="14" spans="1:101" x14ac:dyDescent="0.25">
      <c r="A14" s="33" t="str" cm="1">
        <f t="array" aca="1" ref="A14" ca="1">IF($B14="","","R"&amp;RemoveDelimiter(SUBSTITUTE(SUBSTITUTE($K14,"AS",""),",","-"),"-"))</f>
        <v/>
      </c>
      <c r="B14" s="33" t="str" cm="1">
        <f t="array" aca="1" ref="B14" ca="1">IF($L14="","",_xlfn.LET(
_xlpm._finalAttackStep,$L14,
_xlpm._prepAttacks,RemoveFirstElement(_xlpm._finalAttackStep&amp;","&amp;$K14),
_xlpm._prepAttackNames,IFERROR(LookupNames(_xlpm._prepAttacks,'Attack Steps'!$A:$B),""),
_xlpm._delimiter,REPT(CHAR(150),55),
$L14&amp;" "&amp;SimpleLookup($L14,'Attack Steps'!$A:$B)&amp;
IF(_xlpm._prepAttackNames="","",CHAR(10)&amp;_xlpm._delimiter&amp;CHAR(10)&amp;_xlpm._prepAttackNames)))</f>
        <v/>
      </c>
      <c r="C14" s="34" t="str" cm="1">
        <f t="array" aca="1" ref="C14" ca="1">IFERROR(LookupNames($M14,'Damage Scenarios'!$A:$V),"")</f>
        <v/>
      </c>
      <c r="D14" s="33" t="str">
        <f ca="1">IFERROR(IF($T14=0,"",INDEX(Definitions!$Q:$Q,MATCH($T14,Definitions!$R:$R,0))),"")</f>
        <v/>
      </c>
      <c r="E14" s="34" t="str" cm="1">
        <f t="array" aca="1" ref="E14" ca="1">IF($A14="","",_xlfn.LET(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_xlpm._factorFunction($A14,$A:W,Definitions!$Y:$Y,Definitions!$AB:$AB,1)&amp;CHAR(10)&amp;
_xlpm._factorFunction($A14,$A:X,Definitions!$Y:$Y,Definitions!$AB:$AB,2)&amp;CHAR(10)&amp;
_xlpm._factorFunction($A14,$A:Y,Definitions!$Y:$Y,Definitions!$AB:$AB,3)&amp;CHAR(10)&amp;
_xlpm._factorFunction($A14,$A:Z,Definitions!$Y:$Y,Definitions!$AB:$AB,4)&amp;CHAR(10)&amp;
_xlpm._factorFunction($A14,$A:AA,Definitions!$Y:$Y,Definitions!$AB:$AB,5)))</f>
        <v/>
      </c>
      <c r="F14" s="33" t="str">
        <f ca="1">IF($A14="","",IFERROR(VLOOKUP($AG14,Definitions!$V:$W,COLUMNS(Definitions!$V:$W),TRUE),""))</f>
        <v/>
      </c>
      <c r="G14" s="33" t="str">
        <f ca="1">IFERROR(IF(OR($D14="",$F14=""),
"",
VLOOKUP($D14,Definitions!$AH:$AM,MATCH($F14,Definitions!$AH$3:$AM$3,0),FALSE)),
"")</f>
        <v/>
      </c>
      <c r="H14" s="23" cm="1">
        <f t="array" aca="1" ref="H14" ca="1">IF(ROW()=ROW($H$2)+1,0,INDEX($H:$H,ROW()-1))+IF($A14="",0,1)</f>
        <v>0</v>
      </c>
      <c r="I14" s="21" cm="1">
        <f t="array" aca="1" ref="I14" ca="1">IF(ROW()=ROW($I$2)+1,
1,
INDEX($I:$I,ROW()-1)+IF(INDEX($S:$S,ROW()-1),1,0))</f>
        <v>1</v>
      </c>
      <c r="J14" s="21">
        <f t="shared" ca="1" si="0"/>
        <v>12</v>
      </c>
      <c r="K14" s="21" t="str">
        <f t="shared" ca="1" si="40"/>
        <v/>
      </c>
      <c r="L14" s="21" t="str" cm="1">
        <f t="array" aca="1" ref="L14" ca="1">IF($P14="","",INDEX('Attack Steps'!$A:$A,$P14))</f>
        <v/>
      </c>
      <c r="M14" s="21" t="str" cm="1">
        <f t="array" aca="1" ref="M14" ca="1">IF($P14="","",INDEX('Attack Steps'!$T:$T,$P14))</f>
        <v/>
      </c>
      <c r="N14" s="21" t="str" cm="1">
        <f t="array" aca="1" ref="N14" ca="1">_xlfn.LET(_xlpm._dm,SanitizeInput(GetValuesWithFallback(SanitizeInput($AK14),Assumptions!$A:$I,Countermeasures!$A:$I,"",",",FALSE)),
IF(_xlpm._dm="","",","&amp;_xlpm._dm))</f>
        <v/>
      </c>
      <c r="O14" s="21" t="str" cm="1">
        <f t="array" aca="1" ref="O14" ca="1">ApplyDamageMitigation($M14,$N14,"")</f>
        <v/>
      </c>
      <c r="P14" s="21" t="str">
        <f ca="1">IFERROR(MATCH($I14,'Attack Steps'!$V:$V,0),"")</f>
        <v/>
      </c>
      <c r="Q14" s="21" t="str" cm="1">
        <f t="array" aca="1" ref="Q14" ca="1">IF($P14="","","§"&amp;INDEX('Attack Steps'!$S:$S,$P14))</f>
        <v/>
      </c>
      <c r="R14" s="21" t="str" cm="1">
        <f t="array" aca="1" ref="R14" ca="1">IF($P14="","",INDEX('Attack Steps'!$W:$W,$P14))</f>
        <v/>
      </c>
      <c r="S14" s="21" t="b">
        <f t="shared" ca="1" si="41"/>
        <v>0</v>
      </c>
      <c r="T14" s="21" cm="1">
        <f t="array" aca="1" ref="T14" ca="1">_xlfn.LAMBDA(_xlpm._in,_xlpm._val,_xlpm._range,
IF(_xlpm._in="",_xlpm._val,_xlfn.LET(
_xlpm._id,LEFT(_xlpm._in,FIND(",",_xlpm._in)-1),
CalculateMaxFromList(RemoveFirstElement(_xlpm._in),MAX(_xlpm._val,VLOOKUP(_xlpm._id,_xlpm._range,COLUMNS(_xlpm._range),FALSE)),_xlpm._range))))($M14,0,'Damage Scenarios'!$A:$U)</f>
        <v>0</v>
      </c>
      <c r="U14" s="21" cm="1">
        <f t="array" aca="1" ref="U14" ca="1">CalculateMaxFromList($O14,0,'Damage Scenarios'!$A:$U)</f>
        <v>0</v>
      </c>
      <c r="V14" s="21" t="str">
        <f ca="1">IF($U14=0,"",INDEX(Definitions!$Q:$Q,MATCH($U14,Definitions!$R:$R,0)))</f>
        <v/>
      </c>
      <c r="W14" s="21" t="str" cm="1">
        <f t="array" aca="1" ref="W14" ca="1">CalculateMaxAndElements($K14,0,"",'Attack Steps'!$A:X)</f>
        <v>0:</v>
      </c>
      <c r="X14" s="21" t="str" cm="1">
        <f t="array" aca="1" ref="X14" ca="1">CalculateMaxAndElements($K14,0,"",'Attack Steps'!$A:Y)</f>
        <v>0:</v>
      </c>
      <c r="Y14" s="21" t="str" cm="1">
        <f t="array" aca="1" ref="Y14" ca="1">CalculateMaxAndElements($K14,0,"",'Attack Steps'!$A:Z)</f>
        <v>0:</v>
      </c>
      <c r="Z14" s="21" t="str" cm="1">
        <f t="array" aca="1" ref="Z14" ca="1">CalculateMaxAndElements($K14,0,"",'Attack Steps'!$A:AA)</f>
        <v>0:</v>
      </c>
      <c r="AA14" s="21" t="str" cm="1">
        <f t="array" aca="1" ref="AA14" ca="1">CalculateMaxAndElements($K14,0,"",'Attack Steps'!$A:AB)</f>
        <v>0:</v>
      </c>
      <c r="AB14" s="21">
        <f t="shared" ca="1" si="42"/>
        <v>0</v>
      </c>
      <c r="AC14" s="21">
        <f t="shared" ca="1" si="43"/>
        <v>0</v>
      </c>
      <c r="AD14" s="21">
        <f t="shared" ca="1" si="44"/>
        <v>0</v>
      </c>
      <c r="AE14" s="21">
        <f t="shared" ca="1" si="45"/>
        <v>0</v>
      </c>
      <c r="AF14" s="21">
        <f t="shared" ca="1" si="46"/>
        <v>0</v>
      </c>
      <c r="AG14" s="21">
        <f t="shared" ca="1" si="3"/>
        <v>0</v>
      </c>
      <c r="AH14" s="21" t="str" cm="1">
        <f t="array" aca="1" ref="AH14" ca="1">IF(ROW()=ROW($AH$2)+1,"",INDEX($AH:$AH,ROW()-1))&amp;IF($A14="","",$A14&amp;",")</f>
        <v/>
      </c>
      <c r="AI14" s="21" t="str">
        <f t="shared" ca="1" si="47"/>
        <v/>
      </c>
      <c r="AJ14" s="21" cm="1">
        <f t="array" aca="1" ref="AJ14" ca="1">IF($G14="",0,SimpleLookup($G14,Definitions!$AE:$AF))</f>
        <v>0</v>
      </c>
      <c r="AK14" s="21" t="str" cm="1">
        <f t="array" aca="1" ref="AK14" ca="1">InverseLookup($A14,Mitigation!$U$2,Mitigation!$J$2,1,Helper!$B$5,",")</f>
        <v/>
      </c>
      <c r="AL14" s="21" t="str" cm="1">
        <f t="array" aca="1" ref="AL14" ca="1">CalculateMaxAndElementsWithFallback(SanitizeInput($AK14),0,"",Countermeasures!$A:Y,Assumptions!$A:Z)</f>
        <v>0:</v>
      </c>
      <c r="AM14" s="21" t="str" cm="1">
        <f t="array" aca="1" ref="AM14" ca="1">CalculateMaxAndElementsWithFallback(SanitizeInput($AK14),0,"",Countermeasures!$A:Z,Assumptions!$A:AA)</f>
        <v>0:</v>
      </c>
      <c r="AN14" s="21" t="str" cm="1">
        <f t="array" aca="1" ref="AN14" ca="1">CalculateMaxAndElementsWithFallback(SanitizeInput($AK14),0,"",Countermeasures!$A:AA,Assumptions!$A:AB)</f>
        <v>0:</v>
      </c>
      <c r="AO14" s="21" t="str" cm="1">
        <f t="array" aca="1" ref="AO14" ca="1">CalculateMaxAndElementsWithFallback(SanitizeInput($AK14),0,"",Countermeasures!$A:AB,Assumptions!$A:AC)</f>
        <v>0:</v>
      </c>
      <c r="AP14" s="21" t="str" cm="1">
        <f t="array" aca="1" ref="AP14" ca="1">CalculateMaxAndElementsWithFallback(SanitizeInput($AK14),0,"",Countermeasures!$A:AC,Assumptions!$A:AD)</f>
        <v>0:</v>
      </c>
      <c r="AQ14" s="21">
        <f t="shared" ca="1" si="48"/>
        <v>0</v>
      </c>
      <c r="AR14" s="21">
        <f t="shared" ca="1" si="49"/>
        <v>0</v>
      </c>
      <c r="AS14" s="21">
        <f t="shared" ca="1" si="50"/>
        <v>0</v>
      </c>
      <c r="AT14" s="21">
        <f t="shared" ca="1" si="51"/>
        <v>0</v>
      </c>
      <c r="AU14" s="21">
        <f t="shared" ca="1" si="52"/>
        <v>0</v>
      </c>
      <c r="AV14" s="21" t="str">
        <f t="shared" ca="1" si="53"/>
        <v>0:</v>
      </c>
      <c r="AW14" s="21" t="str">
        <f t="shared" ca="1" si="54"/>
        <v>0:</v>
      </c>
      <c r="AX14" s="21" t="str">
        <f t="shared" ca="1" si="55"/>
        <v>0:</v>
      </c>
      <c r="AY14" s="21" t="str">
        <f t="shared" ca="1" si="56"/>
        <v>0:</v>
      </c>
      <c r="AZ14" s="21" t="str">
        <f t="shared" ca="1" si="57"/>
        <v>0:</v>
      </c>
      <c r="BA14" s="21">
        <f t="shared" ca="1" si="58"/>
        <v>0</v>
      </c>
      <c r="BB14" s="21">
        <f t="shared" ca="1" si="59"/>
        <v>0</v>
      </c>
      <c r="BC14" s="21">
        <f t="shared" ca="1" si="60"/>
        <v>0</v>
      </c>
      <c r="BD14" s="21">
        <f t="shared" ca="1" si="61"/>
        <v>0</v>
      </c>
      <c r="BE14" s="21">
        <f t="shared" ca="1" si="62"/>
        <v>0</v>
      </c>
      <c r="BF14" s="21">
        <f t="shared" ca="1" si="9"/>
        <v>0</v>
      </c>
      <c r="BG14" s="21" t="str">
        <f ca="1">IFERROR(VLOOKUP($BF14,Definitions!$V:$W,COLUMNS(Definitions!$V:$W),TRUE),"")</f>
        <v>Basic</v>
      </c>
      <c r="BH14" s="21" t="str">
        <f ca="1">_xlfn.LET(
_xlpm._comments,GetValues($K14,Mitigation!$A:$O,"","",FALSE),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14" s="21" t="str" cm="1">
        <f t="array" aca="1" ref="BI14" ca="1">_xlfn.LET(
_xlpm._rapRange,Definitions!$W:$W,
_xlpm._calculatedRAP,$BG14,
_xlpm._inlineRAP,$BH14,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14" s="21" t="str">
        <f ca="1">IFERROR(IF(OR($V14="",$BI14=""),
Definitions!$AE$4,
VLOOKUP($V14,Definitions!$AH:$AM,MATCH($BI14,Definitions!$AH$3:$AM$3,0),FALSE)),
"")</f>
        <v>No Risk</v>
      </c>
      <c r="BK14" s="21" cm="1">
        <f t="array" aca="1" ref="BK14" ca="1">IF($BJ14="",0,SimpleLookup($BJ14,Definitions!$AE:$AF))</f>
        <v>0</v>
      </c>
      <c r="BL14" s="21" t="str" cm="1">
        <f t="array" aca="1" ref="BL14" ca="1">IFERROR(SimpleLookup($A14,Tracing!$B:$Z),"")</f>
        <v/>
      </c>
      <c r="BM14" s="21" t="str" cm="1">
        <f t="array" aca="1" ref="BM14" ca="1">_xlfn.LET(_xlpm._dm,SanitizeInput(GetValuesWithFallback(SanitizeInput($BL14),Assumptions!$A:$I,Countermeasures!$A:$I,"",",",FALSE)),
IF(_xlpm._dm="","",","&amp;_xlpm._dm))</f>
        <v/>
      </c>
      <c r="BN14" s="21" t="str" cm="1">
        <f t="array" aca="1" ref="BN14" ca="1">ApplyDamageMitigation($M14,$BM14,"")</f>
        <v/>
      </c>
      <c r="BO14" s="21" cm="1">
        <f t="array" aca="1" ref="BO14" ca="1">CalculateMaxFromList($BN14,0,'Damage Scenarios'!$A:$U)</f>
        <v>0</v>
      </c>
      <c r="BP14" s="21" t="str">
        <f ca="1">IF($BO14=0,"",INDEX(Definitions!$Q:$Q,MATCH($BO14,Definitions!$R:$R,0)))</f>
        <v/>
      </c>
      <c r="BQ14" s="21" t="str" cm="1">
        <f t="array" aca="1" ref="BQ14" ca="1">CalculateMaxAndElementsWithFallback(SanitizeInput($BL14),0,"",Countermeasures!$A:Y,Assumptions!$A:Z)</f>
        <v>0:</v>
      </c>
      <c r="BR14" s="21" t="str" cm="1">
        <f t="array" aca="1" ref="BR14" ca="1">CalculateMaxAndElementsWithFallback(SanitizeInput($BL14),0,"",Countermeasures!$A:Z,Assumptions!$A:AA)</f>
        <v>0:</v>
      </c>
      <c r="BS14" s="21" t="str" cm="1">
        <f t="array" aca="1" ref="BS14" ca="1">CalculateMaxAndElementsWithFallback(SanitizeInput($BL14),0,"",Countermeasures!$A:AA,Assumptions!$A:AB)</f>
        <v>0:</v>
      </c>
      <c r="BT14" s="21" t="str" cm="1">
        <f t="array" aca="1" ref="BT14" ca="1">CalculateMaxAndElementsWithFallback(SanitizeInput($BL14),0,"",Countermeasures!$A:AB,Assumptions!$A:AC)</f>
        <v>0:</v>
      </c>
      <c r="BU14" s="21" t="str" cm="1">
        <f t="array" aca="1" ref="BU14" ca="1">CalculateMaxAndElementsWithFallback(SanitizeInput($BL14),0,"",Countermeasures!$A:AC,Assumptions!$A:AD)</f>
        <v>0:</v>
      </c>
      <c r="BV14" s="21">
        <f t="shared" ca="1" si="25"/>
        <v>0</v>
      </c>
      <c r="BW14" s="21">
        <f t="shared" ca="1" si="26"/>
        <v>0</v>
      </c>
      <c r="BX14" s="21">
        <f t="shared" ca="1" si="27"/>
        <v>0</v>
      </c>
      <c r="BY14" s="21">
        <f t="shared" ca="1" si="28"/>
        <v>0</v>
      </c>
      <c r="BZ14" s="21">
        <f t="shared" ca="1" si="29"/>
        <v>0</v>
      </c>
      <c r="CA14" s="21" t="str">
        <f t="shared" ca="1" si="30"/>
        <v>0:</v>
      </c>
      <c r="CB14" s="21" t="str">
        <f t="shared" ca="1" si="31"/>
        <v>0:</v>
      </c>
      <c r="CC14" s="21" t="str">
        <f t="shared" ca="1" si="32"/>
        <v>0:</v>
      </c>
      <c r="CD14" s="21" t="str">
        <f t="shared" ca="1" si="33"/>
        <v>0:</v>
      </c>
      <c r="CE14" s="21" t="str">
        <f t="shared" ca="1" si="34"/>
        <v>0:</v>
      </c>
      <c r="CF14" s="21">
        <f t="shared" ca="1" si="35"/>
        <v>0</v>
      </c>
      <c r="CG14" s="21">
        <f t="shared" ca="1" si="36"/>
        <v>0</v>
      </c>
      <c r="CH14" s="21">
        <f t="shared" ca="1" si="37"/>
        <v>0</v>
      </c>
      <c r="CI14" s="21">
        <f t="shared" ca="1" si="38"/>
        <v>0</v>
      </c>
      <c r="CJ14" s="21">
        <f t="shared" ca="1" si="39"/>
        <v>0</v>
      </c>
      <c r="CK14" s="21">
        <f t="shared" ca="1" si="23"/>
        <v>0</v>
      </c>
      <c r="CL14" s="21" t="str">
        <f ca="1">IFERROR(VLOOKUP($CK14,Definitions!$V:$W,COLUMNS(Definitions!$V:$W),TRUE),"")</f>
        <v>Basic</v>
      </c>
      <c r="CM14" s="21" t="str">
        <f ca="1">_xlfn.LET(
_xlpm._comments,SimpleLookup($A14,Tracing!$B:$AB),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14" s="21" t="str" cm="1">
        <f t="array" aca="1" ref="CN14" ca="1">_xlfn.LET(
_xlpm._rapRange,Definitions!$W:$W,
_xlpm._calculatedRAP,$CL14,
_xlpm._inlineRAP,$CM14,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14" s="21" t="str">
        <f ca="1">IFERROR(IF(OR($BP14="",$CN14=""),
Definitions!$AE$4,
VLOOKUP($BP14,Definitions!$AH:$AM,MATCH($CN14,Definitions!$AH$3:$AM$3,0),FALSE)),
"")</f>
        <v>No Risk</v>
      </c>
      <c r="CP14" s="21" cm="1">
        <f t="array" aca="1" ref="CP14" ca="1">IF($CO14="",0,SimpleLookup($CO14,Definitions!$AE:$AF))</f>
        <v>0</v>
      </c>
      <c r="CQ14" s="21" t="b">
        <f ca="1">OR(AND($S14,$I14=Helper!$B$7),$I14&gt;Helper!$B$7)</f>
        <v>1</v>
      </c>
      <c r="CR14" s="21" t="str">
        <f t="shared" ca="1" si="24"/>
        <v/>
      </c>
      <c r="CS14" s="21" cm="1">
        <f t="array" aca="1" ref="CS14" ca="1">CreateID($CS$2,$CV:$CV,$CR14&lt;&gt;"")</f>
        <v>0</v>
      </c>
      <c r="CT14" s="21" t="str">
        <f ca="1">IF(IFERROR(MATCH(","&amp;A14&amp;",",'Risk Treatment'!$AT:$AT,0)&gt;0,FALSE),"",$A14)</f>
        <v/>
      </c>
      <c r="CU14" s="21" cm="1">
        <f t="array" aca="1" ref="CU14" ca="1">CreateID($CU$2,$CU:$CU,$CT14&lt;&gt;"")</f>
        <v>0</v>
      </c>
    </row>
    <row r="15" spans="1:101" x14ac:dyDescent="0.25">
      <c r="A15" s="33" t="str" cm="1">
        <f t="array" aca="1" ref="A15" ca="1">IF($B15="","","R"&amp;RemoveDelimiter(SUBSTITUTE(SUBSTITUTE($K15,"AS",""),",","-"),"-"))</f>
        <v/>
      </c>
      <c r="B15" s="33" t="str" cm="1">
        <f t="array" aca="1" ref="B15" ca="1">IF($L15="","",_xlfn.LET(
_xlpm._finalAttackStep,$L15,
_xlpm._prepAttacks,RemoveFirstElement(_xlpm._finalAttackStep&amp;","&amp;$K15),
_xlpm._prepAttackNames,IFERROR(LookupNames(_xlpm._prepAttacks,'Attack Steps'!$A:$B),""),
_xlpm._delimiter,REPT(CHAR(150),55),
$L15&amp;" "&amp;SimpleLookup($L15,'Attack Steps'!$A:$B)&amp;
IF(_xlpm._prepAttackNames="","",CHAR(10)&amp;_xlpm._delimiter&amp;CHAR(10)&amp;_xlpm._prepAttackNames)))</f>
        <v/>
      </c>
      <c r="C15" s="34" t="str" cm="1">
        <f t="array" aca="1" ref="C15" ca="1">IFERROR(LookupNames($M15,'Damage Scenarios'!$A:$V),"")</f>
        <v/>
      </c>
      <c r="D15" s="33" t="str">
        <f ca="1">IFERROR(IF($T15=0,"",INDEX(Definitions!$Q:$Q,MATCH($T15,Definitions!$R:$R,0))),"")</f>
        <v/>
      </c>
      <c r="E15" s="34" t="str" cm="1">
        <f t="array" aca="1" ref="E15" ca="1">IF($A15="","",_xlfn.LET(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_xlpm._factorFunction($A15,$A:W,Definitions!$Y:$Y,Definitions!$AB:$AB,1)&amp;CHAR(10)&amp;
_xlpm._factorFunction($A15,$A:X,Definitions!$Y:$Y,Definitions!$AB:$AB,2)&amp;CHAR(10)&amp;
_xlpm._factorFunction($A15,$A:Y,Definitions!$Y:$Y,Definitions!$AB:$AB,3)&amp;CHAR(10)&amp;
_xlpm._factorFunction($A15,$A:Z,Definitions!$Y:$Y,Definitions!$AB:$AB,4)&amp;CHAR(10)&amp;
_xlpm._factorFunction($A15,$A:AA,Definitions!$Y:$Y,Definitions!$AB:$AB,5)))</f>
        <v/>
      </c>
      <c r="F15" s="33" t="str">
        <f ca="1">IF($A15="","",IFERROR(VLOOKUP($AG15,Definitions!$V:$W,COLUMNS(Definitions!$V:$W),TRUE),""))</f>
        <v/>
      </c>
      <c r="G15" s="33" t="str">
        <f ca="1">IFERROR(IF(OR($D15="",$F15=""),
"",
VLOOKUP($D15,Definitions!$AH:$AM,MATCH($F15,Definitions!$AH$3:$AM$3,0),FALSE)),
"")</f>
        <v/>
      </c>
      <c r="H15" s="23" cm="1">
        <f t="array" aca="1" ref="H15" ca="1">IF(ROW()=ROW($H$2)+1,0,INDEX($H:$H,ROW()-1))+IF($A15="",0,1)</f>
        <v>0</v>
      </c>
      <c r="I15" s="21" cm="1">
        <f t="array" aca="1" ref="I15" ca="1">IF(ROW()=ROW($I$2)+1,
1,
INDEX($I:$I,ROW()-1)+IF(INDEX($S:$S,ROW()-1),1,0))</f>
        <v>1</v>
      </c>
      <c r="J15" s="21">
        <f t="shared" ca="1" si="0"/>
        <v>13</v>
      </c>
      <c r="K15" s="21" t="str">
        <f t="shared" ca="1" si="40"/>
        <v/>
      </c>
      <c r="L15" s="21" t="str" cm="1">
        <f t="array" aca="1" ref="L15" ca="1">IF($P15="","",INDEX('Attack Steps'!$A:$A,$P15))</f>
        <v/>
      </c>
      <c r="M15" s="21" t="str" cm="1">
        <f t="array" aca="1" ref="M15" ca="1">IF($P15="","",INDEX('Attack Steps'!$T:$T,$P15))</f>
        <v/>
      </c>
      <c r="N15" s="21" t="str" cm="1">
        <f t="array" aca="1" ref="N15" ca="1">_xlfn.LET(_xlpm._dm,SanitizeInput(GetValuesWithFallback(SanitizeInput($AK15),Assumptions!$A:$I,Countermeasures!$A:$I,"",",",FALSE)),
IF(_xlpm._dm="","",","&amp;_xlpm._dm))</f>
        <v/>
      </c>
      <c r="O15" s="21" t="str" cm="1">
        <f t="array" aca="1" ref="O15" ca="1">ApplyDamageMitigation($M15,$N15,"")</f>
        <v/>
      </c>
      <c r="P15" s="21" t="str">
        <f ca="1">IFERROR(MATCH($I15,'Attack Steps'!$V:$V,0),"")</f>
        <v/>
      </c>
      <c r="Q15" s="21" t="str" cm="1">
        <f t="array" aca="1" ref="Q15" ca="1">IF($P15="","","§"&amp;INDEX('Attack Steps'!$S:$S,$P15))</f>
        <v/>
      </c>
      <c r="R15" s="21" t="str" cm="1">
        <f t="array" aca="1" ref="R15" ca="1">IF($P15="","",INDEX('Attack Steps'!$W:$W,$P15))</f>
        <v/>
      </c>
      <c r="S15" s="21" t="b">
        <f t="shared" ca="1" si="41"/>
        <v>0</v>
      </c>
      <c r="T15" s="21" cm="1">
        <f t="array" aca="1" ref="T15" ca="1">_xlfn.LAMBDA(_xlpm._in,_xlpm._val,_xlpm._range,
IF(_xlpm._in="",_xlpm._val,_xlfn.LET(
_xlpm._id,LEFT(_xlpm._in,FIND(",",_xlpm._in)-1),
CalculateMaxFromList(RemoveFirstElement(_xlpm._in),MAX(_xlpm._val,VLOOKUP(_xlpm._id,_xlpm._range,COLUMNS(_xlpm._range),FALSE)),_xlpm._range))))($M15,0,'Damage Scenarios'!$A:$U)</f>
        <v>0</v>
      </c>
      <c r="U15" s="21" cm="1">
        <f t="array" aca="1" ref="U15" ca="1">CalculateMaxFromList($O15,0,'Damage Scenarios'!$A:$U)</f>
        <v>0</v>
      </c>
      <c r="V15" s="21" t="str">
        <f ca="1">IF($U15=0,"",INDEX(Definitions!$Q:$Q,MATCH($U15,Definitions!$R:$R,0)))</f>
        <v/>
      </c>
      <c r="W15" s="21" t="str" cm="1">
        <f t="array" aca="1" ref="W15" ca="1">CalculateMaxAndElements($K15,0,"",'Attack Steps'!$A:X)</f>
        <v>0:</v>
      </c>
      <c r="X15" s="21" t="str" cm="1">
        <f t="array" aca="1" ref="X15" ca="1">CalculateMaxAndElements($K15,0,"",'Attack Steps'!$A:Y)</f>
        <v>0:</v>
      </c>
      <c r="Y15" s="21" t="str" cm="1">
        <f t="array" aca="1" ref="Y15" ca="1">CalculateMaxAndElements($K15,0,"",'Attack Steps'!$A:Z)</f>
        <v>0:</v>
      </c>
      <c r="Z15" s="21" t="str" cm="1">
        <f t="array" aca="1" ref="Z15" ca="1">CalculateMaxAndElements($K15,0,"",'Attack Steps'!$A:AA)</f>
        <v>0:</v>
      </c>
      <c r="AA15" s="21" t="str" cm="1">
        <f t="array" aca="1" ref="AA15" ca="1">CalculateMaxAndElements($K15,0,"",'Attack Steps'!$A:AB)</f>
        <v>0:</v>
      </c>
      <c r="AB15" s="21">
        <f t="shared" ca="1" si="42"/>
        <v>0</v>
      </c>
      <c r="AC15" s="21">
        <f t="shared" ca="1" si="43"/>
        <v>0</v>
      </c>
      <c r="AD15" s="21">
        <f t="shared" ca="1" si="44"/>
        <v>0</v>
      </c>
      <c r="AE15" s="21">
        <f t="shared" ca="1" si="45"/>
        <v>0</v>
      </c>
      <c r="AF15" s="21">
        <f t="shared" ca="1" si="46"/>
        <v>0</v>
      </c>
      <c r="AG15" s="21">
        <f t="shared" ca="1" si="3"/>
        <v>0</v>
      </c>
      <c r="AH15" s="21" t="str" cm="1">
        <f t="array" aca="1" ref="AH15" ca="1">IF(ROW()=ROW($AH$2)+1,"",INDEX($AH:$AH,ROW()-1))&amp;IF($A15="","",$A15&amp;",")</f>
        <v/>
      </c>
      <c r="AI15" s="21" t="str">
        <f t="shared" ca="1" si="47"/>
        <v/>
      </c>
      <c r="AJ15" s="21" cm="1">
        <f t="array" aca="1" ref="AJ15" ca="1">IF($G15="",0,SimpleLookup($G15,Definitions!$AE:$AF))</f>
        <v>0</v>
      </c>
      <c r="AK15" s="21" t="str" cm="1">
        <f t="array" aca="1" ref="AK15" ca="1">InverseLookup($A15,Mitigation!$U$2,Mitigation!$J$2,1,Helper!$B$5,",")</f>
        <v/>
      </c>
      <c r="AL15" s="21" t="str" cm="1">
        <f t="array" aca="1" ref="AL15" ca="1">CalculateMaxAndElementsWithFallback(SanitizeInput($AK15),0,"",Countermeasures!$A:Y,Assumptions!$A:Z)</f>
        <v>0:</v>
      </c>
      <c r="AM15" s="21" t="str" cm="1">
        <f t="array" aca="1" ref="AM15" ca="1">CalculateMaxAndElementsWithFallback(SanitizeInput($AK15),0,"",Countermeasures!$A:Z,Assumptions!$A:AA)</f>
        <v>0:</v>
      </c>
      <c r="AN15" s="21" t="str" cm="1">
        <f t="array" aca="1" ref="AN15" ca="1">CalculateMaxAndElementsWithFallback(SanitizeInput($AK15),0,"",Countermeasures!$A:AA,Assumptions!$A:AB)</f>
        <v>0:</v>
      </c>
      <c r="AO15" s="21" t="str" cm="1">
        <f t="array" aca="1" ref="AO15" ca="1">CalculateMaxAndElementsWithFallback(SanitizeInput($AK15),0,"",Countermeasures!$A:AB,Assumptions!$A:AC)</f>
        <v>0:</v>
      </c>
      <c r="AP15" s="21" t="str" cm="1">
        <f t="array" aca="1" ref="AP15" ca="1">CalculateMaxAndElementsWithFallback(SanitizeInput($AK15),0,"",Countermeasures!$A:AC,Assumptions!$A:AD)</f>
        <v>0:</v>
      </c>
      <c r="AQ15" s="21">
        <f t="shared" ca="1" si="48"/>
        <v>0</v>
      </c>
      <c r="AR15" s="21">
        <f t="shared" ca="1" si="49"/>
        <v>0</v>
      </c>
      <c r="AS15" s="21">
        <f t="shared" ca="1" si="50"/>
        <v>0</v>
      </c>
      <c r="AT15" s="21">
        <f t="shared" ca="1" si="51"/>
        <v>0</v>
      </c>
      <c r="AU15" s="21">
        <f t="shared" ca="1" si="52"/>
        <v>0</v>
      </c>
      <c r="AV15" s="21" t="str">
        <f t="shared" ca="1" si="53"/>
        <v>0:</v>
      </c>
      <c r="AW15" s="21" t="str">
        <f t="shared" ca="1" si="54"/>
        <v>0:</v>
      </c>
      <c r="AX15" s="21" t="str">
        <f t="shared" ca="1" si="55"/>
        <v>0:</v>
      </c>
      <c r="AY15" s="21" t="str">
        <f t="shared" ca="1" si="56"/>
        <v>0:</v>
      </c>
      <c r="AZ15" s="21" t="str">
        <f t="shared" ca="1" si="57"/>
        <v>0:</v>
      </c>
      <c r="BA15" s="21">
        <f t="shared" ca="1" si="58"/>
        <v>0</v>
      </c>
      <c r="BB15" s="21">
        <f t="shared" ca="1" si="59"/>
        <v>0</v>
      </c>
      <c r="BC15" s="21">
        <f t="shared" ca="1" si="60"/>
        <v>0</v>
      </c>
      <c r="BD15" s="21">
        <f t="shared" ca="1" si="61"/>
        <v>0</v>
      </c>
      <c r="BE15" s="21">
        <f t="shared" ca="1" si="62"/>
        <v>0</v>
      </c>
      <c r="BF15" s="21">
        <f t="shared" ca="1" si="9"/>
        <v>0</v>
      </c>
      <c r="BG15" s="21" t="str">
        <f ca="1">IFERROR(VLOOKUP($BF15,Definitions!$V:$W,COLUMNS(Definitions!$V:$W),TRUE),"")</f>
        <v>Basic</v>
      </c>
      <c r="BH15" s="21" t="str">
        <f ca="1">_xlfn.LET(
_xlpm._comments,GetValues($K15,Mitigation!$A:$O,"","",FALSE),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15" s="21" t="str" cm="1">
        <f t="array" aca="1" ref="BI15" ca="1">_xlfn.LET(
_xlpm._rapRange,Definitions!$W:$W,
_xlpm._calculatedRAP,$BG15,
_xlpm._inlineRAP,$BH15,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15" s="21" t="str">
        <f ca="1">IFERROR(IF(OR($V15="",$BI15=""),
Definitions!$AE$4,
VLOOKUP($V15,Definitions!$AH:$AM,MATCH($BI15,Definitions!$AH$3:$AM$3,0),FALSE)),
"")</f>
        <v>No Risk</v>
      </c>
      <c r="BK15" s="21" cm="1">
        <f t="array" aca="1" ref="BK15" ca="1">IF($BJ15="",0,SimpleLookup($BJ15,Definitions!$AE:$AF))</f>
        <v>0</v>
      </c>
      <c r="BL15" s="21" t="str" cm="1">
        <f t="array" aca="1" ref="BL15" ca="1">IFERROR(SimpleLookup($A15,Tracing!$B:$Z),"")</f>
        <v/>
      </c>
      <c r="BM15" s="21" t="str" cm="1">
        <f t="array" aca="1" ref="BM15" ca="1">_xlfn.LET(_xlpm._dm,SanitizeInput(GetValuesWithFallback(SanitizeInput($BL15),Assumptions!$A:$I,Countermeasures!$A:$I,"",",",FALSE)),
IF(_xlpm._dm="","",","&amp;_xlpm._dm))</f>
        <v/>
      </c>
      <c r="BN15" s="21" t="str" cm="1">
        <f t="array" aca="1" ref="BN15" ca="1">ApplyDamageMitigation($M15,$BM15,"")</f>
        <v/>
      </c>
      <c r="BO15" s="21" cm="1">
        <f t="array" aca="1" ref="BO15" ca="1">CalculateMaxFromList($BN15,0,'Damage Scenarios'!$A:$U)</f>
        <v>0</v>
      </c>
      <c r="BP15" s="21" t="str">
        <f ca="1">IF($BO15=0,"",INDEX(Definitions!$Q:$Q,MATCH($BO15,Definitions!$R:$R,0)))</f>
        <v/>
      </c>
      <c r="BQ15" s="21" t="str" cm="1">
        <f t="array" aca="1" ref="BQ15" ca="1">CalculateMaxAndElementsWithFallback(SanitizeInput($BL15),0,"",Countermeasures!$A:Y,Assumptions!$A:Z)</f>
        <v>0:</v>
      </c>
      <c r="BR15" s="21" t="str" cm="1">
        <f t="array" aca="1" ref="BR15" ca="1">CalculateMaxAndElementsWithFallback(SanitizeInput($BL15),0,"",Countermeasures!$A:Z,Assumptions!$A:AA)</f>
        <v>0:</v>
      </c>
      <c r="BS15" s="21" t="str" cm="1">
        <f t="array" aca="1" ref="BS15" ca="1">CalculateMaxAndElementsWithFallback(SanitizeInput($BL15),0,"",Countermeasures!$A:AA,Assumptions!$A:AB)</f>
        <v>0:</v>
      </c>
      <c r="BT15" s="21" t="str" cm="1">
        <f t="array" aca="1" ref="BT15" ca="1">CalculateMaxAndElementsWithFallback(SanitizeInput($BL15),0,"",Countermeasures!$A:AB,Assumptions!$A:AC)</f>
        <v>0:</v>
      </c>
      <c r="BU15" s="21" t="str" cm="1">
        <f t="array" aca="1" ref="BU15" ca="1">CalculateMaxAndElementsWithFallback(SanitizeInput($BL15),0,"",Countermeasures!$A:AC,Assumptions!$A:AD)</f>
        <v>0:</v>
      </c>
      <c r="BV15" s="21">
        <f t="shared" ca="1" si="25"/>
        <v>0</v>
      </c>
      <c r="BW15" s="21">
        <f t="shared" ca="1" si="26"/>
        <v>0</v>
      </c>
      <c r="BX15" s="21">
        <f t="shared" ca="1" si="27"/>
        <v>0</v>
      </c>
      <c r="BY15" s="21">
        <f t="shared" ca="1" si="28"/>
        <v>0</v>
      </c>
      <c r="BZ15" s="21">
        <f t="shared" ca="1" si="29"/>
        <v>0</v>
      </c>
      <c r="CA15" s="21" t="str">
        <f t="shared" ca="1" si="30"/>
        <v>0:</v>
      </c>
      <c r="CB15" s="21" t="str">
        <f t="shared" ca="1" si="31"/>
        <v>0:</v>
      </c>
      <c r="CC15" s="21" t="str">
        <f t="shared" ca="1" si="32"/>
        <v>0:</v>
      </c>
      <c r="CD15" s="21" t="str">
        <f t="shared" ca="1" si="33"/>
        <v>0:</v>
      </c>
      <c r="CE15" s="21" t="str">
        <f t="shared" ca="1" si="34"/>
        <v>0:</v>
      </c>
      <c r="CF15" s="21">
        <f t="shared" ca="1" si="35"/>
        <v>0</v>
      </c>
      <c r="CG15" s="21">
        <f t="shared" ca="1" si="36"/>
        <v>0</v>
      </c>
      <c r="CH15" s="21">
        <f t="shared" ca="1" si="37"/>
        <v>0</v>
      </c>
      <c r="CI15" s="21">
        <f t="shared" ca="1" si="38"/>
        <v>0</v>
      </c>
      <c r="CJ15" s="21">
        <f t="shared" ca="1" si="39"/>
        <v>0</v>
      </c>
      <c r="CK15" s="21">
        <f t="shared" ca="1" si="23"/>
        <v>0</v>
      </c>
      <c r="CL15" s="21" t="str">
        <f ca="1">IFERROR(VLOOKUP($CK15,Definitions!$V:$W,COLUMNS(Definitions!$V:$W),TRUE),"")</f>
        <v>Basic</v>
      </c>
      <c r="CM15" s="21" t="str">
        <f ca="1">_xlfn.LET(
_xlpm._comments,SimpleLookup($A15,Tracing!$B:$AB),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15" s="21" t="str" cm="1">
        <f t="array" aca="1" ref="CN15" ca="1">_xlfn.LET(
_xlpm._rapRange,Definitions!$W:$W,
_xlpm._calculatedRAP,$CL15,
_xlpm._inlineRAP,$CM15,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15" s="21" t="str">
        <f ca="1">IFERROR(IF(OR($BP15="",$CN15=""),
Definitions!$AE$4,
VLOOKUP($BP15,Definitions!$AH:$AM,MATCH($CN15,Definitions!$AH$3:$AM$3,0),FALSE)),
"")</f>
        <v>No Risk</v>
      </c>
      <c r="CP15" s="21" cm="1">
        <f t="array" aca="1" ref="CP15" ca="1">IF($CO15="",0,SimpleLookup($CO15,Definitions!$AE:$AF))</f>
        <v>0</v>
      </c>
      <c r="CQ15" s="21" t="b">
        <f ca="1">OR(AND($S15,$I15=Helper!$B$7),$I15&gt;Helper!$B$7)</f>
        <v>1</v>
      </c>
      <c r="CR15" s="21" t="str">
        <f t="shared" ca="1" si="24"/>
        <v/>
      </c>
      <c r="CS15" s="21" cm="1">
        <f t="array" aca="1" ref="CS15" ca="1">CreateID($CS$2,$CV:$CV,$CR15&lt;&gt;"")</f>
        <v>0</v>
      </c>
      <c r="CT15" s="21" t="str">
        <f ca="1">IF(IFERROR(MATCH(","&amp;A15&amp;",",'Risk Treatment'!$AT:$AT,0)&gt;0,FALSE),"",$A15)</f>
        <v/>
      </c>
      <c r="CU15" s="21" cm="1">
        <f t="array" aca="1" ref="CU15" ca="1">CreateID($CU$2,$CU:$CU,$CT15&lt;&gt;"")</f>
        <v>0</v>
      </c>
    </row>
    <row r="16" spans="1:101" x14ac:dyDescent="0.25">
      <c r="A16" s="33" t="str" cm="1">
        <f t="array" aca="1" ref="A16" ca="1">IF($B16="","","R"&amp;RemoveDelimiter(SUBSTITUTE(SUBSTITUTE($K16,"AS",""),",","-"),"-"))</f>
        <v/>
      </c>
      <c r="B16" s="33" t="str" cm="1">
        <f t="array" aca="1" ref="B16" ca="1">IF($L16="","",_xlfn.LET(
_xlpm._finalAttackStep,$L16,
_xlpm._prepAttacks,RemoveFirstElement(_xlpm._finalAttackStep&amp;","&amp;$K16),
_xlpm._prepAttackNames,IFERROR(LookupNames(_xlpm._prepAttacks,'Attack Steps'!$A:$B),""),
_xlpm._delimiter,REPT(CHAR(150),55),
$L16&amp;" "&amp;SimpleLookup($L16,'Attack Steps'!$A:$B)&amp;
IF(_xlpm._prepAttackNames="","",CHAR(10)&amp;_xlpm._delimiter&amp;CHAR(10)&amp;_xlpm._prepAttackNames)))</f>
        <v/>
      </c>
      <c r="C16" s="34" t="str" cm="1">
        <f t="array" aca="1" ref="C16" ca="1">IFERROR(LookupNames($M16,'Damage Scenarios'!$A:$V),"")</f>
        <v/>
      </c>
      <c r="D16" s="33" t="str">
        <f ca="1">IFERROR(IF($T16=0,"",INDEX(Definitions!$Q:$Q,MATCH($T16,Definitions!$R:$R,0))),"")</f>
        <v/>
      </c>
      <c r="E16" s="34" t="str" cm="1">
        <f t="array" aca="1" ref="E16" ca="1">IF($A16="","",_xlfn.LET(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_xlpm._factorFunction($A16,$A:W,Definitions!$Y:$Y,Definitions!$AB:$AB,1)&amp;CHAR(10)&amp;
_xlpm._factorFunction($A16,$A:X,Definitions!$Y:$Y,Definitions!$AB:$AB,2)&amp;CHAR(10)&amp;
_xlpm._factorFunction($A16,$A:Y,Definitions!$Y:$Y,Definitions!$AB:$AB,3)&amp;CHAR(10)&amp;
_xlpm._factorFunction($A16,$A:Z,Definitions!$Y:$Y,Definitions!$AB:$AB,4)&amp;CHAR(10)&amp;
_xlpm._factorFunction($A16,$A:AA,Definitions!$Y:$Y,Definitions!$AB:$AB,5)))</f>
        <v/>
      </c>
      <c r="F16" s="33" t="str">
        <f ca="1">IF($A16="","",IFERROR(VLOOKUP($AG16,Definitions!$V:$W,COLUMNS(Definitions!$V:$W),TRUE),""))</f>
        <v/>
      </c>
      <c r="G16" s="33" t="str">
        <f ca="1">IFERROR(IF(OR($D16="",$F16=""),
"",
VLOOKUP($D16,Definitions!$AH:$AM,MATCH($F16,Definitions!$AH$3:$AM$3,0),FALSE)),
"")</f>
        <v/>
      </c>
      <c r="H16" s="23" cm="1">
        <f t="array" aca="1" ref="H16" ca="1">IF(ROW()=ROW($H$2)+1,0,INDEX($H:$H,ROW()-1))+IF($A16="",0,1)</f>
        <v>0</v>
      </c>
      <c r="I16" s="21" cm="1">
        <f t="array" aca="1" ref="I16" ca="1">IF(ROW()=ROW($I$2)+1,
1,
INDEX($I:$I,ROW()-1)+IF(INDEX($S:$S,ROW()-1),1,0))</f>
        <v>1</v>
      </c>
      <c r="J16" s="21">
        <f t="shared" ca="1" si="0"/>
        <v>14</v>
      </c>
      <c r="K16" s="21" t="str">
        <f t="shared" ca="1" si="40"/>
        <v/>
      </c>
      <c r="L16" s="21" t="str" cm="1">
        <f t="array" aca="1" ref="L16" ca="1">IF($P16="","",INDEX('Attack Steps'!$A:$A,$P16))</f>
        <v/>
      </c>
      <c r="M16" s="21" t="str" cm="1">
        <f t="array" aca="1" ref="M16" ca="1">IF($P16="","",INDEX('Attack Steps'!$T:$T,$P16))</f>
        <v/>
      </c>
      <c r="N16" s="21" t="str" cm="1">
        <f t="array" aca="1" ref="N16" ca="1">_xlfn.LET(_xlpm._dm,SanitizeInput(GetValuesWithFallback(SanitizeInput($AK16),Assumptions!$A:$I,Countermeasures!$A:$I,"",",",FALSE)),
IF(_xlpm._dm="","",","&amp;_xlpm._dm))</f>
        <v/>
      </c>
      <c r="O16" s="21" t="str" cm="1">
        <f t="array" aca="1" ref="O16" ca="1">ApplyDamageMitigation($M16,$N16,"")</f>
        <v/>
      </c>
      <c r="P16" s="21" t="str">
        <f ca="1">IFERROR(MATCH($I16,'Attack Steps'!$V:$V,0),"")</f>
        <v/>
      </c>
      <c r="Q16" s="21" t="str" cm="1">
        <f t="array" aca="1" ref="Q16" ca="1">IF($P16="","","§"&amp;INDEX('Attack Steps'!$S:$S,$P16))</f>
        <v/>
      </c>
      <c r="R16" s="21" t="str" cm="1">
        <f t="array" aca="1" ref="R16" ca="1">IF($P16="","",INDEX('Attack Steps'!$W:$W,$P16))</f>
        <v/>
      </c>
      <c r="S16" s="21" t="b">
        <f t="shared" ca="1" si="41"/>
        <v>0</v>
      </c>
      <c r="T16" s="21" cm="1">
        <f t="array" aca="1" ref="T16" ca="1">_xlfn.LAMBDA(_xlpm._in,_xlpm._val,_xlpm._range,
IF(_xlpm._in="",_xlpm._val,_xlfn.LET(
_xlpm._id,LEFT(_xlpm._in,FIND(",",_xlpm._in)-1),
CalculateMaxFromList(RemoveFirstElement(_xlpm._in),MAX(_xlpm._val,VLOOKUP(_xlpm._id,_xlpm._range,COLUMNS(_xlpm._range),FALSE)),_xlpm._range))))($M16,0,'Damage Scenarios'!$A:$U)</f>
        <v>0</v>
      </c>
      <c r="U16" s="21" cm="1">
        <f t="array" aca="1" ref="U16" ca="1">CalculateMaxFromList($O16,0,'Damage Scenarios'!$A:$U)</f>
        <v>0</v>
      </c>
      <c r="V16" s="21" t="str">
        <f ca="1">IF($U16=0,"",INDEX(Definitions!$Q:$Q,MATCH($U16,Definitions!$R:$R,0)))</f>
        <v/>
      </c>
      <c r="W16" s="21" t="str" cm="1">
        <f t="array" aca="1" ref="W16" ca="1">CalculateMaxAndElements($K16,0,"",'Attack Steps'!$A:X)</f>
        <v>0:</v>
      </c>
      <c r="X16" s="21" t="str" cm="1">
        <f t="array" aca="1" ref="X16" ca="1">CalculateMaxAndElements($K16,0,"",'Attack Steps'!$A:Y)</f>
        <v>0:</v>
      </c>
      <c r="Y16" s="21" t="str" cm="1">
        <f t="array" aca="1" ref="Y16" ca="1">CalculateMaxAndElements($K16,0,"",'Attack Steps'!$A:Z)</f>
        <v>0:</v>
      </c>
      <c r="Z16" s="21" t="str" cm="1">
        <f t="array" aca="1" ref="Z16" ca="1">CalculateMaxAndElements($K16,0,"",'Attack Steps'!$A:AA)</f>
        <v>0:</v>
      </c>
      <c r="AA16" s="21" t="str" cm="1">
        <f t="array" aca="1" ref="AA16" ca="1">CalculateMaxAndElements($K16,0,"",'Attack Steps'!$A:AB)</f>
        <v>0:</v>
      </c>
      <c r="AB16" s="21">
        <f t="shared" ca="1" si="42"/>
        <v>0</v>
      </c>
      <c r="AC16" s="21">
        <f t="shared" ca="1" si="43"/>
        <v>0</v>
      </c>
      <c r="AD16" s="21">
        <f t="shared" ca="1" si="44"/>
        <v>0</v>
      </c>
      <c r="AE16" s="21">
        <f t="shared" ca="1" si="45"/>
        <v>0</v>
      </c>
      <c r="AF16" s="21">
        <f t="shared" ca="1" si="46"/>
        <v>0</v>
      </c>
      <c r="AG16" s="21">
        <f t="shared" ca="1" si="3"/>
        <v>0</v>
      </c>
      <c r="AH16" s="21" t="str" cm="1">
        <f t="array" aca="1" ref="AH16" ca="1">IF(ROW()=ROW($AH$2)+1,"",INDEX($AH:$AH,ROW()-1))&amp;IF($A16="","",$A16&amp;",")</f>
        <v/>
      </c>
      <c r="AI16" s="21" t="str">
        <f t="shared" ca="1" si="47"/>
        <v/>
      </c>
      <c r="AJ16" s="21" cm="1">
        <f t="array" aca="1" ref="AJ16" ca="1">IF($G16="",0,SimpleLookup($G16,Definitions!$AE:$AF))</f>
        <v>0</v>
      </c>
      <c r="AK16" s="21" t="str" cm="1">
        <f t="array" aca="1" ref="AK16" ca="1">InverseLookup($A16,Mitigation!$U$2,Mitigation!$J$2,1,Helper!$B$5,",")</f>
        <v/>
      </c>
      <c r="AL16" s="21" t="str" cm="1">
        <f t="array" aca="1" ref="AL16" ca="1">CalculateMaxAndElementsWithFallback(SanitizeInput($AK16),0,"",Countermeasures!$A:Y,Assumptions!$A:Z)</f>
        <v>0:</v>
      </c>
      <c r="AM16" s="21" t="str" cm="1">
        <f t="array" aca="1" ref="AM16" ca="1">CalculateMaxAndElementsWithFallback(SanitizeInput($AK16),0,"",Countermeasures!$A:Z,Assumptions!$A:AA)</f>
        <v>0:</v>
      </c>
      <c r="AN16" s="21" t="str" cm="1">
        <f t="array" aca="1" ref="AN16" ca="1">CalculateMaxAndElementsWithFallback(SanitizeInput($AK16),0,"",Countermeasures!$A:AA,Assumptions!$A:AB)</f>
        <v>0:</v>
      </c>
      <c r="AO16" s="21" t="str" cm="1">
        <f t="array" aca="1" ref="AO16" ca="1">CalculateMaxAndElementsWithFallback(SanitizeInput($AK16),0,"",Countermeasures!$A:AB,Assumptions!$A:AC)</f>
        <v>0:</v>
      </c>
      <c r="AP16" s="21" t="str" cm="1">
        <f t="array" aca="1" ref="AP16" ca="1">CalculateMaxAndElementsWithFallback(SanitizeInput($AK16),0,"",Countermeasures!$A:AC,Assumptions!$A:AD)</f>
        <v>0:</v>
      </c>
      <c r="AQ16" s="21">
        <f t="shared" ca="1" si="48"/>
        <v>0</v>
      </c>
      <c r="AR16" s="21">
        <f t="shared" ca="1" si="49"/>
        <v>0</v>
      </c>
      <c r="AS16" s="21">
        <f t="shared" ca="1" si="50"/>
        <v>0</v>
      </c>
      <c r="AT16" s="21">
        <f t="shared" ca="1" si="51"/>
        <v>0</v>
      </c>
      <c r="AU16" s="21">
        <f t="shared" ca="1" si="52"/>
        <v>0</v>
      </c>
      <c r="AV16" s="21" t="str">
        <f t="shared" ca="1" si="53"/>
        <v>0:</v>
      </c>
      <c r="AW16" s="21" t="str">
        <f t="shared" ca="1" si="54"/>
        <v>0:</v>
      </c>
      <c r="AX16" s="21" t="str">
        <f t="shared" ca="1" si="55"/>
        <v>0:</v>
      </c>
      <c r="AY16" s="21" t="str">
        <f t="shared" ca="1" si="56"/>
        <v>0:</v>
      </c>
      <c r="AZ16" s="21" t="str">
        <f t="shared" ca="1" si="57"/>
        <v>0:</v>
      </c>
      <c r="BA16" s="21">
        <f t="shared" ca="1" si="58"/>
        <v>0</v>
      </c>
      <c r="BB16" s="21">
        <f t="shared" ca="1" si="59"/>
        <v>0</v>
      </c>
      <c r="BC16" s="21">
        <f t="shared" ca="1" si="60"/>
        <v>0</v>
      </c>
      <c r="BD16" s="21">
        <f t="shared" ca="1" si="61"/>
        <v>0</v>
      </c>
      <c r="BE16" s="21">
        <f t="shared" ca="1" si="62"/>
        <v>0</v>
      </c>
      <c r="BF16" s="21">
        <f t="shared" ca="1" si="9"/>
        <v>0</v>
      </c>
      <c r="BG16" s="21" t="str">
        <f ca="1">IFERROR(VLOOKUP($BF16,Definitions!$V:$W,COLUMNS(Definitions!$V:$W),TRUE),"")</f>
        <v>Basic</v>
      </c>
      <c r="BH16" s="21" t="str">
        <f ca="1">_xlfn.LET(
_xlpm._comments,GetValues($K16,Mitigation!$A:$O,"","",FALSE),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16" s="21" t="str" cm="1">
        <f t="array" aca="1" ref="BI16" ca="1">_xlfn.LET(
_xlpm._rapRange,Definitions!$W:$W,
_xlpm._calculatedRAP,$BG16,
_xlpm._inlineRAP,$BH16,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16" s="21" t="str">
        <f ca="1">IFERROR(IF(OR($V16="",$BI16=""),
Definitions!$AE$4,
VLOOKUP($V16,Definitions!$AH:$AM,MATCH($BI16,Definitions!$AH$3:$AM$3,0),FALSE)),
"")</f>
        <v>No Risk</v>
      </c>
      <c r="BK16" s="21" cm="1">
        <f t="array" aca="1" ref="BK16" ca="1">IF($BJ16="",0,SimpleLookup($BJ16,Definitions!$AE:$AF))</f>
        <v>0</v>
      </c>
      <c r="BL16" s="21" t="str" cm="1">
        <f t="array" aca="1" ref="BL16" ca="1">IFERROR(SimpleLookup($A16,Tracing!$B:$Z),"")</f>
        <v/>
      </c>
      <c r="BM16" s="21" t="str" cm="1">
        <f t="array" aca="1" ref="BM16" ca="1">_xlfn.LET(_xlpm._dm,SanitizeInput(GetValuesWithFallback(SanitizeInput($BL16),Assumptions!$A:$I,Countermeasures!$A:$I,"",",",FALSE)),
IF(_xlpm._dm="","",","&amp;_xlpm._dm))</f>
        <v/>
      </c>
      <c r="BN16" s="21" t="str" cm="1">
        <f t="array" aca="1" ref="BN16" ca="1">ApplyDamageMitigation($M16,$BM16,"")</f>
        <v/>
      </c>
      <c r="BO16" s="21" cm="1">
        <f t="array" aca="1" ref="BO16" ca="1">CalculateMaxFromList($BN16,0,'Damage Scenarios'!$A:$U)</f>
        <v>0</v>
      </c>
      <c r="BP16" s="21" t="str">
        <f ca="1">IF($BO16=0,"",INDEX(Definitions!$Q:$Q,MATCH($BO16,Definitions!$R:$R,0)))</f>
        <v/>
      </c>
      <c r="BQ16" s="21" t="str" cm="1">
        <f t="array" aca="1" ref="BQ16" ca="1">CalculateMaxAndElementsWithFallback(SanitizeInput($BL16),0,"",Countermeasures!$A:Y,Assumptions!$A:Z)</f>
        <v>0:</v>
      </c>
      <c r="BR16" s="21" t="str" cm="1">
        <f t="array" aca="1" ref="BR16" ca="1">CalculateMaxAndElementsWithFallback(SanitizeInput($BL16),0,"",Countermeasures!$A:Z,Assumptions!$A:AA)</f>
        <v>0:</v>
      </c>
      <c r="BS16" s="21" t="str" cm="1">
        <f t="array" aca="1" ref="BS16" ca="1">CalculateMaxAndElementsWithFallback(SanitizeInput($BL16),0,"",Countermeasures!$A:AA,Assumptions!$A:AB)</f>
        <v>0:</v>
      </c>
      <c r="BT16" s="21" t="str" cm="1">
        <f t="array" aca="1" ref="BT16" ca="1">CalculateMaxAndElementsWithFallback(SanitizeInput($BL16),0,"",Countermeasures!$A:AB,Assumptions!$A:AC)</f>
        <v>0:</v>
      </c>
      <c r="BU16" s="21" t="str" cm="1">
        <f t="array" aca="1" ref="BU16" ca="1">CalculateMaxAndElementsWithFallback(SanitizeInput($BL16),0,"",Countermeasures!$A:AC,Assumptions!$A:AD)</f>
        <v>0:</v>
      </c>
      <c r="BV16" s="21">
        <f t="shared" ca="1" si="25"/>
        <v>0</v>
      </c>
      <c r="BW16" s="21">
        <f t="shared" ca="1" si="26"/>
        <v>0</v>
      </c>
      <c r="BX16" s="21">
        <f t="shared" ca="1" si="27"/>
        <v>0</v>
      </c>
      <c r="BY16" s="21">
        <f t="shared" ca="1" si="28"/>
        <v>0</v>
      </c>
      <c r="BZ16" s="21">
        <f t="shared" ca="1" si="29"/>
        <v>0</v>
      </c>
      <c r="CA16" s="21" t="str">
        <f t="shared" ca="1" si="30"/>
        <v>0:</v>
      </c>
      <c r="CB16" s="21" t="str">
        <f t="shared" ca="1" si="31"/>
        <v>0:</v>
      </c>
      <c r="CC16" s="21" t="str">
        <f t="shared" ca="1" si="32"/>
        <v>0:</v>
      </c>
      <c r="CD16" s="21" t="str">
        <f t="shared" ca="1" si="33"/>
        <v>0:</v>
      </c>
      <c r="CE16" s="21" t="str">
        <f t="shared" ca="1" si="34"/>
        <v>0:</v>
      </c>
      <c r="CF16" s="21">
        <f t="shared" ca="1" si="35"/>
        <v>0</v>
      </c>
      <c r="CG16" s="21">
        <f t="shared" ca="1" si="36"/>
        <v>0</v>
      </c>
      <c r="CH16" s="21">
        <f t="shared" ca="1" si="37"/>
        <v>0</v>
      </c>
      <c r="CI16" s="21">
        <f t="shared" ca="1" si="38"/>
        <v>0</v>
      </c>
      <c r="CJ16" s="21">
        <f t="shared" ca="1" si="39"/>
        <v>0</v>
      </c>
      <c r="CK16" s="21">
        <f t="shared" ca="1" si="23"/>
        <v>0</v>
      </c>
      <c r="CL16" s="21" t="str">
        <f ca="1">IFERROR(VLOOKUP($CK16,Definitions!$V:$W,COLUMNS(Definitions!$V:$W),TRUE),"")</f>
        <v>Basic</v>
      </c>
      <c r="CM16" s="21" t="str">
        <f ca="1">_xlfn.LET(
_xlpm._comments,SimpleLookup($A16,Tracing!$B:$AB),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16" s="21" t="str" cm="1">
        <f t="array" aca="1" ref="CN16" ca="1">_xlfn.LET(
_xlpm._rapRange,Definitions!$W:$W,
_xlpm._calculatedRAP,$CL16,
_xlpm._inlineRAP,$CM16,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16" s="21" t="str">
        <f ca="1">IFERROR(IF(OR($BP16="",$CN16=""),
Definitions!$AE$4,
VLOOKUP($BP16,Definitions!$AH:$AM,MATCH($CN16,Definitions!$AH$3:$AM$3,0),FALSE)),
"")</f>
        <v>No Risk</v>
      </c>
      <c r="CP16" s="21" cm="1">
        <f t="array" aca="1" ref="CP16" ca="1">IF($CO16="",0,SimpleLookup($CO16,Definitions!$AE:$AF))</f>
        <v>0</v>
      </c>
      <c r="CQ16" s="21" t="b">
        <f ca="1">OR(AND($S16,$I16=Helper!$B$7),$I16&gt;Helper!$B$7)</f>
        <v>1</v>
      </c>
      <c r="CR16" s="21" t="str">
        <f t="shared" ca="1" si="24"/>
        <v/>
      </c>
      <c r="CS16" s="21" cm="1">
        <f t="array" aca="1" ref="CS16" ca="1">CreateID($CS$2,$CV:$CV,$CR16&lt;&gt;"")</f>
        <v>0</v>
      </c>
      <c r="CT16" s="21" t="str">
        <f ca="1">IF(IFERROR(MATCH(","&amp;A16&amp;",",'Risk Treatment'!$AT:$AT,0)&gt;0,FALSE),"",$A16)</f>
        <v/>
      </c>
      <c r="CU16" s="21" cm="1">
        <f t="array" aca="1" ref="CU16" ca="1">CreateID($CU$2,$CU:$CU,$CT16&lt;&gt;"")</f>
        <v>0</v>
      </c>
    </row>
    <row r="17" spans="1:99" x14ac:dyDescent="0.25">
      <c r="A17" s="33" t="str" cm="1">
        <f t="array" aca="1" ref="A17" ca="1">IF($B17="","","R"&amp;RemoveDelimiter(SUBSTITUTE(SUBSTITUTE($K17,"AS",""),",","-"),"-"))</f>
        <v/>
      </c>
      <c r="B17" s="33" t="str" cm="1">
        <f t="array" aca="1" ref="B17" ca="1">IF($L17="","",_xlfn.LET(
_xlpm._finalAttackStep,$L17,
_xlpm._prepAttacks,RemoveFirstElement(_xlpm._finalAttackStep&amp;","&amp;$K17),
_xlpm._prepAttackNames,IFERROR(LookupNames(_xlpm._prepAttacks,'Attack Steps'!$A:$B),""),
_xlpm._delimiter,REPT(CHAR(150),55),
$L17&amp;" "&amp;SimpleLookup($L17,'Attack Steps'!$A:$B)&amp;
IF(_xlpm._prepAttackNames="","",CHAR(10)&amp;_xlpm._delimiter&amp;CHAR(10)&amp;_xlpm._prepAttackNames)))</f>
        <v/>
      </c>
      <c r="C17" s="34" t="str" cm="1">
        <f t="array" aca="1" ref="C17" ca="1">IFERROR(LookupNames($M17,'Damage Scenarios'!$A:$V),"")</f>
        <v/>
      </c>
      <c r="D17" s="33" t="str">
        <f ca="1">IFERROR(IF($T17=0,"",INDEX(Definitions!$Q:$Q,MATCH($T17,Definitions!$R:$R,0))),"")</f>
        <v/>
      </c>
      <c r="E17" s="34" t="str" cm="1">
        <f t="array" aca="1" ref="E17" ca="1">IF($A17="","",_xlfn.LET(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_xlpm._factorFunction($A17,$A:W,Definitions!$Y:$Y,Definitions!$AB:$AB,1)&amp;CHAR(10)&amp;
_xlpm._factorFunction($A17,$A:X,Definitions!$Y:$Y,Definitions!$AB:$AB,2)&amp;CHAR(10)&amp;
_xlpm._factorFunction($A17,$A:Y,Definitions!$Y:$Y,Definitions!$AB:$AB,3)&amp;CHAR(10)&amp;
_xlpm._factorFunction($A17,$A:Z,Definitions!$Y:$Y,Definitions!$AB:$AB,4)&amp;CHAR(10)&amp;
_xlpm._factorFunction($A17,$A:AA,Definitions!$Y:$Y,Definitions!$AB:$AB,5)))</f>
        <v/>
      </c>
      <c r="F17" s="33" t="str">
        <f ca="1">IF($A17="","",IFERROR(VLOOKUP($AG17,Definitions!$V:$W,COLUMNS(Definitions!$V:$W),TRUE),""))</f>
        <v/>
      </c>
      <c r="G17" s="33" t="str">
        <f ca="1">IFERROR(IF(OR($D17="",$F17=""),
"",
VLOOKUP($D17,Definitions!$AH:$AM,MATCH($F17,Definitions!$AH$3:$AM$3,0),FALSE)),
"")</f>
        <v/>
      </c>
      <c r="H17" s="23" cm="1">
        <f t="array" aca="1" ref="H17" ca="1">IF(ROW()=ROW($H$2)+1,0,INDEX($H:$H,ROW()-1))+IF($A17="",0,1)</f>
        <v>0</v>
      </c>
      <c r="I17" s="21" cm="1">
        <f t="array" aca="1" ref="I17" ca="1">IF(ROW()=ROW($I$2)+1,
1,
INDEX($I:$I,ROW()-1)+IF(INDEX($S:$S,ROW()-1),1,0))</f>
        <v>1</v>
      </c>
      <c r="J17" s="21">
        <f t="shared" ca="1" si="0"/>
        <v>15</v>
      </c>
      <c r="K17" s="21" t="str">
        <f t="shared" ca="1" si="40"/>
        <v/>
      </c>
      <c r="L17" s="21" t="str" cm="1">
        <f t="array" aca="1" ref="L17" ca="1">IF($P17="","",INDEX('Attack Steps'!$A:$A,$P17))</f>
        <v/>
      </c>
      <c r="M17" s="21" t="str" cm="1">
        <f t="array" aca="1" ref="M17" ca="1">IF($P17="","",INDEX('Attack Steps'!$T:$T,$P17))</f>
        <v/>
      </c>
      <c r="N17" s="21" t="str" cm="1">
        <f t="array" aca="1" ref="N17" ca="1">_xlfn.LET(_xlpm._dm,SanitizeInput(GetValuesWithFallback(SanitizeInput($AK17),Assumptions!$A:$I,Countermeasures!$A:$I,"",",",FALSE)),
IF(_xlpm._dm="","",","&amp;_xlpm._dm))</f>
        <v/>
      </c>
      <c r="O17" s="21" t="str" cm="1">
        <f t="array" aca="1" ref="O17" ca="1">ApplyDamageMitigation($M17,$N17,"")</f>
        <v/>
      </c>
      <c r="P17" s="21" t="str">
        <f ca="1">IFERROR(MATCH($I17,'Attack Steps'!$V:$V,0),"")</f>
        <v/>
      </c>
      <c r="Q17" s="21" t="str" cm="1">
        <f t="array" aca="1" ref="Q17" ca="1">IF($P17="","","§"&amp;INDEX('Attack Steps'!$S:$S,$P17))</f>
        <v/>
      </c>
      <c r="R17" s="21" t="str" cm="1">
        <f t="array" aca="1" ref="R17" ca="1">IF($P17="","",INDEX('Attack Steps'!$W:$W,$P17))</f>
        <v/>
      </c>
      <c r="S17" s="21" t="b">
        <f t="shared" ca="1" si="41"/>
        <v>0</v>
      </c>
      <c r="T17" s="21" cm="1">
        <f t="array" aca="1" ref="T17" ca="1">_xlfn.LAMBDA(_xlpm._in,_xlpm._val,_xlpm._range,
IF(_xlpm._in="",_xlpm._val,_xlfn.LET(
_xlpm._id,LEFT(_xlpm._in,FIND(",",_xlpm._in)-1),
CalculateMaxFromList(RemoveFirstElement(_xlpm._in),MAX(_xlpm._val,VLOOKUP(_xlpm._id,_xlpm._range,COLUMNS(_xlpm._range),FALSE)),_xlpm._range))))($M17,0,'Damage Scenarios'!$A:$U)</f>
        <v>0</v>
      </c>
      <c r="U17" s="21" cm="1">
        <f t="array" aca="1" ref="U17" ca="1">CalculateMaxFromList($O17,0,'Damage Scenarios'!$A:$U)</f>
        <v>0</v>
      </c>
      <c r="V17" s="21" t="str">
        <f ca="1">IF($U17=0,"",INDEX(Definitions!$Q:$Q,MATCH($U17,Definitions!$R:$R,0)))</f>
        <v/>
      </c>
      <c r="W17" s="21" t="str" cm="1">
        <f t="array" aca="1" ref="W17" ca="1">CalculateMaxAndElements($K17,0,"",'Attack Steps'!$A:X)</f>
        <v>0:</v>
      </c>
      <c r="X17" s="21" t="str" cm="1">
        <f t="array" aca="1" ref="X17" ca="1">CalculateMaxAndElements($K17,0,"",'Attack Steps'!$A:Y)</f>
        <v>0:</v>
      </c>
      <c r="Y17" s="21" t="str" cm="1">
        <f t="array" aca="1" ref="Y17" ca="1">CalculateMaxAndElements($K17,0,"",'Attack Steps'!$A:Z)</f>
        <v>0:</v>
      </c>
      <c r="Z17" s="21" t="str" cm="1">
        <f t="array" aca="1" ref="Z17" ca="1">CalculateMaxAndElements($K17,0,"",'Attack Steps'!$A:AA)</f>
        <v>0:</v>
      </c>
      <c r="AA17" s="21" t="str" cm="1">
        <f t="array" aca="1" ref="AA17" ca="1">CalculateMaxAndElements($K17,0,"",'Attack Steps'!$A:AB)</f>
        <v>0:</v>
      </c>
      <c r="AB17" s="21">
        <f t="shared" ca="1" si="42"/>
        <v>0</v>
      </c>
      <c r="AC17" s="21">
        <f t="shared" ca="1" si="43"/>
        <v>0</v>
      </c>
      <c r="AD17" s="21">
        <f t="shared" ca="1" si="44"/>
        <v>0</v>
      </c>
      <c r="AE17" s="21">
        <f t="shared" ca="1" si="45"/>
        <v>0</v>
      </c>
      <c r="AF17" s="21">
        <f t="shared" ca="1" si="46"/>
        <v>0</v>
      </c>
      <c r="AG17" s="21">
        <f t="shared" ca="1" si="3"/>
        <v>0</v>
      </c>
      <c r="AH17" s="21" t="str" cm="1">
        <f t="array" aca="1" ref="AH17" ca="1">IF(ROW()=ROW($AH$2)+1,"",INDEX($AH:$AH,ROW()-1))&amp;IF($A17="","",$A17&amp;",")</f>
        <v/>
      </c>
      <c r="AI17" s="21" t="str">
        <f t="shared" ca="1" si="47"/>
        <v/>
      </c>
      <c r="AJ17" s="21" cm="1">
        <f t="array" aca="1" ref="AJ17" ca="1">IF($G17="",0,SimpleLookup($G17,Definitions!$AE:$AF))</f>
        <v>0</v>
      </c>
      <c r="AK17" s="21" t="str" cm="1">
        <f t="array" aca="1" ref="AK17" ca="1">InverseLookup($A17,Mitigation!$U$2,Mitigation!$J$2,1,Helper!$B$5,",")</f>
        <v/>
      </c>
      <c r="AL17" s="21" t="str" cm="1">
        <f t="array" aca="1" ref="AL17" ca="1">CalculateMaxAndElementsWithFallback(SanitizeInput($AK17),0,"",Countermeasures!$A:Y,Assumptions!$A:Z)</f>
        <v>0:</v>
      </c>
      <c r="AM17" s="21" t="str" cm="1">
        <f t="array" aca="1" ref="AM17" ca="1">CalculateMaxAndElementsWithFallback(SanitizeInput($AK17),0,"",Countermeasures!$A:Z,Assumptions!$A:AA)</f>
        <v>0:</v>
      </c>
      <c r="AN17" s="21" t="str" cm="1">
        <f t="array" aca="1" ref="AN17" ca="1">CalculateMaxAndElementsWithFallback(SanitizeInput($AK17),0,"",Countermeasures!$A:AA,Assumptions!$A:AB)</f>
        <v>0:</v>
      </c>
      <c r="AO17" s="21" t="str" cm="1">
        <f t="array" aca="1" ref="AO17" ca="1">CalculateMaxAndElementsWithFallback(SanitizeInput($AK17),0,"",Countermeasures!$A:AB,Assumptions!$A:AC)</f>
        <v>0:</v>
      </c>
      <c r="AP17" s="21" t="str" cm="1">
        <f t="array" aca="1" ref="AP17" ca="1">CalculateMaxAndElementsWithFallback(SanitizeInput($AK17),0,"",Countermeasures!$A:AC,Assumptions!$A:AD)</f>
        <v>0:</v>
      </c>
      <c r="AQ17" s="21">
        <f t="shared" ca="1" si="48"/>
        <v>0</v>
      </c>
      <c r="AR17" s="21">
        <f t="shared" ca="1" si="49"/>
        <v>0</v>
      </c>
      <c r="AS17" s="21">
        <f t="shared" ca="1" si="50"/>
        <v>0</v>
      </c>
      <c r="AT17" s="21">
        <f t="shared" ca="1" si="51"/>
        <v>0</v>
      </c>
      <c r="AU17" s="21">
        <f t="shared" ca="1" si="52"/>
        <v>0</v>
      </c>
      <c r="AV17" s="21" t="str">
        <f t="shared" ca="1" si="53"/>
        <v>0:</v>
      </c>
      <c r="AW17" s="21" t="str">
        <f t="shared" ca="1" si="54"/>
        <v>0:</v>
      </c>
      <c r="AX17" s="21" t="str">
        <f t="shared" ca="1" si="55"/>
        <v>0:</v>
      </c>
      <c r="AY17" s="21" t="str">
        <f t="shared" ca="1" si="56"/>
        <v>0:</v>
      </c>
      <c r="AZ17" s="21" t="str">
        <f t="shared" ca="1" si="57"/>
        <v>0:</v>
      </c>
      <c r="BA17" s="21">
        <f t="shared" ca="1" si="58"/>
        <v>0</v>
      </c>
      <c r="BB17" s="21">
        <f t="shared" ca="1" si="59"/>
        <v>0</v>
      </c>
      <c r="BC17" s="21">
        <f t="shared" ca="1" si="60"/>
        <v>0</v>
      </c>
      <c r="BD17" s="21">
        <f t="shared" ca="1" si="61"/>
        <v>0</v>
      </c>
      <c r="BE17" s="21">
        <f t="shared" ca="1" si="62"/>
        <v>0</v>
      </c>
      <c r="BF17" s="21">
        <f t="shared" ca="1" si="9"/>
        <v>0</v>
      </c>
      <c r="BG17" s="21" t="str">
        <f ca="1">IFERROR(VLOOKUP($BF17,Definitions!$V:$W,COLUMNS(Definitions!$V:$W),TRUE),"")</f>
        <v>Basic</v>
      </c>
      <c r="BH17" s="21" t="str">
        <f ca="1">_xlfn.LET(
_xlpm._comments,GetValues($K17,Mitigation!$A:$O,"","",FALSE),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17" s="21" t="str" cm="1">
        <f t="array" aca="1" ref="BI17" ca="1">_xlfn.LET(
_xlpm._rapRange,Definitions!$W:$W,
_xlpm._calculatedRAP,$BG17,
_xlpm._inlineRAP,$BH17,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17" s="21" t="str">
        <f ca="1">IFERROR(IF(OR($V17="",$BI17=""),
Definitions!$AE$4,
VLOOKUP($V17,Definitions!$AH:$AM,MATCH($BI17,Definitions!$AH$3:$AM$3,0),FALSE)),
"")</f>
        <v>No Risk</v>
      </c>
      <c r="BK17" s="21" cm="1">
        <f t="array" aca="1" ref="BK17" ca="1">IF($BJ17="",0,SimpleLookup($BJ17,Definitions!$AE:$AF))</f>
        <v>0</v>
      </c>
      <c r="BL17" s="21" t="str" cm="1">
        <f t="array" aca="1" ref="BL17" ca="1">IFERROR(SimpleLookup($A17,Tracing!$B:$Z),"")</f>
        <v/>
      </c>
      <c r="BM17" s="21" t="str" cm="1">
        <f t="array" aca="1" ref="BM17" ca="1">_xlfn.LET(_xlpm._dm,SanitizeInput(GetValuesWithFallback(SanitizeInput($BL17),Assumptions!$A:$I,Countermeasures!$A:$I,"",",",FALSE)),
IF(_xlpm._dm="","",","&amp;_xlpm._dm))</f>
        <v/>
      </c>
      <c r="BN17" s="21" t="str" cm="1">
        <f t="array" aca="1" ref="BN17" ca="1">ApplyDamageMitigation($M17,$BM17,"")</f>
        <v/>
      </c>
      <c r="BO17" s="21" cm="1">
        <f t="array" aca="1" ref="BO17" ca="1">CalculateMaxFromList($BN17,0,'Damage Scenarios'!$A:$U)</f>
        <v>0</v>
      </c>
      <c r="BP17" s="21" t="str">
        <f ca="1">IF($BO17=0,"",INDEX(Definitions!$Q:$Q,MATCH($BO17,Definitions!$R:$R,0)))</f>
        <v/>
      </c>
      <c r="BQ17" s="21" t="str" cm="1">
        <f t="array" aca="1" ref="BQ17" ca="1">CalculateMaxAndElementsWithFallback(SanitizeInput($BL17),0,"",Countermeasures!$A:Y,Assumptions!$A:Z)</f>
        <v>0:</v>
      </c>
      <c r="BR17" s="21" t="str" cm="1">
        <f t="array" aca="1" ref="BR17" ca="1">CalculateMaxAndElementsWithFallback(SanitizeInput($BL17),0,"",Countermeasures!$A:Z,Assumptions!$A:AA)</f>
        <v>0:</v>
      </c>
      <c r="BS17" s="21" t="str" cm="1">
        <f t="array" aca="1" ref="BS17" ca="1">CalculateMaxAndElementsWithFallback(SanitizeInput($BL17),0,"",Countermeasures!$A:AA,Assumptions!$A:AB)</f>
        <v>0:</v>
      </c>
      <c r="BT17" s="21" t="str" cm="1">
        <f t="array" aca="1" ref="BT17" ca="1">CalculateMaxAndElementsWithFallback(SanitizeInput($BL17),0,"",Countermeasures!$A:AB,Assumptions!$A:AC)</f>
        <v>0:</v>
      </c>
      <c r="BU17" s="21" t="str" cm="1">
        <f t="array" aca="1" ref="BU17" ca="1">CalculateMaxAndElementsWithFallback(SanitizeInput($BL17),0,"",Countermeasures!$A:AC,Assumptions!$A:AD)</f>
        <v>0:</v>
      </c>
      <c r="BV17" s="21">
        <f t="shared" ca="1" si="25"/>
        <v>0</v>
      </c>
      <c r="BW17" s="21">
        <f t="shared" ca="1" si="26"/>
        <v>0</v>
      </c>
      <c r="BX17" s="21">
        <f t="shared" ca="1" si="27"/>
        <v>0</v>
      </c>
      <c r="BY17" s="21">
        <f t="shared" ca="1" si="28"/>
        <v>0</v>
      </c>
      <c r="BZ17" s="21">
        <f t="shared" ca="1" si="29"/>
        <v>0</v>
      </c>
      <c r="CA17" s="21" t="str">
        <f t="shared" ca="1" si="30"/>
        <v>0:</v>
      </c>
      <c r="CB17" s="21" t="str">
        <f t="shared" ca="1" si="31"/>
        <v>0:</v>
      </c>
      <c r="CC17" s="21" t="str">
        <f t="shared" ca="1" si="32"/>
        <v>0:</v>
      </c>
      <c r="CD17" s="21" t="str">
        <f t="shared" ca="1" si="33"/>
        <v>0:</v>
      </c>
      <c r="CE17" s="21" t="str">
        <f t="shared" ca="1" si="34"/>
        <v>0:</v>
      </c>
      <c r="CF17" s="21">
        <f t="shared" ca="1" si="35"/>
        <v>0</v>
      </c>
      <c r="CG17" s="21">
        <f t="shared" ca="1" si="36"/>
        <v>0</v>
      </c>
      <c r="CH17" s="21">
        <f t="shared" ca="1" si="37"/>
        <v>0</v>
      </c>
      <c r="CI17" s="21">
        <f t="shared" ca="1" si="38"/>
        <v>0</v>
      </c>
      <c r="CJ17" s="21">
        <f t="shared" ca="1" si="39"/>
        <v>0</v>
      </c>
      <c r="CK17" s="21">
        <f t="shared" ca="1" si="23"/>
        <v>0</v>
      </c>
      <c r="CL17" s="21" t="str">
        <f ca="1">IFERROR(VLOOKUP($CK17,Definitions!$V:$W,COLUMNS(Definitions!$V:$W),TRUE),"")</f>
        <v>Basic</v>
      </c>
      <c r="CM17" s="21" t="str">
        <f ca="1">_xlfn.LET(
_xlpm._comments,SimpleLookup($A17,Tracing!$B:$AB),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17" s="21" t="str" cm="1">
        <f t="array" aca="1" ref="CN17" ca="1">_xlfn.LET(
_xlpm._rapRange,Definitions!$W:$W,
_xlpm._calculatedRAP,$CL17,
_xlpm._inlineRAP,$CM17,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17" s="21" t="str">
        <f ca="1">IFERROR(IF(OR($BP17="",$CN17=""),
Definitions!$AE$4,
VLOOKUP($BP17,Definitions!$AH:$AM,MATCH($CN17,Definitions!$AH$3:$AM$3,0),FALSE)),
"")</f>
        <v>No Risk</v>
      </c>
      <c r="CP17" s="21" cm="1">
        <f t="array" aca="1" ref="CP17" ca="1">IF($CO17="",0,SimpleLookup($CO17,Definitions!$AE:$AF))</f>
        <v>0</v>
      </c>
      <c r="CQ17" s="21" t="b">
        <f ca="1">OR(AND($S17,$I17=Helper!$B$7),$I17&gt;Helper!$B$7)</f>
        <v>1</v>
      </c>
      <c r="CR17" s="21" t="str">
        <f t="shared" ca="1" si="24"/>
        <v/>
      </c>
      <c r="CS17" s="21" cm="1">
        <f t="array" aca="1" ref="CS17" ca="1">CreateID($CS$2,$CV:$CV,$CR17&lt;&gt;"")</f>
        <v>0</v>
      </c>
      <c r="CT17" s="21" t="str">
        <f ca="1">IF(IFERROR(MATCH(","&amp;A17&amp;",",'Risk Treatment'!$AT:$AT,0)&gt;0,FALSE),"",$A17)</f>
        <v/>
      </c>
      <c r="CU17" s="21" cm="1">
        <f t="array" aca="1" ref="CU17" ca="1">CreateID($CU$2,$CU:$CU,$CT17&lt;&gt;"")</f>
        <v>0</v>
      </c>
    </row>
    <row r="18" spans="1:99" x14ac:dyDescent="0.25">
      <c r="A18" s="33" t="str" cm="1">
        <f t="array" aca="1" ref="A18" ca="1">IF($B18="","","R"&amp;RemoveDelimiter(SUBSTITUTE(SUBSTITUTE($K18,"AS",""),",","-"),"-"))</f>
        <v/>
      </c>
      <c r="B18" s="33" t="str" cm="1">
        <f t="array" aca="1" ref="B18" ca="1">IF($L18="","",_xlfn.LET(
_xlpm._finalAttackStep,$L18,
_xlpm._prepAttacks,RemoveFirstElement(_xlpm._finalAttackStep&amp;","&amp;$K18),
_xlpm._prepAttackNames,IFERROR(LookupNames(_xlpm._prepAttacks,'Attack Steps'!$A:$B),""),
_xlpm._delimiter,REPT(CHAR(150),55),
$L18&amp;" "&amp;SimpleLookup($L18,'Attack Steps'!$A:$B)&amp;
IF(_xlpm._prepAttackNames="","",CHAR(10)&amp;_xlpm._delimiter&amp;CHAR(10)&amp;_xlpm._prepAttackNames)))</f>
        <v/>
      </c>
      <c r="C18" s="34" t="str" cm="1">
        <f t="array" aca="1" ref="C18" ca="1">IFERROR(LookupNames($M18,'Damage Scenarios'!$A:$V),"")</f>
        <v/>
      </c>
      <c r="D18" s="33" t="str">
        <f ca="1">IFERROR(IF($T18=0,"",INDEX(Definitions!$Q:$Q,MATCH($T18,Definitions!$R:$R,0))),"")</f>
        <v/>
      </c>
      <c r="E18" s="34" t="str" cm="1">
        <f t="array" aca="1" ref="E18" ca="1">IF($A18="","",_xlfn.LET(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_xlpm._factorFunction($A18,$A:W,Definitions!$Y:$Y,Definitions!$AB:$AB,1)&amp;CHAR(10)&amp;
_xlpm._factorFunction($A18,$A:X,Definitions!$Y:$Y,Definitions!$AB:$AB,2)&amp;CHAR(10)&amp;
_xlpm._factorFunction($A18,$A:Y,Definitions!$Y:$Y,Definitions!$AB:$AB,3)&amp;CHAR(10)&amp;
_xlpm._factorFunction($A18,$A:Z,Definitions!$Y:$Y,Definitions!$AB:$AB,4)&amp;CHAR(10)&amp;
_xlpm._factorFunction($A18,$A:AA,Definitions!$Y:$Y,Definitions!$AB:$AB,5)))</f>
        <v/>
      </c>
      <c r="F18" s="33" t="str">
        <f ca="1">IF($A18="","",IFERROR(VLOOKUP($AG18,Definitions!$V:$W,COLUMNS(Definitions!$V:$W),TRUE),""))</f>
        <v/>
      </c>
      <c r="G18" s="33" t="str">
        <f ca="1">IFERROR(IF(OR($D18="",$F18=""),
"",
VLOOKUP($D18,Definitions!$AH:$AM,MATCH($F18,Definitions!$AH$3:$AM$3,0),FALSE)),
"")</f>
        <v/>
      </c>
      <c r="H18" s="23" cm="1">
        <f t="array" aca="1" ref="H18" ca="1">IF(ROW()=ROW($H$2)+1,0,INDEX($H:$H,ROW()-1))+IF($A18="",0,1)</f>
        <v>0</v>
      </c>
      <c r="I18" s="21" cm="1">
        <f t="array" aca="1" ref="I18" ca="1">IF(ROW()=ROW($I$2)+1,
1,
INDEX($I:$I,ROW()-1)+IF(INDEX($S:$S,ROW()-1),1,0))</f>
        <v>1</v>
      </c>
      <c r="J18" s="21">
        <f t="shared" ca="1" si="0"/>
        <v>16</v>
      </c>
      <c r="K18" s="21" t="str">
        <f t="shared" ca="1" si="40"/>
        <v/>
      </c>
      <c r="L18" s="21" t="str" cm="1">
        <f t="array" aca="1" ref="L18" ca="1">IF($P18="","",INDEX('Attack Steps'!$A:$A,$P18))</f>
        <v/>
      </c>
      <c r="M18" s="21" t="str" cm="1">
        <f t="array" aca="1" ref="M18" ca="1">IF($P18="","",INDEX('Attack Steps'!$T:$T,$P18))</f>
        <v/>
      </c>
      <c r="N18" s="21" t="str" cm="1">
        <f t="array" aca="1" ref="N18" ca="1">_xlfn.LET(_xlpm._dm,SanitizeInput(GetValuesWithFallback(SanitizeInput($AK18),Assumptions!$A:$I,Countermeasures!$A:$I,"",",",FALSE)),
IF(_xlpm._dm="","",","&amp;_xlpm._dm))</f>
        <v/>
      </c>
      <c r="O18" s="21" t="str" cm="1">
        <f t="array" aca="1" ref="O18" ca="1">ApplyDamageMitigation($M18,$N18,"")</f>
        <v/>
      </c>
      <c r="P18" s="21" t="str">
        <f ca="1">IFERROR(MATCH($I18,'Attack Steps'!$V:$V,0),"")</f>
        <v/>
      </c>
      <c r="Q18" s="21" t="str" cm="1">
        <f t="array" aca="1" ref="Q18" ca="1">IF($P18="","","§"&amp;INDEX('Attack Steps'!$S:$S,$P18))</f>
        <v/>
      </c>
      <c r="R18" s="21" t="str" cm="1">
        <f t="array" aca="1" ref="R18" ca="1">IF($P18="","",INDEX('Attack Steps'!$W:$W,$P18))</f>
        <v/>
      </c>
      <c r="S18" s="21" t="b">
        <f t="shared" ca="1" si="41"/>
        <v>0</v>
      </c>
      <c r="T18" s="21" cm="1">
        <f t="array" aca="1" ref="T18" ca="1">_xlfn.LAMBDA(_xlpm._in,_xlpm._val,_xlpm._range,
IF(_xlpm._in="",_xlpm._val,_xlfn.LET(
_xlpm._id,LEFT(_xlpm._in,FIND(",",_xlpm._in)-1),
CalculateMaxFromList(RemoveFirstElement(_xlpm._in),MAX(_xlpm._val,VLOOKUP(_xlpm._id,_xlpm._range,COLUMNS(_xlpm._range),FALSE)),_xlpm._range))))($M18,0,'Damage Scenarios'!$A:$U)</f>
        <v>0</v>
      </c>
      <c r="U18" s="21" cm="1">
        <f t="array" aca="1" ref="U18" ca="1">CalculateMaxFromList($O18,0,'Damage Scenarios'!$A:$U)</f>
        <v>0</v>
      </c>
      <c r="V18" s="21" t="str">
        <f ca="1">IF($U18=0,"",INDEX(Definitions!$Q:$Q,MATCH($U18,Definitions!$R:$R,0)))</f>
        <v/>
      </c>
      <c r="W18" s="21" t="str" cm="1">
        <f t="array" aca="1" ref="W18" ca="1">CalculateMaxAndElements($K18,0,"",'Attack Steps'!$A:X)</f>
        <v>0:</v>
      </c>
      <c r="X18" s="21" t="str" cm="1">
        <f t="array" aca="1" ref="X18" ca="1">CalculateMaxAndElements($K18,0,"",'Attack Steps'!$A:Y)</f>
        <v>0:</v>
      </c>
      <c r="Y18" s="21" t="str" cm="1">
        <f t="array" aca="1" ref="Y18" ca="1">CalculateMaxAndElements($K18,0,"",'Attack Steps'!$A:Z)</f>
        <v>0:</v>
      </c>
      <c r="Z18" s="21" t="str" cm="1">
        <f t="array" aca="1" ref="Z18" ca="1">CalculateMaxAndElements($K18,0,"",'Attack Steps'!$A:AA)</f>
        <v>0:</v>
      </c>
      <c r="AA18" s="21" t="str" cm="1">
        <f t="array" aca="1" ref="AA18" ca="1">CalculateMaxAndElements($K18,0,"",'Attack Steps'!$A:AB)</f>
        <v>0:</v>
      </c>
      <c r="AB18" s="21">
        <f t="shared" ca="1" si="42"/>
        <v>0</v>
      </c>
      <c r="AC18" s="21">
        <f t="shared" ca="1" si="43"/>
        <v>0</v>
      </c>
      <c r="AD18" s="21">
        <f t="shared" ca="1" si="44"/>
        <v>0</v>
      </c>
      <c r="AE18" s="21">
        <f t="shared" ca="1" si="45"/>
        <v>0</v>
      </c>
      <c r="AF18" s="21">
        <f t="shared" ca="1" si="46"/>
        <v>0</v>
      </c>
      <c r="AG18" s="21">
        <f t="shared" ca="1" si="3"/>
        <v>0</v>
      </c>
      <c r="AH18" s="21" t="str" cm="1">
        <f t="array" aca="1" ref="AH18" ca="1">IF(ROW()=ROW($AH$2)+1,"",INDEX($AH:$AH,ROW()-1))&amp;IF($A18="","",$A18&amp;",")</f>
        <v/>
      </c>
      <c r="AI18" s="21" t="str">
        <f t="shared" ca="1" si="47"/>
        <v/>
      </c>
      <c r="AJ18" s="21" cm="1">
        <f t="array" aca="1" ref="AJ18" ca="1">IF($G18="",0,SimpleLookup($G18,Definitions!$AE:$AF))</f>
        <v>0</v>
      </c>
      <c r="AK18" s="21" t="str" cm="1">
        <f t="array" aca="1" ref="AK18" ca="1">InverseLookup($A18,Mitigation!$U$2,Mitigation!$J$2,1,Helper!$B$5,",")</f>
        <v/>
      </c>
      <c r="AL18" s="21" t="str" cm="1">
        <f t="array" aca="1" ref="AL18" ca="1">CalculateMaxAndElementsWithFallback(SanitizeInput($AK18),0,"",Countermeasures!$A:Y,Assumptions!$A:Z)</f>
        <v>0:</v>
      </c>
      <c r="AM18" s="21" t="str" cm="1">
        <f t="array" aca="1" ref="AM18" ca="1">CalculateMaxAndElementsWithFallback(SanitizeInput($AK18),0,"",Countermeasures!$A:Z,Assumptions!$A:AA)</f>
        <v>0:</v>
      </c>
      <c r="AN18" s="21" t="str" cm="1">
        <f t="array" aca="1" ref="AN18" ca="1">CalculateMaxAndElementsWithFallback(SanitizeInput($AK18),0,"",Countermeasures!$A:AA,Assumptions!$A:AB)</f>
        <v>0:</v>
      </c>
      <c r="AO18" s="21" t="str" cm="1">
        <f t="array" aca="1" ref="AO18" ca="1">CalculateMaxAndElementsWithFallback(SanitizeInput($AK18),0,"",Countermeasures!$A:AB,Assumptions!$A:AC)</f>
        <v>0:</v>
      </c>
      <c r="AP18" s="21" t="str" cm="1">
        <f t="array" aca="1" ref="AP18" ca="1">CalculateMaxAndElementsWithFallback(SanitizeInput($AK18),0,"",Countermeasures!$A:AC,Assumptions!$A:AD)</f>
        <v>0:</v>
      </c>
      <c r="AQ18" s="21">
        <f t="shared" ca="1" si="48"/>
        <v>0</v>
      </c>
      <c r="AR18" s="21">
        <f t="shared" ca="1" si="49"/>
        <v>0</v>
      </c>
      <c r="AS18" s="21">
        <f t="shared" ca="1" si="50"/>
        <v>0</v>
      </c>
      <c r="AT18" s="21">
        <f t="shared" ca="1" si="51"/>
        <v>0</v>
      </c>
      <c r="AU18" s="21">
        <f t="shared" ca="1" si="52"/>
        <v>0</v>
      </c>
      <c r="AV18" s="21" t="str">
        <f t="shared" ca="1" si="53"/>
        <v>0:</v>
      </c>
      <c r="AW18" s="21" t="str">
        <f t="shared" ca="1" si="54"/>
        <v>0:</v>
      </c>
      <c r="AX18" s="21" t="str">
        <f t="shared" ca="1" si="55"/>
        <v>0:</v>
      </c>
      <c r="AY18" s="21" t="str">
        <f t="shared" ca="1" si="56"/>
        <v>0:</v>
      </c>
      <c r="AZ18" s="21" t="str">
        <f t="shared" ca="1" si="57"/>
        <v>0:</v>
      </c>
      <c r="BA18" s="21">
        <f t="shared" ca="1" si="58"/>
        <v>0</v>
      </c>
      <c r="BB18" s="21">
        <f t="shared" ca="1" si="59"/>
        <v>0</v>
      </c>
      <c r="BC18" s="21">
        <f t="shared" ca="1" si="60"/>
        <v>0</v>
      </c>
      <c r="BD18" s="21">
        <f t="shared" ca="1" si="61"/>
        <v>0</v>
      </c>
      <c r="BE18" s="21">
        <f t="shared" ca="1" si="62"/>
        <v>0</v>
      </c>
      <c r="BF18" s="21">
        <f t="shared" ca="1" si="9"/>
        <v>0</v>
      </c>
      <c r="BG18" s="21" t="str">
        <f ca="1">IFERROR(VLOOKUP($BF18,Definitions!$V:$W,COLUMNS(Definitions!$V:$W),TRUE),"")</f>
        <v>Basic</v>
      </c>
      <c r="BH18" s="21" t="str">
        <f ca="1">_xlfn.LET(
_xlpm._comments,GetValues($K18,Mitigation!$A:$O,"","",FALSE),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18" s="21" t="str" cm="1">
        <f t="array" aca="1" ref="BI18" ca="1">_xlfn.LET(
_xlpm._rapRange,Definitions!$W:$W,
_xlpm._calculatedRAP,$BG18,
_xlpm._inlineRAP,$BH18,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18" s="21" t="str">
        <f ca="1">IFERROR(IF(OR($V18="",$BI18=""),
Definitions!$AE$4,
VLOOKUP($V18,Definitions!$AH:$AM,MATCH($BI18,Definitions!$AH$3:$AM$3,0),FALSE)),
"")</f>
        <v>No Risk</v>
      </c>
      <c r="BK18" s="21" cm="1">
        <f t="array" aca="1" ref="BK18" ca="1">IF($BJ18="",0,SimpleLookup($BJ18,Definitions!$AE:$AF))</f>
        <v>0</v>
      </c>
      <c r="BL18" s="21" t="str" cm="1">
        <f t="array" aca="1" ref="BL18" ca="1">IFERROR(SimpleLookup($A18,Tracing!$B:$Z),"")</f>
        <v/>
      </c>
      <c r="BM18" s="21" t="str" cm="1">
        <f t="array" aca="1" ref="BM18" ca="1">_xlfn.LET(_xlpm._dm,SanitizeInput(GetValuesWithFallback(SanitizeInput($BL18),Assumptions!$A:$I,Countermeasures!$A:$I,"",",",FALSE)),
IF(_xlpm._dm="","",","&amp;_xlpm._dm))</f>
        <v/>
      </c>
      <c r="BN18" s="21" t="str" cm="1">
        <f t="array" aca="1" ref="BN18" ca="1">ApplyDamageMitigation($M18,$BM18,"")</f>
        <v/>
      </c>
      <c r="BO18" s="21" cm="1">
        <f t="array" aca="1" ref="BO18" ca="1">CalculateMaxFromList($BN18,0,'Damage Scenarios'!$A:$U)</f>
        <v>0</v>
      </c>
      <c r="BP18" s="21" t="str">
        <f ca="1">IF($BO18=0,"",INDEX(Definitions!$Q:$Q,MATCH($BO18,Definitions!$R:$R,0)))</f>
        <v/>
      </c>
      <c r="BQ18" s="21" t="str" cm="1">
        <f t="array" aca="1" ref="BQ18" ca="1">CalculateMaxAndElementsWithFallback(SanitizeInput($BL18),0,"",Countermeasures!$A:Y,Assumptions!$A:Z)</f>
        <v>0:</v>
      </c>
      <c r="BR18" s="21" t="str" cm="1">
        <f t="array" aca="1" ref="BR18" ca="1">CalculateMaxAndElementsWithFallback(SanitizeInput($BL18),0,"",Countermeasures!$A:Z,Assumptions!$A:AA)</f>
        <v>0:</v>
      </c>
      <c r="BS18" s="21" t="str" cm="1">
        <f t="array" aca="1" ref="BS18" ca="1">CalculateMaxAndElementsWithFallback(SanitizeInput($BL18),0,"",Countermeasures!$A:AA,Assumptions!$A:AB)</f>
        <v>0:</v>
      </c>
      <c r="BT18" s="21" t="str" cm="1">
        <f t="array" aca="1" ref="BT18" ca="1">CalculateMaxAndElementsWithFallback(SanitizeInput($BL18),0,"",Countermeasures!$A:AB,Assumptions!$A:AC)</f>
        <v>0:</v>
      </c>
      <c r="BU18" s="21" t="str" cm="1">
        <f t="array" aca="1" ref="BU18" ca="1">CalculateMaxAndElementsWithFallback(SanitizeInput($BL18),0,"",Countermeasures!$A:AC,Assumptions!$A:AD)</f>
        <v>0:</v>
      </c>
      <c r="BV18" s="21">
        <f t="shared" ca="1" si="25"/>
        <v>0</v>
      </c>
      <c r="BW18" s="21">
        <f t="shared" ca="1" si="26"/>
        <v>0</v>
      </c>
      <c r="BX18" s="21">
        <f t="shared" ca="1" si="27"/>
        <v>0</v>
      </c>
      <c r="BY18" s="21">
        <f t="shared" ca="1" si="28"/>
        <v>0</v>
      </c>
      <c r="BZ18" s="21">
        <f t="shared" ca="1" si="29"/>
        <v>0</v>
      </c>
      <c r="CA18" s="21" t="str">
        <f t="shared" ca="1" si="30"/>
        <v>0:</v>
      </c>
      <c r="CB18" s="21" t="str">
        <f t="shared" ca="1" si="31"/>
        <v>0:</v>
      </c>
      <c r="CC18" s="21" t="str">
        <f t="shared" ca="1" si="32"/>
        <v>0:</v>
      </c>
      <c r="CD18" s="21" t="str">
        <f t="shared" ca="1" si="33"/>
        <v>0:</v>
      </c>
      <c r="CE18" s="21" t="str">
        <f t="shared" ca="1" si="34"/>
        <v>0:</v>
      </c>
      <c r="CF18" s="21">
        <f t="shared" ca="1" si="35"/>
        <v>0</v>
      </c>
      <c r="CG18" s="21">
        <f t="shared" ca="1" si="36"/>
        <v>0</v>
      </c>
      <c r="CH18" s="21">
        <f t="shared" ca="1" si="37"/>
        <v>0</v>
      </c>
      <c r="CI18" s="21">
        <f t="shared" ca="1" si="38"/>
        <v>0</v>
      </c>
      <c r="CJ18" s="21">
        <f t="shared" ca="1" si="39"/>
        <v>0</v>
      </c>
      <c r="CK18" s="21">
        <f t="shared" ca="1" si="23"/>
        <v>0</v>
      </c>
      <c r="CL18" s="21" t="str">
        <f ca="1">IFERROR(VLOOKUP($CK18,Definitions!$V:$W,COLUMNS(Definitions!$V:$W),TRUE),"")</f>
        <v>Basic</v>
      </c>
      <c r="CM18" s="21" t="str">
        <f ca="1">_xlfn.LET(
_xlpm._comments,SimpleLookup($A18,Tracing!$B:$AB),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18" s="21" t="str" cm="1">
        <f t="array" aca="1" ref="CN18" ca="1">_xlfn.LET(
_xlpm._rapRange,Definitions!$W:$W,
_xlpm._calculatedRAP,$CL18,
_xlpm._inlineRAP,$CM18,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18" s="21" t="str">
        <f ca="1">IFERROR(IF(OR($BP18="",$CN18=""),
Definitions!$AE$4,
VLOOKUP($BP18,Definitions!$AH:$AM,MATCH($CN18,Definitions!$AH$3:$AM$3,0),FALSE)),
"")</f>
        <v>No Risk</v>
      </c>
      <c r="CP18" s="21" cm="1">
        <f t="array" aca="1" ref="CP18" ca="1">IF($CO18="",0,SimpleLookup($CO18,Definitions!$AE:$AF))</f>
        <v>0</v>
      </c>
      <c r="CQ18" s="21" t="b">
        <f ca="1">OR(AND($S18,$I18=Helper!$B$7),$I18&gt;Helper!$B$7)</f>
        <v>1</v>
      </c>
      <c r="CR18" s="21" t="str">
        <f t="shared" ca="1" si="24"/>
        <v/>
      </c>
      <c r="CS18" s="21" cm="1">
        <f t="array" aca="1" ref="CS18" ca="1">CreateID($CS$2,$CV:$CV,$CR18&lt;&gt;"")</f>
        <v>0</v>
      </c>
      <c r="CT18" s="21" t="str">
        <f ca="1">IF(IFERROR(MATCH(","&amp;A18&amp;",",'Risk Treatment'!$AT:$AT,0)&gt;0,FALSE),"",$A18)</f>
        <v/>
      </c>
      <c r="CU18" s="21" cm="1">
        <f t="array" aca="1" ref="CU18" ca="1">CreateID($CU$2,$CU:$CU,$CT18&lt;&gt;"")</f>
        <v>0</v>
      </c>
    </row>
    <row r="19" spans="1:99" x14ac:dyDescent="0.25">
      <c r="A19" s="33" t="str" cm="1">
        <f t="array" aca="1" ref="A19" ca="1">IF($B19="","","R"&amp;RemoveDelimiter(SUBSTITUTE(SUBSTITUTE($K19,"AS",""),",","-"),"-"))</f>
        <v/>
      </c>
      <c r="B19" s="33" t="str" cm="1">
        <f t="array" aca="1" ref="B19" ca="1">IF($L19="","",_xlfn.LET(
_xlpm._finalAttackStep,$L19,
_xlpm._prepAttacks,RemoveFirstElement(_xlpm._finalAttackStep&amp;","&amp;$K19),
_xlpm._prepAttackNames,IFERROR(LookupNames(_xlpm._prepAttacks,'Attack Steps'!$A:$B),""),
_xlpm._delimiter,REPT(CHAR(150),55),
$L19&amp;" "&amp;SimpleLookup($L19,'Attack Steps'!$A:$B)&amp;
IF(_xlpm._prepAttackNames="","",CHAR(10)&amp;_xlpm._delimiter&amp;CHAR(10)&amp;_xlpm._prepAttackNames)))</f>
        <v/>
      </c>
      <c r="C19" s="34" t="str" cm="1">
        <f t="array" aca="1" ref="C19" ca="1">IFERROR(LookupNames($M19,'Damage Scenarios'!$A:$V),"")</f>
        <v/>
      </c>
      <c r="D19" s="33" t="str">
        <f ca="1">IFERROR(IF($T19=0,"",INDEX(Definitions!$Q:$Q,MATCH($T19,Definitions!$R:$R,0))),"")</f>
        <v/>
      </c>
      <c r="E19" s="34" t="str" cm="1">
        <f t="array" aca="1" ref="E19" ca="1">IF($A19="","",_xlfn.LET(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_xlpm._factorFunction($A19,$A:W,Definitions!$Y:$Y,Definitions!$AB:$AB,1)&amp;CHAR(10)&amp;
_xlpm._factorFunction($A19,$A:X,Definitions!$Y:$Y,Definitions!$AB:$AB,2)&amp;CHAR(10)&amp;
_xlpm._factorFunction($A19,$A:Y,Definitions!$Y:$Y,Definitions!$AB:$AB,3)&amp;CHAR(10)&amp;
_xlpm._factorFunction($A19,$A:Z,Definitions!$Y:$Y,Definitions!$AB:$AB,4)&amp;CHAR(10)&amp;
_xlpm._factorFunction($A19,$A:AA,Definitions!$Y:$Y,Definitions!$AB:$AB,5)))</f>
        <v/>
      </c>
      <c r="F19" s="33" t="str">
        <f ca="1">IF($A19="","",IFERROR(VLOOKUP($AG19,Definitions!$V:$W,COLUMNS(Definitions!$V:$W),TRUE),""))</f>
        <v/>
      </c>
      <c r="G19" s="33" t="str">
        <f ca="1">IFERROR(IF(OR($D19="",$F19=""),
"",
VLOOKUP($D19,Definitions!$AH:$AM,MATCH($F19,Definitions!$AH$3:$AM$3,0),FALSE)),
"")</f>
        <v/>
      </c>
      <c r="H19" s="23" cm="1">
        <f t="array" aca="1" ref="H19" ca="1">IF(ROW()=ROW($H$2)+1,0,INDEX($H:$H,ROW()-1))+IF($A19="",0,1)</f>
        <v>0</v>
      </c>
      <c r="I19" s="21" cm="1">
        <f t="array" aca="1" ref="I19" ca="1">IF(ROW()=ROW($I$2)+1,
1,
INDEX($I:$I,ROW()-1)+IF(INDEX($S:$S,ROW()-1),1,0))</f>
        <v>1</v>
      </c>
      <c r="J19" s="21">
        <f t="shared" ca="1" si="0"/>
        <v>17</v>
      </c>
      <c r="K19" s="21" t="str">
        <f t="shared" ca="1" si="40"/>
        <v/>
      </c>
      <c r="L19" s="21" t="str" cm="1">
        <f t="array" aca="1" ref="L19" ca="1">IF($P19="","",INDEX('Attack Steps'!$A:$A,$P19))</f>
        <v/>
      </c>
      <c r="M19" s="21" t="str" cm="1">
        <f t="array" aca="1" ref="M19" ca="1">IF($P19="","",INDEX('Attack Steps'!$T:$T,$P19))</f>
        <v/>
      </c>
      <c r="N19" s="21" t="str" cm="1">
        <f t="array" aca="1" ref="N19" ca="1">_xlfn.LET(_xlpm._dm,SanitizeInput(GetValuesWithFallback(SanitizeInput($AK19),Assumptions!$A:$I,Countermeasures!$A:$I,"",",",FALSE)),
IF(_xlpm._dm="","",","&amp;_xlpm._dm))</f>
        <v/>
      </c>
      <c r="O19" s="21" t="str" cm="1">
        <f t="array" aca="1" ref="O19" ca="1">ApplyDamageMitigation($M19,$N19,"")</f>
        <v/>
      </c>
      <c r="P19" s="21" t="str">
        <f ca="1">IFERROR(MATCH($I19,'Attack Steps'!$V:$V,0),"")</f>
        <v/>
      </c>
      <c r="Q19" s="21" t="str" cm="1">
        <f t="array" aca="1" ref="Q19" ca="1">IF($P19="","","§"&amp;INDEX('Attack Steps'!$S:$S,$P19))</f>
        <v/>
      </c>
      <c r="R19" s="21" t="str" cm="1">
        <f t="array" aca="1" ref="R19" ca="1">IF($P19="","",INDEX('Attack Steps'!$W:$W,$P19))</f>
        <v/>
      </c>
      <c r="S19" s="21" t="b">
        <f t="shared" ca="1" si="41"/>
        <v>0</v>
      </c>
      <c r="T19" s="21" cm="1">
        <f t="array" aca="1" ref="T19" ca="1">_xlfn.LAMBDA(_xlpm._in,_xlpm._val,_xlpm._range,
IF(_xlpm._in="",_xlpm._val,_xlfn.LET(
_xlpm._id,LEFT(_xlpm._in,FIND(",",_xlpm._in)-1),
CalculateMaxFromList(RemoveFirstElement(_xlpm._in),MAX(_xlpm._val,VLOOKUP(_xlpm._id,_xlpm._range,COLUMNS(_xlpm._range),FALSE)),_xlpm._range))))($M19,0,'Damage Scenarios'!$A:$U)</f>
        <v>0</v>
      </c>
      <c r="U19" s="21" cm="1">
        <f t="array" aca="1" ref="U19" ca="1">CalculateMaxFromList($O19,0,'Damage Scenarios'!$A:$U)</f>
        <v>0</v>
      </c>
      <c r="V19" s="21" t="str">
        <f ca="1">IF($U19=0,"",INDEX(Definitions!$Q:$Q,MATCH($U19,Definitions!$R:$R,0)))</f>
        <v/>
      </c>
      <c r="W19" s="21" t="str" cm="1">
        <f t="array" aca="1" ref="W19" ca="1">CalculateMaxAndElements($K19,0,"",'Attack Steps'!$A:X)</f>
        <v>0:</v>
      </c>
      <c r="X19" s="21" t="str" cm="1">
        <f t="array" aca="1" ref="X19" ca="1">CalculateMaxAndElements($K19,0,"",'Attack Steps'!$A:Y)</f>
        <v>0:</v>
      </c>
      <c r="Y19" s="21" t="str" cm="1">
        <f t="array" aca="1" ref="Y19" ca="1">CalculateMaxAndElements($K19,0,"",'Attack Steps'!$A:Z)</f>
        <v>0:</v>
      </c>
      <c r="Z19" s="21" t="str" cm="1">
        <f t="array" aca="1" ref="Z19" ca="1">CalculateMaxAndElements($K19,0,"",'Attack Steps'!$A:AA)</f>
        <v>0:</v>
      </c>
      <c r="AA19" s="21" t="str" cm="1">
        <f t="array" aca="1" ref="AA19" ca="1">CalculateMaxAndElements($K19,0,"",'Attack Steps'!$A:AB)</f>
        <v>0:</v>
      </c>
      <c r="AB19" s="21">
        <f t="shared" ca="1" si="42"/>
        <v>0</v>
      </c>
      <c r="AC19" s="21">
        <f t="shared" ca="1" si="43"/>
        <v>0</v>
      </c>
      <c r="AD19" s="21">
        <f t="shared" ca="1" si="44"/>
        <v>0</v>
      </c>
      <c r="AE19" s="21">
        <f t="shared" ca="1" si="45"/>
        <v>0</v>
      </c>
      <c r="AF19" s="21">
        <f t="shared" ca="1" si="46"/>
        <v>0</v>
      </c>
      <c r="AG19" s="21">
        <f t="shared" ca="1" si="3"/>
        <v>0</v>
      </c>
      <c r="AH19" s="21" t="str" cm="1">
        <f t="array" aca="1" ref="AH19" ca="1">IF(ROW()=ROW($AH$2)+1,"",INDEX($AH:$AH,ROW()-1))&amp;IF($A19="","",$A19&amp;",")</f>
        <v/>
      </c>
      <c r="AI19" s="21" t="str">
        <f t="shared" ca="1" si="47"/>
        <v/>
      </c>
      <c r="AJ19" s="21" cm="1">
        <f t="array" aca="1" ref="AJ19" ca="1">IF($G19="",0,SimpleLookup($G19,Definitions!$AE:$AF))</f>
        <v>0</v>
      </c>
      <c r="AK19" s="21" t="str" cm="1">
        <f t="array" aca="1" ref="AK19" ca="1">InverseLookup($A19,Mitigation!$U$2,Mitigation!$J$2,1,Helper!$B$5,",")</f>
        <v/>
      </c>
      <c r="AL19" s="21" t="str" cm="1">
        <f t="array" aca="1" ref="AL19" ca="1">CalculateMaxAndElementsWithFallback(SanitizeInput($AK19),0,"",Countermeasures!$A:Y,Assumptions!$A:Z)</f>
        <v>0:</v>
      </c>
      <c r="AM19" s="21" t="str" cm="1">
        <f t="array" aca="1" ref="AM19" ca="1">CalculateMaxAndElementsWithFallback(SanitizeInput($AK19),0,"",Countermeasures!$A:Z,Assumptions!$A:AA)</f>
        <v>0:</v>
      </c>
      <c r="AN19" s="21" t="str" cm="1">
        <f t="array" aca="1" ref="AN19" ca="1">CalculateMaxAndElementsWithFallback(SanitizeInput($AK19),0,"",Countermeasures!$A:AA,Assumptions!$A:AB)</f>
        <v>0:</v>
      </c>
      <c r="AO19" s="21" t="str" cm="1">
        <f t="array" aca="1" ref="AO19" ca="1">CalculateMaxAndElementsWithFallback(SanitizeInput($AK19),0,"",Countermeasures!$A:AB,Assumptions!$A:AC)</f>
        <v>0:</v>
      </c>
      <c r="AP19" s="21" t="str" cm="1">
        <f t="array" aca="1" ref="AP19" ca="1">CalculateMaxAndElementsWithFallback(SanitizeInput($AK19),0,"",Countermeasures!$A:AC,Assumptions!$A:AD)</f>
        <v>0:</v>
      </c>
      <c r="AQ19" s="21">
        <f t="shared" ca="1" si="48"/>
        <v>0</v>
      </c>
      <c r="AR19" s="21">
        <f t="shared" ca="1" si="49"/>
        <v>0</v>
      </c>
      <c r="AS19" s="21">
        <f t="shared" ca="1" si="50"/>
        <v>0</v>
      </c>
      <c r="AT19" s="21">
        <f t="shared" ca="1" si="51"/>
        <v>0</v>
      </c>
      <c r="AU19" s="21">
        <f t="shared" ca="1" si="52"/>
        <v>0</v>
      </c>
      <c r="AV19" s="21" t="str">
        <f t="shared" ca="1" si="53"/>
        <v>0:</v>
      </c>
      <c r="AW19" s="21" t="str">
        <f t="shared" ca="1" si="54"/>
        <v>0:</v>
      </c>
      <c r="AX19" s="21" t="str">
        <f t="shared" ca="1" si="55"/>
        <v>0:</v>
      </c>
      <c r="AY19" s="21" t="str">
        <f t="shared" ca="1" si="56"/>
        <v>0:</v>
      </c>
      <c r="AZ19" s="21" t="str">
        <f t="shared" ca="1" si="57"/>
        <v>0:</v>
      </c>
      <c r="BA19" s="21">
        <f t="shared" ca="1" si="58"/>
        <v>0</v>
      </c>
      <c r="BB19" s="21">
        <f t="shared" ca="1" si="59"/>
        <v>0</v>
      </c>
      <c r="BC19" s="21">
        <f t="shared" ca="1" si="60"/>
        <v>0</v>
      </c>
      <c r="BD19" s="21">
        <f t="shared" ca="1" si="61"/>
        <v>0</v>
      </c>
      <c r="BE19" s="21">
        <f t="shared" ca="1" si="62"/>
        <v>0</v>
      </c>
      <c r="BF19" s="21">
        <f t="shared" ca="1" si="9"/>
        <v>0</v>
      </c>
      <c r="BG19" s="21" t="str">
        <f ca="1">IFERROR(VLOOKUP($BF19,Definitions!$V:$W,COLUMNS(Definitions!$V:$W),TRUE),"")</f>
        <v>Basic</v>
      </c>
      <c r="BH19" s="21" t="str">
        <f ca="1">_xlfn.LET(
_xlpm._comments,GetValues($K19,Mitigation!$A:$O,"","",FALSE),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19" s="21" t="str" cm="1">
        <f t="array" aca="1" ref="BI19" ca="1">_xlfn.LET(
_xlpm._rapRange,Definitions!$W:$W,
_xlpm._calculatedRAP,$BG19,
_xlpm._inlineRAP,$BH19,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19" s="21" t="str">
        <f ca="1">IFERROR(IF(OR($V19="",$BI19=""),
Definitions!$AE$4,
VLOOKUP($V19,Definitions!$AH:$AM,MATCH($BI19,Definitions!$AH$3:$AM$3,0),FALSE)),
"")</f>
        <v>No Risk</v>
      </c>
      <c r="BK19" s="21" cm="1">
        <f t="array" aca="1" ref="BK19" ca="1">IF($BJ19="",0,SimpleLookup($BJ19,Definitions!$AE:$AF))</f>
        <v>0</v>
      </c>
      <c r="BL19" s="21" t="str" cm="1">
        <f t="array" aca="1" ref="BL19" ca="1">IFERROR(SimpleLookup($A19,Tracing!$B:$Z),"")</f>
        <v/>
      </c>
      <c r="BM19" s="21" t="str" cm="1">
        <f t="array" aca="1" ref="BM19" ca="1">_xlfn.LET(_xlpm._dm,SanitizeInput(GetValuesWithFallback(SanitizeInput($BL19),Assumptions!$A:$I,Countermeasures!$A:$I,"",",",FALSE)),
IF(_xlpm._dm="","",","&amp;_xlpm._dm))</f>
        <v/>
      </c>
      <c r="BN19" s="21" t="str" cm="1">
        <f t="array" aca="1" ref="BN19" ca="1">ApplyDamageMitigation($M19,$BM19,"")</f>
        <v/>
      </c>
      <c r="BO19" s="21" cm="1">
        <f t="array" aca="1" ref="BO19" ca="1">CalculateMaxFromList($BN19,0,'Damage Scenarios'!$A:$U)</f>
        <v>0</v>
      </c>
      <c r="BP19" s="21" t="str">
        <f ca="1">IF($BO19=0,"",INDEX(Definitions!$Q:$Q,MATCH($BO19,Definitions!$R:$R,0)))</f>
        <v/>
      </c>
      <c r="BQ19" s="21" t="str" cm="1">
        <f t="array" aca="1" ref="BQ19" ca="1">CalculateMaxAndElementsWithFallback(SanitizeInput($BL19),0,"",Countermeasures!$A:Y,Assumptions!$A:Z)</f>
        <v>0:</v>
      </c>
      <c r="BR19" s="21" t="str" cm="1">
        <f t="array" aca="1" ref="BR19" ca="1">CalculateMaxAndElementsWithFallback(SanitizeInput($BL19),0,"",Countermeasures!$A:Z,Assumptions!$A:AA)</f>
        <v>0:</v>
      </c>
      <c r="BS19" s="21" t="str" cm="1">
        <f t="array" aca="1" ref="BS19" ca="1">CalculateMaxAndElementsWithFallback(SanitizeInput($BL19),0,"",Countermeasures!$A:AA,Assumptions!$A:AB)</f>
        <v>0:</v>
      </c>
      <c r="BT19" s="21" t="str" cm="1">
        <f t="array" aca="1" ref="BT19" ca="1">CalculateMaxAndElementsWithFallback(SanitizeInput($BL19),0,"",Countermeasures!$A:AB,Assumptions!$A:AC)</f>
        <v>0:</v>
      </c>
      <c r="BU19" s="21" t="str" cm="1">
        <f t="array" aca="1" ref="BU19" ca="1">CalculateMaxAndElementsWithFallback(SanitizeInput($BL19),0,"",Countermeasures!$A:AC,Assumptions!$A:AD)</f>
        <v>0:</v>
      </c>
      <c r="BV19" s="21">
        <f t="shared" ca="1" si="25"/>
        <v>0</v>
      </c>
      <c r="BW19" s="21">
        <f t="shared" ca="1" si="26"/>
        <v>0</v>
      </c>
      <c r="BX19" s="21">
        <f t="shared" ca="1" si="27"/>
        <v>0</v>
      </c>
      <c r="BY19" s="21">
        <f t="shared" ca="1" si="28"/>
        <v>0</v>
      </c>
      <c r="BZ19" s="21">
        <f t="shared" ca="1" si="29"/>
        <v>0</v>
      </c>
      <c r="CA19" s="21" t="str">
        <f t="shared" ca="1" si="30"/>
        <v>0:</v>
      </c>
      <c r="CB19" s="21" t="str">
        <f t="shared" ca="1" si="31"/>
        <v>0:</v>
      </c>
      <c r="CC19" s="21" t="str">
        <f t="shared" ca="1" si="32"/>
        <v>0:</v>
      </c>
      <c r="CD19" s="21" t="str">
        <f t="shared" ca="1" si="33"/>
        <v>0:</v>
      </c>
      <c r="CE19" s="21" t="str">
        <f t="shared" ca="1" si="34"/>
        <v>0:</v>
      </c>
      <c r="CF19" s="21">
        <f t="shared" ca="1" si="35"/>
        <v>0</v>
      </c>
      <c r="CG19" s="21">
        <f t="shared" ca="1" si="36"/>
        <v>0</v>
      </c>
      <c r="CH19" s="21">
        <f t="shared" ca="1" si="37"/>
        <v>0</v>
      </c>
      <c r="CI19" s="21">
        <f t="shared" ca="1" si="38"/>
        <v>0</v>
      </c>
      <c r="CJ19" s="21">
        <f t="shared" ca="1" si="39"/>
        <v>0</v>
      </c>
      <c r="CK19" s="21">
        <f t="shared" ca="1" si="23"/>
        <v>0</v>
      </c>
      <c r="CL19" s="21" t="str">
        <f ca="1">IFERROR(VLOOKUP($CK19,Definitions!$V:$W,COLUMNS(Definitions!$V:$W),TRUE),"")</f>
        <v>Basic</v>
      </c>
      <c r="CM19" s="21" t="str">
        <f ca="1">_xlfn.LET(
_xlpm._comments,SimpleLookup($A19,Tracing!$B:$AB),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19" s="21" t="str" cm="1">
        <f t="array" aca="1" ref="CN19" ca="1">_xlfn.LET(
_xlpm._rapRange,Definitions!$W:$W,
_xlpm._calculatedRAP,$CL19,
_xlpm._inlineRAP,$CM19,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19" s="21" t="str">
        <f ca="1">IFERROR(IF(OR($BP19="",$CN19=""),
Definitions!$AE$4,
VLOOKUP($BP19,Definitions!$AH:$AM,MATCH($CN19,Definitions!$AH$3:$AM$3,0),FALSE)),
"")</f>
        <v>No Risk</v>
      </c>
      <c r="CP19" s="21" cm="1">
        <f t="array" aca="1" ref="CP19" ca="1">IF($CO19="",0,SimpleLookup($CO19,Definitions!$AE:$AF))</f>
        <v>0</v>
      </c>
      <c r="CQ19" s="21" t="b">
        <f ca="1">OR(AND($S19,$I19=Helper!$B$7),$I19&gt;Helper!$B$7)</f>
        <v>1</v>
      </c>
      <c r="CR19" s="21" t="str">
        <f t="shared" ca="1" si="24"/>
        <v/>
      </c>
      <c r="CS19" s="21" cm="1">
        <f t="array" aca="1" ref="CS19" ca="1">CreateID($CS$2,$CV:$CV,$CR19&lt;&gt;"")</f>
        <v>0</v>
      </c>
      <c r="CT19" s="21" t="str">
        <f ca="1">IF(IFERROR(MATCH(","&amp;A19&amp;",",'Risk Treatment'!$AT:$AT,0)&gt;0,FALSE),"",$A19)</f>
        <v/>
      </c>
      <c r="CU19" s="21" cm="1">
        <f t="array" aca="1" ref="CU19" ca="1">CreateID($CU$2,$CU:$CU,$CT19&lt;&gt;"")</f>
        <v>0</v>
      </c>
    </row>
    <row r="20" spans="1:99" x14ac:dyDescent="0.25">
      <c r="A20" s="33" t="str" cm="1">
        <f t="array" aca="1" ref="A20" ca="1">IF($B20="","","R"&amp;RemoveDelimiter(SUBSTITUTE(SUBSTITUTE($K20,"AS",""),",","-"),"-"))</f>
        <v/>
      </c>
      <c r="B20" s="33" t="str" cm="1">
        <f t="array" aca="1" ref="B20" ca="1">IF($L20="","",_xlfn.LET(
_xlpm._finalAttackStep,$L20,
_xlpm._prepAttacks,RemoveFirstElement(_xlpm._finalAttackStep&amp;","&amp;$K20),
_xlpm._prepAttackNames,IFERROR(LookupNames(_xlpm._prepAttacks,'Attack Steps'!$A:$B),""),
_xlpm._delimiter,REPT(CHAR(150),55),
$L20&amp;" "&amp;SimpleLookup($L20,'Attack Steps'!$A:$B)&amp;
IF(_xlpm._prepAttackNames="","",CHAR(10)&amp;_xlpm._delimiter&amp;CHAR(10)&amp;_xlpm._prepAttackNames)))</f>
        <v/>
      </c>
      <c r="C20" s="34" t="str" cm="1">
        <f t="array" aca="1" ref="C20" ca="1">IFERROR(LookupNames($M20,'Damage Scenarios'!$A:$V),"")</f>
        <v/>
      </c>
      <c r="D20" s="33" t="str">
        <f ca="1">IFERROR(IF($T20=0,"",INDEX(Definitions!$Q:$Q,MATCH($T20,Definitions!$R:$R,0))),"")</f>
        <v/>
      </c>
      <c r="E20" s="34" t="str" cm="1">
        <f t="array" aca="1" ref="E20" ca="1">IF($A20="","",_xlfn.LET(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_xlpm._factorFunction($A20,$A:W,Definitions!$Y:$Y,Definitions!$AB:$AB,1)&amp;CHAR(10)&amp;
_xlpm._factorFunction($A20,$A:X,Definitions!$Y:$Y,Definitions!$AB:$AB,2)&amp;CHAR(10)&amp;
_xlpm._factorFunction($A20,$A:Y,Definitions!$Y:$Y,Definitions!$AB:$AB,3)&amp;CHAR(10)&amp;
_xlpm._factorFunction($A20,$A:Z,Definitions!$Y:$Y,Definitions!$AB:$AB,4)&amp;CHAR(10)&amp;
_xlpm._factorFunction($A20,$A:AA,Definitions!$Y:$Y,Definitions!$AB:$AB,5)))</f>
        <v/>
      </c>
      <c r="F20" s="33" t="str">
        <f ca="1">IF($A20="","",IFERROR(VLOOKUP($AG20,Definitions!$V:$W,COLUMNS(Definitions!$V:$W),TRUE),""))</f>
        <v/>
      </c>
      <c r="G20" s="33" t="str">
        <f ca="1">IFERROR(IF(OR($D20="",$F20=""),
"",
VLOOKUP($D20,Definitions!$AH:$AM,MATCH($F20,Definitions!$AH$3:$AM$3,0),FALSE)),
"")</f>
        <v/>
      </c>
      <c r="H20" s="23" cm="1">
        <f t="array" aca="1" ref="H20" ca="1">IF(ROW()=ROW($H$2)+1,0,INDEX($H:$H,ROW()-1))+IF($A20="",0,1)</f>
        <v>0</v>
      </c>
      <c r="I20" s="21" cm="1">
        <f t="array" aca="1" ref="I20" ca="1">IF(ROW()=ROW($I$2)+1,
1,
INDEX($I:$I,ROW()-1)+IF(INDEX($S:$S,ROW()-1),1,0))</f>
        <v>1</v>
      </c>
      <c r="J20" s="21">
        <f t="shared" ca="1" si="0"/>
        <v>18</v>
      </c>
      <c r="K20" s="21" t="str">
        <f t="shared" ca="1" si="40"/>
        <v/>
      </c>
      <c r="L20" s="21" t="str" cm="1">
        <f t="array" aca="1" ref="L20" ca="1">IF($P20="","",INDEX('Attack Steps'!$A:$A,$P20))</f>
        <v/>
      </c>
      <c r="M20" s="21" t="str" cm="1">
        <f t="array" aca="1" ref="M20" ca="1">IF($P20="","",INDEX('Attack Steps'!$T:$T,$P20))</f>
        <v/>
      </c>
      <c r="N20" s="21" t="str" cm="1">
        <f t="array" aca="1" ref="N20" ca="1">_xlfn.LET(_xlpm._dm,SanitizeInput(GetValuesWithFallback(SanitizeInput($AK20),Assumptions!$A:$I,Countermeasures!$A:$I,"",",",FALSE)),
IF(_xlpm._dm="","",","&amp;_xlpm._dm))</f>
        <v/>
      </c>
      <c r="O20" s="21" t="str" cm="1">
        <f t="array" aca="1" ref="O20" ca="1">ApplyDamageMitigation($M20,$N20,"")</f>
        <v/>
      </c>
      <c r="P20" s="21" t="str">
        <f ca="1">IFERROR(MATCH($I20,'Attack Steps'!$V:$V,0),"")</f>
        <v/>
      </c>
      <c r="Q20" s="21" t="str" cm="1">
        <f t="array" aca="1" ref="Q20" ca="1">IF($P20="","","§"&amp;INDEX('Attack Steps'!$S:$S,$P20))</f>
        <v/>
      </c>
      <c r="R20" s="21" t="str" cm="1">
        <f t="array" aca="1" ref="R20" ca="1">IF($P20="","",INDEX('Attack Steps'!$W:$W,$P20))</f>
        <v/>
      </c>
      <c r="S20" s="21" t="b">
        <f t="shared" ca="1" si="41"/>
        <v>0</v>
      </c>
      <c r="T20" s="21" cm="1">
        <f t="array" aca="1" ref="T20" ca="1">_xlfn.LAMBDA(_xlpm._in,_xlpm._val,_xlpm._range,
IF(_xlpm._in="",_xlpm._val,_xlfn.LET(
_xlpm._id,LEFT(_xlpm._in,FIND(",",_xlpm._in)-1),
CalculateMaxFromList(RemoveFirstElement(_xlpm._in),MAX(_xlpm._val,VLOOKUP(_xlpm._id,_xlpm._range,COLUMNS(_xlpm._range),FALSE)),_xlpm._range))))($M20,0,'Damage Scenarios'!$A:$U)</f>
        <v>0</v>
      </c>
      <c r="U20" s="21" cm="1">
        <f t="array" aca="1" ref="U20" ca="1">CalculateMaxFromList($O20,0,'Damage Scenarios'!$A:$U)</f>
        <v>0</v>
      </c>
      <c r="V20" s="21" t="str">
        <f ca="1">IF($U20=0,"",INDEX(Definitions!$Q:$Q,MATCH($U20,Definitions!$R:$R,0)))</f>
        <v/>
      </c>
      <c r="W20" s="21" t="str" cm="1">
        <f t="array" aca="1" ref="W20" ca="1">CalculateMaxAndElements($K20,0,"",'Attack Steps'!$A:X)</f>
        <v>0:</v>
      </c>
      <c r="X20" s="21" t="str" cm="1">
        <f t="array" aca="1" ref="X20" ca="1">CalculateMaxAndElements($K20,0,"",'Attack Steps'!$A:Y)</f>
        <v>0:</v>
      </c>
      <c r="Y20" s="21" t="str" cm="1">
        <f t="array" aca="1" ref="Y20" ca="1">CalculateMaxAndElements($K20,0,"",'Attack Steps'!$A:Z)</f>
        <v>0:</v>
      </c>
      <c r="Z20" s="21" t="str" cm="1">
        <f t="array" aca="1" ref="Z20" ca="1">CalculateMaxAndElements($K20,0,"",'Attack Steps'!$A:AA)</f>
        <v>0:</v>
      </c>
      <c r="AA20" s="21" t="str" cm="1">
        <f t="array" aca="1" ref="AA20" ca="1">CalculateMaxAndElements($K20,0,"",'Attack Steps'!$A:AB)</f>
        <v>0:</v>
      </c>
      <c r="AB20" s="21">
        <f t="shared" ca="1" si="42"/>
        <v>0</v>
      </c>
      <c r="AC20" s="21">
        <f t="shared" ca="1" si="43"/>
        <v>0</v>
      </c>
      <c r="AD20" s="21">
        <f t="shared" ca="1" si="44"/>
        <v>0</v>
      </c>
      <c r="AE20" s="21">
        <f t="shared" ca="1" si="45"/>
        <v>0</v>
      </c>
      <c r="AF20" s="21">
        <f t="shared" ca="1" si="46"/>
        <v>0</v>
      </c>
      <c r="AG20" s="21">
        <f t="shared" ca="1" si="3"/>
        <v>0</v>
      </c>
      <c r="AH20" s="21" t="str" cm="1">
        <f t="array" aca="1" ref="AH20" ca="1">IF(ROW()=ROW($AH$2)+1,"",INDEX($AH:$AH,ROW()-1))&amp;IF($A20="","",$A20&amp;",")</f>
        <v/>
      </c>
      <c r="AI20" s="21" t="str">
        <f t="shared" ca="1" si="47"/>
        <v/>
      </c>
      <c r="AJ20" s="21" cm="1">
        <f t="array" aca="1" ref="AJ20" ca="1">IF($G20="",0,SimpleLookup($G20,Definitions!$AE:$AF))</f>
        <v>0</v>
      </c>
      <c r="AK20" s="21" t="str" cm="1">
        <f t="array" aca="1" ref="AK20" ca="1">InverseLookup($A20,Mitigation!$U$2,Mitigation!$J$2,1,Helper!$B$5,",")</f>
        <v/>
      </c>
      <c r="AL20" s="21" t="str" cm="1">
        <f t="array" aca="1" ref="AL20" ca="1">CalculateMaxAndElementsWithFallback(SanitizeInput($AK20),0,"",Countermeasures!$A:Y,Assumptions!$A:Z)</f>
        <v>0:</v>
      </c>
      <c r="AM20" s="21" t="str" cm="1">
        <f t="array" aca="1" ref="AM20" ca="1">CalculateMaxAndElementsWithFallback(SanitizeInput($AK20),0,"",Countermeasures!$A:Z,Assumptions!$A:AA)</f>
        <v>0:</v>
      </c>
      <c r="AN20" s="21" t="str" cm="1">
        <f t="array" aca="1" ref="AN20" ca="1">CalculateMaxAndElementsWithFallback(SanitizeInput($AK20),0,"",Countermeasures!$A:AA,Assumptions!$A:AB)</f>
        <v>0:</v>
      </c>
      <c r="AO20" s="21" t="str" cm="1">
        <f t="array" aca="1" ref="AO20" ca="1">CalculateMaxAndElementsWithFallback(SanitizeInput($AK20),0,"",Countermeasures!$A:AB,Assumptions!$A:AC)</f>
        <v>0:</v>
      </c>
      <c r="AP20" s="21" t="str" cm="1">
        <f t="array" aca="1" ref="AP20" ca="1">CalculateMaxAndElementsWithFallback(SanitizeInput($AK20),0,"",Countermeasures!$A:AC,Assumptions!$A:AD)</f>
        <v>0:</v>
      </c>
      <c r="AQ20" s="21">
        <f t="shared" ca="1" si="48"/>
        <v>0</v>
      </c>
      <c r="AR20" s="21">
        <f t="shared" ca="1" si="49"/>
        <v>0</v>
      </c>
      <c r="AS20" s="21">
        <f t="shared" ca="1" si="50"/>
        <v>0</v>
      </c>
      <c r="AT20" s="21">
        <f t="shared" ca="1" si="51"/>
        <v>0</v>
      </c>
      <c r="AU20" s="21">
        <f t="shared" ca="1" si="52"/>
        <v>0</v>
      </c>
      <c r="AV20" s="21" t="str">
        <f t="shared" ca="1" si="53"/>
        <v>0:</v>
      </c>
      <c r="AW20" s="21" t="str">
        <f t="shared" ca="1" si="54"/>
        <v>0:</v>
      </c>
      <c r="AX20" s="21" t="str">
        <f t="shared" ca="1" si="55"/>
        <v>0:</v>
      </c>
      <c r="AY20" s="21" t="str">
        <f t="shared" ca="1" si="56"/>
        <v>0:</v>
      </c>
      <c r="AZ20" s="21" t="str">
        <f t="shared" ca="1" si="57"/>
        <v>0:</v>
      </c>
      <c r="BA20" s="21">
        <f t="shared" ca="1" si="58"/>
        <v>0</v>
      </c>
      <c r="BB20" s="21">
        <f t="shared" ca="1" si="59"/>
        <v>0</v>
      </c>
      <c r="BC20" s="21">
        <f t="shared" ca="1" si="60"/>
        <v>0</v>
      </c>
      <c r="BD20" s="21">
        <f t="shared" ca="1" si="61"/>
        <v>0</v>
      </c>
      <c r="BE20" s="21">
        <f t="shared" ca="1" si="62"/>
        <v>0</v>
      </c>
      <c r="BF20" s="21">
        <f t="shared" ca="1" si="9"/>
        <v>0</v>
      </c>
      <c r="BG20" s="21" t="str">
        <f ca="1">IFERROR(VLOOKUP($BF20,Definitions!$V:$W,COLUMNS(Definitions!$V:$W),TRUE),"")</f>
        <v>Basic</v>
      </c>
      <c r="BH20" s="21" t="str">
        <f ca="1">_xlfn.LET(
_xlpm._comments,GetValues($K20,Mitigation!$A:$O,"","",FALSE),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20" s="21" t="str" cm="1">
        <f t="array" aca="1" ref="BI20" ca="1">_xlfn.LET(
_xlpm._rapRange,Definitions!$W:$W,
_xlpm._calculatedRAP,$BG20,
_xlpm._inlineRAP,$BH20,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20" s="21" t="str">
        <f ca="1">IFERROR(IF(OR($V20="",$BI20=""),
Definitions!$AE$4,
VLOOKUP($V20,Definitions!$AH:$AM,MATCH($BI20,Definitions!$AH$3:$AM$3,0),FALSE)),
"")</f>
        <v>No Risk</v>
      </c>
      <c r="BK20" s="21" cm="1">
        <f t="array" aca="1" ref="BK20" ca="1">IF($BJ20="",0,SimpleLookup($BJ20,Definitions!$AE:$AF))</f>
        <v>0</v>
      </c>
      <c r="BL20" s="21" t="str" cm="1">
        <f t="array" aca="1" ref="BL20" ca="1">IFERROR(SimpleLookup($A20,Tracing!$B:$Z),"")</f>
        <v/>
      </c>
      <c r="BM20" s="21" t="str" cm="1">
        <f t="array" aca="1" ref="BM20" ca="1">_xlfn.LET(_xlpm._dm,SanitizeInput(GetValuesWithFallback(SanitizeInput($BL20),Assumptions!$A:$I,Countermeasures!$A:$I,"",",",FALSE)),
IF(_xlpm._dm="","",","&amp;_xlpm._dm))</f>
        <v/>
      </c>
      <c r="BN20" s="21" t="str" cm="1">
        <f t="array" aca="1" ref="BN20" ca="1">ApplyDamageMitigation($M20,$BM20,"")</f>
        <v/>
      </c>
      <c r="BO20" s="21" cm="1">
        <f t="array" aca="1" ref="BO20" ca="1">CalculateMaxFromList($BN20,0,'Damage Scenarios'!$A:$U)</f>
        <v>0</v>
      </c>
      <c r="BP20" s="21" t="str">
        <f ca="1">IF($BO20=0,"",INDEX(Definitions!$Q:$Q,MATCH($BO20,Definitions!$R:$R,0)))</f>
        <v/>
      </c>
      <c r="BQ20" s="21" t="str" cm="1">
        <f t="array" aca="1" ref="BQ20" ca="1">CalculateMaxAndElementsWithFallback(SanitizeInput($BL20),0,"",Countermeasures!$A:Y,Assumptions!$A:Z)</f>
        <v>0:</v>
      </c>
      <c r="BR20" s="21" t="str" cm="1">
        <f t="array" aca="1" ref="BR20" ca="1">CalculateMaxAndElementsWithFallback(SanitizeInput($BL20),0,"",Countermeasures!$A:Z,Assumptions!$A:AA)</f>
        <v>0:</v>
      </c>
      <c r="BS20" s="21" t="str" cm="1">
        <f t="array" aca="1" ref="BS20" ca="1">CalculateMaxAndElementsWithFallback(SanitizeInput($BL20),0,"",Countermeasures!$A:AA,Assumptions!$A:AB)</f>
        <v>0:</v>
      </c>
      <c r="BT20" s="21" t="str" cm="1">
        <f t="array" aca="1" ref="BT20" ca="1">CalculateMaxAndElementsWithFallback(SanitizeInput($BL20),0,"",Countermeasures!$A:AB,Assumptions!$A:AC)</f>
        <v>0:</v>
      </c>
      <c r="BU20" s="21" t="str" cm="1">
        <f t="array" aca="1" ref="BU20" ca="1">CalculateMaxAndElementsWithFallback(SanitizeInput($BL20),0,"",Countermeasures!$A:AC,Assumptions!$A:AD)</f>
        <v>0:</v>
      </c>
      <c r="BV20" s="21">
        <f t="shared" ca="1" si="25"/>
        <v>0</v>
      </c>
      <c r="BW20" s="21">
        <f t="shared" ca="1" si="26"/>
        <v>0</v>
      </c>
      <c r="BX20" s="21">
        <f t="shared" ca="1" si="27"/>
        <v>0</v>
      </c>
      <c r="BY20" s="21">
        <f t="shared" ca="1" si="28"/>
        <v>0</v>
      </c>
      <c r="BZ20" s="21">
        <f t="shared" ca="1" si="29"/>
        <v>0</v>
      </c>
      <c r="CA20" s="21" t="str">
        <f t="shared" ca="1" si="30"/>
        <v>0:</v>
      </c>
      <c r="CB20" s="21" t="str">
        <f t="shared" ca="1" si="31"/>
        <v>0:</v>
      </c>
      <c r="CC20" s="21" t="str">
        <f t="shared" ca="1" si="32"/>
        <v>0:</v>
      </c>
      <c r="CD20" s="21" t="str">
        <f t="shared" ca="1" si="33"/>
        <v>0:</v>
      </c>
      <c r="CE20" s="21" t="str">
        <f t="shared" ca="1" si="34"/>
        <v>0:</v>
      </c>
      <c r="CF20" s="21">
        <f t="shared" ca="1" si="35"/>
        <v>0</v>
      </c>
      <c r="CG20" s="21">
        <f t="shared" ca="1" si="36"/>
        <v>0</v>
      </c>
      <c r="CH20" s="21">
        <f t="shared" ca="1" si="37"/>
        <v>0</v>
      </c>
      <c r="CI20" s="21">
        <f t="shared" ca="1" si="38"/>
        <v>0</v>
      </c>
      <c r="CJ20" s="21">
        <f t="shared" ca="1" si="39"/>
        <v>0</v>
      </c>
      <c r="CK20" s="21">
        <f t="shared" ca="1" si="23"/>
        <v>0</v>
      </c>
      <c r="CL20" s="21" t="str">
        <f ca="1">IFERROR(VLOOKUP($CK20,Definitions!$V:$W,COLUMNS(Definitions!$V:$W),TRUE),"")</f>
        <v>Basic</v>
      </c>
      <c r="CM20" s="21" t="str">
        <f ca="1">_xlfn.LET(
_xlpm._comments,SimpleLookup($A20,Tracing!$B:$AB),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20" s="21" t="str" cm="1">
        <f t="array" aca="1" ref="CN20" ca="1">_xlfn.LET(
_xlpm._rapRange,Definitions!$W:$W,
_xlpm._calculatedRAP,$CL20,
_xlpm._inlineRAP,$CM20,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20" s="21" t="str">
        <f ca="1">IFERROR(IF(OR($BP20="",$CN20=""),
Definitions!$AE$4,
VLOOKUP($BP20,Definitions!$AH:$AM,MATCH($CN20,Definitions!$AH$3:$AM$3,0),FALSE)),
"")</f>
        <v>No Risk</v>
      </c>
      <c r="CP20" s="21" cm="1">
        <f t="array" aca="1" ref="CP20" ca="1">IF($CO20="",0,SimpleLookup($CO20,Definitions!$AE:$AF))</f>
        <v>0</v>
      </c>
      <c r="CQ20" s="21" t="b">
        <f ca="1">OR(AND($S20,$I20=Helper!$B$7),$I20&gt;Helper!$B$7)</f>
        <v>1</v>
      </c>
      <c r="CR20" s="21" t="str">
        <f t="shared" ca="1" si="24"/>
        <v/>
      </c>
      <c r="CS20" s="21" cm="1">
        <f t="array" aca="1" ref="CS20" ca="1">CreateID($CS$2,$CV:$CV,$CR20&lt;&gt;"")</f>
        <v>0</v>
      </c>
      <c r="CT20" s="21" t="str">
        <f ca="1">IF(IFERROR(MATCH(","&amp;A20&amp;",",'Risk Treatment'!$AT:$AT,0)&gt;0,FALSE),"",$A20)</f>
        <v/>
      </c>
      <c r="CU20" s="21" cm="1">
        <f t="array" aca="1" ref="CU20" ca="1">CreateID($CU$2,$CU:$CU,$CT20&lt;&gt;"")</f>
        <v>0</v>
      </c>
    </row>
    <row r="21" spans="1:99" x14ac:dyDescent="0.25">
      <c r="A21" s="33" t="str" cm="1">
        <f t="array" aca="1" ref="A21" ca="1">IF($B21="","","R"&amp;RemoveDelimiter(SUBSTITUTE(SUBSTITUTE($K21,"AS",""),",","-"),"-"))</f>
        <v/>
      </c>
      <c r="B21" s="33" t="str" cm="1">
        <f t="array" aca="1" ref="B21" ca="1">IF($L21="","",_xlfn.LET(
_xlpm._finalAttackStep,$L21,
_xlpm._prepAttacks,RemoveFirstElement(_xlpm._finalAttackStep&amp;","&amp;$K21),
_xlpm._prepAttackNames,IFERROR(LookupNames(_xlpm._prepAttacks,'Attack Steps'!$A:$B),""),
_xlpm._delimiter,REPT(CHAR(150),55),
$L21&amp;" "&amp;SimpleLookup($L21,'Attack Steps'!$A:$B)&amp;
IF(_xlpm._prepAttackNames="","",CHAR(10)&amp;_xlpm._delimiter&amp;CHAR(10)&amp;_xlpm._prepAttackNames)))</f>
        <v/>
      </c>
      <c r="C21" s="34" t="str" cm="1">
        <f t="array" aca="1" ref="C21" ca="1">IFERROR(LookupNames($M21,'Damage Scenarios'!$A:$V),"")</f>
        <v/>
      </c>
      <c r="D21" s="33" t="str">
        <f ca="1">IFERROR(IF($T21=0,"",INDEX(Definitions!$Q:$Q,MATCH($T21,Definitions!$R:$R,0))),"")</f>
        <v/>
      </c>
      <c r="E21" s="34" t="str" cm="1">
        <f t="array" aca="1" ref="E21" ca="1">IF($A21="","",_xlfn.LET(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_xlpm._factorFunction($A21,$A:W,Definitions!$Y:$Y,Definitions!$AB:$AB,1)&amp;CHAR(10)&amp;
_xlpm._factorFunction($A21,$A:X,Definitions!$Y:$Y,Definitions!$AB:$AB,2)&amp;CHAR(10)&amp;
_xlpm._factorFunction($A21,$A:Y,Definitions!$Y:$Y,Definitions!$AB:$AB,3)&amp;CHAR(10)&amp;
_xlpm._factorFunction($A21,$A:Z,Definitions!$Y:$Y,Definitions!$AB:$AB,4)&amp;CHAR(10)&amp;
_xlpm._factorFunction($A21,$A:AA,Definitions!$Y:$Y,Definitions!$AB:$AB,5)))</f>
        <v/>
      </c>
      <c r="F21" s="33" t="str">
        <f ca="1">IF($A21="","",IFERROR(VLOOKUP($AG21,Definitions!$V:$W,COLUMNS(Definitions!$V:$W),TRUE),""))</f>
        <v/>
      </c>
      <c r="G21" s="33" t="str">
        <f ca="1">IFERROR(IF(OR($D21="",$F21=""),
"",
VLOOKUP($D21,Definitions!$AH:$AM,MATCH($F21,Definitions!$AH$3:$AM$3,0),FALSE)),
"")</f>
        <v/>
      </c>
      <c r="H21" s="23" cm="1">
        <f t="array" aca="1" ref="H21" ca="1">IF(ROW()=ROW($H$2)+1,0,INDEX($H:$H,ROW()-1))+IF($A21="",0,1)</f>
        <v>0</v>
      </c>
      <c r="I21" s="21" cm="1">
        <f t="array" aca="1" ref="I21" ca="1">IF(ROW()=ROW($I$2)+1,
1,
INDEX($I:$I,ROW()-1)+IF(INDEX($S:$S,ROW()-1),1,0))</f>
        <v>1</v>
      </c>
      <c r="J21" s="21">
        <f t="shared" ca="1" si="0"/>
        <v>19</v>
      </c>
      <c r="K21" s="21" t="str">
        <f t="shared" ca="1" si="40"/>
        <v/>
      </c>
      <c r="L21" s="21" t="str" cm="1">
        <f t="array" aca="1" ref="L21" ca="1">IF($P21="","",INDEX('Attack Steps'!$A:$A,$P21))</f>
        <v/>
      </c>
      <c r="M21" s="21" t="str" cm="1">
        <f t="array" aca="1" ref="M21" ca="1">IF($P21="","",INDEX('Attack Steps'!$T:$T,$P21))</f>
        <v/>
      </c>
      <c r="N21" s="21" t="str" cm="1">
        <f t="array" aca="1" ref="N21" ca="1">_xlfn.LET(_xlpm._dm,SanitizeInput(GetValuesWithFallback(SanitizeInput($AK21),Assumptions!$A:$I,Countermeasures!$A:$I,"",",",FALSE)),
IF(_xlpm._dm="","",","&amp;_xlpm._dm))</f>
        <v/>
      </c>
      <c r="O21" s="21" t="str" cm="1">
        <f t="array" aca="1" ref="O21" ca="1">ApplyDamageMitigation($M21,$N21,"")</f>
        <v/>
      </c>
      <c r="P21" s="21" t="str">
        <f ca="1">IFERROR(MATCH($I21,'Attack Steps'!$V:$V,0),"")</f>
        <v/>
      </c>
      <c r="Q21" s="21" t="str" cm="1">
        <f t="array" aca="1" ref="Q21" ca="1">IF($P21="","","§"&amp;INDEX('Attack Steps'!$S:$S,$P21))</f>
        <v/>
      </c>
      <c r="R21" s="21" t="str" cm="1">
        <f t="array" aca="1" ref="R21" ca="1">IF($P21="","",INDEX('Attack Steps'!$W:$W,$P21))</f>
        <v/>
      </c>
      <c r="S21" s="21" t="b">
        <f t="shared" ca="1" si="41"/>
        <v>0</v>
      </c>
      <c r="T21" s="21" cm="1">
        <f t="array" aca="1" ref="T21" ca="1">_xlfn.LAMBDA(_xlpm._in,_xlpm._val,_xlpm._range,
IF(_xlpm._in="",_xlpm._val,_xlfn.LET(
_xlpm._id,LEFT(_xlpm._in,FIND(",",_xlpm._in)-1),
CalculateMaxFromList(RemoveFirstElement(_xlpm._in),MAX(_xlpm._val,VLOOKUP(_xlpm._id,_xlpm._range,COLUMNS(_xlpm._range),FALSE)),_xlpm._range))))($M21,0,'Damage Scenarios'!$A:$U)</f>
        <v>0</v>
      </c>
      <c r="U21" s="21" cm="1">
        <f t="array" aca="1" ref="U21" ca="1">CalculateMaxFromList($O21,0,'Damage Scenarios'!$A:$U)</f>
        <v>0</v>
      </c>
      <c r="V21" s="21" t="str">
        <f ca="1">IF($U21=0,"",INDEX(Definitions!$Q:$Q,MATCH($U21,Definitions!$R:$R,0)))</f>
        <v/>
      </c>
      <c r="W21" s="21" t="str" cm="1">
        <f t="array" aca="1" ref="W21" ca="1">CalculateMaxAndElements($K21,0,"",'Attack Steps'!$A:X)</f>
        <v>0:</v>
      </c>
      <c r="X21" s="21" t="str" cm="1">
        <f t="array" aca="1" ref="X21" ca="1">CalculateMaxAndElements($K21,0,"",'Attack Steps'!$A:Y)</f>
        <v>0:</v>
      </c>
      <c r="Y21" s="21" t="str" cm="1">
        <f t="array" aca="1" ref="Y21" ca="1">CalculateMaxAndElements($K21,0,"",'Attack Steps'!$A:Z)</f>
        <v>0:</v>
      </c>
      <c r="Z21" s="21" t="str" cm="1">
        <f t="array" aca="1" ref="Z21" ca="1">CalculateMaxAndElements($K21,0,"",'Attack Steps'!$A:AA)</f>
        <v>0:</v>
      </c>
      <c r="AA21" s="21" t="str" cm="1">
        <f t="array" aca="1" ref="AA21" ca="1">CalculateMaxAndElements($K21,0,"",'Attack Steps'!$A:AB)</f>
        <v>0:</v>
      </c>
      <c r="AB21" s="21">
        <f t="shared" ca="1" si="42"/>
        <v>0</v>
      </c>
      <c r="AC21" s="21">
        <f t="shared" ca="1" si="43"/>
        <v>0</v>
      </c>
      <c r="AD21" s="21">
        <f t="shared" ca="1" si="44"/>
        <v>0</v>
      </c>
      <c r="AE21" s="21">
        <f t="shared" ca="1" si="45"/>
        <v>0</v>
      </c>
      <c r="AF21" s="21">
        <f t="shared" ca="1" si="46"/>
        <v>0</v>
      </c>
      <c r="AG21" s="21">
        <f t="shared" ca="1" si="3"/>
        <v>0</v>
      </c>
      <c r="AH21" s="21" t="str" cm="1">
        <f t="array" aca="1" ref="AH21" ca="1">IF(ROW()=ROW($AH$2)+1,"",INDEX($AH:$AH,ROW()-1))&amp;IF($A21="","",$A21&amp;",")</f>
        <v/>
      </c>
      <c r="AI21" s="21" t="str">
        <f t="shared" ca="1" si="47"/>
        <v/>
      </c>
      <c r="AJ21" s="21" cm="1">
        <f t="array" aca="1" ref="AJ21" ca="1">IF($G21="",0,SimpleLookup($G21,Definitions!$AE:$AF))</f>
        <v>0</v>
      </c>
      <c r="AK21" s="21" t="str" cm="1">
        <f t="array" aca="1" ref="AK21" ca="1">InverseLookup($A21,Mitigation!$U$2,Mitigation!$J$2,1,Helper!$B$5,",")</f>
        <v/>
      </c>
      <c r="AL21" s="21" t="str" cm="1">
        <f t="array" aca="1" ref="AL21" ca="1">CalculateMaxAndElementsWithFallback(SanitizeInput($AK21),0,"",Countermeasures!$A:Y,Assumptions!$A:Z)</f>
        <v>0:</v>
      </c>
      <c r="AM21" s="21" t="str" cm="1">
        <f t="array" aca="1" ref="AM21" ca="1">CalculateMaxAndElementsWithFallback(SanitizeInput($AK21),0,"",Countermeasures!$A:Z,Assumptions!$A:AA)</f>
        <v>0:</v>
      </c>
      <c r="AN21" s="21" t="str" cm="1">
        <f t="array" aca="1" ref="AN21" ca="1">CalculateMaxAndElementsWithFallback(SanitizeInput($AK21),0,"",Countermeasures!$A:AA,Assumptions!$A:AB)</f>
        <v>0:</v>
      </c>
      <c r="AO21" s="21" t="str" cm="1">
        <f t="array" aca="1" ref="AO21" ca="1">CalculateMaxAndElementsWithFallback(SanitizeInput($AK21),0,"",Countermeasures!$A:AB,Assumptions!$A:AC)</f>
        <v>0:</v>
      </c>
      <c r="AP21" s="21" t="str" cm="1">
        <f t="array" aca="1" ref="AP21" ca="1">CalculateMaxAndElementsWithFallback(SanitizeInput($AK21),0,"",Countermeasures!$A:AC,Assumptions!$A:AD)</f>
        <v>0:</v>
      </c>
      <c r="AQ21" s="21">
        <f t="shared" ca="1" si="48"/>
        <v>0</v>
      </c>
      <c r="AR21" s="21">
        <f t="shared" ca="1" si="49"/>
        <v>0</v>
      </c>
      <c r="AS21" s="21">
        <f t="shared" ca="1" si="50"/>
        <v>0</v>
      </c>
      <c r="AT21" s="21">
        <f t="shared" ca="1" si="51"/>
        <v>0</v>
      </c>
      <c r="AU21" s="21">
        <f t="shared" ca="1" si="52"/>
        <v>0</v>
      </c>
      <c r="AV21" s="21" t="str">
        <f t="shared" ca="1" si="53"/>
        <v>0:</v>
      </c>
      <c r="AW21" s="21" t="str">
        <f t="shared" ca="1" si="54"/>
        <v>0:</v>
      </c>
      <c r="AX21" s="21" t="str">
        <f t="shared" ca="1" si="55"/>
        <v>0:</v>
      </c>
      <c r="AY21" s="21" t="str">
        <f t="shared" ca="1" si="56"/>
        <v>0:</v>
      </c>
      <c r="AZ21" s="21" t="str">
        <f t="shared" ca="1" si="57"/>
        <v>0:</v>
      </c>
      <c r="BA21" s="21">
        <f t="shared" ca="1" si="58"/>
        <v>0</v>
      </c>
      <c r="BB21" s="21">
        <f t="shared" ca="1" si="59"/>
        <v>0</v>
      </c>
      <c r="BC21" s="21">
        <f t="shared" ca="1" si="60"/>
        <v>0</v>
      </c>
      <c r="BD21" s="21">
        <f t="shared" ca="1" si="61"/>
        <v>0</v>
      </c>
      <c r="BE21" s="21">
        <f t="shared" ca="1" si="62"/>
        <v>0</v>
      </c>
      <c r="BF21" s="21">
        <f t="shared" ca="1" si="9"/>
        <v>0</v>
      </c>
      <c r="BG21" s="21" t="str">
        <f ca="1">IFERROR(VLOOKUP($BF21,Definitions!$V:$W,COLUMNS(Definitions!$V:$W),TRUE),"")</f>
        <v>Basic</v>
      </c>
      <c r="BH21" s="21" t="str">
        <f ca="1">_xlfn.LET(
_xlpm._comments,GetValues($K21,Mitigation!$A:$O,"","",FALSE),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21" s="21" t="str" cm="1">
        <f t="array" aca="1" ref="BI21" ca="1">_xlfn.LET(
_xlpm._rapRange,Definitions!$W:$W,
_xlpm._calculatedRAP,$BG21,
_xlpm._inlineRAP,$BH21,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21" s="21" t="str">
        <f ca="1">IFERROR(IF(OR($V21="",$BI21=""),
Definitions!$AE$4,
VLOOKUP($V21,Definitions!$AH:$AM,MATCH($BI21,Definitions!$AH$3:$AM$3,0),FALSE)),
"")</f>
        <v>No Risk</v>
      </c>
      <c r="BK21" s="21" cm="1">
        <f t="array" aca="1" ref="BK21" ca="1">IF($BJ21="",0,SimpleLookup($BJ21,Definitions!$AE:$AF))</f>
        <v>0</v>
      </c>
      <c r="BL21" s="21" t="str" cm="1">
        <f t="array" aca="1" ref="BL21" ca="1">IFERROR(SimpleLookup($A21,Tracing!$B:$Z),"")</f>
        <v/>
      </c>
      <c r="BM21" s="21" t="str" cm="1">
        <f t="array" aca="1" ref="BM21" ca="1">_xlfn.LET(_xlpm._dm,SanitizeInput(GetValuesWithFallback(SanitizeInput($BL21),Assumptions!$A:$I,Countermeasures!$A:$I,"",",",FALSE)),
IF(_xlpm._dm="","",","&amp;_xlpm._dm))</f>
        <v/>
      </c>
      <c r="BN21" s="21" t="str" cm="1">
        <f t="array" aca="1" ref="BN21" ca="1">ApplyDamageMitigation($M21,$BM21,"")</f>
        <v/>
      </c>
      <c r="BO21" s="21" cm="1">
        <f t="array" aca="1" ref="BO21" ca="1">CalculateMaxFromList($BN21,0,'Damage Scenarios'!$A:$U)</f>
        <v>0</v>
      </c>
      <c r="BP21" s="21" t="str">
        <f ca="1">IF($BO21=0,"",INDEX(Definitions!$Q:$Q,MATCH($BO21,Definitions!$R:$R,0)))</f>
        <v/>
      </c>
      <c r="BQ21" s="21" t="str" cm="1">
        <f t="array" aca="1" ref="BQ21" ca="1">CalculateMaxAndElementsWithFallback(SanitizeInput($BL21),0,"",Countermeasures!$A:Y,Assumptions!$A:Z)</f>
        <v>0:</v>
      </c>
      <c r="BR21" s="21" t="str" cm="1">
        <f t="array" aca="1" ref="BR21" ca="1">CalculateMaxAndElementsWithFallback(SanitizeInput($BL21),0,"",Countermeasures!$A:Z,Assumptions!$A:AA)</f>
        <v>0:</v>
      </c>
      <c r="BS21" s="21" t="str" cm="1">
        <f t="array" aca="1" ref="BS21" ca="1">CalculateMaxAndElementsWithFallback(SanitizeInput($BL21),0,"",Countermeasures!$A:AA,Assumptions!$A:AB)</f>
        <v>0:</v>
      </c>
      <c r="BT21" s="21" t="str" cm="1">
        <f t="array" aca="1" ref="BT21" ca="1">CalculateMaxAndElementsWithFallback(SanitizeInput($BL21),0,"",Countermeasures!$A:AB,Assumptions!$A:AC)</f>
        <v>0:</v>
      </c>
      <c r="BU21" s="21" t="str" cm="1">
        <f t="array" aca="1" ref="BU21" ca="1">CalculateMaxAndElementsWithFallback(SanitizeInput($BL21),0,"",Countermeasures!$A:AC,Assumptions!$A:AD)</f>
        <v>0:</v>
      </c>
      <c r="BV21" s="21">
        <f t="shared" ca="1" si="25"/>
        <v>0</v>
      </c>
      <c r="BW21" s="21">
        <f t="shared" ca="1" si="26"/>
        <v>0</v>
      </c>
      <c r="BX21" s="21">
        <f t="shared" ca="1" si="27"/>
        <v>0</v>
      </c>
      <c r="BY21" s="21">
        <f t="shared" ca="1" si="28"/>
        <v>0</v>
      </c>
      <c r="BZ21" s="21">
        <f t="shared" ca="1" si="29"/>
        <v>0</v>
      </c>
      <c r="CA21" s="21" t="str">
        <f t="shared" ca="1" si="30"/>
        <v>0:</v>
      </c>
      <c r="CB21" s="21" t="str">
        <f t="shared" ca="1" si="31"/>
        <v>0:</v>
      </c>
      <c r="CC21" s="21" t="str">
        <f t="shared" ca="1" si="32"/>
        <v>0:</v>
      </c>
      <c r="CD21" s="21" t="str">
        <f t="shared" ca="1" si="33"/>
        <v>0:</v>
      </c>
      <c r="CE21" s="21" t="str">
        <f t="shared" ca="1" si="34"/>
        <v>0:</v>
      </c>
      <c r="CF21" s="21">
        <f t="shared" ca="1" si="35"/>
        <v>0</v>
      </c>
      <c r="CG21" s="21">
        <f t="shared" ca="1" si="36"/>
        <v>0</v>
      </c>
      <c r="CH21" s="21">
        <f t="shared" ca="1" si="37"/>
        <v>0</v>
      </c>
      <c r="CI21" s="21">
        <f t="shared" ca="1" si="38"/>
        <v>0</v>
      </c>
      <c r="CJ21" s="21">
        <f t="shared" ca="1" si="39"/>
        <v>0</v>
      </c>
      <c r="CK21" s="21">
        <f t="shared" ca="1" si="23"/>
        <v>0</v>
      </c>
      <c r="CL21" s="21" t="str">
        <f ca="1">IFERROR(VLOOKUP($CK21,Definitions!$V:$W,COLUMNS(Definitions!$V:$W),TRUE),"")</f>
        <v>Basic</v>
      </c>
      <c r="CM21" s="21" t="str">
        <f ca="1">_xlfn.LET(
_xlpm._comments,SimpleLookup($A21,Tracing!$B:$AB),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21" s="21" t="str" cm="1">
        <f t="array" aca="1" ref="CN21" ca="1">_xlfn.LET(
_xlpm._rapRange,Definitions!$W:$W,
_xlpm._calculatedRAP,$CL21,
_xlpm._inlineRAP,$CM21,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21" s="21" t="str">
        <f ca="1">IFERROR(IF(OR($BP21="",$CN21=""),
Definitions!$AE$4,
VLOOKUP($BP21,Definitions!$AH:$AM,MATCH($CN21,Definitions!$AH$3:$AM$3,0),FALSE)),
"")</f>
        <v>No Risk</v>
      </c>
      <c r="CP21" s="21" cm="1">
        <f t="array" aca="1" ref="CP21" ca="1">IF($CO21="",0,SimpleLookup($CO21,Definitions!$AE:$AF))</f>
        <v>0</v>
      </c>
      <c r="CQ21" s="21" t="b">
        <f ca="1">OR(AND($S21,$I21=Helper!$B$7),$I21&gt;Helper!$B$7)</f>
        <v>1</v>
      </c>
      <c r="CR21" s="21" t="str">
        <f t="shared" ca="1" si="24"/>
        <v/>
      </c>
      <c r="CS21" s="21" cm="1">
        <f t="array" aca="1" ref="CS21" ca="1">CreateID($CS$2,$CV:$CV,$CR21&lt;&gt;"")</f>
        <v>0</v>
      </c>
      <c r="CT21" s="21" t="str">
        <f ca="1">IF(IFERROR(MATCH(","&amp;A21&amp;",",'Risk Treatment'!$AT:$AT,0)&gt;0,FALSE),"",$A21)</f>
        <v/>
      </c>
      <c r="CU21" s="21" cm="1">
        <f t="array" aca="1" ref="CU21" ca="1">CreateID($CU$2,$CU:$CU,$CT21&lt;&gt;"")</f>
        <v>0</v>
      </c>
    </row>
    <row r="22" spans="1:99" x14ac:dyDescent="0.25">
      <c r="A22" s="33" t="str" cm="1">
        <f t="array" aca="1" ref="A22" ca="1">IF($B22="","","R"&amp;RemoveDelimiter(SUBSTITUTE(SUBSTITUTE($K22,"AS",""),",","-"),"-"))</f>
        <v/>
      </c>
      <c r="B22" s="33" t="str" cm="1">
        <f t="array" aca="1" ref="B22" ca="1">IF($L22="","",_xlfn.LET(
_xlpm._finalAttackStep,$L22,
_xlpm._prepAttacks,RemoveFirstElement(_xlpm._finalAttackStep&amp;","&amp;$K22),
_xlpm._prepAttackNames,IFERROR(LookupNames(_xlpm._prepAttacks,'Attack Steps'!$A:$B),""),
_xlpm._delimiter,REPT(CHAR(150),55),
$L22&amp;" "&amp;SimpleLookup($L22,'Attack Steps'!$A:$B)&amp;
IF(_xlpm._prepAttackNames="","",CHAR(10)&amp;_xlpm._delimiter&amp;CHAR(10)&amp;_xlpm._prepAttackNames)))</f>
        <v/>
      </c>
      <c r="C22" s="34" t="str" cm="1">
        <f t="array" aca="1" ref="C22" ca="1">IFERROR(LookupNames($M22,'Damage Scenarios'!$A:$V),"")</f>
        <v/>
      </c>
      <c r="D22" s="33" t="str">
        <f ca="1">IFERROR(IF($T22=0,"",INDEX(Definitions!$Q:$Q,MATCH($T22,Definitions!$R:$R,0))),"")</f>
        <v/>
      </c>
      <c r="E22" s="34" t="str" cm="1">
        <f t="array" aca="1" ref="E22" ca="1">IF($A22="","",_xlfn.LET(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_xlpm._factorFunction($A22,$A:W,Definitions!$Y:$Y,Definitions!$AB:$AB,1)&amp;CHAR(10)&amp;
_xlpm._factorFunction($A22,$A:X,Definitions!$Y:$Y,Definitions!$AB:$AB,2)&amp;CHAR(10)&amp;
_xlpm._factorFunction($A22,$A:Y,Definitions!$Y:$Y,Definitions!$AB:$AB,3)&amp;CHAR(10)&amp;
_xlpm._factorFunction($A22,$A:Z,Definitions!$Y:$Y,Definitions!$AB:$AB,4)&amp;CHAR(10)&amp;
_xlpm._factorFunction($A22,$A:AA,Definitions!$Y:$Y,Definitions!$AB:$AB,5)))</f>
        <v/>
      </c>
      <c r="F22" s="33" t="str">
        <f ca="1">IF($A22="","",IFERROR(VLOOKUP($AG22,Definitions!$V:$W,COLUMNS(Definitions!$V:$W),TRUE),""))</f>
        <v/>
      </c>
      <c r="G22" s="33" t="str">
        <f ca="1">IFERROR(IF(OR($D22="",$F22=""),
"",
VLOOKUP($D22,Definitions!$AH:$AM,MATCH($F22,Definitions!$AH$3:$AM$3,0),FALSE)),
"")</f>
        <v/>
      </c>
      <c r="H22" s="23" cm="1">
        <f t="array" aca="1" ref="H22" ca="1">IF(ROW()=ROW($H$2)+1,0,INDEX($H:$H,ROW()-1))+IF($A22="",0,1)</f>
        <v>0</v>
      </c>
      <c r="I22" s="21" cm="1">
        <f t="array" aca="1" ref="I22" ca="1">IF(ROW()=ROW($I$2)+1,
1,
INDEX($I:$I,ROW()-1)+IF(INDEX($S:$S,ROW()-1),1,0))</f>
        <v>1</v>
      </c>
      <c r="J22" s="21">
        <f t="shared" ca="1" si="0"/>
        <v>20</v>
      </c>
      <c r="K22" s="21" t="str">
        <f t="shared" ca="1" si="40"/>
        <v/>
      </c>
      <c r="L22" s="21" t="str" cm="1">
        <f t="array" aca="1" ref="L22" ca="1">IF($P22="","",INDEX('Attack Steps'!$A:$A,$P22))</f>
        <v/>
      </c>
      <c r="M22" s="21" t="str" cm="1">
        <f t="array" aca="1" ref="M22" ca="1">IF($P22="","",INDEX('Attack Steps'!$T:$T,$P22))</f>
        <v/>
      </c>
      <c r="N22" s="21" t="str" cm="1">
        <f t="array" aca="1" ref="N22" ca="1">_xlfn.LET(_xlpm._dm,SanitizeInput(GetValuesWithFallback(SanitizeInput($AK22),Assumptions!$A:$I,Countermeasures!$A:$I,"",",",FALSE)),
IF(_xlpm._dm="","",","&amp;_xlpm._dm))</f>
        <v/>
      </c>
      <c r="O22" s="21" t="str" cm="1">
        <f t="array" aca="1" ref="O22" ca="1">ApplyDamageMitigation($M22,$N22,"")</f>
        <v/>
      </c>
      <c r="P22" s="21" t="str">
        <f ca="1">IFERROR(MATCH($I22,'Attack Steps'!$V:$V,0),"")</f>
        <v/>
      </c>
      <c r="Q22" s="21" t="str" cm="1">
        <f t="array" aca="1" ref="Q22" ca="1">IF($P22="","","§"&amp;INDEX('Attack Steps'!$S:$S,$P22))</f>
        <v/>
      </c>
      <c r="R22" s="21" t="str" cm="1">
        <f t="array" aca="1" ref="R22" ca="1">IF($P22="","",INDEX('Attack Steps'!$W:$W,$P22))</f>
        <v/>
      </c>
      <c r="S22" s="21" t="b">
        <f t="shared" ca="1" si="41"/>
        <v>0</v>
      </c>
      <c r="T22" s="21" cm="1">
        <f t="array" aca="1" ref="T22" ca="1">_xlfn.LAMBDA(_xlpm._in,_xlpm._val,_xlpm._range,
IF(_xlpm._in="",_xlpm._val,_xlfn.LET(
_xlpm._id,LEFT(_xlpm._in,FIND(",",_xlpm._in)-1),
CalculateMaxFromList(RemoveFirstElement(_xlpm._in),MAX(_xlpm._val,VLOOKUP(_xlpm._id,_xlpm._range,COLUMNS(_xlpm._range),FALSE)),_xlpm._range))))($M22,0,'Damage Scenarios'!$A:$U)</f>
        <v>0</v>
      </c>
      <c r="U22" s="21" cm="1">
        <f t="array" aca="1" ref="U22" ca="1">CalculateMaxFromList($O22,0,'Damage Scenarios'!$A:$U)</f>
        <v>0</v>
      </c>
      <c r="V22" s="21" t="str">
        <f ca="1">IF($U22=0,"",INDEX(Definitions!$Q:$Q,MATCH($U22,Definitions!$R:$R,0)))</f>
        <v/>
      </c>
      <c r="W22" s="21" t="str" cm="1">
        <f t="array" aca="1" ref="W22" ca="1">CalculateMaxAndElements($K22,0,"",'Attack Steps'!$A:X)</f>
        <v>0:</v>
      </c>
      <c r="X22" s="21" t="str" cm="1">
        <f t="array" aca="1" ref="X22" ca="1">CalculateMaxAndElements($K22,0,"",'Attack Steps'!$A:Y)</f>
        <v>0:</v>
      </c>
      <c r="Y22" s="21" t="str" cm="1">
        <f t="array" aca="1" ref="Y22" ca="1">CalculateMaxAndElements($K22,0,"",'Attack Steps'!$A:Z)</f>
        <v>0:</v>
      </c>
      <c r="Z22" s="21" t="str" cm="1">
        <f t="array" aca="1" ref="Z22" ca="1">CalculateMaxAndElements($K22,0,"",'Attack Steps'!$A:AA)</f>
        <v>0:</v>
      </c>
      <c r="AA22" s="21" t="str" cm="1">
        <f t="array" aca="1" ref="AA22" ca="1">CalculateMaxAndElements($K22,0,"",'Attack Steps'!$A:AB)</f>
        <v>0:</v>
      </c>
      <c r="AB22" s="21">
        <f t="shared" ca="1" si="42"/>
        <v>0</v>
      </c>
      <c r="AC22" s="21">
        <f t="shared" ca="1" si="43"/>
        <v>0</v>
      </c>
      <c r="AD22" s="21">
        <f t="shared" ca="1" si="44"/>
        <v>0</v>
      </c>
      <c r="AE22" s="21">
        <f t="shared" ca="1" si="45"/>
        <v>0</v>
      </c>
      <c r="AF22" s="21">
        <f t="shared" ca="1" si="46"/>
        <v>0</v>
      </c>
      <c r="AG22" s="21">
        <f t="shared" ca="1" si="3"/>
        <v>0</v>
      </c>
      <c r="AH22" s="21" t="str" cm="1">
        <f t="array" aca="1" ref="AH22" ca="1">IF(ROW()=ROW($AH$2)+1,"",INDEX($AH:$AH,ROW()-1))&amp;IF($A22="","",$A22&amp;",")</f>
        <v/>
      </c>
      <c r="AI22" s="21" t="str">
        <f t="shared" ca="1" si="47"/>
        <v/>
      </c>
      <c r="AJ22" s="21" cm="1">
        <f t="array" aca="1" ref="AJ22" ca="1">IF($G22="",0,SimpleLookup($G22,Definitions!$AE:$AF))</f>
        <v>0</v>
      </c>
      <c r="AK22" s="21" t="str" cm="1">
        <f t="array" aca="1" ref="AK22" ca="1">InverseLookup($A22,Mitigation!$U$2,Mitigation!$J$2,1,Helper!$B$5,",")</f>
        <v/>
      </c>
      <c r="AL22" s="21" t="str" cm="1">
        <f t="array" aca="1" ref="AL22" ca="1">CalculateMaxAndElementsWithFallback(SanitizeInput($AK22),0,"",Countermeasures!$A:Y,Assumptions!$A:Z)</f>
        <v>0:</v>
      </c>
      <c r="AM22" s="21" t="str" cm="1">
        <f t="array" aca="1" ref="AM22" ca="1">CalculateMaxAndElementsWithFallback(SanitizeInput($AK22),0,"",Countermeasures!$A:Z,Assumptions!$A:AA)</f>
        <v>0:</v>
      </c>
      <c r="AN22" s="21" t="str" cm="1">
        <f t="array" aca="1" ref="AN22" ca="1">CalculateMaxAndElementsWithFallback(SanitizeInput($AK22),0,"",Countermeasures!$A:AA,Assumptions!$A:AB)</f>
        <v>0:</v>
      </c>
      <c r="AO22" s="21" t="str" cm="1">
        <f t="array" aca="1" ref="AO22" ca="1">CalculateMaxAndElementsWithFallback(SanitizeInput($AK22),0,"",Countermeasures!$A:AB,Assumptions!$A:AC)</f>
        <v>0:</v>
      </c>
      <c r="AP22" s="21" t="str" cm="1">
        <f t="array" aca="1" ref="AP22" ca="1">CalculateMaxAndElementsWithFallback(SanitizeInput($AK22),0,"",Countermeasures!$A:AC,Assumptions!$A:AD)</f>
        <v>0:</v>
      </c>
      <c r="AQ22" s="21">
        <f t="shared" ca="1" si="48"/>
        <v>0</v>
      </c>
      <c r="AR22" s="21">
        <f t="shared" ca="1" si="49"/>
        <v>0</v>
      </c>
      <c r="AS22" s="21">
        <f t="shared" ca="1" si="50"/>
        <v>0</v>
      </c>
      <c r="AT22" s="21">
        <f t="shared" ca="1" si="51"/>
        <v>0</v>
      </c>
      <c r="AU22" s="21">
        <f t="shared" ca="1" si="52"/>
        <v>0</v>
      </c>
      <c r="AV22" s="21" t="str">
        <f t="shared" ca="1" si="53"/>
        <v>0:</v>
      </c>
      <c r="AW22" s="21" t="str">
        <f t="shared" ca="1" si="54"/>
        <v>0:</v>
      </c>
      <c r="AX22" s="21" t="str">
        <f t="shared" ca="1" si="55"/>
        <v>0:</v>
      </c>
      <c r="AY22" s="21" t="str">
        <f t="shared" ca="1" si="56"/>
        <v>0:</v>
      </c>
      <c r="AZ22" s="21" t="str">
        <f t="shared" ca="1" si="57"/>
        <v>0:</v>
      </c>
      <c r="BA22" s="21">
        <f t="shared" ca="1" si="58"/>
        <v>0</v>
      </c>
      <c r="BB22" s="21">
        <f t="shared" ca="1" si="59"/>
        <v>0</v>
      </c>
      <c r="BC22" s="21">
        <f t="shared" ca="1" si="60"/>
        <v>0</v>
      </c>
      <c r="BD22" s="21">
        <f t="shared" ca="1" si="61"/>
        <v>0</v>
      </c>
      <c r="BE22" s="21">
        <f t="shared" ca="1" si="62"/>
        <v>0</v>
      </c>
      <c r="BF22" s="21">
        <f t="shared" ca="1" si="9"/>
        <v>0</v>
      </c>
      <c r="BG22" s="21" t="str">
        <f ca="1">IFERROR(VLOOKUP($BF22,Definitions!$V:$W,COLUMNS(Definitions!$V:$W),TRUE),"")</f>
        <v>Basic</v>
      </c>
      <c r="BH22" s="21" t="str">
        <f ca="1">_xlfn.LET(
_xlpm._comments,GetValues($K22,Mitigation!$A:$O,"","",FALSE),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22" s="21" t="str" cm="1">
        <f t="array" aca="1" ref="BI22" ca="1">_xlfn.LET(
_xlpm._rapRange,Definitions!$W:$W,
_xlpm._calculatedRAP,$BG22,
_xlpm._inlineRAP,$BH22,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22" s="21" t="str">
        <f ca="1">IFERROR(IF(OR($V22="",$BI22=""),
Definitions!$AE$4,
VLOOKUP($V22,Definitions!$AH:$AM,MATCH($BI22,Definitions!$AH$3:$AM$3,0),FALSE)),
"")</f>
        <v>No Risk</v>
      </c>
      <c r="BK22" s="21" cm="1">
        <f t="array" aca="1" ref="BK22" ca="1">IF($BJ22="",0,SimpleLookup($BJ22,Definitions!$AE:$AF))</f>
        <v>0</v>
      </c>
      <c r="BL22" s="21" t="str" cm="1">
        <f t="array" aca="1" ref="BL22" ca="1">IFERROR(SimpleLookup($A22,Tracing!$B:$Z),"")</f>
        <v/>
      </c>
      <c r="BM22" s="21" t="str" cm="1">
        <f t="array" aca="1" ref="BM22" ca="1">_xlfn.LET(_xlpm._dm,SanitizeInput(GetValuesWithFallback(SanitizeInput($BL22),Assumptions!$A:$I,Countermeasures!$A:$I,"",",",FALSE)),
IF(_xlpm._dm="","",","&amp;_xlpm._dm))</f>
        <v/>
      </c>
      <c r="BN22" s="21" t="str" cm="1">
        <f t="array" aca="1" ref="BN22" ca="1">ApplyDamageMitigation($M22,$BM22,"")</f>
        <v/>
      </c>
      <c r="BO22" s="21" cm="1">
        <f t="array" aca="1" ref="BO22" ca="1">CalculateMaxFromList($BN22,0,'Damage Scenarios'!$A:$U)</f>
        <v>0</v>
      </c>
      <c r="BP22" s="21" t="str">
        <f ca="1">IF($BO22=0,"",INDEX(Definitions!$Q:$Q,MATCH($BO22,Definitions!$R:$R,0)))</f>
        <v/>
      </c>
      <c r="BQ22" s="21" t="str" cm="1">
        <f t="array" aca="1" ref="BQ22" ca="1">CalculateMaxAndElementsWithFallback(SanitizeInput($BL22),0,"",Countermeasures!$A:Y,Assumptions!$A:Z)</f>
        <v>0:</v>
      </c>
      <c r="BR22" s="21" t="str" cm="1">
        <f t="array" aca="1" ref="BR22" ca="1">CalculateMaxAndElementsWithFallback(SanitizeInput($BL22),0,"",Countermeasures!$A:Z,Assumptions!$A:AA)</f>
        <v>0:</v>
      </c>
      <c r="BS22" s="21" t="str" cm="1">
        <f t="array" aca="1" ref="BS22" ca="1">CalculateMaxAndElementsWithFallback(SanitizeInput($BL22),0,"",Countermeasures!$A:AA,Assumptions!$A:AB)</f>
        <v>0:</v>
      </c>
      <c r="BT22" s="21" t="str" cm="1">
        <f t="array" aca="1" ref="BT22" ca="1">CalculateMaxAndElementsWithFallback(SanitizeInput($BL22),0,"",Countermeasures!$A:AB,Assumptions!$A:AC)</f>
        <v>0:</v>
      </c>
      <c r="BU22" s="21" t="str" cm="1">
        <f t="array" aca="1" ref="BU22" ca="1">CalculateMaxAndElementsWithFallback(SanitizeInput($BL22),0,"",Countermeasures!$A:AC,Assumptions!$A:AD)</f>
        <v>0:</v>
      </c>
      <c r="BV22" s="21">
        <f t="shared" ca="1" si="25"/>
        <v>0</v>
      </c>
      <c r="BW22" s="21">
        <f t="shared" ca="1" si="26"/>
        <v>0</v>
      </c>
      <c r="BX22" s="21">
        <f t="shared" ca="1" si="27"/>
        <v>0</v>
      </c>
      <c r="BY22" s="21">
        <f t="shared" ca="1" si="28"/>
        <v>0</v>
      </c>
      <c r="BZ22" s="21">
        <f t="shared" ca="1" si="29"/>
        <v>0</v>
      </c>
      <c r="CA22" s="21" t="str">
        <f t="shared" ca="1" si="30"/>
        <v>0:</v>
      </c>
      <c r="CB22" s="21" t="str">
        <f t="shared" ca="1" si="31"/>
        <v>0:</v>
      </c>
      <c r="CC22" s="21" t="str">
        <f t="shared" ca="1" si="32"/>
        <v>0:</v>
      </c>
      <c r="CD22" s="21" t="str">
        <f t="shared" ca="1" si="33"/>
        <v>0:</v>
      </c>
      <c r="CE22" s="21" t="str">
        <f t="shared" ca="1" si="34"/>
        <v>0:</v>
      </c>
      <c r="CF22" s="21">
        <f t="shared" ca="1" si="35"/>
        <v>0</v>
      </c>
      <c r="CG22" s="21">
        <f t="shared" ca="1" si="36"/>
        <v>0</v>
      </c>
      <c r="CH22" s="21">
        <f t="shared" ca="1" si="37"/>
        <v>0</v>
      </c>
      <c r="CI22" s="21">
        <f t="shared" ca="1" si="38"/>
        <v>0</v>
      </c>
      <c r="CJ22" s="21">
        <f t="shared" ca="1" si="39"/>
        <v>0</v>
      </c>
      <c r="CK22" s="21">
        <f t="shared" ca="1" si="23"/>
        <v>0</v>
      </c>
      <c r="CL22" s="21" t="str">
        <f ca="1">IFERROR(VLOOKUP($CK22,Definitions!$V:$W,COLUMNS(Definitions!$V:$W),TRUE),"")</f>
        <v>Basic</v>
      </c>
      <c r="CM22" s="21" t="str">
        <f ca="1">_xlfn.LET(
_xlpm._comments,SimpleLookup($A22,Tracing!$B:$AB),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22" s="21" t="str" cm="1">
        <f t="array" aca="1" ref="CN22" ca="1">_xlfn.LET(
_xlpm._rapRange,Definitions!$W:$W,
_xlpm._calculatedRAP,$CL22,
_xlpm._inlineRAP,$CM22,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22" s="21" t="str">
        <f ca="1">IFERROR(IF(OR($BP22="",$CN22=""),
Definitions!$AE$4,
VLOOKUP($BP22,Definitions!$AH:$AM,MATCH($CN22,Definitions!$AH$3:$AM$3,0),FALSE)),
"")</f>
        <v>No Risk</v>
      </c>
      <c r="CP22" s="21" cm="1">
        <f t="array" aca="1" ref="CP22" ca="1">IF($CO22="",0,SimpleLookup($CO22,Definitions!$AE:$AF))</f>
        <v>0</v>
      </c>
      <c r="CQ22" s="21" t="b">
        <f ca="1">OR(AND($S22,$I22=Helper!$B$7),$I22&gt;Helper!$B$7)</f>
        <v>1</v>
      </c>
      <c r="CR22" s="21" t="str">
        <f t="shared" ca="1" si="24"/>
        <v/>
      </c>
      <c r="CS22" s="21" cm="1">
        <f t="array" aca="1" ref="CS22" ca="1">CreateID($CS$2,$CV:$CV,$CR22&lt;&gt;"")</f>
        <v>0</v>
      </c>
      <c r="CT22" s="21" t="str">
        <f ca="1">IF(IFERROR(MATCH(","&amp;A22&amp;",",'Risk Treatment'!$AT:$AT,0)&gt;0,FALSE),"",$A22)</f>
        <v/>
      </c>
      <c r="CU22" s="21" cm="1">
        <f t="array" aca="1" ref="CU22" ca="1">CreateID($CU$2,$CU:$CU,$CT22&lt;&gt;"")</f>
        <v>0</v>
      </c>
    </row>
    <row r="23" spans="1:99" x14ac:dyDescent="0.25">
      <c r="A23" s="33" t="str" cm="1">
        <f t="array" aca="1" ref="A23" ca="1">IF($B23="","","R"&amp;RemoveDelimiter(SUBSTITUTE(SUBSTITUTE($K23,"AS",""),",","-"),"-"))</f>
        <v/>
      </c>
      <c r="B23" s="33" t="str" cm="1">
        <f t="array" aca="1" ref="B23" ca="1">IF($L23="","",_xlfn.LET(
_xlpm._finalAttackStep,$L23,
_xlpm._prepAttacks,RemoveFirstElement(_xlpm._finalAttackStep&amp;","&amp;$K23),
_xlpm._prepAttackNames,IFERROR(LookupNames(_xlpm._prepAttacks,'Attack Steps'!$A:$B),""),
_xlpm._delimiter,REPT(CHAR(150),55),
$L23&amp;" "&amp;SimpleLookup($L23,'Attack Steps'!$A:$B)&amp;
IF(_xlpm._prepAttackNames="","",CHAR(10)&amp;_xlpm._delimiter&amp;CHAR(10)&amp;_xlpm._prepAttackNames)))</f>
        <v/>
      </c>
      <c r="C23" s="34" t="str" cm="1">
        <f t="array" aca="1" ref="C23" ca="1">IFERROR(LookupNames($M23,'Damage Scenarios'!$A:$V),"")</f>
        <v/>
      </c>
      <c r="D23" s="33" t="str">
        <f ca="1">IFERROR(IF($T23=0,"",INDEX(Definitions!$Q:$Q,MATCH($T23,Definitions!$R:$R,0))),"")</f>
        <v/>
      </c>
      <c r="E23" s="34" t="str" cm="1">
        <f t="array" aca="1" ref="E23" ca="1">IF($A23="","",_xlfn.LET(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_xlpm._factorFunction($A23,$A:W,Definitions!$Y:$Y,Definitions!$AB:$AB,1)&amp;CHAR(10)&amp;
_xlpm._factorFunction($A23,$A:X,Definitions!$Y:$Y,Definitions!$AB:$AB,2)&amp;CHAR(10)&amp;
_xlpm._factorFunction($A23,$A:Y,Definitions!$Y:$Y,Definitions!$AB:$AB,3)&amp;CHAR(10)&amp;
_xlpm._factorFunction($A23,$A:Z,Definitions!$Y:$Y,Definitions!$AB:$AB,4)&amp;CHAR(10)&amp;
_xlpm._factorFunction($A23,$A:AA,Definitions!$Y:$Y,Definitions!$AB:$AB,5)))</f>
        <v/>
      </c>
      <c r="F23" s="33" t="str">
        <f ca="1">IF($A23="","",IFERROR(VLOOKUP($AG23,Definitions!$V:$W,COLUMNS(Definitions!$V:$W),TRUE),""))</f>
        <v/>
      </c>
      <c r="G23" s="33" t="str">
        <f ca="1">IFERROR(IF(OR($D23="",$F23=""),
"",
VLOOKUP($D23,Definitions!$AH:$AM,MATCH($F23,Definitions!$AH$3:$AM$3,0),FALSE)),
"")</f>
        <v/>
      </c>
      <c r="H23" s="23" cm="1">
        <f t="array" aca="1" ref="H23" ca="1">IF(ROW()=ROW($H$2)+1,0,INDEX($H:$H,ROW()-1))+IF($A23="",0,1)</f>
        <v>0</v>
      </c>
      <c r="I23" s="21" cm="1">
        <f t="array" aca="1" ref="I23" ca="1">IF(ROW()=ROW($I$2)+1,
1,
INDEX($I:$I,ROW()-1)+IF(INDEX($S:$S,ROW()-1),1,0))</f>
        <v>1</v>
      </c>
      <c r="J23" s="21">
        <f t="shared" ca="1" si="0"/>
        <v>21</v>
      </c>
      <c r="K23" s="21" t="str">
        <f t="shared" ca="1" si="40"/>
        <v/>
      </c>
      <c r="L23" s="21" t="str" cm="1">
        <f t="array" aca="1" ref="L23" ca="1">IF($P23="","",INDEX('Attack Steps'!$A:$A,$P23))</f>
        <v/>
      </c>
      <c r="M23" s="21" t="str" cm="1">
        <f t="array" aca="1" ref="M23" ca="1">IF($P23="","",INDEX('Attack Steps'!$T:$T,$P23))</f>
        <v/>
      </c>
      <c r="N23" s="21" t="str" cm="1">
        <f t="array" aca="1" ref="N23" ca="1">_xlfn.LET(_xlpm._dm,SanitizeInput(GetValuesWithFallback(SanitizeInput($AK23),Assumptions!$A:$I,Countermeasures!$A:$I,"",",",FALSE)),
IF(_xlpm._dm="","",","&amp;_xlpm._dm))</f>
        <v/>
      </c>
      <c r="O23" s="21" t="str" cm="1">
        <f t="array" aca="1" ref="O23" ca="1">ApplyDamageMitigation($M23,$N23,"")</f>
        <v/>
      </c>
      <c r="P23" s="21" t="str">
        <f ca="1">IFERROR(MATCH($I23,'Attack Steps'!$V:$V,0),"")</f>
        <v/>
      </c>
      <c r="Q23" s="21" t="str" cm="1">
        <f t="array" aca="1" ref="Q23" ca="1">IF($P23="","","§"&amp;INDEX('Attack Steps'!$S:$S,$P23))</f>
        <v/>
      </c>
      <c r="R23" s="21" t="str" cm="1">
        <f t="array" aca="1" ref="R23" ca="1">IF($P23="","",INDEX('Attack Steps'!$W:$W,$P23))</f>
        <v/>
      </c>
      <c r="S23" s="21" t="b">
        <f t="shared" ca="1" si="41"/>
        <v>0</v>
      </c>
      <c r="T23" s="21" cm="1">
        <f t="array" aca="1" ref="T23" ca="1">_xlfn.LAMBDA(_xlpm._in,_xlpm._val,_xlpm._range,
IF(_xlpm._in="",_xlpm._val,_xlfn.LET(
_xlpm._id,LEFT(_xlpm._in,FIND(",",_xlpm._in)-1),
CalculateMaxFromList(RemoveFirstElement(_xlpm._in),MAX(_xlpm._val,VLOOKUP(_xlpm._id,_xlpm._range,COLUMNS(_xlpm._range),FALSE)),_xlpm._range))))($M23,0,'Damage Scenarios'!$A:$U)</f>
        <v>0</v>
      </c>
      <c r="U23" s="21" cm="1">
        <f t="array" aca="1" ref="U23" ca="1">CalculateMaxFromList($O23,0,'Damage Scenarios'!$A:$U)</f>
        <v>0</v>
      </c>
      <c r="V23" s="21" t="str">
        <f ca="1">IF($U23=0,"",INDEX(Definitions!$Q:$Q,MATCH($U23,Definitions!$R:$R,0)))</f>
        <v/>
      </c>
      <c r="W23" s="21" t="str" cm="1">
        <f t="array" aca="1" ref="W23" ca="1">CalculateMaxAndElements($K23,0,"",'Attack Steps'!$A:X)</f>
        <v>0:</v>
      </c>
      <c r="X23" s="21" t="str" cm="1">
        <f t="array" aca="1" ref="X23" ca="1">CalculateMaxAndElements($K23,0,"",'Attack Steps'!$A:Y)</f>
        <v>0:</v>
      </c>
      <c r="Y23" s="21" t="str" cm="1">
        <f t="array" aca="1" ref="Y23" ca="1">CalculateMaxAndElements($K23,0,"",'Attack Steps'!$A:Z)</f>
        <v>0:</v>
      </c>
      <c r="Z23" s="21" t="str" cm="1">
        <f t="array" aca="1" ref="Z23" ca="1">CalculateMaxAndElements($K23,0,"",'Attack Steps'!$A:AA)</f>
        <v>0:</v>
      </c>
      <c r="AA23" s="21" t="str" cm="1">
        <f t="array" aca="1" ref="AA23" ca="1">CalculateMaxAndElements($K23,0,"",'Attack Steps'!$A:AB)</f>
        <v>0:</v>
      </c>
      <c r="AB23" s="21">
        <f t="shared" ca="1" si="42"/>
        <v>0</v>
      </c>
      <c r="AC23" s="21">
        <f t="shared" ca="1" si="43"/>
        <v>0</v>
      </c>
      <c r="AD23" s="21">
        <f t="shared" ca="1" si="44"/>
        <v>0</v>
      </c>
      <c r="AE23" s="21">
        <f t="shared" ca="1" si="45"/>
        <v>0</v>
      </c>
      <c r="AF23" s="21">
        <f t="shared" ca="1" si="46"/>
        <v>0</v>
      </c>
      <c r="AG23" s="21">
        <f t="shared" ca="1" si="3"/>
        <v>0</v>
      </c>
      <c r="AH23" s="21" t="str" cm="1">
        <f t="array" aca="1" ref="AH23" ca="1">IF(ROW()=ROW($AH$2)+1,"",INDEX($AH:$AH,ROW()-1))&amp;IF($A23="","",$A23&amp;",")</f>
        <v/>
      </c>
      <c r="AI23" s="21" t="str">
        <f t="shared" ca="1" si="47"/>
        <v/>
      </c>
      <c r="AJ23" s="21" cm="1">
        <f t="array" aca="1" ref="AJ23" ca="1">IF($G23="",0,SimpleLookup($G23,Definitions!$AE:$AF))</f>
        <v>0</v>
      </c>
      <c r="AK23" s="21" t="str" cm="1">
        <f t="array" aca="1" ref="AK23" ca="1">InverseLookup($A23,Mitigation!$U$2,Mitigation!$J$2,1,Helper!$B$5,",")</f>
        <v/>
      </c>
      <c r="AL23" s="21" t="str" cm="1">
        <f t="array" aca="1" ref="AL23" ca="1">CalculateMaxAndElementsWithFallback(SanitizeInput($AK23),0,"",Countermeasures!$A:Y,Assumptions!$A:Z)</f>
        <v>0:</v>
      </c>
      <c r="AM23" s="21" t="str" cm="1">
        <f t="array" aca="1" ref="AM23" ca="1">CalculateMaxAndElementsWithFallback(SanitizeInput($AK23),0,"",Countermeasures!$A:Z,Assumptions!$A:AA)</f>
        <v>0:</v>
      </c>
      <c r="AN23" s="21" t="str" cm="1">
        <f t="array" aca="1" ref="AN23" ca="1">CalculateMaxAndElementsWithFallback(SanitizeInput($AK23),0,"",Countermeasures!$A:AA,Assumptions!$A:AB)</f>
        <v>0:</v>
      </c>
      <c r="AO23" s="21" t="str" cm="1">
        <f t="array" aca="1" ref="AO23" ca="1">CalculateMaxAndElementsWithFallback(SanitizeInput($AK23),0,"",Countermeasures!$A:AB,Assumptions!$A:AC)</f>
        <v>0:</v>
      </c>
      <c r="AP23" s="21" t="str" cm="1">
        <f t="array" aca="1" ref="AP23" ca="1">CalculateMaxAndElementsWithFallback(SanitizeInput($AK23),0,"",Countermeasures!$A:AC,Assumptions!$A:AD)</f>
        <v>0:</v>
      </c>
      <c r="AQ23" s="21">
        <f t="shared" ca="1" si="48"/>
        <v>0</v>
      </c>
      <c r="AR23" s="21">
        <f t="shared" ca="1" si="49"/>
        <v>0</v>
      </c>
      <c r="AS23" s="21">
        <f t="shared" ca="1" si="50"/>
        <v>0</v>
      </c>
      <c r="AT23" s="21">
        <f t="shared" ca="1" si="51"/>
        <v>0</v>
      </c>
      <c r="AU23" s="21">
        <f t="shared" ca="1" si="52"/>
        <v>0</v>
      </c>
      <c r="AV23" s="21" t="str">
        <f t="shared" ca="1" si="53"/>
        <v>0:</v>
      </c>
      <c r="AW23" s="21" t="str">
        <f t="shared" ca="1" si="54"/>
        <v>0:</v>
      </c>
      <c r="AX23" s="21" t="str">
        <f t="shared" ca="1" si="55"/>
        <v>0:</v>
      </c>
      <c r="AY23" s="21" t="str">
        <f t="shared" ca="1" si="56"/>
        <v>0:</v>
      </c>
      <c r="AZ23" s="21" t="str">
        <f t="shared" ca="1" si="57"/>
        <v>0:</v>
      </c>
      <c r="BA23" s="21">
        <f t="shared" ca="1" si="58"/>
        <v>0</v>
      </c>
      <c r="BB23" s="21">
        <f t="shared" ca="1" si="59"/>
        <v>0</v>
      </c>
      <c r="BC23" s="21">
        <f t="shared" ca="1" si="60"/>
        <v>0</v>
      </c>
      <c r="BD23" s="21">
        <f t="shared" ca="1" si="61"/>
        <v>0</v>
      </c>
      <c r="BE23" s="21">
        <f t="shared" ca="1" si="62"/>
        <v>0</v>
      </c>
      <c r="BF23" s="21">
        <f t="shared" ca="1" si="9"/>
        <v>0</v>
      </c>
      <c r="BG23" s="21" t="str">
        <f ca="1">IFERROR(VLOOKUP($BF23,Definitions!$V:$W,COLUMNS(Definitions!$V:$W),TRUE),"")</f>
        <v>Basic</v>
      </c>
      <c r="BH23" s="21" t="str">
        <f ca="1">_xlfn.LET(
_xlpm._comments,GetValues($K23,Mitigation!$A:$O,"","",FALSE),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23" s="21" t="str" cm="1">
        <f t="array" aca="1" ref="BI23" ca="1">_xlfn.LET(
_xlpm._rapRange,Definitions!$W:$W,
_xlpm._calculatedRAP,$BG23,
_xlpm._inlineRAP,$BH23,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23" s="21" t="str">
        <f ca="1">IFERROR(IF(OR($V23="",$BI23=""),
Definitions!$AE$4,
VLOOKUP($V23,Definitions!$AH:$AM,MATCH($BI23,Definitions!$AH$3:$AM$3,0),FALSE)),
"")</f>
        <v>No Risk</v>
      </c>
      <c r="BK23" s="21" cm="1">
        <f t="array" aca="1" ref="BK23" ca="1">IF($BJ23="",0,SimpleLookup($BJ23,Definitions!$AE:$AF))</f>
        <v>0</v>
      </c>
      <c r="BL23" s="21" t="str" cm="1">
        <f t="array" aca="1" ref="BL23" ca="1">IFERROR(SimpleLookup($A23,Tracing!$B:$Z),"")</f>
        <v/>
      </c>
      <c r="BM23" s="21" t="str" cm="1">
        <f t="array" aca="1" ref="BM23" ca="1">_xlfn.LET(_xlpm._dm,SanitizeInput(GetValuesWithFallback(SanitizeInput($BL23),Assumptions!$A:$I,Countermeasures!$A:$I,"",",",FALSE)),
IF(_xlpm._dm="","",","&amp;_xlpm._dm))</f>
        <v/>
      </c>
      <c r="BN23" s="21" t="str" cm="1">
        <f t="array" aca="1" ref="BN23" ca="1">ApplyDamageMitigation($M23,$BM23,"")</f>
        <v/>
      </c>
      <c r="BO23" s="21" cm="1">
        <f t="array" aca="1" ref="BO23" ca="1">CalculateMaxFromList($BN23,0,'Damage Scenarios'!$A:$U)</f>
        <v>0</v>
      </c>
      <c r="BP23" s="21" t="str">
        <f ca="1">IF($BO23=0,"",INDEX(Definitions!$Q:$Q,MATCH($BO23,Definitions!$R:$R,0)))</f>
        <v/>
      </c>
      <c r="BQ23" s="21" t="str" cm="1">
        <f t="array" aca="1" ref="BQ23" ca="1">CalculateMaxAndElementsWithFallback(SanitizeInput($BL23),0,"",Countermeasures!$A:Y,Assumptions!$A:Z)</f>
        <v>0:</v>
      </c>
      <c r="BR23" s="21" t="str" cm="1">
        <f t="array" aca="1" ref="BR23" ca="1">CalculateMaxAndElementsWithFallback(SanitizeInput($BL23),0,"",Countermeasures!$A:Z,Assumptions!$A:AA)</f>
        <v>0:</v>
      </c>
      <c r="BS23" s="21" t="str" cm="1">
        <f t="array" aca="1" ref="BS23" ca="1">CalculateMaxAndElementsWithFallback(SanitizeInput($BL23),0,"",Countermeasures!$A:AA,Assumptions!$A:AB)</f>
        <v>0:</v>
      </c>
      <c r="BT23" s="21" t="str" cm="1">
        <f t="array" aca="1" ref="BT23" ca="1">CalculateMaxAndElementsWithFallback(SanitizeInput($BL23),0,"",Countermeasures!$A:AB,Assumptions!$A:AC)</f>
        <v>0:</v>
      </c>
      <c r="BU23" s="21" t="str" cm="1">
        <f t="array" aca="1" ref="BU23" ca="1">CalculateMaxAndElementsWithFallback(SanitizeInput($BL23),0,"",Countermeasures!$A:AC,Assumptions!$A:AD)</f>
        <v>0:</v>
      </c>
      <c r="BV23" s="21">
        <f t="shared" ca="1" si="25"/>
        <v>0</v>
      </c>
      <c r="BW23" s="21">
        <f t="shared" ca="1" si="26"/>
        <v>0</v>
      </c>
      <c r="BX23" s="21">
        <f t="shared" ca="1" si="27"/>
        <v>0</v>
      </c>
      <c r="BY23" s="21">
        <f t="shared" ca="1" si="28"/>
        <v>0</v>
      </c>
      <c r="BZ23" s="21">
        <f t="shared" ca="1" si="29"/>
        <v>0</v>
      </c>
      <c r="CA23" s="21" t="str">
        <f t="shared" ca="1" si="30"/>
        <v>0:</v>
      </c>
      <c r="CB23" s="21" t="str">
        <f t="shared" ca="1" si="31"/>
        <v>0:</v>
      </c>
      <c r="CC23" s="21" t="str">
        <f t="shared" ca="1" si="32"/>
        <v>0:</v>
      </c>
      <c r="CD23" s="21" t="str">
        <f t="shared" ca="1" si="33"/>
        <v>0:</v>
      </c>
      <c r="CE23" s="21" t="str">
        <f t="shared" ca="1" si="34"/>
        <v>0:</v>
      </c>
      <c r="CF23" s="21">
        <f t="shared" ca="1" si="35"/>
        <v>0</v>
      </c>
      <c r="CG23" s="21">
        <f t="shared" ca="1" si="36"/>
        <v>0</v>
      </c>
      <c r="CH23" s="21">
        <f t="shared" ca="1" si="37"/>
        <v>0</v>
      </c>
      <c r="CI23" s="21">
        <f t="shared" ca="1" si="38"/>
        <v>0</v>
      </c>
      <c r="CJ23" s="21">
        <f t="shared" ca="1" si="39"/>
        <v>0</v>
      </c>
      <c r="CK23" s="21">
        <f t="shared" ca="1" si="23"/>
        <v>0</v>
      </c>
      <c r="CL23" s="21" t="str">
        <f ca="1">IFERROR(VLOOKUP($CK23,Definitions!$V:$W,COLUMNS(Definitions!$V:$W),TRUE),"")</f>
        <v>Basic</v>
      </c>
      <c r="CM23" s="21" t="str">
        <f ca="1">_xlfn.LET(
_xlpm._comments,SimpleLookup($A23,Tracing!$B:$AB),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23" s="21" t="str" cm="1">
        <f t="array" aca="1" ref="CN23" ca="1">_xlfn.LET(
_xlpm._rapRange,Definitions!$W:$W,
_xlpm._calculatedRAP,$CL23,
_xlpm._inlineRAP,$CM23,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23" s="21" t="str">
        <f ca="1">IFERROR(IF(OR($BP23="",$CN23=""),
Definitions!$AE$4,
VLOOKUP($BP23,Definitions!$AH:$AM,MATCH($CN23,Definitions!$AH$3:$AM$3,0),FALSE)),
"")</f>
        <v>No Risk</v>
      </c>
      <c r="CP23" s="21" cm="1">
        <f t="array" aca="1" ref="CP23" ca="1">IF($CO23="",0,SimpleLookup($CO23,Definitions!$AE:$AF))</f>
        <v>0</v>
      </c>
      <c r="CQ23" s="21" t="b">
        <f ca="1">OR(AND($S23,$I23=Helper!$B$7),$I23&gt;Helper!$B$7)</f>
        <v>1</v>
      </c>
      <c r="CR23" s="21" t="str">
        <f t="shared" ca="1" si="24"/>
        <v/>
      </c>
      <c r="CS23" s="21" cm="1">
        <f t="array" aca="1" ref="CS23" ca="1">CreateID($CS$2,$CV:$CV,$CR23&lt;&gt;"")</f>
        <v>0</v>
      </c>
      <c r="CT23" s="21" t="str">
        <f ca="1">IF(IFERROR(MATCH(","&amp;A23&amp;",",'Risk Treatment'!$AT:$AT,0)&gt;0,FALSE),"",$A23)</f>
        <v/>
      </c>
      <c r="CU23" s="21" cm="1">
        <f t="array" aca="1" ref="CU23" ca="1">CreateID($CU$2,$CU:$CU,$CT23&lt;&gt;"")</f>
        <v>0</v>
      </c>
    </row>
    <row r="24" spans="1:99" x14ac:dyDescent="0.25">
      <c r="A24" s="33" t="str" cm="1">
        <f t="array" aca="1" ref="A24" ca="1">IF($B24="","","R"&amp;RemoveDelimiter(SUBSTITUTE(SUBSTITUTE($K24,"AS",""),",","-"),"-"))</f>
        <v/>
      </c>
      <c r="B24" s="33" t="str" cm="1">
        <f t="array" aca="1" ref="B24" ca="1">IF($L24="","",_xlfn.LET(
_xlpm._finalAttackStep,$L24,
_xlpm._prepAttacks,RemoveFirstElement(_xlpm._finalAttackStep&amp;","&amp;$K24),
_xlpm._prepAttackNames,IFERROR(LookupNames(_xlpm._prepAttacks,'Attack Steps'!$A:$B),""),
_xlpm._delimiter,REPT(CHAR(150),55),
$L24&amp;" "&amp;SimpleLookup($L24,'Attack Steps'!$A:$B)&amp;
IF(_xlpm._prepAttackNames="","",CHAR(10)&amp;_xlpm._delimiter&amp;CHAR(10)&amp;_xlpm._prepAttackNames)))</f>
        <v/>
      </c>
      <c r="C24" s="34" t="str" cm="1">
        <f t="array" aca="1" ref="C24" ca="1">IFERROR(LookupNames($M24,'Damage Scenarios'!$A:$V),"")</f>
        <v/>
      </c>
      <c r="D24" s="33" t="str">
        <f ca="1">IFERROR(IF($T24=0,"",INDEX(Definitions!$Q:$Q,MATCH($T24,Definitions!$R:$R,0))),"")</f>
        <v/>
      </c>
      <c r="E24" s="34" t="str" cm="1">
        <f t="array" aca="1" ref="E24" ca="1">IF($A24="","",_xlfn.LET(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_xlpm._factorFunction($A24,$A:W,Definitions!$Y:$Y,Definitions!$AB:$AB,1)&amp;CHAR(10)&amp;
_xlpm._factorFunction($A24,$A:X,Definitions!$Y:$Y,Definitions!$AB:$AB,2)&amp;CHAR(10)&amp;
_xlpm._factorFunction($A24,$A:Y,Definitions!$Y:$Y,Definitions!$AB:$AB,3)&amp;CHAR(10)&amp;
_xlpm._factorFunction($A24,$A:Z,Definitions!$Y:$Y,Definitions!$AB:$AB,4)&amp;CHAR(10)&amp;
_xlpm._factorFunction($A24,$A:AA,Definitions!$Y:$Y,Definitions!$AB:$AB,5)))</f>
        <v/>
      </c>
      <c r="F24" s="33" t="str">
        <f ca="1">IF($A24="","",IFERROR(VLOOKUP($AG24,Definitions!$V:$W,COLUMNS(Definitions!$V:$W),TRUE),""))</f>
        <v/>
      </c>
      <c r="G24" s="33" t="str">
        <f ca="1">IFERROR(IF(OR($D24="",$F24=""),
"",
VLOOKUP($D24,Definitions!$AH:$AM,MATCH($F24,Definitions!$AH$3:$AM$3,0),FALSE)),
"")</f>
        <v/>
      </c>
      <c r="H24" s="23" cm="1">
        <f t="array" aca="1" ref="H24" ca="1">IF(ROW()=ROW($H$2)+1,0,INDEX($H:$H,ROW()-1))+IF($A24="",0,1)</f>
        <v>0</v>
      </c>
      <c r="I24" s="21" cm="1">
        <f t="array" aca="1" ref="I24" ca="1">IF(ROW()=ROW($I$2)+1,
1,
INDEX($I:$I,ROW()-1)+IF(INDEX($S:$S,ROW()-1),1,0))</f>
        <v>1</v>
      </c>
      <c r="J24" s="21">
        <f t="shared" ca="1" si="0"/>
        <v>22</v>
      </c>
      <c r="K24" s="21" t="str">
        <f t="shared" ca="1" si="40"/>
        <v/>
      </c>
      <c r="L24" s="21" t="str" cm="1">
        <f t="array" aca="1" ref="L24" ca="1">IF($P24="","",INDEX('Attack Steps'!$A:$A,$P24))</f>
        <v/>
      </c>
      <c r="M24" s="21" t="str" cm="1">
        <f t="array" aca="1" ref="M24" ca="1">IF($P24="","",INDEX('Attack Steps'!$T:$T,$P24))</f>
        <v/>
      </c>
      <c r="N24" s="21" t="str" cm="1">
        <f t="array" aca="1" ref="N24" ca="1">_xlfn.LET(_xlpm._dm,SanitizeInput(GetValuesWithFallback(SanitizeInput($AK24),Assumptions!$A:$I,Countermeasures!$A:$I,"",",",FALSE)),
IF(_xlpm._dm="","",","&amp;_xlpm._dm))</f>
        <v/>
      </c>
      <c r="O24" s="21" t="str" cm="1">
        <f t="array" aca="1" ref="O24" ca="1">ApplyDamageMitigation($M24,$N24,"")</f>
        <v/>
      </c>
      <c r="P24" s="21" t="str">
        <f ca="1">IFERROR(MATCH($I24,'Attack Steps'!$V:$V,0),"")</f>
        <v/>
      </c>
      <c r="Q24" s="21" t="str" cm="1">
        <f t="array" aca="1" ref="Q24" ca="1">IF($P24="","","§"&amp;INDEX('Attack Steps'!$S:$S,$P24))</f>
        <v/>
      </c>
      <c r="R24" s="21" t="str" cm="1">
        <f t="array" aca="1" ref="R24" ca="1">IF($P24="","",INDEX('Attack Steps'!$W:$W,$P24))</f>
        <v/>
      </c>
      <c r="S24" s="21" t="b">
        <f t="shared" ca="1" si="41"/>
        <v>0</v>
      </c>
      <c r="T24" s="21" cm="1">
        <f t="array" aca="1" ref="T24" ca="1">_xlfn.LAMBDA(_xlpm._in,_xlpm._val,_xlpm._range,
IF(_xlpm._in="",_xlpm._val,_xlfn.LET(
_xlpm._id,LEFT(_xlpm._in,FIND(",",_xlpm._in)-1),
CalculateMaxFromList(RemoveFirstElement(_xlpm._in),MAX(_xlpm._val,VLOOKUP(_xlpm._id,_xlpm._range,COLUMNS(_xlpm._range),FALSE)),_xlpm._range))))($M24,0,'Damage Scenarios'!$A:$U)</f>
        <v>0</v>
      </c>
      <c r="U24" s="21" cm="1">
        <f t="array" aca="1" ref="U24" ca="1">CalculateMaxFromList($O24,0,'Damage Scenarios'!$A:$U)</f>
        <v>0</v>
      </c>
      <c r="V24" s="21" t="str">
        <f ca="1">IF($U24=0,"",INDEX(Definitions!$Q:$Q,MATCH($U24,Definitions!$R:$R,0)))</f>
        <v/>
      </c>
      <c r="W24" s="21" t="str" cm="1">
        <f t="array" aca="1" ref="W24" ca="1">CalculateMaxAndElements($K24,0,"",'Attack Steps'!$A:X)</f>
        <v>0:</v>
      </c>
      <c r="X24" s="21" t="str" cm="1">
        <f t="array" aca="1" ref="X24" ca="1">CalculateMaxAndElements($K24,0,"",'Attack Steps'!$A:Y)</f>
        <v>0:</v>
      </c>
      <c r="Y24" s="21" t="str" cm="1">
        <f t="array" aca="1" ref="Y24" ca="1">CalculateMaxAndElements($K24,0,"",'Attack Steps'!$A:Z)</f>
        <v>0:</v>
      </c>
      <c r="Z24" s="21" t="str" cm="1">
        <f t="array" aca="1" ref="Z24" ca="1">CalculateMaxAndElements($K24,0,"",'Attack Steps'!$A:AA)</f>
        <v>0:</v>
      </c>
      <c r="AA24" s="21" t="str" cm="1">
        <f t="array" aca="1" ref="AA24" ca="1">CalculateMaxAndElements($K24,0,"",'Attack Steps'!$A:AB)</f>
        <v>0:</v>
      </c>
      <c r="AB24" s="21">
        <f t="shared" ca="1" si="42"/>
        <v>0</v>
      </c>
      <c r="AC24" s="21">
        <f t="shared" ca="1" si="43"/>
        <v>0</v>
      </c>
      <c r="AD24" s="21">
        <f t="shared" ca="1" si="44"/>
        <v>0</v>
      </c>
      <c r="AE24" s="21">
        <f t="shared" ca="1" si="45"/>
        <v>0</v>
      </c>
      <c r="AF24" s="21">
        <f t="shared" ca="1" si="46"/>
        <v>0</v>
      </c>
      <c r="AG24" s="21">
        <f t="shared" ca="1" si="3"/>
        <v>0</v>
      </c>
      <c r="AH24" s="21" t="str" cm="1">
        <f t="array" aca="1" ref="AH24" ca="1">IF(ROW()=ROW($AH$2)+1,"",INDEX($AH:$AH,ROW()-1))&amp;IF($A24="","",$A24&amp;",")</f>
        <v/>
      </c>
      <c r="AI24" s="21" t="str">
        <f t="shared" ca="1" si="47"/>
        <v/>
      </c>
      <c r="AJ24" s="21" cm="1">
        <f t="array" aca="1" ref="AJ24" ca="1">IF($G24="",0,SimpleLookup($G24,Definitions!$AE:$AF))</f>
        <v>0</v>
      </c>
      <c r="AK24" s="21" t="str" cm="1">
        <f t="array" aca="1" ref="AK24" ca="1">InverseLookup($A24,Mitigation!$U$2,Mitigation!$J$2,1,Helper!$B$5,",")</f>
        <v/>
      </c>
      <c r="AL24" s="21" t="str" cm="1">
        <f t="array" aca="1" ref="AL24" ca="1">CalculateMaxAndElementsWithFallback(SanitizeInput($AK24),0,"",Countermeasures!$A:Y,Assumptions!$A:Z)</f>
        <v>0:</v>
      </c>
      <c r="AM24" s="21" t="str" cm="1">
        <f t="array" aca="1" ref="AM24" ca="1">CalculateMaxAndElementsWithFallback(SanitizeInput($AK24),0,"",Countermeasures!$A:Z,Assumptions!$A:AA)</f>
        <v>0:</v>
      </c>
      <c r="AN24" s="21" t="str" cm="1">
        <f t="array" aca="1" ref="AN24" ca="1">CalculateMaxAndElementsWithFallback(SanitizeInput($AK24),0,"",Countermeasures!$A:AA,Assumptions!$A:AB)</f>
        <v>0:</v>
      </c>
      <c r="AO24" s="21" t="str" cm="1">
        <f t="array" aca="1" ref="AO24" ca="1">CalculateMaxAndElementsWithFallback(SanitizeInput($AK24),0,"",Countermeasures!$A:AB,Assumptions!$A:AC)</f>
        <v>0:</v>
      </c>
      <c r="AP24" s="21" t="str" cm="1">
        <f t="array" aca="1" ref="AP24" ca="1">CalculateMaxAndElementsWithFallback(SanitizeInput($AK24),0,"",Countermeasures!$A:AC,Assumptions!$A:AD)</f>
        <v>0:</v>
      </c>
      <c r="AQ24" s="21">
        <f t="shared" ca="1" si="48"/>
        <v>0</v>
      </c>
      <c r="AR24" s="21">
        <f t="shared" ca="1" si="49"/>
        <v>0</v>
      </c>
      <c r="AS24" s="21">
        <f t="shared" ca="1" si="50"/>
        <v>0</v>
      </c>
      <c r="AT24" s="21">
        <f t="shared" ca="1" si="51"/>
        <v>0</v>
      </c>
      <c r="AU24" s="21">
        <f t="shared" ca="1" si="52"/>
        <v>0</v>
      </c>
      <c r="AV24" s="21" t="str">
        <f t="shared" ca="1" si="53"/>
        <v>0:</v>
      </c>
      <c r="AW24" s="21" t="str">
        <f t="shared" ca="1" si="54"/>
        <v>0:</v>
      </c>
      <c r="AX24" s="21" t="str">
        <f t="shared" ca="1" si="55"/>
        <v>0:</v>
      </c>
      <c r="AY24" s="21" t="str">
        <f t="shared" ca="1" si="56"/>
        <v>0:</v>
      </c>
      <c r="AZ24" s="21" t="str">
        <f t="shared" ca="1" si="57"/>
        <v>0:</v>
      </c>
      <c r="BA24" s="21">
        <f t="shared" ca="1" si="58"/>
        <v>0</v>
      </c>
      <c r="BB24" s="21">
        <f t="shared" ca="1" si="59"/>
        <v>0</v>
      </c>
      <c r="BC24" s="21">
        <f t="shared" ca="1" si="60"/>
        <v>0</v>
      </c>
      <c r="BD24" s="21">
        <f t="shared" ca="1" si="61"/>
        <v>0</v>
      </c>
      <c r="BE24" s="21">
        <f t="shared" ca="1" si="62"/>
        <v>0</v>
      </c>
      <c r="BF24" s="21">
        <f t="shared" ca="1" si="9"/>
        <v>0</v>
      </c>
      <c r="BG24" s="21" t="str">
        <f ca="1">IFERROR(VLOOKUP($BF24,Definitions!$V:$W,COLUMNS(Definitions!$V:$W),TRUE),"")</f>
        <v>Basic</v>
      </c>
      <c r="BH24" s="21" t="str">
        <f ca="1">_xlfn.LET(
_xlpm._comments,GetValues($K24,Mitigation!$A:$O,"","",FALSE),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24" s="21" t="str" cm="1">
        <f t="array" aca="1" ref="BI24" ca="1">_xlfn.LET(
_xlpm._rapRange,Definitions!$W:$W,
_xlpm._calculatedRAP,$BG24,
_xlpm._inlineRAP,$BH24,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24" s="21" t="str">
        <f ca="1">IFERROR(IF(OR($V24="",$BI24=""),
Definitions!$AE$4,
VLOOKUP($V24,Definitions!$AH:$AM,MATCH($BI24,Definitions!$AH$3:$AM$3,0),FALSE)),
"")</f>
        <v>No Risk</v>
      </c>
      <c r="BK24" s="21" cm="1">
        <f t="array" aca="1" ref="BK24" ca="1">IF($BJ24="",0,SimpleLookup($BJ24,Definitions!$AE:$AF))</f>
        <v>0</v>
      </c>
      <c r="BL24" s="21" t="str" cm="1">
        <f t="array" aca="1" ref="BL24" ca="1">IFERROR(SimpleLookup($A24,Tracing!$B:$Z),"")</f>
        <v/>
      </c>
      <c r="BM24" s="21" t="str" cm="1">
        <f t="array" aca="1" ref="BM24" ca="1">_xlfn.LET(_xlpm._dm,SanitizeInput(GetValuesWithFallback(SanitizeInput($BL24),Assumptions!$A:$I,Countermeasures!$A:$I,"",",",FALSE)),
IF(_xlpm._dm="","",","&amp;_xlpm._dm))</f>
        <v/>
      </c>
      <c r="BN24" s="21" t="str" cm="1">
        <f t="array" aca="1" ref="BN24" ca="1">ApplyDamageMitigation($M24,$BM24,"")</f>
        <v/>
      </c>
      <c r="BO24" s="21" cm="1">
        <f t="array" aca="1" ref="BO24" ca="1">CalculateMaxFromList($BN24,0,'Damage Scenarios'!$A:$U)</f>
        <v>0</v>
      </c>
      <c r="BP24" s="21" t="str">
        <f ca="1">IF($BO24=0,"",INDEX(Definitions!$Q:$Q,MATCH($BO24,Definitions!$R:$R,0)))</f>
        <v/>
      </c>
      <c r="BQ24" s="21" t="str" cm="1">
        <f t="array" aca="1" ref="BQ24" ca="1">CalculateMaxAndElementsWithFallback(SanitizeInput($BL24),0,"",Countermeasures!$A:Y,Assumptions!$A:Z)</f>
        <v>0:</v>
      </c>
      <c r="BR24" s="21" t="str" cm="1">
        <f t="array" aca="1" ref="BR24" ca="1">CalculateMaxAndElementsWithFallback(SanitizeInput($BL24),0,"",Countermeasures!$A:Z,Assumptions!$A:AA)</f>
        <v>0:</v>
      </c>
      <c r="BS24" s="21" t="str" cm="1">
        <f t="array" aca="1" ref="BS24" ca="1">CalculateMaxAndElementsWithFallback(SanitizeInput($BL24),0,"",Countermeasures!$A:AA,Assumptions!$A:AB)</f>
        <v>0:</v>
      </c>
      <c r="BT24" s="21" t="str" cm="1">
        <f t="array" aca="1" ref="BT24" ca="1">CalculateMaxAndElementsWithFallback(SanitizeInput($BL24),0,"",Countermeasures!$A:AB,Assumptions!$A:AC)</f>
        <v>0:</v>
      </c>
      <c r="BU24" s="21" t="str" cm="1">
        <f t="array" aca="1" ref="BU24" ca="1">CalculateMaxAndElementsWithFallback(SanitizeInput($BL24),0,"",Countermeasures!$A:AC,Assumptions!$A:AD)</f>
        <v>0:</v>
      </c>
      <c r="BV24" s="21">
        <f t="shared" ca="1" si="25"/>
        <v>0</v>
      </c>
      <c r="BW24" s="21">
        <f t="shared" ca="1" si="26"/>
        <v>0</v>
      </c>
      <c r="BX24" s="21">
        <f t="shared" ca="1" si="27"/>
        <v>0</v>
      </c>
      <c r="BY24" s="21">
        <f t="shared" ca="1" si="28"/>
        <v>0</v>
      </c>
      <c r="BZ24" s="21">
        <f t="shared" ca="1" si="29"/>
        <v>0</v>
      </c>
      <c r="CA24" s="21" t="str">
        <f t="shared" ca="1" si="30"/>
        <v>0:</v>
      </c>
      <c r="CB24" s="21" t="str">
        <f t="shared" ca="1" si="31"/>
        <v>0:</v>
      </c>
      <c r="CC24" s="21" t="str">
        <f t="shared" ca="1" si="32"/>
        <v>0:</v>
      </c>
      <c r="CD24" s="21" t="str">
        <f t="shared" ca="1" si="33"/>
        <v>0:</v>
      </c>
      <c r="CE24" s="21" t="str">
        <f t="shared" ca="1" si="34"/>
        <v>0:</v>
      </c>
      <c r="CF24" s="21">
        <f t="shared" ca="1" si="35"/>
        <v>0</v>
      </c>
      <c r="CG24" s="21">
        <f t="shared" ca="1" si="36"/>
        <v>0</v>
      </c>
      <c r="CH24" s="21">
        <f t="shared" ca="1" si="37"/>
        <v>0</v>
      </c>
      <c r="CI24" s="21">
        <f t="shared" ca="1" si="38"/>
        <v>0</v>
      </c>
      <c r="CJ24" s="21">
        <f t="shared" ca="1" si="39"/>
        <v>0</v>
      </c>
      <c r="CK24" s="21">
        <f t="shared" ca="1" si="23"/>
        <v>0</v>
      </c>
      <c r="CL24" s="21" t="str">
        <f ca="1">IFERROR(VLOOKUP($CK24,Definitions!$V:$W,COLUMNS(Definitions!$V:$W),TRUE),"")</f>
        <v>Basic</v>
      </c>
      <c r="CM24" s="21" t="str">
        <f ca="1">_xlfn.LET(
_xlpm._comments,SimpleLookup($A24,Tracing!$B:$AB),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24" s="21" t="str" cm="1">
        <f t="array" aca="1" ref="CN24" ca="1">_xlfn.LET(
_xlpm._rapRange,Definitions!$W:$W,
_xlpm._calculatedRAP,$CL24,
_xlpm._inlineRAP,$CM24,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24" s="21" t="str">
        <f ca="1">IFERROR(IF(OR($BP24="",$CN24=""),
Definitions!$AE$4,
VLOOKUP($BP24,Definitions!$AH:$AM,MATCH($CN24,Definitions!$AH$3:$AM$3,0),FALSE)),
"")</f>
        <v>No Risk</v>
      </c>
      <c r="CP24" s="21" cm="1">
        <f t="array" aca="1" ref="CP24" ca="1">IF($CO24="",0,SimpleLookup($CO24,Definitions!$AE:$AF))</f>
        <v>0</v>
      </c>
      <c r="CQ24" s="21" t="b">
        <f ca="1">OR(AND($S24,$I24=Helper!$B$7),$I24&gt;Helper!$B$7)</f>
        <v>1</v>
      </c>
      <c r="CR24" s="21" t="str">
        <f t="shared" ca="1" si="24"/>
        <v/>
      </c>
      <c r="CS24" s="21" cm="1">
        <f t="array" aca="1" ref="CS24" ca="1">CreateID($CS$2,$CV:$CV,$CR24&lt;&gt;"")</f>
        <v>0</v>
      </c>
      <c r="CT24" s="21" t="str">
        <f ca="1">IF(IFERROR(MATCH(","&amp;A24&amp;",",'Risk Treatment'!$AT:$AT,0)&gt;0,FALSE),"",$A24)</f>
        <v/>
      </c>
      <c r="CU24" s="21" cm="1">
        <f t="array" aca="1" ref="CU24" ca="1">CreateID($CU$2,$CU:$CU,$CT24&lt;&gt;"")</f>
        <v>0</v>
      </c>
    </row>
    <row r="25" spans="1:99" x14ac:dyDescent="0.25">
      <c r="A25" s="33" t="str" cm="1">
        <f t="array" aca="1" ref="A25" ca="1">IF($B25="","","R"&amp;RemoveDelimiter(SUBSTITUTE(SUBSTITUTE($K25,"AS",""),",","-"),"-"))</f>
        <v/>
      </c>
      <c r="B25" s="33" t="str" cm="1">
        <f t="array" aca="1" ref="B25" ca="1">IF($L25="","",_xlfn.LET(
_xlpm._finalAttackStep,$L25,
_xlpm._prepAttacks,RemoveFirstElement(_xlpm._finalAttackStep&amp;","&amp;$K25),
_xlpm._prepAttackNames,IFERROR(LookupNames(_xlpm._prepAttacks,'Attack Steps'!$A:$B),""),
_xlpm._delimiter,REPT(CHAR(150),55),
$L25&amp;" "&amp;SimpleLookup($L25,'Attack Steps'!$A:$B)&amp;
IF(_xlpm._prepAttackNames="","",CHAR(10)&amp;_xlpm._delimiter&amp;CHAR(10)&amp;_xlpm._prepAttackNames)))</f>
        <v/>
      </c>
      <c r="C25" s="34" t="str" cm="1">
        <f t="array" aca="1" ref="C25" ca="1">IFERROR(LookupNames($M25,'Damage Scenarios'!$A:$V),"")</f>
        <v/>
      </c>
      <c r="D25" s="33" t="str">
        <f ca="1">IFERROR(IF($T25=0,"",INDEX(Definitions!$Q:$Q,MATCH($T25,Definitions!$R:$R,0))),"")</f>
        <v/>
      </c>
      <c r="E25" s="34" t="str" cm="1">
        <f t="array" aca="1" ref="E25" ca="1">IF($A25="","",_xlfn.LET(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_xlpm._factorFunction($A25,$A:W,Definitions!$Y:$Y,Definitions!$AB:$AB,1)&amp;CHAR(10)&amp;
_xlpm._factorFunction($A25,$A:X,Definitions!$Y:$Y,Definitions!$AB:$AB,2)&amp;CHAR(10)&amp;
_xlpm._factorFunction($A25,$A:Y,Definitions!$Y:$Y,Definitions!$AB:$AB,3)&amp;CHAR(10)&amp;
_xlpm._factorFunction($A25,$A:Z,Definitions!$Y:$Y,Definitions!$AB:$AB,4)&amp;CHAR(10)&amp;
_xlpm._factorFunction($A25,$A:AA,Definitions!$Y:$Y,Definitions!$AB:$AB,5)))</f>
        <v/>
      </c>
      <c r="F25" s="33" t="str">
        <f ca="1">IF($A25="","",IFERROR(VLOOKUP($AG25,Definitions!$V:$W,COLUMNS(Definitions!$V:$W),TRUE),""))</f>
        <v/>
      </c>
      <c r="G25" s="33" t="str">
        <f ca="1">IFERROR(IF(OR($D25="",$F25=""),
"",
VLOOKUP($D25,Definitions!$AH:$AM,MATCH($F25,Definitions!$AH$3:$AM$3,0),FALSE)),
"")</f>
        <v/>
      </c>
      <c r="H25" s="23" cm="1">
        <f t="array" aca="1" ref="H25" ca="1">IF(ROW()=ROW($H$2)+1,0,INDEX($H:$H,ROW()-1))+IF($A25="",0,1)</f>
        <v>0</v>
      </c>
      <c r="I25" s="21" cm="1">
        <f t="array" aca="1" ref="I25" ca="1">IF(ROW()=ROW($I$2)+1,
1,
INDEX($I:$I,ROW()-1)+IF(INDEX($S:$S,ROW()-1),1,0))</f>
        <v>1</v>
      </c>
      <c r="J25" s="21">
        <f t="shared" ca="1" si="0"/>
        <v>23</v>
      </c>
      <c r="K25" s="21" t="str">
        <f t="shared" ca="1" si="40"/>
        <v/>
      </c>
      <c r="L25" s="21" t="str" cm="1">
        <f t="array" aca="1" ref="L25" ca="1">IF($P25="","",INDEX('Attack Steps'!$A:$A,$P25))</f>
        <v/>
      </c>
      <c r="M25" s="21" t="str" cm="1">
        <f t="array" aca="1" ref="M25" ca="1">IF($P25="","",INDEX('Attack Steps'!$T:$T,$P25))</f>
        <v/>
      </c>
      <c r="N25" s="21" t="str" cm="1">
        <f t="array" aca="1" ref="N25" ca="1">_xlfn.LET(_xlpm._dm,SanitizeInput(GetValuesWithFallback(SanitizeInput($AK25),Assumptions!$A:$I,Countermeasures!$A:$I,"",",",FALSE)),
IF(_xlpm._dm="","",","&amp;_xlpm._dm))</f>
        <v/>
      </c>
      <c r="O25" s="21" t="str" cm="1">
        <f t="array" aca="1" ref="O25" ca="1">ApplyDamageMitigation($M25,$N25,"")</f>
        <v/>
      </c>
      <c r="P25" s="21" t="str">
        <f ca="1">IFERROR(MATCH($I25,'Attack Steps'!$V:$V,0),"")</f>
        <v/>
      </c>
      <c r="Q25" s="21" t="str" cm="1">
        <f t="array" aca="1" ref="Q25" ca="1">IF($P25="","","§"&amp;INDEX('Attack Steps'!$S:$S,$P25))</f>
        <v/>
      </c>
      <c r="R25" s="21" t="str" cm="1">
        <f t="array" aca="1" ref="R25" ca="1">IF($P25="","",INDEX('Attack Steps'!$W:$W,$P25))</f>
        <v/>
      </c>
      <c r="S25" s="21" t="b">
        <f t="shared" ca="1" si="41"/>
        <v>0</v>
      </c>
      <c r="T25" s="21" cm="1">
        <f t="array" aca="1" ref="T25" ca="1">_xlfn.LAMBDA(_xlpm._in,_xlpm._val,_xlpm._range,
IF(_xlpm._in="",_xlpm._val,_xlfn.LET(
_xlpm._id,LEFT(_xlpm._in,FIND(",",_xlpm._in)-1),
CalculateMaxFromList(RemoveFirstElement(_xlpm._in),MAX(_xlpm._val,VLOOKUP(_xlpm._id,_xlpm._range,COLUMNS(_xlpm._range),FALSE)),_xlpm._range))))($M25,0,'Damage Scenarios'!$A:$U)</f>
        <v>0</v>
      </c>
      <c r="U25" s="21" cm="1">
        <f t="array" aca="1" ref="U25" ca="1">CalculateMaxFromList($O25,0,'Damage Scenarios'!$A:$U)</f>
        <v>0</v>
      </c>
      <c r="V25" s="21" t="str">
        <f ca="1">IF($U25=0,"",INDEX(Definitions!$Q:$Q,MATCH($U25,Definitions!$R:$R,0)))</f>
        <v/>
      </c>
      <c r="W25" s="21" t="str" cm="1">
        <f t="array" aca="1" ref="W25" ca="1">CalculateMaxAndElements($K25,0,"",'Attack Steps'!$A:X)</f>
        <v>0:</v>
      </c>
      <c r="X25" s="21" t="str" cm="1">
        <f t="array" aca="1" ref="X25" ca="1">CalculateMaxAndElements($K25,0,"",'Attack Steps'!$A:Y)</f>
        <v>0:</v>
      </c>
      <c r="Y25" s="21" t="str" cm="1">
        <f t="array" aca="1" ref="Y25" ca="1">CalculateMaxAndElements($K25,0,"",'Attack Steps'!$A:Z)</f>
        <v>0:</v>
      </c>
      <c r="Z25" s="21" t="str" cm="1">
        <f t="array" aca="1" ref="Z25" ca="1">CalculateMaxAndElements($K25,0,"",'Attack Steps'!$A:AA)</f>
        <v>0:</v>
      </c>
      <c r="AA25" s="21" t="str" cm="1">
        <f t="array" aca="1" ref="AA25" ca="1">CalculateMaxAndElements($K25,0,"",'Attack Steps'!$A:AB)</f>
        <v>0:</v>
      </c>
      <c r="AB25" s="21">
        <f t="shared" ca="1" si="42"/>
        <v>0</v>
      </c>
      <c r="AC25" s="21">
        <f t="shared" ca="1" si="43"/>
        <v>0</v>
      </c>
      <c r="AD25" s="21">
        <f t="shared" ca="1" si="44"/>
        <v>0</v>
      </c>
      <c r="AE25" s="21">
        <f t="shared" ca="1" si="45"/>
        <v>0</v>
      </c>
      <c r="AF25" s="21">
        <f t="shared" ca="1" si="46"/>
        <v>0</v>
      </c>
      <c r="AG25" s="21">
        <f t="shared" ca="1" si="3"/>
        <v>0</v>
      </c>
      <c r="AH25" s="21" t="str" cm="1">
        <f t="array" aca="1" ref="AH25" ca="1">IF(ROW()=ROW($AH$2)+1,"",INDEX($AH:$AH,ROW()-1))&amp;IF($A25="","",$A25&amp;",")</f>
        <v/>
      </c>
      <c r="AI25" s="21" t="str">
        <f t="shared" ca="1" si="47"/>
        <v/>
      </c>
      <c r="AJ25" s="21" cm="1">
        <f t="array" aca="1" ref="AJ25" ca="1">IF($G25="",0,SimpleLookup($G25,Definitions!$AE:$AF))</f>
        <v>0</v>
      </c>
      <c r="AK25" s="21" t="str" cm="1">
        <f t="array" aca="1" ref="AK25" ca="1">InverseLookup($A25,Mitigation!$U$2,Mitigation!$J$2,1,Helper!$B$5,",")</f>
        <v/>
      </c>
      <c r="AL25" s="21" t="str" cm="1">
        <f t="array" aca="1" ref="AL25" ca="1">CalculateMaxAndElementsWithFallback(SanitizeInput($AK25),0,"",Countermeasures!$A:Y,Assumptions!$A:Z)</f>
        <v>0:</v>
      </c>
      <c r="AM25" s="21" t="str" cm="1">
        <f t="array" aca="1" ref="AM25" ca="1">CalculateMaxAndElementsWithFallback(SanitizeInput($AK25),0,"",Countermeasures!$A:Z,Assumptions!$A:AA)</f>
        <v>0:</v>
      </c>
      <c r="AN25" s="21" t="str" cm="1">
        <f t="array" aca="1" ref="AN25" ca="1">CalculateMaxAndElementsWithFallback(SanitizeInput($AK25),0,"",Countermeasures!$A:AA,Assumptions!$A:AB)</f>
        <v>0:</v>
      </c>
      <c r="AO25" s="21" t="str" cm="1">
        <f t="array" aca="1" ref="AO25" ca="1">CalculateMaxAndElementsWithFallback(SanitizeInput($AK25),0,"",Countermeasures!$A:AB,Assumptions!$A:AC)</f>
        <v>0:</v>
      </c>
      <c r="AP25" s="21" t="str" cm="1">
        <f t="array" aca="1" ref="AP25" ca="1">CalculateMaxAndElementsWithFallback(SanitizeInput($AK25),0,"",Countermeasures!$A:AC,Assumptions!$A:AD)</f>
        <v>0:</v>
      </c>
      <c r="AQ25" s="21">
        <f t="shared" ca="1" si="48"/>
        <v>0</v>
      </c>
      <c r="AR25" s="21">
        <f t="shared" ca="1" si="49"/>
        <v>0</v>
      </c>
      <c r="AS25" s="21">
        <f t="shared" ca="1" si="50"/>
        <v>0</v>
      </c>
      <c r="AT25" s="21">
        <f t="shared" ca="1" si="51"/>
        <v>0</v>
      </c>
      <c r="AU25" s="21">
        <f t="shared" ca="1" si="52"/>
        <v>0</v>
      </c>
      <c r="AV25" s="21" t="str">
        <f t="shared" ca="1" si="53"/>
        <v>0:</v>
      </c>
      <c r="AW25" s="21" t="str">
        <f t="shared" ca="1" si="54"/>
        <v>0:</v>
      </c>
      <c r="AX25" s="21" t="str">
        <f t="shared" ca="1" si="55"/>
        <v>0:</v>
      </c>
      <c r="AY25" s="21" t="str">
        <f t="shared" ca="1" si="56"/>
        <v>0:</v>
      </c>
      <c r="AZ25" s="21" t="str">
        <f t="shared" ca="1" si="57"/>
        <v>0:</v>
      </c>
      <c r="BA25" s="21">
        <f t="shared" ca="1" si="58"/>
        <v>0</v>
      </c>
      <c r="BB25" s="21">
        <f t="shared" ca="1" si="59"/>
        <v>0</v>
      </c>
      <c r="BC25" s="21">
        <f t="shared" ca="1" si="60"/>
        <v>0</v>
      </c>
      <c r="BD25" s="21">
        <f t="shared" ca="1" si="61"/>
        <v>0</v>
      </c>
      <c r="BE25" s="21">
        <f t="shared" ca="1" si="62"/>
        <v>0</v>
      </c>
      <c r="BF25" s="21">
        <f t="shared" ca="1" si="9"/>
        <v>0</v>
      </c>
      <c r="BG25" s="21" t="str">
        <f ca="1">IFERROR(VLOOKUP($BF25,Definitions!$V:$W,COLUMNS(Definitions!$V:$W),TRUE),"")</f>
        <v>Basic</v>
      </c>
      <c r="BH25" s="21" t="str">
        <f ca="1">_xlfn.LET(
_xlpm._comments,GetValues($K25,Mitigation!$A:$O,"","",FALSE),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25" s="21" t="str" cm="1">
        <f t="array" aca="1" ref="BI25" ca="1">_xlfn.LET(
_xlpm._rapRange,Definitions!$W:$W,
_xlpm._calculatedRAP,$BG25,
_xlpm._inlineRAP,$BH25,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25" s="21" t="str">
        <f ca="1">IFERROR(IF(OR($V25="",$BI25=""),
Definitions!$AE$4,
VLOOKUP($V25,Definitions!$AH:$AM,MATCH($BI25,Definitions!$AH$3:$AM$3,0),FALSE)),
"")</f>
        <v>No Risk</v>
      </c>
      <c r="BK25" s="21" cm="1">
        <f t="array" aca="1" ref="BK25" ca="1">IF($BJ25="",0,SimpleLookup($BJ25,Definitions!$AE:$AF))</f>
        <v>0</v>
      </c>
      <c r="BL25" s="21" t="str" cm="1">
        <f t="array" aca="1" ref="BL25" ca="1">IFERROR(SimpleLookup($A25,Tracing!$B:$Z),"")</f>
        <v/>
      </c>
      <c r="BM25" s="21" t="str" cm="1">
        <f t="array" aca="1" ref="BM25" ca="1">_xlfn.LET(_xlpm._dm,SanitizeInput(GetValuesWithFallback(SanitizeInput($BL25),Assumptions!$A:$I,Countermeasures!$A:$I,"",",",FALSE)),
IF(_xlpm._dm="","",","&amp;_xlpm._dm))</f>
        <v/>
      </c>
      <c r="BN25" s="21" t="str" cm="1">
        <f t="array" aca="1" ref="BN25" ca="1">ApplyDamageMitigation($M25,$BM25,"")</f>
        <v/>
      </c>
      <c r="BO25" s="21" cm="1">
        <f t="array" aca="1" ref="BO25" ca="1">CalculateMaxFromList($BN25,0,'Damage Scenarios'!$A:$U)</f>
        <v>0</v>
      </c>
      <c r="BP25" s="21" t="str">
        <f ca="1">IF($BO25=0,"",INDEX(Definitions!$Q:$Q,MATCH($BO25,Definitions!$R:$R,0)))</f>
        <v/>
      </c>
      <c r="BQ25" s="21" t="str" cm="1">
        <f t="array" aca="1" ref="BQ25" ca="1">CalculateMaxAndElementsWithFallback(SanitizeInput($BL25),0,"",Countermeasures!$A:Y,Assumptions!$A:Z)</f>
        <v>0:</v>
      </c>
      <c r="BR25" s="21" t="str" cm="1">
        <f t="array" aca="1" ref="BR25" ca="1">CalculateMaxAndElementsWithFallback(SanitizeInput($BL25),0,"",Countermeasures!$A:Z,Assumptions!$A:AA)</f>
        <v>0:</v>
      </c>
      <c r="BS25" s="21" t="str" cm="1">
        <f t="array" aca="1" ref="BS25" ca="1">CalculateMaxAndElementsWithFallback(SanitizeInput($BL25),0,"",Countermeasures!$A:AA,Assumptions!$A:AB)</f>
        <v>0:</v>
      </c>
      <c r="BT25" s="21" t="str" cm="1">
        <f t="array" aca="1" ref="BT25" ca="1">CalculateMaxAndElementsWithFallback(SanitizeInput($BL25),0,"",Countermeasures!$A:AB,Assumptions!$A:AC)</f>
        <v>0:</v>
      </c>
      <c r="BU25" s="21" t="str" cm="1">
        <f t="array" aca="1" ref="BU25" ca="1">CalculateMaxAndElementsWithFallback(SanitizeInput($BL25),0,"",Countermeasures!$A:AC,Assumptions!$A:AD)</f>
        <v>0:</v>
      </c>
      <c r="BV25" s="21">
        <f t="shared" ca="1" si="25"/>
        <v>0</v>
      </c>
      <c r="BW25" s="21">
        <f t="shared" ca="1" si="26"/>
        <v>0</v>
      </c>
      <c r="BX25" s="21">
        <f t="shared" ca="1" si="27"/>
        <v>0</v>
      </c>
      <c r="BY25" s="21">
        <f t="shared" ca="1" si="28"/>
        <v>0</v>
      </c>
      <c r="BZ25" s="21">
        <f t="shared" ca="1" si="29"/>
        <v>0</v>
      </c>
      <c r="CA25" s="21" t="str">
        <f t="shared" ca="1" si="30"/>
        <v>0:</v>
      </c>
      <c r="CB25" s="21" t="str">
        <f t="shared" ca="1" si="31"/>
        <v>0:</v>
      </c>
      <c r="CC25" s="21" t="str">
        <f t="shared" ca="1" si="32"/>
        <v>0:</v>
      </c>
      <c r="CD25" s="21" t="str">
        <f t="shared" ca="1" si="33"/>
        <v>0:</v>
      </c>
      <c r="CE25" s="21" t="str">
        <f t="shared" ca="1" si="34"/>
        <v>0:</v>
      </c>
      <c r="CF25" s="21">
        <f t="shared" ca="1" si="35"/>
        <v>0</v>
      </c>
      <c r="CG25" s="21">
        <f t="shared" ca="1" si="36"/>
        <v>0</v>
      </c>
      <c r="CH25" s="21">
        <f t="shared" ca="1" si="37"/>
        <v>0</v>
      </c>
      <c r="CI25" s="21">
        <f t="shared" ca="1" si="38"/>
        <v>0</v>
      </c>
      <c r="CJ25" s="21">
        <f t="shared" ca="1" si="39"/>
        <v>0</v>
      </c>
      <c r="CK25" s="21">
        <f t="shared" ca="1" si="23"/>
        <v>0</v>
      </c>
      <c r="CL25" s="21" t="str">
        <f ca="1">IFERROR(VLOOKUP($CK25,Definitions!$V:$W,COLUMNS(Definitions!$V:$W),TRUE),"")</f>
        <v>Basic</v>
      </c>
      <c r="CM25" s="21" t="str">
        <f ca="1">_xlfn.LET(
_xlpm._comments,SimpleLookup($A25,Tracing!$B:$AB),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25" s="21" t="str" cm="1">
        <f t="array" aca="1" ref="CN25" ca="1">_xlfn.LET(
_xlpm._rapRange,Definitions!$W:$W,
_xlpm._calculatedRAP,$CL25,
_xlpm._inlineRAP,$CM25,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25" s="21" t="str">
        <f ca="1">IFERROR(IF(OR($BP25="",$CN25=""),
Definitions!$AE$4,
VLOOKUP($BP25,Definitions!$AH:$AM,MATCH($CN25,Definitions!$AH$3:$AM$3,0),FALSE)),
"")</f>
        <v>No Risk</v>
      </c>
      <c r="CP25" s="21" cm="1">
        <f t="array" aca="1" ref="CP25" ca="1">IF($CO25="",0,SimpleLookup($CO25,Definitions!$AE:$AF))</f>
        <v>0</v>
      </c>
      <c r="CQ25" s="21" t="b">
        <f ca="1">OR(AND($S25,$I25=Helper!$B$7),$I25&gt;Helper!$B$7)</f>
        <v>1</v>
      </c>
      <c r="CR25" s="21" t="str">
        <f t="shared" ca="1" si="24"/>
        <v/>
      </c>
      <c r="CS25" s="21" cm="1">
        <f t="array" aca="1" ref="CS25" ca="1">CreateID($CS$2,$CV:$CV,$CR25&lt;&gt;"")</f>
        <v>0</v>
      </c>
      <c r="CT25" s="21" t="str">
        <f ca="1">IF(IFERROR(MATCH(","&amp;A25&amp;",",'Risk Treatment'!$AT:$AT,0)&gt;0,FALSE),"",$A25)</f>
        <v/>
      </c>
      <c r="CU25" s="21" cm="1">
        <f t="array" aca="1" ref="CU25" ca="1">CreateID($CU$2,$CU:$CU,$CT25&lt;&gt;"")</f>
        <v>0</v>
      </c>
    </row>
    <row r="26" spans="1:99" x14ac:dyDescent="0.25">
      <c r="A26" s="33" t="str" cm="1">
        <f t="array" aca="1" ref="A26" ca="1">IF($B26="","","R"&amp;RemoveDelimiter(SUBSTITUTE(SUBSTITUTE($K26,"AS",""),",","-"),"-"))</f>
        <v/>
      </c>
      <c r="B26" s="33" t="str" cm="1">
        <f t="array" aca="1" ref="B26" ca="1">IF($L26="","",_xlfn.LET(
_xlpm._finalAttackStep,$L26,
_xlpm._prepAttacks,RemoveFirstElement(_xlpm._finalAttackStep&amp;","&amp;$K26),
_xlpm._prepAttackNames,IFERROR(LookupNames(_xlpm._prepAttacks,'Attack Steps'!$A:$B),""),
_xlpm._delimiter,REPT(CHAR(150),55),
$L26&amp;" "&amp;SimpleLookup($L26,'Attack Steps'!$A:$B)&amp;
IF(_xlpm._prepAttackNames="","",CHAR(10)&amp;_xlpm._delimiter&amp;CHAR(10)&amp;_xlpm._prepAttackNames)))</f>
        <v/>
      </c>
      <c r="C26" s="34" t="str" cm="1">
        <f t="array" aca="1" ref="C26" ca="1">IFERROR(LookupNames($M26,'Damage Scenarios'!$A:$V),"")</f>
        <v/>
      </c>
      <c r="D26" s="33" t="str">
        <f ca="1">IFERROR(IF($T26=0,"",INDEX(Definitions!$Q:$Q,MATCH($T26,Definitions!$R:$R,0))),"")</f>
        <v/>
      </c>
      <c r="E26" s="34" t="str" cm="1">
        <f t="array" aca="1" ref="E26" ca="1">IF($A26="","",_xlfn.LET(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_xlpm._factorFunction($A26,$A:W,Definitions!$Y:$Y,Definitions!$AB:$AB,1)&amp;CHAR(10)&amp;
_xlpm._factorFunction($A26,$A:X,Definitions!$Y:$Y,Definitions!$AB:$AB,2)&amp;CHAR(10)&amp;
_xlpm._factorFunction($A26,$A:Y,Definitions!$Y:$Y,Definitions!$AB:$AB,3)&amp;CHAR(10)&amp;
_xlpm._factorFunction($A26,$A:Z,Definitions!$Y:$Y,Definitions!$AB:$AB,4)&amp;CHAR(10)&amp;
_xlpm._factorFunction($A26,$A:AA,Definitions!$Y:$Y,Definitions!$AB:$AB,5)))</f>
        <v/>
      </c>
      <c r="F26" s="33" t="str">
        <f ca="1">IF($A26="","",IFERROR(VLOOKUP($AG26,Definitions!$V:$W,COLUMNS(Definitions!$V:$W),TRUE),""))</f>
        <v/>
      </c>
      <c r="G26" s="33" t="str">
        <f ca="1">IFERROR(IF(OR($D26="",$F26=""),
"",
VLOOKUP($D26,Definitions!$AH:$AM,MATCH($F26,Definitions!$AH$3:$AM$3,0),FALSE)),
"")</f>
        <v/>
      </c>
      <c r="H26" s="23" cm="1">
        <f t="array" aca="1" ref="H26" ca="1">IF(ROW()=ROW($H$2)+1,0,INDEX($H:$H,ROW()-1))+IF($A26="",0,1)</f>
        <v>0</v>
      </c>
      <c r="I26" s="21" cm="1">
        <f t="array" aca="1" ref="I26" ca="1">IF(ROW()=ROW($I$2)+1,
1,
INDEX($I:$I,ROW()-1)+IF(INDEX($S:$S,ROW()-1),1,0))</f>
        <v>1</v>
      </c>
      <c r="J26" s="21">
        <f t="shared" ca="1" si="0"/>
        <v>24</v>
      </c>
      <c r="K26" s="21" t="str">
        <f t="shared" ca="1" si="40"/>
        <v/>
      </c>
      <c r="L26" s="21" t="str" cm="1">
        <f t="array" aca="1" ref="L26" ca="1">IF($P26="","",INDEX('Attack Steps'!$A:$A,$P26))</f>
        <v/>
      </c>
      <c r="M26" s="21" t="str" cm="1">
        <f t="array" aca="1" ref="M26" ca="1">IF($P26="","",INDEX('Attack Steps'!$T:$T,$P26))</f>
        <v/>
      </c>
      <c r="N26" s="21" t="str" cm="1">
        <f t="array" aca="1" ref="N26" ca="1">_xlfn.LET(_xlpm._dm,SanitizeInput(GetValuesWithFallback(SanitizeInput($AK26),Assumptions!$A:$I,Countermeasures!$A:$I,"",",",FALSE)),
IF(_xlpm._dm="","",","&amp;_xlpm._dm))</f>
        <v/>
      </c>
      <c r="O26" s="21" t="str" cm="1">
        <f t="array" aca="1" ref="O26" ca="1">ApplyDamageMitigation($M26,$N26,"")</f>
        <v/>
      </c>
      <c r="P26" s="21" t="str">
        <f ca="1">IFERROR(MATCH($I26,'Attack Steps'!$V:$V,0),"")</f>
        <v/>
      </c>
      <c r="Q26" s="21" t="str" cm="1">
        <f t="array" aca="1" ref="Q26" ca="1">IF($P26="","","§"&amp;INDEX('Attack Steps'!$S:$S,$P26))</f>
        <v/>
      </c>
      <c r="R26" s="21" t="str" cm="1">
        <f t="array" aca="1" ref="R26" ca="1">IF($P26="","",INDEX('Attack Steps'!$W:$W,$P26))</f>
        <v/>
      </c>
      <c r="S26" s="21" t="b">
        <f t="shared" ca="1" si="41"/>
        <v>0</v>
      </c>
      <c r="T26" s="21" cm="1">
        <f t="array" aca="1" ref="T26" ca="1">_xlfn.LAMBDA(_xlpm._in,_xlpm._val,_xlpm._range,
IF(_xlpm._in="",_xlpm._val,_xlfn.LET(
_xlpm._id,LEFT(_xlpm._in,FIND(",",_xlpm._in)-1),
CalculateMaxFromList(RemoveFirstElement(_xlpm._in),MAX(_xlpm._val,VLOOKUP(_xlpm._id,_xlpm._range,COLUMNS(_xlpm._range),FALSE)),_xlpm._range))))($M26,0,'Damage Scenarios'!$A:$U)</f>
        <v>0</v>
      </c>
      <c r="U26" s="21" cm="1">
        <f t="array" aca="1" ref="U26" ca="1">CalculateMaxFromList($O26,0,'Damage Scenarios'!$A:$U)</f>
        <v>0</v>
      </c>
      <c r="V26" s="21" t="str">
        <f ca="1">IF($U26=0,"",INDEX(Definitions!$Q:$Q,MATCH($U26,Definitions!$R:$R,0)))</f>
        <v/>
      </c>
      <c r="W26" s="21" t="str" cm="1">
        <f t="array" aca="1" ref="W26" ca="1">CalculateMaxAndElements($K26,0,"",'Attack Steps'!$A:X)</f>
        <v>0:</v>
      </c>
      <c r="X26" s="21" t="str" cm="1">
        <f t="array" aca="1" ref="X26" ca="1">CalculateMaxAndElements($K26,0,"",'Attack Steps'!$A:Y)</f>
        <v>0:</v>
      </c>
      <c r="Y26" s="21" t="str" cm="1">
        <f t="array" aca="1" ref="Y26" ca="1">CalculateMaxAndElements($K26,0,"",'Attack Steps'!$A:Z)</f>
        <v>0:</v>
      </c>
      <c r="Z26" s="21" t="str" cm="1">
        <f t="array" aca="1" ref="Z26" ca="1">CalculateMaxAndElements($K26,0,"",'Attack Steps'!$A:AA)</f>
        <v>0:</v>
      </c>
      <c r="AA26" s="21" t="str" cm="1">
        <f t="array" aca="1" ref="AA26" ca="1">CalculateMaxAndElements($K26,0,"",'Attack Steps'!$A:AB)</f>
        <v>0:</v>
      </c>
      <c r="AB26" s="21">
        <f t="shared" ca="1" si="42"/>
        <v>0</v>
      </c>
      <c r="AC26" s="21">
        <f t="shared" ca="1" si="43"/>
        <v>0</v>
      </c>
      <c r="AD26" s="21">
        <f t="shared" ca="1" si="44"/>
        <v>0</v>
      </c>
      <c r="AE26" s="21">
        <f t="shared" ca="1" si="45"/>
        <v>0</v>
      </c>
      <c r="AF26" s="21">
        <f t="shared" ca="1" si="46"/>
        <v>0</v>
      </c>
      <c r="AG26" s="21">
        <f t="shared" ca="1" si="3"/>
        <v>0</v>
      </c>
      <c r="AH26" s="21" t="str" cm="1">
        <f t="array" aca="1" ref="AH26" ca="1">IF(ROW()=ROW($AH$2)+1,"",INDEX($AH:$AH,ROW()-1))&amp;IF($A26="","",$A26&amp;",")</f>
        <v/>
      </c>
      <c r="AI26" s="21" t="str">
        <f t="shared" ca="1" si="47"/>
        <v/>
      </c>
      <c r="AJ26" s="21" cm="1">
        <f t="array" aca="1" ref="AJ26" ca="1">IF($G26="",0,SimpleLookup($G26,Definitions!$AE:$AF))</f>
        <v>0</v>
      </c>
      <c r="AK26" s="21" t="str" cm="1">
        <f t="array" aca="1" ref="AK26" ca="1">InverseLookup($A26,Mitigation!$U$2,Mitigation!$J$2,1,Helper!$B$5,",")</f>
        <v/>
      </c>
      <c r="AL26" s="21" t="str" cm="1">
        <f t="array" aca="1" ref="AL26" ca="1">CalculateMaxAndElementsWithFallback(SanitizeInput($AK26),0,"",Countermeasures!$A:Y,Assumptions!$A:Z)</f>
        <v>0:</v>
      </c>
      <c r="AM26" s="21" t="str" cm="1">
        <f t="array" aca="1" ref="AM26" ca="1">CalculateMaxAndElementsWithFallback(SanitizeInput($AK26),0,"",Countermeasures!$A:Z,Assumptions!$A:AA)</f>
        <v>0:</v>
      </c>
      <c r="AN26" s="21" t="str" cm="1">
        <f t="array" aca="1" ref="AN26" ca="1">CalculateMaxAndElementsWithFallback(SanitizeInput($AK26),0,"",Countermeasures!$A:AA,Assumptions!$A:AB)</f>
        <v>0:</v>
      </c>
      <c r="AO26" s="21" t="str" cm="1">
        <f t="array" aca="1" ref="AO26" ca="1">CalculateMaxAndElementsWithFallback(SanitizeInput($AK26),0,"",Countermeasures!$A:AB,Assumptions!$A:AC)</f>
        <v>0:</v>
      </c>
      <c r="AP26" s="21" t="str" cm="1">
        <f t="array" aca="1" ref="AP26" ca="1">CalculateMaxAndElementsWithFallback(SanitizeInput($AK26),0,"",Countermeasures!$A:AC,Assumptions!$A:AD)</f>
        <v>0:</v>
      </c>
      <c r="AQ26" s="21">
        <f t="shared" ca="1" si="48"/>
        <v>0</v>
      </c>
      <c r="AR26" s="21">
        <f t="shared" ca="1" si="49"/>
        <v>0</v>
      </c>
      <c r="AS26" s="21">
        <f t="shared" ca="1" si="50"/>
        <v>0</v>
      </c>
      <c r="AT26" s="21">
        <f t="shared" ca="1" si="51"/>
        <v>0</v>
      </c>
      <c r="AU26" s="21">
        <f t="shared" ca="1" si="52"/>
        <v>0</v>
      </c>
      <c r="AV26" s="21" t="str">
        <f t="shared" ca="1" si="53"/>
        <v>0:</v>
      </c>
      <c r="AW26" s="21" t="str">
        <f t="shared" ca="1" si="54"/>
        <v>0:</v>
      </c>
      <c r="AX26" s="21" t="str">
        <f t="shared" ca="1" si="55"/>
        <v>0:</v>
      </c>
      <c r="AY26" s="21" t="str">
        <f t="shared" ca="1" si="56"/>
        <v>0:</v>
      </c>
      <c r="AZ26" s="21" t="str">
        <f t="shared" ca="1" si="57"/>
        <v>0:</v>
      </c>
      <c r="BA26" s="21">
        <f t="shared" ca="1" si="58"/>
        <v>0</v>
      </c>
      <c r="BB26" s="21">
        <f t="shared" ca="1" si="59"/>
        <v>0</v>
      </c>
      <c r="BC26" s="21">
        <f t="shared" ca="1" si="60"/>
        <v>0</v>
      </c>
      <c r="BD26" s="21">
        <f t="shared" ca="1" si="61"/>
        <v>0</v>
      </c>
      <c r="BE26" s="21">
        <f t="shared" ca="1" si="62"/>
        <v>0</v>
      </c>
      <c r="BF26" s="21">
        <f t="shared" ca="1" si="9"/>
        <v>0</v>
      </c>
      <c r="BG26" s="21" t="str">
        <f ca="1">IFERROR(VLOOKUP($BF26,Definitions!$V:$W,COLUMNS(Definitions!$V:$W),TRUE),"")</f>
        <v>Basic</v>
      </c>
      <c r="BH26" s="21" t="str">
        <f ca="1">_xlfn.LET(
_xlpm._comments,GetValues($K26,Mitigation!$A:$O,"","",FALSE),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26" s="21" t="str" cm="1">
        <f t="array" aca="1" ref="BI26" ca="1">_xlfn.LET(
_xlpm._rapRange,Definitions!$W:$W,
_xlpm._calculatedRAP,$BG26,
_xlpm._inlineRAP,$BH26,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26" s="21" t="str">
        <f ca="1">IFERROR(IF(OR($V26="",$BI26=""),
Definitions!$AE$4,
VLOOKUP($V26,Definitions!$AH:$AM,MATCH($BI26,Definitions!$AH$3:$AM$3,0),FALSE)),
"")</f>
        <v>No Risk</v>
      </c>
      <c r="BK26" s="21" cm="1">
        <f t="array" aca="1" ref="BK26" ca="1">IF($BJ26="",0,SimpleLookup($BJ26,Definitions!$AE:$AF))</f>
        <v>0</v>
      </c>
      <c r="BL26" s="21" t="str" cm="1">
        <f t="array" aca="1" ref="BL26" ca="1">IFERROR(SimpleLookup($A26,Tracing!$B:$Z),"")</f>
        <v/>
      </c>
      <c r="BM26" s="21" t="str" cm="1">
        <f t="array" aca="1" ref="BM26" ca="1">_xlfn.LET(_xlpm._dm,SanitizeInput(GetValuesWithFallback(SanitizeInput($BL26),Assumptions!$A:$I,Countermeasures!$A:$I,"",",",FALSE)),
IF(_xlpm._dm="","",","&amp;_xlpm._dm))</f>
        <v/>
      </c>
      <c r="BN26" s="21" t="str" cm="1">
        <f t="array" aca="1" ref="BN26" ca="1">ApplyDamageMitigation($M26,$BM26,"")</f>
        <v/>
      </c>
      <c r="BO26" s="21" cm="1">
        <f t="array" aca="1" ref="BO26" ca="1">CalculateMaxFromList($BN26,0,'Damage Scenarios'!$A:$U)</f>
        <v>0</v>
      </c>
      <c r="BP26" s="21" t="str">
        <f ca="1">IF($BO26=0,"",INDEX(Definitions!$Q:$Q,MATCH($BO26,Definitions!$R:$R,0)))</f>
        <v/>
      </c>
      <c r="BQ26" s="21" t="str" cm="1">
        <f t="array" aca="1" ref="BQ26" ca="1">CalculateMaxAndElementsWithFallback(SanitizeInput($BL26),0,"",Countermeasures!$A:Y,Assumptions!$A:Z)</f>
        <v>0:</v>
      </c>
      <c r="BR26" s="21" t="str" cm="1">
        <f t="array" aca="1" ref="BR26" ca="1">CalculateMaxAndElementsWithFallback(SanitizeInput($BL26),0,"",Countermeasures!$A:Z,Assumptions!$A:AA)</f>
        <v>0:</v>
      </c>
      <c r="BS26" s="21" t="str" cm="1">
        <f t="array" aca="1" ref="BS26" ca="1">CalculateMaxAndElementsWithFallback(SanitizeInput($BL26),0,"",Countermeasures!$A:AA,Assumptions!$A:AB)</f>
        <v>0:</v>
      </c>
      <c r="BT26" s="21" t="str" cm="1">
        <f t="array" aca="1" ref="BT26" ca="1">CalculateMaxAndElementsWithFallback(SanitizeInput($BL26),0,"",Countermeasures!$A:AB,Assumptions!$A:AC)</f>
        <v>0:</v>
      </c>
      <c r="BU26" s="21" t="str" cm="1">
        <f t="array" aca="1" ref="BU26" ca="1">CalculateMaxAndElementsWithFallback(SanitizeInput($BL26),0,"",Countermeasures!$A:AC,Assumptions!$A:AD)</f>
        <v>0:</v>
      </c>
      <c r="BV26" s="21">
        <f t="shared" ca="1" si="25"/>
        <v>0</v>
      </c>
      <c r="BW26" s="21">
        <f t="shared" ca="1" si="26"/>
        <v>0</v>
      </c>
      <c r="BX26" s="21">
        <f t="shared" ca="1" si="27"/>
        <v>0</v>
      </c>
      <c r="BY26" s="21">
        <f t="shared" ca="1" si="28"/>
        <v>0</v>
      </c>
      <c r="BZ26" s="21">
        <f t="shared" ca="1" si="29"/>
        <v>0</v>
      </c>
      <c r="CA26" s="21" t="str">
        <f t="shared" ca="1" si="30"/>
        <v>0:</v>
      </c>
      <c r="CB26" s="21" t="str">
        <f t="shared" ca="1" si="31"/>
        <v>0:</v>
      </c>
      <c r="CC26" s="21" t="str">
        <f t="shared" ca="1" si="32"/>
        <v>0:</v>
      </c>
      <c r="CD26" s="21" t="str">
        <f t="shared" ca="1" si="33"/>
        <v>0:</v>
      </c>
      <c r="CE26" s="21" t="str">
        <f t="shared" ca="1" si="34"/>
        <v>0:</v>
      </c>
      <c r="CF26" s="21">
        <f t="shared" ca="1" si="35"/>
        <v>0</v>
      </c>
      <c r="CG26" s="21">
        <f t="shared" ca="1" si="36"/>
        <v>0</v>
      </c>
      <c r="CH26" s="21">
        <f t="shared" ca="1" si="37"/>
        <v>0</v>
      </c>
      <c r="CI26" s="21">
        <f t="shared" ca="1" si="38"/>
        <v>0</v>
      </c>
      <c r="CJ26" s="21">
        <f t="shared" ca="1" si="39"/>
        <v>0</v>
      </c>
      <c r="CK26" s="21">
        <f t="shared" ca="1" si="23"/>
        <v>0</v>
      </c>
      <c r="CL26" s="21" t="str">
        <f ca="1">IFERROR(VLOOKUP($CK26,Definitions!$V:$W,COLUMNS(Definitions!$V:$W),TRUE),"")</f>
        <v>Basic</v>
      </c>
      <c r="CM26" s="21" t="str">
        <f ca="1">_xlfn.LET(
_xlpm._comments,SimpleLookup($A26,Tracing!$B:$AB),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26" s="21" t="str" cm="1">
        <f t="array" aca="1" ref="CN26" ca="1">_xlfn.LET(
_xlpm._rapRange,Definitions!$W:$W,
_xlpm._calculatedRAP,$CL26,
_xlpm._inlineRAP,$CM26,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26" s="21" t="str">
        <f ca="1">IFERROR(IF(OR($BP26="",$CN26=""),
Definitions!$AE$4,
VLOOKUP($BP26,Definitions!$AH:$AM,MATCH($CN26,Definitions!$AH$3:$AM$3,0),FALSE)),
"")</f>
        <v>No Risk</v>
      </c>
      <c r="CP26" s="21" cm="1">
        <f t="array" aca="1" ref="CP26" ca="1">IF($CO26="",0,SimpleLookup($CO26,Definitions!$AE:$AF))</f>
        <v>0</v>
      </c>
      <c r="CQ26" s="21" t="b">
        <f ca="1">OR(AND($S26,$I26=Helper!$B$7),$I26&gt;Helper!$B$7)</f>
        <v>1</v>
      </c>
      <c r="CR26" s="21" t="str">
        <f t="shared" ca="1" si="24"/>
        <v/>
      </c>
      <c r="CS26" s="21" cm="1">
        <f t="array" aca="1" ref="CS26" ca="1">CreateID($CS$2,$CV:$CV,$CR26&lt;&gt;"")</f>
        <v>0</v>
      </c>
      <c r="CT26" s="21" t="str">
        <f ca="1">IF(IFERROR(MATCH(","&amp;A26&amp;",",'Risk Treatment'!$AT:$AT,0)&gt;0,FALSE),"",$A26)</f>
        <v/>
      </c>
      <c r="CU26" s="21" cm="1">
        <f t="array" aca="1" ref="CU26" ca="1">CreateID($CU$2,$CU:$CU,$CT26&lt;&gt;"")</f>
        <v>0</v>
      </c>
    </row>
    <row r="27" spans="1:99" x14ac:dyDescent="0.25">
      <c r="A27" s="33" t="str" cm="1">
        <f t="array" aca="1" ref="A27" ca="1">IF($B27="","","R"&amp;RemoveDelimiter(SUBSTITUTE(SUBSTITUTE($K27,"AS",""),",","-"),"-"))</f>
        <v/>
      </c>
      <c r="B27" s="33" t="str" cm="1">
        <f t="array" aca="1" ref="B27" ca="1">IF($L27="","",_xlfn.LET(
_xlpm._finalAttackStep,$L27,
_xlpm._prepAttacks,RemoveFirstElement(_xlpm._finalAttackStep&amp;","&amp;$K27),
_xlpm._prepAttackNames,IFERROR(LookupNames(_xlpm._prepAttacks,'Attack Steps'!$A:$B),""),
_xlpm._delimiter,REPT(CHAR(150),55),
$L27&amp;" "&amp;SimpleLookup($L27,'Attack Steps'!$A:$B)&amp;
IF(_xlpm._prepAttackNames="","",CHAR(10)&amp;_xlpm._delimiter&amp;CHAR(10)&amp;_xlpm._prepAttackNames)))</f>
        <v/>
      </c>
      <c r="C27" s="34" t="str" cm="1">
        <f t="array" aca="1" ref="C27" ca="1">IFERROR(LookupNames($M27,'Damage Scenarios'!$A:$V),"")</f>
        <v/>
      </c>
      <c r="D27" s="33" t="str">
        <f ca="1">IFERROR(IF($T27=0,"",INDEX(Definitions!$Q:$Q,MATCH($T27,Definitions!$R:$R,0))),"")</f>
        <v/>
      </c>
      <c r="E27" s="34" t="str" cm="1">
        <f t="array" aca="1" ref="E27" ca="1">IF($A27="","",_xlfn.LET(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_xlpm._factorFunction($A27,$A:W,Definitions!$Y:$Y,Definitions!$AB:$AB,1)&amp;CHAR(10)&amp;
_xlpm._factorFunction($A27,$A:X,Definitions!$Y:$Y,Definitions!$AB:$AB,2)&amp;CHAR(10)&amp;
_xlpm._factorFunction($A27,$A:Y,Definitions!$Y:$Y,Definitions!$AB:$AB,3)&amp;CHAR(10)&amp;
_xlpm._factorFunction($A27,$A:Z,Definitions!$Y:$Y,Definitions!$AB:$AB,4)&amp;CHAR(10)&amp;
_xlpm._factorFunction($A27,$A:AA,Definitions!$Y:$Y,Definitions!$AB:$AB,5)))</f>
        <v/>
      </c>
      <c r="F27" s="33" t="str">
        <f ca="1">IF($A27="","",IFERROR(VLOOKUP($AG27,Definitions!$V:$W,COLUMNS(Definitions!$V:$W),TRUE),""))</f>
        <v/>
      </c>
      <c r="G27" s="33" t="str">
        <f ca="1">IFERROR(IF(OR($D27="",$F27=""),
"",
VLOOKUP($D27,Definitions!$AH:$AM,MATCH($F27,Definitions!$AH$3:$AM$3,0),FALSE)),
"")</f>
        <v/>
      </c>
      <c r="H27" s="23" cm="1">
        <f t="array" aca="1" ref="H27" ca="1">IF(ROW()=ROW($H$2)+1,0,INDEX($H:$H,ROW()-1))+IF($A27="",0,1)</f>
        <v>0</v>
      </c>
      <c r="I27" s="21" cm="1">
        <f t="array" aca="1" ref="I27" ca="1">IF(ROW()=ROW($I$2)+1,
1,
INDEX($I:$I,ROW()-1)+IF(INDEX($S:$S,ROW()-1),1,0))</f>
        <v>1</v>
      </c>
      <c r="J27" s="21">
        <f t="shared" ca="1" si="0"/>
        <v>25</v>
      </c>
      <c r="K27" s="21" t="str">
        <f t="shared" ca="1" si="40"/>
        <v/>
      </c>
      <c r="L27" s="21" t="str" cm="1">
        <f t="array" aca="1" ref="L27" ca="1">IF($P27="","",INDEX('Attack Steps'!$A:$A,$P27))</f>
        <v/>
      </c>
      <c r="M27" s="21" t="str" cm="1">
        <f t="array" aca="1" ref="M27" ca="1">IF($P27="","",INDEX('Attack Steps'!$T:$T,$P27))</f>
        <v/>
      </c>
      <c r="N27" s="21" t="str" cm="1">
        <f t="array" aca="1" ref="N27" ca="1">_xlfn.LET(_xlpm._dm,SanitizeInput(GetValuesWithFallback(SanitizeInput($AK27),Assumptions!$A:$I,Countermeasures!$A:$I,"",",",FALSE)),
IF(_xlpm._dm="","",","&amp;_xlpm._dm))</f>
        <v/>
      </c>
      <c r="O27" s="21" t="str" cm="1">
        <f t="array" aca="1" ref="O27" ca="1">ApplyDamageMitigation($M27,$N27,"")</f>
        <v/>
      </c>
      <c r="P27" s="21" t="str">
        <f ca="1">IFERROR(MATCH($I27,'Attack Steps'!$V:$V,0),"")</f>
        <v/>
      </c>
      <c r="Q27" s="21" t="str" cm="1">
        <f t="array" aca="1" ref="Q27" ca="1">IF($P27="","","§"&amp;INDEX('Attack Steps'!$S:$S,$P27))</f>
        <v/>
      </c>
      <c r="R27" s="21" t="str" cm="1">
        <f t="array" aca="1" ref="R27" ca="1">IF($P27="","",INDEX('Attack Steps'!$W:$W,$P27))</f>
        <v/>
      </c>
      <c r="S27" s="21" t="b">
        <f t="shared" ca="1" si="41"/>
        <v>0</v>
      </c>
      <c r="T27" s="21" cm="1">
        <f t="array" aca="1" ref="T27" ca="1">_xlfn.LAMBDA(_xlpm._in,_xlpm._val,_xlpm._range,
IF(_xlpm._in="",_xlpm._val,_xlfn.LET(
_xlpm._id,LEFT(_xlpm._in,FIND(",",_xlpm._in)-1),
CalculateMaxFromList(RemoveFirstElement(_xlpm._in),MAX(_xlpm._val,VLOOKUP(_xlpm._id,_xlpm._range,COLUMNS(_xlpm._range),FALSE)),_xlpm._range))))($M27,0,'Damage Scenarios'!$A:$U)</f>
        <v>0</v>
      </c>
      <c r="U27" s="21" cm="1">
        <f t="array" aca="1" ref="U27" ca="1">CalculateMaxFromList($O27,0,'Damage Scenarios'!$A:$U)</f>
        <v>0</v>
      </c>
      <c r="V27" s="21" t="str">
        <f ca="1">IF($U27=0,"",INDEX(Definitions!$Q:$Q,MATCH($U27,Definitions!$R:$R,0)))</f>
        <v/>
      </c>
      <c r="W27" s="21" t="str" cm="1">
        <f t="array" aca="1" ref="W27" ca="1">CalculateMaxAndElements($K27,0,"",'Attack Steps'!$A:X)</f>
        <v>0:</v>
      </c>
      <c r="X27" s="21" t="str" cm="1">
        <f t="array" aca="1" ref="X27" ca="1">CalculateMaxAndElements($K27,0,"",'Attack Steps'!$A:Y)</f>
        <v>0:</v>
      </c>
      <c r="Y27" s="21" t="str" cm="1">
        <f t="array" aca="1" ref="Y27" ca="1">CalculateMaxAndElements($K27,0,"",'Attack Steps'!$A:Z)</f>
        <v>0:</v>
      </c>
      <c r="Z27" s="21" t="str" cm="1">
        <f t="array" aca="1" ref="Z27" ca="1">CalculateMaxAndElements($K27,0,"",'Attack Steps'!$A:AA)</f>
        <v>0:</v>
      </c>
      <c r="AA27" s="21" t="str" cm="1">
        <f t="array" aca="1" ref="AA27" ca="1">CalculateMaxAndElements($K27,0,"",'Attack Steps'!$A:AB)</f>
        <v>0:</v>
      </c>
      <c r="AB27" s="21">
        <f t="shared" ca="1" si="42"/>
        <v>0</v>
      </c>
      <c r="AC27" s="21">
        <f t="shared" ca="1" si="43"/>
        <v>0</v>
      </c>
      <c r="AD27" s="21">
        <f t="shared" ca="1" si="44"/>
        <v>0</v>
      </c>
      <c r="AE27" s="21">
        <f t="shared" ca="1" si="45"/>
        <v>0</v>
      </c>
      <c r="AF27" s="21">
        <f t="shared" ca="1" si="46"/>
        <v>0</v>
      </c>
      <c r="AG27" s="21">
        <f t="shared" ca="1" si="3"/>
        <v>0</v>
      </c>
      <c r="AH27" s="21" t="str" cm="1">
        <f t="array" aca="1" ref="AH27" ca="1">IF(ROW()=ROW($AH$2)+1,"",INDEX($AH:$AH,ROW()-1))&amp;IF($A27="","",$A27&amp;",")</f>
        <v/>
      </c>
      <c r="AI27" s="21" t="str">
        <f t="shared" ca="1" si="47"/>
        <v/>
      </c>
      <c r="AJ27" s="21" cm="1">
        <f t="array" aca="1" ref="AJ27" ca="1">IF($G27="",0,SimpleLookup($G27,Definitions!$AE:$AF))</f>
        <v>0</v>
      </c>
      <c r="AK27" s="21" t="str" cm="1">
        <f t="array" aca="1" ref="AK27" ca="1">InverseLookup($A27,Mitigation!$U$2,Mitigation!$J$2,1,Helper!$B$5,",")</f>
        <v/>
      </c>
      <c r="AL27" s="21" t="str" cm="1">
        <f t="array" aca="1" ref="AL27" ca="1">CalculateMaxAndElementsWithFallback(SanitizeInput($AK27),0,"",Countermeasures!$A:Y,Assumptions!$A:Z)</f>
        <v>0:</v>
      </c>
      <c r="AM27" s="21" t="str" cm="1">
        <f t="array" aca="1" ref="AM27" ca="1">CalculateMaxAndElementsWithFallback(SanitizeInput($AK27),0,"",Countermeasures!$A:Z,Assumptions!$A:AA)</f>
        <v>0:</v>
      </c>
      <c r="AN27" s="21" t="str" cm="1">
        <f t="array" aca="1" ref="AN27" ca="1">CalculateMaxAndElementsWithFallback(SanitizeInput($AK27),0,"",Countermeasures!$A:AA,Assumptions!$A:AB)</f>
        <v>0:</v>
      </c>
      <c r="AO27" s="21" t="str" cm="1">
        <f t="array" aca="1" ref="AO27" ca="1">CalculateMaxAndElementsWithFallback(SanitizeInput($AK27),0,"",Countermeasures!$A:AB,Assumptions!$A:AC)</f>
        <v>0:</v>
      </c>
      <c r="AP27" s="21" t="str" cm="1">
        <f t="array" aca="1" ref="AP27" ca="1">CalculateMaxAndElementsWithFallback(SanitizeInput($AK27),0,"",Countermeasures!$A:AC,Assumptions!$A:AD)</f>
        <v>0:</v>
      </c>
      <c r="AQ27" s="21">
        <f t="shared" ca="1" si="48"/>
        <v>0</v>
      </c>
      <c r="AR27" s="21">
        <f t="shared" ca="1" si="49"/>
        <v>0</v>
      </c>
      <c r="AS27" s="21">
        <f t="shared" ca="1" si="50"/>
        <v>0</v>
      </c>
      <c r="AT27" s="21">
        <f t="shared" ca="1" si="51"/>
        <v>0</v>
      </c>
      <c r="AU27" s="21">
        <f t="shared" ca="1" si="52"/>
        <v>0</v>
      </c>
      <c r="AV27" s="21" t="str">
        <f t="shared" ca="1" si="53"/>
        <v>0:</v>
      </c>
      <c r="AW27" s="21" t="str">
        <f t="shared" ca="1" si="54"/>
        <v>0:</v>
      </c>
      <c r="AX27" s="21" t="str">
        <f t="shared" ca="1" si="55"/>
        <v>0:</v>
      </c>
      <c r="AY27" s="21" t="str">
        <f t="shared" ca="1" si="56"/>
        <v>0:</v>
      </c>
      <c r="AZ27" s="21" t="str">
        <f t="shared" ca="1" si="57"/>
        <v>0:</v>
      </c>
      <c r="BA27" s="21">
        <f t="shared" ca="1" si="58"/>
        <v>0</v>
      </c>
      <c r="BB27" s="21">
        <f t="shared" ca="1" si="59"/>
        <v>0</v>
      </c>
      <c r="BC27" s="21">
        <f t="shared" ca="1" si="60"/>
        <v>0</v>
      </c>
      <c r="BD27" s="21">
        <f t="shared" ca="1" si="61"/>
        <v>0</v>
      </c>
      <c r="BE27" s="21">
        <f t="shared" ca="1" si="62"/>
        <v>0</v>
      </c>
      <c r="BF27" s="21">
        <f t="shared" ca="1" si="9"/>
        <v>0</v>
      </c>
      <c r="BG27" s="21" t="str">
        <f ca="1">IFERROR(VLOOKUP($BF27,Definitions!$V:$W,COLUMNS(Definitions!$V:$W),TRUE),"")</f>
        <v>Basic</v>
      </c>
      <c r="BH27" s="21" t="str">
        <f ca="1">_xlfn.LET(
_xlpm._comments,GetValues($K27,Mitigation!$A:$O,"","",FALSE),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27" s="21" t="str" cm="1">
        <f t="array" aca="1" ref="BI27" ca="1">_xlfn.LET(
_xlpm._rapRange,Definitions!$W:$W,
_xlpm._calculatedRAP,$BG27,
_xlpm._inlineRAP,$BH27,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27" s="21" t="str">
        <f ca="1">IFERROR(IF(OR($V27="",$BI27=""),
Definitions!$AE$4,
VLOOKUP($V27,Definitions!$AH:$AM,MATCH($BI27,Definitions!$AH$3:$AM$3,0),FALSE)),
"")</f>
        <v>No Risk</v>
      </c>
      <c r="BK27" s="21" cm="1">
        <f t="array" aca="1" ref="BK27" ca="1">IF($BJ27="",0,SimpleLookup($BJ27,Definitions!$AE:$AF))</f>
        <v>0</v>
      </c>
      <c r="BL27" s="21" t="str" cm="1">
        <f t="array" aca="1" ref="BL27" ca="1">IFERROR(SimpleLookup($A27,Tracing!$B:$Z),"")</f>
        <v/>
      </c>
      <c r="BM27" s="21" t="str" cm="1">
        <f t="array" aca="1" ref="BM27" ca="1">_xlfn.LET(_xlpm._dm,SanitizeInput(GetValuesWithFallback(SanitizeInput($BL27),Assumptions!$A:$I,Countermeasures!$A:$I,"",",",FALSE)),
IF(_xlpm._dm="","",","&amp;_xlpm._dm))</f>
        <v/>
      </c>
      <c r="BN27" s="21" t="str" cm="1">
        <f t="array" aca="1" ref="BN27" ca="1">ApplyDamageMitigation($M27,$BM27,"")</f>
        <v/>
      </c>
      <c r="BO27" s="21" cm="1">
        <f t="array" aca="1" ref="BO27" ca="1">CalculateMaxFromList($BN27,0,'Damage Scenarios'!$A:$U)</f>
        <v>0</v>
      </c>
      <c r="BP27" s="21" t="str">
        <f ca="1">IF($BO27=0,"",INDEX(Definitions!$Q:$Q,MATCH($BO27,Definitions!$R:$R,0)))</f>
        <v/>
      </c>
      <c r="BQ27" s="21" t="str" cm="1">
        <f t="array" aca="1" ref="BQ27" ca="1">CalculateMaxAndElementsWithFallback(SanitizeInput($BL27),0,"",Countermeasures!$A:Y,Assumptions!$A:Z)</f>
        <v>0:</v>
      </c>
      <c r="BR27" s="21" t="str" cm="1">
        <f t="array" aca="1" ref="BR27" ca="1">CalculateMaxAndElementsWithFallback(SanitizeInput($BL27),0,"",Countermeasures!$A:Z,Assumptions!$A:AA)</f>
        <v>0:</v>
      </c>
      <c r="BS27" s="21" t="str" cm="1">
        <f t="array" aca="1" ref="BS27" ca="1">CalculateMaxAndElementsWithFallback(SanitizeInput($BL27),0,"",Countermeasures!$A:AA,Assumptions!$A:AB)</f>
        <v>0:</v>
      </c>
      <c r="BT27" s="21" t="str" cm="1">
        <f t="array" aca="1" ref="BT27" ca="1">CalculateMaxAndElementsWithFallback(SanitizeInput($BL27),0,"",Countermeasures!$A:AB,Assumptions!$A:AC)</f>
        <v>0:</v>
      </c>
      <c r="BU27" s="21" t="str" cm="1">
        <f t="array" aca="1" ref="BU27" ca="1">CalculateMaxAndElementsWithFallback(SanitizeInput($BL27),0,"",Countermeasures!$A:AC,Assumptions!$A:AD)</f>
        <v>0:</v>
      </c>
      <c r="BV27" s="21">
        <f t="shared" ca="1" si="25"/>
        <v>0</v>
      </c>
      <c r="BW27" s="21">
        <f t="shared" ca="1" si="26"/>
        <v>0</v>
      </c>
      <c r="BX27" s="21">
        <f t="shared" ca="1" si="27"/>
        <v>0</v>
      </c>
      <c r="BY27" s="21">
        <f t="shared" ca="1" si="28"/>
        <v>0</v>
      </c>
      <c r="BZ27" s="21">
        <f t="shared" ca="1" si="29"/>
        <v>0</v>
      </c>
      <c r="CA27" s="21" t="str">
        <f t="shared" ca="1" si="30"/>
        <v>0:</v>
      </c>
      <c r="CB27" s="21" t="str">
        <f t="shared" ca="1" si="31"/>
        <v>0:</v>
      </c>
      <c r="CC27" s="21" t="str">
        <f t="shared" ca="1" si="32"/>
        <v>0:</v>
      </c>
      <c r="CD27" s="21" t="str">
        <f t="shared" ca="1" si="33"/>
        <v>0:</v>
      </c>
      <c r="CE27" s="21" t="str">
        <f t="shared" ca="1" si="34"/>
        <v>0:</v>
      </c>
      <c r="CF27" s="21">
        <f t="shared" ca="1" si="35"/>
        <v>0</v>
      </c>
      <c r="CG27" s="21">
        <f t="shared" ca="1" si="36"/>
        <v>0</v>
      </c>
      <c r="CH27" s="21">
        <f t="shared" ca="1" si="37"/>
        <v>0</v>
      </c>
      <c r="CI27" s="21">
        <f t="shared" ca="1" si="38"/>
        <v>0</v>
      </c>
      <c r="CJ27" s="21">
        <f t="shared" ca="1" si="39"/>
        <v>0</v>
      </c>
      <c r="CK27" s="21">
        <f t="shared" ca="1" si="23"/>
        <v>0</v>
      </c>
      <c r="CL27" s="21" t="str">
        <f ca="1">IFERROR(VLOOKUP($CK27,Definitions!$V:$W,COLUMNS(Definitions!$V:$W),TRUE),"")</f>
        <v>Basic</v>
      </c>
      <c r="CM27" s="21" t="str">
        <f ca="1">_xlfn.LET(
_xlpm._comments,SimpleLookup($A27,Tracing!$B:$AB),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27" s="21" t="str" cm="1">
        <f t="array" aca="1" ref="CN27" ca="1">_xlfn.LET(
_xlpm._rapRange,Definitions!$W:$W,
_xlpm._calculatedRAP,$CL27,
_xlpm._inlineRAP,$CM27,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27" s="21" t="str">
        <f ca="1">IFERROR(IF(OR($BP27="",$CN27=""),
Definitions!$AE$4,
VLOOKUP($BP27,Definitions!$AH:$AM,MATCH($CN27,Definitions!$AH$3:$AM$3,0),FALSE)),
"")</f>
        <v>No Risk</v>
      </c>
      <c r="CP27" s="21" cm="1">
        <f t="array" aca="1" ref="CP27" ca="1">IF($CO27="",0,SimpleLookup($CO27,Definitions!$AE:$AF))</f>
        <v>0</v>
      </c>
      <c r="CQ27" s="21" t="b">
        <f ca="1">OR(AND($S27,$I27=Helper!$B$7),$I27&gt;Helper!$B$7)</f>
        <v>1</v>
      </c>
      <c r="CR27" s="21" t="str">
        <f t="shared" ca="1" si="24"/>
        <v/>
      </c>
      <c r="CS27" s="21" cm="1">
        <f t="array" aca="1" ref="CS27" ca="1">CreateID($CS$2,$CV:$CV,$CR27&lt;&gt;"")</f>
        <v>0</v>
      </c>
      <c r="CT27" s="21" t="str">
        <f ca="1">IF(IFERROR(MATCH(","&amp;A27&amp;",",'Risk Treatment'!$AT:$AT,0)&gt;0,FALSE),"",$A27)</f>
        <v/>
      </c>
      <c r="CU27" s="21" cm="1">
        <f t="array" aca="1" ref="CU27" ca="1">CreateID($CU$2,$CU:$CU,$CT27&lt;&gt;"")</f>
        <v>0</v>
      </c>
    </row>
    <row r="28" spans="1:99" x14ac:dyDescent="0.25">
      <c r="A28" s="33" t="str" cm="1">
        <f t="array" aca="1" ref="A28" ca="1">IF($B28="","","R"&amp;RemoveDelimiter(SUBSTITUTE(SUBSTITUTE($K28,"AS",""),",","-"),"-"))</f>
        <v/>
      </c>
      <c r="B28" s="33" t="str" cm="1">
        <f t="array" aca="1" ref="B28" ca="1">IF($L28="","",_xlfn.LET(
_xlpm._finalAttackStep,$L28,
_xlpm._prepAttacks,RemoveFirstElement(_xlpm._finalAttackStep&amp;","&amp;$K28),
_xlpm._prepAttackNames,IFERROR(LookupNames(_xlpm._prepAttacks,'Attack Steps'!$A:$B),""),
_xlpm._delimiter,REPT(CHAR(150),55),
$L28&amp;" "&amp;SimpleLookup($L28,'Attack Steps'!$A:$B)&amp;
IF(_xlpm._prepAttackNames="","",CHAR(10)&amp;_xlpm._delimiter&amp;CHAR(10)&amp;_xlpm._prepAttackNames)))</f>
        <v/>
      </c>
      <c r="C28" s="34" t="str" cm="1">
        <f t="array" aca="1" ref="C28" ca="1">IFERROR(LookupNames($M28,'Damage Scenarios'!$A:$V),"")</f>
        <v/>
      </c>
      <c r="D28" s="33" t="str">
        <f ca="1">IFERROR(IF($T28=0,"",INDEX(Definitions!$Q:$Q,MATCH($T28,Definitions!$R:$R,0))),"")</f>
        <v/>
      </c>
      <c r="E28" s="34" t="str" cm="1">
        <f t="array" aca="1" ref="E28" ca="1">IF($A28="","",_xlfn.LET(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_xlpm._factorFunction($A28,$A:W,Definitions!$Y:$Y,Definitions!$AB:$AB,1)&amp;CHAR(10)&amp;
_xlpm._factorFunction($A28,$A:X,Definitions!$Y:$Y,Definitions!$AB:$AB,2)&amp;CHAR(10)&amp;
_xlpm._factorFunction($A28,$A:Y,Definitions!$Y:$Y,Definitions!$AB:$AB,3)&amp;CHAR(10)&amp;
_xlpm._factorFunction($A28,$A:Z,Definitions!$Y:$Y,Definitions!$AB:$AB,4)&amp;CHAR(10)&amp;
_xlpm._factorFunction($A28,$A:AA,Definitions!$Y:$Y,Definitions!$AB:$AB,5)))</f>
        <v/>
      </c>
      <c r="F28" s="33" t="str">
        <f ca="1">IF($A28="","",IFERROR(VLOOKUP($AG28,Definitions!$V:$W,COLUMNS(Definitions!$V:$W),TRUE),""))</f>
        <v/>
      </c>
      <c r="G28" s="33" t="str">
        <f ca="1">IFERROR(IF(OR($D28="",$F28=""),
"",
VLOOKUP($D28,Definitions!$AH:$AM,MATCH($F28,Definitions!$AH$3:$AM$3,0),FALSE)),
"")</f>
        <v/>
      </c>
      <c r="H28" s="23" cm="1">
        <f t="array" aca="1" ref="H28" ca="1">IF(ROW()=ROW($H$2)+1,0,INDEX($H:$H,ROW()-1))+IF($A28="",0,1)</f>
        <v>0</v>
      </c>
      <c r="I28" s="21" cm="1">
        <f t="array" aca="1" ref="I28" ca="1">IF(ROW()=ROW($I$2)+1,
1,
INDEX($I:$I,ROW()-1)+IF(INDEX($S:$S,ROW()-1),1,0))</f>
        <v>1</v>
      </c>
      <c r="J28" s="21">
        <f t="shared" ca="1" si="0"/>
        <v>26</v>
      </c>
      <c r="K28" s="21" t="str">
        <f t="shared" ca="1" si="40"/>
        <v/>
      </c>
      <c r="L28" s="21" t="str" cm="1">
        <f t="array" aca="1" ref="L28" ca="1">IF($P28="","",INDEX('Attack Steps'!$A:$A,$P28))</f>
        <v/>
      </c>
      <c r="M28" s="21" t="str" cm="1">
        <f t="array" aca="1" ref="M28" ca="1">IF($P28="","",INDEX('Attack Steps'!$T:$T,$P28))</f>
        <v/>
      </c>
      <c r="N28" s="21" t="str" cm="1">
        <f t="array" aca="1" ref="N28" ca="1">_xlfn.LET(_xlpm._dm,SanitizeInput(GetValuesWithFallback(SanitizeInput($AK28),Assumptions!$A:$I,Countermeasures!$A:$I,"",",",FALSE)),
IF(_xlpm._dm="","",","&amp;_xlpm._dm))</f>
        <v/>
      </c>
      <c r="O28" s="21" t="str" cm="1">
        <f t="array" aca="1" ref="O28" ca="1">ApplyDamageMitigation($M28,$N28,"")</f>
        <v/>
      </c>
      <c r="P28" s="21" t="str">
        <f ca="1">IFERROR(MATCH($I28,'Attack Steps'!$V:$V,0),"")</f>
        <v/>
      </c>
      <c r="Q28" s="21" t="str" cm="1">
        <f t="array" aca="1" ref="Q28" ca="1">IF($P28="","","§"&amp;INDEX('Attack Steps'!$S:$S,$P28))</f>
        <v/>
      </c>
      <c r="R28" s="21" t="str" cm="1">
        <f t="array" aca="1" ref="R28" ca="1">IF($P28="","",INDEX('Attack Steps'!$W:$W,$P28))</f>
        <v/>
      </c>
      <c r="S28" s="21" t="b">
        <f t="shared" ca="1" si="41"/>
        <v>0</v>
      </c>
      <c r="T28" s="21" cm="1">
        <f t="array" aca="1" ref="T28" ca="1">_xlfn.LAMBDA(_xlpm._in,_xlpm._val,_xlpm._range,
IF(_xlpm._in="",_xlpm._val,_xlfn.LET(
_xlpm._id,LEFT(_xlpm._in,FIND(",",_xlpm._in)-1),
CalculateMaxFromList(RemoveFirstElement(_xlpm._in),MAX(_xlpm._val,VLOOKUP(_xlpm._id,_xlpm._range,COLUMNS(_xlpm._range),FALSE)),_xlpm._range))))($M28,0,'Damage Scenarios'!$A:$U)</f>
        <v>0</v>
      </c>
      <c r="U28" s="21" cm="1">
        <f t="array" aca="1" ref="U28" ca="1">CalculateMaxFromList($O28,0,'Damage Scenarios'!$A:$U)</f>
        <v>0</v>
      </c>
      <c r="V28" s="21" t="str">
        <f ca="1">IF($U28=0,"",INDEX(Definitions!$Q:$Q,MATCH($U28,Definitions!$R:$R,0)))</f>
        <v/>
      </c>
      <c r="W28" s="21" t="str" cm="1">
        <f t="array" aca="1" ref="W28" ca="1">CalculateMaxAndElements($K28,0,"",'Attack Steps'!$A:X)</f>
        <v>0:</v>
      </c>
      <c r="X28" s="21" t="str" cm="1">
        <f t="array" aca="1" ref="X28" ca="1">CalculateMaxAndElements($K28,0,"",'Attack Steps'!$A:Y)</f>
        <v>0:</v>
      </c>
      <c r="Y28" s="21" t="str" cm="1">
        <f t="array" aca="1" ref="Y28" ca="1">CalculateMaxAndElements($K28,0,"",'Attack Steps'!$A:Z)</f>
        <v>0:</v>
      </c>
      <c r="Z28" s="21" t="str" cm="1">
        <f t="array" aca="1" ref="Z28" ca="1">CalculateMaxAndElements($K28,0,"",'Attack Steps'!$A:AA)</f>
        <v>0:</v>
      </c>
      <c r="AA28" s="21" t="str" cm="1">
        <f t="array" aca="1" ref="AA28" ca="1">CalculateMaxAndElements($K28,0,"",'Attack Steps'!$A:AB)</f>
        <v>0:</v>
      </c>
      <c r="AB28" s="21">
        <f t="shared" ca="1" si="42"/>
        <v>0</v>
      </c>
      <c r="AC28" s="21">
        <f t="shared" ca="1" si="43"/>
        <v>0</v>
      </c>
      <c r="AD28" s="21">
        <f t="shared" ca="1" si="44"/>
        <v>0</v>
      </c>
      <c r="AE28" s="21">
        <f t="shared" ca="1" si="45"/>
        <v>0</v>
      </c>
      <c r="AF28" s="21">
        <f t="shared" ca="1" si="46"/>
        <v>0</v>
      </c>
      <c r="AG28" s="21">
        <f t="shared" ca="1" si="3"/>
        <v>0</v>
      </c>
      <c r="AH28" s="21" t="str" cm="1">
        <f t="array" aca="1" ref="AH28" ca="1">IF(ROW()=ROW($AH$2)+1,"",INDEX($AH:$AH,ROW()-1))&amp;IF($A28="","",$A28&amp;",")</f>
        <v/>
      </c>
      <c r="AI28" s="21" t="str">
        <f t="shared" ca="1" si="47"/>
        <v/>
      </c>
      <c r="AJ28" s="21" cm="1">
        <f t="array" aca="1" ref="AJ28" ca="1">IF($G28="",0,SimpleLookup($G28,Definitions!$AE:$AF))</f>
        <v>0</v>
      </c>
      <c r="AK28" s="21" t="str" cm="1">
        <f t="array" aca="1" ref="AK28" ca="1">InverseLookup($A28,Mitigation!$U$2,Mitigation!$J$2,1,Helper!$B$5,",")</f>
        <v/>
      </c>
      <c r="AL28" s="21" t="str" cm="1">
        <f t="array" aca="1" ref="AL28" ca="1">CalculateMaxAndElementsWithFallback(SanitizeInput($AK28),0,"",Countermeasures!$A:Y,Assumptions!$A:Z)</f>
        <v>0:</v>
      </c>
      <c r="AM28" s="21" t="str" cm="1">
        <f t="array" aca="1" ref="AM28" ca="1">CalculateMaxAndElementsWithFallback(SanitizeInput($AK28),0,"",Countermeasures!$A:Z,Assumptions!$A:AA)</f>
        <v>0:</v>
      </c>
      <c r="AN28" s="21" t="str" cm="1">
        <f t="array" aca="1" ref="AN28" ca="1">CalculateMaxAndElementsWithFallback(SanitizeInput($AK28),0,"",Countermeasures!$A:AA,Assumptions!$A:AB)</f>
        <v>0:</v>
      </c>
      <c r="AO28" s="21" t="str" cm="1">
        <f t="array" aca="1" ref="AO28" ca="1">CalculateMaxAndElementsWithFallback(SanitizeInput($AK28),0,"",Countermeasures!$A:AB,Assumptions!$A:AC)</f>
        <v>0:</v>
      </c>
      <c r="AP28" s="21" t="str" cm="1">
        <f t="array" aca="1" ref="AP28" ca="1">CalculateMaxAndElementsWithFallback(SanitizeInput($AK28),0,"",Countermeasures!$A:AC,Assumptions!$A:AD)</f>
        <v>0:</v>
      </c>
      <c r="AQ28" s="21">
        <f t="shared" ca="1" si="48"/>
        <v>0</v>
      </c>
      <c r="AR28" s="21">
        <f t="shared" ca="1" si="49"/>
        <v>0</v>
      </c>
      <c r="AS28" s="21">
        <f t="shared" ca="1" si="50"/>
        <v>0</v>
      </c>
      <c r="AT28" s="21">
        <f t="shared" ca="1" si="51"/>
        <v>0</v>
      </c>
      <c r="AU28" s="21">
        <f t="shared" ca="1" si="52"/>
        <v>0</v>
      </c>
      <c r="AV28" s="21" t="str">
        <f t="shared" ca="1" si="53"/>
        <v>0:</v>
      </c>
      <c r="AW28" s="21" t="str">
        <f t="shared" ca="1" si="54"/>
        <v>0:</v>
      </c>
      <c r="AX28" s="21" t="str">
        <f t="shared" ca="1" si="55"/>
        <v>0:</v>
      </c>
      <c r="AY28" s="21" t="str">
        <f t="shared" ca="1" si="56"/>
        <v>0:</v>
      </c>
      <c r="AZ28" s="21" t="str">
        <f t="shared" ca="1" si="57"/>
        <v>0:</v>
      </c>
      <c r="BA28" s="21">
        <f t="shared" ca="1" si="58"/>
        <v>0</v>
      </c>
      <c r="BB28" s="21">
        <f t="shared" ca="1" si="59"/>
        <v>0</v>
      </c>
      <c r="BC28" s="21">
        <f t="shared" ca="1" si="60"/>
        <v>0</v>
      </c>
      <c r="BD28" s="21">
        <f t="shared" ca="1" si="61"/>
        <v>0</v>
      </c>
      <c r="BE28" s="21">
        <f t="shared" ca="1" si="62"/>
        <v>0</v>
      </c>
      <c r="BF28" s="21">
        <f t="shared" ca="1" si="9"/>
        <v>0</v>
      </c>
      <c r="BG28" s="21" t="str">
        <f ca="1">IFERROR(VLOOKUP($BF28,Definitions!$V:$W,COLUMNS(Definitions!$V:$W),TRUE),"")</f>
        <v>Basic</v>
      </c>
      <c r="BH28" s="21" t="str">
        <f ca="1">_xlfn.LET(
_xlpm._comments,GetValues($K28,Mitigation!$A:$O,"","",FALSE),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28" s="21" t="str" cm="1">
        <f t="array" aca="1" ref="BI28" ca="1">_xlfn.LET(
_xlpm._rapRange,Definitions!$W:$W,
_xlpm._calculatedRAP,$BG28,
_xlpm._inlineRAP,$BH28,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28" s="21" t="str">
        <f ca="1">IFERROR(IF(OR($V28="",$BI28=""),
Definitions!$AE$4,
VLOOKUP($V28,Definitions!$AH:$AM,MATCH($BI28,Definitions!$AH$3:$AM$3,0),FALSE)),
"")</f>
        <v>No Risk</v>
      </c>
      <c r="BK28" s="21" cm="1">
        <f t="array" aca="1" ref="BK28" ca="1">IF($BJ28="",0,SimpleLookup($BJ28,Definitions!$AE:$AF))</f>
        <v>0</v>
      </c>
      <c r="BL28" s="21" t="str" cm="1">
        <f t="array" aca="1" ref="BL28" ca="1">IFERROR(SimpleLookup($A28,Tracing!$B:$Z),"")</f>
        <v/>
      </c>
      <c r="BM28" s="21" t="str" cm="1">
        <f t="array" aca="1" ref="BM28" ca="1">_xlfn.LET(_xlpm._dm,SanitizeInput(GetValuesWithFallback(SanitizeInput($BL28),Assumptions!$A:$I,Countermeasures!$A:$I,"",",",FALSE)),
IF(_xlpm._dm="","",","&amp;_xlpm._dm))</f>
        <v/>
      </c>
      <c r="BN28" s="21" t="str" cm="1">
        <f t="array" aca="1" ref="BN28" ca="1">ApplyDamageMitigation($M28,$BM28,"")</f>
        <v/>
      </c>
      <c r="BO28" s="21" cm="1">
        <f t="array" aca="1" ref="BO28" ca="1">CalculateMaxFromList($BN28,0,'Damage Scenarios'!$A:$U)</f>
        <v>0</v>
      </c>
      <c r="BP28" s="21" t="str">
        <f ca="1">IF($BO28=0,"",INDEX(Definitions!$Q:$Q,MATCH($BO28,Definitions!$R:$R,0)))</f>
        <v/>
      </c>
      <c r="BQ28" s="21" t="str" cm="1">
        <f t="array" aca="1" ref="BQ28" ca="1">CalculateMaxAndElementsWithFallback(SanitizeInput($BL28),0,"",Countermeasures!$A:Y,Assumptions!$A:Z)</f>
        <v>0:</v>
      </c>
      <c r="BR28" s="21" t="str" cm="1">
        <f t="array" aca="1" ref="BR28" ca="1">CalculateMaxAndElementsWithFallback(SanitizeInput($BL28),0,"",Countermeasures!$A:Z,Assumptions!$A:AA)</f>
        <v>0:</v>
      </c>
      <c r="BS28" s="21" t="str" cm="1">
        <f t="array" aca="1" ref="BS28" ca="1">CalculateMaxAndElementsWithFallback(SanitizeInput($BL28),0,"",Countermeasures!$A:AA,Assumptions!$A:AB)</f>
        <v>0:</v>
      </c>
      <c r="BT28" s="21" t="str" cm="1">
        <f t="array" aca="1" ref="BT28" ca="1">CalculateMaxAndElementsWithFallback(SanitizeInput($BL28),0,"",Countermeasures!$A:AB,Assumptions!$A:AC)</f>
        <v>0:</v>
      </c>
      <c r="BU28" s="21" t="str" cm="1">
        <f t="array" aca="1" ref="BU28" ca="1">CalculateMaxAndElementsWithFallback(SanitizeInput($BL28),0,"",Countermeasures!$A:AC,Assumptions!$A:AD)</f>
        <v>0:</v>
      </c>
      <c r="BV28" s="21">
        <f t="shared" ca="1" si="25"/>
        <v>0</v>
      </c>
      <c r="BW28" s="21">
        <f t="shared" ca="1" si="26"/>
        <v>0</v>
      </c>
      <c r="BX28" s="21">
        <f t="shared" ca="1" si="27"/>
        <v>0</v>
      </c>
      <c r="BY28" s="21">
        <f t="shared" ca="1" si="28"/>
        <v>0</v>
      </c>
      <c r="BZ28" s="21">
        <f t="shared" ca="1" si="29"/>
        <v>0</v>
      </c>
      <c r="CA28" s="21" t="str">
        <f t="shared" ca="1" si="30"/>
        <v>0:</v>
      </c>
      <c r="CB28" s="21" t="str">
        <f t="shared" ca="1" si="31"/>
        <v>0:</v>
      </c>
      <c r="CC28" s="21" t="str">
        <f t="shared" ca="1" si="32"/>
        <v>0:</v>
      </c>
      <c r="CD28" s="21" t="str">
        <f t="shared" ca="1" si="33"/>
        <v>0:</v>
      </c>
      <c r="CE28" s="21" t="str">
        <f t="shared" ca="1" si="34"/>
        <v>0:</v>
      </c>
      <c r="CF28" s="21">
        <f t="shared" ca="1" si="35"/>
        <v>0</v>
      </c>
      <c r="CG28" s="21">
        <f t="shared" ca="1" si="36"/>
        <v>0</v>
      </c>
      <c r="CH28" s="21">
        <f t="shared" ca="1" si="37"/>
        <v>0</v>
      </c>
      <c r="CI28" s="21">
        <f t="shared" ca="1" si="38"/>
        <v>0</v>
      </c>
      <c r="CJ28" s="21">
        <f t="shared" ca="1" si="39"/>
        <v>0</v>
      </c>
      <c r="CK28" s="21">
        <f t="shared" ca="1" si="23"/>
        <v>0</v>
      </c>
      <c r="CL28" s="21" t="str">
        <f ca="1">IFERROR(VLOOKUP($CK28,Definitions!$V:$W,COLUMNS(Definitions!$V:$W),TRUE),"")</f>
        <v>Basic</v>
      </c>
      <c r="CM28" s="21" t="str">
        <f ca="1">_xlfn.LET(
_xlpm._comments,SimpleLookup($A28,Tracing!$B:$AB),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28" s="21" t="str" cm="1">
        <f t="array" aca="1" ref="CN28" ca="1">_xlfn.LET(
_xlpm._rapRange,Definitions!$W:$W,
_xlpm._calculatedRAP,$CL28,
_xlpm._inlineRAP,$CM28,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28" s="21" t="str">
        <f ca="1">IFERROR(IF(OR($BP28="",$CN28=""),
Definitions!$AE$4,
VLOOKUP($BP28,Definitions!$AH:$AM,MATCH($CN28,Definitions!$AH$3:$AM$3,0),FALSE)),
"")</f>
        <v>No Risk</v>
      </c>
      <c r="CP28" s="21" cm="1">
        <f t="array" aca="1" ref="CP28" ca="1">IF($CO28="",0,SimpleLookup($CO28,Definitions!$AE:$AF))</f>
        <v>0</v>
      </c>
      <c r="CQ28" s="21" t="b">
        <f ca="1">OR(AND($S28,$I28=Helper!$B$7),$I28&gt;Helper!$B$7)</f>
        <v>1</v>
      </c>
      <c r="CR28" s="21" t="str">
        <f t="shared" ca="1" si="24"/>
        <v/>
      </c>
      <c r="CS28" s="21" cm="1">
        <f t="array" aca="1" ref="CS28" ca="1">CreateID($CS$2,$CV:$CV,$CR28&lt;&gt;"")</f>
        <v>0</v>
      </c>
      <c r="CT28" s="21" t="str">
        <f ca="1">IF(IFERROR(MATCH(","&amp;A28&amp;",",'Risk Treatment'!$AT:$AT,0)&gt;0,FALSE),"",$A28)</f>
        <v/>
      </c>
      <c r="CU28" s="21" cm="1">
        <f t="array" aca="1" ref="CU28" ca="1">CreateID($CU$2,$CU:$CU,$CT28&lt;&gt;"")</f>
        <v>0</v>
      </c>
    </row>
    <row r="29" spans="1:99" x14ac:dyDescent="0.25">
      <c r="A29" s="33" t="str" cm="1">
        <f t="array" aca="1" ref="A29" ca="1">IF($B29="","","R"&amp;RemoveDelimiter(SUBSTITUTE(SUBSTITUTE($K29,"AS",""),",","-"),"-"))</f>
        <v/>
      </c>
      <c r="B29" s="33" t="str" cm="1">
        <f t="array" aca="1" ref="B29" ca="1">IF($L29="","",_xlfn.LET(
_xlpm._finalAttackStep,$L29,
_xlpm._prepAttacks,RemoveFirstElement(_xlpm._finalAttackStep&amp;","&amp;$K29),
_xlpm._prepAttackNames,IFERROR(LookupNames(_xlpm._prepAttacks,'Attack Steps'!$A:$B),""),
_xlpm._delimiter,REPT(CHAR(150),55),
$L29&amp;" "&amp;SimpleLookup($L29,'Attack Steps'!$A:$B)&amp;
IF(_xlpm._prepAttackNames="","",CHAR(10)&amp;_xlpm._delimiter&amp;CHAR(10)&amp;_xlpm._prepAttackNames)))</f>
        <v/>
      </c>
      <c r="C29" s="34" t="str" cm="1">
        <f t="array" aca="1" ref="C29" ca="1">IFERROR(LookupNames($M29,'Damage Scenarios'!$A:$V),"")</f>
        <v/>
      </c>
      <c r="D29" s="33" t="str">
        <f ca="1">IFERROR(IF($T29=0,"",INDEX(Definitions!$Q:$Q,MATCH($T29,Definitions!$R:$R,0))),"")</f>
        <v/>
      </c>
      <c r="E29" s="34" t="str" cm="1">
        <f t="array" aca="1" ref="E29" ca="1">IF($A29="","",_xlfn.LET(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_xlpm._factorFunction($A29,$A:W,Definitions!$Y:$Y,Definitions!$AB:$AB,1)&amp;CHAR(10)&amp;
_xlpm._factorFunction($A29,$A:X,Definitions!$Y:$Y,Definitions!$AB:$AB,2)&amp;CHAR(10)&amp;
_xlpm._factorFunction($A29,$A:Y,Definitions!$Y:$Y,Definitions!$AB:$AB,3)&amp;CHAR(10)&amp;
_xlpm._factorFunction($A29,$A:Z,Definitions!$Y:$Y,Definitions!$AB:$AB,4)&amp;CHAR(10)&amp;
_xlpm._factorFunction($A29,$A:AA,Definitions!$Y:$Y,Definitions!$AB:$AB,5)))</f>
        <v/>
      </c>
      <c r="F29" s="33" t="str">
        <f ca="1">IF($A29="","",IFERROR(VLOOKUP($AG29,Definitions!$V:$W,COLUMNS(Definitions!$V:$W),TRUE),""))</f>
        <v/>
      </c>
      <c r="G29" s="33" t="str">
        <f ca="1">IFERROR(IF(OR($D29="",$F29=""),
"",
VLOOKUP($D29,Definitions!$AH:$AM,MATCH($F29,Definitions!$AH$3:$AM$3,0),FALSE)),
"")</f>
        <v/>
      </c>
      <c r="H29" s="23" cm="1">
        <f t="array" aca="1" ref="H29" ca="1">IF(ROW()=ROW($H$2)+1,0,INDEX($H:$H,ROW()-1))+IF($A29="",0,1)</f>
        <v>0</v>
      </c>
      <c r="I29" s="21" cm="1">
        <f t="array" aca="1" ref="I29" ca="1">IF(ROW()=ROW($I$2)+1,
1,
INDEX($I:$I,ROW()-1)+IF(INDEX($S:$S,ROW()-1),1,0))</f>
        <v>1</v>
      </c>
      <c r="J29" s="21">
        <f t="shared" ca="1" si="0"/>
        <v>27</v>
      </c>
      <c r="K29" s="21" t="str">
        <f t="shared" ca="1" si="40"/>
        <v/>
      </c>
      <c r="L29" s="21" t="str" cm="1">
        <f t="array" aca="1" ref="L29" ca="1">IF($P29="","",INDEX('Attack Steps'!$A:$A,$P29))</f>
        <v/>
      </c>
      <c r="M29" s="21" t="str" cm="1">
        <f t="array" aca="1" ref="M29" ca="1">IF($P29="","",INDEX('Attack Steps'!$T:$T,$P29))</f>
        <v/>
      </c>
      <c r="N29" s="21" t="str" cm="1">
        <f t="array" aca="1" ref="N29" ca="1">_xlfn.LET(_xlpm._dm,SanitizeInput(GetValuesWithFallback(SanitizeInput($AK29),Assumptions!$A:$I,Countermeasures!$A:$I,"",",",FALSE)),
IF(_xlpm._dm="","",","&amp;_xlpm._dm))</f>
        <v/>
      </c>
      <c r="O29" s="21" t="str" cm="1">
        <f t="array" aca="1" ref="O29" ca="1">ApplyDamageMitigation($M29,$N29,"")</f>
        <v/>
      </c>
      <c r="P29" s="21" t="str">
        <f ca="1">IFERROR(MATCH($I29,'Attack Steps'!$V:$V,0),"")</f>
        <v/>
      </c>
      <c r="Q29" s="21" t="str" cm="1">
        <f t="array" aca="1" ref="Q29" ca="1">IF($P29="","","§"&amp;INDEX('Attack Steps'!$S:$S,$P29))</f>
        <v/>
      </c>
      <c r="R29" s="21" t="str" cm="1">
        <f t="array" aca="1" ref="R29" ca="1">IF($P29="","",INDEX('Attack Steps'!$W:$W,$P29))</f>
        <v/>
      </c>
      <c r="S29" s="21" t="b">
        <f t="shared" ca="1" si="41"/>
        <v>0</v>
      </c>
      <c r="T29" s="21" cm="1">
        <f t="array" aca="1" ref="T29" ca="1">_xlfn.LAMBDA(_xlpm._in,_xlpm._val,_xlpm._range,
IF(_xlpm._in="",_xlpm._val,_xlfn.LET(
_xlpm._id,LEFT(_xlpm._in,FIND(",",_xlpm._in)-1),
CalculateMaxFromList(RemoveFirstElement(_xlpm._in),MAX(_xlpm._val,VLOOKUP(_xlpm._id,_xlpm._range,COLUMNS(_xlpm._range),FALSE)),_xlpm._range))))($M29,0,'Damage Scenarios'!$A:$U)</f>
        <v>0</v>
      </c>
      <c r="U29" s="21" cm="1">
        <f t="array" aca="1" ref="U29" ca="1">CalculateMaxFromList($O29,0,'Damage Scenarios'!$A:$U)</f>
        <v>0</v>
      </c>
      <c r="V29" s="21" t="str">
        <f ca="1">IF($U29=0,"",INDEX(Definitions!$Q:$Q,MATCH($U29,Definitions!$R:$R,0)))</f>
        <v/>
      </c>
      <c r="W29" s="21" t="str" cm="1">
        <f t="array" aca="1" ref="W29" ca="1">CalculateMaxAndElements($K29,0,"",'Attack Steps'!$A:X)</f>
        <v>0:</v>
      </c>
      <c r="X29" s="21" t="str" cm="1">
        <f t="array" aca="1" ref="X29" ca="1">CalculateMaxAndElements($K29,0,"",'Attack Steps'!$A:Y)</f>
        <v>0:</v>
      </c>
      <c r="Y29" s="21" t="str" cm="1">
        <f t="array" aca="1" ref="Y29" ca="1">CalculateMaxAndElements($K29,0,"",'Attack Steps'!$A:Z)</f>
        <v>0:</v>
      </c>
      <c r="Z29" s="21" t="str" cm="1">
        <f t="array" aca="1" ref="Z29" ca="1">CalculateMaxAndElements($K29,0,"",'Attack Steps'!$A:AA)</f>
        <v>0:</v>
      </c>
      <c r="AA29" s="21" t="str" cm="1">
        <f t="array" aca="1" ref="AA29" ca="1">CalculateMaxAndElements($K29,0,"",'Attack Steps'!$A:AB)</f>
        <v>0:</v>
      </c>
      <c r="AB29" s="21">
        <f t="shared" ca="1" si="42"/>
        <v>0</v>
      </c>
      <c r="AC29" s="21">
        <f t="shared" ca="1" si="43"/>
        <v>0</v>
      </c>
      <c r="AD29" s="21">
        <f t="shared" ca="1" si="44"/>
        <v>0</v>
      </c>
      <c r="AE29" s="21">
        <f t="shared" ca="1" si="45"/>
        <v>0</v>
      </c>
      <c r="AF29" s="21">
        <f t="shared" ca="1" si="46"/>
        <v>0</v>
      </c>
      <c r="AG29" s="21">
        <f t="shared" ca="1" si="3"/>
        <v>0</v>
      </c>
      <c r="AH29" s="21" t="str" cm="1">
        <f t="array" aca="1" ref="AH29" ca="1">IF(ROW()=ROW($AH$2)+1,"",INDEX($AH:$AH,ROW()-1))&amp;IF($A29="","",$A29&amp;",")</f>
        <v/>
      </c>
      <c r="AI29" s="21" t="str">
        <f t="shared" ca="1" si="47"/>
        <v/>
      </c>
      <c r="AJ29" s="21" cm="1">
        <f t="array" aca="1" ref="AJ29" ca="1">IF($G29="",0,SimpleLookup($G29,Definitions!$AE:$AF))</f>
        <v>0</v>
      </c>
      <c r="AK29" s="21" t="str" cm="1">
        <f t="array" aca="1" ref="AK29" ca="1">InverseLookup($A29,Mitigation!$U$2,Mitigation!$J$2,1,Helper!$B$5,",")</f>
        <v/>
      </c>
      <c r="AL29" s="21" t="str" cm="1">
        <f t="array" aca="1" ref="AL29" ca="1">CalculateMaxAndElementsWithFallback(SanitizeInput($AK29),0,"",Countermeasures!$A:Y,Assumptions!$A:Z)</f>
        <v>0:</v>
      </c>
      <c r="AM29" s="21" t="str" cm="1">
        <f t="array" aca="1" ref="AM29" ca="1">CalculateMaxAndElementsWithFallback(SanitizeInput($AK29),0,"",Countermeasures!$A:Z,Assumptions!$A:AA)</f>
        <v>0:</v>
      </c>
      <c r="AN29" s="21" t="str" cm="1">
        <f t="array" aca="1" ref="AN29" ca="1">CalculateMaxAndElementsWithFallback(SanitizeInput($AK29),0,"",Countermeasures!$A:AA,Assumptions!$A:AB)</f>
        <v>0:</v>
      </c>
      <c r="AO29" s="21" t="str" cm="1">
        <f t="array" aca="1" ref="AO29" ca="1">CalculateMaxAndElementsWithFallback(SanitizeInput($AK29),0,"",Countermeasures!$A:AB,Assumptions!$A:AC)</f>
        <v>0:</v>
      </c>
      <c r="AP29" s="21" t="str" cm="1">
        <f t="array" aca="1" ref="AP29" ca="1">CalculateMaxAndElementsWithFallback(SanitizeInput($AK29),0,"",Countermeasures!$A:AC,Assumptions!$A:AD)</f>
        <v>0:</v>
      </c>
      <c r="AQ29" s="21">
        <f t="shared" ca="1" si="48"/>
        <v>0</v>
      </c>
      <c r="AR29" s="21">
        <f t="shared" ca="1" si="49"/>
        <v>0</v>
      </c>
      <c r="AS29" s="21">
        <f t="shared" ca="1" si="50"/>
        <v>0</v>
      </c>
      <c r="AT29" s="21">
        <f t="shared" ca="1" si="51"/>
        <v>0</v>
      </c>
      <c r="AU29" s="21">
        <f t="shared" ca="1" si="52"/>
        <v>0</v>
      </c>
      <c r="AV29" s="21" t="str">
        <f t="shared" ca="1" si="53"/>
        <v>0:</v>
      </c>
      <c r="AW29" s="21" t="str">
        <f t="shared" ca="1" si="54"/>
        <v>0:</v>
      </c>
      <c r="AX29" s="21" t="str">
        <f t="shared" ca="1" si="55"/>
        <v>0:</v>
      </c>
      <c r="AY29" s="21" t="str">
        <f t="shared" ca="1" si="56"/>
        <v>0:</v>
      </c>
      <c r="AZ29" s="21" t="str">
        <f t="shared" ca="1" si="57"/>
        <v>0:</v>
      </c>
      <c r="BA29" s="21">
        <f t="shared" ca="1" si="58"/>
        <v>0</v>
      </c>
      <c r="BB29" s="21">
        <f t="shared" ca="1" si="59"/>
        <v>0</v>
      </c>
      <c r="BC29" s="21">
        <f t="shared" ca="1" si="60"/>
        <v>0</v>
      </c>
      <c r="BD29" s="21">
        <f t="shared" ca="1" si="61"/>
        <v>0</v>
      </c>
      <c r="BE29" s="21">
        <f t="shared" ca="1" si="62"/>
        <v>0</v>
      </c>
      <c r="BF29" s="21">
        <f t="shared" ca="1" si="9"/>
        <v>0</v>
      </c>
      <c r="BG29" s="21" t="str">
        <f ca="1">IFERROR(VLOOKUP($BF29,Definitions!$V:$W,COLUMNS(Definitions!$V:$W),TRUE),"")</f>
        <v>Basic</v>
      </c>
      <c r="BH29" s="21" t="str">
        <f ca="1">_xlfn.LET(
_xlpm._comments,GetValues($K29,Mitigation!$A:$O,"","",FALSE),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29" s="21" t="str" cm="1">
        <f t="array" aca="1" ref="BI29" ca="1">_xlfn.LET(
_xlpm._rapRange,Definitions!$W:$W,
_xlpm._calculatedRAP,$BG29,
_xlpm._inlineRAP,$BH29,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29" s="21" t="str">
        <f ca="1">IFERROR(IF(OR($V29="",$BI29=""),
Definitions!$AE$4,
VLOOKUP($V29,Definitions!$AH:$AM,MATCH($BI29,Definitions!$AH$3:$AM$3,0),FALSE)),
"")</f>
        <v>No Risk</v>
      </c>
      <c r="BK29" s="21" cm="1">
        <f t="array" aca="1" ref="BK29" ca="1">IF($BJ29="",0,SimpleLookup($BJ29,Definitions!$AE:$AF))</f>
        <v>0</v>
      </c>
      <c r="BL29" s="21" t="str" cm="1">
        <f t="array" aca="1" ref="BL29" ca="1">IFERROR(SimpleLookup($A29,Tracing!$B:$Z),"")</f>
        <v/>
      </c>
      <c r="BM29" s="21" t="str" cm="1">
        <f t="array" aca="1" ref="BM29" ca="1">_xlfn.LET(_xlpm._dm,SanitizeInput(GetValuesWithFallback(SanitizeInput($BL29),Assumptions!$A:$I,Countermeasures!$A:$I,"",",",FALSE)),
IF(_xlpm._dm="","",","&amp;_xlpm._dm))</f>
        <v/>
      </c>
      <c r="BN29" s="21" t="str" cm="1">
        <f t="array" aca="1" ref="BN29" ca="1">ApplyDamageMitigation($M29,$BM29,"")</f>
        <v/>
      </c>
      <c r="BO29" s="21" cm="1">
        <f t="array" aca="1" ref="BO29" ca="1">CalculateMaxFromList($BN29,0,'Damage Scenarios'!$A:$U)</f>
        <v>0</v>
      </c>
      <c r="BP29" s="21" t="str">
        <f ca="1">IF($BO29=0,"",INDEX(Definitions!$Q:$Q,MATCH($BO29,Definitions!$R:$R,0)))</f>
        <v/>
      </c>
      <c r="BQ29" s="21" t="str" cm="1">
        <f t="array" aca="1" ref="BQ29" ca="1">CalculateMaxAndElementsWithFallback(SanitizeInput($BL29),0,"",Countermeasures!$A:Y,Assumptions!$A:Z)</f>
        <v>0:</v>
      </c>
      <c r="BR29" s="21" t="str" cm="1">
        <f t="array" aca="1" ref="BR29" ca="1">CalculateMaxAndElementsWithFallback(SanitizeInput($BL29),0,"",Countermeasures!$A:Z,Assumptions!$A:AA)</f>
        <v>0:</v>
      </c>
      <c r="BS29" s="21" t="str" cm="1">
        <f t="array" aca="1" ref="BS29" ca="1">CalculateMaxAndElementsWithFallback(SanitizeInput($BL29),0,"",Countermeasures!$A:AA,Assumptions!$A:AB)</f>
        <v>0:</v>
      </c>
      <c r="BT29" s="21" t="str" cm="1">
        <f t="array" aca="1" ref="BT29" ca="1">CalculateMaxAndElementsWithFallback(SanitizeInput($BL29),0,"",Countermeasures!$A:AB,Assumptions!$A:AC)</f>
        <v>0:</v>
      </c>
      <c r="BU29" s="21" t="str" cm="1">
        <f t="array" aca="1" ref="BU29" ca="1">CalculateMaxAndElementsWithFallback(SanitizeInput($BL29),0,"",Countermeasures!$A:AC,Assumptions!$A:AD)</f>
        <v>0:</v>
      </c>
      <c r="BV29" s="21">
        <f t="shared" ca="1" si="25"/>
        <v>0</v>
      </c>
      <c r="BW29" s="21">
        <f t="shared" ca="1" si="26"/>
        <v>0</v>
      </c>
      <c r="BX29" s="21">
        <f t="shared" ca="1" si="27"/>
        <v>0</v>
      </c>
      <c r="BY29" s="21">
        <f t="shared" ca="1" si="28"/>
        <v>0</v>
      </c>
      <c r="BZ29" s="21">
        <f t="shared" ca="1" si="29"/>
        <v>0</v>
      </c>
      <c r="CA29" s="21" t="str">
        <f t="shared" ca="1" si="30"/>
        <v>0:</v>
      </c>
      <c r="CB29" s="21" t="str">
        <f t="shared" ca="1" si="31"/>
        <v>0:</v>
      </c>
      <c r="CC29" s="21" t="str">
        <f t="shared" ca="1" si="32"/>
        <v>0:</v>
      </c>
      <c r="CD29" s="21" t="str">
        <f t="shared" ca="1" si="33"/>
        <v>0:</v>
      </c>
      <c r="CE29" s="21" t="str">
        <f t="shared" ca="1" si="34"/>
        <v>0:</v>
      </c>
      <c r="CF29" s="21">
        <f t="shared" ca="1" si="35"/>
        <v>0</v>
      </c>
      <c r="CG29" s="21">
        <f t="shared" ca="1" si="36"/>
        <v>0</v>
      </c>
      <c r="CH29" s="21">
        <f t="shared" ca="1" si="37"/>
        <v>0</v>
      </c>
      <c r="CI29" s="21">
        <f t="shared" ca="1" si="38"/>
        <v>0</v>
      </c>
      <c r="CJ29" s="21">
        <f t="shared" ca="1" si="39"/>
        <v>0</v>
      </c>
      <c r="CK29" s="21">
        <f t="shared" ca="1" si="23"/>
        <v>0</v>
      </c>
      <c r="CL29" s="21" t="str">
        <f ca="1">IFERROR(VLOOKUP($CK29,Definitions!$V:$W,COLUMNS(Definitions!$V:$W),TRUE),"")</f>
        <v>Basic</v>
      </c>
      <c r="CM29" s="21" t="str">
        <f ca="1">_xlfn.LET(
_xlpm._comments,SimpleLookup($A29,Tracing!$B:$AB),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29" s="21" t="str" cm="1">
        <f t="array" aca="1" ref="CN29" ca="1">_xlfn.LET(
_xlpm._rapRange,Definitions!$W:$W,
_xlpm._calculatedRAP,$CL29,
_xlpm._inlineRAP,$CM29,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29" s="21" t="str">
        <f ca="1">IFERROR(IF(OR($BP29="",$CN29=""),
Definitions!$AE$4,
VLOOKUP($BP29,Definitions!$AH:$AM,MATCH($CN29,Definitions!$AH$3:$AM$3,0),FALSE)),
"")</f>
        <v>No Risk</v>
      </c>
      <c r="CP29" s="21" cm="1">
        <f t="array" aca="1" ref="CP29" ca="1">IF($CO29="",0,SimpleLookup($CO29,Definitions!$AE:$AF))</f>
        <v>0</v>
      </c>
      <c r="CQ29" s="21" t="b">
        <f ca="1">OR(AND($S29,$I29=Helper!$B$7),$I29&gt;Helper!$B$7)</f>
        <v>1</v>
      </c>
      <c r="CR29" s="21" t="str">
        <f t="shared" ca="1" si="24"/>
        <v/>
      </c>
      <c r="CS29" s="21" cm="1">
        <f t="array" aca="1" ref="CS29" ca="1">CreateID($CS$2,$CV:$CV,$CR29&lt;&gt;"")</f>
        <v>0</v>
      </c>
      <c r="CT29" s="21" t="str">
        <f ca="1">IF(IFERROR(MATCH(","&amp;A29&amp;",",'Risk Treatment'!$AT:$AT,0)&gt;0,FALSE),"",$A29)</f>
        <v/>
      </c>
      <c r="CU29" s="21" cm="1">
        <f t="array" aca="1" ref="CU29" ca="1">CreateID($CU$2,$CU:$CU,$CT29&lt;&gt;"")</f>
        <v>0</v>
      </c>
    </row>
    <row r="30" spans="1:99" x14ac:dyDescent="0.25">
      <c r="A30" s="33" t="str" cm="1">
        <f t="array" aca="1" ref="A30" ca="1">IF($B30="","","R"&amp;RemoveDelimiter(SUBSTITUTE(SUBSTITUTE($K30,"AS",""),",","-"),"-"))</f>
        <v/>
      </c>
      <c r="B30" s="33" t="str" cm="1">
        <f t="array" aca="1" ref="B30" ca="1">IF($L30="","",_xlfn.LET(
_xlpm._finalAttackStep,$L30,
_xlpm._prepAttacks,RemoveFirstElement(_xlpm._finalAttackStep&amp;","&amp;$K30),
_xlpm._prepAttackNames,IFERROR(LookupNames(_xlpm._prepAttacks,'Attack Steps'!$A:$B),""),
_xlpm._delimiter,REPT(CHAR(150),55),
$L30&amp;" "&amp;SimpleLookup($L30,'Attack Steps'!$A:$B)&amp;
IF(_xlpm._prepAttackNames="","",CHAR(10)&amp;_xlpm._delimiter&amp;CHAR(10)&amp;_xlpm._prepAttackNames)))</f>
        <v/>
      </c>
      <c r="C30" s="34" t="str" cm="1">
        <f t="array" aca="1" ref="C30" ca="1">IFERROR(LookupNames($M30,'Damage Scenarios'!$A:$V),"")</f>
        <v/>
      </c>
      <c r="D30" s="33" t="str">
        <f ca="1">IFERROR(IF($T30=0,"",INDEX(Definitions!$Q:$Q,MATCH($T30,Definitions!$R:$R,0))),"")</f>
        <v/>
      </c>
      <c r="E30" s="34" t="str" cm="1">
        <f t="array" aca="1" ref="E30" ca="1">IF($A30="","",_xlfn.LET(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_xlpm._factorFunction($A30,$A:W,Definitions!$Y:$Y,Definitions!$AB:$AB,1)&amp;CHAR(10)&amp;
_xlpm._factorFunction($A30,$A:X,Definitions!$Y:$Y,Definitions!$AB:$AB,2)&amp;CHAR(10)&amp;
_xlpm._factorFunction($A30,$A:Y,Definitions!$Y:$Y,Definitions!$AB:$AB,3)&amp;CHAR(10)&amp;
_xlpm._factorFunction($A30,$A:Z,Definitions!$Y:$Y,Definitions!$AB:$AB,4)&amp;CHAR(10)&amp;
_xlpm._factorFunction($A30,$A:AA,Definitions!$Y:$Y,Definitions!$AB:$AB,5)))</f>
        <v/>
      </c>
      <c r="F30" s="33" t="str">
        <f ca="1">IF($A30="","",IFERROR(VLOOKUP($AG30,Definitions!$V:$W,COLUMNS(Definitions!$V:$W),TRUE),""))</f>
        <v/>
      </c>
      <c r="G30" s="33" t="str">
        <f ca="1">IFERROR(IF(OR($D30="",$F30=""),
"",
VLOOKUP($D30,Definitions!$AH:$AM,MATCH($F30,Definitions!$AH$3:$AM$3,0),FALSE)),
"")</f>
        <v/>
      </c>
      <c r="H30" s="23" cm="1">
        <f t="array" aca="1" ref="H30" ca="1">IF(ROW()=ROW($H$2)+1,0,INDEX($H:$H,ROW()-1))+IF($A30="",0,1)</f>
        <v>0</v>
      </c>
      <c r="I30" s="21" cm="1">
        <f t="array" aca="1" ref="I30" ca="1">IF(ROW()=ROW($I$2)+1,
1,
INDEX($I:$I,ROW()-1)+IF(INDEX($S:$S,ROW()-1),1,0))</f>
        <v>1</v>
      </c>
      <c r="J30" s="21">
        <f t="shared" ca="1" si="0"/>
        <v>28</v>
      </c>
      <c r="K30" s="21" t="str">
        <f t="shared" ca="1" si="40"/>
        <v/>
      </c>
      <c r="L30" s="21" t="str" cm="1">
        <f t="array" aca="1" ref="L30" ca="1">IF($P30="","",INDEX('Attack Steps'!$A:$A,$P30))</f>
        <v/>
      </c>
      <c r="M30" s="21" t="str" cm="1">
        <f t="array" aca="1" ref="M30" ca="1">IF($P30="","",INDEX('Attack Steps'!$T:$T,$P30))</f>
        <v/>
      </c>
      <c r="N30" s="21" t="str" cm="1">
        <f t="array" aca="1" ref="N30" ca="1">_xlfn.LET(_xlpm._dm,SanitizeInput(GetValuesWithFallback(SanitizeInput($AK30),Assumptions!$A:$I,Countermeasures!$A:$I,"",",",FALSE)),
IF(_xlpm._dm="","",","&amp;_xlpm._dm))</f>
        <v/>
      </c>
      <c r="O30" s="21" t="str" cm="1">
        <f t="array" aca="1" ref="O30" ca="1">ApplyDamageMitigation($M30,$N30,"")</f>
        <v/>
      </c>
      <c r="P30" s="21" t="str">
        <f ca="1">IFERROR(MATCH($I30,'Attack Steps'!$V:$V,0),"")</f>
        <v/>
      </c>
      <c r="Q30" s="21" t="str" cm="1">
        <f t="array" aca="1" ref="Q30" ca="1">IF($P30="","","§"&amp;INDEX('Attack Steps'!$S:$S,$P30))</f>
        <v/>
      </c>
      <c r="R30" s="21" t="str" cm="1">
        <f t="array" aca="1" ref="R30" ca="1">IF($P30="","",INDEX('Attack Steps'!$W:$W,$P30))</f>
        <v/>
      </c>
      <c r="S30" s="21" t="b">
        <f t="shared" ca="1" si="41"/>
        <v>0</v>
      </c>
      <c r="T30" s="21" cm="1">
        <f t="array" aca="1" ref="T30" ca="1">_xlfn.LAMBDA(_xlpm._in,_xlpm._val,_xlpm._range,
IF(_xlpm._in="",_xlpm._val,_xlfn.LET(
_xlpm._id,LEFT(_xlpm._in,FIND(",",_xlpm._in)-1),
CalculateMaxFromList(RemoveFirstElement(_xlpm._in),MAX(_xlpm._val,VLOOKUP(_xlpm._id,_xlpm._range,COLUMNS(_xlpm._range),FALSE)),_xlpm._range))))($M30,0,'Damage Scenarios'!$A:$U)</f>
        <v>0</v>
      </c>
      <c r="U30" s="21" cm="1">
        <f t="array" aca="1" ref="U30" ca="1">CalculateMaxFromList($O30,0,'Damage Scenarios'!$A:$U)</f>
        <v>0</v>
      </c>
      <c r="V30" s="21" t="str">
        <f ca="1">IF($U30=0,"",INDEX(Definitions!$Q:$Q,MATCH($U30,Definitions!$R:$R,0)))</f>
        <v/>
      </c>
      <c r="W30" s="21" t="str" cm="1">
        <f t="array" aca="1" ref="W30" ca="1">CalculateMaxAndElements($K30,0,"",'Attack Steps'!$A:X)</f>
        <v>0:</v>
      </c>
      <c r="X30" s="21" t="str" cm="1">
        <f t="array" aca="1" ref="X30" ca="1">CalculateMaxAndElements($K30,0,"",'Attack Steps'!$A:Y)</f>
        <v>0:</v>
      </c>
      <c r="Y30" s="21" t="str" cm="1">
        <f t="array" aca="1" ref="Y30" ca="1">CalculateMaxAndElements($K30,0,"",'Attack Steps'!$A:Z)</f>
        <v>0:</v>
      </c>
      <c r="Z30" s="21" t="str" cm="1">
        <f t="array" aca="1" ref="Z30" ca="1">CalculateMaxAndElements($K30,0,"",'Attack Steps'!$A:AA)</f>
        <v>0:</v>
      </c>
      <c r="AA30" s="21" t="str" cm="1">
        <f t="array" aca="1" ref="AA30" ca="1">CalculateMaxAndElements($K30,0,"",'Attack Steps'!$A:AB)</f>
        <v>0:</v>
      </c>
      <c r="AB30" s="21">
        <f t="shared" ca="1" si="42"/>
        <v>0</v>
      </c>
      <c r="AC30" s="21">
        <f t="shared" ca="1" si="43"/>
        <v>0</v>
      </c>
      <c r="AD30" s="21">
        <f t="shared" ca="1" si="44"/>
        <v>0</v>
      </c>
      <c r="AE30" s="21">
        <f t="shared" ca="1" si="45"/>
        <v>0</v>
      </c>
      <c r="AF30" s="21">
        <f t="shared" ca="1" si="46"/>
        <v>0</v>
      </c>
      <c r="AG30" s="21">
        <f t="shared" ca="1" si="3"/>
        <v>0</v>
      </c>
      <c r="AH30" s="21" t="str" cm="1">
        <f t="array" aca="1" ref="AH30" ca="1">IF(ROW()=ROW($AH$2)+1,"",INDEX($AH:$AH,ROW()-1))&amp;IF($A30="","",$A30&amp;",")</f>
        <v/>
      </c>
      <c r="AI30" s="21" t="str">
        <f t="shared" ca="1" si="47"/>
        <v/>
      </c>
      <c r="AJ30" s="21" cm="1">
        <f t="array" aca="1" ref="AJ30" ca="1">IF($G30="",0,SimpleLookup($G30,Definitions!$AE:$AF))</f>
        <v>0</v>
      </c>
      <c r="AK30" s="21" t="str" cm="1">
        <f t="array" aca="1" ref="AK30" ca="1">InverseLookup($A30,Mitigation!$U$2,Mitigation!$J$2,1,Helper!$B$5,",")</f>
        <v/>
      </c>
      <c r="AL30" s="21" t="str" cm="1">
        <f t="array" aca="1" ref="AL30" ca="1">CalculateMaxAndElementsWithFallback(SanitizeInput($AK30),0,"",Countermeasures!$A:Y,Assumptions!$A:Z)</f>
        <v>0:</v>
      </c>
      <c r="AM30" s="21" t="str" cm="1">
        <f t="array" aca="1" ref="AM30" ca="1">CalculateMaxAndElementsWithFallback(SanitizeInput($AK30),0,"",Countermeasures!$A:Z,Assumptions!$A:AA)</f>
        <v>0:</v>
      </c>
      <c r="AN30" s="21" t="str" cm="1">
        <f t="array" aca="1" ref="AN30" ca="1">CalculateMaxAndElementsWithFallback(SanitizeInput($AK30),0,"",Countermeasures!$A:AA,Assumptions!$A:AB)</f>
        <v>0:</v>
      </c>
      <c r="AO30" s="21" t="str" cm="1">
        <f t="array" aca="1" ref="AO30" ca="1">CalculateMaxAndElementsWithFallback(SanitizeInput($AK30),0,"",Countermeasures!$A:AB,Assumptions!$A:AC)</f>
        <v>0:</v>
      </c>
      <c r="AP30" s="21" t="str" cm="1">
        <f t="array" aca="1" ref="AP30" ca="1">CalculateMaxAndElementsWithFallback(SanitizeInput($AK30),0,"",Countermeasures!$A:AC,Assumptions!$A:AD)</f>
        <v>0:</v>
      </c>
      <c r="AQ30" s="21">
        <f t="shared" ca="1" si="48"/>
        <v>0</v>
      </c>
      <c r="AR30" s="21">
        <f t="shared" ca="1" si="49"/>
        <v>0</v>
      </c>
      <c r="AS30" s="21">
        <f t="shared" ca="1" si="50"/>
        <v>0</v>
      </c>
      <c r="AT30" s="21">
        <f t="shared" ca="1" si="51"/>
        <v>0</v>
      </c>
      <c r="AU30" s="21">
        <f t="shared" ca="1" si="52"/>
        <v>0</v>
      </c>
      <c r="AV30" s="21" t="str">
        <f t="shared" ca="1" si="53"/>
        <v>0:</v>
      </c>
      <c r="AW30" s="21" t="str">
        <f t="shared" ca="1" si="54"/>
        <v>0:</v>
      </c>
      <c r="AX30" s="21" t="str">
        <f t="shared" ca="1" si="55"/>
        <v>0:</v>
      </c>
      <c r="AY30" s="21" t="str">
        <f t="shared" ca="1" si="56"/>
        <v>0:</v>
      </c>
      <c r="AZ30" s="21" t="str">
        <f t="shared" ca="1" si="57"/>
        <v>0:</v>
      </c>
      <c r="BA30" s="21">
        <f t="shared" ca="1" si="58"/>
        <v>0</v>
      </c>
      <c r="BB30" s="21">
        <f t="shared" ca="1" si="59"/>
        <v>0</v>
      </c>
      <c r="BC30" s="21">
        <f t="shared" ca="1" si="60"/>
        <v>0</v>
      </c>
      <c r="BD30" s="21">
        <f t="shared" ca="1" si="61"/>
        <v>0</v>
      </c>
      <c r="BE30" s="21">
        <f t="shared" ca="1" si="62"/>
        <v>0</v>
      </c>
      <c r="BF30" s="21">
        <f t="shared" ca="1" si="9"/>
        <v>0</v>
      </c>
      <c r="BG30" s="21" t="str">
        <f ca="1">IFERROR(VLOOKUP($BF30,Definitions!$V:$W,COLUMNS(Definitions!$V:$W),TRUE),"")</f>
        <v>Basic</v>
      </c>
      <c r="BH30" s="21" t="str">
        <f ca="1">_xlfn.LET(
_xlpm._comments,GetValues($K30,Mitigation!$A:$O,"","",FALSE),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30" s="21" t="str" cm="1">
        <f t="array" aca="1" ref="BI30" ca="1">_xlfn.LET(
_xlpm._rapRange,Definitions!$W:$W,
_xlpm._calculatedRAP,$BG30,
_xlpm._inlineRAP,$BH30,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30" s="21" t="str">
        <f ca="1">IFERROR(IF(OR($V30="",$BI30=""),
Definitions!$AE$4,
VLOOKUP($V30,Definitions!$AH:$AM,MATCH($BI30,Definitions!$AH$3:$AM$3,0),FALSE)),
"")</f>
        <v>No Risk</v>
      </c>
      <c r="BK30" s="21" cm="1">
        <f t="array" aca="1" ref="BK30" ca="1">IF($BJ30="",0,SimpleLookup($BJ30,Definitions!$AE:$AF))</f>
        <v>0</v>
      </c>
      <c r="BL30" s="21" t="str" cm="1">
        <f t="array" aca="1" ref="BL30" ca="1">IFERROR(SimpleLookup($A30,Tracing!$B:$Z),"")</f>
        <v/>
      </c>
      <c r="BM30" s="21" t="str" cm="1">
        <f t="array" aca="1" ref="BM30" ca="1">_xlfn.LET(_xlpm._dm,SanitizeInput(GetValuesWithFallback(SanitizeInput($BL30),Assumptions!$A:$I,Countermeasures!$A:$I,"",",",FALSE)),
IF(_xlpm._dm="","",","&amp;_xlpm._dm))</f>
        <v/>
      </c>
      <c r="BN30" s="21" t="str" cm="1">
        <f t="array" aca="1" ref="BN30" ca="1">ApplyDamageMitigation($M30,$BM30,"")</f>
        <v/>
      </c>
      <c r="BO30" s="21" cm="1">
        <f t="array" aca="1" ref="BO30" ca="1">CalculateMaxFromList($BN30,0,'Damage Scenarios'!$A:$U)</f>
        <v>0</v>
      </c>
      <c r="BP30" s="21" t="str">
        <f ca="1">IF($BO30=0,"",INDEX(Definitions!$Q:$Q,MATCH($BO30,Definitions!$R:$R,0)))</f>
        <v/>
      </c>
      <c r="BQ30" s="21" t="str" cm="1">
        <f t="array" aca="1" ref="BQ30" ca="1">CalculateMaxAndElementsWithFallback(SanitizeInput($BL30),0,"",Countermeasures!$A:Y,Assumptions!$A:Z)</f>
        <v>0:</v>
      </c>
      <c r="BR30" s="21" t="str" cm="1">
        <f t="array" aca="1" ref="BR30" ca="1">CalculateMaxAndElementsWithFallback(SanitizeInput($BL30),0,"",Countermeasures!$A:Z,Assumptions!$A:AA)</f>
        <v>0:</v>
      </c>
      <c r="BS30" s="21" t="str" cm="1">
        <f t="array" aca="1" ref="BS30" ca="1">CalculateMaxAndElementsWithFallback(SanitizeInput($BL30),0,"",Countermeasures!$A:AA,Assumptions!$A:AB)</f>
        <v>0:</v>
      </c>
      <c r="BT30" s="21" t="str" cm="1">
        <f t="array" aca="1" ref="BT30" ca="1">CalculateMaxAndElementsWithFallback(SanitizeInput($BL30),0,"",Countermeasures!$A:AB,Assumptions!$A:AC)</f>
        <v>0:</v>
      </c>
      <c r="BU30" s="21" t="str" cm="1">
        <f t="array" aca="1" ref="BU30" ca="1">CalculateMaxAndElementsWithFallback(SanitizeInput($BL30),0,"",Countermeasures!$A:AC,Assumptions!$A:AD)</f>
        <v>0:</v>
      </c>
      <c r="BV30" s="21">
        <f t="shared" ca="1" si="25"/>
        <v>0</v>
      </c>
      <c r="BW30" s="21">
        <f t="shared" ca="1" si="26"/>
        <v>0</v>
      </c>
      <c r="BX30" s="21">
        <f t="shared" ca="1" si="27"/>
        <v>0</v>
      </c>
      <c r="BY30" s="21">
        <f t="shared" ca="1" si="28"/>
        <v>0</v>
      </c>
      <c r="BZ30" s="21">
        <f t="shared" ca="1" si="29"/>
        <v>0</v>
      </c>
      <c r="CA30" s="21" t="str">
        <f t="shared" ca="1" si="30"/>
        <v>0:</v>
      </c>
      <c r="CB30" s="21" t="str">
        <f t="shared" ca="1" si="31"/>
        <v>0:</v>
      </c>
      <c r="CC30" s="21" t="str">
        <f t="shared" ca="1" si="32"/>
        <v>0:</v>
      </c>
      <c r="CD30" s="21" t="str">
        <f t="shared" ca="1" si="33"/>
        <v>0:</v>
      </c>
      <c r="CE30" s="21" t="str">
        <f t="shared" ca="1" si="34"/>
        <v>0:</v>
      </c>
      <c r="CF30" s="21">
        <f t="shared" ca="1" si="35"/>
        <v>0</v>
      </c>
      <c r="CG30" s="21">
        <f t="shared" ca="1" si="36"/>
        <v>0</v>
      </c>
      <c r="CH30" s="21">
        <f t="shared" ca="1" si="37"/>
        <v>0</v>
      </c>
      <c r="CI30" s="21">
        <f t="shared" ca="1" si="38"/>
        <v>0</v>
      </c>
      <c r="CJ30" s="21">
        <f t="shared" ca="1" si="39"/>
        <v>0</v>
      </c>
      <c r="CK30" s="21">
        <f t="shared" ca="1" si="23"/>
        <v>0</v>
      </c>
      <c r="CL30" s="21" t="str">
        <f ca="1">IFERROR(VLOOKUP($CK30,Definitions!$V:$W,COLUMNS(Definitions!$V:$W),TRUE),"")</f>
        <v>Basic</v>
      </c>
      <c r="CM30" s="21" t="str">
        <f ca="1">_xlfn.LET(
_xlpm._comments,SimpleLookup($A30,Tracing!$B:$AB),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30" s="21" t="str" cm="1">
        <f t="array" aca="1" ref="CN30" ca="1">_xlfn.LET(
_xlpm._rapRange,Definitions!$W:$W,
_xlpm._calculatedRAP,$CL30,
_xlpm._inlineRAP,$CM30,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30" s="21" t="str">
        <f ca="1">IFERROR(IF(OR($BP30="",$CN30=""),
Definitions!$AE$4,
VLOOKUP($BP30,Definitions!$AH:$AM,MATCH($CN30,Definitions!$AH$3:$AM$3,0),FALSE)),
"")</f>
        <v>No Risk</v>
      </c>
      <c r="CP30" s="21" cm="1">
        <f t="array" aca="1" ref="CP30" ca="1">IF($CO30="",0,SimpleLookup($CO30,Definitions!$AE:$AF))</f>
        <v>0</v>
      </c>
      <c r="CQ30" s="21" t="b">
        <f ca="1">OR(AND($S30,$I30=Helper!$B$7),$I30&gt;Helper!$B$7)</f>
        <v>1</v>
      </c>
      <c r="CR30" s="21" t="str">
        <f t="shared" ca="1" si="24"/>
        <v/>
      </c>
      <c r="CS30" s="21" cm="1">
        <f t="array" aca="1" ref="CS30" ca="1">CreateID($CS$2,$CV:$CV,$CR30&lt;&gt;"")</f>
        <v>0</v>
      </c>
      <c r="CT30" s="21" t="str">
        <f ca="1">IF(IFERROR(MATCH(","&amp;A30&amp;",",'Risk Treatment'!$AT:$AT,0)&gt;0,FALSE),"",$A30)</f>
        <v/>
      </c>
      <c r="CU30" s="21" cm="1">
        <f t="array" aca="1" ref="CU30" ca="1">CreateID($CU$2,$CU:$CU,$CT30&lt;&gt;"")</f>
        <v>0</v>
      </c>
    </row>
    <row r="31" spans="1:99" x14ac:dyDescent="0.25">
      <c r="A31" s="33" t="str" cm="1">
        <f t="array" aca="1" ref="A31" ca="1">IF($B31="","","R"&amp;RemoveDelimiter(SUBSTITUTE(SUBSTITUTE($K31,"AS",""),",","-"),"-"))</f>
        <v/>
      </c>
      <c r="B31" s="33" t="str" cm="1">
        <f t="array" aca="1" ref="B31" ca="1">IF($L31="","",_xlfn.LET(
_xlpm._finalAttackStep,$L31,
_xlpm._prepAttacks,RemoveFirstElement(_xlpm._finalAttackStep&amp;","&amp;$K31),
_xlpm._prepAttackNames,IFERROR(LookupNames(_xlpm._prepAttacks,'Attack Steps'!$A:$B),""),
_xlpm._delimiter,REPT(CHAR(150),55),
$L31&amp;" "&amp;SimpleLookup($L31,'Attack Steps'!$A:$B)&amp;
IF(_xlpm._prepAttackNames="","",CHAR(10)&amp;_xlpm._delimiter&amp;CHAR(10)&amp;_xlpm._prepAttackNames)))</f>
        <v/>
      </c>
      <c r="C31" s="34" t="str" cm="1">
        <f t="array" aca="1" ref="C31" ca="1">IFERROR(LookupNames($M31,'Damage Scenarios'!$A:$V),"")</f>
        <v/>
      </c>
      <c r="D31" s="33" t="str">
        <f ca="1">IFERROR(IF($T31=0,"",INDEX(Definitions!$Q:$Q,MATCH($T31,Definitions!$R:$R,0))),"")</f>
        <v/>
      </c>
      <c r="E31" s="34" t="str" cm="1">
        <f t="array" aca="1" ref="E31" ca="1">IF($A31="","",_xlfn.LET(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_xlpm._factorFunction($A31,$A:W,Definitions!$Y:$Y,Definitions!$AB:$AB,1)&amp;CHAR(10)&amp;
_xlpm._factorFunction($A31,$A:X,Definitions!$Y:$Y,Definitions!$AB:$AB,2)&amp;CHAR(10)&amp;
_xlpm._factorFunction($A31,$A:Y,Definitions!$Y:$Y,Definitions!$AB:$AB,3)&amp;CHAR(10)&amp;
_xlpm._factorFunction($A31,$A:Z,Definitions!$Y:$Y,Definitions!$AB:$AB,4)&amp;CHAR(10)&amp;
_xlpm._factorFunction($A31,$A:AA,Definitions!$Y:$Y,Definitions!$AB:$AB,5)))</f>
        <v/>
      </c>
      <c r="F31" s="33" t="str">
        <f ca="1">IF($A31="","",IFERROR(VLOOKUP($AG31,Definitions!$V:$W,COLUMNS(Definitions!$V:$W),TRUE),""))</f>
        <v/>
      </c>
      <c r="G31" s="33" t="str">
        <f ca="1">IFERROR(IF(OR($D31="",$F31=""),
"",
VLOOKUP($D31,Definitions!$AH:$AM,MATCH($F31,Definitions!$AH$3:$AM$3,0),FALSE)),
"")</f>
        <v/>
      </c>
      <c r="H31" s="23" cm="1">
        <f t="array" aca="1" ref="H31" ca="1">IF(ROW()=ROW($H$2)+1,0,INDEX($H:$H,ROW()-1))+IF($A31="",0,1)</f>
        <v>0</v>
      </c>
      <c r="I31" s="21" cm="1">
        <f t="array" aca="1" ref="I31" ca="1">IF(ROW()=ROW($I$2)+1,
1,
INDEX($I:$I,ROW()-1)+IF(INDEX($S:$S,ROW()-1),1,0))</f>
        <v>1</v>
      </c>
      <c r="J31" s="21">
        <f t="shared" ca="1" si="0"/>
        <v>29</v>
      </c>
      <c r="K31" s="21" t="str">
        <f t="shared" ca="1" si="40"/>
        <v/>
      </c>
      <c r="L31" s="21" t="str" cm="1">
        <f t="array" aca="1" ref="L31" ca="1">IF($P31="","",INDEX('Attack Steps'!$A:$A,$P31))</f>
        <v/>
      </c>
      <c r="M31" s="21" t="str" cm="1">
        <f t="array" aca="1" ref="M31" ca="1">IF($P31="","",INDEX('Attack Steps'!$T:$T,$P31))</f>
        <v/>
      </c>
      <c r="N31" s="21" t="str" cm="1">
        <f t="array" aca="1" ref="N31" ca="1">_xlfn.LET(_xlpm._dm,SanitizeInput(GetValuesWithFallback(SanitizeInput($AK31),Assumptions!$A:$I,Countermeasures!$A:$I,"",",",FALSE)),
IF(_xlpm._dm="","",","&amp;_xlpm._dm))</f>
        <v/>
      </c>
      <c r="O31" s="21" t="str" cm="1">
        <f t="array" aca="1" ref="O31" ca="1">ApplyDamageMitigation($M31,$N31,"")</f>
        <v/>
      </c>
      <c r="P31" s="21" t="str">
        <f ca="1">IFERROR(MATCH($I31,'Attack Steps'!$V:$V,0),"")</f>
        <v/>
      </c>
      <c r="Q31" s="21" t="str" cm="1">
        <f t="array" aca="1" ref="Q31" ca="1">IF($P31="","","§"&amp;INDEX('Attack Steps'!$S:$S,$P31))</f>
        <v/>
      </c>
      <c r="R31" s="21" t="str" cm="1">
        <f t="array" aca="1" ref="R31" ca="1">IF($P31="","",INDEX('Attack Steps'!$W:$W,$P31))</f>
        <v/>
      </c>
      <c r="S31" s="21" t="b">
        <f t="shared" ca="1" si="41"/>
        <v>0</v>
      </c>
      <c r="T31" s="21" cm="1">
        <f t="array" aca="1" ref="T31" ca="1">_xlfn.LAMBDA(_xlpm._in,_xlpm._val,_xlpm._range,
IF(_xlpm._in="",_xlpm._val,_xlfn.LET(
_xlpm._id,LEFT(_xlpm._in,FIND(",",_xlpm._in)-1),
CalculateMaxFromList(RemoveFirstElement(_xlpm._in),MAX(_xlpm._val,VLOOKUP(_xlpm._id,_xlpm._range,COLUMNS(_xlpm._range),FALSE)),_xlpm._range))))($M31,0,'Damage Scenarios'!$A:$U)</f>
        <v>0</v>
      </c>
      <c r="U31" s="21" cm="1">
        <f t="array" aca="1" ref="U31" ca="1">CalculateMaxFromList($O31,0,'Damage Scenarios'!$A:$U)</f>
        <v>0</v>
      </c>
      <c r="V31" s="21" t="str">
        <f ca="1">IF($U31=0,"",INDEX(Definitions!$Q:$Q,MATCH($U31,Definitions!$R:$R,0)))</f>
        <v/>
      </c>
      <c r="W31" s="21" t="str" cm="1">
        <f t="array" aca="1" ref="W31" ca="1">CalculateMaxAndElements($K31,0,"",'Attack Steps'!$A:X)</f>
        <v>0:</v>
      </c>
      <c r="X31" s="21" t="str" cm="1">
        <f t="array" aca="1" ref="X31" ca="1">CalculateMaxAndElements($K31,0,"",'Attack Steps'!$A:Y)</f>
        <v>0:</v>
      </c>
      <c r="Y31" s="21" t="str" cm="1">
        <f t="array" aca="1" ref="Y31" ca="1">CalculateMaxAndElements($K31,0,"",'Attack Steps'!$A:Z)</f>
        <v>0:</v>
      </c>
      <c r="Z31" s="21" t="str" cm="1">
        <f t="array" aca="1" ref="Z31" ca="1">CalculateMaxAndElements($K31,0,"",'Attack Steps'!$A:AA)</f>
        <v>0:</v>
      </c>
      <c r="AA31" s="21" t="str" cm="1">
        <f t="array" aca="1" ref="AA31" ca="1">CalculateMaxAndElements($K31,0,"",'Attack Steps'!$A:AB)</f>
        <v>0:</v>
      </c>
      <c r="AB31" s="21">
        <f t="shared" ca="1" si="42"/>
        <v>0</v>
      </c>
      <c r="AC31" s="21">
        <f t="shared" ca="1" si="43"/>
        <v>0</v>
      </c>
      <c r="AD31" s="21">
        <f t="shared" ca="1" si="44"/>
        <v>0</v>
      </c>
      <c r="AE31" s="21">
        <f t="shared" ca="1" si="45"/>
        <v>0</v>
      </c>
      <c r="AF31" s="21">
        <f t="shared" ca="1" si="46"/>
        <v>0</v>
      </c>
      <c r="AG31" s="21">
        <f t="shared" ca="1" si="3"/>
        <v>0</v>
      </c>
      <c r="AH31" s="21" t="str" cm="1">
        <f t="array" aca="1" ref="AH31" ca="1">IF(ROW()=ROW($AH$2)+1,"",INDEX($AH:$AH,ROW()-1))&amp;IF($A31="","",$A31&amp;",")</f>
        <v/>
      </c>
      <c r="AI31" s="21" t="str">
        <f t="shared" ca="1" si="47"/>
        <v/>
      </c>
      <c r="AJ31" s="21" cm="1">
        <f t="array" aca="1" ref="AJ31" ca="1">IF($G31="",0,SimpleLookup($G31,Definitions!$AE:$AF))</f>
        <v>0</v>
      </c>
      <c r="AK31" s="21" t="str" cm="1">
        <f t="array" aca="1" ref="AK31" ca="1">InverseLookup($A31,Mitigation!$U$2,Mitigation!$J$2,1,Helper!$B$5,",")</f>
        <v/>
      </c>
      <c r="AL31" s="21" t="str" cm="1">
        <f t="array" aca="1" ref="AL31" ca="1">CalculateMaxAndElementsWithFallback(SanitizeInput($AK31),0,"",Countermeasures!$A:Y,Assumptions!$A:Z)</f>
        <v>0:</v>
      </c>
      <c r="AM31" s="21" t="str" cm="1">
        <f t="array" aca="1" ref="AM31" ca="1">CalculateMaxAndElementsWithFallback(SanitizeInput($AK31),0,"",Countermeasures!$A:Z,Assumptions!$A:AA)</f>
        <v>0:</v>
      </c>
      <c r="AN31" s="21" t="str" cm="1">
        <f t="array" aca="1" ref="AN31" ca="1">CalculateMaxAndElementsWithFallback(SanitizeInput($AK31),0,"",Countermeasures!$A:AA,Assumptions!$A:AB)</f>
        <v>0:</v>
      </c>
      <c r="AO31" s="21" t="str" cm="1">
        <f t="array" aca="1" ref="AO31" ca="1">CalculateMaxAndElementsWithFallback(SanitizeInput($AK31),0,"",Countermeasures!$A:AB,Assumptions!$A:AC)</f>
        <v>0:</v>
      </c>
      <c r="AP31" s="21" t="str" cm="1">
        <f t="array" aca="1" ref="AP31" ca="1">CalculateMaxAndElementsWithFallback(SanitizeInput($AK31),0,"",Countermeasures!$A:AC,Assumptions!$A:AD)</f>
        <v>0:</v>
      </c>
      <c r="AQ31" s="21">
        <f t="shared" ca="1" si="48"/>
        <v>0</v>
      </c>
      <c r="AR31" s="21">
        <f t="shared" ca="1" si="49"/>
        <v>0</v>
      </c>
      <c r="AS31" s="21">
        <f t="shared" ca="1" si="50"/>
        <v>0</v>
      </c>
      <c r="AT31" s="21">
        <f t="shared" ca="1" si="51"/>
        <v>0</v>
      </c>
      <c r="AU31" s="21">
        <f t="shared" ca="1" si="52"/>
        <v>0</v>
      </c>
      <c r="AV31" s="21" t="str">
        <f t="shared" ca="1" si="53"/>
        <v>0:</v>
      </c>
      <c r="AW31" s="21" t="str">
        <f t="shared" ca="1" si="54"/>
        <v>0:</v>
      </c>
      <c r="AX31" s="21" t="str">
        <f t="shared" ca="1" si="55"/>
        <v>0:</v>
      </c>
      <c r="AY31" s="21" t="str">
        <f t="shared" ca="1" si="56"/>
        <v>0:</v>
      </c>
      <c r="AZ31" s="21" t="str">
        <f t="shared" ca="1" si="57"/>
        <v>0:</v>
      </c>
      <c r="BA31" s="21">
        <f t="shared" ca="1" si="58"/>
        <v>0</v>
      </c>
      <c r="BB31" s="21">
        <f t="shared" ca="1" si="59"/>
        <v>0</v>
      </c>
      <c r="BC31" s="21">
        <f t="shared" ca="1" si="60"/>
        <v>0</v>
      </c>
      <c r="BD31" s="21">
        <f t="shared" ca="1" si="61"/>
        <v>0</v>
      </c>
      <c r="BE31" s="21">
        <f t="shared" ca="1" si="62"/>
        <v>0</v>
      </c>
      <c r="BF31" s="21">
        <f t="shared" ca="1" si="9"/>
        <v>0</v>
      </c>
      <c r="BG31" s="21" t="str">
        <f ca="1">IFERROR(VLOOKUP($BF31,Definitions!$V:$W,COLUMNS(Definitions!$V:$W),TRUE),"")</f>
        <v>Basic</v>
      </c>
      <c r="BH31" s="21" t="str">
        <f ca="1">_xlfn.LET(
_xlpm._comments,GetValues($K31,Mitigation!$A:$O,"","",FALSE),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31" s="21" t="str" cm="1">
        <f t="array" aca="1" ref="BI31" ca="1">_xlfn.LET(
_xlpm._rapRange,Definitions!$W:$W,
_xlpm._calculatedRAP,$BG31,
_xlpm._inlineRAP,$BH31,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31" s="21" t="str">
        <f ca="1">IFERROR(IF(OR($V31="",$BI31=""),
Definitions!$AE$4,
VLOOKUP($V31,Definitions!$AH:$AM,MATCH($BI31,Definitions!$AH$3:$AM$3,0),FALSE)),
"")</f>
        <v>No Risk</v>
      </c>
      <c r="BK31" s="21" cm="1">
        <f t="array" aca="1" ref="BK31" ca="1">IF($BJ31="",0,SimpleLookup($BJ31,Definitions!$AE:$AF))</f>
        <v>0</v>
      </c>
      <c r="BL31" s="21" t="str" cm="1">
        <f t="array" aca="1" ref="BL31" ca="1">IFERROR(SimpleLookup($A31,Tracing!$B:$Z),"")</f>
        <v/>
      </c>
      <c r="BM31" s="21" t="str" cm="1">
        <f t="array" aca="1" ref="BM31" ca="1">_xlfn.LET(_xlpm._dm,SanitizeInput(GetValuesWithFallback(SanitizeInput($BL31),Assumptions!$A:$I,Countermeasures!$A:$I,"",",",FALSE)),
IF(_xlpm._dm="","",","&amp;_xlpm._dm))</f>
        <v/>
      </c>
      <c r="BN31" s="21" t="str" cm="1">
        <f t="array" aca="1" ref="BN31" ca="1">ApplyDamageMitigation($M31,$BM31,"")</f>
        <v/>
      </c>
      <c r="BO31" s="21" cm="1">
        <f t="array" aca="1" ref="BO31" ca="1">CalculateMaxFromList($BN31,0,'Damage Scenarios'!$A:$U)</f>
        <v>0</v>
      </c>
      <c r="BP31" s="21" t="str">
        <f ca="1">IF($BO31=0,"",INDEX(Definitions!$Q:$Q,MATCH($BO31,Definitions!$R:$R,0)))</f>
        <v/>
      </c>
      <c r="BQ31" s="21" t="str" cm="1">
        <f t="array" aca="1" ref="BQ31" ca="1">CalculateMaxAndElementsWithFallback(SanitizeInput($BL31),0,"",Countermeasures!$A:Y,Assumptions!$A:Z)</f>
        <v>0:</v>
      </c>
      <c r="BR31" s="21" t="str" cm="1">
        <f t="array" aca="1" ref="BR31" ca="1">CalculateMaxAndElementsWithFallback(SanitizeInput($BL31),0,"",Countermeasures!$A:Z,Assumptions!$A:AA)</f>
        <v>0:</v>
      </c>
      <c r="BS31" s="21" t="str" cm="1">
        <f t="array" aca="1" ref="BS31" ca="1">CalculateMaxAndElementsWithFallback(SanitizeInput($BL31),0,"",Countermeasures!$A:AA,Assumptions!$A:AB)</f>
        <v>0:</v>
      </c>
      <c r="BT31" s="21" t="str" cm="1">
        <f t="array" aca="1" ref="BT31" ca="1">CalculateMaxAndElementsWithFallback(SanitizeInput($BL31),0,"",Countermeasures!$A:AB,Assumptions!$A:AC)</f>
        <v>0:</v>
      </c>
      <c r="BU31" s="21" t="str" cm="1">
        <f t="array" aca="1" ref="BU31" ca="1">CalculateMaxAndElementsWithFallback(SanitizeInput($BL31),0,"",Countermeasures!$A:AC,Assumptions!$A:AD)</f>
        <v>0:</v>
      </c>
      <c r="BV31" s="21">
        <f t="shared" ca="1" si="25"/>
        <v>0</v>
      </c>
      <c r="BW31" s="21">
        <f t="shared" ca="1" si="26"/>
        <v>0</v>
      </c>
      <c r="BX31" s="21">
        <f t="shared" ca="1" si="27"/>
        <v>0</v>
      </c>
      <c r="BY31" s="21">
        <f t="shared" ca="1" si="28"/>
        <v>0</v>
      </c>
      <c r="BZ31" s="21">
        <f t="shared" ca="1" si="29"/>
        <v>0</v>
      </c>
      <c r="CA31" s="21" t="str">
        <f t="shared" ca="1" si="30"/>
        <v>0:</v>
      </c>
      <c r="CB31" s="21" t="str">
        <f t="shared" ca="1" si="31"/>
        <v>0:</v>
      </c>
      <c r="CC31" s="21" t="str">
        <f t="shared" ca="1" si="32"/>
        <v>0:</v>
      </c>
      <c r="CD31" s="21" t="str">
        <f t="shared" ca="1" si="33"/>
        <v>0:</v>
      </c>
      <c r="CE31" s="21" t="str">
        <f t="shared" ca="1" si="34"/>
        <v>0:</v>
      </c>
      <c r="CF31" s="21">
        <f t="shared" ca="1" si="35"/>
        <v>0</v>
      </c>
      <c r="CG31" s="21">
        <f t="shared" ca="1" si="36"/>
        <v>0</v>
      </c>
      <c r="CH31" s="21">
        <f t="shared" ca="1" si="37"/>
        <v>0</v>
      </c>
      <c r="CI31" s="21">
        <f t="shared" ca="1" si="38"/>
        <v>0</v>
      </c>
      <c r="CJ31" s="21">
        <f t="shared" ca="1" si="39"/>
        <v>0</v>
      </c>
      <c r="CK31" s="21">
        <f t="shared" ca="1" si="23"/>
        <v>0</v>
      </c>
      <c r="CL31" s="21" t="str">
        <f ca="1">IFERROR(VLOOKUP($CK31,Definitions!$V:$W,COLUMNS(Definitions!$V:$W),TRUE),"")</f>
        <v>Basic</v>
      </c>
      <c r="CM31" s="21" t="str">
        <f ca="1">_xlfn.LET(
_xlpm._comments,SimpleLookup($A31,Tracing!$B:$AB),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31" s="21" t="str" cm="1">
        <f t="array" aca="1" ref="CN31" ca="1">_xlfn.LET(
_xlpm._rapRange,Definitions!$W:$W,
_xlpm._calculatedRAP,$CL31,
_xlpm._inlineRAP,$CM31,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31" s="21" t="str">
        <f ca="1">IFERROR(IF(OR($BP31="",$CN31=""),
Definitions!$AE$4,
VLOOKUP($BP31,Definitions!$AH:$AM,MATCH($CN31,Definitions!$AH$3:$AM$3,0),FALSE)),
"")</f>
        <v>No Risk</v>
      </c>
      <c r="CP31" s="21" cm="1">
        <f t="array" aca="1" ref="CP31" ca="1">IF($CO31="",0,SimpleLookup($CO31,Definitions!$AE:$AF))</f>
        <v>0</v>
      </c>
      <c r="CQ31" s="21" t="b">
        <f ca="1">OR(AND($S31,$I31=Helper!$B$7),$I31&gt;Helper!$B$7)</f>
        <v>1</v>
      </c>
      <c r="CR31" s="21" t="str">
        <f t="shared" ca="1" si="24"/>
        <v/>
      </c>
      <c r="CS31" s="21" cm="1">
        <f t="array" aca="1" ref="CS31" ca="1">CreateID($CS$2,$CV:$CV,$CR31&lt;&gt;"")</f>
        <v>0</v>
      </c>
      <c r="CT31" s="21" t="str">
        <f ca="1">IF(IFERROR(MATCH(","&amp;A31&amp;",",'Risk Treatment'!$AT:$AT,0)&gt;0,FALSE),"",$A31)</f>
        <v/>
      </c>
      <c r="CU31" s="21" cm="1">
        <f t="array" aca="1" ref="CU31" ca="1">CreateID($CU$2,$CU:$CU,$CT31&lt;&gt;"")</f>
        <v>0</v>
      </c>
    </row>
    <row r="32" spans="1:99" x14ac:dyDescent="0.25">
      <c r="A32" s="33" t="str" cm="1">
        <f t="array" aca="1" ref="A32" ca="1">IF($B32="","","R"&amp;RemoveDelimiter(SUBSTITUTE(SUBSTITUTE($K32,"AS",""),",","-"),"-"))</f>
        <v/>
      </c>
      <c r="B32" s="33" t="str" cm="1">
        <f t="array" aca="1" ref="B32" ca="1">IF($L32="","",_xlfn.LET(
_xlpm._finalAttackStep,$L32,
_xlpm._prepAttacks,RemoveFirstElement(_xlpm._finalAttackStep&amp;","&amp;$K32),
_xlpm._prepAttackNames,IFERROR(LookupNames(_xlpm._prepAttacks,'Attack Steps'!$A:$B),""),
_xlpm._delimiter,REPT(CHAR(150),55),
$L32&amp;" "&amp;SimpleLookup($L32,'Attack Steps'!$A:$B)&amp;
IF(_xlpm._prepAttackNames="","",CHAR(10)&amp;_xlpm._delimiter&amp;CHAR(10)&amp;_xlpm._prepAttackNames)))</f>
        <v/>
      </c>
      <c r="C32" s="34" t="str" cm="1">
        <f t="array" aca="1" ref="C32" ca="1">IFERROR(LookupNames($M32,'Damage Scenarios'!$A:$V),"")</f>
        <v/>
      </c>
      <c r="D32" s="33" t="str">
        <f ca="1">IFERROR(IF($T32=0,"",INDEX(Definitions!$Q:$Q,MATCH($T32,Definitions!$R:$R,0))),"")</f>
        <v/>
      </c>
      <c r="E32" s="34" t="str" cm="1">
        <f t="array" aca="1" ref="E32" ca="1">IF($A32="","",_xlfn.LET(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_xlpm._factorFunction($A32,$A:W,Definitions!$Y:$Y,Definitions!$AB:$AB,1)&amp;CHAR(10)&amp;
_xlpm._factorFunction($A32,$A:X,Definitions!$Y:$Y,Definitions!$AB:$AB,2)&amp;CHAR(10)&amp;
_xlpm._factorFunction($A32,$A:Y,Definitions!$Y:$Y,Definitions!$AB:$AB,3)&amp;CHAR(10)&amp;
_xlpm._factorFunction($A32,$A:Z,Definitions!$Y:$Y,Definitions!$AB:$AB,4)&amp;CHAR(10)&amp;
_xlpm._factorFunction($A32,$A:AA,Definitions!$Y:$Y,Definitions!$AB:$AB,5)))</f>
        <v/>
      </c>
      <c r="F32" s="33" t="str">
        <f ca="1">IF($A32="","",IFERROR(VLOOKUP($AG32,Definitions!$V:$W,COLUMNS(Definitions!$V:$W),TRUE),""))</f>
        <v/>
      </c>
      <c r="G32" s="33" t="str">
        <f ca="1">IFERROR(IF(OR($D32="",$F32=""),
"",
VLOOKUP($D32,Definitions!$AH:$AM,MATCH($F32,Definitions!$AH$3:$AM$3,0),FALSE)),
"")</f>
        <v/>
      </c>
      <c r="H32" s="23" cm="1">
        <f t="array" aca="1" ref="H32" ca="1">IF(ROW()=ROW($H$2)+1,0,INDEX($H:$H,ROW()-1))+IF($A32="",0,1)</f>
        <v>0</v>
      </c>
      <c r="I32" s="21" cm="1">
        <f t="array" aca="1" ref="I32" ca="1">IF(ROW()=ROW($I$2)+1,
1,
INDEX($I:$I,ROW()-1)+IF(INDEX($S:$S,ROW()-1),1,0))</f>
        <v>1</v>
      </c>
      <c r="J32" s="21">
        <f t="shared" ca="1" si="0"/>
        <v>30</v>
      </c>
      <c r="K32" s="21" t="str">
        <f t="shared" ca="1" si="40"/>
        <v/>
      </c>
      <c r="L32" s="21" t="str" cm="1">
        <f t="array" aca="1" ref="L32" ca="1">IF($P32="","",INDEX('Attack Steps'!$A:$A,$P32))</f>
        <v/>
      </c>
      <c r="M32" s="21" t="str" cm="1">
        <f t="array" aca="1" ref="M32" ca="1">IF($P32="","",INDEX('Attack Steps'!$T:$T,$P32))</f>
        <v/>
      </c>
      <c r="N32" s="21" t="str" cm="1">
        <f t="array" aca="1" ref="N32" ca="1">_xlfn.LET(_xlpm._dm,SanitizeInput(GetValuesWithFallback(SanitizeInput($AK32),Assumptions!$A:$I,Countermeasures!$A:$I,"",",",FALSE)),
IF(_xlpm._dm="","",","&amp;_xlpm._dm))</f>
        <v/>
      </c>
      <c r="O32" s="21" t="str" cm="1">
        <f t="array" aca="1" ref="O32" ca="1">ApplyDamageMitigation($M32,$N32,"")</f>
        <v/>
      </c>
      <c r="P32" s="21" t="str">
        <f ca="1">IFERROR(MATCH($I32,'Attack Steps'!$V:$V,0),"")</f>
        <v/>
      </c>
      <c r="Q32" s="21" t="str" cm="1">
        <f t="array" aca="1" ref="Q32" ca="1">IF($P32="","","§"&amp;INDEX('Attack Steps'!$S:$S,$P32))</f>
        <v/>
      </c>
      <c r="R32" s="21" t="str" cm="1">
        <f t="array" aca="1" ref="R32" ca="1">IF($P32="","",INDEX('Attack Steps'!$W:$W,$P32))</f>
        <v/>
      </c>
      <c r="S32" s="21" t="b">
        <f t="shared" ca="1" si="41"/>
        <v>0</v>
      </c>
      <c r="T32" s="21" cm="1">
        <f t="array" aca="1" ref="T32" ca="1">_xlfn.LAMBDA(_xlpm._in,_xlpm._val,_xlpm._range,
IF(_xlpm._in="",_xlpm._val,_xlfn.LET(
_xlpm._id,LEFT(_xlpm._in,FIND(",",_xlpm._in)-1),
CalculateMaxFromList(RemoveFirstElement(_xlpm._in),MAX(_xlpm._val,VLOOKUP(_xlpm._id,_xlpm._range,COLUMNS(_xlpm._range),FALSE)),_xlpm._range))))($M32,0,'Damage Scenarios'!$A:$U)</f>
        <v>0</v>
      </c>
      <c r="U32" s="21" cm="1">
        <f t="array" aca="1" ref="U32" ca="1">CalculateMaxFromList($O32,0,'Damage Scenarios'!$A:$U)</f>
        <v>0</v>
      </c>
      <c r="V32" s="21" t="str">
        <f ca="1">IF($U32=0,"",INDEX(Definitions!$Q:$Q,MATCH($U32,Definitions!$R:$R,0)))</f>
        <v/>
      </c>
      <c r="W32" s="21" t="str" cm="1">
        <f t="array" aca="1" ref="W32" ca="1">CalculateMaxAndElements($K32,0,"",'Attack Steps'!$A:X)</f>
        <v>0:</v>
      </c>
      <c r="X32" s="21" t="str" cm="1">
        <f t="array" aca="1" ref="X32" ca="1">CalculateMaxAndElements($K32,0,"",'Attack Steps'!$A:Y)</f>
        <v>0:</v>
      </c>
      <c r="Y32" s="21" t="str" cm="1">
        <f t="array" aca="1" ref="Y32" ca="1">CalculateMaxAndElements($K32,0,"",'Attack Steps'!$A:Z)</f>
        <v>0:</v>
      </c>
      <c r="Z32" s="21" t="str" cm="1">
        <f t="array" aca="1" ref="Z32" ca="1">CalculateMaxAndElements($K32,0,"",'Attack Steps'!$A:AA)</f>
        <v>0:</v>
      </c>
      <c r="AA32" s="21" t="str" cm="1">
        <f t="array" aca="1" ref="AA32" ca="1">CalculateMaxAndElements($K32,0,"",'Attack Steps'!$A:AB)</f>
        <v>0:</v>
      </c>
      <c r="AB32" s="21">
        <f t="shared" ca="1" si="42"/>
        <v>0</v>
      </c>
      <c r="AC32" s="21">
        <f t="shared" ca="1" si="43"/>
        <v>0</v>
      </c>
      <c r="AD32" s="21">
        <f t="shared" ca="1" si="44"/>
        <v>0</v>
      </c>
      <c r="AE32" s="21">
        <f t="shared" ca="1" si="45"/>
        <v>0</v>
      </c>
      <c r="AF32" s="21">
        <f t="shared" ca="1" si="46"/>
        <v>0</v>
      </c>
      <c r="AG32" s="21">
        <f t="shared" ca="1" si="3"/>
        <v>0</v>
      </c>
      <c r="AH32" s="21" t="str" cm="1">
        <f t="array" aca="1" ref="AH32" ca="1">IF(ROW()=ROW($AH$2)+1,"",INDEX($AH:$AH,ROW()-1))&amp;IF($A32="","",$A32&amp;",")</f>
        <v/>
      </c>
      <c r="AI32" s="21" t="str">
        <f t="shared" ca="1" si="47"/>
        <v/>
      </c>
      <c r="AJ32" s="21" cm="1">
        <f t="array" aca="1" ref="AJ32" ca="1">IF($G32="",0,SimpleLookup($G32,Definitions!$AE:$AF))</f>
        <v>0</v>
      </c>
      <c r="AK32" s="21" t="str" cm="1">
        <f t="array" aca="1" ref="AK32" ca="1">InverseLookup($A32,Mitigation!$U$2,Mitigation!$J$2,1,Helper!$B$5,",")</f>
        <v/>
      </c>
      <c r="AL32" s="21" t="str" cm="1">
        <f t="array" aca="1" ref="AL32" ca="1">CalculateMaxAndElementsWithFallback(SanitizeInput($AK32),0,"",Countermeasures!$A:Y,Assumptions!$A:Z)</f>
        <v>0:</v>
      </c>
      <c r="AM32" s="21" t="str" cm="1">
        <f t="array" aca="1" ref="AM32" ca="1">CalculateMaxAndElementsWithFallback(SanitizeInput($AK32),0,"",Countermeasures!$A:Z,Assumptions!$A:AA)</f>
        <v>0:</v>
      </c>
      <c r="AN32" s="21" t="str" cm="1">
        <f t="array" aca="1" ref="AN32" ca="1">CalculateMaxAndElementsWithFallback(SanitizeInput($AK32),0,"",Countermeasures!$A:AA,Assumptions!$A:AB)</f>
        <v>0:</v>
      </c>
      <c r="AO32" s="21" t="str" cm="1">
        <f t="array" aca="1" ref="AO32" ca="1">CalculateMaxAndElementsWithFallback(SanitizeInput($AK32),0,"",Countermeasures!$A:AB,Assumptions!$A:AC)</f>
        <v>0:</v>
      </c>
      <c r="AP32" s="21" t="str" cm="1">
        <f t="array" aca="1" ref="AP32" ca="1">CalculateMaxAndElementsWithFallback(SanitizeInput($AK32),0,"",Countermeasures!$A:AC,Assumptions!$A:AD)</f>
        <v>0:</v>
      </c>
      <c r="AQ32" s="21">
        <f t="shared" ca="1" si="48"/>
        <v>0</v>
      </c>
      <c r="AR32" s="21">
        <f t="shared" ca="1" si="49"/>
        <v>0</v>
      </c>
      <c r="AS32" s="21">
        <f t="shared" ca="1" si="50"/>
        <v>0</v>
      </c>
      <c r="AT32" s="21">
        <f t="shared" ca="1" si="51"/>
        <v>0</v>
      </c>
      <c r="AU32" s="21">
        <f t="shared" ca="1" si="52"/>
        <v>0</v>
      </c>
      <c r="AV32" s="21" t="str">
        <f t="shared" ca="1" si="53"/>
        <v>0:</v>
      </c>
      <c r="AW32" s="21" t="str">
        <f t="shared" ca="1" si="54"/>
        <v>0:</v>
      </c>
      <c r="AX32" s="21" t="str">
        <f t="shared" ca="1" si="55"/>
        <v>0:</v>
      </c>
      <c r="AY32" s="21" t="str">
        <f t="shared" ca="1" si="56"/>
        <v>0:</v>
      </c>
      <c r="AZ32" s="21" t="str">
        <f t="shared" ca="1" si="57"/>
        <v>0:</v>
      </c>
      <c r="BA32" s="21">
        <f t="shared" ca="1" si="58"/>
        <v>0</v>
      </c>
      <c r="BB32" s="21">
        <f t="shared" ca="1" si="59"/>
        <v>0</v>
      </c>
      <c r="BC32" s="21">
        <f t="shared" ca="1" si="60"/>
        <v>0</v>
      </c>
      <c r="BD32" s="21">
        <f t="shared" ca="1" si="61"/>
        <v>0</v>
      </c>
      <c r="BE32" s="21">
        <f t="shared" ca="1" si="62"/>
        <v>0</v>
      </c>
      <c r="BF32" s="21">
        <f t="shared" ca="1" si="9"/>
        <v>0</v>
      </c>
      <c r="BG32" s="21" t="str">
        <f ca="1">IFERROR(VLOOKUP($BF32,Definitions!$V:$W,COLUMNS(Definitions!$V:$W),TRUE),"")</f>
        <v>Basic</v>
      </c>
      <c r="BH32" s="21" t="str">
        <f ca="1">_xlfn.LET(
_xlpm._comments,GetValues($K32,Mitigation!$A:$O,"","",FALSE),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32" s="21" t="str" cm="1">
        <f t="array" aca="1" ref="BI32" ca="1">_xlfn.LET(
_xlpm._rapRange,Definitions!$W:$W,
_xlpm._calculatedRAP,$BG32,
_xlpm._inlineRAP,$BH32,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32" s="21" t="str">
        <f ca="1">IFERROR(IF(OR($V32="",$BI32=""),
Definitions!$AE$4,
VLOOKUP($V32,Definitions!$AH:$AM,MATCH($BI32,Definitions!$AH$3:$AM$3,0),FALSE)),
"")</f>
        <v>No Risk</v>
      </c>
      <c r="BK32" s="21" cm="1">
        <f t="array" aca="1" ref="BK32" ca="1">IF($BJ32="",0,SimpleLookup($BJ32,Definitions!$AE:$AF))</f>
        <v>0</v>
      </c>
      <c r="BL32" s="21" t="str" cm="1">
        <f t="array" aca="1" ref="BL32" ca="1">IFERROR(SimpleLookup($A32,Tracing!$B:$Z),"")</f>
        <v/>
      </c>
      <c r="BM32" s="21" t="str" cm="1">
        <f t="array" aca="1" ref="BM32" ca="1">_xlfn.LET(_xlpm._dm,SanitizeInput(GetValuesWithFallback(SanitizeInput($BL32),Assumptions!$A:$I,Countermeasures!$A:$I,"",",",FALSE)),
IF(_xlpm._dm="","",","&amp;_xlpm._dm))</f>
        <v/>
      </c>
      <c r="BN32" s="21" t="str" cm="1">
        <f t="array" aca="1" ref="BN32" ca="1">ApplyDamageMitigation($M32,$BM32,"")</f>
        <v/>
      </c>
      <c r="BO32" s="21" cm="1">
        <f t="array" aca="1" ref="BO32" ca="1">CalculateMaxFromList($BN32,0,'Damage Scenarios'!$A:$U)</f>
        <v>0</v>
      </c>
      <c r="BP32" s="21" t="str">
        <f ca="1">IF($BO32=0,"",INDEX(Definitions!$Q:$Q,MATCH($BO32,Definitions!$R:$R,0)))</f>
        <v/>
      </c>
      <c r="BQ32" s="21" t="str" cm="1">
        <f t="array" aca="1" ref="BQ32" ca="1">CalculateMaxAndElementsWithFallback(SanitizeInput($BL32),0,"",Countermeasures!$A:Y,Assumptions!$A:Z)</f>
        <v>0:</v>
      </c>
      <c r="BR32" s="21" t="str" cm="1">
        <f t="array" aca="1" ref="BR32" ca="1">CalculateMaxAndElementsWithFallback(SanitizeInput($BL32),0,"",Countermeasures!$A:Z,Assumptions!$A:AA)</f>
        <v>0:</v>
      </c>
      <c r="BS32" s="21" t="str" cm="1">
        <f t="array" aca="1" ref="BS32" ca="1">CalculateMaxAndElementsWithFallback(SanitizeInput($BL32),0,"",Countermeasures!$A:AA,Assumptions!$A:AB)</f>
        <v>0:</v>
      </c>
      <c r="BT32" s="21" t="str" cm="1">
        <f t="array" aca="1" ref="BT32" ca="1">CalculateMaxAndElementsWithFallback(SanitizeInput($BL32),0,"",Countermeasures!$A:AB,Assumptions!$A:AC)</f>
        <v>0:</v>
      </c>
      <c r="BU32" s="21" t="str" cm="1">
        <f t="array" aca="1" ref="BU32" ca="1">CalculateMaxAndElementsWithFallback(SanitizeInput($BL32),0,"",Countermeasures!$A:AC,Assumptions!$A:AD)</f>
        <v>0:</v>
      </c>
      <c r="BV32" s="21">
        <f t="shared" ca="1" si="25"/>
        <v>0</v>
      </c>
      <c r="BW32" s="21">
        <f t="shared" ca="1" si="26"/>
        <v>0</v>
      </c>
      <c r="BX32" s="21">
        <f t="shared" ca="1" si="27"/>
        <v>0</v>
      </c>
      <c r="BY32" s="21">
        <f t="shared" ca="1" si="28"/>
        <v>0</v>
      </c>
      <c r="BZ32" s="21">
        <f t="shared" ca="1" si="29"/>
        <v>0</v>
      </c>
      <c r="CA32" s="21" t="str">
        <f t="shared" ca="1" si="30"/>
        <v>0:</v>
      </c>
      <c r="CB32" s="21" t="str">
        <f t="shared" ca="1" si="31"/>
        <v>0:</v>
      </c>
      <c r="CC32" s="21" t="str">
        <f t="shared" ca="1" si="32"/>
        <v>0:</v>
      </c>
      <c r="CD32" s="21" t="str">
        <f t="shared" ca="1" si="33"/>
        <v>0:</v>
      </c>
      <c r="CE32" s="21" t="str">
        <f t="shared" ca="1" si="34"/>
        <v>0:</v>
      </c>
      <c r="CF32" s="21">
        <f t="shared" ca="1" si="35"/>
        <v>0</v>
      </c>
      <c r="CG32" s="21">
        <f t="shared" ca="1" si="36"/>
        <v>0</v>
      </c>
      <c r="CH32" s="21">
        <f t="shared" ca="1" si="37"/>
        <v>0</v>
      </c>
      <c r="CI32" s="21">
        <f t="shared" ca="1" si="38"/>
        <v>0</v>
      </c>
      <c r="CJ32" s="21">
        <f t="shared" ca="1" si="39"/>
        <v>0</v>
      </c>
      <c r="CK32" s="21">
        <f t="shared" ca="1" si="23"/>
        <v>0</v>
      </c>
      <c r="CL32" s="21" t="str">
        <f ca="1">IFERROR(VLOOKUP($CK32,Definitions!$V:$W,COLUMNS(Definitions!$V:$W),TRUE),"")</f>
        <v>Basic</v>
      </c>
      <c r="CM32" s="21" t="str">
        <f ca="1">_xlfn.LET(
_xlpm._comments,SimpleLookup($A32,Tracing!$B:$AB),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32" s="21" t="str" cm="1">
        <f t="array" aca="1" ref="CN32" ca="1">_xlfn.LET(
_xlpm._rapRange,Definitions!$W:$W,
_xlpm._calculatedRAP,$CL32,
_xlpm._inlineRAP,$CM32,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32" s="21" t="str">
        <f ca="1">IFERROR(IF(OR($BP32="",$CN32=""),
Definitions!$AE$4,
VLOOKUP($BP32,Definitions!$AH:$AM,MATCH($CN32,Definitions!$AH$3:$AM$3,0),FALSE)),
"")</f>
        <v>No Risk</v>
      </c>
      <c r="CP32" s="21" cm="1">
        <f t="array" aca="1" ref="CP32" ca="1">IF($CO32="",0,SimpleLookup($CO32,Definitions!$AE:$AF))</f>
        <v>0</v>
      </c>
      <c r="CQ32" s="21" t="b">
        <f ca="1">OR(AND($S32,$I32=Helper!$B$7),$I32&gt;Helper!$B$7)</f>
        <v>1</v>
      </c>
      <c r="CR32" s="21" t="str">
        <f t="shared" ca="1" si="24"/>
        <v/>
      </c>
      <c r="CS32" s="21" cm="1">
        <f t="array" aca="1" ref="CS32" ca="1">CreateID($CS$2,$CV:$CV,$CR32&lt;&gt;"")</f>
        <v>0</v>
      </c>
      <c r="CT32" s="21" t="str">
        <f ca="1">IF(IFERROR(MATCH(","&amp;A32&amp;",",'Risk Treatment'!$AT:$AT,0)&gt;0,FALSE),"",$A32)</f>
        <v/>
      </c>
      <c r="CU32" s="21" cm="1">
        <f t="array" aca="1" ref="CU32" ca="1">CreateID($CU$2,$CU:$CU,$CT32&lt;&gt;"")</f>
        <v>0</v>
      </c>
    </row>
    <row r="33" spans="1:99" x14ac:dyDescent="0.25">
      <c r="A33" s="33" t="str" cm="1">
        <f t="array" aca="1" ref="A33" ca="1">IF($B33="","","R"&amp;RemoveDelimiter(SUBSTITUTE(SUBSTITUTE($K33,"AS",""),",","-"),"-"))</f>
        <v/>
      </c>
      <c r="B33" s="33" t="str" cm="1">
        <f t="array" aca="1" ref="B33" ca="1">IF($L33="","",_xlfn.LET(
_xlpm._finalAttackStep,$L33,
_xlpm._prepAttacks,RemoveFirstElement(_xlpm._finalAttackStep&amp;","&amp;$K33),
_xlpm._prepAttackNames,IFERROR(LookupNames(_xlpm._prepAttacks,'Attack Steps'!$A:$B),""),
_xlpm._delimiter,REPT(CHAR(150),55),
$L33&amp;" "&amp;SimpleLookup($L33,'Attack Steps'!$A:$B)&amp;
IF(_xlpm._prepAttackNames="","",CHAR(10)&amp;_xlpm._delimiter&amp;CHAR(10)&amp;_xlpm._prepAttackNames)))</f>
        <v/>
      </c>
      <c r="C33" s="34" t="str" cm="1">
        <f t="array" aca="1" ref="C33" ca="1">IFERROR(LookupNames($M33,'Damage Scenarios'!$A:$V),"")</f>
        <v/>
      </c>
      <c r="D33" s="33" t="str">
        <f ca="1">IFERROR(IF($T33=0,"",INDEX(Definitions!$Q:$Q,MATCH($T33,Definitions!$R:$R,0))),"")</f>
        <v/>
      </c>
      <c r="E33" s="34" t="str" cm="1">
        <f t="array" aca="1" ref="E33" ca="1">IF($A33="","",_xlfn.LET(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_xlpm._factorFunction($A33,$A:W,Definitions!$Y:$Y,Definitions!$AB:$AB,1)&amp;CHAR(10)&amp;
_xlpm._factorFunction($A33,$A:X,Definitions!$Y:$Y,Definitions!$AB:$AB,2)&amp;CHAR(10)&amp;
_xlpm._factorFunction($A33,$A:Y,Definitions!$Y:$Y,Definitions!$AB:$AB,3)&amp;CHAR(10)&amp;
_xlpm._factorFunction($A33,$A:Z,Definitions!$Y:$Y,Definitions!$AB:$AB,4)&amp;CHAR(10)&amp;
_xlpm._factorFunction($A33,$A:AA,Definitions!$Y:$Y,Definitions!$AB:$AB,5)))</f>
        <v/>
      </c>
      <c r="F33" s="33" t="str">
        <f ca="1">IF($A33="","",IFERROR(VLOOKUP($AG33,Definitions!$V:$W,COLUMNS(Definitions!$V:$W),TRUE),""))</f>
        <v/>
      </c>
      <c r="G33" s="33" t="str">
        <f ca="1">IFERROR(IF(OR($D33="",$F33=""),
"",
VLOOKUP($D33,Definitions!$AH:$AM,MATCH($F33,Definitions!$AH$3:$AM$3,0),FALSE)),
"")</f>
        <v/>
      </c>
      <c r="H33" s="23" cm="1">
        <f t="array" aca="1" ref="H33" ca="1">IF(ROW()=ROW($H$2)+1,0,INDEX($H:$H,ROW()-1))+IF($A33="",0,1)</f>
        <v>0</v>
      </c>
      <c r="I33" s="21" cm="1">
        <f t="array" aca="1" ref="I33" ca="1">IF(ROW()=ROW($I$2)+1,
1,
INDEX($I:$I,ROW()-1)+IF(INDEX($S:$S,ROW()-1),1,0))</f>
        <v>1</v>
      </c>
      <c r="J33" s="21">
        <f t="shared" ca="1" si="0"/>
        <v>31</v>
      </c>
      <c r="K33" s="21" t="str">
        <f t="shared" ca="1" si="40"/>
        <v/>
      </c>
      <c r="L33" s="21" t="str" cm="1">
        <f t="array" aca="1" ref="L33" ca="1">IF($P33="","",INDEX('Attack Steps'!$A:$A,$P33))</f>
        <v/>
      </c>
      <c r="M33" s="21" t="str" cm="1">
        <f t="array" aca="1" ref="M33" ca="1">IF($P33="","",INDEX('Attack Steps'!$T:$T,$P33))</f>
        <v/>
      </c>
      <c r="N33" s="21" t="str" cm="1">
        <f t="array" aca="1" ref="N33" ca="1">_xlfn.LET(_xlpm._dm,SanitizeInput(GetValuesWithFallback(SanitizeInput($AK33),Assumptions!$A:$I,Countermeasures!$A:$I,"",",",FALSE)),
IF(_xlpm._dm="","",","&amp;_xlpm._dm))</f>
        <v/>
      </c>
      <c r="O33" s="21" t="str" cm="1">
        <f t="array" aca="1" ref="O33" ca="1">ApplyDamageMitigation($M33,$N33,"")</f>
        <v/>
      </c>
      <c r="P33" s="21" t="str">
        <f ca="1">IFERROR(MATCH($I33,'Attack Steps'!$V:$V,0),"")</f>
        <v/>
      </c>
      <c r="Q33" s="21" t="str" cm="1">
        <f t="array" aca="1" ref="Q33" ca="1">IF($P33="","","§"&amp;INDEX('Attack Steps'!$S:$S,$P33))</f>
        <v/>
      </c>
      <c r="R33" s="21" t="str" cm="1">
        <f t="array" aca="1" ref="R33" ca="1">IF($P33="","",INDEX('Attack Steps'!$W:$W,$P33))</f>
        <v/>
      </c>
      <c r="S33" s="21" t="b">
        <f t="shared" ca="1" si="41"/>
        <v>0</v>
      </c>
      <c r="T33" s="21" cm="1">
        <f t="array" aca="1" ref="T33" ca="1">_xlfn.LAMBDA(_xlpm._in,_xlpm._val,_xlpm._range,
IF(_xlpm._in="",_xlpm._val,_xlfn.LET(
_xlpm._id,LEFT(_xlpm._in,FIND(",",_xlpm._in)-1),
CalculateMaxFromList(RemoveFirstElement(_xlpm._in),MAX(_xlpm._val,VLOOKUP(_xlpm._id,_xlpm._range,COLUMNS(_xlpm._range),FALSE)),_xlpm._range))))($M33,0,'Damage Scenarios'!$A:$U)</f>
        <v>0</v>
      </c>
      <c r="U33" s="21" cm="1">
        <f t="array" aca="1" ref="U33" ca="1">CalculateMaxFromList($O33,0,'Damage Scenarios'!$A:$U)</f>
        <v>0</v>
      </c>
      <c r="V33" s="21" t="str">
        <f ca="1">IF($U33=0,"",INDEX(Definitions!$Q:$Q,MATCH($U33,Definitions!$R:$R,0)))</f>
        <v/>
      </c>
      <c r="W33" s="21" t="str" cm="1">
        <f t="array" aca="1" ref="W33" ca="1">CalculateMaxAndElements($K33,0,"",'Attack Steps'!$A:X)</f>
        <v>0:</v>
      </c>
      <c r="X33" s="21" t="str" cm="1">
        <f t="array" aca="1" ref="X33" ca="1">CalculateMaxAndElements($K33,0,"",'Attack Steps'!$A:Y)</f>
        <v>0:</v>
      </c>
      <c r="Y33" s="21" t="str" cm="1">
        <f t="array" aca="1" ref="Y33" ca="1">CalculateMaxAndElements($K33,0,"",'Attack Steps'!$A:Z)</f>
        <v>0:</v>
      </c>
      <c r="Z33" s="21" t="str" cm="1">
        <f t="array" aca="1" ref="Z33" ca="1">CalculateMaxAndElements($K33,0,"",'Attack Steps'!$A:AA)</f>
        <v>0:</v>
      </c>
      <c r="AA33" s="21" t="str" cm="1">
        <f t="array" aca="1" ref="AA33" ca="1">CalculateMaxAndElements($K33,0,"",'Attack Steps'!$A:AB)</f>
        <v>0:</v>
      </c>
      <c r="AB33" s="21">
        <f t="shared" ca="1" si="42"/>
        <v>0</v>
      </c>
      <c r="AC33" s="21">
        <f t="shared" ca="1" si="43"/>
        <v>0</v>
      </c>
      <c r="AD33" s="21">
        <f t="shared" ca="1" si="44"/>
        <v>0</v>
      </c>
      <c r="AE33" s="21">
        <f t="shared" ca="1" si="45"/>
        <v>0</v>
      </c>
      <c r="AF33" s="21">
        <f t="shared" ca="1" si="46"/>
        <v>0</v>
      </c>
      <c r="AG33" s="21">
        <f t="shared" ca="1" si="3"/>
        <v>0</v>
      </c>
      <c r="AH33" s="21" t="str" cm="1">
        <f t="array" aca="1" ref="AH33" ca="1">IF(ROW()=ROW($AH$2)+1,"",INDEX($AH:$AH,ROW()-1))&amp;IF($A33="","",$A33&amp;",")</f>
        <v/>
      </c>
      <c r="AI33" s="21" t="str">
        <f t="shared" ca="1" si="47"/>
        <v/>
      </c>
      <c r="AJ33" s="21" cm="1">
        <f t="array" aca="1" ref="AJ33" ca="1">IF($G33="",0,SimpleLookup($G33,Definitions!$AE:$AF))</f>
        <v>0</v>
      </c>
      <c r="AK33" s="21" t="str" cm="1">
        <f t="array" aca="1" ref="AK33" ca="1">InverseLookup($A33,Mitigation!$U$2,Mitigation!$J$2,1,Helper!$B$5,",")</f>
        <v/>
      </c>
      <c r="AL33" s="21" t="str" cm="1">
        <f t="array" aca="1" ref="AL33" ca="1">CalculateMaxAndElementsWithFallback(SanitizeInput($AK33),0,"",Countermeasures!$A:Y,Assumptions!$A:Z)</f>
        <v>0:</v>
      </c>
      <c r="AM33" s="21" t="str" cm="1">
        <f t="array" aca="1" ref="AM33" ca="1">CalculateMaxAndElementsWithFallback(SanitizeInput($AK33),0,"",Countermeasures!$A:Z,Assumptions!$A:AA)</f>
        <v>0:</v>
      </c>
      <c r="AN33" s="21" t="str" cm="1">
        <f t="array" aca="1" ref="AN33" ca="1">CalculateMaxAndElementsWithFallback(SanitizeInput($AK33),0,"",Countermeasures!$A:AA,Assumptions!$A:AB)</f>
        <v>0:</v>
      </c>
      <c r="AO33" s="21" t="str" cm="1">
        <f t="array" aca="1" ref="AO33" ca="1">CalculateMaxAndElementsWithFallback(SanitizeInput($AK33),0,"",Countermeasures!$A:AB,Assumptions!$A:AC)</f>
        <v>0:</v>
      </c>
      <c r="AP33" s="21" t="str" cm="1">
        <f t="array" aca="1" ref="AP33" ca="1">CalculateMaxAndElementsWithFallback(SanitizeInput($AK33),0,"",Countermeasures!$A:AC,Assumptions!$A:AD)</f>
        <v>0:</v>
      </c>
      <c r="AQ33" s="21">
        <f t="shared" ca="1" si="48"/>
        <v>0</v>
      </c>
      <c r="AR33" s="21">
        <f t="shared" ca="1" si="49"/>
        <v>0</v>
      </c>
      <c r="AS33" s="21">
        <f t="shared" ca="1" si="50"/>
        <v>0</v>
      </c>
      <c r="AT33" s="21">
        <f t="shared" ca="1" si="51"/>
        <v>0</v>
      </c>
      <c r="AU33" s="21">
        <f t="shared" ca="1" si="52"/>
        <v>0</v>
      </c>
      <c r="AV33" s="21" t="str">
        <f t="shared" ca="1" si="53"/>
        <v>0:</v>
      </c>
      <c r="AW33" s="21" t="str">
        <f t="shared" ca="1" si="54"/>
        <v>0:</v>
      </c>
      <c r="AX33" s="21" t="str">
        <f t="shared" ca="1" si="55"/>
        <v>0:</v>
      </c>
      <c r="AY33" s="21" t="str">
        <f t="shared" ca="1" si="56"/>
        <v>0:</v>
      </c>
      <c r="AZ33" s="21" t="str">
        <f t="shared" ca="1" si="57"/>
        <v>0:</v>
      </c>
      <c r="BA33" s="21">
        <f t="shared" ca="1" si="58"/>
        <v>0</v>
      </c>
      <c r="BB33" s="21">
        <f t="shared" ca="1" si="59"/>
        <v>0</v>
      </c>
      <c r="BC33" s="21">
        <f t="shared" ca="1" si="60"/>
        <v>0</v>
      </c>
      <c r="BD33" s="21">
        <f t="shared" ca="1" si="61"/>
        <v>0</v>
      </c>
      <c r="BE33" s="21">
        <f t="shared" ca="1" si="62"/>
        <v>0</v>
      </c>
      <c r="BF33" s="21">
        <f t="shared" ca="1" si="9"/>
        <v>0</v>
      </c>
      <c r="BG33" s="21" t="str">
        <f ca="1">IFERROR(VLOOKUP($BF33,Definitions!$V:$W,COLUMNS(Definitions!$V:$W),TRUE),"")</f>
        <v>Basic</v>
      </c>
      <c r="BH33" s="21" t="str">
        <f ca="1">_xlfn.LET(
_xlpm._comments,GetValues($K33,Mitigation!$A:$O,"","",FALSE),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33" s="21" t="str" cm="1">
        <f t="array" aca="1" ref="BI33" ca="1">_xlfn.LET(
_xlpm._rapRange,Definitions!$W:$W,
_xlpm._calculatedRAP,$BG33,
_xlpm._inlineRAP,$BH33,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33" s="21" t="str">
        <f ca="1">IFERROR(IF(OR($V33="",$BI33=""),
Definitions!$AE$4,
VLOOKUP($V33,Definitions!$AH:$AM,MATCH($BI33,Definitions!$AH$3:$AM$3,0),FALSE)),
"")</f>
        <v>No Risk</v>
      </c>
      <c r="BK33" s="21" cm="1">
        <f t="array" aca="1" ref="BK33" ca="1">IF($BJ33="",0,SimpleLookup($BJ33,Definitions!$AE:$AF))</f>
        <v>0</v>
      </c>
      <c r="BL33" s="21" t="str" cm="1">
        <f t="array" aca="1" ref="BL33" ca="1">IFERROR(SimpleLookup($A33,Tracing!$B:$Z),"")</f>
        <v/>
      </c>
      <c r="BM33" s="21" t="str" cm="1">
        <f t="array" aca="1" ref="BM33" ca="1">_xlfn.LET(_xlpm._dm,SanitizeInput(GetValuesWithFallback(SanitizeInput($BL33),Assumptions!$A:$I,Countermeasures!$A:$I,"",",",FALSE)),
IF(_xlpm._dm="","",","&amp;_xlpm._dm))</f>
        <v/>
      </c>
      <c r="BN33" s="21" t="str" cm="1">
        <f t="array" aca="1" ref="BN33" ca="1">ApplyDamageMitigation($M33,$BM33,"")</f>
        <v/>
      </c>
      <c r="BO33" s="21" cm="1">
        <f t="array" aca="1" ref="BO33" ca="1">CalculateMaxFromList($BN33,0,'Damage Scenarios'!$A:$U)</f>
        <v>0</v>
      </c>
      <c r="BP33" s="21" t="str">
        <f ca="1">IF($BO33=0,"",INDEX(Definitions!$Q:$Q,MATCH($BO33,Definitions!$R:$R,0)))</f>
        <v/>
      </c>
      <c r="BQ33" s="21" t="str" cm="1">
        <f t="array" aca="1" ref="BQ33" ca="1">CalculateMaxAndElementsWithFallback(SanitizeInput($BL33),0,"",Countermeasures!$A:Y,Assumptions!$A:Z)</f>
        <v>0:</v>
      </c>
      <c r="BR33" s="21" t="str" cm="1">
        <f t="array" aca="1" ref="BR33" ca="1">CalculateMaxAndElementsWithFallback(SanitizeInput($BL33),0,"",Countermeasures!$A:Z,Assumptions!$A:AA)</f>
        <v>0:</v>
      </c>
      <c r="BS33" s="21" t="str" cm="1">
        <f t="array" aca="1" ref="BS33" ca="1">CalculateMaxAndElementsWithFallback(SanitizeInput($BL33),0,"",Countermeasures!$A:AA,Assumptions!$A:AB)</f>
        <v>0:</v>
      </c>
      <c r="BT33" s="21" t="str" cm="1">
        <f t="array" aca="1" ref="BT33" ca="1">CalculateMaxAndElementsWithFallback(SanitizeInput($BL33),0,"",Countermeasures!$A:AB,Assumptions!$A:AC)</f>
        <v>0:</v>
      </c>
      <c r="BU33" s="21" t="str" cm="1">
        <f t="array" aca="1" ref="BU33" ca="1">CalculateMaxAndElementsWithFallback(SanitizeInput($BL33),0,"",Countermeasures!$A:AC,Assumptions!$A:AD)</f>
        <v>0:</v>
      </c>
      <c r="BV33" s="21">
        <f t="shared" ca="1" si="25"/>
        <v>0</v>
      </c>
      <c r="BW33" s="21">
        <f t="shared" ca="1" si="26"/>
        <v>0</v>
      </c>
      <c r="BX33" s="21">
        <f t="shared" ca="1" si="27"/>
        <v>0</v>
      </c>
      <c r="BY33" s="21">
        <f t="shared" ca="1" si="28"/>
        <v>0</v>
      </c>
      <c r="BZ33" s="21">
        <f t="shared" ca="1" si="29"/>
        <v>0</v>
      </c>
      <c r="CA33" s="21" t="str">
        <f t="shared" ca="1" si="30"/>
        <v>0:</v>
      </c>
      <c r="CB33" s="21" t="str">
        <f t="shared" ca="1" si="31"/>
        <v>0:</v>
      </c>
      <c r="CC33" s="21" t="str">
        <f t="shared" ca="1" si="32"/>
        <v>0:</v>
      </c>
      <c r="CD33" s="21" t="str">
        <f t="shared" ca="1" si="33"/>
        <v>0:</v>
      </c>
      <c r="CE33" s="21" t="str">
        <f t="shared" ca="1" si="34"/>
        <v>0:</v>
      </c>
      <c r="CF33" s="21">
        <f t="shared" ca="1" si="35"/>
        <v>0</v>
      </c>
      <c r="CG33" s="21">
        <f t="shared" ca="1" si="36"/>
        <v>0</v>
      </c>
      <c r="CH33" s="21">
        <f t="shared" ca="1" si="37"/>
        <v>0</v>
      </c>
      <c r="CI33" s="21">
        <f t="shared" ca="1" si="38"/>
        <v>0</v>
      </c>
      <c r="CJ33" s="21">
        <f t="shared" ca="1" si="39"/>
        <v>0</v>
      </c>
      <c r="CK33" s="21">
        <f t="shared" ca="1" si="23"/>
        <v>0</v>
      </c>
      <c r="CL33" s="21" t="str">
        <f ca="1">IFERROR(VLOOKUP($CK33,Definitions!$V:$W,COLUMNS(Definitions!$V:$W),TRUE),"")</f>
        <v>Basic</v>
      </c>
      <c r="CM33" s="21" t="str">
        <f ca="1">_xlfn.LET(
_xlpm._comments,SimpleLookup($A33,Tracing!$B:$AB),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33" s="21" t="str" cm="1">
        <f t="array" aca="1" ref="CN33" ca="1">_xlfn.LET(
_xlpm._rapRange,Definitions!$W:$W,
_xlpm._calculatedRAP,$CL33,
_xlpm._inlineRAP,$CM33,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33" s="21" t="str">
        <f ca="1">IFERROR(IF(OR($BP33="",$CN33=""),
Definitions!$AE$4,
VLOOKUP($BP33,Definitions!$AH:$AM,MATCH($CN33,Definitions!$AH$3:$AM$3,0),FALSE)),
"")</f>
        <v>No Risk</v>
      </c>
      <c r="CP33" s="21" cm="1">
        <f t="array" aca="1" ref="CP33" ca="1">IF($CO33="",0,SimpleLookup($CO33,Definitions!$AE:$AF))</f>
        <v>0</v>
      </c>
      <c r="CQ33" s="21" t="b">
        <f ca="1">OR(AND($S33,$I33=Helper!$B$7),$I33&gt;Helper!$B$7)</f>
        <v>1</v>
      </c>
      <c r="CR33" s="21" t="str">
        <f t="shared" ca="1" si="24"/>
        <v/>
      </c>
      <c r="CS33" s="21" cm="1">
        <f t="array" aca="1" ref="CS33" ca="1">CreateID($CS$2,$CV:$CV,$CR33&lt;&gt;"")</f>
        <v>0</v>
      </c>
      <c r="CT33" s="21" t="str">
        <f ca="1">IF(IFERROR(MATCH(","&amp;A33&amp;",",'Risk Treatment'!$AT:$AT,0)&gt;0,FALSE),"",$A33)</f>
        <v/>
      </c>
      <c r="CU33" s="21" cm="1">
        <f t="array" aca="1" ref="CU33" ca="1">CreateID($CU$2,$CU:$CU,$CT33&lt;&gt;"")</f>
        <v>0</v>
      </c>
    </row>
    <row r="34" spans="1:99" x14ac:dyDescent="0.25">
      <c r="A34" s="33" t="str" cm="1">
        <f t="array" aca="1" ref="A34" ca="1">IF($B34="","","R"&amp;RemoveDelimiter(SUBSTITUTE(SUBSTITUTE($K34,"AS",""),",","-"),"-"))</f>
        <v/>
      </c>
      <c r="B34" s="33" t="str" cm="1">
        <f t="array" aca="1" ref="B34" ca="1">IF($L34="","",_xlfn.LET(
_xlpm._finalAttackStep,$L34,
_xlpm._prepAttacks,RemoveFirstElement(_xlpm._finalAttackStep&amp;","&amp;$K34),
_xlpm._prepAttackNames,IFERROR(LookupNames(_xlpm._prepAttacks,'Attack Steps'!$A:$B),""),
_xlpm._delimiter,REPT(CHAR(150),55),
$L34&amp;" "&amp;SimpleLookup($L34,'Attack Steps'!$A:$B)&amp;
IF(_xlpm._prepAttackNames="","",CHAR(10)&amp;_xlpm._delimiter&amp;CHAR(10)&amp;_xlpm._prepAttackNames)))</f>
        <v/>
      </c>
      <c r="C34" s="34" t="str" cm="1">
        <f t="array" aca="1" ref="C34" ca="1">IFERROR(LookupNames($M34,'Damage Scenarios'!$A:$V),"")</f>
        <v/>
      </c>
      <c r="D34" s="33" t="str">
        <f ca="1">IFERROR(IF($T34=0,"",INDEX(Definitions!$Q:$Q,MATCH($T34,Definitions!$R:$R,0))),"")</f>
        <v/>
      </c>
      <c r="E34" s="34" t="str" cm="1">
        <f t="array" aca="1" ref="E34" ca="1">IF($A34="","",_xlfn.LET(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_xlpm._factorFunction($A34,$A:W,Definitions!$Y:$Y,Definitions!$AB:$AB,1)&amp;CHAR(10)&amp;
_xlpm._factorFunction($A34,$A:X,Definitions!$Y:$Y,Definitions!$AB:$AB,2)&amp;CHAR(10)&amp;
_xlpm._factorFunction($A34,$A:Y,Definitions!$Y:$Y,Definitions!$AB:$AB,3)&amp;CHAR(10)&amp;
_xlpm._factorFunction($A34,$A:Z,Definitions!$Y:$Y,Definitions!$AB:$AB,4)&amp;CHAR(10)&amp;
_xlpm._factorFunction($A34,$A:AA,Definitions!$Y:$Y,Definitions!$AB:$AB,5)))</f>
        <v/>
      </c>
      <c r="F34" s="33" t="str">
        <f ca="1">IF($A34="","",IFERROR(VLOOKUP($AG34,Definitions!$V:$W,COLUMNS(Definitions!$V:$W),TRUE),""))</f>
        <v/>
      </c>
      <c r="G34" s="33" t="str">
        <f ca="1">IFERROR(IF(OR($D34="",$F34=""),
"",
VLOOKUP($D34,Definitions!$AH:$AM,MATCH($F34,Definitions!$AH$3:$AM$3,0),FALSE)),
"")</f>
        <v/>
      </c>
      <c r="H34" s="23" cm="1">
        <f t="array" aca="1" ref="H34" ca="1">IF(ROW()=ROW($H$2)+1,0,INDEX($H:$H,ROW()-1))+IF($A34="",0,1)</f>
        <v>0</v>
      </c>
      <c r="I34" s="21" cm="1">
        <f t="array" aca="1" ref="I34" ca="1">IF(ROW()=ROW($I$2)+1,
1,
INDEX($I:$I,ROW()-1)+IF(INDEX($S:$S,ROW()-1),1,0))</f>
        <v>1</v>
      </c>
      <c r="J34" s="21">
        <f t="shared" ca="1" si="0"/>
        <v>32</v>
      </c>
      <c r="K34" s="21" t="str">
        <f t="shared" ca="1" si="40"/>
        <v/>
      </c>
      <c r="L34" s="21" t="str" cm="1">
        <f t="array" aca="1" ref="L34" ca="1">IF($P34="","",INDEX('Attack Steps'!$A:$A,$P34))</f>
        <v/>
      </c>
      <c r="M34" s="21" t="str" cm="1">
        <f t="array" aca="1" ref="M34" ca="1">IF($P34="","",INDEX('Attack Steps'!$T:$T,$P34))</f>
        <v/>
      </c>
      <c r="N34" s="21" t="str" cm="1">
        <f t="array" aca="1" ref="N34" ca="1">_xlfn.LET(_xlpm._dm,SanitizeInput(GetValuesWithFallback(SanitizeInput($AK34),Assumptions!$A:$I,Countermeasures!$A:$I,"",",",FALSE)),
IF(_xlpm._dm="","",","&amp;_xlpm._dm))</f>
        <v/>
      </c>
      <c r="O34" s="21" t="str" cm="1">
        <f t="array" aca="1" ref="O34" ca="1">ApplyDamageMitigation($M34,$N34,"")</f>
        <v/>
      </c>
      <c r="P34" s="21" t="str">
        <f ca="1">IFERROR(MATCH($I34,'Attack Steps'!$V:$V,0),"")</f>
        <v/>
      </c>
      <c r="Q34" s="21" t="str" cm="1">
        <f t="array" aca="1" ref="Q34" ca="1">IF($P34="","","§"&amp;INDEX('Attack Steps'!$S:$S,$P34))</f>
        <v/>
      </c>
      <c r="R34" s="21" t="str" cm="1">
        <f t="array" aca="1" ref="R34" ca="1">IF($P34="","",INDEX('Attack Steps'!$W:$W,$P34))</f>
        <v/>
      </c>
      <c r="S34" s="21" t="b">
        <f t="shared" ca="1" si="41"/>
        <v>0</v>
      </c>
      <c r="T34" s="21" cm="1">
        <f t="array" aca="1" ref="T34" ca="1">_xlfn.LAMBDA(_xlpm._in,_xlpm._val,_xlpm._range,
IF(_xlpm._in="",_xlpm._val,_xlfn.LET(
_xlpm._id,LEFT(_xlpm._in,FIND(",",_xlpm._in)-1),
CalculateMaxFromList(RemoveFirstElement(_xlpm._in),MAX(_xlpm._val,VLOOKUP(_xlpm._id,_xlpm._range,COLUMNS(_xlpm._range),FALSE)),_xlpm._range))))($M34,0,'Damage Scenarios'!$A:$U)</f>
        <v>0</v>
      </c>
      <c r="U34" s="21" cm="1">
        <f t="array" aca="1" ref="U34" ca="1">CalculateMaxFromList($O34,0,'Damage Scenarios'!$A:$U)</f>
        <v>0</v>
      </c>
      <c r="V34" s="21" t="str">
        <f ca="1">IF($U34=0,"",INDEX(Definitions!$Q:$Q,MATCH($U34,Definitions!$R:$R,0)))</f>
        <v/>
      </c>
      <c r="W34" s="21" t="str" cm="1">
        <f t="array" aca="1" ref="W34" ca="1">CalculateMaxAndElements($K34,0,"",'Attack Steps'!$A:X)</f>
        <v>0:</v>
      </c>
      <c r="X34" s="21" t="str" cm="1">
        <f t="array" aca="1" ref="X34" ca="1">CalculateMaxAndElements($K34,0,"",'Attack Steps'!$A:Y)</f>
        <v>0:</v>
      </c>
      <c r="Y34" s="21" t="str" cm="1">
        <f t="array" aca="1" ref="Y34" ca="1">CalculateMaxAndElements($K34,0,"",'Attack Steps'!$A:Z)</f>
        <v>0:</v>
      </c>
      <c r="Z34" s="21" t="str" cm="1">
        <f t="array" aca="1" ref="Z34" ca="1">CalculateMaxAndElements($K34,0,"",'Attack Steps'!$A:AA)</f>
        <v>0:</v>
      </c>
      <c r="AA34" s="21" t="str" cm="1">
        <f t="array" aca="1" ref="AA34" ca="1">CalculateMaxAndElements($K34,0,"",'Attack Steps'!$A:AB)</f>
        <v>0:</v>
      </c>
      <c r="AB34" s="21">
        <f t="shared" ca="1" si="42"/>
        <v>0</v>
      </c>
      <c r="AC34" s="21">
        <f t="shared" ca="1" si="43"/>
        <v>0</v>
      </c>
      <c r="AD34" s="21">
        <f t="shared" ca="1" si="44"/>
        <v>0</v>
      </c>
      <c r="AE34" s="21">
        <f t="shared" ca="1" si="45"/>
        <v>0</v>
      </c>
      <c r="AF34" s="21">
        <f t="shared" ca="1" si="46"/>
        <v>0</v>
      </c>
      <c r="AG34" s="21">
        <f t="shared" ca="1" si="3"/>
        <v>0</v>
      </c>
      <c r="AH34" s="21" t="str" cm="1">
        <f t="array" aca="1" ref="AH34" ca="1">IF(ROW()=ROW($AH$2)+1,"",INDEX($AH:$AH,ROW()-1))&amp;IF($A34="","",$A34&amp;",")</f>
        <v/>
      </c>
      <c r="AI34" s="21" t="str">
        <f t="shared" ca="1" si="47"/>
        <v/>
      </c>
      <c r="AJ34" s="21" cm="1">
        <f t="array" aca="1" ref="AJ34" ca="1">IF($G34="",0,SimpleLookup($G34,Definitions!$AE:$AF))</f>
        <v>0</v>
      </c>
      <c r="AK34" s="21" t="str" cm="1">
        <f t="array" aca="1" ref="AK34" ca="1">InverseLookup($A34,Mitigation!$U$2,Mitigation!$J$2,1,Helper!$B$5,",")</f>
        <v/>
      </c>
      <c r="AL34" s="21" t="str" cm="1">
        <f t="array" aca="1" ref="AL34" ca="1">CalculateMaxAndElementsWithFallback(SanitizeInput($AK34),0,"",Countermeasures!$A:Y,Assumptions!$A:Z)</f>
        <v>0:</v>
      </c>
      <c r="AM34" s="21" t="str" cm="1">
        <f t="array" aca="1" ref="AM34" ca="1">CalculateMaxAndElementsWithFallback(SanitizeInput($AK34),0,"",Countermeasures!$A:Z,Assumptions!$A:AA)</f>
        <v>0:</v>
      </c>
      <c r="AN34" s="21" t="str" cm="1">
        <f t="array" aca="1" ref="AN34" ca="1">CalculateMaxAndElementsWithFallback(SanitizeInput($AK34),0,"",Countermeasures!$A:AA,Assumptions!$A:AB)</f>
        <v>0:</v>
      </c>
      <c r="AO34" s="21" t="str" cm="1">
        <f t="array" aca="1" ref="AO34" ca="1">CalculateMaxAndElementsWithFallback(SanitizeInput($AK34),0,"",Countermeasures!$A:AB,Assumptions!$A:AC)</f>
        <v>0:</v>
      </c>
      <c r="AP34" s="21" t="str" cm="1">
        <f t="array" aca="1" ref="AP34" ca="1">CalculateMaxAndElementsWithFallback(SanitizeInput($AK34),0,"",Countermeasures!$A:AC,Assumptions!$A:AD)</f>
        <v>0:</v>
      </c>
      <c r="AQ34" s="21">
        <f t="shared" ca="1" si="48"/>
        <v>0</v>
      </c>
      <c r="AR34" s="21">
        <f t="shared" ca="1" si="49"/>
        <v>0</v>
      </c>
      <c r="AS34" s="21">
        <f t="shared" ca="1" si="50"/>
        <v>0</v>
      </c>
      <c r="AT34" s="21">
        <f t="shared" ca="1" si="51"/>
        <v>0</v>
      </c>
      <c r="AU34" s="21">
        <f t="shared" ca="1" si="52"/>
        <v>0</v>
      </c>
      <c r="AV34" s="21" t="str">
        <f t="shared" ca="1" si="53"/>
        <v>0:</v>
      </c>
      <c r="AW34" s="21" t="str">
        <f t="shared" ca="1" si="54"/>
        <v>0:</v>
      </c>
      <c r="AX34" s="21" t="str">
        <f t="shared" ca="1" si="55"/>
        <v>0:</v>
      </c>
      <c r="AY34" s="21" t="str">
        <f t="shared" ca="1" si="56"/>
        <v>0:</v>
      </c>
      <c r="AZ34" s="21" t="str">
        <f t="shared" ca="1" si="57"/>
        <v>0:</v>
      </c>
      <c r="BA34" s="21">
        <f t="shared" ca="1" si="58"/>
        <v>0</v>
      </c>
      <c r="BB34" s="21">
        <f t="shared" ca="1" si="59"/>
        <v>0</v>
      </c>
      <c r="BC34" s="21">
        <f t="shared" ca="1" si="60"/>
        <v>0</v>
      </c>
      <c r="BD34" s="21">
        <f t="shared" ca="1" si="61"/>
        <v>0</v>
      </c>
      <c r="BE34" s="21">
        <f t="shared" ca="1" si="62"/>
        <v>0</v>
      </c>
      <c r="BF34" s="21">
        <f t="shared" ca="1" si="9"/>
        <v>0</v>
      </c>
      <c r="BG34" s="21" t="str">
        <f ca="1">IFERROR(VLOOKUP($BF34,Definitions!$V:$W,COLUMNS(Definitions!$V:$W),TRUE),"")</f>
        <v>Basic</v>
      </c>
      <c r="BH34" s="21" t="str">
        <f ca="1">_xlfn.LET(
_xlpm._comments,GetValues($K34,Mitigation!$A:$O,"","",FALSE),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34" s="21" t="str" cm="1">
        <f t="array" aca="1" ref="BI34" ca="1">_xlfn.LET(
_xlpm._rapRange,Definitions!$W:$W,
_xlpm._calculatedRAP,$BG34,
_xlpm._inlineRAP,$BH34,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34" s="21" t="str">
        <f ca="1">IFERROR(IF(OR($V34="",$BI34=""),
Definitions!$AE$4,
VLOOKUP($V34,Definitions!$AH:$AM,MATCH($BI34,Definitions!$AH$3:$AM$3,0),FALSE)),
"")</f>
        <v>No Risk</v>
      </c>
      <c r="BK34" s="21" cm="1">
        <f t="array" aca="1" ref="BK34" ca="1">IF($BJ34="",0,SimpleLookup($BJ34,Definitions!$AE:$AF))</f>
        <v>0</v>
      </c>
      <c r="BL34" s="21" t="str" cm="1">
        <f t="array" aca="1" ref="BL34" ca="1">IFERROR(SimpleLookup($A34,Tracing!$B:$Z),"")</f>
        <v/>
      </c>
      <c r="BM34" s="21" t="str" cm="1">
        <f t="array" aca="1" ref="BM34" ca="1">_xlfn.LET(_xlpm._dm,SanitizeInput(GetValuesWithFallback(SanitizeInput($BL34),Assumptions!$A:$I,Countermeasures!$A:$I,"",",",FALSE)),
IF(_xlpm._dm="","",","&amp;_xlpm._dm))</f>
        <v/>
      </c>
      <c r="BN34" s="21" t="str" cm="1">
        <f t="array" aca="1" ref="BN34" ca="1">ApplyDamageMitigation($M34,$BM34,"")</f>
        <v/>
      </c>
      <c r="BO34" s="21" cm="1">
        <f t="array" aca="1" ref="BO34" ca="1">CalculateMaxFromList($BN34,0,'Damage Scenarios'!$A:$U)</f>
        <v>0</v>
      </c>
      <c r="BP34" s="21" t="str">
        <f ca="1">IF($BO34=0,"",INDEX(Definitions!$Q:$Q,MATCH($BO34,Definitions!$R:$R,0)))</f>
        <v/>
      </c>
      <c r="BQ34" s="21" t="str" cm="1">
        <f t="array" aca="1" ref="BQ34" ca="1">CalculateMaxAndElementsWithFallback(SanitizeInput($BL34),0,"",Countermeasures!$A:Y,Assumptions!$A:Z)</f>
        <v>0:</v>
      </c>
      <c r="BR34" s="21" t="str" cm="1">
        <f t="array" aca="1" ref="BR34" ca="1">CalculateMaxAndElementsWithFallback(SanitizeInput($BL34),0,"",Countermeasures!$A:Z,Assumptions!$A:AA)</f>
        <v>0:</v>
      </c>
      <c r="BS34" s="21" t="str" cm="1">
        <f t="array" aca="1" ref="BS34" ca="1">CalculateMaxAndElementsWithFallback(SanitizeInput($BL34),0,"",Countermeasures!$A:AA,Assumptions!$A:AB)</f>
        <v>0:</v>
      </c>
      <c r="BT34" s="21" t="str" cm="1">
        <f t="array" aca="1" ref="BT34" ca="1">CalculateMaxAndElementsWithFallback(SanitizeInput($BL34),0,"",Countermeasures!$A:AB,Assumptions!$A:AC)</f>
        <v>0:</v>
      </c>
      <c r="BU34" s="21" t="str" cm="1">
        <f t="array" aca="1" ref="BU34" ca="1">CalculateMaxAndElementsWithFallback(SanitizeInput($BL34),0,"",Countermeasures!$A:AC,Assumptions!$A:AD)</f>
        <v>0:</v>
      </c>
      <c r="BV34" s="21">
        <f t="shared" ca="1" si="25"/>
        <v>0</v>
      </c>
      <c r="BW34" s="21">
        <f t="shared" ca="1" si="26"/>
        <v>0</v>
      </c>
      <c r="BX34" s="21">
        <f t="shared" ca="1" si="27"/>
        <v>0</v>
      </c>
      <c r="BY34" s="21">
        <f t="shared" ca="1" si="28"/>
        <v>0</v>
      </c>
      <c r="BZ34" s="21">
        <f t="shared" ca="1" si="29"/>
        <v>0</v>
      </c>
      <c r="CA34" s="21" t="str">
        <f t="shared" ca="1" si="30"/>
        <v>0:</v>
      </c>
      <c r="CB34" s="21" t="str">
        <f t="shared" ca="1" si="31"/>
        <v>0:</v>
      </c>
      <c r="CC34" s="21" t="str">
        <f t="shared" ca="1" si="32"/>
        <v>0:</v>
      </c>
      <c r="CD34" s="21" t="str">
        <f t="shared" ca="1" si="33"/>
        <v>0:</v>
      </c>
      <c r="CE34" s="21" t="str">
        <f t="shared" ca="1" si="34"/>
        <v>0:</v>
      </c>
      <c r="CF34" s="21">
        <f t="shared" ca="1" si="35"/>
        <v>0</v>
      </c>
      <c r="CG34" s="21">
        <f t="shared" ca="1" si="36"/>
        <v>0</v>
      </c>
      <c r="CH34" s="21">
        <f t="shared" ca="1" si="37"/>
        <v>0</v>
      </c>
      <c r="CI34" s="21">
        <f t="shared" ca="1" si="38"/>
        <v>0</v>
      </c>
      <c r="CJ34" s="21">
        <f t="shared" ca="1" si="39"/>
        <v>0</v>
      </c>
      <c r="CK34" s="21">
        <f t="shared" ca="1" si="23"/>
        <v>0</v>
      </c>
      <c r="CL34" s="21" t="str">
        <f ca="1">IFERROR(VLOOKUP($CK34,Definitions!$V:$W,COLUMNS(Definitions!$V:$W),TRUE),"")</f>
        <v>Basic</v>
      </c>
      <c r="CM34" s="21" t="str">
        <f ca="1">_xlfn.LET(
_xlpm._comments,SimpleLookup($A34,Tracing!$B:$AB),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34" s="21" t="str" cm="1">
        <f t="array" aca="1" ref="CN34" ca="1">_xlfn.LET(
_xlpm._rapRange,Definitions!$W:$W,
_xlpm._calculatedRAP,$CL34,
_xlpm._inlineRAP,$CM34,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34" s="21" t="str">
        <f ca="1">IFERROR(IF(OR($BP34="",$CN34=""),
Definitions!$AE$4,
VLOOKUP($BP34,Definitions!$AH:$AM,MATCH($CN34,Definitions!$AH$3:$AM$3,0),FALSE)),
"")</f>
        <v>No Risk</v>
      </c>
      <c r="CP34" s="21" cm="1">
        <f t="array" aca="1" ref="CP34" ca="1">IF($CO34="",0,SimpleLookup($CO34,Definitions!$AE:$AF))</f>
        <v>0</v>
      </c>
      <c r="CQ34" s="21" t="b">
        <f ca="1">OR(AND($S34,$I34=Helper!$B$7),$I34&gt;Helper!$B$7)</f>
        <v>1</v>
      </c>
      <c r="CR34" s="21" t="str">
        <f t="shared" ca="1" si="24"/>
        <v/>
      </c>
      <c r="CS34" s="21" cm="1">
        <f t="array" aca="1" ref="CS34" ca="1">CreateID($CS$2,$CV:$CV,$CR34&lt;&gt;"")</f>
        <v>0</v>
      </c>
      <c r="CT34" s="21" t="str">
        <f ca="1">IF(IFERROR(MATCH(","&amp;A34&amp;",",'Risk Treatment'!$AT:$AT,0)&gt;0,FALSE),"",$A34)</f>
        <v/>
      </c>
      <c r="CU34" s="21" cm="1">
        <f t="array" aca="1" ref="CU34" ca="1">CreateID($CU$2,$CU:$CU,$CT34&lt;&gt;"")</f>
        <v>0</v>
      </c>
    </row>
    <row r="35" spans="1:99" x14ac:dyDescent="0.25">
      <c r="A35" s="33" t="str" cm="1">
        <f t="array" aca="1" ref="A35" ca="1">IF($B35="","","R"&amp;RemoveDelimiter(SUBSTITUTE(SUBSTITUTE($K35,"AS",""),",","-"),"-"))</f>
        <v/>
      </c>
      <c r="B35" s="33" t="str" cm="1">
        <f t="array" aca="1" ref="B35" ca="1">IF($L35="","",_xlfn.LET(
_xlpm._finalAttackStep,$L35,
_xlpm._prepAttacks,RemoveFirstElement(_xlpm._finalAttackStep&amp;","&amp;$K35),
_xlpm._prepAttackNames,IFERROR(LookupNames(_xlpm._prepAttacks,'Attack Steps'!$A:$B),""),
_xlpm._delimiter,REPT(CHAR(150),55),
$L35&amp;" "&amp;SimpleLookup($L35,'Attack Steps'!$A:$B)&amp;
IF(_xlpm._prepAttackNames="","",CHAR(10)&amp;_xlpm._delimiter&amp;CHAR(10)&amp;_xlpm._prepAttackNames)))</f>
        <v/>
      </c>
      <c r="C35" s="34" t="str" cm="1">
        <f t="array" aca="1" ref="C35" ca="1">IFERROR(LookupNames($M35,'Damage Scenarios'!$A:$V),"")</f>
        <v/>
      </c>
      <c r="D35" s="33" t="str">
        <f ca="1">IFERROR(IF($T35=0,"",INDEX(Definitions!$Q:$Q,MATCH($T35,Definitions!$R:$R,0))),"")</f>
        <v/>
      </c>
      <c r="E35" s="34" t="str" cm="1">
        <f t="array" aca="1" ref="E35" ca="1">IF($A35="","",_xlfn.LET(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_xlpm._factorFunction($A35,$A:W,Definitions!$Y:$Y,Definitions!$AB:$AB,1)&amp;CHAR(10)&amp;
_xlpm._factorFunction($A35,$A:X,Definitions!$Y:$Y,Definitions!$AB:$AB,2)&amp;CHAR(10)&amp;
_xlpm._factorFunction($A35,$A:Y,Definitions!$Y:$Y,Definitions!$AB:$AB,3)&amp;CHAR(10)&amp;
_xlpm._factorFunction($A35,$A:Z,Definitions!$Y:$Y,Definitions!$AB:$AB,4)&amp;CHAR(10)&amp;
_xlpm._factorFunction($A35,$A:AA,Definitions!$Y:$Y,Definitions!$AB:$AB,5)))</f>
        <v/>
      </c>
      <c r="F35" s="33" t="str">
        <f ca="1">IF($A35="","",IFERROR(VLOOKUP($AG35,Definitions!$V:$W,COLUMNS(Definitions!$V:$W),TRUE),""))</f>
        <v/>
      </c>
      <c r="G35" s="33" t="str">
        <f ca="1">IFERROR(IF(OR($D35="",$F35=""),
"",
VLOOKUP($D35,Definitions!$AH:$AM,MATCH($F35,Definitions!$AH$3:$AM$3,0),FALSE)),
"")</f>
        <v/>
      </c>
      <c r="H35" s="23" cm="1">
        <f t="array" aca="1" ref="H35" ca="1">IF(ROW()=ROW($H$2)+1,0,INDEX($H:$H,ROW()-1))+IF($A35="",0,1)</f>
        <v>0</v>
      </c>
      <c r="I35" s="21" cm="1">
        <f t="array" aca="1" ref="I35" ca="1">IF(ROW()=ROW($I$2)+1,
1,
INDEX($I:$I,ROW()-1)+IF(INDEX($S:$S,ROW()-1),1,0))</f>
        <v>1</v>
      </c>
      <c r="J35" s="21">
        <f t="shared" ref="J35:J66" ca="1" si="63">COUNTIF(OFFSET($I$2,1,0,ROW()-ROW($I$2),1),$I35)</f>
        <v>33</v>
      </c>
      <c r="K35" s="21" t="str">
        <f t="shared" ca="1" si="40"/>
        <v/>
      </c>
      <c r="L35" s="21" t="str" cm="1">
        <f t="array" aca="1" ref="L35" ca="1">IF($P35="","",INDEX('Attack Steps'!$A:$A,$P35))</f>
        <v/>
      </c>
      <c r="M35" s="21" t="str" cm="1">
        <f t="array" aca="1" ref="M35" ca="1">IF($P35="","",INDEX('Attack Steps'!$T:$T,$P35))</f>
        <v/>
      </c>
      <c r="N35" s="21" t="str" cm="1">
        <f t="array" aca="1" ref="N35" ca="1">_xlfn.LET(_xlpm._dm,SanitizeInput(GetValuesWithFallback(SanitizeInput($AK35),Assumptions!$A:$I,Countermeasures!$A:$I,"",",",FALSE)),
IF(_xlpm._dm="","",","&amp;_xlpm._dm))</f>
        <v/>
      </c>
      <c r="O35" s="21" t="str" cm="1">
        <f t="array" aca="1" ref="O35" ca="1">ApplyDamageMitigation($M35,$N35,"")</f>
        <v/>
      </c>
      <c r="P35" s="21" t="str">
        <f ca="1">IFERROR(MATCH($I35,'Attack Steps'!$V:$V,0),"")</f>
        <v/>
      </c>
      <c r="Q35" s="21" t="str" cm="1">
        <f t="array" aca="1" ref="Q35" ca="1">IF($P35="","","§"&amp;INDEX('Attack Steps'!$S:$S,$P35))</f>
        <v/>
      </c>
      <c r="R35" s="21" t="str" cm="1">
        <f t="array" aca="1" ref="R35" ca="1">IF($P35="","",INDEX('Attack Steps'!$W:$W,$P35))</f>
        <v/>
      </c>
      <c r="S35" s="21" t="b">
        <f t="shared" ca="1" si="41"/>
        <v>0</v>
      </c>
      <c r="T35" s="21" cm="1">
        <f t="array" aca="1" ref="T35" ca="1">_xlfn.LAMBDA(_xlpm._in,_xlpm._val,_xlpm._range,
IF(_xlpm._in="",_xlpm._val,_xlfn.LET(
_xlpm._id,LEFT(_xlpm._in,FIND(",",_xlpm._in)-1),
CalculateMaxFromList(RemoveFirstElement(_xlpm._in),MAX(_xlpm._val,VLOOKUP(_xlpm._id,_xlpm._range,COLUMNS(_xlpm._range),FALSE)),_xlpm._range))))($M35,0,'Damage Scenarios'!$A:$U)</f>
        <v>0</v>
      </c>
      <c r="U35" s="21" cm="1">
        <f t="array" aca="1" ref="U35" ca="1">CalculateMaxFromList($O35,0,'Damage Scenarios'!$A:$U)</f>
        <v>0</v>
      </c>
      <c r="V35" s="21" t="str">
        <f ca="1">IF($U35=0,"",INDEX(Definitions!$Q:$Q,MATCH($U35,Definitions!$R:$R,0)))</f>
        <v/>
      </c>
      <c r="W35" s="21" t="str" cm="1">
        <f t="array" aca="1" ref="W35" ca="1">CalculateMaxAndElements($K35,0,"",'Attack Steps'!$A:X)</f>
        <v>0:</v>
      </c>
      <c r="X35" s="21" t="str" cm="1">
        <f t="array" aca="1" ref="X35" ca="1">CalculateMaxAndElements($K35,0,"",'Attack Steps'!$A:Y)</f>
        <v>0:</v>
      </c>
      <c r="Y35" s="21" t="str" cm="1">
        <f t="array" aca="1" ref="Y35" ca="1">CalculateMaxAndElements($K35,0,"",'Attack Steps'!$A:Z)</f>
        <v>0:</v>
      </c>
      <c r="Z35" s="21" t="str" cm="1">
        <f t="array" aca="1" ref="Z35" ca="1">CalculateMaxAndElements($K35,0,"",'Attack Steps'!$A:AA)</f>
        <v>0:</v>
      </c>
      <c r="AA35" s="21" t="str" cm="1">
        <f t="array" aca="1" ref="AA35" ca="1">CalculateMaxAndElements($K35,0,"",'Attack Steps'!$A:AB)</f>
        <v>0:</v>
      </c>
      <c r="AB35" s="21">
        <f t="shared" ca="1" si="42"/>
        <v>0</v>
      </c>
      <c r="AC35" s="21">
        <f t="shared" ca="1" si="43"/>
        <v>0</v>
      </c>
      <c r="AD35" s="21">
        <f t="shared" ca="1" si="44"/>
        <v>0</v>
      </c>
      <c r="AE35" s="21">
        <f t="shared" ca="1" si="45"/>
        <v>0</v>
      </c>
      <c r="AF35" s="21">
        <f t="shared" ca="1" si="46"/>
        <v>0</v>
      </c>
      <c r="AG35" s="21">
        <f t="shared" ref="AG35:AG66" ca="1" si="64">SUM(OFFSET($AB35,0,0,1,COLUMNS($AB:$AF)))</f>
        <v>0</v>
      </c>
      <c r="AH35" s="21" t="str" cm="1">
        <f t="array" aca="1" ref="AH35" ca="1">IF(ROW()=ROW($AH$2)+1,"",INDEX($AH:$AH,ROW()-1))&amp;IF($A35="","",$A35&amp;",")</f>
        <v/>
      </c>
      <c r="AI35" s="21" t="str">
        <f t="shared" ca="1" si="47"/>
        <v/>
      </c>
      <c r="AJ35" s="21" cm="1">
        <f t="array" aca="1" ref="AJ35" ca="1">IF($G35="",0,SimpleLookup($G35,Definitions!$AE:$AF))</f>
        <v>0</v>
      </c>
      <c r="AK35" s="21" t="str" cm="1">
        <f t="array" aca="1" ref="AK35" ca="1">InverseLookup($A35,Mitigation!$U$2,Mitigation!$J$2,1,Helper!$B$5,",")</f>
        <v/>
      </c>
      <c r="AL35" s="21" t="str" cm="1">
        <f t="array" aca="1" ref="AL35" ca="1">CalculateMaxAndElementsWithFallback(SanitizeInput($AK35),0,"",Countermeasures!$A:Y,Assumptions!$A:Z)</f>
        <v>0:</v>
      </c>
      <c r="AM35" s="21" t="str" cm="1">
        <f t="array" aca="1" ref="AM35" ca="1">CalculateMaxAndElementsWithFallback(SanitizeInput($AK35),0,"",Countermeasures!$A:Z,Assumptions!$A:AA)</f>
        <v>0:</v>
      </c>
      <c r="AN35" s="21" t="str" cm="1">
        <f t="array" aca="1" ref="AN35" ca="1">CalculateMaxAndElementsWithFallback(SanitizeInput($AK35),0,"",Countermeasures!$A:AA,Assumptions!$A:AB)</f>
        <v>0:</v>
      </c>
      <c r="AO35" s="21" t="str" cm="1">
        <f t="array" aca="1" ref="AO35" ca="1">CalculateMaxAndElementsWithFallback(SanitizeInput($AK35),0,"",Countermeasures!$A:AB,Assumptions!$A:AC)</f>
        <v>0:</v>
      </c>
      <c r="AP35" s="21" t="str" cm="1">
        <f t="array" aca="1" ref="AP35" ca="1">CalculateMaxAndElementsWithFallback(SanitizeInput($AK35),0,"",Countermeasures!$A:AC,Assumptions!$A:AD)</f>
        <v>0:</v>
      </c>
      <c r="AQ35" s="21">
        <f t="shared" ca="1" si="48"/>
        <v>0</v>
      </c>
      <c r="AR35" s="21">
        <f t="shared" ca="1" si="49"/>
        <v>0</v>
      </c>
      <c r="AS35" s="21">
        <f t="shared" ca="1" si="50"/>
        <v>0</v>
      </c>
      <c r="AT35" s="21">
        <f t="shared" ca="1" si="51"/>
        <v>0</v>
      </c>
      <c r="AU35" s="21">
        <f t="shared" ca="1" si="52"/>
        <v>0</v>
      </c>
      <c r="AV35" s="21" t="str">
        <f t="shared" ca="1" si="53"/>
        <v>0:</v>
      </c>
      <c r="AW35" s="21" t="str">
        <f t="shared" ca="1" si="54"/>
        <v>0:</v>
      </c>
      <c r="AX35" s="21" t="str">
        <f t="shared" ca="1" si="55"/>
        <v>0:</v>
      </c>
      <c r="AY35" s="21" t="str">
        <f t="shared" ca="1" si="56"/>
        <v>0:</v>
      </c>
      <c r="AZ35" s="21" t="str">
        <f t="shared" ca="1" si="57"/>
        <v>0:</v>
      </c>
      <c r="BA35" s="21">
        <f t="shared" ca="1" si="58"/>
        <v>0</v>
      </c>
      <c r="BB35" s="21">
        <f t="shared" ca="1" si="59"/>
        <v>0</v>
      </c>
      <c r="BC35" s="21">
        <f t="shared" ca="1" si="60"/>
        <v>0</v>
      </c>
      <c r="BD35" s="21">
        <f t="shared" ca="1" si="61"/>
        <v>0</v>
      </c>
      <c r="BE35" s="21">
        <f t="shared" ca="1" si="62"/>
        <v>0</v>
      </c>
      <c r="BF35" s="21">
        <f t="shared" ref="BF35:BF66" ca="1" si="65">SUM(OFFSET($BA35,0,0,1,COLUMNS($BA:$BE)))</f>
        <v>0</v>
      </c>
      <c r="BG35" s="21" t="str">
        <f ca="1">IFERROR(VLOOKUP($BF35,Definitions!$V:$W,COLUMNS(Definitions!$V:$W),TRUE),"")</f>
        <v>Basic</v>
      </c>
      <c r="BH35" s="21" t="str">
        <f ca="1">_xlfn.LET(
_xlpm._comments,GetValues($K35,Mitigation!$A:$O,"","",FALSE),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35" s="21" t="str" cm="1">
        <f t="array" aca="1" ref="BI35" ca="1">_xlfn.LET(
_xlpm._rapRange,Definitions!$W:$W,
_xlpm._calculatedRAP,$BG35,
_xlpm._inlineRAP,$BH35,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35" s="21" t="str">
        <f ca="1">IFERROR(IF(OR($V35="",$BI35=""),
Definitions!$AE$4,
VLOOKUP($V35,Definitions!$AH:$AM,MATCH($BI35,Definitions!$AH$3:$AM$3,0),FALSE)),
"")</f>
        <v>No Risk</v>
      </c>
      <c r="BK35" s="21" cm="1">
        <f t="array" aca="1" ref="BK35" ca="1">IF($BJ35="",0,SimpleLookup($BJ35,Definitions!$AE:$AF))</f>
        <v>0</v>
      </c>
      <c r="BL35" s="21" t="str" cm="1">
        <f t="array" aca="1" ref="BL35" ca="1">IFERROR(SimpleLookup($A35,Tracing!$B:$Z),"")</f>
        <v/>
      </c>
      <c r="BM35" s="21" t="str" cm="1">
        <f t="array" aca="1" ref="BM35" ca="1">_xlfn.LET(_xlpm._dm,SanitizeInput(GetValuesWithFallback(SanitizeInput($BL35),Assumptions!$A:$I,Countermeasures!$A:$I,"",",",FALSE)),
IF(_xlpm._dm="","",","&amp;_xlpm._dm))</f>
        <v/>
      </c>
      <c r="BN35" s="21" t="str" cm="1">
        <f t="array" aca="1" ref="BN35" ca="1">ApplyDamageMitigation($M35,$BM35,"")</f>
        <v/>
      </c>
      <c r="BO35" s="21" cm="1">
        <f t="array" aca="1" ref="BO35" ca="1">CalculateMaxFromList($BN35,0,'Damage Scenarios'!$A:$U)</f>
        <v>0</v>
      </c>
      <c r="BP35" s="21" t="str">
        <f ca="1">IF($BO35=0,"",INDEX(Definitions!$Q:$Q,MATCH($BO35,Definitions!$R:$R,0)))</f>
        <v/>
      </c>
      <c r="BQ35" s="21" t="str" cm="1">
        <f t="array" aca="1" ref="BQ35" ca="1">CalculateMaxAndElementsWithFallback(SanitizeInput($BL35),0,"",Countermeasures!$A:Y,Assumptions!$A:Z)</f>
        <v>0:</v>
      </c>
      <c r="BR35" s="21" t="str" cm="1">
        <f t="array" aca="1" ref="BR35" ca="1">CalculateMaxAndElementsWithFallback(SanitizeInput($BL35),0,"",Countermeasures!$A:Z,Assumptions!$A:AA)</f>
        <v>0:</v>
      </c>
      <c r="BS35" s="21" t="str" cm="1">
        <f t="array" aca="1" ref="BS35" ca="1">CalculateMaxAndElementsWithFallback(SanitizeInput($BL35),0,"",Countermeasures!$A:AA,Assumptions!$A:AB)</f>
        <v>0:</v>
      </c>
      <c r="BT35" s="21" t="str" cm="1">
        <f t="array" aca="1" ref="BT35" ca="1">CalculateMaxAndElementsWithFallback(SanitizeInput($BL35),0,"",Countermeasures!$A:AB,Assumptions!$A:AC)</f>
        <v>0:</v>
      </c>
      <c r="BU35" s="21" t="str" cm="1">
        <f t="array" aca="1" ref="BU35" ca="1">CalculateMaxAndElementsWithFallback(SanitizeInput($BL35),0,"",Countermeasures!$A:AC,Assumptions!$A:AD)</f>
        <v>0:</v>
      </c>
      <c r="BV35" s="21">
        <f t="shared" ca="1" si="25"/>
        <v>0</v>
      </c>
      <c r="BW35" s="21">
        <f t="shared" ca="1" si="26"/>
        <v>0</v>
      </c>
      <c r="BX35" s="21">
        <f t="shared" ca="1" si="27"/>
        <v>0</v>
      </c>
      <c r="BY35" s="21">
        <f t="shared" ca="1" si="28"/>
        <v>0</v>
      </c>
      <c r="BZ35" s="21">
        <f t="shared" ca="1" si="29"/>
        <v>0</v>
      </c>
      <c r="CA35" s="21" t="str">
        <f t="shared" ca="1" si="30"/>
        <v>0:</v>
      </c>
      <c r="CB35" s="21" t="str">
        <f t="shared" ca="1" si="31"/>
        <v>0:</v>
      </c>
      <c r="CC35" s="21" t="str">
        <f t="shared" ca="1" si="32"/>
        <v>0:</v>
      </c>
      <c r="CD35" s="21" t="str">
        <f t="shared" ca="1" si="33"/>
        <v>0:</v>
      </c>
      <c r="CE35" s="21" t="str">
        <f t="shared" ca="1" si="34"/>
        <v>0:</v>
      </c>
      <c r="CF35" s="21">
        <f t="shared" ca="1" si="35"/>
        <v>0</v>
      </c>
      <c r="CG35" s="21">
        <f t="shared" ca="1" si="36"/>
        <v>0</v>
      </c>
      <c r="CH35" s="21">
        <f t="shared" ca="1" si="37"/>
        <v>0</v>
      </c>
      <c r="CI35" s="21">
        <f t="shared" ca="1" si="38"/>
        <v>0</v>
      </c>
      <c r="CJ35" s="21">
        <f t="shared" ca="1" si="39"/>
        <v>0</v>
      </c>
      <c r="CK35" s="21">
        <f t="shared" ref="CK35:CK66" ca="1" si="66">SUM(OFFSET($CF35,0,0,1,COLUMNS($CF:$CJ)))</f>
        <v>0</v>
      </c>
      <c r="CL35" s="21" t="str">
        <f ca="1">IFERROR(VLOOKUP($CK35,Definitions!$V:$W,COLUMNS(Definitions!$V:$W),TRUE),"")</f>
        <v>Basic</v>
      </c>
      <c r="CM35" s="21" t="str">
        <f ca="1">_xlfn.LET(
_xlpm._comments,SimpleLookup($A35,Tracing!$B:$AB),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35" s="21" t="str" cm="1">
        <f t="array" aca="1" ref="CN35" ca="1">_xlfn.LET(
_xlpm._rapRange,Definitions!$W:$W,
_xlpm._calculatedRAP,$CL35,
_xlpm._inlineRAP,$CM35,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35" s="21" t="str">
        <f ca="1">IFERROR(IF(OR($BP35="",$CN35=""),
Definitions!$AE$4,
VLOOKUP($BP35,Definitions!$AH:$AM,MATCH($CN35,Definitions!$AH$3:$AM$3,0),FALSE)),
"")</f>
        <v>No Risk</v>
      </c>
      <c r="CP35" s="21" cm="1">
        <f t="array" aca="1" ref="CP35" ca="1">IF($CO35="",0,SimpleLookup($CO35,Definitions!$AE:$AF))</f>
        <v>0</v>
      </c>
      <c r="CQ35" s="21" t="b">
        <f ca="1">OR(AND($S35,$I35=Helper!$B$7),$I35&gt;Helper!$B$7)</f>
        <v>1</v>
      </c>
      <c r="CR35" s="21" t="str">
        <f t="shared" ref="CR35:CR68" ca="1" si="67">IF(NOT(OR($CQ35,AND(NOT($CQ35),OFFSET($CQ35,1,0)&lt;&gt;""))),"Please enlarge the table!","")</f>
        <v/>
      </c>
      <c r="CS35" s="21" cm="1">
        <f t="array" aca="1" ref="CS35" ca="1">CreateID($CS$2,$CV:$CV,$CR35&lt;&gt;"")</f>
        <v>0</v>
      </c>
      <c r="CT35" s="21" t="str">
        <f ca="1">IF(IFERROR(MATCH(","&amp;A35&amp;",",'Risk Treatment'!$AT:$AT,0)&gt;0,FALSE),"",$A35)</f>
        <v/>
      </c>
      <c r="CU35" s="21" cm="1">
        <f t="array" aca="1" ref="CU35" ca="1">CreateID($CU$2,$CU:$CU,$CT35&lt;&gt;"")</f>
        <v>0</v>
      </c>
    </row>
    <row r="36" spans="1:99" x14ac:dyDescent="0.25">
      <c r="A36" s="33" t="str" cm="1">
        <f t="array" aca="1" ref="A36" ca="1">IF($B36="","","R"&amp;RemoveDelimiter(SUBSTITUTE(SUBSTITUTE($K36,"AS",""),",","-"),"-"))</f>
        <v/>
      </c>
      <c r="B36" s="33" t="str" cm="1">
        <f t="array" aca="1" ref="B36" ca="1">IF($L36="","",_xlfn.LET(
_xlpm._finalAttackStep,$L36,
_xlpm._prepAttacks,RemoveFirstElement(_xlpm._finalAttackStep&amp;","&amp;$K36),
_xlpm._prepAttackNames,IFERROR(LookupNames(_xlpm._prepAttacks,'Attack Steps'!$A:$B),""),
_xlpm._delimiter,REPT(CHAR(150),55),
$L36&amp;" "&amp;SimpleLookup($L36,'Attack Steps'!$A:$B)&amp;
IF(_xlpm._prepAttackNames="","",CHAR(10)&amp;_xlpm._delimiter&amp;CHAR(10)&amp;_xlpm._prepAttackNames)))</f>
        <v/>
      </c>
      <c r="C36" s="34" t="str" cm="1">
        <f t="array" aca="1" ref="C36" ca="1">IFERROR(LookupNames($M36,'Damage Scenarios'!$A:$V),"")</f>
        <v/>
      </c>
      <c r="D36" s="33" t="str">
        <f ca="1">IFERROR(IF($T36=0,"",INDEX(Definitions!$Q:$Q,MATCH($T36,Definitions!$R:$R,0))),"")</f>
        <v/>
      </c>
      <c r="E36" s="34" t="str" cm="1">
        <f t="array" aca="1" ref="E36" ca="1">IF($A36="","",_xlfn.LET(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_xlpm._factorFunction($A36,$A:W,Definitions!$Y:$Y,Definitions!$AB:$AB,1)&amp;CHAR(10)&amp;
_xlpm._factorFunction($A36,$A:X,Definitions!$Y:$Y,Definitions!$AB:$AB,2)&amp;CHAR(10)&amp;
_xlpm._factorFunction($A36,$A:Y,Definitions!$Y:$Y,Definitions!$AB:$AB,3)&amp;CHAR(10)&amp;
_xlpm._factorFunction($A36,$A:Z,Definitions!$Y:$Y,Definitions!$AB:$AB,4)&amp;CHAR(10)&amp;
_xlpm._factorFunction($A36,$A:AA,Definitions!$Y:$Y,Definitions!$AB:$AB,5)))</f>
        <v/>
      </c>
      <c r="F36" s="33" t="str">
        <f ca="1">IF($A36="","",IFERROR(VLOOKUP($AG36,Definitions!$V:$W,COLUMNS(Definitions!$V:$W),TRUE),""))</f>
        <v/>
      </c>
      <c r="G36" s="33" t="str">
        <f ca="1">IFERROR(IF(OR($D36="",$F36=""),
"",
VLOOKUP($D36,Definitions!$AH:$AM,MATCH($F36,Definitions!$AH$3:$AM$3,0),FALSE)),
"")</f>
        <v/>
      </c>
      <c r="H36" s="23" cm="1">
        <f t="array" aca="1" ref="H36" ca="1">IF(ROW()=ROW($H$2)+1,0,INDEX($H:$H,ROW()-1))+IF($A36="",0,1)</f>
        <v>0</v>
      </c>
      <c r="I36" s="21" cm="1">
        <f t="array" aca="1" ref="I36" ca="1">IF(ROW()=ROW($I$2)+1,
1,
INDEX($I:$I,ROW()-1)+IF(INDEX($S:$S,ROW()-1),1,0))</f>
        <v>1</v>
      </c>
      <c r="J36" s="21">
        <f t="shared" ca="1" si="63"/>
        <v>34</v>
      </c>
      <c r="K36" s="21" t="str">
        <f t="shared" ca="1" si="40"/>
        <v/>
      </c>
      <c r="L36" s="21" t="str" cm="1">
        <f t="array" aca="1" ref="L36" ca="1">IF($P36="","",INDEX('Attack Steps'!$A:$A,$P36))</f>
        <v/>
      </c>
      <c r="M36" s="21" t="str" cm="1">
        <f t="array" aca="1" ref="M36" ca="1">IF($P36="","",INDEX('Attack Steps'!$T:$T,$P36))</f>
        <v/>
      </c>
      <c r="N36" s="21" t="str" cm="1">
        <f t="array" aca="1" ref="N36" ca="1">_xlfn.LET(_xlpm._dm,SanitizeInput(GetValuesWithFallback(SanitizeInput($AK36),Assumptions!$A:$I,Countermeasures!$A:$I,"",",",FALSE)),
IF(_xlpm._dm="","",","&amp;_xlpm._dm))</f>
        <v/>
      </c>
      <c r="O36" s="21" t="str" cm="1">
        <f t="array" aca="1" ref="O36" ca="1">ApplyDamageMitigation($M36,$N36,"")</f>
        <v/>
      </c>
      <c r="P36" s="21" t="str">
        <f ca="1">IFERROR(MATCH($I36,'Attack Steps'!$V:$V,0),"")</f>
        <v/>
      </c>
      <c r="Q36" s="21" t="str" cm="1">
        <f t="array" aca="1" ref="Q36" ca="1">IF($P36="","","§"&amp;INDEX('Attack Steps'!$S:$S,$P36))</f>
        <v/>
      </c>
      <c r="R36" s="21" t="str" cm="1">
        <f t="array" aca="1" ref="R36" ca="1">IF($P36="","",INDEX('Attack Steps'!$W:$W,$P36))</f>
        <v/>
      </c>
      <c r="S36" s="21" t="b">
        <f t="shared" ca="1" si="41"/>
        <v>0</v>
      </c>
      <c r="T36" s="21" cm="1">
        <f t="array" aca="1" ref="T36" ca="1">_xlfn.LAMBDA(_xlpm._in,_xlpm._val,_xlpm._range,
IF(_xlpm._in="",_xlpm._val,_xlfn.LET(
_xlpm._id,LEFT(_xlpm._in,FIND(",",_xlpm._in)-1),
CalculateMaxFromList(RemoveFirstElement(_xlpm._in),MAX(_xlpm._val,VLOOKUP(_xlpm._id,_xlpm._range,COLUMNS(_xlpm._range),FALSE)),_xlpm._range))))($M36,0,'Damage Scenarios'!$A:$U)</f>
        <v>0</v>
      </c>
      <c r="U36" s="21" cm="1">
        <f t="array" aca="1" ref="U36" ca="1">CalculateMaxFromList($O36,0,'Damage Scenarios'!$A:$U)</f>
        <v>0</v>
      </c>
      <c r="V36" s="21" t="str">
        <f ca="1">IF($U36=0,"",INDEX(Definitions!$Q:$Q,MATCH($U36,Definitions!$R:$R,0)))</f>
        <v/>
      </c>
      <c r="W36" s="21" t="str" cm="1">
        <f t="array" aca="1" ref="W36" ca="1">CalculateMaxAndElements($K36,0,"",'Attack Steps'!$A:X)</f>
        <v>0:</v>
      </c>
      <c r="X36" s="21" t="str" cm="1">
        <f t="array" aca="1" ref="X36" ca="1">CalculateMaxAndElements($K36,0,"",'Attack Steps'!$A:Y)</f>
        <v>0:</v>
      </c>
      <c r="Y36" s="21" t="str" cm="1">
        <f t="array" aca="1" ref="Y36" ca="1">CalculateMaxAndElements($K36,0,"",'Attack Steps'!$A:Z)</f>
        <v>0:</v>
      </c>
      <c r="Z36" s="21" t="str" cm="1">
        <f t="array" aca="1" ref="Z36" ca="1">CalculateMaxAndElements($K36,0,"",'Attack Steps'!$A:AA)</f>
        <v>0:</v>
      </c>
      <c r="AA36" s="21" t="str" cm="1">
        <f t="array" aca="1" ref="AA36" ca="1">CalculateMaxAndElements($K36,0,"",'Attack Steps'!$A:AB)</f>
        <v>0:</v>
      </c>
      <c r="AB36" s="21">
        <f t="shared" ca="1" si="42"/>
        <v>0</v>
      </c>
      <c r="AC36" s="21">
        <f t="shared" ca="1" si="43"/>
        <v>0</v>
      </c>
      <c r="AD36" s="21">
        <f t="shared" ca="1" si="44"/>
        <v>0</v>
      </c>
      <c r="AE36" s="21">
        <f t="shared" ca="1" si="45"/>
        <v>0</v>
      </c>
      <c r="AF36" s="21">
        <f t="shared" ca="1" si="46"/>
        <v>0</v>
      </c>
      <c r="AG36" s="21">
        <f t="shared" ca="1" si="64"/>
        <v>0</v>
      </c>
      <c r="AH36" s="21" t="str" cm="1">
        <f t="array" aca="1" ref="AH36" ca="1">IF(ROW()=ROW($AH$2)+1,"",INDEX($AH:$AH,ROW()-1))&amp;IF($A36="","",$A36&amp;",")</f>
        <v/>
      </c>
      <c r="AI36" s="21" t="str">
        <f t="shared" ca="1" si="47"/>
        <v/>
      </c>
      <c r="AJ36" s="21" cm="1">
        <f t="array" aca="1" ref="AJ36" ca="1">IF($G36="",0,SimpleLookup($G36,Definitions!$AE:$AF))</f>
        <v>0</v>
      </c>
      <c r="AK36" s="21" t="str" cm="1">
        <f t="array" aca="1" ref="AK36" ca="1">InverseLookup($A36,Mitigation!$U$2,Mitigation!$J$2,1,Helper!$B$5,",")</f>
        <v/>
      </c>
      <c r="AL36" s="21" t="str" cm="1">
        <f t="array" aca="1" ref="AL36" ca="1">CalculateMaxAndElementsWithFallback(SanitizeInput($AK36),0,"",Countermeasures!$A:Y,Assumptions!$A:Z)</f>
        <v>0:</v>
      </c>
      <c r="AM36" s="21" t="str" cm="1">
        <f t="array" aca="1" ref="AM36" ca="1">CalculateMaxAndElementsWithFallback(SanitizeInput($AK36),0,"",Countermeasures!$A:Z,Assumptions!$A:AA)</f>
        <v>0:</v>
      </c>
      <c r="AN36" s="21" t="str" cm="1">
        <f t="array" aca="1" ref="AN36" ca="1">CalculateMaxAndElementsWithFallback(SanitizeInput($AK36),0,"",Countermeasures!$A:AA,Assumptions!$A:AB)</f>
        <v>0:</v>
      </c>
      <c r="AO36" s="21" t="str" cm="1">
        <f t="array" aca="1" ref="AO36" ca="1">CalculateMaxAndElementsWithFallback(SanitizeInput($AK36),0,"",Countermeasures!$A:AB,Assumptions!$A:AC)</f>
        <v>0:</v>
      </c>
      <c r="AP36" s="21" t="str" cm="1">
        <f t="array" aca="1" ref="AP36" ca="1">CalculateMaxAndElementsWithFallback(SanitizeInput($AK36),0,"",Countermeasures!$A:AC,Assumptions!$A:AD)</f>
        <v>0:</v>
      </c>
      <c r="AQ36" s="21">
        <f t="shared" ca="1" si="48"/>
        <v>0</v>
      </c>
      <c r="AR36" s="21">
        <f t="shared" ca="1" si="49"/>
        <v>0</v>
      </c>
      <c r="AS36" s="21">
        <f t="shared" ca="1" si="50"/>
        <v>0</v>
      </c>
      <c r="AT36" s="21">
        <f t="shared" ca="1" si="51"/>
        <v>0</v>
      </c>
      <c r="AU36" s="21">
        <f t="shared" ca="1" si="52"/>
        <v>0</v>
      </c>
      <c r="AV36" s="21" t="str">
        <f t="shared" ca="1" si="53"/>
        <v>0:</v>
      </c>
      <c r="AW36" s="21" t="str">
        <f t="shared" ca="1" si="54"/>
        <v>0:</v>
      </c>
      <c r="AX36" s="21" t="str">
        <f t="shared" ca="1" si="55"/>
        <v>0:</v>
      </c>
      <c r="AY36" s="21" t="str">
        <f t="shared" ca="1" si="56"/>
        <v>0:</v>
      </c>
      <c r="AZ36" s="21" t="str">
        <f t="shared" ca="1" si="57"/>
        <v>0:</v>
      </c>
      <c r="BA36" s="21">
        <f t="shared" ca="1" si="58"/>
        <v>0</v>
      </c>
      <c r="BB36" s="21">
        <f t="shared" ca="1" si="59"/>
        <v>0</v>
      </c>
      <c r="BC36" s="21">
        <f t="shared" ca="1" si="60"/>
        <v>0</v>
      </c>
      <c r="BD36" s="21">
        <f t="shared" ca="1" si="61"/>
        <v>0</v>
      </c>
      <c r="BE36" s="21">
        <f t="shared" ca="1" si="62"/>
        <v>0</v>
      </c>
      <c r="BF36" s="21">
        <f t="shared" ca="1" si="65"/>
        <v>0</v>
      </c>
      <c r="BG36" s="21" t="str">
        <f ca="1">IFERROR(VLOOKUP($BF36,Definitions!$V:$W,COLUMNS(Definitions!$V:$W),TRUE),"")</f>
        <v>Basic</v>
      </c>
      <c r="BH36" s="21" t="str">
        <f ca="1">_xlfn.LET(
_xlpm._comments,GetValues($K36,Mitigation!$A:$O,"","",FALSE),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36" s="21" t="str" cm="1">
        <f t="array" aca="1" ref="BI36" ca="1">_xlfn.LET(
_xlpm._rapRange,Definitions!$W:$W,
_xlpm._calculatedRAP,$BG36,
_xlpm._inlineRAP,$BH36,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36" s="21" t="str">
        <f ca="1">IFERROR(IF(OR($V36="",$BI36=""),
Definitions!$AE$4,
VLOOKUP($V36,Definitions!$AH:$AM,MATCH($BI36,Definitions!$AH$3:$AM$3,0),FALSE)),
"")</f>
        <v>No Risk</v>
      </c>
      <c r="BK36" s="21" cm="1">
        <f t="array" aca="1" ref="BK36" ca="1">IF($BJ36="",0,SimpleLookup($BJ36,Definitions!$AE:$AF))</f>
        <v>0</v>
      </c>
      <c r="BL36" s="21" t="str" cm="1">
        <f t="array" aca="1" ref="BL36" ca="1">IFERROR(SimpleLookup($A36,Tracing!$B:$Z),"")</f>
        <v/>
      </c>
      <c r="BM36" s="21" t="str" cm="1">
        <f t="array" aca="1" ref="BM36" ca="1">_xlfn.LET(_xlpm._dm,SanitizeInput(GetValuesWithFallback(SanitizeInput($BL36),Assumptions!$A:$I,Countermeasures!$A:$I,"",",",FALSE)),
IF(_xlpm._dm="","",","&amp;_xlpm._dm))</f>
        <v/>
      </c>
      <c r="BN36" s="21" t="str" cm="1">
        <f t="array" aca="1" ref="BN36" ca="1">ApplyDamageMitigation($M36,$BM36,"")</f>
        <v/>
      </c>
      <c r="BO36" s="21" cm="1">
        <f t="array" aca="1" ref="BO36" ca="1">CalculateMaxFromList($BN36,0,'Damage Scenarios'!$A:$U)</f>
        <v>0</v>
      </c>
      <c r="BP36" s="21" t="str">
        <f ca="1">IF($BO36=0,"",INDEX(Definitions!$Q:$Q,MATCH($BO36,Definitions!$R:$R,0)))</f>
        <v/>
      </c>
      <c r="BQ36" s="21" t="str" cm="1">
        <f t="array" aca="1" ref="BQ36" ca="1">CalculateMaxAndElementsWithFallback(SanitizeInput($BL36),0,"",Countermeasures!$A:Y,Assumptions!$A:Z)</f>
        <v>0:</v>
      </c>
      <c r="BR36" s="21" t="str" cm="1">
        <f t="array" aca="1" ref="BR36" ca="1">CalculateMaxAndElementsWithFallback(SanitizeInput($BL36),0,"",Countermeasures!$A:Z,Assumptions!$A:AA)</f>
        <v>0:</v>
      </c>
      <c r="BS36" s="21" t="str" cm="1">
        <f t="array" aca="1" ref="BS36" ca="1">CalculateMaxAndElementsWithFallback(SanitizeInput($BL36),0,"",Countermeasures!$A:AA,Assumptions!$A:AB)</f>
        <v>0:</v>
      </c>
      <c r="BT36" s="21" t="str" cm="1">
        <f t="array" aca="1" ref="BT36" ca="1">CalculateMaxAndElementsWithFallback(SanitizeInput($BL36),0,"",Countermeasures!$A:AB,Assumptions!$A:AC)</f>
        <v>0:</v>
      </c>
      <c r="BU36" s="21" t="str" cm="1">
        <f t="array" aca="1" ref="BU36" ca="1">CalculateMaxAndElementsWithFallback(SanitizeInput($BL36),0,"",Countermeasures!$A:AC,Assumptions!$A:AD)</f>
        <v>0:</v>
      </c>
      <c r="BV36" s="21">
        <f t="shared" ca="1" si="25"/>
        <v>0</v>
      </c>
      <c r="BW36" s="21">
        <f t="shared" ca="1" si="26"/>
        <v>0</v>
      </c>
      <c r="BX36" s="21">
        <f t="shared" ca="1" si="27"/>
        <v>0</v>
      </c>
      <c r="BY36" s="21">
        <f t="shared" ca="1" si="28"/>
        <v>0</v>
      </c>
      <c r="BZ36" s="21">
        <f t="shared" ca="1" si="29"/>
        <v>0</v>
      </c>
      <c r="CA36" s="21" t="str">
        <f t="shared" ca="1" si="30"/>
        <v>0:</v>
      </c>
      <c r="CB36" s="21" t="str">
        <f t="shared" ca="1" si="31"/>
        <v>0:</v>
      </c>
      <c r="CC36" s="21" t="str">
        <f t="shared" ca="1" si="32"/>
        <v>0:</v>
      </c>
      <c r="CD36" s="21" t="str">
        <f t="shared" ca="1" si="33"/>
        <v>0:</v>
      </c>
      <c r="CE36" s="21" t="str">
        <f t="shared" ca="1" si="34"/>
        <v>0:</v>
      </c>
      <c r="CF36" s="21">
        <f t="shared" ca="1" si="35"/>
        <v>0</v>
      </c>
      <c r="CG36" s="21">
        <f t="shared" ca="1" si="36"/>
        <v>0</v>
      </c>
      <c r="CH36" s="21">
        <f t="shared" ca="1" si="37"/>
        <v>0</v>
      </c>
      <c r="CI36" s="21">
        <f t="shared" ca="1" si="38"/>
        <v>0</v>
      </c>
      <c r="CJ36" s="21">
        <f t="shared" ca="1" si="39"/>
        <v>0</v>
      </c>
      <c r="CK36" s="21">
        <f t="shared" ca="1" si="66"/>
        <v>0</v>
      </c>
      <c r="CL36" s="21" t="str">
        <f ca="1">IFERROR(VLOOKUP($CK36,Definitions!$V:$W,COLUMNS(Definitions!$V:$W),TRUE),"")</f>
        <v>Basic</v>
      </c>
      <c r="CM36" s="21" t="str">
        <f ca="1">_xlfn.LET(
_xlpm._comments,SimpleLookup($A36,Tracing!$B:$AB),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36" s="21" t="str" cm="1">
        <f t="array" aca="1" ref="CN36" ca="1">_xlfn.LET(
_xlpm._rapRange,Definitions!$W:$W,
_xlpm._calculatedRAP,$CL36,
_xlpm._inlineRAP,$CM36,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36" s="21" t="str">
        <f ca="1">IFERROR(IF(OR($BP36="",$CN36=""),
Definitions!$AE$4,
VLOOKUP($BP36,Definitions!$AH:$AM,MATCH($CN36,Definitions!$AH$3:$AM$3,0),FALSE)),
"")</f>
        <v>No Risk</v>
      </c>
      <c r="CP36" s="21" cm="1">
        <f t="array" aca="1" ref="CP36" ca="1">IF($CO36="",0,SimpleLookup($CO36,Definitions!$AE:$AF))</f>
        <v>0</v>
      </c>
      <c r="CQ36" s="21" t="b">
        <f ca="1">OR(AND($S36,$I36=Helper!$B$7),$I36&gt;Helper!$B$7)</f>
        <v>1</v>
      </c>
      <c r="CR36" s="21" t="str">
        <f t="shared" ca="1" si="67"/>
        <v/>
      </c>
      <c r="CS36" s="21" cm="1">
        <f t="array" aca="1" ref="CS36" ca="1">CreateID($CS$2,$CV:$CV,$CR36&lt;&gt;"")</f>
        <v>0</v>
      </c>
      <c r="CT36" s="21" t="str">
        <f ca="1">IF(IFERROR(MATCH(","&amp;A36&amp;",",'Risk Treatment'!$AT:$AT,0)&gt;0,FALSE),"",$A36)</f>
        <v/>
      </c>
      <c r="CU36" s="21" cm="1">
        <f t="array" aca="1" ref="CU36" ca="1">CreateID($CU$2,$CU:$CU,$CT36&lt;&gt;"")</f>
        <v>0</v>
      </c>
    </row>
    <row r="37" spans="1:99" x14ac:dyDescent="0.25">
      <c r="A37" s="33" t="str" cm="1">
        <f t="array" aca="1" ref="A37" ca="1">IF($B37="","","R"&amp;RemoveDelimiter(SUBSTITUTE(SUBSTITUTE($K37,"AS",""),",","-"),"-"))</f>
        <v/>
      </c>
      <c r="B37" s="33" t="str" cm="1">
        <f t="array" aca="1" ref="B37" ca="1">IF($L37="","",_xlfn.LET(
_xlpm._finalAttackStep,$L37,
_xlpm._prepAttacks,RemoveFirstElement(_xlpm._finalAttackStep&amp;","&amp;$K37),
_xlpm._prepAttackNames,IFERROR(LookupNames(_xlpm._prepAttacks,'Attack Steps'!$A:$B),""),
_xlpm._delimiter,REPT(CHAR(150),55),
$L37&amp;" "&amp;SimpleLookup($L37,'Attack Steps'!$A:$B)&amp;
IF(_xlpm._prepAttackNames="","",CHAR(10)&amp;_xlpm._delimiter&amp;CHAR(10)&amp;_xlpm._prepAttackNames)))</f>
        <v/>
      </c>
      <c r="C37" s="34" t="str" cm="1">
        <f t="array" aca="1" ref="C37" ca="1">IFERROR(LookupNames($M37,'Damage Scenarios'!$A:$V),"")</f>
        <v/>
      </c>
      <c r="D37" s="33" t="str">
        <f ca="1">IFERROR(IF($T37=0,"",INDEX(Definitions!$Q:$Q,MATCH($T37,Definitions!$R:$R,0))),"")</f>
        <v/>
      </c>
      <c r="E37" s="34" t="str" cm="1">
        <f t="array" aca="1" ref="E37" ca="1">IF($A37="","",_xlfn.LET(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_xlpm._factorFunction($A37,$A:W,Definitions!$Y:$Y,Definitions!$AB:$AB,1)&amp;CHAR(10)&amp;
_xlpm._factorFunction($A37,$A:X,Definitions!$Y:$Y,Definitions!$AB:$AB,2)&amp;CHAR(10)&amp;
_xlpm._factorFunction($A37,$A:Y,Definitions!$Y:$Y,Definitions!$AB:$AB,3)&amp;CHAR(10)&amp;
_xlpm._factorFunction($A37,$A:Z,Definitions!$Y:$Y,Definitions!$AB:$AB,4)&amp;CHAR(10)&amp;
_xlpm._factorFunction($A37,$A:AA,Definitions!$Y:$Y,Definitions!$AB:$AB,5)))</f>
        <v/>
      </c>
      <c r="F37" s="33" t="str">
        <f ca="1">IF($A37="","",IFERROR(VLOOKUP($AG37,Definitions!$V:$W,COLUMNS(Definitions!$V:$W),TRUE),""))</f>
        <v/>
      </c>
      <c r="G37" s="33" t="str">
        <f ca="1">IFERROR(IF(OR($D37="",$F37=""),
"",
VLOOKUP($D37,Definitions!$AH:$AM,MATCH($F37,Definitions!$AH$3:$AM$3,0),FALSE)),
"")</f>
        <v/>
      </c>
      <c r="H37" s="23" cm="1">
        <f t="array" aca="1" ref="H37" ca="1">IF(ROW()=ROW($H$2)+1,0,INDEX($H:$H,ROW()-1))+IF($A37="",0,1)</f>
        <v>0</v>
      </c>
      <c r="I37" s="21" cm="1">
        <f t="array" aca="1" ref="I37" ca="1">IF(ROW()=ROW($I$2)+1,
1,
INDEX($I:$I,ROW()-1)+IF(INDEX($S:$S,ROW()-1),1,0))</f>
        <v>1</v>
      </c>
      <c r="J37" s="21">
        <f t="shared" ca="1" si="63"/>
        <v>35</v>
      </c>
      <c r="K37" s="21" t="str">
        <f t="shared" ref="K37:K68" ca="1" si="68">IF($Q37="","",_xlfn.LET(
_xlpm._aps,$Q37,
_xlpm._firstPos,FIND("$",SUBSTITUTE(_xlpm._aps,"§","$",$J37))+1,
_xlpm._lastPos,FIND("$",SUBSTITUTE(_xlpm._aps,"§","$",$J37+1)),
MID(_xlpm._aps,_xlpm._firstPos,_xlpm._lastPos-_xlpm._firstPos)))</f>
        <v/>
      </c>
      <c r="L37" s="21" t="str" cm="1">
        <f t="array" aca="1" ref="L37" ca="1">IF($P37="","",INDEX('Attack Steps'!$A:$A,$P37))</f>
        <v/>
      </c>
      <c r="M37" s="21" t="str" cm="1">
        <f t="array" aca="1" ref="M37" ca="1">IF($P37="","",INDEX('Attack Steps'!$T:$T,$P37))</f>
        <v/>
      </c>
      <c r="N37" s="21" t="str" cm="1">
        <f t="array" aca="1" ref="N37" ca="1">_xlfn.LET(_xlpm._dm,SanitizeInput(GetValuesWithFallback(SanitizeInput($AK37),Assumptions!$A:$I,Countermeasures!$A:$I,"",",",FALSE)),
IF(_xlpm._dm="","",","&amp;_xlpm._dm))</f>
        <v/>
      </c>
      <c r="O37" s="21" t="str" cm="1">
        <f t="array" aca="1" ref="O37" ca="1">ApplyDamageMitigation($M37,$N37,"")</f>
        <v/>
      </c>
      <c r="P37" s="21" t="str">
        <f ca="1">IFERROR(MATCH($I37,'Attack Steps'!$V:$V,0),"")</f>
        <v/>
      </c>
      <c r="Q37" s="21" t="str" cm="1">
        <f t="array" aca="1" ref="Q37" ca="1">IF($P37="","","§"&amp;INDEX('Attack Steps'!$S:$S,$P37))</f>
        <v/>
      </c>
      <c r="R37" s="21" t="str" cm="1">
        <f t="array" aca="1" ref="R37" ca="1">IF($P37="","",INDEX('Attack Steps'!$W:$W,$P37))</f>
        <v/>
      </c>
      <c r="S37" s="21" t="b">
        <f t="shared" ref="S37:S68" ca="1" si="69">$J37=$R37</f>
        <v>0</v>
      </c>
      <c r="T37" s="21" cm="1">
        <f t="array" aca="1" ref="T37" ca="1">_xlfn.LAMBDA(_xlpm._in,_xlpm._val,_xlpm._range,
IF(_xlpm._in="",_xlpm._val,_xlfn.LET(
_xlpm._id,LEFT(_xlpm._in,FIND(",",_xlpm._in)-1),
CalculateMaxFromList(RemoveFirstElement(_xlpm._in),MAX(_xlpm._val,VLOOKUP(_xlpm._id,_xlpm._range,COLUMNS(_xlpm._range),FALSE)),_xlpm._range))))($M37,0,'Damage Scenarios'!$A:$U)</f>
        <v>0</v>
      </c>
      <c r="U37" s="21" cm="1">
        <f t="array" aca="1" ref="U37" ca="1">CalculateMaxFromList($O37,0,'Damage Scenarios'!$A:$U)</f>
        <v>0</v>
      </c>
      <c r="V37" s="21" t="str">
        <f ca="1">IF($U37=0,"",INDEX(Definitions!$Q:$Q,MATCH($U37,Definitions!$R:$R,0)))</f>
        <v/>
      </c>
      <c r="W37" s="21" t="str" cm="1">
        <f t="array" aca="1" ref="W37" ca="1">CalculateMaxAndElements($K37,0,"",'Attack Steps'!$A:X)</f>
        <v>0:</v>
      </c>
      <c r="X37" s="21" t="str" cm="1">
        <f t="array" aca="1" ref="X37" ca="1">CalculateMaxAndElements($K37,0,"",'Attack Steps'!$A:Y)</f>
        <v>0:</v>
      </c>
      <c r="Y37" s="21" t="str" cm="1">
        <f t="array" aca="1" ref="Y37" ca="1">CalculateMaxAndElements($K37,0,"",'Attack Steps'!$A:Z)</f>
        <v>0:</v>
      </c>
      <c r="Z37" s="21" t="str" cm="1">
        <f t="array" aca="1" ref="Z37" ca="1">CalculateMaxAndElements($K37,0,"",'Attack Steps'!$A:AA)</f>
        <v>0:</v>
      </c>
      <c r="AA37" s="21" t="str" cm="1">
        <f t="array" aca="1" ref="AA37" ca="1">CalculateMaxAndElements($K37,0,"",'Attack Steps'!$A:AB)</f>
        <v>0:</v>
      </c>
      <c r="AB37" s="21">
        <f t="shared" ref="AB37:AB68" ca="1" si="70">IF(W37="","",VALUE(LEFT(W37,FIND(":",W37)-1)))</f>
        <v>0</v>
      </c>
      <c r="AC37" s="21">
        <f t="shared" ref="AC37:AC68" ca="1" si="71">IF(X37="","",VALUE(LEFT(X37,FIND(":",X37)-1)))</f>
        <v>0</v>
      </c>
      <c r="AD37" s="21">
        <f t="shared" ref="AD37:AD68" ca="1" si="72">IF(Y37="","",VALUE(LEFT(Y37,FIND(":",Y37)-1)))</f>
        <v>0</v>
      </c>
      <c r="AE37" s="21">
        <f t="shared" ref="AE37:AE68" ca="1" si="73">IF(Z37="","",VALUE(LEFT(Z37,FIND(":",Z37)-1)))</f>
        <v>0</v>
      </c>
      <c r="AF37" s="21">
        <f t="shared" ref="AF37:AF68" ca="1" si="74">IF(AA37="","",VALUE(LEFT(AA37,FIND(":",AA37)-1)))</f>
        <v>0</v>
      </c>
      <c r="AG37" s="21">
        <f t="shared" ca="1" si="64"/>
        <v>0</v>
      </c>
      <c r="AH37" s="21" t="str" cm="1">
        <f t="array" aca="1" ref="AH37" ca="1">IF(ROW()=ROW($AH$2)+1,"",INDEX($AH:$AH,ROW()-1))&amp;IF($A37="","",$A37&amp;",")</f>
        <v/>
      </c>
      <c r="AI37" s="21" t="str">
        <f t="shared" ref="AI37:AI68" ca="1" si="75">IF($K37="","",","&amp;$K37)</f>
        <v/>
      </c>
      <c r="AJ37" s="21" cm="1">
        <f t="array" aca="1" ref="AJ37" ca="1">IF($G37="",0,SimpleLookup($G37,Definitions!$AE:$AF))</f>
        <v>0</v>
      </c>
      <c r="AK37" s="21" t="str" cm="1">
        <f t="array" aca="1" ref="AK37" ca="1">InverseLookup($A37,Mitigation!$U$2,Mitigation!$J$2,1,Helper!$B$5,",")</f>
        <v/>
      </c>
      <c r="AL37" s="21" t="str" cm="1">
        <f t="array" aca="1" ref="AL37" ca="1">CalculateMaxAndElementsWithFallback(SanitizeInput($AK37),0,"",Countermeasures!$A:Y,Assumptions!$A:Z)</f>
        <v>0:</v>
      </c>
      <c r="AM37" s="21" t="str" cm="1">
        <f t="array" aca="1" ref="AM37" ca="1">CalculateMaxAndElementsWithFallback(SanitizeInput($AK37),0,"",Countermeasures!$A:Z,Assumptions!$A:AA)</f>
        <v>0:</v>
      </c>
      <c r="AN37" s="21" t="str" cm="1">
        <f t="array" aca="1" ref="AN37" ca="1">CalculateMaxAndElementsWithFallback(SanitizeInput($AK37),0,"",Countermeasures!$A:AA,Assumptions!$A:AB)</f>
        <v>0:</v>
      </c>
      <c r="AO37" s="21" t="str" cm="1">
        <f t="array" aca="1" ref="AO37" ca="1">CalculateMaxAndElementsWithFallback(SanitizeInput($AK37),0,"",Countermeasures!$A:AB,Assumptions!$A:AC)</f>
        <v>0:</v>
      </c>
      <c r="AP37" s="21" t="str" cm="1">
        <f t="array" aca="1" ref="AP37" ca="1">CalculateMaxAndElementsWithFallback(SanitizeInput($AK37),0,"",Countermeasures!$A:AC,Assumptions!$A:AD)</f>
        <v>0:</v>
      </c>
      <c r="AQ37" s="21">
        <f t="shared" ref="AQ37:AQ68" ca="1" si="76">IF(AL37="","",VALUE(LEFT(AL37,FIND(":",AL37)-1)))</f>
        <v>0</v>
      </c>
      <c r="AR37" s="21">
        <f t="shared" ref="AR37:AR68" ca="1" si="77">IF(AM37="","",VALUE(LEFT(AM37,FIND(":",AM37)-1)))</f>
        <v>0</v>
      </c>
      <c r="AS37" s="21">
        <f t="shared" ref="AS37:AS68" ca="1" si="78">IF(AN37="","",VALUE(LEFT(AN37,FIND(":",AN37)-1)))</f>
        <v>0</v>
      </c>
      <c r="AT37" s="21">
        <f t="shared" ref="AT37:AT68" ca="1" si="79">IF(AO37="","",VALUE(LEFT(AO37,FIND(":",AO37)-1)))</f>
        <v>0</v>
      </c>
      <c r="AU37" s="21">
        <f t="shared" ref="AU37:AU68" ca="1" si="80">IF(AP37="","",VALUE(LEFT(AP37,FIND(":",AP37)-1)))</f>
        <v>0</v>
      </c>
      <c r="AV37" s="21" t="str">
        <f t="shared" ref="AV37:AV68" ca="1" si="81">IF(AB37=AQ37,W37&amp;RIGHT(AL37,LEN(AL37)-FIND(":",AL37)),
IF(AB37&gt;AQ37,W37,AL37))</f>
        <v>0:</v>
      </c>
      <c r="AW37" s="21" t="str">
        <f t="shared" ref="AW37:AW68" ca="1" si="82">IF(AC37=AR37,X37&amp;RIGHT(AM37,LEN(AM37)-FIND(":",AM37)),
IF(AC37&gt;AR37,X37,AM37))</f>
        <v>0:</v>
      </c>
      <c r="AX37" s="21" t="str">
        <f t="shared" ref="AX37:AX68" ca="1" si="83">IF(AD37=AS37,Y37&amp;RIGHT(AN37,LEN(AN37)-FIND(":",AN37)),
IF(AD37&gt;AS37,Y37,AN37))</f>
        <v>0:</v>
      </c>
      <c r="AY37" s="21" t="str">
        <f t="shared" ref="AY37:AY68" ca="1" si="84">IF(AE37=AT37,Z37&amp;RIGHT(AO37,LEN(AO37)-FIND(":",AO37)),
IF(AE37&gt;AT37,Z37,AO37))</f>
        <v>0:</v>
      </c>
      <c r="AZ37" s="21" t="str">
        <f t="shared" ref="AZ37:AZ68" ca="1" si="85">IF(AF37=AU37,AA37&amp;RIGHT(AP37,LEN(AP37)-FIND(":",AP37)),
IF(AF37&gt;AU37,AA37,AP37))</f>
        <v>0:</v>
      </c>
      <c r="BA37" s="21">
        <f t="shared" ref="BA37:BA68" ca="1" si="86">MAX(AB37,AQ37)</f>
        <v>0</v>
      </c>
      <c r="BB37" s="21">
        <f t="shared" ref="BB37:BB68" ca="1" si="87">MAX(AC37,AR37)</f>
        <v>0</v>
      </c>
      <c r="BC37" s="21">
        <f t="shared" ref="BC37:BC68" ca="1" si="88">MAX(AD37,AS37)</f>
        <v>0</v>
      </c>
      <c r="BD37" s="21">
        <f t="shared" ref="BD37:BD68" ca="1" si="89">MAX(AE37,AT37)</f>
        <v>0</v>
      </c>
      <c r="BE37" s="21">
        <f t="shared" ref="BE37:BE68" ca="1" si="90">MAX(AF37,AU37)</f>
        <v>0</v>
      </c>
      <c r="BF37" s="21">
        <f t="shared" ca="1" si="65"/>
        <v>0</v>
      </c>
      <c r="BG37" s="21" t="str">
        <f ca="1">IFERROR(VLOOKUP($BF37,Definitions!$V:$W,COLUMNS(Definitions!$V:$W),TRUE),"")</f>
        <v>Basic</v>
      </c>
      <c r="BH37" s="21" t="str">
        <f ca="1">_xlfn.LET(
_xlpm._comments,GetValues($K37,Mitigation!$A:$O,"","",FALSE),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37" s="21" t="str" cm="1">
        <f t="array" aca="1" ref="BI37" ca="1">_xlfn.LET(
_xlpm._rapRange,Definitions!$W:$W,
_xlpm._calculatedRAP,$BG37,
_xlpm._inlineRAP,$BH37,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37" s="21" t="str">
        <f ca="1">IFERROR(IF(OR($V37="",$BI37=""),
Definitions!$AE$4,
VLOOKUP($V37,Definitions!$AH:$AM,MATCH($BI37,Definitions!$AH$3:$AM$3,0),FALSE)),
"")</f>
        <v>No Risk</v>
      </c>
      <c r="BK37" s="21" cm="1">
        <f t="array" aca="1" ref="BK37" ca="1">IF($BJ37="",0,SimpleLookup($BJ37,Definitions!$AE:$AF))</f>
        <v>0</v>
      </c>
      <c r="BL37" s="21" t="str" cm="1">
        <f t="array" aca="1" ref="BL37" ca="1">IFERROR(SimpleLookup($A37,Tracing!$B:$Z),"")</f>
        <v/>
      </c>
      <c r="BM37" s="21" t="str" cm="1">
        <f t="array" aca="1" ref="BM37" ca="1">_xlfn.LET(_xlpm._dm,SanitizeInput(GetValuesWithFallback(SanitizeInput($BL37),Assumptions!$A:$I,Countermeasures!$A:$I,"",",",FALSE)),
IF(_xlpm._dm="","",","&amp;_xlpm._dm))</f>
        <v/>
      </c>
      <c r="BN37" s="21" t="str" cm="1">
        <f t="array" aca="1" ref="BN37" ca="1">ApplyDamageMitigation($M37,$BM37,"")</f>
        <v/>
      </c>
      <c r="BO37" s="21" cm="1">
        <f t="array" aca="1" ref="BO37" ca="1">CalculateMaxFromList($BN37,0,'Damage Scenarios'!$A:$U)</f>
        <v>0</v>
      </c>
      <c r="BP37" s="21" t="str">
        <f ca="1">IF($BO37=0,"",INDEX(Definitions!$Q:$Q,MATCH($BO37,Definitions!$R:$R,0)))</f>
        <v/>
      </c>
      <c r="BQ37" s="21" t="str" cm="1">
        <f t="array" aca="1" ref="BQ37" ca="1">CalculateMaxAndElementsWithFallback(SanitizeInput($BL37),0,"",Countermeasures!$A:Y,Assumptions!$A:Z)</f>
        <v>0:</v>
      </c>
      <c r="BR37" s="21" t="str" cm="1">
        <f t="array" aca="1" ref="BR37" ca="1">CalculateMaxAndElementsWithFallback(SanitizeInput($BL37),0,"",Countermeasures!$A:Z,Assumptions!$A:AA)</f>
        <v>0:</v>
      </c>
      <c r="BS37" s="21" t="str" cm="1">
        <f t="array" aca="1" ref="BS37" ca="1">CalculateMaxAndElementsWithFallback(SanitizeInput($BL37),0,"",Countermeasures!$A:AA,Assumptions!$A:AB)</f>
        <v>0:</v>
      </c>
      <c r="BT37" s="21" t="str" cm="1">
        <f t="array" aca="1" ref="BT37" ca="1">CalculateMaxAndElementsWithFallback(SanitizeInput($BL37),0,"",Countermeasures!$A:AB,Assumptions!$A:AC)</f>
        <v>0:</v>
      </c>
      <c r="BU37" s="21" t="str" cm="1">
        <f t="array" aca="1" ref="BU37" ca="1">CalculateMaxAndElementsWithFallback(SanitizeInput($BL37),0,"",Countermeasures!$A:AC,Assumptions!$A:AD)</f>
        <v>0:</v>
      </c>
      <c r="BV37" s="21">
        <f t="shared" ca="1" si="25"/>
        <v>0</v>
      </c>
      <c r="BW37" s="21">
        <f t="shared" ca="1" si="26"/>
        <v>0</v>
      </c>
      <c r="BX37" s="21">
        <f t="shared" ca="1" si="27"/>
        <v>0</v>
      </c>
      <c r="BY37" s="21">
        <f t="shared" ca="1" si="28"/>
        <v>0</v>
      </c>
      <c r="BZ37" s="21">
        <f t="shared" ca="1" si="29"/>
        <v>0</v>
      </c>
      <c r="CA37" s="21" t="str">
        <f t="shared" ca="1" si="30"/>
        <v>0:</v>
      </c>
      <c r="CB37" s="21" t="str">
        <f t="shared" ca="1" si="31"/>
        <v>0:</v>
      </c>
      <c r="CC37" s="21" t="str">
        <f t="shared" ca="1" si="32"/>
        <v>0:</v>
      </c>
      <c r="CD37" s="21" t="str">
        <f t="shared" ca="1" si="33"/>
        <v>0:</v>
      </c>
      <c r="CE37" s="21" t="str">
        <f t="shared" ca="1" si="34"/>
        <v>0:</v>
      </c>
      <c r="CF37" s="21">
        <f t="shared" ca="1" si="35"/>
        <v>0</v>
      </c>
      <c r="CG37" s="21">
        <f t="shared" ca="1" si="36"/>
        <v>0</v>
      </c>
      <c r="CH37" s="21">
        <f t="shared" ca="1" si="37"/>
        <v>0</v>
      </c>
      <c r="CI37" s="21">
        <f t="shared" ca="1" si="38"/>
        <v>0</v>
      </c>
      <c r="CJ37" s="21">
        <f t="shared" ca="1" si="39"/>
        <v>0</v>
      </c>
      <c r="CK37" s="21">
        <f t="shared" ca="1" si="66"/>
        <v>0</v>
      </c>
      <c r="CL37" s="21" t="str">
        <f ca="1">IFERROR(VLOOKUP($CK37,Definitions!$V:$W,COLUMNS(Definitions!$V:$W),TRUE),"")</f>
        <v>Basic</v>
      </c>
      <c r="CM37" s="21" t="str">
        <f ca="1">_xlfn.LET(
_xlpm._comments,SimpleLookup($A37,Tracing!$B:$AB),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37" s="21" t="str" cm="1">
        <f t="array" aca="1" ref="CN37" ca="1">_xlfn.LET(
_xlpm._rapRange,Definitions!$W:$W,
_xlpm._calculatedRAP,$CL37,
_xlpm._inlineRAP,$CM37,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37" s="21" t="str">
        <f ca="1">IFERROR(IF(OR($BP37="",$CN37=""),
Definitions!$AE$4,
VLOOKUP($BP37,Definitions!$AH:$AM,MATCH($CN37,Definitions!$AH$3:$AM$3,0),FALSE)),
"")</f>
        <v>No Risk</v>
      </c>
      <c r="CP37" s="21" cm="1">
        <f t="array" aca="1" ref="CP37" ca="1">IF($CO37="",0,SimpleLookup($CO37,Definitions!$AE:$AF))</f>
        <v>0</v>
      </c>
      <c r="CQ37" s="21" t="b">
        <f ca="1">OR(AND($S37,$I37=Helper!$B$7),$I37&gt;Helper!$B$7)</f>
        <v>1</v>
      </c>
      <c r="CR37" s="21" t="str">
        <f t="shared" ca="1" si="67"/>
        <v/>
      </c>
      <c r="CS37" s="21" cm="1">
        <f t="array" aca="1" ref="CS37" ca="1">CreateID($CS$2,$CV:$CV,$CR37&lt;&gt;"")</f>
        <v>0</v>
      </c>
      <c r="CT37" s="21" t="str">
        <f ca="1">IF(IFERROR(MATCH(","&amp;A37&amp;",",'Risk Treatment'!$AT:$AT,0)&gt;0,FALSE),"",$A37)</f>
        <v/>
      </c>
      <c r="CU37" s="21" cm="1">
        <f t="array" aca="1" ref="CU37" ca="1">CreateID($CU$2,$CU:$CU,$CT37&lt;&gt;"")</f>
        <v>0</v>
      </c>
    </row>
    <row r="38" spans="1:99" x14ac:dyDescent="0.25">
      <c r="A38" s="33" t="str" cm="1">
        <f t="array" aca="1" ref="A38" ca="1">IF($B38="","","R"&amp;RemoveDelimiter(SUBSTITUTE(SUBSTITUTE($K38,"AS",""),",","-"),"-"))</f>
        <v/>
      </c>
      <c r="B38" s="33" t="str" cm="1">
        <f t="array" aca="1" ref="B38" ca="1">IF($L38="","",_xlfn.LET(
_xlpm._finalAttackStep,$L38,
_xlpm._prepAttacks,RemoveFirstElement(_xlpm._finalAttackStep&amp;","&amp;$K38),
_xlpm._prepAttackNames,IFERROR(LookupNames(_xlpm._prepAttacks,'Attack Steps'!$A:$B),""),
_xlpm._delimiter,REPT(CHAR(150),55),
$L38&amp;" "&amp;SimpleLookup($L38,'Attack Steps'!$A:$B)&amp;
IF(_xlpm._prepAttackNames="","",CHAR(10)&amp;_xlpm._delimiter&amp;CHAR(10)&amp;_xlpm._prepAttackNames)))</f>
        <v/>
      </c>
      <c r="C38" s="34" t="str" cm="1">
        <f t="array" aca="1" ref="C38" ca="1">IFERROR(LookupNames($M38,'Damage Scenarios'!$A:$V),"")</f>
        <v/>
      </c>
      <c r="D38" s="33" t="str">
        <f ca="1">IFERROR(IF($T38=0,"",INDEX(Definitions!$Q:$Q,MATCH($T38,Definitions!$R:$R,0))),"")</f>
        <v/>
      </c>
      <c r="E38" s="34" t="str" cm="1">
        <f t="array" aca="1" ref="E38" ca="1">IF($A38="","",_xlfn.LET(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_xlpm._factorFunction($A38,$A:W,Definitions!$Y:$Y,Definitions!$AB:$AB,1)&amp;CHAR(10)&amp;
_xlpm._factorFunction($A38,$A:X,Definitions!$Y:$Y,Definitions!$AB:$AB,2)&amp;CHAR(10)&amp;
_xlpm._factorFunction($A38,$A:Y,Definitions!$Y:$Y,Definitions!$AB:$AB,3)&amp;CHAR(10)&amp;
_xlpm._factorFunction($A38,$A:Z,Definitions!$Y:$Y,Definitions!$AB:$AB,4)&amp;CHAR(10)&amp;
_xlpm._factorFunction($A38,$A:AA,Definitions!$Y:$Y,Definitions!$AB:$AB,5)))</f>
        <v/>
      </c>
      <c r="F38" s="33" t="str">
        <f ca="1">IF($A38="","",IFERROR(VLOOKUP($AG38,Definitions!$V:$W,COLUMNS(Definitions!$V:$W),TRUE),""))</f>
        <v/>
      </c>
      <c r="G38" s="33" t="str">
        <f ca="1">IFERROR(IF(OR($D38="",$F38=""),
"",
VLOOKUP($D38,Definitions!$AH:$AM,MATCH($F38,Definitions!$AH$3:$AM$3,0),FALSE)),
"")</f>
        <v/>
      </c>
      <c r="H38" s="23" cm="1">
        <f t="array" aca="1" ref="H38" ca="1">IF(ROW()=ROW($H$2)+1,0,INDEX($H:$H,ROW()-1))+IF($A38="",0,1)</f>
        <v>0</v>
      </c>
      <c r="I38" s="21" cm="1">
        <f t="array" aca="1" ref="I38" ca="1">IF(ROW()=ROW($I$2)+1,
1,
INDEX($I:$I,ROW()-1)+IF(INDEX($S:$S,ROW()-1),1,0))</f>
        <v>1</v>
      </c>
      <c r="J38" s="21">
        <f t="shared" ca="1" si="63"/>
        <v>36</v>
      </c>
      <c r="K38" s="21" t="str">
        <f t="shared" ca="1" si="68"/>
        <v/>
      </c>
      <c r="L38" s="21" t="str" cm="1">
        <f t="array" aca="1" ref="L38" ca="1">IF($P38="","",INDEX('Attack Steps'!$A:$A,$P38))</f>
        <v/>
      </c>
      <c r="M38" s="21" t="str" cm="1">
        <f t="array" aca="1" ref="M38" ca="1">IF($P38="","",INDEX('Attack Steps'!$T:$T,$P38))</f>
        <v/>
      </c>
      <c r="N38" s="21" t="str" cm="1">
        <f t="array" aca="1" ref="N38" ca="1">_xlfn.LET(_xlpm._dm,SanitizeInput(GetValuesWithFallback(SanitizeInput($AK38),Assumptions!$A:$I,Countermeasures!$A:$I,"",",",FALSE)),
IF(_xlpm._dm="","",","&amp;_xlpm._dm))</f>
        <v/>
      </c>
      <c r="O38" s="21" t="str" cm="1">
        <f t="array" aca="1" ref="O38" ca="1">ApplyDamageMitigation($M38,$N38,"")</f>
        <v/>
      </c>
      <c r="P38" s="21" t="str">
        <f ca="1">IFERROR(MATCH($I38,'Attack Steps'!$V:$V,0),"")</f>
        <v/>
      </c>
      <c r="Q38" s="21" t="str" cm="1">
        <f t="array" aca="1" ref="Q38" ca="1">IF($P38="","","§"&amp;INDEX('Attack Steps'!$S:$S,$P38))</f>
        <v/>
      </c>
      <c r="R38" s="21" t="str" cm="1">
        <f t="array" aca="1" ref="R38" ca="1">IF($P38="","",INDEX('Attack Steps'!$W:$W,$P38))</f>
        <v/>
      </c>
      <c r="S38" s="21" t="b">
        <f t="shared" ca="1" si="69"/>
        <v>0</v>
      </c>
      <c r="T38" s="21" cm="1">
        <f t="array" aca="1" ref="T38" ca="1">_xlfn.LAMBDA(_xlpm._in,_xlpm._val,_xlpm._range,
IF(_xlpm._in="",_xlpm._val,_xlfn.LET(
_xlpm._id,LEFT(_xlpm._in,FIND(",",_xlpm._in)-1),
CalculateMaxFromList(RemoveFirstElement(_xlpm._in),MAX(_xlpm._val,VLOOKUP(_xlpm._id,_xlpm._range,COLUMNS(_xlpm._range),FALSE)),_xlpm._range))))($M38,0,'Damage Scenarios'!$A:$U)</f>
        <v>0</v>
      </c>
      <c r="U38" s="21" cm="1">
        <f t="array" aca="1" ref="U38" ca="1">CalculateMaxFromList($O38,0,'Damage Scenarios'!$A:$U)</f>
        <v>0</v>
      </c>
      <c r="V38" s="21" t="str">
        <f ca="1">IF($U38=0,"",INDEX(Definitions!$Q:$Q,MATCH($U38,Definitions!$R:$R,0)))</f>
        <v/>
      </c>
      <c r="W38" s="21" t="str" cm="1">
        <f t="array" aca="1" ref="W38" ca="1">CalculateMaxAndElements($K38,0,"",'Attack Steps'!$A:X)</f>
        <v>0:</v>
      </c>
      <c r="X38" s="21" t="str" cm="1">
        <f t="array" aca="1" ref="X38" ca="1">CalculateMaxAndElements($K38,0,"",'Attack Steps'!$A:Y)</f>
        <v>0:</v>
      </c>
      <c r="Y38" s="21" t="str" cm="1">
        <f t="array" aca="1" ref="Y38" ca="1">CalculateMaxAndElements($K38,0,"",'Attack Steps'!$A:Z)</f>
        <v>0:</v>
      </c>
      <c r="Z38" s="21" t="str" cm="1">
        <f t="array" aca="1" ref="Z38" ca="1">CalculateMaxAndElements($K38,0,"",'Attack Steps'!$A:AA)</f>
        <v>0:</v>
      </c>
      <c r="AA38" s="21" t="str" cm="1">
        <f t="array" aca="1" ref="AA38" ca="1">CalculateMaxAndElements($K38,0,"",'Attack Steps'!$A:AB)</f>
        <v>0:</v>
      </c>
      <c r="AB38" s="21">
        <f t="shared" ca="1" si="70"/>
        <v>0</v>
      </c>
      <c r="AC38" s="21">
        <f t="shared" ca="1" si="71"/>
        <v>0</v>
      </c>
      <c r="AD38" s="21">
        <f t="shared" ca="1" si="72"/>
        <v>0</v>
      </c>
      <c r="AE38" s="21">
        <f t="shared" ca="1" si="73"/>
        <v>0</v>
      </c>
      <c r="AF38" s="21">
        <f t="shared" ca="1" si="74"/>
        <v>0</v>
      </c>
      <c r="AG38" s="21">
        <f t="shared" ca="1" si="64"/>
        <v>0</v>
      </c>
      <c r="AH38" s="21" t="str" cm="1">
        <f t="array" aca="1" ref="AH38" ca="1">IF(ROW()=ROW($AH$2)+1,"",INDEX($AH:$AH,ROW()-1))&amp;IF($A38="","",$A38&amp;",")</f>
        <v/>
      </c>
      <c r="AI38" s="21" t="str">
        <f t="shared" ca="1" si="75"/>
        <v/>
      </c>
      <c r="AJ38" s="21" cm="1">
        <f t="array" aca="1" ref="AJ38" ca="1">IF($G38="",0,SimpleLookup($G38,Definitions!$AE:$AF))</f>
        <v>0</v>
      </c>
      <c r="AK38" s="21" t="str" cm="1">
        <f t="array" aca="1" ref="AK38" ca="1">InverseLookup($A38,Mitigation!$U$2,Mitigation!$J$2,1,Helper!$B$5,",")</f>
        <v/>
      </c>
      <c r="AL38" s="21" t="str" cm="1">
        <f t="array" aca="1" ref="AL38" ca="1">CalculateMaxAndElementsWithFallback(SanitizeInput($AK38),0,"",Countermeasures!$A:Y,Assumptions!$A:Z)</f>
        <v>0:</v>
      </c>
      <c r="AM38" s="21" t="str" cm="1">
        <f t="array" aca="1" ref="AM38" ca="1">CalculateMaxAndElementsWithFallback(SanitizeInput($AK38),0,"",Countermeasures!$A:Z,Assumptions!$A:AA)</f>
        <v>0:</v>
      </c>
      <c r="AN38" s="21" t="str" cm="1">
        <f t="array" aca="1" ref="AN38" ca="1">CalculateMaxAndElementsWithFallback(SanitizeInput($AK38),0,"",Countermeasures!$A:AA,Assumptions!$A:AB)</f>
        <v>0:</v>
      </c>
      <c r="AO38" s="21" t="str" cm="1">
        <f t="array" aca="1" ref="AO38" ca="1">CalculateMaxAndElementsWithFallback(SanitizeInput($AK38),0,"",Countermeasures!$A:AB,Assumptions!$A:AC)</f>
        <v>0:</v>
      </c>
      <c r="AP38" s="21" t="str" cm="1">
        <f t="array" aca="1" ref="AP38" ca="1">CalculateMaxAndElementsWithFallback(SanitizeInput($AK38),0,"",Countermeasures!$A:AC,Assumptions!$A:AD)</f>
        <v>0:</v>
      </c>
      <c r="AQ38" s="21">
        <f t="shared" ca="1" si="76"/>
        <v>0</v>
      </c>
      <c r="AR38" s="21">
        <f t="shared" ca="1" si="77"/>
        <v>0</v>
      </c>
      <c r="AS38" s="21">
        <f t="shared" ca="1" si="78"/>
        <v>0</v>
      </c>
      <c r="AT38" s="21">
        <f t="shared" ca="1" si="79"/>
        <v>0</v>
      </c>
      <c r="AU38" s="21">
        <f t="shared" ca="1" si="80"/>
        <v>0</v>
      </c>
      <c r="AV38" s="21" t="str">
        <f t="shared" ca="1" si="81"/>
        <v>0:</v>
      </c>
      <c r="AW38" s="21" t="str">
        <f t="shared" ca="1" si="82"/>
        <v>0:</v>
      </c>
      <c r="AX38" s="21" t="str">
        <f t="shared" ca="1" si="83"/>
        <v>0:</v>
      </c>
      <c r="AY38" s="21" t="str">
        <f t="shared" ca="1" si="84"/>
        <v>0:</v>
      </c>
      <c r="AZ38" s="21" t="str">
        <f t="shared" ca="1" si="85"/>
        <v>0:</v>
      </c>
      <c r="BA38" s="21">
        <f t="shared" ca="1" si="86"/>
        <v>0</v>
      </c>
      <c r="BB38" s="21">
        <f t="shared" ca="1" si="87"/>
        <v>0</v>
      </c>
      <c r="BC38" s="21">
        <f t="shared" ca="1" si="88"/>
        <v>0</v>
      </c>
      <c r="BD38" s="21">
        <f t="shared" ca="1" si="89"/>
        <v>0</v>
      </c>
      <c r="BE38" s="21">
        <f t="shared" ca="1" si="90"/>
        <v>0</v>
      </c>
      <c r="BF38" s="21">
        <f t="shared" ca="1" si="65"/>
        <v>0</v>
      </c>
      <c r="BG38" s="21" t="str">
        <f ca="1">IFERROR(VLOOKUP($BF38,Definitions!$V:$W,COLUMNS(Definitions!$V:$W),TRUE),"")</f>
        <v>Basic</v>
      </c>
      <c r="BH38" s="21" t="str">
        <f ca="1">_xlfn.LET(
_xlpm._comments,GetValues($K38,Mitigation!$A:$O,"","",FALSE),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38" s="21" t="str" cm="1">
        <f t="array" aca="1" ref="BI38" ca="1">_xlfn.LET(
_xlpm._rapRange,Definitions!$W:$W,
_xlpm._calculatedRAP,$BG38,
_xlpm._inlineRAP,$BH38,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38" s="21" t="str">
        <f ca="1">IFERROR(IF(OR($V38="",$BI38=""),
Definitions!$AE$4,
VLOOKUP($V38,Definitions!$AH:$AM,MATCH($BI38,Definitions!$AH$3:$AM$3,0),FALSE)),
"")</f>
        <v>No Risk</v>
      </c>
      <c r="BK38" s="21" cm="1">
        <f t="array" aca="1" ref="BK38" ca="1">IF($BJ38="",0,SimpleLookup($BJ38,Definitions!$AE:$AF))</f>
        <v>0</v>
      </c>
      <c r="BL38" s="21" t="str" cm="1">
        <f t="array" aca="1" ref="BL38" ca="1">IFERROR(SimpleLookup($A38,Tracing!$B:$Z),"")</f>
        <v/>
      </c>
      <c r="BM38" s="21" t="str" cm="1">
        <f t="array" aca="1" ref="BM38" ca="1">_xlfn.LET(_xlpm._dm,SanitizeInput(GetValuesWithFallback(SanitizeInput($BL38),Assumptions!$A:$I,Countermeasures!$A:$I,"",",",FALSE)),
IF(_xlpm._dm="","",","&amp;_xlpm._dm))</f>
        <v/>
      </c>
      <c r="BN38" s="21" t="str" cm="1">
        <f t="array" aca="1" ref="BN38" ca="1">ApplyDamageMitigation($M38,$BM38,"")</f>
        <v/>
      </c>
      <c r="BO38" s="21" cm="1">
        <f t="array" aca="1" ref="BO38" ca="1">CalculateMaxFromList($BN38,0,'Damage Scenarios'!$A:$U)</f>
        <v>0</v>
      </c>
      <c r="BP38" s="21" t="str">
        <f ca="1">IF($BO38=0,"",INDEX(Definitions!$Q:$Q,MATCH($BO38,Definitions!$R:$R,0)))</f>
        <v/>
      </c>
      <c r="BQ38" s="21" t="str" cm="1">
        <f t="array" aca="1" ref="BQ38" ca="1">CalculateMaxAndElementsWithFallback(SanitizeInput($BL38),0,"",Countermeasures!$A:Y,Assumptions!$A:Z)</f>
        <v>0:</v>
      </c>
      <c r="BR38" s="21" t="str" cm="1">
        <f t="array" aca="1" ref="BR38" ca="1">CalculateMaxAndElementsWithFallback(SanitizeInput($BL38),0,"",Countermeasures!$A:Z,Assumptions!$A:AA)</f>
        <v>0:</v>
      </c>
      <c r="BS38" s="21" t="str" cm="1">
        <f t="array" aca="1" ref="BS38" ca="1">CalculateMaxAndElementsWithFallback(SanitizeInput($BL38),0,"",Countermeasures!$A:AA,Assumptions!$A:AB)</f>
        <v>0:</v>
      </c>
      <c r="BT38" s="21" t="str" cm="1">
        <f t="array" aca="1" ref="BT38" ca="1">CalculateMaxAndElementsWithFallback(SanitizeInput($BL38),0,"",Countermeasures!$A:AB,Assumptions!$A:AC)</f>
        <v>0:</v>
      </c>
      <c r="BU38" s="21" t="str" cm="1">
        <f t="array" aca="1" ref="BU38" ca="1">CalculateMaxAndElementsWithFallback(SanitizeInput($BL38),0,"",Countermeasures!$A:AC,Assumptions!$A:AD)</f>
        <v>0:</v>
      </c>
      <c r="BV38" s="21">
        <f t="shared" ca="1" si="25"/>
        <v>0</v>
      </c>
      <c r="BW38" s="21">
        <f t="shared" ca="1" si="26"/>
        <v>0</v>
      </c>
      <c r="BX38" s="21">
        <f t="shared" ca="1" si="27"/>
        <v>0</v>
      </c>
      <c r="BY38" s="21">
        <f t="shared" ca="1" si="28"/>
        <v>0</v>
      </c>
      <c r="BZ38" s="21">
        <f t="shared" ca="1" si="29"/>
        <v>0</v>
      </c>
      <c r="CA38" s="21" t="str">
        <f t="shared" ca="1" si="30"/>
        <v>0:</v>
      </c>
      <c r="CB38" s="21" t="str">
        <f t="shared" ca="1" si="31"/>
        <v>0:</v>
      </c>
      <c r="CC38" s="21" t="str">
        <f t="shared" ca="1" si="32"/>
        <v>0:</v>
      </c>
      <c r="CD38" s="21" t="str">
        <f t="shared" ca="1" si="33"/>
        <v>0:</v>
      </c>
      <c r="CE38" s="21" t="str">
        <f t="shared" ca="1" si="34"/>
        <v>0:</v>
      </c>
      <c r="CF38" s="21">
        <f t="shared" ca="1" si="35"/>
        <v>0</v>
      </c>
      <c r="CG38" s="21">
        <f t="shared" ca="1" si="36"/>
        <v>0</v>
      </c>
      <c r="CH38" s="21">
        <f t="shared" ca="1" si="37"/>
        <v>0</v>
      </c>
      <c r="CI38" s="21">
        <f t="shared" ca="1" si="38"/>
        <v>0</v>
      </c>
      <c r="CJ38" s="21">
        <f t="shared" ca="1" si="39"/>
        <v>0</v>
      </c>
      <c r="CK38" s="21">
        <f t="shared" ca="1" si="66"/>
        <v>0</v>
      </c>
      <c r="CL38" s="21" t="str">
        <f ca="1">IFERROR(VLOOKUP($CK38,Definitions!$V:$W,COLUMNS(Definitions!$V:$W),TRUE),"")</f>
        <v>Basic</v>
      </c>
      <c r="CM38" s="21" t="str">
        <f ca="1">_xlfn.LET(
_xlpm._comments,SimpleLookup($A38,Tracing!$B:$AB),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38" s="21" t="str" cm="1">
        <f t="array" aca="1" ref="CN38" ca="1">_xlfn.LET(
_xlpm._rapRange,Definitions!$W:$W,
_xlpm._calculatedRAP,$CL38,
_xlpm._inlineRAP,$CM38,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38" s="21" t="str">
        <f ca="1">IFERROR(IF(OR($BP38="",$CN38=""),
Definitions!$AE$4,
VLOOKUP($BP38,Definitions!$AH:$AM,MATCH($CN38,Definitions!$AH$3:$AM$3,0),FALSE)),
"")</f>
        <v>No Risk</v>
      </c>
      <c r="CP38" s="21" cm="1">
        <f t="array" aca="1" ref="CP38" ca="1">IF($CO38="",0,SimpleLookup($CO38,Definitions!$AE:$AF))</f>
        <v>0</v>
      </c>
      <c r="CQ38" s="21" t="b">
        <f ca="1">OR(AND($S38,$I38=Helper!$B$7),$I38&gt;Helper!$B$7)</f>
        <v>1</v>
      </c>
      <c r="CR38" s="21" t="str">
        <f t="shared" ca="1" si="67"/>
        <v/>
      </c>
      <c r="CS38" s="21" cm="1">
        <f t="array" aca="1" ref="CS38" ca="1">CreateID($CS$2,$CV:$CV,$CR38&lt;&gt;"")</f>
        <v>0</v>
      </c>
      <c r="CT38" s="21" t="str">
        <f ca="1">IF(IFERROR(MATCH(","&amp;A38&amp;",",'Risk Treatment'!$AT:$AT,0)&gt;0,FALSE),"",$A38)</f>
        <v/>
      </c>
      <c r="CU38" s="21" cm="1">
        <f t="array" aca="1" ref="CU38" ca="1">CreateID($CU$2,$CU:$CU,$CT38&lt;&gt;"")</f>
        <v>0</v>
      </c>
    </row>
    <row r="39" spans="1:99" x14ac:dyDescent="0.25">
      <c r="A39" s="33" t="str" cm="1">
        <f t="array" aca="1" ref="A39" ca="1">IF($B39="","","R"&amp;RemoveDelimiter(SUBSTITUTE(SUBSTITUTE($K39,"AS",""),",","-"),"-"))</f>
        <v/>
      </c>
      <c r="B39" s="33" t="str" cm="1">
        <f t="array" aca="1" ref="B39" ca="1">IF($L39="","",_xlfn.LET(
_xlpm._finalAttackStep,$L39,
_xlpm._prepAttacks,RemoveFirstElement(_xlpm._finalAttackStep&amp;","&amp;$K39),
_xlpm._prepAttackNames,IFERROR(LookupNames(_xlpm._prepAttacks,'Attack Steps'!$A:$B),""),
_xlpm._delimiter,REPT(CHAR(150),55),
$L39&amp;" "&amp;SimpleLookup($L39,'Attack Steps'!$A:$B)&amp;
IF(_xlpm._prepAttackNames="","",CHAR(10)&amp;_xlpm._delimiter&amp;CHAR(10)&amp;_xlpm._prepAttackNames)))</f>
        <v/>
      </c>
      <c r="C39" s="34" t="str" cm="1">
        <f t="array" aca="1" ref="C39" ca="1">IFERROR(LookupNames($M39,'Damage Scenarios'!$A:$V),"")</f>
        <v/>
      </c>
      <c r="D39" s="33" t="str">
        <f ca="1">IFERROR(IF($T39=0,"",INDEX(Definitions!$Q:$Q,MATCH($T39,Definitions!$R:$R,0))),"")</f>
        <v/>
      </c>
      <c r="E39" s="34" t="str" cm="1">
        <f t="array" aca="1" ref="E39" ca="1">IF($A39="","",_xlfn.LET(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_xlpm._factorFunction($A39,$A:W,Definitions!$Y:$Y,Definitions!$AB:$AB,1)&amp;CHAR(10)&amp;
_xlpm._factorFunction($A39,$A:X,Definitions!$Y:$Y,Definitions!$AB:$AB,2)&amp;CHAR(10)&amp;
_xlpm._factorFunction($A39,$A:Y,Definitions!$Y:$Y,Definitions!$AB:$AB,3)&amp;CHAR(10)&amp;
_xlpm._factorFunction($A39,$A:Z,Definitions!$Y:$Y,Definitions!$AB:$AB,4)&amp;CHAR(10)&amp;
_xlpm._factorFunction($A39,$A:AA,Definitions!$Y:$Y,Definitions!$AB:$AB,5)))</f>
        <v/>
      </c>
      <c r="F39" s="33" t="str">
        <f ca="1">IF($A39="","",IFERROR(VLOOKUP($AG39,Definitions!$V:$W,COLUMNS(Definitions!$V:$W),TRUE),""))</f>
        <v/>
      </c>
      <c r="G39" s="33" t="str">
        <f ca="1">IFERROR(IF(OR($D39="",$F39=""),
"",
VLOOKUP($D39,Definitions!$AH:$AM,MATCH($F39,Definitions!$AH$3:$AM$3,0),FALSE)),
"")</f>
        <v/>
      </c>
      <c r="H39" s="23" cm="1">
        <f t="array" aca="1" ref="H39" ca="1">IF(ROW()=ROW($H$2)+1,0,INDEX($H:$H,ROW()-1))+IF($A39="",0,1)</f>
        <v>0</v>
      </c>
      <c r="I39" s="21" cm="1">
        <f t="array" aca="1" ref="I39" ca="1">IF(ROW()=ROW($I$2)+1,
1,
INDEX($I:$I,ROW()-1)+IF(INDEX($S:$S,ROW()-1),1,0))</f>
        <v>1</v>
      </c>
      <c r="J39" s="21">
        <f t="shared" ca="1" si="63"/>
        <v>37</v>
      </c>
      <c r="K39" s="21" t="str">
        <f t="shared" ca="1" si="68"/>
        <v/>
      </c>
      <c r="L39" s="21" t="str" cm="1">
        <f t="array" aca="1" ref="L39" ca="1">IF($P39="","",INDEX('Attack Steps'!$A:$A,$P39))</f>
        <v/>
      </c>
      <c r="M39" s="21" t="str" cm="1">
        <f t="array" aca="1" ref="M39" ca="1">IF($P39="","",INDEX('Attack Steps'!$T:$T,$P39))</f>
        <v/>
      </c>
      <c r="N39" s="21" t="str" cm="1">
        <f t="array" aca="1" ref="N39" ca="1">_xlfn.LET(_xlpm._dm,SanitizeInput(GetValuesWithFallback(SanitizeInput($AK39),Assumptions!$A:$I,Countermeasures!$A:$I,"",",",FALSE)),
IF(_xlpm._dm="","",","&amp;_xlpm._dm))</f>
        <v/>
      </c>
      <c r="O39" s="21" t="str" cm="1">
        <f t="array" aca="1" ref="O39" ca="1">ApplyDamageMitigation($M39,$N39,"")</f>
        <v/>
      </c>
      <c r="P39" s="21" t="str">
        <f ca="1">IFERROR(MATCH($I39,'Attack Steps'!$V:$V,0),"")</f>
        <v/>
      </c>
      <c r="Q39" s="21" t="str" cm="1">
        <f t="array" aca="1" ref="Q39" ca="1">IF($P39="","","§"&amp;INDEX('Attack Steps'!$S:$S,$P39))</f>
        <v/>
      </c>
      <c r="R39" s="21" t="str" cm="1">
        <f t="array" aca="1" ref="R39" ca="1">IF($P39="","",INDEX('Attack Steps'!$W:$W,$P39))</f>
        <v/>
      </c>
      <c r="S39" s="21" t="b">
        <f t="shared" ca="1" si="69"/>
        <v>0</v>
      </c>
      <c r="T39" s="21" cm="1">
        <f t="array" aca="1" ref="T39" ca="1">_xlfn.LAMBDA(_xlpm._in,_xlpm._val,_xlpm._range,
IF(_xlpm._in="",_xlpm._val,_xlfn.LET(
_xlpm._id,LEFT(_xlpm._in,FIND(",",_xlpm._in)-1),
CalculateMaxFromList(RemoveFirstElement(_xlpm._in),MAX(_xlpm._val,VLOOKUP(_xlpm._id,_xlpm._range,COLUMNS(_xlpm._range),FALSE)),_xlpm._range))))($M39,0,'Damage Scenarios'!$A:$U)</f>
        <v>0</v>
      </c>
      <c r="U39" s="21" cm="1">
        <f t="array" aca="1" ref="U39" ca="1">CalculateMaxFromList($O39,0,'Damage Scenarios'!$A:$U)</f>
        <v>0</v>
      </c>
      <c r="V39" s="21" t="str">
        <f ca="1">IF($U39=0,"",INDEX(Definitions!$Q:$Q,MATCH($U39,Definitions!$R:$R,0)))</f>
        <v/>
      </c>
      <c r="W39" s="21" t="str" cm="1">
        <f t="array" aca="1" ref="W39" ca="1">CalculateMaxAndElements($K39,0,"",'Attack Steps'!$A:X)</f>
        <v>0:</v>
      </c>
      <c r="X39" s="21" t="str" cm="1">
        <f t="array" aca="1" ref="X39" ca="1">CalculateMaxAndElements($K39,0,"",'Attack Steps'!$A:Y)</f>
        <v>0:</v>
      </c>
      <c r="Y39" s="21" t="str" cm="1">
        <f t="array" aca="1" ref="Y39" ca="1">CalculateMaxAndElements($K39,0,"",'Attack Steps'!$A:Z)</f>
        <v>0:</v>
      </c>
      <c r="Z39" s="21" t="str" cm="1">
        <f t="array" aca="1" ref="Z39" ca="1">CalculateMaxAndElements($K39,0,"",'Attack Steps'!$A:AA)</f>
        <v>0:</v>
      </c>
      <c r="AA39" s="21" t="str" cm="1">
        <f t="array" aca="1" ref="AA39" ca="1">CalculateMaxAndElements($K39,0,"",'Attack Steps'!$A:AB)</f>
        <v>0:</v>
      </c>
      <c r="AB39" s="21">
        <f t="shared" ca="1" si="70"/>
        <v>0</v>
      </c>
      <c r="AC39" s="21">
        <f t="shared" ca="1" si="71"/>
        <v>0</v>
      </c>
      <c r="AD39" s="21">
        <f t="shared" ca="1" si="72"/>
        <v>0</v>
      </c>
      <c r="AE39" s="21">
        <f t="shared" ca="1" si="73"/>
        <v>0</v>
      </c>
      <c r="AF39" s="21">
        <f t="shared" ca="1" si="74"/>
        <v>0</v>
      </c>
      <c r="AG39" s="21">
        <f t="shared" ca="1" si="64"/>
        <v>0</v>
      </c>
      <c r="AH39" s="21" t="str" cm="1">
        <f t="array" aca="1" ref="AH39" ca="1">IF(ROW()=ROW($AH$2)+1,"",INDEX($AH:$AH,ROW()-1))&amp;IF($A39="","",$A39&amp;",")</f>
        <v/>
      </c>
      <c r="AI39" s="21" t="str">
        <f t="shared" ca="1" si="75"/>
        <v/>
      </c>
      <c r="AJ39" s="21" cm="1">
        <f t="array" aca="1" ref="AJ39" ca="1">IF($G39="",0,SimpleLookup($G39,Definitions!$AE:$AF))</f>
        <v>0</v>
      </c>
      <c r="AK39" s="21" t="str" cm="1">
        <f t="array" aca="1" ref="AK39" ca="1">InverseLookup($A39,Mitigation!$U$2,Mitigation!$J$2,1,Helper!$B$5,",")</f>
        <v/>
      </c>
      <c r="AL39" s="21" t="str" cm="1">
        <f t="array" aca="1" ref="AL39" ca="1">CalculateMaxAndElementsWithFallback(SanitizeInput($AK39),0,"",Countermeasures!$A:Y,Assumptions!$A:Z)</f>
        <v>0:</v>
      </c>
      <c r="AM39" s="21" t="str" cm="1">
        <f t="array" aca="1" ref="AM39" ca="1">CalculateMaxAndElementsWithFallback(SanitizeInput($AK39),0,"",Countermeasures!$A:Z,Assumptions!$A:AA)</f>
        <v>0:</v>
      </c>
      <c r="AN39" s="21" t="str" cm="1">
        <f t="array" aca="1" ref="AN39" ca="1">CalculateMaxAndElementsWithFallback(SanitizeInput($AK39),0,"",Countermeasures!$A:AA,Assumptions!$A:AB)</f>
        <v>0:</v>
      </c>
      <c r="AO39" s="21" t="str" cm="1">
        <f t="array" aca="1" ref="AO39" ca="1">CalculateMaxAndElementsWithFallback(SanitizeInput($AK39),0,"",Countermeasures!$A:AB,Assumptions!$A:AC)</f>
        <v>0:</v>
      </c>
      <c r="AP39" s="21" t="str" cm="1">
        <f t="array" aca="1" ref="AP39" ca="1">CalculateMaxAndElementsWithFallback(SanitizeInput($AK39),0,"",Countermeasures!$A:AC,Assumptions!$A:AD)</f>
        <v>0:</v>
      </c>
      <c r="AQ39" s="21">
        <f t="shared" ca="1" si="76"/>
        <v>0</v>
      </c>
      <c r="AR39" s="21">
        <f t="shared" ca="1" si="77"/>
        <v>0</v>
      </c>
      <c r="AS39" s="21">
        <f t="shared" ca="1" si="78"/>
        <v>0</v>
      </c>
      <c r="AT39" s="21">
        <f t="shared" ca="1" si="79"/>
        <v>0</v>
      </c>
      <c r="AU39" s="21">
        <f t="shared" ca="1" si="80"/>
        <v>0</v>
      </c>
      <c r="AV39" s="21" t="str">
        <f t="shared" ca="1" si="81"/>
        <v>0:</v>
      </c>
      <c r="AW39" s="21" t="str">
        <f t="shared" ca="1" si="82"/>
        <v>0:</v>
      </c>
      <c r="AX39" s="21" t="str">
        <f t="shared" ca="1" si="83"/>
        <v>0:</v>
      </c>
      <c r="AY39" s="21" t="str">
        <f t="shared" ca="1" si="84"/>
        <v>0:</v>
      </c>
      <c r="AZ39" s="21" t="str">
        <f t="shared" ca="1" si="85"/>
        <v>0:</v>
      </c>
      <c r="BA39" s="21">
        <f t="shared" ca="1" si="86"/>
        <v>0</v>
      </c>
      <c r="BB39" s="21">
        <f t="shared" ca="1" si="87"/>
        <v>0</v>
      </c>
      <c r="BC39" s="21">
        <f t="shared" ca="1" si="88"/>
        <v>0</v>
      </c>
      <c r="BD39" s="21">
        <f t="shared" ca="1" si="89"/>
        <v>0</v>
      </c>
      <c r="BE39" s="21">
        <f t="shared" ca="1" si="90"/>
        <v>0</v>
      </c>
      <c r="BF39" s="21">
        <f t="shared" ca="1" si="65"/>
        <v>0</v>
      </c>
      <c r="BG39" s="21" t="str">
        <f ca="1">IFERROR(VLOOKUP($BF39,Definitions!$V:$W,COLUMNS(Definitions!$V:$W),TRUE),"")</f>
        <v>Basic</v>
      </c>
      <c r="BH39" s="21" t="str">
        <f ca="1">_xlfn.LET(
_xlpm._comments,GetValues($K39,Mitigation!$A:$O,"","",FALSE),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39" s="21" t="str" cm="1">
        <f t="array" aca="1" ref="BI39" ca="1">_xlfn.LET(
_xlpm._rapRange,Definitions!$W:$W,
_xlpm._calculatedRAP,$BG39,
_xlpm._inlineRAP,$BH39,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39" s="21" t="str">
        <f ca="1">IFERROR(IF(OR($V39="",$BI39=""),
Definitions!$AE$4,
VLOOKUP($V39,Definitions!$AH:$AM,MATCH($BI39,Definitions!$AH$3:$AM$3,0),FALSE)),
"")</f>
        <v>No Risk</v>
      </c>
      <c r="BK39" s="21" cm="1">
        <f t="array" aca="1" ref="BK39" ca="1">IF($BJ39="",0,SimpleLookup($BJ39,Definitions!$AE:$AF))</f>
        <v>0</v>
      </c>
      <c r="BL39" s="21" t="str" cm="1">
        <f t="array" aca="1" ref="BL39" ca="1">IFERROR(SimpleLookup($A39,Tracing!$B:$Z),"")</f>
        <v/>
      </c>
      <c r="BM39" s="21" t="str" cm="1">
        <f t="array" aca="1" ref="BM39" ca="1">_xlfn.LET(_xlpm._dm,SanitizeInput(GetValuesWithFallback(SanitizeInput($BL39),Assumptions!$A:$I,Countermeasures!$A:$I,"",",",FALSE)),
IF(_xlpm._dm="","",","&amp;_xlpm._dm))</f>
        <v/>
      </c>
      <c r="BN39" s="21" t="str" cm="1">
        <f t="array" aca="1" ref="BN39" ca="1">ApplyDamageMitigation($M39,$BM39,"")</f>
        <v/>
      </c>
      <c r="BO39" s="21" cm="1">
        <f t="array" aca="1" ref="BO39" ca="1">CalculateMaxFromList($BN39,0,'Damage Scenarios'!$A:$U)</f>
        <v>0</v>
      </c>
      <c r="BP39" s="21" t="str">
        <f ca="1">IF($BO39=0,"",INDEX(Definitions!$Q:$Q,MATCH($BO39,Definitions!$R:$R,0)))</f>
        <v/>
      </c>
      <c r="BQ39" s="21" t="str" cm="1">
        <f t="array" aca="1" ref="BQ39" ca="1">CalculateMaxAndElementsWithFallback(SanitizeInput($BL39),0,"",Countermeasures!$A:Y,Assumptions!$A:Z)</f>
        <v>0:</v>
      </c>
      <c r="BR39" s="21" t="str" cm="1">
        <f t="array" aca="1" ref="BR39" ca="1">CalculateMaxAndElementsWithFallback(SanitizeInput($BL39),0,"",Countermeasures!$A:Z,Assumptions!$A:AA)</f>
        <v>0:</v>
      </c>
      <c r="BS39" s="21" t="str" cm="1">
        <f t="array" aca="1" ref="BS39" ca="1">CalculateMaxAndElementsWithFallback(SanitizeInput($BL39),0,"",Countermeasures!$A:AA,Assumptions!$A:AB)</f>
        <v>0:</v>
      </c>
      <c r="BT39" s="21" t="str" cm="1">
        <f t="array" aca="1" ref="BT39" ca="1">CalculateMaxAndElementsWithFallback(SanitizeInput($BL39),0,"",Countermeasures!$A:AB,Assumptions!$A:AC)</f>
        <v>0:</v>
      </c>
      <c r="BU39" s="21" t="str" cm="1">
        <f t="array" aca="1" ref="BU39" ca="1">CalculateMaxAndElementsWithFallback(SanitizeInput($BL39),0,"",Countermeasures!$A:AC,Assumptions!$A:AD)</f>
        <v>0:</v>
      </c>
      <c r="BV39" s="21">
        <f t="shared" ca="1" si="25"/>
        <v>0</v>
      </c>
      <c r="BW39" s="21">
        <f t="shared" ca="1" si="26"/>
        <v>0</v>
      </c>
      <c r="BX39" s="21">
        <f t="shared" ca="1" si="27"/>
        <v>0</v>
      </c>
      <c r="BY39" s="21">
        <f t="shared" ca="1" si="28"/>
        <v>0</v>
      </c>
      <c r="BZ39" s="21">
        <f t="shared" ca="1" si="29"/>
        <v>0</v>
      </c>
      <c r="CA39" s="21" t="str">
        <f t="shared" ca="1" si="30"/>
        <v>0:</v>
      </c>
      <c r="CB39" s="21" t="str">
        <f t="shared" ca="1" si="31"/>
        <v>0:</v>
      </c>
      <c r="CC39" s="21" t="str">
        <f t="shared" ca="1" si="32"/>
        <v>0:</v>
      </c>
      <c r="CD39" s="21" t="str">
        <f t="shared" ca="1" si="33"/>
        <v>0:</v>
      </c>
      <c r="CE39" s="21" t="str">
        <f t="shared" ca="1" si="34"/>
        <v>0:</v>
      </c>
      <c r="CF39" s="21">
        <f t="shared" ca="1" si="35"/>
        <v>0</v>
      </c>
      <c r="CG39" s="21">
        <f t="shared" ca="1" si="36"/>
        <v>0</v>
      </c>
      <c r="CH39" s="21">
        <f t="shared" ca="1" si="37"/>
        <v>0</v>
      </c>
      <c r="CI39" s="21">
        <f t="shared" ca="1" si="38"/>
        <v>0</v>
      </c>
      <c r="CJ39" s="21">
        <f t="shared" ca="1" si="39"/>
        <v>0</v>
      </c>
      <c r="CK39" s="21">
        <f t="shared" ca="1" si="66"/>
        <v>0</v>
      </c>
      <c r="CL39" s="21" t="str">
        <f ca="1">IFERROR(VLOOKUP($CK39,Definitions!$V:$W,COLUMNS(Definitions!$V:$W),TRUE),"")</f>
        <v>Basic</v>
      </c>
      <c r="CM39" s="21" t="str">
        <f ca="1">_xlfn.LET(
_xlpm._comments,SimpleLookup($A39,Tracing!$B:$AB),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39" s="21" t="str" cm="1">
        <f t="array" aca="1" ref="CN39" ca="1">_xlfn.LET(
_xlpm._rapRange,Definitions!$W:$W,
_xlpm._calculatedRAP,$CL39,
_xlpm._inlineRAP,$CM39,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39" s="21" t="str">
        <f ca="1">IFERROR(IF(OR($BP39="",$CN39=""),
Definitions!$AE$4,
VLOOKUP($BP39,Definitions!$AH:$AM,MATCH($CN39,Definitions!$AH$3:$AM$3,0),FALSE)),
"")</f>
        <v>No Risk</v>
      </c>
      <c r="CP39" s="21" cm="1">
        <f t="array" aca="1" ref="CP39" ca="1">IF($CO39="",0,SimpleLookup($CO39,Definitions!$AE:$AF))</f>
        <v>0</v>
      </c>
      <c r="CQ39" s="21" t="b">
        <f ca="1">OR(AND($S39,$I39=Helper!$B$7),$I39&gt;Helper!$B$7)</f>
        <v>1</v>
      </c>
      <c r="CR39" s="21" t="str">
        <f t="shared" ca="1" si="67"/>
        <v/>
      </c>
      <c r="CS39" s="21" cm="1">
        <f t="array" aca="1" ref="CS39" ca="1">CreateID($CS$2,$CV:$CV,$CR39&lt;&gt;"")</f>
        <v>0</v>
      </c>
      <c r="CT39" s="21" t="str">
        <f ca="1">IF(IFERROR(MATCH(","&amp;A39&amp;",",'Risk Treatment'!$AT:$AT,0)&gt;0,FALSE),"",$A39)</f>
        <v/>
      </c>
      <c r="CU39" s="21" cm="1">
        <f t="array" aca="1" ref="CU39" ca="1">CreateID($CU$2,$CU:$CU,$CT39&lt;&gt;"")</f>
        <v>0</v>
      </c>
    </row>
    <row r="40" spans="1:99" x14ac:dyDescent="0.25">
      <c r="A40" s="33" t="str" cm="1">
        <f t="array" aca="1" ref="A40" ca="1">IF($B40="","","R"&amp;RemoveDelimiter(SUBSTITUTE(SUBSTITUTE($K40,"AS",""),",","-"),"-"))</f>
        <v/>
      </c>
      <c r="B40" s="33" t="str" cm="1">
        <f t="array" aca="1" ref="B40" ca="1">IF($L40="","",_xlfn.LET(
_xlpm._finalAttackStep,$L40,
_xlpm._prepAttacks,RemoveFirstElement(_xlpm._finalAttackStep&amp;","&amp;$K40),
_xlpm._prepAttackNames,IFERROR(LookupNames(_xlpm._prepAttacks,'Attack Steps'!$A:$B),""),
_xlpm._delimiter,REPT(CHAR(150),55),
$L40&amp;" "&amp;SimpleLookup($L40,'Attack Steps'!$A:$B)&amp;
IF(_xlpm._prepAttackNames="","",CHAR(10)&amp;_xlpm._delimiter&amp;CHAR(10)&amp;_xlpm._prepAttackNames)))</f>
        <v/>
      </c>
      <c r="C40" s="34" t="str" cm="1">
        <f t="array" aca="1" ref="C40" ca="1">IFERROR(LookupNames($M40,'Damage Scenarios'!$A:$V),"")</f>
        <v/>
      </c>
      <c r="D40" s="33" t="str">
        <f ca="1">IFERROR(IF($T40=0,"",INDEX(Definitions!$Q:$Q,MATCH($T40,Definitions!$R:$R,0))),"")</f>
        <v/>
      </c>
      <c r="E40" s="34" t="str" cm="1">
        <f t="array" aca="1" ref="E40" ca="1">IF($A40="","",_xlfn.LET(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_xlpm._factorFunction($A40,$A:W,Definitions!$Y:$Y,Definitions!$AB:$AB,1)&amp;CHAR(10)&amp;
_xlpm._factorFunction($A40,$A:X,Definitions!$Y:$Y,Definitions!$AB:$AB,2)&amp;CHAR(10)&amp;
_xlpm._factorFunction($A40,$A:Y,Definitions!$Y:$Y,Definitions!$AB:$AB,3)&amp;CHAR(10)&amp;
_xlpm._factorFunction($A40,$A:Z,Definitions!$Y:$Y,Definitions!$AB:$AB,4)&amp;CHAR(10)&amp;
_xlpm._factorFunction($A40,$A:AA,Definitions!$Y:$Y,Definitions!$AB:$AB,5)))</f>
        <v/>
      </c>
      <c r="F40" s="33" t="str">
        <f ca="1">IF($A40="","",IFERROR(VLOOKUP($AG40,Definitions!$V:$W,COLUMNS(Definitions!$V:$W),TRUE),""))</f>
        <v/>
      </c>
      <c r="G40" s="33" t="str">
        <f ca="1">IFERROR(IF(OR($D40="",$F40=""),
"",
VLOOKUP($D40,Definitions!$AH:$AM,MATCH($F40,Definitions!$AH$3:$AM$3,0),FALSE)),
"")</f>
        <v/>
      </c>
      <c r="H40" s="23" cm="1">
        <f t="array" aca="1" ref="H40" ca="1">IF(ROW()=ROW($H$2)+1,0,INDEX($H:$H,ROW()-1))+IF($A40="",0,1)</f>
        <v>0</v>
      </c>
      <c r="I40" s="21" cm="1">
        <f t="array" aca="1" ref="I40" ca="1">IF(ROW()=ROW($I$2)+1,
1,
INDEX($I:$I,ROW()-1)+IF(INDEX($S:$S,ROW()-1),1,0))</f>
        <v>1</v>
      </c>
      <c r="J40" s="21">
        <f t="shared" ca="1" si="63"/>
        <v>38</v>
      </c>
      <c r="K40" s="21" t="str">
        <f t="shared" ca="1" si="68"/>
        <v/>
      </c>
      <c r="L40" s="21" t="str" cm="1">
        <f t="array" aca="1" ref="L40" ca="1">IF($P40="","",INDEX('Attack Steps'!$A:$A,$P40))</f>
        <v/>
      </c>
      <c r="M40" s="21" t="str" cm="1">
        <f t="array" aca="1" ref="M40" ca="1">IF($P40="","",INDEX('Attack Steps'!$T:$T,$P40))</f>
        <v/>
      </c>
      <c r="N40" s="21" t="str" cm="1">
        <f t="array" aca="1" ref="N40" ca="1">_xlfn.LET(_xlpm._dm,SanitizeInput(GetValuesWithFallback(SanitizeInput($AK40),Assumptions!$A:$I,Countermeasures!$A:$I,"",",",FALSE)),
IF(_xlpm._dm="","",","&amp;_xlpm._dm))</f>
        <v/>
      </c>
      <c r="O40" s="21" t="str" cm="1">
        <f t="array" aca="1" ref="O40" ca="1">ApplyDamageMitigation($M40,$N40,"")</f>
        <v/>
      </c>
      <c r="P40" s="21" t="str">
        <f ca="1">IFERROR(MATCH($I40,'Attack Steps'!$V:$V,0),"")</f>
        <v/>
      </c>
      <c r="Q40" s="21" t="str" cm="1">
        <f t="array" aca="1" ref="Q40" ca="1">IF($P40="","","§"&amp;INDEX('Attack Steps'!$S:$S,$P40))</f>
        <v/>
      </c>
      <c r="R40" s="21" t="str" cm="1">
        <f t="array" aca="1" ref="R40" ca="1">IF($P40="","",INDEX('Attack Steps'!$W:$W,$P40))</f>
        <v/>
      </c>
      <c r="S40" s="21" t="b">
        <f t="shared" ca="1" si="69"/>
        <v>0</v>
      </c>
      <c r="T40" s="21" cm="1">
        <f t="array" aca="1" ref="T40" ca="1">_xlfn.LAMBDA(_xlpm._in,_xlpm._val,_xlpm._range,
IF(_xlpm._in="",_xlpm._val,_xlfn.LET(
_xlpm._id,LEFT(_xlpm._in,FIND(",",_xlpm._in)-1),
CalculateMaxFromList(RemoveFirstElement(_xlpm._in),MAX(_xlpm._val,VLOOKUP(_xlpm._id,_xlpm._range,COLUMNS(_xlpm._range),FALSE)),_xlpm._range))))($M40,0,'Damage Scenarios'!$A:$U)</f>
        <v>0</v>
      </c>
      <c r="U40" s="21" cm="1">
        <f t="array" aca="1" ref="U40" ca="1">CalculateMaxFromList($O40,0,'Damage Scenarios'!$A:$U)</f>
        <v>0</v>
      </c>
      <c r="V40" s="21" t="str">
        <f ca="1">IF($U40=0,"",INDEX(Definitions!$Q:$Q,MATCH($U40,Definitions!$R:$R,0)))</f>
        <v/>
      </c>
      <c r="W40" s="21" t="str" cm="1">
        <f t="array" aca="1" ref="W40" ca="1">CalculateMaxAndElements($K40,0,"",'Attack Steps'!$A:X)</f>
        <v>0:</v>
      </c>
      <c r="X40" s="21" t="str" cm="1">
        <f t="array" aca="1" ref="X40" ca="1">CalculateMaxAndElements($K40,0,"",'Attack Steps'!$A:Y)</f>
        <v>0:</v>
      </c>
      <c r="Y40" s="21" t="str" cm="1">
        <f t="array" aca="1" ref="Y40" ca="1">CalculateMaxAndElements($K40,0,"",'Attack Steps'!$A:Z)</f>
        <v>0:</v>
      </c>
      <c r="Z40" s="21" t="str" cm="1">
        <f t="array" aca="1" ref="Z40" ca="1">CalculateMaxAndElements($K40,0,"",'Attack Steps'!$A:AA)</f>
        <v>0:</v>
      </c>
      <c r="AA40" s="21" t="str" cm="1">
        <f t="array" aca="1" ref="AA40" ca="1">CalculateMaxAndElements($K40,0,"",'Attack Steps'!$A:AB)</f>
        <v>0:</v>
      </c>
      <c r="AB40" s="21">
        <f t="shared" ca="1" si="70"/>
        <v>0</v>
      </c>
      <c r="AC40" s="21">
        <f t="shared" ca="1" si="71"/>
        <v>0</v>
      </c>
      <c r="AD40" s="21">
        <f t="shared" ca="1" si="72"/>
        <v>0</v>
      </c>
      <c r="AE40" s="21">
        <f t="shared" ca="1" si="73"/>
        <v>0</v>
      </c>
      <c r="AF40" s="21">
        <f t="shared" ca="1" si="74"/>
        <v>0</v>
      </c>
      <c r="AG40" s="21">
        <f t="shared" ca="1" si="64"/>
        <v>0</v>
      </c>
      <c r="AH40" s="21" t="str" cm="1">
        <f t="array" aca="1" ref="AH40" ca="1">IF(ROW()=ROW($AH$2)+1,"",INDEX($AH:$AH,ROW()-1))&amp;IF($A40="","",$A40&amp;",")</f>
        <v/>
      </c>
      <c r="AI40" s="21" t="str">
        <f t="shared" ca="1" si="75"/>
        <v/>
      </c>
      <c r="AJ40" s="21" cm="1">
        <f t="array" aca="1" ref="AJ40" ca="1">IF($G40="",0,SimpleLookup($G40,Definitions!$AE:$AF))</f>
        <v>0</v>
      </c>
      <c r="AK40" s="21" t="str" cm="1">
        <f t="array" aca="1" ref="AK40" ca="1">InverseLookup($A40,Mitigation!$U$2,Mitigation!$J$2,1,Helper!$B$5,",")</f>
        <v/>
      </c>
      <c r="AL40" s="21" t="str" cm="1">
        <f t="array" aca="1" ref="AL40" ca="1">CalculateMaxAndElementsWithFallback(SanitizeInput($AK40),0,"",Countermeasures!$A:Y,Assumptions!$A:Z)</f>
        <v>0:</v>
      </c>
      <c r="AM40" s="21" t="str" cm="1">
        <f t="array" aca="1" ref="AM40" ca="1">CalculateMaxAndElementsWithFallback(SanitizeInput($AK40),0,"",Countermeasures!$A:Z,Assumptions!$A:AA)</f>
        <v>0:</v>
      </c>
      <c r="AN40" s="21" t="str" cm="1">
        <f t="array" aca="1" ref="AN40" ca="1">CalculateMaxAndElementsWithFallback(SanitizeInput($AK40),0,"",Countermeasures!$A:AA,Assumptions!$A:AB)</f>
        <v>0:</v>
      </c>
      <c r="AO40" s="21" t="str" cm="1">
        <f t="array" aca="1" ref="AO40" ca="1">CalculateMaxAndElementsWithFallback(SanitizeInput($AK40),0,"",Countermeasures!$A:AB,Assumptions!$A:AC)</f>
        <v>0:</v>
      </c>
      <c r="AP40" s="21" t="str" cm="1">
        <f t="array" aca="1" ref="AP40" ca="1">CalculateMaxAndElementsWithFallback(SanitizeInput($AK40),0,"",Countermeasures!$A:AC,Assumptions!$A:AD)</f>
        <v>0:</v>
      </c>
      <c r="AQ40" s="21">
        <f t="shared" ca="1" si="76"/>
        <v>0</v>
      </c>
      <c r="AR40" s="21">
        <f t="shared" ca="1" si="77"/>
        <v>0</v>
      </c>
      <c r="AS40" s="21">
        <f t="shared" ca="1" si="78"/>
        <v>0</v>
      </c>
      <c r="AT40" s="21">
        <f t="shared" ca="1" si="79"/>
        <v>0</v>
      </c>
      <c r="AU40" s="21">
        <f t="shared" ca="1" si="80"/>
        <v>0</v>
      </c>
      <c r="AV40" s="21" t="str">
        <f t="shared" ca="1" si="81"/>
        <v>0:</v>
      </c>
      <c r="AW40" s="21" t="str">
        <f t="shared" ca="1" si="82"/>
        <v>0:</v>
      </c>
      <c r="AX40" s="21" t="str">
        <f t="shared" ca="1" si="83"/>
        <v>0:</v>
      </c>
      <c r="AY40" s="21" t="str">
        <f t="shared" ca="1" si="84"/>
        <v>0:</v>
      </c>
      <c r="AZ40" s="21" t="str">
        <f t="shared" ca="1" si="85"/>
        <v>0:</v>
      </c>
      <c r="BA40" s="21">
        <f t="shared" ca="1" si="86"/>
        <v>0</v>
      </c>
      <c r="BB40" s="21">
        <f t="shared" ca="1" si="87"/>
        <v>0</v>
      </c>
      <c r="BC40" s="21">
        <f t="shared" ca="1" si="88"/>
        <v>0</v>
      </c>
      <c r="BD40" s="21">
        <f t="shared" ca="1" si="89"/>
        <v>0</v>
      </c>
      <c r="BE40" s="21">
        <f t="shared" ca="1" si="90"/>
        <v>0</v>
      </c>
      <c r="BF40" s="21">
        <f t="shared" ca="1" si="65"/>
        <v>0</v>
      </c>
      <c r="BG40" s="21" t="str">
        <f ca="1">IFERROR(VLOOKUP($BF40,Definitions!$V:$W,COLUMNS(Definitions!$V:$W),TRUE),"")</f>
        <v>Basic</v>
      </c>
      <c r="BH40" s="21" t="str">
        <f ca="1">_xlfn.LET(
_xlpm._comments,GetValues($K40,Mitigation!$A:$O,"","",FALSE),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40" s="21" t="str" cm="1">
        <f t="array" aca="1" ref="BI40" ca="1">_xlfn.LET(
_xlpm._rapRange,Definitions!$W:$W,
_xlpm._calculatedRAP,$BG40,
_xlpm._inlineRAP,$BH40,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40" s="21" t="str">
        <f ca="1">IFERROR(IF(OR($V40="",$BI40=""),
Definitions!$AE$4,
VLOOKUP($V40,Definitions!$AH:$AM,MATCH($BI40,Definitions!$AH$3:$AM$3,0),FALSE)),
"")</f>
        <v>No Risk</v>
      </c>
      <c r="BK40" s="21" cm="1">
        <f t="array" aca="1" ref="BK40" ca="1">IF($BJ40="",0,SimpleLookup($BJ40,Definitions!$AE:$AF))</f>
        <v>0</v>
      </c>
      <c r="BL40" s="21" t="str" cm="1">
        <f t="array" aca="1" ref="BL40" ca="1">IFERROR(SimpleLookup($A40,Tracing!$B:$Z),"")</f>
        <v/>
      </c>
      <c r="BM40" s="21" t="str" cm="1">
        <f t="array" aca="1" ref="BM40" ca="1">_xlfn.LET(_xlpm._dm,SanitizeInput(GetValuesWithFallback(SanitizeInput($BL40),Assumptions!$A:$I,Countermeasures!$A:$I,"",",",FALSE)),
IF(_xlpm._dm="","",","&amp;_xlpm._dm))</f>
        <v/>
      </c>
      <c r="BN40" s="21" t="str" cm="1">
        <f t="array" aca="1" ref="BN40" ca="1">ApplyDamageMitigation($M40,$BM40,"")</f>
        <v/>
      </c>
      <c r="BO40" s="21" cm="1">
        <f t="array" aca="1" ref="BO40" ca="1">CalculateMaxFromList($BN40,0,'Damage Scenarios'!$A:$U)</f>
        <v>0</v>
      </c>
      <c r="BP40" s="21" t="str">
        <f ca="1">IF($BO40=0,"",INDEX(Definitions!$Q:$Q,MATCH($BO40,Definitions!$R:$R,0)))</f>
        <v/>
      </c>
      <c r="BQ40" s="21" t="str" cm="1">
        <f t="array" aca="1" ref="BQ40" ca="1">CalculateMaxAndElementsWithFallback(SanitizeInput($BL40),0,"",Countermeasures!$A:Y,Assumptions!$A:Z)</f>
        <v>0:</v>
      </c>
      <c r="BR40" s="21" t="str" cm="1">
        <f t="array" aca="1" ref="BR40" ca="1">CalculateMaxAndElementsWithFallback(SanitizeInput($BL40),0,"",Countermeasures!$A:Z,Assumptions!$A:AA)</f>
        <v>0:</v>
      </c>
      <c r="BS40" s="21" t="str" cm="1">
        <f t="array" aca="1" ref="BS40" ca="1">CalculateMaxAndElementsWithFallback(SanitizeInput($BL40),0,"",Countermeasures!$A:AA,Assumptions!$A:AB)</f>
        <v>0:</v>
      </c>
      <c r="BT40" s="21" t="str" cm="1">
        <f t="array" aca="1" ref="BT40" ca="1">CalculateMaxAndElementsWithFallback(SanitizeInput($BL40),0,"",Countermeasures!$A:AB,Assumptions!$A:AC)</f>
        <v>0:</v>
      </c>
      <c r="BU40" s="21" t="str" cm="1">
        <f t="array" aca="1" ref="BU40" ca="1">CalculateMaxAndElementsWithFallback(SanitizeInput($BL40),0,"",Countermeasures!$A:AC,Assumptions!$A:AD)</f>
        <v>0:</v>
      </c>
      <c r="BV40" s="21">
        <f t="shared" ca="1" si="25"/>
        <v>0</v>
      </c>
      <c r="BW40" s="21">
        <f t="shared" ca="1" si="26"/>
        <v>0</v>
      </c>
      <c r="BX40" s="21">
        <f t="shared" ca="1" si="27"/>
        <v>0</v>
      </c>
      <c r="BY40" s="21">
        <f t="shared" ca="1" si="28"/>
        <v>0</v>
      </c>
      <c r="BZ40" s="21">
        <f t="shared" ca="1" si="29"/>
        <v>0</v>
      </c>
      <c r="CA40" s="21" t="str">
        <f t="shared" ca="1" si="30"/>
        <v>0:</v>
      </c>
      <c r="CB40" s="21" t="str">
        <f t="shared" ca="1" si="31"/>
        <v>0:</v>
      </c>
      <c r="CC40" s="21" t="str">
        <f t="shared" ca="1" si="32"/>
        <v>0:</v>
      </c>
      <c r="CD40" s="21" t="str">
        <f t="shared" ca="1" si="33"/>
        <v>0:</v>
      </c>
      <c r="CE40" s="21" t="str">
        <f t="shared" ca="1" si="34"/>
        <v>0:</v>
      </c>
      <c r="CF40" s="21">
        <f t="shared" ca="1" si="35"/>
        <v>0</v>
      </c>
      <c r="CG40" s="21">
        <f t="shared" ca="1" si="36"/>
        <v>0</v>
      </c>
      <c r="CH40" s="21">
        <f t="shared" ca="1" si="37"/>
        <v>0</v>
      </c>
      <c r="CI40" s="21">
        <f t="shared" ca="1" si="38"/>
        <v>0</v>
      </c>
      <c r="CJ40" s="21">
        <f t="shared" ca="1" si="39"/>
        <v>0</v>
      </c>
      <c r="CK40" s="21">
        <f t="shared" ca="1" si="66"/>
        <v>0</v>
      </c>
      <c r="CL40" s="21" t="str">
        <f ca="1">IFERROR(VLOOKUP($CK40,Definitions!$V:$W,COLUMNS(Definitions!$V:$W),TRUE),"")</f>
        <v>Basic</v>
      </c>
      <c r="CM40" s="21" t="str">
        <f ca="1">_xlfn.LET(
_xlpm._comments,SimpleLookup($A40,Tracing!$B:$AB),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40" s="21" t="str" cm="1">
        <f t="array" aca="1" ref="CN40" ca="1">_xlfn.LET(
_xlpm._rapRange,Definitions!$W:$W,
_xlpm._calculatedRAP,$CL40,
_xlpm._inlineRAP,$CM40,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40" s="21" t="str">
        <f ca="1">IFERROR(IF(OR($BP40="",$CN40=""),
Definitions!$AE$4,
VLOOKUP($BP40,Definitions!$AH:$AM,MATCH($CN40,Definitions!$AH$3:$AM$3,0),FALSE)),
"")</f>
        <v>No Risk</v>
      </c>
      <c r="CP40" s="21" cm="1">
        <f t="array" aca="1" ref="CP40" ca="1">IF($CO40="",0,SimpleLookup($CO40,Definitions!$AE:$AF))</f>
        <v>0</v>
      </c>
      <c r="CQ40" s="21" t="b">
        <f ca="1">OR(AND($S40,$I40=Helper!$B$7),$I40&gt;Helper!$B$7)</f>
        <v>1</v>
      </c>
      <c r="CR40" s="21" t="str">
        <f t="shared" ca="1" si="67"/>
        <v/>
      </c>
      <c r="CS40" s="21" cm="1">
        <f t="array" aca="1" ref="CS40" ca="1">CreateID($CS$2,$CV:$CV,$CR40&lt;&gt;"")</f>
        <v>0</v>
      </c>
      <c r="CT40" s="21" t="str">
        <f ca="1">IF(IFERROR(MATCH(","&amp;A40&amp;",",'Risk Treatment'!$AT:$AT,0)&gt;0,FALSE),"",$A40)</f>
        <v/>
      </c>
      <c r="CU40" s="21" cm="1">
        <f t="array" aca="1" ref="CU40" ca="1">CreateID($CU$2,$CU:$CU,$CT40&lt;&gt;"")</f>
        <v>0</v>
      </c>
    </row>
    <row r="41" spans="1:99" x14ac:dyDescent="0.25">
      <c r="A41" s="33" t="str" cm="1">
        <f t="array" aca="1" ref="A41" ca="1">IF($B41="","","R"&amp;RemoveDelimiter(SUBSTITUTE(SUBSTITUTE($K41,"AS",""),",","-"),"-"))</f>
        <v/>
      </c>
      <c r="B41" s="33" t="str" cm="1">
        <f t="array" aca="1" ref="B41" ca="1">IF($L41="","",_xlfn.LET(
_xlpm._finalAttackStep,$L41,
_xlpm._prepAttacks,RemoveFirstElement(_xlpm._finalAttackStep&amp;","&amp;$K41),
_xlpm._prepAttackNames,IFERROR(LookupNames(_xlpm._prepAttacks,'Attack Steps'!$A:$B),""),
_xlpm._delimiter,REPT(CHAR(150),55),
$L41&amp;" "&amp;SimpleLookup($L41,'Attack Steps'!$A:$B)&amp;
IF(_xlpm._prepAttackNames="","",CHAR(10)&amp;_xlpm._delimiter&amp;CHAR(10)&amp;_xlpm._prepAttackNames)))</f>
        <v/>
      </c>
      <c r="C41" s="34" t="str" cm="1">
        <f t="array" aca="1" ref="C41" ca="1">IFERROR(LookupNames($M41,'Damage Scenarios'!$A:$V),"")</f>
        <v/>
      </c>
      <c r="D41" s="33" t="str">
        <f ca="1">IFERROR(IF($T41=0,"",INDEX(Definitions!$Q:$Q,MATCH($T41,Definitions!$R:$R,0))),"")</f>
        <v/>
      </c>
      <c r="E41" s="34" t="str" cm="1">
        <f t="array" aca="1" ref="E41" ca="1">IF($A41="","",_xlfn.LET(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_xlpm._factorFunction($A41,$A:W,Definitions!$Y:$Y,Definitions!$AB:$AB,1)&amp;CHAR(10)&amp;
_xlpm._factorFunction($A41,$A:X,Definitions!$Y:$Y,Definitions!$AB:$AB,2)&amp;CHAR(10)&amp;
_xlpm._factorFunction($A41,$A:Y,Definitions!$Y:$Y,Definitions!$AB:$AB,3)&amp;CHAR(10)&amp;
_xlpm._factorFunction($A41,$A:Z,Definitions!$Y:$Y,Definitions!$AB:$AB,4)&amp;CHAR(10)&amp;
_xlpm._factorFunction($A41,$A:AA,Definitions!$Y:$Y,Definitions!$AB:$AB,5)))</f>
        <v/>
      </c>
      <c r="F41" s="33" t="str">
        <f ca="1">IF($A41="","",IFERROR(VLOOKUP($AG41,Definitions!$V:$W,COLUMNS(Definitions!$V:$W),TRUE),""))</f>
        <v/>
      </c>
      <c r="G41" s="33" t="str">
        <f ca="1">IFERROR(IF(OR($D41="",$F41=""),
"",
VLOOKUP($D41,Definitions!$AH:$AM,MATCH($F41,Definitions!$AH$3:$AM$3,0),FALSE)),
"")</f>
        <v/>
      </c>
      <c r="H41" s="23" cm="1">
        <f t="array" aca="1" ref="H41" ca="1">IF(ROW()=ROW($H$2)+1,0,INDEX($H:$H,ROW()-1))+IF($A41="",0,1)</f>
        <v>0</v>
      </c>
      <c r="I41" s="21" cm="1">
        <f t="array" aca="1" ref="I41" ca="1">IF(ROW()=ROW($I$2)+1,
1,
INDEX($I:$I,ROW()-1)+IF(INDEX($S:$S,ROW()-1),1,0))</f>
        <v>1</v>
      </c>
      <c r="J41" s="21">
        <f t="shared" ca="1" si="63"/>
        <v>39</v>
      </c>
      <c r="K41" s="21" t="str">
        <f t="shared" ca="1" si="68"/>
        <v/>
      </c>
      <c r="L41" s="21" t="str" cm="1">
        <f t="array" aca="1" ref="L41" ca="1">IF($P41="","",INDEX('Attack Steps'!$A:$A,$P41))</f>
        <v/>
      </c>
      <c r="M41" s="21" t="str" cm="1">
        <f t="array" aca="1" ref="M41" ca="1">IF($P41="","",INDEX('Attack Steps'!$T:$T,$P41))</f>
        <v/>
      </c>
      <c r="N41" s="21" t="str" cm="1">
        <f t="array" aca="1" ref="N41" ca="1">_xlfn.LET(_xlpm._dm,SanitizeInput(GetValuesWithFallback(SanitizeInput($AK41),Assumptions!$A:$I,Countermeasures!$A:$I,"",",",FALSE)),
IF(_xlpm._dm="","",","&amp;_xlpm._dm))</f>
        <v/>
      </c>
      <c r="O41" s="21" t="str" cm="1">
        <f t="array" aca="1" ref="O41" ca="1">ApplyDamageMitigation($M41,$N41,"")</f>
        <v/>
      </c>
      <c r="P41" s="21" t="str">
        <f ca="1">IFERROR(MATCH($I41,'Attack Steps'!$V:$V,0),"")</f>
        <v/>
      </c>
      <c r="Q41" s="21" t="str" cm="1">
        <f t="array" aca="1" ref="Q41" ca="1">IF($P41="","","§"&amp;INDEX('Attack Steps'!$S:$S,$P41))</f>
        <v/>
      </c>
      <c r="R41" s="21" t="str" cm="1">
        <f t="array" aca="1" ref="R41" ca="1">IF($P41="","",INDEX('Attack Steps'!$W:$W,$P41))</f>
        <v/>
      </c>
      <c r="S41" s="21" t="b">
        <f t="shared" ca="1" si="69"/>
        <v>0</v>
      </c>
      <c r="T41" s="21" cm="1">
        <f t="array" aca="1" ref="T41" ca="1">_xlfn.LAMBDA(_xlpm._in,_xlpm._val,_xlpm._range,
IF(_xlpm._in="",_xlpm._val,_xlfn.LET(
_xlpm._id,LEFT(_xlpm._in,FIND(",",_xlpm._in)-1),
CalculateMaxFromList(RemoveFirstElement(_xlpm._in),MAX(_xlpm._val,VLOOKUP(_xlpm._id,_xlpm._range,COLUMNS(_xlpm._range),FALSE)),_xlpm._range))))($M41,0,'Damage Scenarios'!$A:$U)</f>
        <v>0</v>
      </c>
      <c r="U41" s="21" cm="1">
        <f t="array" aca="1" ref="U41" ca="1">CalculateMaxFromList($O41,0,'Damage Scenarios'!$A:$U)</f>
        <v>0</v>
      </c>
      <c r="V41" s="21" t="str">
        <f ca="1">IF($U41=0,"",INDEX(Definitions!$Q:$Q,MATCH($U41,Definitions!$R:$R,0)))</f>
        <v/>
      </c>
      <c r="W41" s="21" t="str" cm="1">
        <f t="array" aca="1" ref="W41" ca="1">CalculateMaxAndElements($K41,0,"",'Attack Steps'!$A:X)</f>
        <v>0:</v>
      </c>
      <c r="X41" s="21" t="str" cm="1">
        <f t="array" aca="1" ref="X41" ca="1">CalculateMaxAndElements($K41,0,"",'Attack Steps'!$A:Y)</f>
        <v>0:</v>
      </c>
      <c r="Y41" s="21" t="str" cm="1">
        <f t="array" aca="1" ref="Y41" ca="1">CalculateMaxAndElements($K41,0,"",'Attack Steps'!$A:Z)</f>
        <v>0:</v>
      </c>
      <c r="Z41" s="21" t="str" cm="1">
        <f t="array" aca="1" ref="Z41" ca="1">CalculateMaxAndElements($K41,0,"",'Attack Steps'!$A:AA)</f>
        <v>0:</v>
      </c>
      <c r="AA41" s="21" t="str" cm="1">
        <f t="array" aca="1" ref="AA41" ca="1">CalculateMaxAndElements($K41,0,"",'Attack Steps'!$A:AB)</f>
        <v>0:</v>
      </c>
      <c r="AB41" s="21">
        <f t="shared" ca="1" si="70"/>
        <v>0</v>
      </c>
      <c r="AC41" s="21">
        <f t="shared" ca="1" si="71"/>
        <v>0</v>
      </c>
      <c r="AD41" s="21">
        <f t="shared" ca="1" si="72"/>
        <v>0</v>
      </c>
      <c r="AE41" s="21">
        <f t="shared" ca="1" si="73"/>
        <v>0</v>
      </c>
      <c r="AF41" s="21">
        <f t="shared" ca="1" si="74"/>
        <v>0</v>
      </c>
      <c r="AG41" s="21">
        <f t="shared" ca="1" si="64"/>
        <v>0</v>
      </c>
      <c r="AH41" s="21" t="str" cm="1">
        <f t="array" aca="1" ref="AH41" ca="1">IF(ROW()=ROW($AH$2)+1,"",INDEX($AH:$AH,ROW()-1))&amp;IF($A41="","",$A41&amp;",")</f>
        <v/>
      </c>
      <c r="AI41" s="21" t="str">
        <f t="shared" ca="1" si="75"/>
        <v/>
      </c>
      <c r="AJ41" s="21" cm="1">
        <f t="array" aca="1" ref="AJ41" ca="1">IF($G41="",0,SimpleLookup($G41,Definitions!$AE:$AF))</f>
        <v>0</v>
      </c>
      <c r="AK41" s="21" t="str" cm="1">
        <f t="array" aca="1" ref="AK41" ca="1">InverseLookup($A41,Mitigation!$U$2,Mitigation!$J$2,1,Helper!$B$5,",")</f>
        <v/>
      </c>
      <c r="AL41" s="21" t="str" cm="1">
        <f t="array" aca="1" ref="AL41" ca="1">CalculateMaxAndElementsWithFallback(SanitizeInput($AK41),0,"",Countermeasures!$A:Y,Assumptions!$A:Z)</f>
        <v>0:</v>
      </c>
      <c r="AM41" s="21" t="str" cm="1">
        <f t="array" aca="1" ref="AM41" ca="1">CalculateMaxAndElementsWithFallback(SanitizeInput($AK41),0,"",Countermeasures!$A:Z,Assumptions!$A:AA)</f>
        <v>0:</v>
      </c>
      <c r="AN41" s="21" t="str" cm="1">
        <f t="array" aca="1" ref="AN41" ca="1">CalculateMaxAndElementsWithFallback(SanitizeInput($AK41),0,"",Countermeasures!$A:AA,Assumptions!$A:AB)</f>
        <v>0:</v>
      </c>
      <c r="AO41" s="21" t="str" cm="1">
        <f t="array" aca="1" ref="AO41" ca="1">CalculateMaxAndElementsWithFallback(SanitizeInput($AK41),0,"",Countermeasures!$A:AB,Assumptions!$A:AC)</f>
        <v>0:</v>
      </c>
      <c r="AP41" s="21" t="str" cm="1">
        <f t="array" aca="1" ref="AP41" ca="1">CalculateMaxAndElementsWithFallback(SanitizeInput($AK41),0,"",Countermeasures!$A:AC,Assumptions!$A:AD)</f>
        <v>0:</v>
      </c>
      <c r="AQ41" s="21">
        <f t="shared" ca="1" si="76"/>
        <v>0</v>
      </c>
      <c r="AR41" s="21">
        <f t="shared" ca="1" si="77"/>
        <v>0</v>
      </c>
      <c r="AS41" s="21">
        <f t="shared" ca="1" si="78"/>
        <v>0</v>
      </c>
      <c r="AT41" s="21">
        <f t="shared" ca="1" si="79"/>
        <v>0</v>
      </c>
      <c r="AU41" s="21">
        <f t="shared" ca="1" si="80"/>
        <v>0</v>
      </c>
      <c r="AV41" s="21" t="str">
        <f t="shared" ca="1" si="81"/>
        <v>0:</v>
      </c>
      <c r="AW41" s="21" t="str">
        <f t="shared" ca="1" si="82"/>
        <v>0:</v>
      </c>
      <c r="AX41" s="21" t="str">
        <f t="shared" ca="1" si="83"/>
        <v>0:</v>
      </c>
      <c r="AY41" s="21" t="str">
        <f t="shared" ca="1" si="84"/>
        <v>0:</v>
      </c>
      <c r="AZ41" s="21" t="str">
        <f t="shared" ca="1" si="85"/>
        <v>0:</v>
      </c>
      <c r="BA41" s="21">
        <f t="shared" ca="1" si="86"/>
        <v>0</v>
      </c>
      <c r="BB41" s="21">
        <f t="shared" ca="1" si="87"/>
        <v>0</v>
      </c>
      <c r="BC41" s="21">
        <f t="shared" ca="1" si="88"/>
        <v>0</v>
      </c>
      <c r="BD41" s="21">
        <f t="shared" ca="1" si="89"/>
        <v>0</v>
      </c>
      <c r="BE41" s="21">
        <f t="shared" ca="1" si="90"/>
        <v>0</v>
      </c>
      <c r="BF41" s="21">
        <f t="shared" ca="1" si="65"/>
        <v>0</v>
      </c>
      <c r="BG41" s="21" t="str">
        <f ca="1">IFERROR(VLOOKUP($BF41,Definitions!$V:$W,COLUMNS(Definitions!$V:$W),TRUE),"")</f>
        <v>Basic</v>
      </c>
      <c r="BH41" s="21" t="str">
        <f ca="1">_xlfn.LET(
_xlpm._comments,GetValues($K41,Mitigation!$A:$O,"","",FALSE),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41" s="21" t="str" cm="1">
        <f t="array" aca="1" ref="BI41" ca="1">_xlfn.LET(
_xlpm._rapRange,Definitions!$W:$W,
_xlpm._calculatedRAP,$BG41,
_xlpm._inlineRAP,$BH41,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41" s="21" t="str">
        <f ca="1">IFERROR(IF(OR($V41="",$BI41=""),
Definitions!$AE$4,
VLOOKUP($V41,Definitions!$AH:$AM,MATCH($BI41,Definitions!$AH$3:$AM$3,0),FALSE)),
"")</f>
        <v>No Risk</v>
      </c>
      <c r="BK41" s="21" cm="1">
        <f t="array" aca="1" ref="BK41" ca="1">IF($BJ41="",0,SimpleLookup($BJ41,Definitions!$AE:$AF))</f>
        <v>0</v>
      </c>
      <c r="BL41" s="21" t="str" cm="1">
        <f t="array" aca="1" ref="BL41" ca="1">IFERROR(SimpleLookup($A41,Tracing!$B:$Z),"")</f>
        <v/>
      </c>
      <c r="BM41" s="21" t="str" cm="1">
        <f t="array" aca="1" ref="BM41" ca="1">_xlfn.LET(_xlpm._dm,SanitizeInput(GetValuesWithFallback(SanitizeInput($BL41),Assumptions!$A:$I,Countermeasures!$A:$I,"",",",FALSE)),
IF(_xlpm._dm="","",","&amp;_xlpm._dm))</f>
        <v/>
      </c>
      <c r="BN41" s="21" t="str" cm="1">
        <f t="array" aca="1" ref="BN41" ca="1">ApplyDamageMitigation($M41,$BM41,"")</f>
        <v/>
      </c>
      <c r="BO41" s="21" cm="1">
        <f t="array" aca="1" ref="BO41" ca="1">CalculateMaxFromList($BN41,0,'Damage Scenarios'!$A:$U)</f>
        <v>0</v>
      </c>
      <c r="BP41" s="21" t="str">
        <f ca="1">IF($BO41=0,"",INDEX(Definitions!$Q:$Q,MATCH($BO41,Definitions!$R:$R,0)))</f>
        <v/>
      </c>
      <c r="BQ41" s="21" t="str" cm="1">
        <f t="array" aca="1" ref="BQ41" ca="1">CalculateMaxAndElementsWithFallback(SanitizeInput($BL41),0,"",Countermeasures!$A:Y,Assumptions!$A:Z)</f>
        <v>0:</v>
      </c>
      <c r="BR41" s="21" t="str" cm="1">
        <f t="array" aca="1" ref="BR41" ca="1">CalculateMaxAndElementsWithFallback(SanitizeInput($BL41),0,"",Countermeasures!$A:Z,Assumptions!$A:AA)</f>
        <v>0:</v>
      </c>
      <c r="BS41" s="21" t="str" cm="1">
        <f t="array" aca="1" ref="BS41" ca="1">CalculateMaxAndElementsWithFallback(SanitizeInput($BL41),0,"",Countermeasures!$A:AA,Assumptions!$A:AB)</f>
        <v>0:</v>
      </c>
      <c r="BT41" s="21" t="str" cm="1">
        <f t="array" aca="1" ref="BT41" ca="1">CalculateMaxAndElementsWithFallback(SanitizeInput($BL41),0,"",Countermeasures!$A:AB,Assumptions!$A:AC)</f>
        <v>0:</v>
      </c>
      <c r="BU41" s="21" t="str" cm="1">
        <f t="array" aca="1" ref="BU41" ca="1">CalculateMaxAndElementsWithFallback(SanitizeInput($BL41),0,"",Countermeasures!$A:AC,Assumptions!$A:AD)</f>
        <v>0:</v>
      </c>
      <c r="BV41" s="21">
        <f t="shared" ca="1" si="25"/>
        <v>0</v>
      </c>
      <c r="BW41" s="21">
        <f t="shared" ca="1" si="26"/>
        <v>0</v>
      </c>
      <c r="BX41" s="21">
        <f t="shared" ca="1" si="27"/>
        <v>0</v>
      </c>
      <c r="BY41" s="21">
        <f t="shared" ca="1" si="28"/>
        <v>0</v>
      </c>
      <c r="BZ41" s="21">
        <f t="shared" ca="1" si="29"/>
        <v>0</v>
      </c>
      <c r="CA41" s="21" t="str">
        <f t="shared" ca="1" si="30"/>
        <v>0:</v>
      </c>
      <c r="CB41" s="21" t="str">
        <f t="shared" ca="1" si="31"/>
        <v>0:</v>
      </c>
      <c r="CC41" s="21" t="str">
        <f t="shared" ca="1" si="32"/>
        <v>0:</v>
      </c>
      <c r="CD41" s="21" t="str">
        <f t="shared" ca="1" si="33"/>
        <v>0:</v>
      </c>
      <c r="CE41" s="21" t="str">
        <f t="shared" ca="1" si="34"/>
        <v>0:</v>
      </c>
      <c r="CF41" s="21">
        <f t="shared" ca="1" si="35"/>
        <v>0</v>
      </c>
      <c r="CG41" s="21">
        <f t="shared" ca="1" si="36"/>
        <v>0</v>
      </c>
      <c r="CH41" s="21">
        <f t="shared" ca="1" si="37"/>
        <v>0</v>
      </c>
      <c r="CI41" s="21">
        <f t="shared" ca="1" si="38"/>
        <v>0</v>
      </c>
      <c r="CJ41" s="21">
        <f t="shared" ca="1" si="39"/>
        <v>0</v>
      </c>
      <c r="CK41" s="21">
        <f t="shared" ca="1" si="66"/>
        <v>0</v>
      </c>
      <c r="CL41" s="21" t="str">
        <f ca="1">IFERROR(VLOOKUP($CK41,Definitions!$V:$W,COLUMNS(Definitions!$V:$W),TRUE),"")</f>
        <v>Basic</v>
      </c>
      <c r="CM41" s="21" t="str">
        <f ca="1">_xlfn.LET(
_xlpm._comments,SimpleLookup($A41,Tracing!$B:$AB),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41" s="21" t="str" cm="1">
        <f t="array" aca="1" ref="CN41" ca="1">_xlfn.LET(
_xlpm._rapRange,Definitions!$W:$W,
_xlpm._calculatedRAP,$CL41,
_xlpm._inlineRAP,$CM41,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41" s="21" t="str">
        <f ca="1">IFERROR(IF(OR($BP41="",$CN41=""),
Definitions!$AE$4,
VLOOKUP($BP41,Definitions!$AH:$AM,MATCH($CN41,Definitions!$AH$3:$AM$3,0),FALSE)),
"")</f>
        <v>No Risk</v>
      </c>
      <c r="CP41" s="21" cm="1">
        <f t="array" aca="1" ref="CP41" ca="1">IF($CO41="",0,SimpleLookup($CO41,Definitions!$AE:$AF))</f>
        <v>0</v>
      </c>
      <c r="CQ41" s="21" t="b">
        <f ca="1">OR(AND($S41,$I41=Helper!$B$7),$I41&gt;Helper!$B$7)</f>
        <v>1</v>
      </c>
      <c r="CR41" s="21" t="str">
        <f t="shared" ca="1" si="67"/>
        <v/>
      </c>
      <c r="CS41" s="21" cm="1">
        <f t="array" aca="1" ref="CS41" ca="1">CreateID($CS$2,$CV:$CV,$CR41&lt;&gt;"")</f>
        <v>0</v>
      </c>
      <c r="CT41" s="21" t="str">
        <f ca="1">IF(IFERROR(MATCH(","&amp;A41&amp;",",'Risk Treatment'!$AT:$AT,0)&gt;0,FALSE),"",$A41)</f>
        <v/>
      </c>
      <c r="CU41" s="21" cm="1">
        <f t="array" aca="1" ref="CU41" ca="1">CreateID($CU$2,$CU:$CU,$CT41&lt;&gt;"")</f>
        <v>0</v>
      </c>
    </row>
    <row r="42" spans="1:99" x14ac:dyDescent="0.25">
      <c r="A42" s="33" t="str" cm="1">
        <f t="array" aca="1" ref="A42" ca="1">IF($B42="","","R"&amp;RemoveDelimiter(SUBSTITUTE(SUBSTITUTE($K42,"AS",""),",","-"),"-"))</f>
        <v/>
      </c>
      <c r="B42" s="33" t="str" cm="1">
        <f t="array" aca="1" ref="B42" ca="1">IF($L42="","",_xlfn.LET(
_xlpm._finalAttackStep,$L42,
_xlpm._prepAttacks,RemoveFirstElement(_xlpm._finalAttackStep&amp;","&amp;$K42),
_xlpm._prepAttackNames,IFERROR(LookupNames(_xlpm._prepAttacks,'Attack Steps'!$A:$B),""),
_xlpm._delimiter,REPT(CHAR(150),55),
$L42&amp;" "&amp;SimpleLookup($L42,'Attack Steps'!$A:$B)&amp;
IF(_xlpm._prepAttackNames="","",CHAR(10)&amp;_xlpm._delimiter&amp;CHAR(10)&amp;_xlpm._prepAttackNames)))</f>
        <v/>
      </c>
      <c r="C42" s="34" t="str" cm="1">
        <f t="array" aca="1" ref="C42" ca="1">IFERROR(LookupNames($M42,'Damage Scenarios'!$A:$V),"")</f>
        <v/>
      </c>
      <c r="D42" s="33" t="str">
        <f ca="1">IFERROR(IF($T42=0,"",INDEX(Definitions!$Q:$Q,MATCH($T42,Definitions!$R:$R,0))),"")</f>
        <v/>
      </c>
      <c r="E42" s="34" t="str" cm="1">
        <f t="array" aca="1" ref="E42" ca="1">IF($A42="","",_xlfn.LET(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_xlpm._factorFunction($A42,$A:W,Definitions!$Y:$Y,Definitions!$AB:$AB,1)&amp;CHAR(10)&amp;
_xlpm._factorFunction($A42,$A:X,Definitions!$Y:$Y,Definitions!$AB:$AB,2)&amp;CHAR(10)&amp;
_xlpm._factorFunction($A42,$A:Y,Definitions!$Y:$Y,Definitions!$AB:$AB,3)&amp;CHAR(10)&amp;
_xlpm._factorFunction($A42,$A:Z,Definitions!$Y:$Y,Definitions!$AB:$AB,4)&amp;CHAR(10)&amp;
_xlpm._factorFunction($A42,$A:AA,Definitions!$Y:$Y,Definitions!$AB:$AB,5)))</f>
        <v/>
      </c>
      <c r="F42" s="33" t="str">
        <f ca="1">IF($A42="","",IFERROR(VLOOKUP($AG42,Definitions!$V:$W,COLUMNS(Definitions!$V:$W),TRUE),""))</f>
        <v/>
      </c>
      <c r="G42" s="33" t="str">
        <f ca="1">IFERROR(IF(OR($D42="",$F42=""),
"",
VLOOKUP($D42,Definitions!$AH:$AM,MATCH($F42,Definitions!$AH$3:$AM$3,0),FALSE)),
"")</f>
        <v/>
      </c>
      <c r="H42" s="23" cm="1">
        <f t="array" aca="1" ref="H42" ca="1">IF(ROW()=ROW($H$2)+1,0,INDEX($H:$H,ROW()-1))+IF($A42="",0,1)</f>
        <v>0</v>
      </c>
      <c r="I42" s="21" cm="1">
        <f t="array" aca="1" ref="I42" ca="1">IF(ROW()=ROW($I$2)+1,
1,
INDEX($I:$I,ROW()-1)+IF(INDEX($S:$S,ROW()-1),1,0))</f>
        <v>1</v>
      </c>
      <c r="J42" s="21">
        <f t="shared" ca="1" si="63"/>
        <v>40</v>
      </c>
      <c r="K42" s="21" t="str">
        <f t="shared" ca="1" si="68"/>
        <v/>
      </c>
      <c r="L42" s="21" t="str" cm="1">
        <f t="array" aca="1" ref="L42" ca="1">IF($P42="","",INDEX('Attack Steps'!$A:$A,$P42))</f>
        <v/>
      </c>
      <c r="M42" s="21" t="str" cm="1">
        <f t="array" aca="1" ref="M42" ca="1">IF($P42="","",INDEX('Attack Steps'!$T:$T,$P42))</f>
        <v/>
      </c>
      <c r="N42" s="21" t="str" cm="1">
        <f t="array" aca="1" ref="N42" ca="1">_xlfn.LET(_xlpm._dm,SanitizeInput(GetValuesWithFallback(SanitizeInput($AK42),Assumptions!$A:$I,Countermeasures!$A:$I,"",",",FALSE)),
IF(_xlpm._dm="","",","&amp;_xlpm._dm))</f>
        <v/>
      </c>
      <c r="O42" s="21" t="str" cm="1">
        <f t="array" aca="1" ref="O42" ca="1">ApplyDamageMitigation($M42,$N42,"")</f>
        <v/>
      </c>
      <c r="P42" s="21" t="str">
        <f ca="1">IFERROR(MATCH($I42,'Attack Steps'!$V:$V,0),"")</f>
        <v/>
      </c>
      <c r="Q42" s="21" t="str" cm="1">
        <f t="array" aca="1" ref="Q42" ca="1">IF($P42="","","§"&amp;INDEX('Attack Steps'!$S:$S,$P42))</f>
        <v/>
      </c>
      <c r="R42" s="21" t="str" cm="1">
        <f t="array" aca="1" ref="R42" ca="1">IF($P42="","",INDEX('Attack Steps'!$W:$W,$P42))</f>
        <v/>
      </c>
      <c r="S42" s="21" t="b">
        <f t="shared" ca="1" si="69"/>
        <v>0</v>
      </c>
      <c r="T42" s="21" cm="1">
        <f t="array" aca="1" ref="T42" ca="1">_xlfn.LAMBDA(_xlpm._in,_xlpm._val,_xlpm._range,
IF(_xlpm._in="",_xlpm._val,_xlfn.LET(
_xlpm._id,LEFT(_xlpm._in,FIND(",",_xlpm._in)-1),
CalculateMaxFromList(RemoveFirstElement(_xlpm._in),MAX(_xlpm._val,VLOOKUP(_xlpm._id,_xlpm._range,COLUMNS(_xlpm._range),FALSE)),_xlpm._range))))($M42,0,'Damage Scenarios'!$A:$U)</f>
        <v>0</v>
      </c>
      <c r="U42" s="21" cm="1">
        <f t="array" aca="1" ref="U42" ca="1">CalculateMaxFromList($O42,0,'Damage Scenarios'!$A:$U)</f>
        <v>0</v>
      </c>
      <c r="V42" s="21" t="str">
        <f ca="1">IF($U42=0,"",INDEX(Definitions!$Q:$Q,MATCH($U42,Definitions!$R:$R,0)))</f>
        <v/>
      </c>
      <c r="W42" s="21" t="str" cm="1">
        <f t="array" aca="1" ref="W42" ca="1">CalculateMaxAndElements($K42,0,"",'Attack Steps'!$A:X)</f>
        <v>0:</v>
      </c>
      <c r="X42" s="21" t="str" cm="1">
        <f t="array" aca="1" ref="X42" ca="1">CalculateMaxAndElements($K42,0,"",'Attack Steps'!$A:Y)</f>
        <v>0:</v>
      </c>
      <c r="Y42" s="21" t="str" cm="1">
        <f t="array" aca="1" ref="Y42" ca="1">CalculateMaxAndElements($K42,0,"",'Attack Steps'!$A:Z)</f>
        <v>0:</v>
      </c>
      <c r="Z42" s="21" t="str" cm="1">
        <f t="array" aca="1" ref="Z42" ca="1">CalculateMaxAndElements($K42,0,"",'Attack Steps'!$A:AA)</f>
        <v>0:</v>
      </c>
      <c r="AA42" s="21" t="str" cm="1">
        <f t="array" aca="1" ref="AA42" ca="1">CalculateMaxAndElements($K42,0,"",'Attack Steps'!$A:AB)</f>
        <v>0:</v>
      </c>
      <c r="AB42" s="21">
        <f t="shared" ca="1" si="70"/>
        <v>0</v>
      </c>
      <c r="AC42" s="21">
        <f t="shared" ca="1" si="71"/>
        <v>0</v>
      </c>
      <c r="AD42" s="21">
        <f t="shared" ca="1" si="72"/>
        <v>0</v>
      </c>
      <c r="AE42" s="21">
        <f t="shared" ca="1" si="73"/>
        <v>0</v>
      </c>
      <c r="AF42" s="21">
        <f t="shared" ca="1" si="74"/>
        <v>0</v>
      </c>
      <c r="AG42" s="21">
        <f t="shared" ca="1" si="64"/>
        <v>0</v>
      </c>
      <c r="AH42" s="21" t="str" cm="1">
        <f t="array" aca="1" ref="AH42" ca="1">IF(ROW()=ROW($AH$2)+1,"",INDEX($AH:$AH,ROW()-1))&amp;IF($A42="","",$A42&amp;",")</f>
        <v/>
      </c>
      <c r="AI42" s="21" t="str">
        <f t="shared" ca="1" si="75"/>
        <v/>
      </c>
      <c r="AJ42" s="21" cm="1">
        <f t="array" aca="1" ref="AJ42" ca="1">IF($G42="",0,SimpleLookup($G42,Definitions!$AE:$AF))</f>
        <v>0</v>
      </c>
      <c r="AK42" s="21" t="str" cm="1">
        <f t="array" aca="1" ref="AK42" ca="1">InverseLookup($A42,Mitigation!$U$2,Mitigation!$J$2,1,Helper!$B$5,",")</f>
        <v/>
      </c>
      <c r="AL42" s="21" t="str" cm="1">
        <f t="array" aca="1" ref="AL42" ca="1">CalculateMaxAndElementsWithFallback(SanitizeInput($AK42),0,"",Countermeasures!$A:Y,Assumptions!$A:Z)</f>
        <v>0:</v>
      </c>
      <c r="AM42" s="21" t="str" cm="1">
        <f t="array" aca="1" ref="AM42" ca="1">CalculateMaxAndElementsWithFallback(SanitizeInput($AK42),0,"",Countermeasures!$A:Z,Assumptions!$A:AA)</f>
        <v>0:</v>
      </c>
      <c r="AN42" s="21" t="str" cm="1">
        <f t="array" aca="1" ref="AN42" ca="1">CalculateMaxAndElementsWithFallback(SanitizeInput($AK42),0,"",Countermeasures!$A:AA,Assumptions!$A:AB)</f>
        <v>0:</v>
      </c>
      <c r="AO42" s="21" t="str" cm="1">
        <f t="array" aca="1" ref="AO42" ca="1">CalculateMaxAndElementsWithFallback(SanitizeInput($AK42),0,"",Countermeasures!$A:AB,Assumptions!$A:AC)</f>
        <v>0:</v>
      </c>
      <c r="AP42" s="21" t="str" cm="1">
        <f t="array" aca="1" ref="AP42" ca="1">CalculateMaxAndElementsWithFallback(SanitizeInput($AK42),0,"",Countermeasures!$A:AC,Assumptions!$A:AD)</f>
        <v>0:</v>
      </c>
      <c r="AQ42" s="21">
        <f t="shared" ca="1" si="76"/>
        <v>0</v>
      </c>
      <c r="AR42" s="21">
        <f t="shared" ca="1" si="77"/>
        <v>0</v>
      </c>
      <c r="AS42" s="21">
        <f t="shared" ca="1" si="78"/>
        <v>0</v>
      </c>
      <c r="AT42" s="21">
        <f t="shared" ca="1" si="79"/>
        <v>0</v>
      </c>
      <c r="AU42" s="21">
        <f t="shared" ca="1" si="80"/>
        <v>0</v>
      </c>
      <c r="AV42" s="21" t="str">
        <f t="shared" ca="1" si="81"/>
        <v>0:</v>
      </c>
      <c r="AW42" s="21" t="str">
        <f t="shared" ca="1" si="82"/>
        <v>0:</v>
      </c>
      <c r="AX42" s="21" t="str">
        <f t="shared" ca="1" si="83"/>
        <v>0:</v>
      </c>
      <c r="AY42" s="21" t="str">
        <f t="shared" ca="1" si="84"/>
        <v>0:</v>
      </c>
      <c r="AZ42" s="21" t="str">
        <f t="shared" ca="1" si="85"/>
        <v>0:</v>
      </c>
      <c r="BA42" s="21">
        <f t="shared" ca="1" si="86"/>
        <v>0</v>
      </c>
      <c r="BB42" s="21">
        <f t="shared" ca="1" si="87"/>
        <v>0</v>
      </c>
      <c r="BC42" s="21">
        <f t="shared" ca="1" si="88"/>
        <v>0</v>
      </c>
      <c r="BD42" s="21">
        <f t="shared" ca="1" si="89"/>
        <v>0</v>
      </c>
      <c r="BE42" s="21">
        <f t="shared" ca="1" si="90"/>
        <v>0</v>
      </c>
      <c r="BF42" s="21">
        <f t="shared" ca="1" si="65"/>
        <v>0</v>
      </c>
      <c r="BG42" s="21" t="str">
        <f ca="1">IFERROR(VLOOKUP($BF42,Definitions!$V:$W,COLUMNS(Definitions!$V:$W),TRUE),"")</f>
        <v>Basic</v>
      </c>
      <c r="BH42" s="21" t="str">
        <f ca="1">_xlfn.LET(
_xlpm._comments,GetValues($K42,Mitigation!$A:$O,"","",FALSE),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42" s="21" t="str" cm="1">
        <f t="array" aca="1" ref="BI42" ca="1">_xlfn.LET(
_xlpm._rapRange,Definitions!$W:$W,
_xlpm._calculatedRAP,$BG42,
_xlpm._inlineRAP,$BH42,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42" s="21" t="str">
        <f ca="1">IFERROR(IF(OR($V42="",$BI42=""),
Definitions!$AE$4,
VLOOKUP($V42,Definitions!$AH:$AM,MATCH($BI42,Definitions!$AH$3:$AM$3,0),FALSE)),
"")</f>
        <v>No Risk</v>
      </c>
      <c r="BK42" s="21" cm="1">
        <f t="array" aca="1" ref="BK42" ca="1">IF($BJ42="",0,SimpleLookup($BJ42,Definitions!$AE:$AF))</f>
        <v>0</v>
      </c>
      <c r="BL42" s="21" t="str" cm="1">
        <f t="array" aca="1" ref="BL42" ca="1">IFERROR(SimpleLookup($A42,Tracing!$B:$Z),"")</f>
        <v/>
      </c>
      <c r="BM42" s="21" t="str" cm="1">
        <f t="array" aca="1" ref="BM42" ca="1">_xlfn.LET(_xlpm._dm,SanitizeInput(GetValuesWithFallback(SanitizeInput($BL42),Assumptions!$A:$I,Countermeasures!$A:$I,"",",",FALSE)),
IF(_xlpm._dm="","",","&amp;_xlpm._dm))</f>
        <v/>
      </c>
      <c r="BN42" s="21" t="str" cm="1">
        <f t="array" aca="1" ref="BN42" ca="1">ApplyDamageMitigation($M42,$BM42,"")</f>
        <v/>
      </c>
      <c r="BO42" s="21" cm="1">
        <f t="array" aca="1" ref="BO42" ca="1">CalculateMaxFromList($BN42,0,'Damage Scenarios'!$A:$U)</f>
        <v>0</v>
      </c>
      <c r="BP42" s="21" t="str">
        <f ca="1">IF($BO42=0,"",INDEX(Definitions!$Q:$Q,MATCH($BO42,Definitions!$R:$R,0)))</f>
        <v/>
      </c>
      <c r="BQ42" s="21" t="str" cm="1">
        <f t="array" aca="1" ref="BQ42" ca="1">CalculateMaxAndElementsWithFallback(SanitizeInput($BL42),0,"",Countermeasures!$A:Y,Assumptions!$A:Z)</f>
        <v>0:</v>
      </c>
      <c r="BR42" s="21" t="str" cm="1">
        <f t="array" aca="1" ref="BR42" ca="1">CalculateMaxAndElementsWithFallback(SanitizeInput($BL42),0,"",Countermeasures!$A:Z,Assumptions!$A:AA)</f>
        <v>0:</v>
      </c>
      <c r="BS42" s="21" t="str" cm="1">
        <f t="array" aca="1" ref="BS42" ca="1">CalculateMaxAndElementsWithFallback(SanitizeInput($BL42),0,"",Countermeasures!$A:AA,Assumptions!$A:AB)</f>
        <v>0:</v>
      </c>
      <c r="BT42" s="21" t="str" cm="1">
        <f t="array" aca="1" ref="BT42" ca="1">CalculateMaxAndElementsWithFallback(SanitizeInput($BL42),0,"",Countermeasures!$A:AB,Assumptions!$A:AC)</f>
        <v>0:</v>
      </c>
      <c r="BU42" s="21" t="str" cm="1">
        <f t="array" aca="1" ref="BU42" ca="1">CalculateMaxAndElementsWithFallback(SanitizeInput($BL42),0,"",Countermeasures!$A:AC,Assumptions!$A:AD)</f>
        <v>0:</v>
      </c>
      <c r="BV42" s="21">
        <f t="shared" ca="1" si="25"/>
        <v>0</v>
      </c>
      <c r="BW42" s="21">
        <f t="shared" ca="1" si="26"/>
        <v>0</v>
      </c>
      <c r="BX42" s="21">
        <f t="shared" ca="1" si="27"/>
        <v>0</v>
      </c>
      <c r="BY42" s="21">
        <f t="shared" ca="1" si="28"/>
        <v>0</v>
      </c>
      <c r="BZ42" s="21">
        <f t="shared" ca="1" si="29"/>
        <v>0</v>
      </c>
      <c r="CA42" s="21" t="str">
        <f t="shared" ca="1" si="30"/>
        <v>0:</v>
      </c>
      <c r="CB42" s="21" t="str">
        <f t="shared" ca="1" si="31"/>
        <v>0:</v>
      </c>
      <c r="CC42" s="21" t="str">
        <f t="shared" ca="1" si="32"/>
        <v>0:</v>
      </c>
      <c r="CD42" s="21" t="str">
        <f t="shared" ca="1" si="33"/>
        <v>0:</v>
      </c>
      <c r="CE42" s="21" t="str">
        <f t="shared" ca="1" si="34"/>
        <v>0:</v>
      </c>
      <c r="CF42" s="21">
        <f t="shared" ca="1" si="35"/>
        <v>0</v>
      </c>
      <c r="CG42" s="21">
        <f t="shared" ca="1" si="36"/>
        <v>0</v>
      </c>
      <c r="CH42" s="21">
        <f t="shared" ca="1" si="37"/>
        <v>0</v>
      </c>
      <c r="CI42" s="21">
        <f t="shared" ca="1" si="38"/>
        <v>0</v>
      </c>
      <c r="CJ42" s="21">
        <f t="shared" ca="1" si="39"/>
        <v>0</v>
      </c>
      <c r="CK42" s="21">
        <f t="shared" ca="1" si="66"/>
        <v>0</v>
      </c>
      <c r="CL42" s="21" t="str">
        <f ca="1">IFERROR(VLOOKUP($CK42,Definitions!$V:$W,COLUMNS(Definitions!$V:$W),TRUE),"")</f>
        <v>Basic</v>
      </c>
      <c r="CM42" s="21" t="str">
        <f ca="1">_xlfn.LET(
_xlpm._comments,SimpleLookup($A42,Tracing!$B:$AB),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42" s="21" t="str" cm="1">
        <f t="array" aca="1" ref="CN42" ca="1">_xlfn.LET(
_xlpm._rapRange,Definitions!$W:$W,
_xlpm._calculatedRAP,$CL42,
_xlpm._inlineRAP,$CM42,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42" s="21" t="str">
        <f ca="1">IFERROR(IF(OR($BP42="",$CN42=""),
Definitions!$AE$4,
VLOOKUP($BP42,Definitions!$AH:$AM,MATCH($CN42,Definitions!$AH$3:$AM$3,0),FALSE)),
"")</f>
        <v>No Risk</v>
      </c>
      <c r="CP42" s="21" cm="1">
        <f t="array" aca="1" ref="CP42" ca="1">IF($CO42="",0,SimpleLookup($CO42,Definitions!$AE:$AF))</f>
        <v>0</v>
      </c>
      <c r="CQ42" s="21" t="b">
        <f ca="1">OR(AND($S42,$I42=Helper!$B$7),$I42&gt;Helper!$B$7)</f>
        <v>1</v>
      </c>
      <c r="CR42" s="21" t="str">
        <f t="shared" ca="1" si="67"/>
        <v/>
      </c>
      <c r="CS42" s="21" cm="1">
        <f t="array" aca="1" ref="CS42" ca="1">CreateID($CS$2,$CV:$CV,$CR42&lt;&gt;"")</f>
        <v>0</v>
      </c>
      <c r="CT42" s="21" t="str">
        <f ca="1">IF(IFERROR(MATCH(","&amp;A42&amp;",",'Risk Treatment'!$AT:$AT,0)&gt;0,FALSE),"",$A42)</f>
        <v/>
      </c>
      <c r="CU42" s="21" cm="1">
        <f t="array" aca="1" ref="CU42" ca="1">CreateID($CU$2,$CU:$CU,$CT42&lt;&gt;"")</f>
        <v>0</v>
      </c>
    </row>
    <row r="43" spans="1:99" x14ac:dyDescent="0.25">
      <c r="A43" s="33" t="str" cm="1">
        <f t="array" aca="1" ref="A43" ca="1">IF($B43="","","R"&amp;RemoveDelimiter(SUBSTITUTE(SUBSTITUTE($K43,"AS",""),",","-"),"-"))</f>
        <v/>
      </c>
      <c r="B43" s="33" t="str" cm="1">
        <f t="array" aca="1" ref="B43" ca="1">IF($L43="","",_xlfn.LET(
_xlpm._finalAttackStep,$L43,
_xlpm._prepAttacks,RemoveFirstElement(_xlpm._finalAttackStep&amp;","&amp;$K43),
_xlpm._prepAttackNames,IFERROR(LookupNames(_xlpm._prepAttacks,'Attack Steps'!$A:$B),""),
_xlpm._delimiter,REPT(CHAR(150),55),
$L43&amp;" "&amp;SimpleLookup($L43,'Attack Steps'!$A:$B)&amp;
IF(_xlpm._prepAttackNames="","",CHAR(10)&amp;_xlpm._delimiter&amp;CHAR(10)&amp;_xlpm._prepAttackNames)))</f>
        <v/>
      </c>
      <c r="C43" s="34" t="str" cm="1">
        <f t="array" aca="1" ref="C43" ca="1">IFERROR(LookupNames($M43,'Damage Scenarios'!$A:$V),"")</f>
        <v/>
      </c>
      <c r="D43" s="33" t="str">
        <f ca="1">IFERROR(IF($T43=0,"",INDEX(Definitions!$Q:$Q,MATCH($T43,Definitions!$R:$R,0))),"")</f>
        <v/>
      </c>
      <c r="E43" s="34" t="str" cm="1">
        <f t="array" aca="1" ref="E43" ca="1">IF($A43="","",_xlfn.LET(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_xlpm._factorFunction($A43,$A:W,Definitions!$Y:$Y,Definitions!$AB:$AB,1)&amp;CHAR(10)&amp;
_xlpm._factorFunction($A43,$A:X,Definitions!$Y:$Y,Definitions!$AB:$AB,2)&amp;CHAR(10)&amp;
_xlpm._factorFunction($A43,$A:Y,Definitions!$Y:$Y,Definitions!$AB:$AB,3)&amp;CHAR(10)&amp;
_xlpm._factorFunction($A43,$A:Z,Definitions!$Y:$Y,Definitions!$AB:$AB,4)&amp;CHAR(10)&amp;
_xlpm._factorFunction($A43,$A:AA,Definitions!$Y:$Y,Definitions!$AB:$AB,5)))</f>
        <v/>
      </c>
      <c r="F43" s="33" t="str">
        <f ca="1">IF($A43="","",IFERROR(VLOOKUP($AG43,Definitions!$V:$W,COLUMNS(Definitions!$V:$W),TRUE),""))</f>
        <v/>
      </c>
      <c r="G43" s="33" t="str">
        <f ca="1">IFERROR(IF(OR($D43="",$F43=""),
"",
VLOOKUP($D43,Definitions!$AH:$AM,MATCH($F43,Definitions!$AH$3:$AM$3,0),FALSE)),
"")</f>
        <v/>
      </c>
      <c r="H43" s="23" cm="1">
        <f t="array" aca="1" ref="H43" ca="1">IF(ROW()=ROW($H$2)+1,0,INDEX($H:$H,ROW()-1))+IF($A43="",0,1)</f>
        <v>0</v>
      </c>
      <c r="I43" s="21" cm="1">
        <f t="array" aca="1" ref="I43" ca="1">IF(ROW()=ROW($I$2)+1,
1,
INDEX($I:$I,ROW()-1)+IF(INDEX($S:$S,ROW()-1),1,0))</f>
        <v>1</v>
      </c>
      <c r="J43" s="21">
        <f t="shared" ca="1" si="63"/>
        <v>41</v>
      </c>
      <c r="K43" s="21" t="str">
        <f t="shared" ca="1" si="68"/>
        <v/>
      </c>
      <c r="L43" s="21" t="str" cm="1">
        <f t="array" aca="1" ref="L43" ca="1">IF($P43="","",INDEX('Attack Steps'!$A:$A,$P43))</f>
        <v/>
      </c>
      <c r="M43" s="21" t="str" cm="1">
        <f t="array" aca="1" ref="M43" ca="1">IF($P43="","",INDEX('Attack Steps'!$T:$T,$P43))</f>
        <v/>
      </c>
      <c r="N43" s="21" t="str" cm="1">
        <f t="array" aca="1" ref="N43" ca="1">_xlfn.LET(_xlpm._dm,SanitizeInput(GetValuesWithFallback(SanitizeInput($AK43),Assumptions!$A:$I,Countermeasures!$A:$I,"",",",FALSE)),
IF(_xlpm._dm="","",","&amp;_xlpm._dm))</f>
        <v/>
      </c>
      <c r="O43" s="21" t="str" cm="1">
        <f t="array" aca="1" ref="O43" ca="1">ApplyDamageMitigation($M43,$N43,"")</f>
        <v/>
      </c>
      <c r="P43" s="21" t="str">
        <f ca="1">IFERROR(MATCH($I43,'Attack Steps'!$V:$V,0),"")</f>
        <v/>
      </c>
      <c r="Q43" s="21" t="str" cm="1">
        <f t="array" aca="1" ref="Q43" ca="1">IF($P43="","","§"&amp;INDEX('Attack Steps'!$S:$S,$P43))</f>
        <v/>
      </c>
      <c r="R43" s="21" t="str" cm="1">
        <f t="array" aca="1" ref="R43" ca="1">IF($P43="","",INDEX('Attack Steps'!$W:$W,$P43))</f>
        <v/>
      </c>
      <c r="S43" s="21" t="b">
        <f t="shared" ca="1" si="69"/>
        <v>0</v>
      </c>
      <c r="T43" s="21" cm="1">
        <f t="array" aca="1" ref="T43" ca="1">_xlfn.LAMBDA(_xlpm._in,_xlpm._val,_xlpm._range,
IF(_xlpm._in="",_xlpm._val,_xlfn.LET(
_xlpm._id,LEFT(_xlpm._in,FIND(",",_xlpm._in)-1),
CalculateMaxFromList(RemoveFirstElement(_xlpm._in),MAX(_xlpm._val,VLOOKUP(_xlpm._id,_xlpm._range,COLUMNS(_xlpm._range),FALSE)),_xlpm._range))))($M43,0,'Damage Scenarios'!$A:$U)</f>
        <v>0</v>
      </c>
      <c r="U43" s="21" cm="1">
        <f t="array" aca="1" ref="U43" ca="1">CalculateMaxFromList($O43,0,'Damage Scenarios'!$A:$U)</f>
        <v>0</v>
      </c>
      <c r="V43" s="21" t="str">
        <f ca="1">IF($U43=0,"",INDEX(Definitions!$Q:$Q,MATCH($U43,Definitions!$R:$R,0)))</f>
        <v/>
      </c>
      <c r="W43" s="21" t="str" cm="1">
        <f t="array" aca="1" ref="W43" ca="1">CalculateMaxAndElements($K43,0,"",'Attack Steps'!$A:X)</f>
        <v>0:</v>
      </c>
      <c r="X43" s="21" t="str" cm="1">
        <f t="array" aca="1" ref="X43" ca="1">CalculateMaxAndElements($K43,0,"",'Attack Steps'!$A:Y)</f>
        <v>0:</v>
      </c>
      <c r="Y43" s="21" t="str" cm="1">
        <f t="array" aca="1" ref="Y43" ca="1">CalculateMaxAndElements($K43,0,"",'Attack Steps'!$A:Z)</f>
        <v>0:</v>
      </c>
      <c r="Z43" s="21" t="str" cm="1">
        <f t="array" aca="1" ref="Z43" ca="1">CalculateMaxAndElements($K43,0,"",'Attack Steps'!$A:AA)</f>
        <v>0:</v>
      </c>
      <c r="AA43" s="21" t="str" cm="1">
        <f t="array" aca="1" ref="AA43" ca="1">CalculateMaxAndElements($K43,0,"",'Attack Steps'!$A:AB)</f>
        <v>0:</v>
      </c>
      <c r="AB43" s="21">
        <f t="shared" ca="1" si="70"/>
        <v>0</v>
      </c>
      <c r="AC43" s="21">
        <f t="shared" ca="1" si="71"/>
        <v>0</v>
      </c>
      <c r="AD43" s="21">
        <f t="shared" ca="1" si="72"/>
        <v>0</v>
      </c>
      <c r="AE43" s="21">
        <f t="shared" ca="1" si="73"/>
        <v>0</v>
      </c>
      <c r="AF43" s="21">
        <f t="shared" ca="1" si="74"/>
        <v>0</v>
      </c>
      <c r="AG43" s="21">
        <f t="shared" ca="1" si="64"/>
        <v>0</v>
      </c>
      <c r="AH43" s="21" t="str" cm="1">
        <f t="array" aca="1" ref="AH43" ca="1">IF(ROW()=ROW($AH$2)+1,"",INDEX($AH:$AH,ROW()-1))&amp;IF($A43="","",$A43&amp;",")</f>
        <v/>
      </c>
      <c r="AI43" s="21" t="str">
        <f t="shared" ca="1" si="75"/>
        <v/>
      </c>
      <c r="AJ43" s="21" cm="1">
        <f t="array" aca="1" ref="AJ43" ca="1">IF($G43="",0,SimpleLookup($G43,Definitions!$AE:$AF))</f>
        <v>0</v>
      </c>
      <c r="AK43" s="21" t="str" cm="1">
        <f t="array" aca="1" ref="AK43" ca="1">InverseLookup($A43,Mitigation!$U$2,Mitigation!$J$2,1,Helper!$B$5,",")</f>
        <v/>
      </c>
      <c r="AL43" s="21" t="str" cm="1">
        <f t="array" aca="1" ref="AL43" ca="1">CalculateMaxAndElementsWithFallback(SanitizeInput($AK43),0,"",Countermeasures!$A:Y,Assumptions!$A:Z)</f>
        <v>0:</v>
      </c>
      <c r="AM43" s="21" t="str" cm="1">
        <f t="array" aca="1" ref="AM43" ca="1">CalculateMaxAndElementsWithFallback(SanitizeInput($AK43),0,"",Countermeasures!$A:Z,Assumptions!$A:AA)</f>
        <v>0:</v>
      </c>
      <c r="AN43" s="21" t="str" cm="1">
        <f t="array" aca="1" ref="AN43" ca="1">CalculateMaxAndElementsWithFallback(SanitizeInput($AK43),0,"",Countermeasures!$A:AA,Assumptions!$A:AB)</f>
        <v>0:</v>
      </c>
      <c r="AO43" s="21" t="str" cm="1">
        <f t="array" aca="1" ref="AO43" ca="1">CalculateMaxAndElementsWithFallback(SanitizeInput($AK43),0,"",Countermeasures!$A:AB,Assumptions!$A:AC)</f>
        <v>0:</v>
      </c>
      <c r="AP43" s="21" t="str" cm="1">
        <f t="array" aca="1" ref="AP43" ca="1">CalculateMaxAndElementsWithFallback(SanitizeInput($AK43),0,"",Countermeasures!$A:AC,Assumptions!$A:AD)</f>
        <v>0:</v>
      </c>
      <c r="AQ43" s="21">
        <f t="shared" ca="1" si="76"/>
        <v>0</v>
      </c>
      <c r="AR43" s="21">
        <f t="shared" ca="1" si="77"/>
        <v>0</v>
      </c>
      <c r="AS43" s="21">
        <f t="shared" ca="1" si="78"/>
        <v>0</v>
      </c>
      <c r="AT43" s="21">
        <f t="shared" ca="1" si="79"/>
        <v>0</v>
      </c>
      <c r="AU43" s="21">
        <f t="shared" ca="1" si="80"/>
        <v>0</v>
      </c>
      <c r="AV43" s="21" t="str">
        <f t="shared" ca="1" si="81"/>
        <v>0:</v>
      </c>
      <c r="AW43" s="21" t="str">
        <f t="shared" ca="1" si="82"/>
        <v>0:</v>
      </c>
      <c r="AX43" s="21" t="str">
        <f t="shared" ca="1" si="83"/>
        <v>0:</v>
      </c>
      <c r="AY43" s="21" t="str">
        <f t="shared" ca="1" si="84"/>
        <v>0:</v>
      </c>
      <c r="AZ43" s="21" t="str">
        <f t="shared" ca="1" si="85"/>
        <v>0:</v>
      </c>
      <c r="BA43" s="21">
        <f t="shared" ca="1" si="86"/>
        <v>0</v>
      </c>
      <c r="BB43" s="21">
        <f t="shared" ca="1" si="87"/>
        <v>0</v>
      </c>
      <c r="BC43" s="21">
        <f t="shared" ca="1" si="88"/>
        <v>0</v>
      </c>
      <c r="BD43" s="21">
        <f t="shared" ca="1" si="89"/>
        <v>0</v>
      </c>
      <c r="BE43" s="21">
        <f t="shared" ca="1" si="90"/>
        <v>0</v>
      </c>
      <c r="BF43" s="21">
        <f t="shared" ca="1" si="65"/>
        <v>0</v>
      </c>
      <c r="BG43" s="21" t="str">
        <f ca="1">IFERROR(VLOOKUP($BF43,Definitions!$V:$W,COLUMNS(Definitions!$V:$W),TRUE),"")</f>
        <v>Basic</v>
      </c>
      <c r="BH43" s="21" t="str">
        <f ca="1">_xlfn.LET(
_xlpm._comments,GetValues($K43,Mitigation!$A:$O,"","",FALSE),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43" s="21" t="str" cm="1">
        <f t="array" aca="1" ref="BI43" ca="1">_xlfn.LET(
_xlpm._rapRange,Definitions!$W:$W,
_xlpm._calculatedRAP,$BG43,
_xlpm._inlineRAP,$BH43,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43" s="21" t="str">
        <f ca="1">IFERROR(IF(OR($V43="",$BI43=""),
Definitions!$AE$4,
VLOOKUP($V43,Definitions!$AH:$AM,MATCH($BI43,Definitions!$AH$3:$AM$3,0),FALSE)),
"")</f>
        <v>No Risk</v>
      </c>
      <c r="BK43" s="21" cm="1">
        <f t="array" aca="1" ref="BK43" ca="1">IF($BJ43="",0,SimpleLookup($BJ43,Definitions!$AE:$AF))</f>
        <v>0</v>
      </c>
      <c r="BL43" s="21" t="str" cm="1">
        <f t="array" aca="1" ref="BL43" ca="1">IFERROR(SimpleLookup($A43,Tracing!$B:$Z),"")</f>
        <v/>
      </c>
      <c r="BM43" s="21" t="str" cm="1">
        <f t="array" aca="1" ref="BM43" ca="1">_xlfn.LET(_xlpm._dm,SanitizeInput(GetValuesWithFallback(SanitizeInput($BL43),Assumptions!$A:$I,Countermeasures!$A:$I,"",",",FALSE)),
IF(_xlpm._dm="","",","&amp;_xlpm._dm))</f>
        <v/>
      </c>
      <c r="BN43" s="21" t="str" cm="1">
        <f t="array" aca="1" ref="BN43" ca="1">ApplyDamageMitigation($M43,$BM43,"")</f>
        <v/>
      </c>
      <c r="BO43" s="21" cm="1">
        <f t="array" aca="1" ref="BO43" ca="1">CalculateMaxFromList($BN43,0,'Damage Scenarios'!$A:$U)</f>
        <v>0</v>
      </c>
      <c r="BP43" s="21" t="str">
        <f ca="1">IF($BO43=0,"",INDEX(Definitions!$Q:$Q,MATCH($BO43,Definitions!$R:$R,0)))</f>
        <v/>
      </c>
      <c r="BQ43" s="21" t="str" cm="1">
        <f t="array" aca="1" ref="BQ43" ca="1">CalculateMaxAndElementsWithFallback(SanitizeInput($BL43),0,"",Countermeasures!$A:Y,Assumptions!$A:Z)</f>
        <v>0:</v>
      </c>
      <c r="BR43" s="21" t="str" cm="1">
        <f t="array" aca="1" ref="BR43" ca="1">CalculateMaxAndElementsWithFallback(SanitizeInput($BL43),0,"",Countermeasures!$A:Z,Assumptions!$A:AA)</f>
        <v>0:</v>
      </c>
      <c r="BS43" s="21" t="str" cm="1">
        <f t="array" aca="1" ref="BS43" ca="1">CalculateMaxAndElementsWithFallback(SanitizeInput($BL43),0,"",Countermeasures!$A:AA,Assumptions!$A:AB)</f>
        <v>0:</v>
      </c>
      <c r="BT43" s="21" t="str" cm="1">
        <f t="array" aca="1" ref="BT43" ca="1">CalculateMaxAndElementsWithFallback(SanitizeInput($BL43),0,"",Countermeasures!$A:AB,Assumptions!$A:AC)</f>
        <v>0:</v>
      </c>
      <c r="BU43" s="21" t="str" cm="1">
        <f t="array" aca="1" ref="BU43" ca="1">CalculateMaxAndElementsWithFallback(SanitizeInput($BL43),0,"",Countermeasures!$A:AC,Assumptions!$A:AD)</f>
        <v>0:</v>
      </c>
      <c r="BV43" s="21">
        <f t="shared" ca="1" si="25"/>
        <v>0</v>
      </c>
      <c r="BW43" s="21">
        <f t="shared" ca="1" si="26"/>
        <v>0</v>
      </c>
      <c r="BX43" s="21">
        <f t="shared" ca="1" si="27"/>
        <v>0</v>
      </c>
      <c r="BY43" s="21">
        <f t="shared" ca="1" si="28"/>
        <v>0</v>
      </c>
      <c r="BZ43" s="21">
        <f t="shared" ca="1" si="29"/>
        <v>0</v>
      </c>
      <c r="CA43" s="21" t="str">
        <f t="shared" ca="1" si="30"/>
        <v>0:</v>
      </c>
      <c r="CB43" s="21" t="str">
        <f t="shared" ca="1" si="31"/>
        <v>0:</v>
      </c>
      <c r="CC43" s="21" t="str">
        <f t="shared" ca="1" si="32"/>
        <v>0:</v>
      </c>
      <c r="CD43" s="21" t="str">
        <f t="shared" ca="1" si="33"/>
        <v>0:</v>
      </c>
      <c r="CE43" s="21" t="str">
        <f t="shared" ca="1" si="34"/>
        <v>0:</v>
      </c>
      <c r="CF43" s="21">
        <f t="shared" ca="1" si="35"/>
        <v>0</v>
      </c>
      <c r="CG43" s="21">
        <f t="shared" ca="1" si="36"/>
        <v>0</v>
      </c>
      <c r="CH43" s="21">
        <f t="shared" ca="1" si="37"/>
        <v>0</v>
      </c>
      <c r="CI43" s="21">
        <f t="shared" ca="1" si="38"/>
        <v>0</v>
      </c>
      <c r="CJ43" s="21">
        <f t="shared" ca="1" si="39"/>
        <v>0</v>
      </c>
      <c r="CK43" s="21">
        <f t="shared" ca="1" si="66"/>
        <v>0</v>
      </c>
      <c r="CL43" s="21" t="str">
        <f ca="1">IFERROR(VLOOKUP($CK43,Definitions!$V:$W,COLUMNS(Definitions!$V:$W),TRUE),"")</f>
        <v>Basic</v>
      </c>
      <c r="CM43" s="21" t="str">
        <f ca="1">_xlfn.LET(
_xlpm._comments,SimpleLookup($A43,Tracing!$B:$AB),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43" s="21" t="str" cm="1">
        <f t="array" aca="1" ref="CN43" ca="1">_xlfn.LET(
_xlpm._rapRange,Definitions!$W:$W,
_xlpm._calculatedRAP,$CL43,
_xlpm._inlineRAP,$CM43,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43" s="21" t="str">
        <f ca="1">IFERROR(IF(OR($BP43="",$CN43=""),
Definitions!$AE$4,
VLOOKUP($BP43,Definitions!$AH:$AM,MATCH($CN43,Definitions!$AH$3:$AM$3,0),FALSE)),
"")</f>
        <v>No Risk</v>
      </c>
      <c r="CP43" s="21" cm="1">
        <f t="array" aca="1" ref="CP43" ca="1">IF($CO43="",0,SimpleLookup($CO43,Definitions!$AE:$AF))</f>
        <v>0</v>
      </c>
      <c r="CQ43" s="21" t="b">
        <f ca="1">OR(AND($S43,$I43=Helper!$B$7),$I43&gt;Helper!$B$7)</f>
        <v>1</v>
      </c>
      <c r="CR43" s="21" t="str">
        <f t="shared" ca="1" si="67"/>
        <v/>
      </c>
      <c r="CS43" s="21" cm="1">
        <f t="array" aca="1" ref="CS43" ca="1">CreateID($CS$2,$CV:$CV,$CR43&lt;&gt;"")</f>
        <v>0</v>
      </c>
      <c r="CT43" s="21" t="str">
        <f ca="1">IF(IFERROR(MATCH(","&amp;A43&amp;",",'Risk Treatment'!$AT:$AT,0)&gt;0,FALSE),"",$A43)</f>
        <v/>
      </c>
      <c r="CU43" s="21" cm="1">
        <f t="array" aca="1" ref="CU43" ca="1">CreateID($CU$2,$CU:$CU,$CT43&lt;&gt;"")</f>
        <v>0</v>
      </c>
    </row>
    <row r="44" spans="1:99" x14ac:dyDescent="0.25">
      <c r="A44" s="33" t="str" cm="1">
        <f t="array" aca="1" ref="A44" ca="1">IF($B44="","","R"&amp;RemoveDelimiter(SUBSTITUTE(SUBSTITUTE($K44,"AS",""),",","-"),"-"))</f>
        <v/>
      </c>
      <c r="B44" s="33" t="str" cm="1">
        <f t="array" aca="1" ref="B44" ca="1">IF($L44="","",_xlfn.LET(
_xlpm._finalAttackStep,$L44,
_xlpm._prepAttacks,RemoveFirstElement(_xlpm._finalAttackStep&amp;","&amp;$K44),
_xlpm._prepAttackNames,IFERROR(LookupNames(_xlpm._prepAttacks,'Attack Steps'!$A:$B),""),
_xlpm._delimiter,REPT(CHAR(150),55),
$L44&amp;" "&amp;SimpleLookup($L44,'Attack Steps'!$A:$B)&amp;
IF(_xlpm._prepAttackNames="","",CHAR(10)&amp;_xlpm._delimiter&amp;CHAR(10)&amp;_xlpm._prepAttackNames)))</f>
        <v/>
      </c>
      <c r="C44" s="34" t="str" cm="1">
        <f t="array" aca="1" ref="C44" ca="1">IFERROR(LookupNames($M44,'Damage Scenarios'!$A:$V),"")</f>
        <v/>
      </c>
      <c r="D44" s="33" t="str">
        <f ca="1">IFERROR(IF($T44=0,"",INDEX(Definitions!$Q:$Q,MATCH($T44,Definitions!$R:$R,0))),"")</f>
        <v/>
      </c>
      <c r="E44" s="34" t="str" cm="1">
        <f t="array" aca="1" ref="E44" ca="1">IF($A44="","",_xlfn.LET(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_xlpm._factorFunction($A44,$A:W,Definitions!$Y:$Y,Definitions!$AB:$AB,1)&amp;CHAR(10)&amp;
_xlpm._factorFunction($A44,$A:X,Definitions!$Y:$Y,Definitions!$AB:$AB,2)&amp;CHAR(10)&amp;
_xlpm._factorFunction($A44,$A:Y,Definitions!$Y:$Y,Definitions!$AB:$AB,3)&amp;CHAR(10)&amp;
_xlpm._factorFunction($A44,$A:Z,Definitions!$Y:$Y,Definitions!$AB:$AB,4)&amp;CHAR(10)&amp;
_xlpm._factorFunction($A44,$A:AA,Definitions!$Y:$Y,Definitions!$AB:$AB,5)))</f>
        <v/>
      </c>
      <c r="F44" s="33" t="str">
        <f ca="1">IF($A44="","",IFERROR(VLOOKUP($AG44,Definitions!$V:$W,COLUMNS(Definitions!$V:$W),TRUE),""))</f>
        <v/>
      </c>
      <c r="G44" s="33" t="str">
        <f ca="1">IFERROR(IF(OR($D44="",$F44=""),
"",
VLOOKUP($D44,Definitions!$AH:$AM,MATCH($F44,Definitions!$AH$3:$AM$3,0),FALSE)),
"")</f>
        <v/>
      </c>
      <c r="H44" s="23" cm="1">
        <f t="array" aca="1" ref="H44" ca="1">IF(ROW()=ROW($H$2)+1,0,INDEX($H:$H,ROW()-1))+IF($A44="",0,1)</f>
        <v>0</v>
      </c>
      <c r="I44" s="21" cm="1">
        <f t="array" aca="1" ref="I44" ca="1">IF(ROW()=ROW($I$2)+1,
1,
INDEX($I:$I,ROW()-1)+IF(INDEX($S:$S,ROW()-1),1,0))</f>
        <v>1</v>
      </c>
      <c r="J44" s="21">
        <f t="shared" ca="1" si="63"/>
        <v>42</v>
      </c>
      <c r="K44" s="21" t="str">
        <f t="shared" ca="1" si="68"/>
        <v/>
      </c>
      <c r="L44" s="21" t="str" cm="1">
        <f t="array" aca="1" ref="L44" ca="1">IF($P44="","",INDEX('Attack Steps'!$A:$A,$P44))</f>
        <v/>
      </c>
      <c r="M44" s="21" t="str" cm="1">
        <f t="array" aca="1" ref="M44" ca="1">IF($P44="","",INDEX('Attack Steps'!$T:$T,$P44))</f>
        <v/>
      </c>
      <c r="N44" s="21" t="str" cm="1">
        <f t="array" aca="1" ref="N44" ca="1">_xlfn.LET(_xlpm._dm,SanitizeInput(GetValuesWithFallback(SanitizeInput($AK44),Assumptions!$A:$I,Countermeasures!$A:$I,"",",",FALSE)),
IF(_xlpm._dm="","",","&amp;_xlpm._dm))</f>
        <v/>
      </c>
      <c r="O44" s="21" t="str" cm="1">
        <f t="array" aca="1" ref="O44" ca="1">ApplyDamageMitigation($M44,$N44,"")</f>
        <v/>
      </c>
      <c r="P44" s="21" t="str">
        <f ca="1">IFERROR(MATCH($I44,'Attack Steps'!$V:$V,0),"")</f>
        <v/>
      </c>
      <c r="Q44" s="21" t="str" cm="1">
        <f t="array" aca="1" ref="Q44" ca="1">IF($P44="","","§"&amp;INDEX('Attack Steps'!$S:$S,$P44))</f>
        <v/>
      </c>
      <c r="R44" s="21" t="str" cm="1">
        <f t="array" aca="1" ref="R44" ca="1">IF($P44="","",INDEX('Attack Steps'!$W:$W,$P44))</f>
        <v/>
      </c>
      <c r="S44" s="21" t="b">
        <f t="shared" ca="1" si="69"/>
        <v>0</v>
      </c>
      <c r="T44" s="21" cm="1">
        <f t="array" aca="1" ref="T44" ca="1">_xlfn.LAMBDA(_xlpm._in,_xlpm._val,_xlpm._range,
IF(_xlpm._in="",_xlpm._val,_xlfn.LET(
_xlpm._id,LEFT(_xlpm._in,FIND(",",_xlpm._in)-1),
CalculateMaxFromList(RemoveFirstElement(_xlpm._in),MAX(_xlpm._val,VLOOKUP(_xlpm._id,_xlpm._range,COLUMNS(_xlpm._range),FALSE)),_xlpm._range))))($M44,0,'Damage Scenarios'!$A:$U)</f>
        <v>0</v>
      </c>
      <c r="U44" s="21" cm="1">
        <f t="array" aca="1" ref="U44" ca="1">CalculateMaxFromList($O44,0,'Damage Scenarios'!$A:$U)</f>
        <v>0</v>
      </c>
      <c r="V44" s="21" t="str">
        <f ca="1">IF($U44=0,"",INDEX(Definitions!$Q:$Q,MATCH($U44,Definitions!$R:$R,0)))</f>
        <v/>
      </c>
      <c r="W44" s="21" t="str" cm="1">
        <f t="array" aca="1" ref="W44" ca="1">CalculateMaxAndElements($K44,0,"",'Attack Steps'!$A:X)</f>
        <v>0:</v>
      </c>
      <c r="X44" s="21" t="str" cm="1">
        <f t="array" aca="1" ref="X44" ca="1">CalculateMaxAndElements($K44,0,"",'Attack Steps'!$A:Y)</f>
        <v>0:</v>
      </c>
      <c r="Y44" s="21" t="str" cm="1">
        <f t="array" aca="1" ref="Y44" ca="1">CalculateMaxAndElements($K44,0,"",'Attack Steps'!$A:Z)</f>
        <v>0:</v>
      </c>
      <c r="Z44" s="21" t="str" cm="1">
        <f t="array" aca="1" ref="Z44" ca="1">CalculateMaxAndElements($K44,0,"",'Attack Steps'!$A:AA)</f>
        <v>0:</v>
      </c>
      <c r="AA44" s="21" t="str" cm="1">
        <f t="array" aca="1" ref="AA44" ca="1">CalculateMaxAndElements($K44,0,"",'Attack Steps'!$A:AB)</f>
        <v>0:</v>
      </c>
      <c r="AB44" s="21">
        <f t="shared" ca="1" si="70"/>
        <v>0</v>
      </c>
      <c r="AC44" s="21">
        <f t="shared" ca="1" si="71"/>
        <v>0</v>
      </c>
      <c r="AD44" s="21">
        <f t="shared" ca="1" si="72"/>
        <v>0</v>
      </c>
      <c r="AE44" s="21">
        <f t="shared" ca="1" si="73"/>
        <v>0</v>
      </c>
      <c r="AF44" s="21">
        <f t="shared" ca="1" si="74"/>
        <v>0</v>
      </c>
      <c r="AG44" s="21">
        <f t="shared" ca="1" si="64"/>
        <v>0</v>
      </c>
      <c r="AH44" s="21" t="str" cm="1">
        <f t="array" aca="1" ref="AH44" ca="1">IF(ROW()=ROW($AH$2)+1,"",INDEX($AH:$AH,ROW()-1))&amp;IF($A44="","",$A44&amp;",")</f>
        <v/>
      </c>
      <c r="AI44" s="21" t="str">
        <f t="shared" ca="1" si="75"/>
        <v/>
      </c>
      <c r="AJ44" s="21" cm="1">
        <f t="array" aca="1" ref="AJ44" ca="1">IF($G44="",0,SimpleLookup($G44,Definitions!$AE:$AF))</f>
        <v>0</v>
      </c>
      <c r="AK44" s="21" t="str" cm="1">
        <f t="array" aca="1" ref="AK44" ca="1">InverseLookup($A44,Mitigation!$U$2,Mitigation!$J$2,1,Helper!$B$5,",")</f>
        <v/>
      </c>
      <c r="AL44" s="21" t="str" cm="1">
        <f t="array" aca="1" ref="AL44" ca="1">CalculateMaxAndElementsWithFallback(SanitizeInput($AK44),0,"",Countermeasures!$A:Y,Assumptions!$A:Z)</f>
        <v>0:</v>
      </c>
      <c r="AM44" s="21" t="str" cm="1">
        <f t="array" aca="1" ref="AM44" ca="1">CalculateMaxAndElementsWithFallback(SanitizeInput($AK44),0,"",Countermeasures!$A:Z,Assumptions!$A:AA)</f>
        <v>0:</v>
      </c>
      <c r="AN44" s="21" t="str" cm="1">
        <f t="array" aca="1" ref="AN44" ca="1">CalculateMaxAndElementsWithFallback(SanitizeInput($AK44),0,"",Countermeasures!$A:AA,Assumptions!$A:AB)</f>
        <v>0:</v>
      </c>
      <c r="AO44" s="21" t="str" cm="1">
        <f t="array" aca="1" ref="AO44" ca="1">CalculateMaxAndElementsWithFallback(SanitizeInput($AK44),0,"",Countermeasures!$A:AB,Assumptions!$A:AC)</f>
        <v>0:</v>
      </c>
      <c r="AP44" s="21" t="str" cm="1">
        <f t="array" aca="1" ref="AP44" ca="1">CalculateMaxAndElementsWithFallback(SanitizeInput($AK44),0,"",Countermeasures!$A:AC,Assumptions!$A:AD)</f>
        <v>0:</v>
      </c>
      <c r="AQ44" s="21">
        <f t="shared" ca="1" si="76"/>
        <v>0</v>
      </c>
      <c r="AR44" s="21">
        <f t="shared" ca="1" si="77"/>
        <v>0</v>
      </c>
      <c r="AS44" s="21">
        <f t="shared" ca="1" si="78"/>
        <v>0</v>
      </c>
      <c r="AT44" s="21">
        <f t="shared" ca="1" si="79"/>
        <v>0</v>
      </c>
      <c r="AU44" s="21">
        <f t="shared" ca="1" si="80"/>
        <v>0</v>
      </c>
      <c r="AV44" s="21" t="str">
        <f t="shared" ca="1" si="81"/>
        <v>0:</v>
      </c>
      <c r="AW44" s="21" t="str">
        <f t="shared" ca="1" si="82"/>
        <v>0:</v>
      </c>
      <c r="AX44" s="21" t="str">
        <f t="shared" ca="1" si="83"/>
        <v>0:</v>
      </c>
      <c r="AY44" s="21" t="str">
        <f t="shared" ca="1" si="84"/>
        <v>0:</v>
      </c>
      <c r="AZ44" s="21" t="str">
        <f t="shared" ca="1" si="85"/>
        <v>0:</v>
      </c>
      <c r="BA44" s="21">
        <f t="shared" ca="1" si="86"/>
        <v>0</v>
      </c>
      <c r="BB44" s="21">
        <f t="shared" ca="1" si="87"/>
        <v>0</v>
      </c>
      <c r="BC44" s="21">
        <f t="shared" ca="1" si="88"/>
        <v>0</v>
      </c>
      <c r="BD44" s="21">
        <f t="shared" ca="1" si="89"/>
        <v>0</v>
      </c>
      <c r="BE44" s="21">
        <f t="shared" ca="1" si="90"/>
        <v>0</v>
      </c>
      <c r="BF44" s="21">
        <f t="shared" ca="1" si="65"/>
        <v>0</v>
      </c>
      <c r="BG44" s="21" t="str">
        <f ca="1">IFERROR(VLOOKUP($BF44,Definitions!$V:$W,COLUMNS(Definitions!$V:$W),TRUE),"")</f>
        <v>Basic</v>
      </c>
      <c r="BH44" s="21" t="str">
        <f ca="1">_xlfn.LET(
_xlpm._comments,GetValues($K44,Mitigation!$A:$O,"","",FALSE),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44" s="21" t="str" cm="1">
        <f t="array" aca="1" ref="BI44" ca="1">_xlfn.LET(
_xlpm._rapRange,Definitions!$W:$W,
_xlpm._calculatedRAP,$BG44,
_xlpm._inlineRAP,$BH44,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44" s="21" t="str">
        <f ca="1">IFERROR(IF(OR($V44="",$BI44=""),
Definitions!$AE$4,
VLOOKUP($V44,Definitions!$AH:$AM,MATCH($BI44,Definitions!$AH$3:$AM$3,0),FALSE)),
"")</f>
        <v>No Risk</v>
      </c>
      <c r="BK44" s="21" cm="1">
        <f t="array" aca="1" ref="BK44" ca="1">IF($BJ44="",0,SimpleLookup($BJ44,Definitions!$AE:$AF))</f>
        <v>0</v>
      </c>
      <c r="BL44" s="21" t="str" cm="1">
        <f t="array" aca="1" ref="BL44" ca="1">IFERROR(SimpleLookup($A44,Tracing!$B:$Z),"")</f>
        <v/>
      </c>
      <c r="BM44" s="21" t="str" cm="1">
        <f t="array" aca="1" ref="BM44" ca="1">_xlfn.LET(_xlpm._dm,SanitizeInput(GetValuesWithFallback(SanitizeInput($BL44),Assumptions!$A:$I,Countermeasures!$A:$I,"",",",FALSE)),
IF(_xlpm._dm="","",","&amp;_xlpm._dm))</f>
        <v/>
      </c>
      <c r="BN44" s="21" t="str" cm="1">
        <f t="array" aca="1" ref="BN44" ca="1">ApplyDamageMitigation($M44,$BM44,"")</f>
        <v/>
      </c>
      <c r="BO44" s="21" cm="1">
        <f t="array" aca="1" ref="BO44" ca="1">CalculateMaxFromList($BN44,0,'Damage Scenarios'!$A:$U)</f>
        <v>0</v>
      </c>
      <c r="BP44" s="21" t="str">
        <f ca="1">IF($BO44=0,"",INDEX(Definitions!$Q:$Q,MATCH($BO44,Definitions!$R:$R,0)))</f>
        <v/>
      </c>
      <c r="BQ44" s="21" t="str" cm="1">
        <f t="array" aca="1" ref="BQ44" ca="1">CalculateMaxAndElementsWithFallback(SanitizeInput($BL44),0,"",Countermeasures!$A:Y,Assumptions!$A:Z)</f>
        <v>0:</v>
      </c>
      <c r="BR44" s="21" t="str" cm="1">
        <f t="array" aca="1" ref="BR44" ca="1">CalculateMaxAndElementsWithFallback(SanitizeInput($BL44),0,"",Countermeasures!$A:Z,Assumptions!$A:AA)</f>
        <v>0:</v>
      </c>
      <c r="BS44" s="21" t="str" cm="1">
        <f t="array" aca="1" ref="BS44" ca="1">CalculateMaxAndElementsWithFallback(SanitizeInput($BL44),0,"",Countermeasures!$A:AA,Assumptions!$A:AB)</f>
        <v>0:</v>
      </c>
      <c r="BT44" s="21" t="str" cm="1">
        <f t="array" aca="1" ref="BT44" ca="1">CalculateMaxAndElementsWithFallback(SanitizeInput($BL44),0,"",Countermeasures!$A:AB,Assumptions!$A:AC)</f>
        <v>0:</v>
      </c>
      <c r="BU44" s="21" t="str" cm="1">
        <f t="array" aca="1" ref="BU44" ca="1">CalculateMaxAndElementsWithFallback(SanitizeInput($BL44),0,"",Countermeasures!$A:AC,Assumptions!$A:AD)</f>
        <v>0:</v>
      </c>
      <c r="BV44" s="21">
        <f t="shared" ca="1" si="25"/>
        <v>0</v>
      </c>
      <c r="BW44" s="21">
        <f t="shared" ca="1" si="26"/>
        <v>0</v>
      </c>
      <c r="BX44" s="21">
        <f t="shared" ca="1" si="27"/>
        <v>0</v>
      </c>
      <c r="BY44" s="21">
        <f t="shared" ca="1" si="28"/>
        <v>0</v>
      </c>
      <c r="BZ44" s="21">
        <f t="shared" ca="1" si="29"/>
        <v>0</v>
      </c>
      <c r="CA44" s="21" t="str">
        <f t="shared" ca="1" si="30"/>
        <v>0:</v>
      </c>
      <c r="CB44" s="21" t="str">
        <f t="shared" ca="1" si="31"/>
        <v>0:</v>
      </c>
      <c r="CC44" s="21" t="str">
        <f t="shared" ca="1" si="32"/>
        <v>0:</v>
      </c>
      <c r="CD44" s="21" t="str">
        <f t="shared" ca="1" si="33"/>
        <v>0:</v>
      </c>
      <c r="CE44" s="21" t="str">
        <f t="shared" ca="1" si="34"/>
        <v>0:</v>
      </c>
      <c r="CF44" s="21">
        <f t="shared" ca="1" si="35"/>
        <v>0</v>
      </c>
      <c r="CG44" s="21">
        <f t="shared" ca="1" si="36"/>
        <v>0</v>
      </c>
      <c r="CH44" s="21">
        <f t="shared" ca="1" si="37"/>
        <v>0</v>
      </c>
      <c r="CI44" s="21">
        <f t="shared" ca="1" si="38"/>
        <v>0</v>
      </c>
      <c r="CJ44" s="21">
        <f t="shared" ca="1" si="39"/>
        <v>0</v>
      </c>
      <c r="CK44" s="21">
        <f t="shared" ca="1" si="66"/>
        <v>0</v>
      </c>
      <c r="CL44" s="21" t="str">
        <f ca="1">IFERROR(VLOOKUP($CK44,Definitions!$V:$W,COLUMNS(Definitions!$V:$W),TRUE),"")</f>
        <v>Basic</v>
      </c>
      <c r="CM44" s="21" t="str">
        <f ca="1">_xlfn.LET(
_xlpm._comments,SimpleLookup($A44,Tracing!$B:$AB),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44" s="21" t="str" cm="1">
        <f t="array" aca="1" ref="CN44" ca="1">_xlfn.LET(
_xlpm._rapRange,Definitions!$W:$W,
_xlpm._calculatedRAP,$CL44,
_xlpm._inlineRAP,$CM44,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44" s="21" t="str">
        <f ca="1">IFERROR(IF(OR($BP44="",$CN44=""),
Definitions!$AE$4,
VLOOKUP($BP44,Definitions!$AH:$AM,MATCH($CN44,Definitions!$AH$3:$AM$3,0),FALSE)),
"")</f>
        <v>No Risk</v>
      </c>
      <c r="CP44" s="21" cm="1">
        <f t="array" aca="1" ref="CP44" ca="1">IF($CO44="",0,SimpleLookup($CO44,Definitions!$AE:$AF))</f>
        <v>0</v>
      </c>
      <c r="CQ44" s="21" t="b">
        <f ca="1">OR(AND($S44,$I44=Helper!$B$7),$I44&gt;Helper!$B$7)</f>
        <v>1</v>
      </c>
      <c r="CR44" s="21" t="str">
        <f t="shared" ca="1" si="67"/>
        <v/>
      </c>
      <c r="CS44" s="21" cm="1">
        <f t="array" aca="1" ref="CS44" ca="1">CreateID($CS$2,$CV:$CV,$CR44&lt;&gt;"")</f>
        <v>0</v>
      </c>
      <c r="CT44" s="21" t="str">
        <f ca="1">IF(IFERROR(MATCH(","&amp;A44&amp;",",'Risk Treatment'!$AT:$AT,0)&gt;0,FALSE),"",$A44)</f>
        <v/>
      </c>
      <c r="CU44" s="21" cm="1">
        <f t="array" aca="1" ref="CU44" ca="1">CreateID($CU$2,$CU:$CU,$CT44&lt;&gt;"")</f>
        <v>0</v>
      </c>
    </row>
    <row r="45" spans="1:99" x14ac:dyDescent="0.25">
      <c r="A45" s="33" t="str" cm="1">
        <f t="array" aca="1" ref="A45" ca="1">IF($B45="","","R"&amp;RemoveDelimiter(SUBSTITUTE(SUBSTITUTE($K45,"AS",""),",","-"),"-"))</f>
        <v/>
      </c>
      <c r="B45" s="33" t="str" cm="1">
        <f t="array" aca="1" ref="B45" ca="1">IF($L45="","",_xlfn.LET(
_xlpm._finalAttackStep,$L45,
_xlpm._prepAttacks,RemoveFirstElement(_xlpm._finalAttackStep&amp;","&amp;$K45),
_xlpm._prepAttackNames,IFERROR(LookupNames(_xlpm._prepAttacks,'Attack Steps'!$A:$B),""),
_xlpm._delimiter,REPT(CHAR(150),55),
$L45&amp;" "&amp;SimpleLookup($L45,'Attack Steps'!$A:$B)&amp;
IF(_xlpm._prepAttackNames="","",CHAR(10)&amp;_xlpm._delimiter&amp;CHAR(10)&amp;_xlpm._prepAttackNames)))</f>
        <v/>
      </c>
      <c r="C45" s="34" t="str" cm="1">
        <f t="array" aca="1" ref="C45" ca="1">IFERROR(LookupNames($M45,'Damage Scenarios'!$A:$V),"")</f>
        <v/>
      </c>
      <c r="D45" s="33" t="str">
        <f ca="1">IFERROR(IF($T45=0,"",INDEX(Definitions!$Q:$Q,MATCH($T45,Definitions!$R:$R,0))),"")</f>
        <v/>
      </c>
      <c r="E45" s="34" t="str" cm="1">
        <f t="array" aca="1" ref="E45" ca="1">IF($A45="","",_xlfn.LET(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_xlpm._factorFunction($A45,$A:W,Definitions!$Y:$Y,Definitions!$AB:$AB,1)&amp;CHAR(10)&amp;
_xlpm._factorFunction($A45,$A:X,Definitions!$Y:$Y,Definitions!$AB:$AB,2)&amp;CHAR(10)&amp;
_xlpm._factorFunction($A45,$A:Y,Definitions!$Y:$Y,Definitions!$AB:$AB,3)&amp;CHAR(10)&amp;
_xlpm._factorFunction($A45,$A:Z,Definitions!$Y:$Y,Definitions!$AB:$AB,4)&amp;CHAR(10)&amp;
_xlpm._factorFunction($A45,$A:AA,Definitions!$Y:$Y,Definitions!$AB:$AB,5)))</f>
        <v/>
      </c>
      <c r="F45" s="33" t="str">
        <f ca="1">IF($A45="","",IFERROR(VLOOKUP($AG45,Definitions!$V:$W,COLUMNS(Definitions!$V:$W),TRUE),""))</f>
        <v/>
      </c>
      <c r="G45" s="33" t="str">
        <f ca="1">IFERROR(IF(OR($D45="",$F45=""),
"",
VLOOKUP($D45,Definitions!$AH:$AM,MATCH($F45,Definitions!$AH$3:$AM$3,0),FALSE)),
"")</f>
        <v/>
      </c>
      <c r="H45" s="23" cm="1">
        <f t="array" aca="1" ref="H45" ca="1">IF(ROW()=ROW($H$2)+1,0,INDEX($H:$H,ROW()-1))+IF($A45="",0,1)</f>
        <v>0</v>
      </c>
      <c r="I45" s="21" cm="1">
        <f t="array" aca="1" ref="I45" ca="1">IF(ROW()=ROW($I$2)+1,
1,
INDEX($I:$I,ROW()-1)+IF(INDEX($S:$S,ROW()-1),1,0))</f>
        <v>1</v>
      </c>
      <c r="J45" s="21">
        <f t="shared" ca="1" si="63"/>
        <v>43</v>
      </c>
      <c r="K45" s="21" t="str">
        <f t="shared" ca="1" si="68"/>
        <v/>
      </c>
      <c r="L45" s="21" t="str" cm="1">
        <f t="array" aca="1" ref="L45" ca="1">IF($P45="","",INDEX('Attack Steps'!$A:$A,$P45))</f>
        <v/>
      </c>
      <c r="M45" s="21" t="str" cm="1">
        <f t="array" aca="1" ref="M45" ca="1">IF($P45="","",INDEX('Attack Steps'!$T:$T,$P45))</f>
        <v/>
      </c>
      <c r="N45" s="21" t="str" cm="1">
        <f t="array" aca="1" ref="N45" ca="1">_xlfn.LET(_xlpm._dm,SanitizeInput(GetValuesWithFallback(SanitizeInput($AK45),Assumptions!$A:$I,Countermeasures!$A:$I,"",",",FALSE)),
IF(_xlpm._dm="","",","&amp;_xlpm._dm))</f>
        <v/>
      </c>
      <c r="O45" s="21" t="str" cm="1">
        <f t="array" aca="1" ref="O45" ca="1">ApplyDamageMitigation($M45,$N45,"")</f>
        <v/>
      </c>
      <c r="P45" s="21" t="str">
        <f ca="1">IFERROR(MATCH($I45,'Attack Steps'!$V:$V,0),"")</f>
        <v/>
      </c>
      <c r="Q45" s="21" t="str" cm="1">
        <f t="array" aca="1" ref="Q45" ca="1">IF($P45="","","§"&amp;INDEX('Attack Steps'!$S:$S,$P45))</f>
        <v/>
      </c>
      <c r="R45" s="21" t="str" cm="1">
        <f t="array" aca="1" ref="R45" ca="1">IF($P45="","",INDEX('Attack Steps'!$W:$W,$P45))</f>
        <v/>
      </c>
      <c r="S45" s="21" t="b">
        <f t="shared" ca="1" si="69"/>
        <v>0</v>
      </c>
      <c r="T45" s="21" cm="1">
        <f t="array" aca="1" ref="T45" ca="1">_xlfn.LAMBDA(_xlpm._in,_xlpm._val,_xlpm._range,
IF(_xlpm._in="",_xlpm._val,_xlfn.LET(
_xlpm._id,LEFT(_xlpm._in,FIND(",",_xlpm._in)-1),
CalculateMaxFromList(RemoveFirstElement(_xlpm._in),MAX(_xlpm._val,VLOOKUP(_xlpm._id,_xlpm._range,COLUMNS(_xlpm._range),FALSE)),_xlpm._range))))($M45,0,'Damage Scenarios'!$A:$U)</f>
        <v>0</v>
      </c>
      <c r="U45" s="21" cm="1">
        <f t="array" aca="1" ref="U45" ca="1">CalculateMaxFromList($O45,0,'Damage Scenarios'!$A:$U)</f>
        <v>0</v>
      </c>
      <c r="V45" s="21" t="str">
        <f ca="1">IF($U45=0,"",INDEX(Definitions!$Q:$Q,MATCH($U45,Definitions!$R:$R,0)))</f>
        <v/>
      </c>
      <c r="W45" s="21" t="str" cm="1">
        <f t="array" aca="1" ref="W45" ca="1">CalculateMaxAndElements($K45,0,"",'Attack Steps'!$A:X)</f>
        <v>0:</v>
      </c>
      <c r="X45" s="21" t="str" cm="1">
        <f t="array" aca="1" ref="X45" ca="1">CalculateMaxAndElements($K45,0,"",'Attack Steps'!$A:Y)</f>
        <v>0:</v>
      </c>
      <c r="Y45" s="21" t="str" cm="1">
        <f t="array" aca="1" ref="Y45" ca="1">CalculateMaxAndElements($K45,0,"",'Attack Steps'!$A:Z)</f>
        <v>0:</v>
      </c>
      <c r="Z45" s="21" t="str" cm="1">
        <f t="array" aca="1" ref="Z45" ca="1">CalculateMaxAndElements($K45,0,"",'Attack Steps'!$A:AA)</f>
        <v>0:</v>
      </c>
      <c r="AA45" s="21" t="str" cm="1">
        <f t="array" aca="1" ref="AA45" ca="1">CalculateMaxAndElements($K45,0,"",'Attack Steps'!$A:AB)</f>
        <v>0:</v>
      </c>
      <c r="AB45" s="21">
        <f t="shared" ca="1" si="70"/>
        <v>0</v>
      </c>
      <c r="AC45" s="21">
        <f t="shared" ca="1" si="71"/>
        <v>0</v>
      </c>
      <c r="AD45" s="21">
        <f t="shared" ca="1" si="72"/>
        <v>0</v>
      </c>
      <c r="AE45" s="21">
        <f t="shared" ca="1" si="73"/>
        <v>0</v>
      </c>
      <c r="AF45" s="21">
        <f t="shared" ca="1" si="74"/>
        <v>0</v>
      </c>
      <c r="AG45" s="21">
        <f t="shared" ca="1" si="64"/>
        <v>0</v>
      </c>
      <c r="AH45" s="21" t="str" cm="1">
        <f t="array" aca="1" ref="AH45" ca="1">IF(ROW()=ROW($AH$2)+1,"",INDEX($AH:$AH,ROW()-1))&amp;IF($A45="","",$A45&amp;",")</f>
        <v/>
      </c>
      <c r="AI45" s="21" t="str">
        <f t="shared" ca="1" si="75"/>
        <v/>
      </c>
      <c r="AJ45" s="21" cm="1">
        <f t="array" aca="1" ref="AJ45" ca="1">IF($G45="",0,SimpleLookup($G45,Definitions!$AE:$AF))</f>
        <v>0</v>
      </c>
      <c r="AK45" s="21" t="str" cm="1">
        <f t="array" aca="1" ref="AK45" ca="1">InverseLookup($A45,Mitigation!$U$2,Mitigation!$J$2,1,Helper!$B$5,",")</f>
        <v/>
      </c>
      <c r="AL45" s="21" t="str" cm="1">
        <f t="array" aca="1" ref="AL45" ca="1">CalculateMaxAndElementsWithFallback(SanitizeInput($AK45),0,"",Countermeasures!$A:Y,Assumptions!$A:Z)</f>
        <v>0:</v>
      </c>
      <c r="AM45" s="21" t="str" cm="1">
        <f t="array" aca="1" ref="AM45" ca="1">CalculateMaxAndElementsWithFallback(SanitizeInput($AK45),0,"",Countermeasures!$A:Z,Assumptions!$A:AA)</f>
        <v>0:</v>
      </c>
      <c r="AN45" s="21" t="str" cm="1">
        <f t="array" aca="1" ref="AN45" ca="1">CalculateMaxAndElementsWithFallback(SanitizeInput($AK45),0,"",Countermeasures!$A:AA,Assumptions!$A:AB)</f>
        <v>0:</v>
      </c>
      <c r="AO45" s="21" t="str" cm="1">
        <f t="array" aca="1" ref="AO45" ca="1">CalculateMaxAndElementsWithFallback(SanitizeInput($AK45),0,"",Countermeasures!$A:AB,Assumptions!$A:AC)</f>
        <v>0:</v>
      </c>
      <c r="AP45" s="21" t="str" cm="1">
        <f t="array" aca="1" ref="AP45" ca="1">CalculateMaxAndElementsWithFallback(SanitizeInput($AK45),0,"",Countermeasures!$A:AC,Assumptions!$A:AD)</f>
        <v>0:</v>
      </c>
      <c r="AQ45" s="21">
        <f t="shared" ca="1" si="76"/>
        <v>0</v>
      </c>
      <c r="AR45" s="21">
        <f t="shared" ca="1" si="77"/>
        <v>0</v>
      </c>
      <c r="AS45" s="21">
        <f t="shared" ca="1" si="78"/>
        <v>0</v>
      </c>
      <c r="AT45" s="21">
        <f t="shared" ca="1" si="79"/>
        <v>0</v>
      </c>
      <c r="AU45" s="21">
        <f t="shared" ca="1" si="80"/>
        <v>0</v>
      </c>
      <c r="AV45" s="21" t="str">
        <f t="shared" ca="1" si="81"/>
        <v>0:</v>
      </c>
      <c r="AW45" s="21" t="str">
        <f t="shared" ca="1" si="82"/>
        <v>0:</v>
      </c>
      <c r="AX45" s="21" t="str">
        <f t="shared" ca="1" si="83"/>
        <v>0:</v>
      </c>
      <c r="AY45" s="21" t="str">
        <f t="shared" ca="1" si="84"/>
        <v>0:</v>
      </c>
      <c r="AZ45" s="21" t="str">
        <f t="shared" ca="1" si="85"/>
        <v>0:</v>
      </c>
      <c r="BA45" s="21">
        <f t="shared" ca="1" si="86"/>
        <v>0</v>
      </c>
      <c r="BB45" s="21">
        <f t="shared" ca="1" si="87"/>
        <v>0</v>
      </c>
      <c r="BC45" s="21">
        <f t="shared" ca="1" si="88"/>
        <v>0</v>
      </c>
      <c r="BD45" s="21">
        <f t="shared" ca="1" si="89"/>
        <v>0</v>
      </c>
      <c r="BE45" s="21">
        <f t="shared" ca="1" si="90"/>
        <v>0</v>
      </c>
      <c r="BF45" s="21">
        <f t="shared" ca="1" si="65"/>
        <v>0</v>
      </c>
      <c r="BG45" s="21" t="str">
        <f ca="1">IFERROR(VLOOKUP($BF45,Definitions!$V:$W,COLUMNS(Definitions!$V:$W),TRUE),"")</f>
        <v>Basic</v>
      </c>
      <c r="BH45" s="21" t="str">
        <f ca="1">_xlfn.LET(
_xlpm._comments,GetValues($K45,Mitigation!$A:$O,"","",FALSE),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45" s="21" t="str" cm="1">
        <f t="array" aca="1" ref="BI45" ca="1">_xlfn.LET(
_xlpm._rapRange,Definitions!$W:$W,
_xlpm._calculatedRAP,$BG45,
_xlpm._inlineRAP,$BH45,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45" s="21" t="str">
        <f ca="1">IFERROR(IF(OR($V45="",$BI45=""),
Definitions!$AE$4,
VLOOKUP($V45,Definitions!$AH:$AM,MATCH($BI45,Definitions!$AH$3:$AM$3,0),FALSE)),
"")</f>
        <v>No Risk</v>
      </c>
      <c r="BK45" s="21" cm="1">
        <f t="array" aca="1" ref="BK45" ca="1">IF($BJ45="",0,SimpleLookup($BJ45,Definitions!$AE:$AF))</f>
        <v>0</v>
      </c>
      <c r="BL45" s="21" t="str" cm="1">
        <f t="array" aca="1" ref="BL45" ca="1">IFERROR(SimpleLookup($A45,Tracing!$B:$Z),"")</f>
        <v/>
      </c>
      <c r="BM45" s="21" t="str" cm="1">
        <f t="array" aca="1" ref="BM45" ca="1">_xlfn.LET(_xlpm._dm,SanitizeInput(GetValuesWithFallback(SanitizeInput($BL45),Assumptions!$A:$I,Countermeasures!$A:$I,"",",",FALSE)),
IF(_xlpm._dm="","",","&amp;_xlpm._dm))</f>
        <v/>
      </c>
      <c r="BN45" s="21" t="str" cm="1">
        <f t="array" aca="1" ref="BN45" ca="1">ApplyDamageMitigation($M45,$BM45,"")</f>
        <v/>
      </c>
      <c r="BO45" s="21" cm="1">
        <f t="array" aca="1" ref="BO45" ca="1">CalculateMaxFromList($BN45,0,'Damage Scenarios'!$A:$U)</f>
        <v>0</v>
      </c>
      <c r="BP45" s="21" t="str">
        <f ca="1">IF($BO45=0,"",INDEX(Definitions!$Q:$Q,MATCH($BO45,Definitions!$R:$R,0)))</f>
        <v/>
      </c>
      <c r="BQ45" s="21" t="str" cm="1">
        <f t="array" aca="1" ref="BQ45" ca="1">CalculateMaxAndElementsWithFallback(SanitizeInput($BL45),0,"",Countermeasures!$A:Y,Assumptions!$A:Z)</f>
        <v>0:</v>
      </c>
      <c r="BR45" s="21" t="str" cm="1">
        <f t="array" aca="1" ref="BR45" ca="1">CalculateMaxAndElementsWithFallback(SanitizeInput($BL45),0,"",Countermeasures!$A:Z,Assumptions!$A:AA)</f>
        <v>0:</v>
      </c>
      <c r="BS45" s="21" t="str" cm="1">
        <f t="array" aca="1" ref="BS45" ca="1">CalculateMaxAndElementsWithFallback(SanitizeInput($BL45),0,"",Countermeasures!$A:AA,Assumptions!$A:AB)</f>
        <v>0:</v>
      </c>
      <c r="BT45" s="21" t="str" cm="1">
        <f t="array" aca="1" ref="BT45" ca="1">CalculateMaxAndElementsWithFallback(SanitizeInput($BL45),0,"",Countermeasures!$A:AB,Assumptions!$A:AC)</f>
        <v>0:</v>
      </c>
      <c r="BU45" s="21" t="str" cm="1">
        <f t="array" aca="1" ref="BU45" ca="1">CalculateMaxAndElementsWithFallback(SanitizeInput($BL45),0,"",Countermeasures!$A:AC,Assumptions!$A:AD)</f>
        <v>0:</v>
      </c>
      <c r="BV45" s="21">
        <f t="shared" ca="1" si="25"/>
        <v>0</v>
      </c>
      <c r="BW45" s="21">
        <f t="shared" ca="1" si="26"/>
        <v>0</v>
      </c>
      <c r="BX45" s="21">
        <f t="shared" ca="1" si="27"/>
        <v>0</v>
      </c>
      <c r="BY45" s="21">
        <f t="shared" ca="1" si="28"/>
        <v>0</v>
      </c>
      <c r="BZ45" s="21">
        <f t="shared" ca="1" si="29"/>
        <v>0</v>
      </c>
      <c r="CA45" s="21" t="str">
        <f t="shared" ca="1" si="30"/>
        <v>0:</v>
      </c>
      <c r="CB45" s="21" t="str">
        <f t="shared" ca="1" si="31"/>
        <v>0:</v>
      </c>
      <c r="CC45" s="21" t="str">
        <f t="shared" ca="1" si="32"/>
        <v>0:</v>
      </c>
      <c r="CD45" s="21" t="str">
        <f t="shared" ca="1" si="33"/>
        <v>0:</v>
      </c>
      <c r="CE45" s="21" t="str">
        <f t="shared" ca="1" si="34"/>
        <v>0:</v>
      </c>
      <c r="CF45" s="21">
        <f t="shared" ca="1" si="35"/>
        <v>0</v>
      </c>
      <c r="CG45" s="21">
        <f t="shared" ca="1" si="36"/>
        <v>0</v>
      </c>
      <c r="CH45" s="21">
        <f t="shared" ca="1" si="37"/>
        <v>0</v>
      </c>
      <c r="CI45" s="21">
        <f t="shared" ca="1" si="38"/>
        <v>0</v>
      </c>
      <c r="CJ45" s="21">
        <f t="shared" ca="1" si="39"/>
        <v>0</v>
      </c>
      <c r="CK45" s="21">
        <f t="shared" ca="1" si="66"/>
        <v>0</v>
      </c>
      <c r="CL45" s="21" t="str">
        <f ca="1">IFERROR(VLOOKUP($CK45,Definitions!$V:$W,COLUMNS(Definitions!$V:$W),TRUE),"")</f>
        <v>Basic</v>
      </c>
      <c r="CM45" s="21" t="str">
        <f ca="1">_xlfn.LET(
_xlpm._comments,SimpleLookup($A45,Tracing!$B:$AB),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45" s="21" t="str" cm="1">
        <f t="array" aca="1" ref="CN45" ca="1">_xlfn.LET(
_xlpm._rapRange,Definitions!$W:$W,
_xlpm._calculatedRAP,$CL45,
_xlpm._inlineRAP,$CM45,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45" s="21" t="str">
        <f ca="1">IFERROR(IF(OR($BP45="",$CN45=""),
Definitions!$AE$4,
VLOOKUP($BP45,Definitions!$AH:$AM,MATCH($CN45,Definitions!$AH$3:$AM$3,0),FALSE)),
"")</f>
        <v>No Risk</v>
      </c>
      <c r="CP45" s="21" cm="1">
        <f t="array" aca="1" ref="CP45" ca="1">IF($CO45="",0,SimpleLookup($CO45,Definitions!$AE:$AF))</f>
        <v>0</v>
      </c>
      <c r="CQ45" s="21" t="b">
        <f ca="1">OR(AND($S45,$I45=Helper!$B$7),$I45&gt;Helper!$B$7)</f>
        <v>1</v>
      </c>
      <c r="CR45" s="21" t="str">
        <f t="shared" ca="1" si="67"/>
        <v/>
      </c>
      <c r="CS45" s="21" cm="1">
        <f t="array" aca="1" ref="CS45" ca="1">CreateID($CS$2,$CV:$CV,$CR45&lt;&gt;"")</f>
        <v>0</v>
      </c>
      <c r="CT45" s="21" t="str">
        <f ca="1">IF(IFERROR(MATCH(","&amp;A45&amp;",",'Risk Treatment'!$AT:$AT,0)&gt;0,FALSE),"",$A45)</f>
        <v/>
      </c>
      <c r="CU45" s="21" cm="1">
        <f t="array" aca="1" ref="CU45" ca="1">CreateID($CU$2,$CU:$CU,$CT45&lt;&gt;"")</f>
        <v>0</v>
      </c>
    </row>
    <row r="46" spans="1:99" x14ac:dyDescent="0.25">
      <c r="A46" s="33" t="str" cm="1">
        <f t="array" aca="1" ref="A46" ca="1">IF($B46="","","R"&amp;RemoveDelimiter(SUBSTITUTE(SUBSTITUTE($K46,"AS",""),",","-"),"-"))</f>
        <v/>
      </c>
      <c r="B46" s="33" t="str" cm="1">
        <f t="array" aca="1" ref="B46" ca="1">IF($L46="","",_xlfn.LET(
_xlpm._finalAttackStep,$L46,
_xlpm._prepAttacks,RemoveFirstElement(_xlpm._finalAttackStep&amp;","&amp;$K46),
_xlpm._prepAttackNames,IFERROR(LookupNames(_xlpm._prepAttacks,'Attack Steps'!$A:$B),""),
_xlpm._delimiter,REPT(CHAR(150),55),
$L46&amp;" "&amp;SimpleLookup($L46,'Attack Steps'!$A:$B)&amp;
IF(_xlpm._prepAttackNames="","",CHAR(10)&amp;_xlpm._delimiter&amp;CHAR(10)&amp;_xlpm._prepAttackNames)))</f>
        <v/>
      </c>
      <c r="C46" s="34" t="str" cm="1">
        <f t="array" aca="1" ref="C46" ca="1">IFERROR(LookupNames($M46,'Damage Scenarios'!$A:$V),"")</f>
        <v/>
      </c>
      <c r="D46" s="33" t="str">
        <f ca="1">IFERROR(IF($T46=0,"",INDEX(Definitions!$Q:$Q,MATCH($T46,Definitions!$R:$R,0))),"")</f>
        <v/>
      </c>
      <c r="E46" s="34" t="str" cm="1">
        <f t="array" aca="1" ref="E46" ca="1">IF($A46="","",_xlfn.LET(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_xlpm._factorFunction($A46,$A:W,Definitions!$Y:$Y,Definitions!$AB:$AB,1)&amp;CHAR(10)&amp;
_xlpm._factorFunction($A46,$A:X,Definitions!$Y:$Y,Definitions!$AB:$AB,2)&amp;CHAR(10)&amp;
_xlpm._factorFunction($A46,$A:Y,Definitions!$Y:$Y,Definitions!$AB:$AB,3)&amp;CHAR(10)&amp;
_xlpm._factorFunction($A46,$A:Z,Definitions!$Y:$Y,Definitions!$AB:$AB,4)&amp;CHAR(10)&amp;
_xlpm._factorFunction($A46,$A:AA,Definitions!$Y:$Y,Definitions!$AB:$AB,5)))</f>
        <v/>
      </c>
      <c r="F46" s="33" t="str">
        <f ca="1">IF($A46="","",IFERROR(VLOOKUP($AG46,Definitions!$V:$W,COLUMNS(Definitions!$V:$W),TRUE),""))</f>
        <v/>
      </c>
      <c r="G46" s="33" t="str">
        <f ca="1">IFERROR(IF(OR($D46="",$F46=""),
"",
VLOOKUP($D46,Definitions!$AH:$AM,MATCH($F46,Definitions!$AH$3:$AM$3,0),FALSE)),
"")</f>
        <v/>
      </c>
      <c r="H46" s="23" cm="1">
        <f t="array" aca="1" ref="H46" ca="1">IF(ROW()=ROW($H$2)+1,0,INDEX($H:$H,ROW()-1))+IF($A46="",0,1)</f>
        <v>0</v>
      </c>
      <c r="I46" s="21" cm="1">
        <f t="array" aca="1" ref="I46" ca="1">IF(ROW()=ROW($I$2)+1,
1,
INDEX($I:$I,ROW()-1)+IF(INDEX($S:$S,ROW()-1),1,0))</f>
        <v>1</v>
      </c>
      <c r="J46" s="21">
        <f t="shared" ca="1" si="63"/>
        <v>44</v>
      </c>
      <c r="K46" s="21" t="str">
        <f t="shared" ca="1" si="68"/>
        <v/>
      </c>
      <c r="L46" s="21" t="str" cm="1">
        <f t="array" aca="1" ref="L46" ca="1">IF($P46="","",INDEX('Attack Steps'!$A:$A,$P46))</f>
        <v/>
      </c>
      <c r="M46" s="21" t="str" cm="1">
        <f t="array" aca="1" ref="M46" ca="1">IF($P46="","",INDEX('Attack Steps'!$T:$T,$P46))</f>
        <v/>
      </c>
      <c r="N46" s="21" t="str" cm="1">
        <f t="array" aca="1" ref="N46" ca="1">_xlfn.LET(_xlpm._dm,SanitizeInput(GetValuesWithFallback(SanitizeInput($AK46),Assumptions!$A:$I,Countermeasures!$A:$I,"",",",FALSE)),
IF(_xlpm._dm="","",","&amp;_xlpm._dm))</f>
        <v/>
      </c>
      <c r="O46" s="21" t="str" cm="1">
        <f t="array" aca="1" ref="O46" ca="1">ApplyDamageMitigation($M46,$N46,"")</f>
        <v/>
      </c>
      <c r="P46" s="21" t="str">
        <f ca="1">IFERROR(MATCH($I46,'Attack Steps'!$V:$V,0),"")</f>
        <v/>
      </c>
      <c r="Q46" s="21" t="str" cm="1">
        <f t="array" aca="1" ref="Q46" ca="1">IF($P46="","","§"&amp;INDEX('Attack Steps'!$S:$S,$P46))</f>
        <v/>
      </c>
      <c r="R46" s="21" t="str" cm="1">
        <f t="array" aca="1" ref="R46" ca="1">IF($P46="","",INDEX('Attack Steps'!$W:$W,$P46))</f>
        <v/>
      </c>
      <c r="S46" s="21" t="b">
        <f t="shared" ca="1" si="69"/>
        <v>0</v>
      </c>
      <c r="T46" s="21" cm="1">
        <f t="array" aca="1" ref="T46" ca="1">_xlfn.LAMBDA(_xlpm._in,_xlpm._val,_xlpm._range,
IF(_xlpm._in="",_xlpm._val,_xlfn.LET(
_xlpm._id,LEFT(_xlpm._in,FIND(",",_xlpm._in)-1),
CalculateMaxFromList(RemoveFirstElement(_xlpm._in),MAX(_xlpm._val,VLOOKUP(_xlpm._id,_xlpm._range,COLUMNS(_xlpm._range),FALSE)),_xlpm._range))))($M46,0,'Damage Scenarios'!$A:$U)</f>
        <v>0</v>
      </c>
      <c r="U46" s="21" cm="1">
        <f t="array" aca="1" ref="U46" ca="1">CalculateMaxFromList($O46,0,'Damage Scenarios'!$A:$U)</f>
        <v>0</v>
      </c>
      <c r="V46" s="21" t="str">
        <f ca="1">IF($U46=0,"",INDEX(Definitions!$Q:$Q,MATCH($U46,Definitions!$R:$R,0)))</f>
        <v/>
      </c>
      <c r="W46" s="21" t="str" cm="1">
        <f t="array" aca="1" ref="W46" ca="1">CalculateMaxAndElements($K46,0,"",'Attack Steps'!$A:X)</f>
        <v>0:</v>
      </c>
      <c r="X46" s="21" t="str" cm="1">
        <f t="array" aca="1" ref="X46" ca="1">CalculateMaxAndElements($K46,0,"",'Attack Steps'!$A:Y)</f>
        <v>0:</v>
      </c>
      <c r="Y46" s="21" t="str" cm="1">
        <f t="array" aca="1" ref="Y46" ca="1">CalculateMaxAndElements($K46,0,"",'Attack Steps'!$A:Z)</f>
        <v>0:</v>
      </c>
      <c r="Z46" s="21" t="str" cm="1">
        <f t="array" aca="1" ref="Z46" ca="1">CalculateMaxAndElements($K46,0,"",'Attack Steps'!$A:AA)</f>
        <v>0:</v>
      </c>
      <c r="AA46" s="21" t="str" cm="1">
        <f t="array" aca="1" ref="AA46" ca="1">CalculateMaxAndElements($K46,0,"",'Attack Steps'!$A:AB)</f>
        <v>0:</v>
      </c>
      <c r="AB46" s="21">
        <f t="shared" ca="1" si="70"/>
        <v>0</v>
      </c>
      <c r="AC46" s="21">
        <f t="shared" ca="1" si="71"/>
        <v>0</v>
      </c>
      <c r="AD46" s="21">
        <f t="shared" ca="1" si="72"/>
        <v>0</v>
      </c>
      <c r="AE46" s="21">
        <f t="shared" ca="1" si="73"/>
        <v>0</v>
      </c>
      <c r="AF46" s="21">
        <f t="shared" ca="1" si="74"/>
        <v>0</v>
      </c>
      <c r="AG46" s="21">
        <f t="shared" ca="1" si="64"/>
        <v>0</v>
      </c>
      <c r="AH46" s="21" t="str" cm="1">
        <f t="array" aca="1" ref="AH46" ca="1">IF(ROW()=ROW($AH$2)+1,"",INDEX($AH:$AH,ROW()-1))&amp;IF($A46="","",$A46&amp;",")</f>
        <v/>
      </c>
      <c r="AI46" s="21" t="str">
        <f t="shared" ca="1" si="75"/>
        <v/>
      </c>
      <c r="AJ46" s="21" cm="1">
        <f t="array" aca="1" ref="AJ46" ca="1">IF($G46="",0,SimpleLookup($G46,Definitions!$AE:$AF))</f>
        <v>0</v>
      </c>
      <c r="AK46" s="21" t="str" cm="1">
        <f t="array" aca="1" ref="AK46" ca="1">InverseLookup($A46,Mitigation!$U$2,Mitigation!$J$2,1,Helper!$B$5,",")</f>
        <v/>
      </c>
      <c r="AL46" s="21" t="str" cm="1">
        <f t="array" aca="1" ref="AL46" ca="1">CalculateMaxAndElementsWithFallback(SanitizeInput($AK46),0,"",Countermeasures!$A:Y,Assumptions!$A:Z)</f>
        <v>0:</v>
      </c>
      <c r="AM46" s="21" t="str" cm="1">
        <f t="array" aca="1" ref="AM46" ca="1">CalculateMaxAndElementsWithFallback(SanitizeInput($AK46),0,"",Countermeasures!$A:Z,Assumptions!$A:AA)</f>
        <v>0:</v>
      </c>
      <c r="AN46" s="21" t="str" cm="1">
        <f t="array" aca="1" ref="AN46" ca="1">CalculateMaxAndElementsWithFallback(SanitizeInput($AK46),0,"",Countermeasures!$A:AA,Assumptions!$A:AB)</f>
        <v>0:</v>
      </c>
      <c r="AO46" s="21" t="str" cm="1">
        <f t="array" aca="1" ref="AO46" ca="1">CalculateMaxAndElementsWithFallback(SanitizeInput($AK46),0,"",Countermeasures!$A:AB,Assumptions!$A:AC)</f>
        <v>0:</v>
      </c>
      <c r="AP46" s="21" t="str" cm="1">
        <f t="array" aca="1" ref="AP46" ca="1">CalculateMaxAndElementsWithFallback(SanitizeInput($AK46),0,"",Countermeasures!$A:AC,Assumptions!$A:AD)</f>
        <v>0:</v>
      </c>
      <c r="AQ46" s="21">
        <f t="shared" ca="1" si="76"/>
        <v>0</v>
      </c>
      <c r="AR46" s="21">
        <f t="shared" ca="1" si="77"/>
        <v>0</v>
      </c>
      <c r="AS46" s="21">
        <f t="shared" ca="1" si="78"/>
        <v>0</v>
      </c>
      <c r="AT46" s="21">
        <f t="shared" ca="1" si="79"/>
        <v>0</v>
      </c>
      <c r="AU46" s="21">
        <f t="shared" ca="1" si="80"/>
        <v>0</v>
      </c>
      <c r="AV46" s="21" t="str">
        <f t="shared" ca="1" si="81"/>
        <v>0:</v>
      </c>
      <c r="AW46" s="21" t="str">
        <f t="shared" ca="1" si="82"/>
        <v>0:</v>
      </c>
      <c r="AX46" s="21" t="str">
        <f t="shared" ca="1" si="83"/>
        <v>0:</v>
      </c>
      <c r="AY46" s="21" t="str">
        <f t="shared" ca="1" si="84"/>
        <v>0:</v>
      </c>
      <c r="AZ46" s="21" t="str">
        <f t="shared" ca="1" si="85"/>
        <v>0:</v>
      </c>
      <c r="BA46" s="21">
        <f t="shared" ca="1" si="86"/>
        <v>0</v>
      </c>
      <c r="BB46" s="21">
        <f t="shared" ca="1" si="87"/>
        <v>0</v>
      </c>
      <c r="BC46" s="21">
        <f t="shared" ca="1" si="88"/>
        <v>0</v>
      </c>
      <c r="BD46" s="21">
        <f t="shared" ca="1" si="89"/>
        <v>0</v>
      </c>
      <c r="BE46" s="21">
        <f t="shared" ca="1" si="90"/>
        <v>0</v>
      </c>
      <c r="BF46" s="21">
        <f t="shared" ca="1" si="65"/>
        <v>0</v>
      </c>
      <c r="BG46" s="21" t="str">
        <f ca="1">IFERROR(VLOOKUP($BF46,Definitions!$V:$W,COLUMNS(Definitions!$V:$W),TRUE),"")</f>
        <v>Basic</v>
      </c>
      <c r="BH46" s="21" t="str">
        <f ca="1">_xlfn.LET(
_xlpm._comments,GetValues($K46,Mitigation!$A:$O,"","",FALSE),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46" s="21" t="str" cm="1">
        <f t="array" aca="1" ref="BI46" ca="1">_xlfn.LET(
_xlpm._rapRange,Definitions!$W:$W,
_xlpm._calculatedRAP,$BG46,
_xlpm._inlineRAP,$BH46,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46" s="21" t="str">
        <f ca="1">IFERROR(IF(OR($V46="",$BI46=""),
Definitions!$AE$4,
VLOOKUP($V46,Definitions!$AH:$AM,MATCH($BI46,Definitions!$AH$3:$AM$3,0),FALSE)),
"")</f>
        <v>No Risk</v>
      </c>
      <c r="BK46" s="21" cm="1">
        <f t="array" aca="1" ref="BK46" ca="1">IF($BJ46="",0,SimpleLookup($BJ46,Definitions!$AE:$AF))</f>
        <v>0</v>
      </c>
      <c r="BL46" s="21" t="str" cm="1">
        <f t="array" aca="1" ref="BL46" ca="1">IFERROR(SimpleLookup($A46,Tracing!$B:$Z),"")</f>
        <v/>
      </c>
      <c r="BM46" s="21" t="str" cm="1">
        <f t="array" aca="1" ref="BM46" ca="1">_xlfn.LET(_xlpm._dm,SanitizeInput(GetValuesWithFallback(SanitizeInput($BL46),Assumptions!$A:$I,Countermeasures!$A:$I,"",",",FALSE)),
IF(_xlpm._dm="","",","&amp;_xlpm._dm))</f>
        <v/>
      </c>
      <c r="BN46" s="21" t="str" cm="1">
        <f t="array" aca="1" ref="BN46" ca="1">ApplyDamageMitigation($M46,$BM46,"")</f>
        <v/>
      </c>
      <c r="BO46" s="21" cm="1">
        <f t="array" aca="1" ref="BO46" ca="1">CalculateMaxFromList($BN46,0,'Damage Scenarios'!$A:$U)</f>
        <v>0</v>
      </c>
      <c r="BP46" s="21" t="str">
        <f ca="1">IF($BO46=0,"",INDEX(Definitions!$Q:$Q,MATCH($BO46,Definitions!$R:$R,0)))</f>
        <v/>
      </c>
      <c r="BQ46" s="21" t="str" cm="1">
        <f t="array" aca="1" ref="BQ46" ca="1">CalculateMaxAndElementsWithFallback(SanitizeInput($BL46),0,"",Countermeasures!$A:Y,Assumptions!$A:Z)</f>
        <v>0:</v>
      </c>
      <c r="BR46" s="21" t="str" cm="1">
        <f t="array" aca="1" ref="BR46" ca="1">CalculateMaxAndElementsWithFallback(SanitizeInput($BL46),0,"",Countermeasures!$A:Z,Assumptions!$A:AA)</f>
        <v>0:</v>
      </c>
      <c r="BS46" s="21" t="str" cm="1">
        <f t="array" aca="1" ref="BS46" ca="1">CalculateMaxAndElementsWithFallback(SanitizeInput($BL46),0,"",Countermeasures!$A:AA,Assumptions!$A:AB)</f>
        <v>0:</v>
      </c>
      <c r="BT46" s="21" t="str" cm="1">
        <f t="array" aca="1" ref="BT46" ca="1">CalculateMaxAndElementsWithFallback(SanitizeInput($BL46),0,"",Countermeasures!$A:AB,Assumptions!$A:AC)</f>
        <v>0:</v>
      </c>
      <c r="BU46" s="21" t="str" cm="1">
        <f t="array" aca="1" ref="BU46" ca="1">CalculateMaxAndElementsWithFallback(SanitizeInput($BL46),0,"",Countermeasures!$A:AC,Assumptions!$A:AD)</f>
        <v>0:</v>
      </c>
      <c r="BV46" s="21">
        <f t="shared" ca="1" si="25"/>
        <v>0</v>
      </c>
      <c r="BW46" s="21">
        <f t="shared" ca="1" si="26"/>
        <v>0</v>
      </c>
      <c r="BX46" s="21">
        <f t="shared" ca="1" si="27"/>
        <v>0</v>
      </c>
      <c r="BY46" s="21">
        <f t="shared" ca="1" si="28"/>
        <v>0</v>
      </c>
      <c r="BZ46" s="21">
        <f t="shared" ca="1" si="29"/>
        <v>0</v>
      </c>
      <c r="CA46" s="21" t="str">
        <f t="shared" ca="1" si="30"/>
        <v>0:</v>
      </c>
      <c r="CB46" s="21" t="str">
        <f t="shared" ca="1" si="31"/>
        <v>0:</v>
      </c>
      <c r="CC46" s="21" t="str">
        <f t="shared" ca="1" si="32"/>
        <v>0:</v>
      </c>
      <c r="CD46" s="21" t="str">
        <f t="shared" ca="1" si="33"/>
        <v>0:</v>
      </c>
      <c r="CE46" s="21" t="str">
        <f t="shared" ca="1" si="34"/>
        <v>0:</v>
      </c>
      <c r="CF46" s="21">
        <f t="shared" ca="1" si="35"/>
        <v>0</v>
      </c>
      <c r="CG46" s="21">
        <f t="shared" ca="1" si="36"/>
        <v>0</v>
      </c>
      <c r="CH46" s="21">
        <f t="shared" ca="1" si="37"/>
        <v>0</v>
      </c>
      <c r="CI46" s="21">
        <f t="shared" ca="1" si="38"/>
        <v>0</v>
      </c>
      <c r="CJ46" s="21">
        <f t="shared" ca="1" si="39"/>
        <v>0</v>
      </c>
      <c r="CK46" s="21">
        <f t="shared" ca="1" si="66"/>
        <v>0</v>
      </c>
      <c r="CL46" s="21" t="str">
        <f ca="1">IFERROR(VLOOKUP($CK46,Definitions!$V:$W,COLUMNS(Definitions!$V:$W),TRUE),"")</f>
        <v>Basic</v>
      </c>
      <c r="CM46" s="21" t="str">
        <f ca="1">_xlfn.LET(
_xlpm._comments,SimpleLookup($A46,Tracing!$B:$AB),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46" s="21" t="str" cm="1">
        <f t="array" aca="1" ref="CN46" ca="1">_xlfn.LET(
_xlpm._rapRange,Definitions!$W:$W,
_xlpm._calculatedRAP,$CL46,
_xlpm._inlineRAP,$CM46,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46" s="21" t="str">
        <f ca="1">IFERROR(IF(OR($BP46="",$CN46=""),
Definitions!$AE$4,
VLOOKUP($BP46,Definitions!$AH:$AM,MATCH($CN46,Definitions!$AH$3:$AM$3,0),FALSE)),
"")</f>
        <v>No Risk</v>
      </c>
      <c r="CP46" s="21" cm="1">
        <f t="array" aca="1" ref="CP46" ca="1">IF($CO46="",0,SimpleLookup($CO46,Definitions!$AE:$AF))</f>
        <v>0</v>
      </c>
      <c r="CQ46" s="21" t="b">
        <f ca="1">OR(AND($S46,$I46=Helper!$B$7),$I46&gt;Helper!$B$7)</f>
        <v>1</v>
      </c>
      <c r="CR46" s="21" t="str">
        <f t="shared" ca="1" si="67"/>
        <v/>
      </c>
      <c r="CS46" s="21" cm="1">
        <f t="array" aca="1" ref="CS46" ca="1">CreateID($CS$2,$CV:$CV,$CR46&lt;&gt;"")</f>
        <v>0</v>
      </c>
      <c r="CT46" s="21" t="str">
        <f ca="1">IF(IFERROR(MATCH(","&amp;A46&amp;",",'Risk Treatment'!$AT:$AT,0)&gt;0,FALSE),"",$A46)</f>
        <v/>
      </c>
      <c r="CU46" s="21" cm="1">
        <f t="array" aca="1" ref="CU46" ca="1">CreateID($CU$2,$CU:$CU,$CT46&lt;&gt;"")</f>
        <v>0</v>
      </c>
    </row>
    <row r="47" spans="1:99" x14ac:dyDescent="0.25">
      <c r="A47" s="33" t="str" cm="1">
        <f t="array" aca="1" ref="A47" ca="1">IF($B47="","","R"&amp;RemoveDelimiter(SUBSTITUTE(SUBSTITUTE($K47,"AS",""),",","-"),"-"))</f>
        <v/>
      </c>
      <c r="B47" s="33" t="str" cm="1">
        <f t="array" aca="1" ref="B47" ca="1">IF($L47="","",_xlfn.LET(
_xlpm._finalAttackStep,$L47,
_xlpm._prepAttacks,RemoveFirstElement(_xlpm._finalAttackStep&amp;","&amp;$K47),
_xlpm._prepAttackNames,IFERROR(LookupNames(_xlpm._prepAttacks,'Attack Steps'!$A:$B),""),
_xlpm._delimiter,REPT(CHAR(150),55),
$L47&amp;" "&amp;SimpleLookup($L47,'Attack Steps'!$A:$B)&amp;
IF(_xlpm._prepAttackNames="","",CHAR(10)&amp;_xlpm._delimiter&amp;CHAR(10)&amp;_xlpm._prepAttackNames)))</f>
        <v/>
      </c>
      <c r="C47" s="34" t="str" cm="1">
        <f t="array" aca="1" ref="C47" ca="1">IFERROR(LookupNames($M47,'Damage Scenarios'!$A:$V),"")</f>
        <v/>
      </c>
      <c r="D47" s="33" t="str">
        <f ca="1">IFERROR(IF($T47=0,"",INDEX(Definitions!$Q:$Q,MATCH($T47,Definitions!$R:$R,0))),"")</f>
        <v/>
      </c>
      <c r="E47" s="34" t="str" cm="1">
        <f t="array" aca="1" ref="E47" ca="1">IF($A47="","",_xlfn.LET(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_xlpm._factorFunction($A47,$A:W,Definitions!$Y:$Y,Definitions!$AB:$AB,1)&amp;CHAR(10)&amp;
_xlpm._factorFunction($A47,$A:X,Definitions!$Y:$Y,Definitions!$AB:$AB,2)&amp;CHAR(10)&amp;
_xlpm._factorFunction($A47,$A:Y,Definitions!$Y:$Y,Definitions!$AB:$AB,3)&amp;CHAR(10)&amp;
_xlpm._factorFunction($A47,$A:Z,Definitions!$Y:$Y,Definitions!$AB:$AB,4)&amp;CHAR(10)&amp;
_xlpm._factorFunction($A47,$A:AA,Definitions!$Y:$Y,Definitions!$AB:$AB,5)))</f>
        <v/>
      </c>
      <c r="F47" s="33" t="str">
        <f ca="1">IF($A47="","",IFERROR(VLOOKUP($AG47,Definitions!$V:$W,COLUMNS(Definitions!$V:$W),TRUE),""))</f>
        <v/>
      </c>
      <c r="G47" s="33" t="str">
        <f ca="1">IFERROR(IF(OR($D47="",$F47=""),
"",
VLOOKUP($D47,Definitions!$AH:$AM,MATCH($F47,Definitions!$AH$3:$AM$3,0),FALSE)),
"")</f>
        <v/>
      </c>
      <c r="H47" s="23" cm="1">
        <f t="array" aca="1" ref="H47" ca="1">IF(ROW()=ROW($H$2)+1,0,INDEX($H:$H,ROW()-1))+IF($A47="",0,1)</f>
        <v>0</v>
      </c>
      <c r="I47" s="21" cm="1">
        <f t="array" aca="1" ref="I47" ca="1">IF(ROW()=ROW($I$2)+1,
1,
INDEX($I:$I,ROW()-1)+IF(INDEX($S:$S,ROW()-1),1,0))</f>
        <v>1</v>
      </c>
      <c r="J47" s="21">
        <f t="shared" ca="1" si="63"/>
        <v>45</v>
      </c>
      <c r="K47" s="21" t="str">
        <f t="shared" ca="1" si="68"/>
        <v/>
      </c>
      <c r="L47" s="21" t="str" cm="1">
        <f t="array" aca="1" ref="L47" ca="1">IF($P47="","",INDEX('Attack Steps'!$A:$A,$P47))</f>
        <v/>
      </c>
      <c r="M47" s="21" t="str" cm="1">
        <f t="array" aca="1" ref="M47" ca="1">IF($P47="","",INDEX('Attack Steps'!$T:$T,$P47))</f>
        <v/>
      </c>
      <c r="N47" s="21" t="str" cm="1">
        <f t="array" aca="1" ref="N47" ca="1">_xlfn.LET(_xlpm._dm,SanitizeInput(GetValuesWithFallback(SanitizeInput($AK47),Assumptions!$A:$I,Countermeasures!$A:$I,"",",",FALSE)),
IF(_xlpm._dm="","",","&amp;_xlpm._dm))</f>
        <v/>
      </c>
      <c r="O47" s="21" t="str" cm="1">
        <f t="array" aca="1" ref="O47" ca="1">ApplyDamageMitigation($M47,$N47,"")</f>
        <v/>
      </c>
      <c r="P47" s="21" t="str">
        <f ca="1">IFERROR(MATCH($I47,'Attack Steps'!$V:$V,0),"")</f>
        <v/>
      </c>
      <c r="Q47" s="21" t="str" cm="1">
        <f t="array" aca="1" ref="Q47" ca="1">IF($P47="","","§"&amp;INDEX('Attack Steps'!$S:$S,$P47))</f>
        <v/>
      </c>
      <c r="R47" s="21" t="str" cm="1">
        <f t="array" aca="1" ref="R47" ca="1">IF($P47="","",INDEX('Attack Steps'!$W:$W,$P47))</f>
        <v/>
      </c>
      <c r="S47" s="21" t="b">
        <f t="shared" ca="1" si="69"/>
        <v>0</v>
      </c>
      <c r="T47" s="21" cm="1">
        <f t="array" aca="1" ref="T47" ca="1">_xlfn.LAMBDA(_xlpm._in,_xlpm._val,_xlpm._range,
IF(_xlpm._in="",_xlpm._val,_xlfn.LET(
_xlpm._id,LEFT(_xlpm._in,FIND(",",_xlpm._in)-1),
CalculateMaxFromList(RemoveFirstElement(_xlpm._in),MAX(_xlpm._val,VLOOKUP(_xlpm._id,_xlpm._range,COLUMNS(_xlpm._range),FALSE)),_xlpm._range))))($M47,0,'Damage Scenarios'!$A:$U)</f>
        <v>0</v>
      </c>
      <c r="U47" s="21" cm="1">
        <f t="array" aca="1" ref="U47" ca="1">CalculateMaxFromList($O47,0,'Damage Scenarios'!$A:$U)</f>
        <v>0</v>
      </c>
      <c r="V47" s="21" t="str">
        <f ca="1">IF($U47=0,"",INDEX(Definitions!$Q:$Q,MATCH($U47,Definitions!$R:$R,0)))</f>
        <v/>
      </c>
      <c r="W47" s="21" t="str" cm="1">
        <f t="array" aca="1" ref="W47" ca="1">CalculateMaxAndElements($K47,0,"",'Attack Steps'!$A:X)</f>
        <v>0:</v>
      </c>
      <c r="X47" s="21" t="str" cm="1">
        <f t="array" aca="1" ref="X47" ca="1">CalculateMaxAndElements($K47,0,"",'Attack Steps'!$A:Y)</f>
        <v>0:</v>
      </c>
      <c r="Y47" s="21" t="str" cm="1">
        <f t="array" aca="1" ref="Y47" ca="1">CalculateMaxAndElements($K47,0,"",'Attack Steps'!$A:Z)</f>
        <v>0:</v>
      </c>
      <c r="Z47" s="21" t="str" cm="1">
        <f t="array" aca="1" ref="Z47" ca="1">CalculateMaxAndElements($K47,0,"",'Attack Steps'!$A:AA)</f>
        <v>0:</v>
      </c>
      <c r="AA47" s="21" t="str" cm="1">
        <f t="array" aca="1" ref="AA47" ca="1">CalculateMaxAndElements($K47,0,"",'Attack Steps'!$A:AB)</f>
        <v>0:</v>
      </c>
      <c r="AB47" s="21">
        <f t="shared" ca="1" si="70"/>
        <v>0</v>
      </c>
      <c r="AC47" s="21">
        <f t="shared" ca="1" si="71"/>
        <v>0</v>
      </c>
      <c r="AD47" s="21">
        <f t="shared" ca="1" si="72"/>
        <v>0</v>
      </c>
      <c r="AE47" s="21">
        <f t="shared" ca="1" si="73"/>
        <v>0</v>
      </c>
      <c r="AF47" s="21">
        <f t="shared" ca="1" si="74"/>
        <v>0</v>
      </c>
      <c r="AG47" s="21">
        <f t="shared" ca="1" si="64"/>
        <v>0</v>
      </c>
      <c r="AH47" s="21" t="str" cm="1">
        <f t="array" aca="1" ref="AH47" ca="1">IF(ROW()=ROW($AH$2)+1,"",INDEX($AH:$AH,ROW()-1))&amp;IF($A47="","",$A47&amp;",")</f>
        <v/>
      </c>
      <c r="AI47" s="21" t="str">
        <f t="shared" ca="1" si="75"/>
        <v/>
      </c>
      <c r="AJ47" s="21" cm="1">
        <f t="array" aca="1" ref="AJ47" ca="1">IF($G47="",0,SimpleLookup($G47,Definitions!$AE:$AF))</f>
        <v>0</v>
      </c>
      <c r="AK47" s="21" t="str" cm="1">
        <f t="array" aca="1" ref="AK47" ca="1">InverseLookup($A47,Mitigation!$U$2,Mitigation!$J$2,1,Helper!$B$5,",")</f>
        <v/>
      </c>
      <c r="AL47" s="21" t="str" cm="1">
        <f t="array" aca="1" ref="AL47" ca="1">CalculateMaxAndElementsWithFallback(SanitizeInput($AK47),0,"",Countermeasures!$A:Y,Assumptions!$A:Z)</f>
        <v>0:</v>
      </c>
      <c r="AM47" s="21" t="str" cm="1">
        <f t="array" aca="1" ref="AM47" ca="1">CalculateMaxAndElementsWithFallback(SanitizeInput($AK47),0,"",Countermeasures!$A:Z,Assumptions!$A:AA)</f>
        <v>0:</v>
      </c>
      <c r="AN47" s="21" t="str" cm="1">
        <f t="array" aca="1" ref="AN47" ca="1">CalculateMaxAndElementsWithFallback(SanitizeInput($AK47),0,"",Countermeasures!$A:AA,Assumptions!$A:AB)</f>
        <v>0:</v>
      </c>
      <c r="AO47" s="21" t="str" cm="1">
        <f t="array" aca="1" ref="AO47" ca="1">CalculateMaxAndElementsWithFallback(SanitizeInput($AK47),0,"",Countermeasures!$A:AB,Assumptions!$A:AC)</f>
        <v>0:</v>
      </c>
      <c r="AP47" s="21" t="str" cm="1">
        <f t="array" aca="1" ref="AP47" ca="1">CalculateMaxAndElementsWithFallback(SanitizeInput($AK47),0,"",Countermeasures!$A:AC,Assumptions!$A:AD)</f>
        <v>0:</v>
      </c>
      <c r="AQ47" s="21">
        <f t="shared" ca="1" si="76"/>
        <v>0</v>
      </c>
      <c r="AR47" s="21">
        <f t="shared" ca="1" si="77"/>
        <v>0</v>
      </c>
      <c r="AS47" s="21">
        <f t="shared" ca="1" si="78"/>
        <v>0</v>
      </c>
      <c r="AT47" s="21">
        <f t="shared" ca="1" si="79"/>
        <v>0</v>
      </c>
      <c r="AU47" s="21">
        <f t="shared" ca="1" si="80"/>
        <v>0</v>
      </c>
      <c r="AV47" s="21" t="str">
        <f t="shared" ca="1" si="81"/>
        <v>0:</v>
      </c>
      <c r="AW47" s="21" t="str">
        <f t="shared" ca="1" si="82"/>
        <v>0:</v>
      </c>
      <c r="AX47" s="21" t="str">
        <f t="shared" ca="1" si="83"/>
        <v>0:</v>
      </c>
      <c r="AY47" s="21" t="str">
        <f t="shared" ca="1" si="84"/>
        <v>0:</v>
      </c>
      <c r="AZ47" s="21" t="str">
        <f t="shared" ca="1" si="85"/>
        <v>0:</v>
      </c>
      <c r="BA47" s="21">
        <f t="shared" ca="1" si="86"/>
        <v>0</v>
      </c>
      <c r="BB47" s="21">
        <f t="shared" ca="1" si="87"/>
        <v>0</v>
      </c>
      <c r="BC47" s="21">
        <f t="shared" ca="1" si="88"/>
        <v>0</v>
      </c>
      <c r="BD47" s="21">
        <f t="shared" ca="1" si="89"/>
        <v>0</v>
      </c>
      <c r="BE47" s="21">
        <f t="shared" ca="1" si="90"/>
        <v>0</v>
      </c>
      <c r="BF47" s="21">
        <f t="shared" ca="1" si="65"/>
        <v>0</v>
      </c>
      <c r="BG47" s="21" t="str">
        <f ca="1">IFERROR(VLOOKUP($BF47,Definitions!$V:$W,COLUMNS(Definitions!$V:$W),TRUE),"")</f>
        <v>Basic</v>
      </c>
      <c r="BH47" s="21" t="str">
        <f ca="1">_xlfn.LET(
_xlpm._comments,GetValues($K47,Mitigation!$A:$O,"","",FALSE),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47" s="21" t="str" cm="1">
        <f t="array" aca="1" ref="BI47" ca="1">_xlfn.LET(
_xlpm._rapRange,Definitions!$W:$W,
_xlpm._calculatedRAP,$BG47,
_xlpm._inlineRAP,$BH47,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47" s="21" t="str">
        <f ca="1">IFERROR(IF(OR($V47="",$BI47=""),
Definitions!$AE$4,
VLOOKUP($V47,Definitions!$AH:$AM,MATCH($BI47,Definitions!$AH$3:$AM$3,0),FALSE)),
"")</f>
        <v>No Risk</v>
      </c>
      <c r="BK47" s="21" cm="1">
        <f t="array" aca="1" ref="BK47" ca="1">IF($BJ47="",0,SimpleLookup($BJ47,Definitions!$AE:$AF))</f>
        <v>0</v>
      </c>
      <c r="BL47" s="21" t="str" cm="1">
        <f t="array" aca="1" ref="BL47" ca="1">IFERROR(SimpleLookup($A47,Tracing!$B:$Z),"")</f>
        <v/>
      </c>
      <c r="BM47" s="21" t="str" cm="1">
        <f t="array" aca="1" ref="BM47" ca="1">_xlfn.LET(_xlpm._dm,SanitizeInput(GetValuesWithFallback(SanitizeInput($BL47),Assumptions!$A:$I,Countermeasures!$A:$I,"",",",FALSE)),
IF(_xlpm._dm="","",","&amp;_xlpm._dm))</f>
        <v/>
      </c>
      <c r="BN47" s="21" t="str" cm="1">
        <f t="array" aca="1" ref="BN47" ca="1">ApplyDamageMitigation($M47,$BM47,"")</f>
        <v/>
      </c>
      <c r="BO47" s="21" cm="1">
        <f t="array" aca="1" ref="BO47" ca="1">CalculateMaxFromList($BN47,0,'Damage Scenarios'!$A:$U)</f>
        <v>0</v>
      </c>
      <c r="BP47" s="21" t="str">
        <f ca="1">IF($BO47=0,"",INDEX(Definitions!$Q:$Q,MATCH($BO47,Definitions!$R:$R,0)))</f>
        <v/>
      </c>
      <c r="BQ47" s="21" t="str" cm="1">
        <f t="array" aca="1" ref="BQ47" ca="1">CalculateMaxAndElementsWithFallback(SanitizeInput($BL47),0,"",Countermeasures!$A:Y,Assumptions!$A:Z)</f>
        <v>0:</v>
      </c>
      <c r="BR47" s="21" t="str" cm="1">
        <f t="array" aca="1" ref="BR47" ca="1">CalculateMaxAndElementsWithFallback(SanitizeInput($BL47),0,"",Countermeasures!$A:Z,Assumptions!$A:AA)</f>
        <v>0:</v>
      </c>
      <c r="BS47" s="21" t="str" cm="1">
        <f t="array" aca="1" ref="BS47" ca="1">CalculateMaxAndElementsWithFallback(SanitizeInput($BL47),0,"",Countermeasures!$A:AA,Assumptions!$A:AB)</f>
        <v>0:</v>
      </c>
      <c r="BT47" s="21" t="str" cm="1">
        <f t="array" aca="1" ref="BT47" ca="1">CalculateMaxAndElementsWithFallback(SanitizeInput($BL47),0,"",Countermeasures!$A:AB,Assumptions!$A:AC)</f>
        <v>0:</v>
      </c>
      <c r="BU47" s="21" t="str" cm="1">
        <f t="array" aca="1" ref="BU47" ca="1">CalculateMaxAndElementsWithFallback(SanitizeInput($BL47),0,"",Countermeasures!$A:AC,Assumptions!$A:AD)</f>
        <v>0:</v>
      </c>
      <c r="BV47" s="21">
        <f t="shared" ca="1" si="25"/>
        <v>0</v>
      </c>
      <c r="BW47" s="21">
        <f t="shared" ca="1" si="26"/>
        <v>0</v>
      </c>
      <c r="BX47" s="21">
        <f t="shared" ca="1" si="27"/>
        <v>0</v>
      </c>
      <c r="BY47" s="21">
        <f t="shared" ca="1" si="28"/>
        <v>0</v>
      </c>
      <c r="BZ47" s="21">
        <f t="shared" ca="1" si="29"/>
        <v>0</v>
      </c>
      <c r="CA47" s="21" t="str">
        <f t="shared" ca="1" si="30"/>
        <v>0:</v>
      </c>
      <c r="CB47" s="21" t="str">
        <f t="shared" ca="1" si="31"/>
        <v>0:</v>
      </c>
      <c r="CC47" s="21" t="str">
        <f t="shared" ca="1" si="32"/>
        <v>0:</v>
      </c>
      <c r="CD47" s="21" t="str">
        <f t="shared" ca="1" si="33"/>
        <v>0:</v>
      </c>
      <c r="CE47" s="21" t="str">
        <f t="shared" ca="1" si="34"/>
        <v>0:</v>
      </c>
      <c r="CF47" s="21">
        <f t="shared" ca="1" si="35"/>
        <v>0</v>
      </c>
      <c r="CG47" s="21">
        <f t="shared" ca="1" si="36"/>
        <v>0</v>
      </c>
      <c r="CH47" s="21">
        <f t="shared" ca="1" si="37"/>
        <v>0</v>
      </c>
      <c r="CI47" s="21">
        <f t="shared" ca="1" si="38"/>
        <v>0</v>
      </c>
      <c r="CJ47" s="21">
        <f t="shared" ca="1" si="39"/>
        <v>0</v>
      </c>
      <c r="CK47" s="21">
        <f t="shared" ca="1" si="66"/>
        <v>0</v>
      </c>
      <c r="CL47" s="21" t="str">
        <f ca="1">IFERROR(VLOOKUP($CK47,Definitions!$V:$W,COLUMNS(Definitions!$V:$W),TRUE),"")</f>
        <v>Basic</v>
      </c>
      <c r="CM47" s="21" t="str">
        <f ca="1">_xlfn.LET(
_xlpm._comments,SimpleLookup($A47,Tracing!$B:$AB),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47" s="21" t="str" cm="1">
        <f t="array" aca="1" ref="CN47" ca="1">_xlfn.LET(
_xlpm._rapRange,Definitions!$W:$W,
_xlpm._calculatedRAP,$CL47,
_xlpm._inlineRAP,$CM47,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47" s="21" t="str">
        <f ca="1">IFERROR(IF(OR($BP47="",$CN47=""),
Definitions!$AE$4,
VLOOKUP($BP47,Definitions!$AH:$AM,MATCH($CN47,Definitions!$AH$3:$AM$3,0),FALSE)),
"")</f>
        <v>No Risk</v>
      </c>
      <c r="CP47" s="21" cm="1">
        <f t="array" aca="1" ref="CP47" ca="1">IF($CO47="",0,SimpleLookup($CO47,Definitions!$AE:$AF))</f>
        <v>0</v>
      </c>
      <c r="CQ47" s="21" t="b">
        <f ca="1">OR(AND($S47,$I47=Helper!$B$7),$I47&gt;Helper!$B$7)</f>
        <v>1</v>
      </c>
      <c r="CR47" s="21" t="str">
        <f t="shared" ca="1" si="67"/>
        <v/>
      </c>
      <c r="CS47" s="21" cm="1">
        <f t="array" aca="1" ref="CS47" ca="1">CreateID($CS$2,$CV:$CV,$CR47&lt;&gt;"")</f>
        <v>0</v>
      </c>
      <c r="CT47" s="21" t="str">
        <f ca="1">IF(IFERROR(MATCH(","&amp;A47&amp;",",'Risk Treatment'!$AT:$AT,0)&gt;0,FALSE),"",$A47)</f>
        <v/>
      </c>
      <c r="CU47" s="21" cm="1">
        <f t="array" aca="1" ref="CU47" ca="1">CreateID($CU$2,$CU:$CU,$CT47&lt;&gt;"")</f>
        <v>0</v>
      </c>
    </row>
    <row r="48" spans="1:99" x14ac:dyDescent="0.25">
      <c r="A48" s="33" t="str" cm="1">
        <f t="array" aca="1" ref="A48" ca="1">IF($B48="","","R"&amp;RemoveDelimiter(SUBSTITUTE(SUBSTITUTE($K48,"AS",""),",","-"),"-"))</f>
        <v/>
      </c>
      <c r="B48" s="33" t="str" cm="1">
        <f t="array" aca="1" ref="B48" ca="1">IF($L48="","",_xlfn.LET(
_xlpm._finalAttackStep,$L48,
_xlpm._prepAttacks,RemoveFirstElement(_xlpm._finalAttackStep&amp;","&amp;$K48),
_xlpm._prepAttackNames,IFERROR(LookupNames(_xlpm._prepAttacks,'Attack Steps'!$A:$B),""),
_xlpm._delimiter,REPT(CHAR(150),55),
$L48&amp;" "&amp;SimpleLookup($L48,'Attack Steps'!$A:$B)&amp;
IF(_xlpm._prepAttackNames="","",CHAR(10)&amp;_xlpm._delimiter&amp;CHAR(10)&amp;_xlpm._prepAttackNames)))</f>
        <v/>
      </c>
      <c r="C48" s="34" t="str" cm="1">
        <f t="array" aca="1" ref="C48" ca="1">IFERROR(LookupNames($M48,'Damage Scenarios'!$A:$V),"")</f>
        <v/>
      </c>
      <c r="D48" s="33" t="str">
        <f ca="1">IFERROR(IF($T48=0,"",INDEX(Definitions!$Q:$Q,MATCH($T48,Definitions!$R:$R,0))),"")</f>
        <v/>
      </c>
      <c r="E48" s="34" t="str" cm="1">
        <f t="array" aca="1" ref="E48" ca="1">IF($A48="","",_xlfn.LET(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_xlpm._factorFunction($A48,$A:W,Definitions!$Y:$Y,Definitions!$AB:$AB,1)&amp;CHAR(10)&amp;
_xlpm._factorFunction($A48,$A:X,Definitions!$Y:$Y,Definitions!$AB:$AB,2)&amp;CHAR(10)&amp;
_xlpm._factorFunction($A48,$A:Y,Definitions!$Y:$Y,Definitions!$AB:$AB,3)&amp;CHAR(10)&amp;
_xlpm._factorFunction($A48,$A:Z,Definitions!$Y:$Y,Definitions!$AB:$AB,4)&amp;CHAR(10)&amp;
_xlpm._factorFunction($A48,$A:AA,Definitions!$Y:$Y,Definitions!$AB:$AB,5)))</f>
        <v/>
      </c>
      <c r="F48" s="33" t="str">
        <f ca="1">IF($A48="","",IFERROR(VLOOKUP($AG48,Definitions!$V:$W,COLUMNS(Definitions!$V:$W),TRUE),""))</f>
        <v/>
      </c>
      <c r="G48" s="33" t="str">
        <f ca="1">IFERROR(IF(OR($D48="",$F48=""),
"",
VLOOKUP($D48,Definitions!$AH:$AM,MATCH($F48,Definitions!$AH$3:$AM$3,0),FALSE)),
"")</f>
        <v/>
      </c>
      <c r="H48" s="23" cm="1">
        <f t="array" aca="1" ref="H48" ca="1">IF(ROW()=ROW($H$2)+1,0,INDEX($H:$H,ROW()-1))+IF($A48="",0,1)</f>
        <v>0</v>
      </c>
      <c r="I48" s="21" cm="1">
        <f t="array" aca="1" ref="I48" ca="1">IF(ROW()=ROW($I$2)+1,
1,
INDEX($I:$I,ROW()-1)+IF(INDEX($S:$S,ROW()-1),1,0))</f>
        <v>1</v>
      </c>
      <c r="J48" s="21">
        <f t="shared" ca="1" si="63"/>
        <v>46</v>
      </c>
      <c r="K48" s="21" t="str">
        <f t="shared" ca="1" si="68"/>
        <v/>
      </c>
      <c r="L48" s="21" t="str" cm="1">
        <f t="array" aca="1" ref="L48" ca="1">IF($P48="","",INDEX('Attack Steps'!$A:$A,$P48))</f>
        <v/>
      </c>
      <c r="M48" s="21" t="str" cm="1">
        <f t="array" aca="1" ref="M48" ca="1">IF($P48="","",INDEX('Attack Steps'!$T:$T,$P48))</f>
        <v/>
      </c>
      <c r="N48" s="21" t="str" cm="1">
        <f t="array" aca="1" ref="N48" ca="1">_xlfn.LET(_xlpm._dm,SanitizeInput(GetValuesWithFallback(SanitizeInput($AK48),Assumptions!$A:$I,Countermeasures!$A:$I,"",",",FALSE)),
IF(_xlpm._dm="","",","&amp;_xlpm._dm))</f>
        <v/>
      </c>
      <c r="O48" s="21" t="str" cm="1">
        <f t="array" aca="1" ref="O48" ca="1">ApplyDamageMitigation($M48,$N48,"")</f>
        <v/>
      </c>
      <c r="P48" s="21" t="str">
        <f ca="1">IFERROR(MATCH($I48,'Attack Steps'!$V:$V,0),"")</f>
        <v/>
      </c>
      <c r="Q48" s="21" t="str" cm="1">
        <f t="array" aca="1" ref="Q48" ca="1">IF($P48="","","§"&amp;INDEX('Attack Steps'!$S:$S,$P48))</f>
        <v/>
      </c>
      <c r="R48" s="21" t="str" cm="1">
        <f t="array" aca="1" ref="R48" ca="1">IF($P48="","",INDEX('Attack Steps'!$W:$W,$P48))</f>
        <v/>
      </c>
      <c r="S48" s="21" t="b">
        <f t="shared" ca="1" si="69"/>
        <v>0</v>
      </c>
      <c r="T48" s="21" cm="1">
        <f t="array" aca="1" ref="T48" ca="1">_xlfn.LAMBDA(_xlpm._in,_xlpm._val,_xlpm._range,
IF(_xlpm._in="",_xlpm._val,_xlfn.LET(
_xlpm._id,LEFT(_xlpm._in,FIND(",",_xlpm._in)-1),
CalculateMaxFromList(RemoveFirstElement(_xlpm._in),MAX(_xlpm._val,VLOOKUP(_xlpm._id,_xlpm._range,COLUMNS(_xlpm._range),FALSE)),_xlpm._range))))($M48,0,'Damage Scenarios'!$A:$U)</f>
        <v>0</v>
      </c>
      <c r="U48" s="21" cm="1">
        <f t="array" aca="1" ref="U48" ca="1">CalculateMaxFromList($O48,0,'Damage Scenarios'!$A:$U)</f>
        <v>0</v>
      </c>
      <c r="V48" s="21" t="str">
        <f ca="1">IF($U48=0,"",INDEX(Definitions!$Q:$Q,MATCH($U48,Definitions!$R:$R,0)))</f>
        <v/>
      </c>
      <c r="W48" s="21" t="str" cm="1">
        <f t="array" aca="1" ref="W48" ca="1">CalculateMaxAndElements($K48,0,"",'Attack Steps'!$A:X)</f>
        <v>0:</v>
      </c>
      <c r="X48" s="21" t="str" cm="1">
        <f t="array" aca="1" ref="X48" ca="1">CalculateMaxAndElements($K48,0,"",'Attack Steps'!$A:Y)</f>
        <v>0:</v>
      </c>
      <c r="Y48" s="21" t="str" cm="1">
        <f t="array" aca="1" ref="Y48" ca="1">CalculateMaxAndElements($K48,0,"",'Attack Steps'!$A:Z)</f>
        <v>0:</v>
      </c>
      <c r="Z48" s="21" t="str" cm="1">
        <f t="array" aca="1" ref="Z48" ca="1">CalculateMaxAndElements($K48,0,"",'Attack Steps'!$A:AA)</f>
        <v>0:</v>
      </c>
      <c r="AA48" s="21" t="str" cm="1">
        <f t="array" aca="1" ref="AA48" ca="1">CalculateMaxAndElements($K48,0,"",'Attack Steps'!$A:AB)</f>
        <v>0:</v>
      </c>
      <c r="AB48" s="21">
        <f t="shared" ca="1" si="70"/>
        <v>0</v>
      </c>
      <c r="AC48" s="21">
        <f t="shared" ca="1" si="71"/>
        <v>0</v>
      </c>
      <c r="AD48" s="21">
        <f t="shared" ca="1" si="72"/>
        <v>0</v>
      </c>
      <c r="AE48" s="21">
        <f t="shared" ca="1" si="73"/>
        <v>0</v>
      </c>
      <c r="AF48" s="21">
        <f t="shared" ca="1" si="74"/>
        <v>0</v>
      </c>
      <c r="AG48" s="21">
        <f t="shared" ca="1" si="64"/>
        <v>0</v>
      </c>
      <c r="AH48" s="21" t="str" cm="1">
        <f t="array" aca="1" ref="AH48" ca="1">IF(ROW()=ROW($AH$2)+1,"",INDEX($AH:$AH,ROW()-1))&amp;IF($A48="","",$A48&amp;",")</f>
        <v/>
      </c>
      <c r="AI48" s="21" t="str">
        <f t="shared" ca="1" si="75"/>
        <v/>
      </c>
      <c r="AJ48" s="21" cm="1">
        <f t="array" aca="1" ref="AJ48" ca="1">IF($G48="",0,SimpleLookup($G48,Definitions!$AE:$AF))</f>
        <v>0</v>
      </c>
      <c r="AK48" s="21" t="str" cm="1">
        <f t="array" aca="1" ref="AK48" ca="1">InverseLookup($A48,Mitigation!$U$2,Mitigation!$J$2,1,Helper!$B$5,",")</f>
        <v/>
      </c>
      <c r="AL48" s="21" t="str" cm="1">
        <f t="array" aca="1" ref="AL48" ca="1">CalculateMaxAndElementsWithFallback(SanitizeInput($AK48),0,"",Countermeasures!$A:Y,Assumptions!$A:Z)</f>
        <v>0:</v>
      </c>
      <c r="AM48" s="21" t="str" cm="1">
        <f t="array" aca="1" ref="AM48" ca="1">CalculateMaxAndElementsWithFallback(SanitizeInput($AK48),0,"",Countermeasures!$A:Z,Assumptions!$A:AA)</f>
        <v>0:</v>
      </c>
      <c r="AN48" s="21" t="str" cm="1">
        <f t="array" aca="1" ref="AN48" ca="1">CalculateMaxAndElementsWithFallback(SanitizeInput($AK48),0,"",Countermeasures!$A:AA,Assumptions!$A:AB)</f>
        <v>0:</v>
      </c>
      <c r="AO48" s="21" t="str" cm="1">
        <f t="array" aca="1" ref="AO48" ca="1">CalculateMaxAndElementsWithFallback(SanitizeInput($AK48),0,"",Countermeasures!$A:AB,Assumptions!$A:AC)</f>
        <v>0:</v>
      </c>
      <c r="AP48" s="21" t="str" cm="1">
        <f t="array" aca="1" ref="AP48" ca="1">CalculateMaxAndElementsWithFallback(SanitizeInput($AK48),0,"",Countermeasures!$A:AC,Assumptions!$A:AD)</f>
        <v>0:</v>
      </c>
      <c r="AQ48" s="21">
        <f t="shared" ca="1" si="76"/>
        <v>0</v>
      </c>
      <c r="AR48" s="21">
        <f t="shared" ca="1" si="77"/>
        <v>0</v>
      </c>
      <c r="AS48" s="21">
        <f t="shared" ca="1" si="78"/>
        <v>0</v>
      </c>
      <c r="AT48" s="21">
        <f t="shared" ca="1" si="79"/>
        <v>0</v>
      </c>
      <c r="AU48" s="21">
        <f t="shared" ca="1" si="80"/>
        <v>0</v>
      </c>
      <c r="AV48" s="21" t="str">
        <f t="shared" ca="1" si="81"/>
        <v>0:</v>
      </c>
      <c r="AW48" s="21" t="str">
        <f t="shared" ca="1" si="82"/>
        <v>0:</v>
      </c>
      <c r="AX48" s="21" t="str">
        <f t="shared" ca="1" si="83"/>
        <v>0:</v>
      </c>
      <c r="AY48" s="21" t="str">
        <f t="shared" ca="1" si="84"/>
        <v>0:</v>
      </c>
      <c r="AZ48" s="21" t="str">
        <f t="shared" ca="1" si="85"/>
        <v>0:</v>
      </c>
      <c r="BA48" s="21">
        <f t="shared" ca="1" si="86"/>
        <v>0</v>
      </c>
      <c r="BB48" s="21">
        <f t="shared" ca="1" si="87"/>
        <v>0</v>
      </c>
      <c r="BC48" s="21">
        <f t="shared" ca="1" si="88"/>
        <v>0</v>
      </c>
      <c r="BD48" s="21">
        <f t="shared" ca="1" si="89"/>
        <v>0</v>
      </c>
      <c r="BE48" s="21">
        <f t="shared" ca="1" si="90"/>
        <v>0</v>
      </c>
      <c r="BF48" s="21">
        <f t="shared" ca="1" si="65"/>
        <v>0</v>
      </c>
      <c r="BG48" s="21" t="str">
        <f ca="1">IFERROR(VLOOKUP($BF48,Definitions!$V:$W,COLUMNS(Definitions!$V:$W),TRUE),"")</f>
        <v>Basic</v>
      </c>
      <c r="BH48" s="21" t="str">
        <f ca="1">_xlfn.LET(
_xlpm._comments,GetValues($K48,Mitigation!$A:$O,"","",FALSE),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48" s="21" t="str" cm="1">
        <f t="array" aca="1" ref="BI48" ca="1">_xlfn.LET(
_xlpm._rapRange,Definitions!$W:$W,
_xlpm._calculatedRAP,$BG48,
_xlpm._inlineRAP,$BH48,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48" s="21" t="str">
        <f ca="1">IFERROR(IF(OR($V48="",$BI48=""),
Definitions!$AE$4,
VLOOKUP($V48,Definitions!$AH:$AM,MATCH($BI48,Definitions!$AH$3:$AM$3,0),FALSE)),
"")</f>
        <v>No Risk</v>
      </c>
      <c r="BK48" s="21" cm="1">
        <f t="array" aca="1" ref="BK48" ca="1">IF($BJ48="",0,SimpleLookup($BJ48,Definitions!$AE:$AF))</f>
        <v>0</v>
      </c>
      <c r="BL48" s="21" t="str" cm="1">
        <f t="array" aca="1" ref="BL48" ca="1">IFERROR(SimpleLookup($A48,Tracing!$B:$Z),"")</f>
        <v/>
      </c>
      <c r="BM48" s="21" t="str" cm="1">
        <f t="array" aca="1" ref="BM48" ca="1">_xlfn.LET(_xlpm._dm,SanitizeInput(GetValuesWithFallback(SanitizeInput($BL48),Assumptions!$A:$I,Countermeasures!$A:$I,"",",",FALSE)),
IF(_xlpm._dm="","",","&amp;_xlpm._dm))</f>
        <v/>
      </c>
      <c r="BN48" s="21" t="str" cm="1">
        <f t="array" aca="1" ref="BN48" ca="1">ApplyDamageMitigation($M48,$BM48,"")</f>
        <v/>
      </c>
      <c r="BO48" s="21" cm="1">
        <f t="array" aca="1" ref="BO48" ca="1">CalculateMaxFromList($BN48,0,'Damage Scenarios'!$A:$U)</f>
        <v>0</v>
      </c>
      <c r="BP48" s="21" t="str">
        <f ca="1">IF($BO48=0,"",INDEX(Definitions!$Q:$Q,MATCH($BO48,Definitions!$R:$R,0)))</f>
        <v/>
      </c>
      <c r="BQ48" s="21" t="str" cm="1">
        <f t="array" aca="1" ref="BQ48" ca="1">CalculateMaxAndElementsWithFallback(SanitizeInput($BL48),0,"",Countermeasures!$A:Y,Assumptions!$A:Z)</f>
        <v>0:</v>
      </c>
      <c r="BR48" s="21" t="str" cm="1">
        <f t="array" aca="1" ref="BR48" ca="1">CalculateMaxAndElementsWithFallback(SanitizeInput($BL48),0,"",Countermeasures!$A:Z,Assumptions!$A:AA)</f>
        <v>0:</v>
      </c>
      <c r="BS48" s="21" t="str" cm="1">
        <f t="array" aca="1" ref="BS48" ca="1">CalculateMaxAndElementsWithFallback(SanitizeInput($BL48),0,"",Countermeasures!$A:AA,Assumptions!$A:AB)</f>
        <v>0:</v>
      </c>
      <c r="BT48" s="21" t="str" cm="1">
        <f t="array" aca="1" ref="BT48" ca="1">CalculateMaxAndElementsWithFallback(SanitizeInput($BL48),0,"",Countermeasures!$A:AB,Assumptions!$A:AC)</f>
        <v>0:</v>
      </c>
      <c r="BU48" s="21" t="str" cm="1">
        <f t="array" aca="1" ref="BU48" ca="1">CalculateMaxAndElementsWithFallback(SanitizeInput($BL48),0,"",Countermeasures!$A:AC,Assumptions!$A:AD)</f>
        <v>0:</v>
      </c>
      <c r="BV48" s="21">
        <f t="shared" ca="1" si="25"/>
        <v>0</v>
      </c>
      <c r="BW48" s="21">
        <f t="shared" ca="1" si="26"/>
        <v>0</v>
      </c>
      <c r="BX48" s="21">
        <f t="shared" ca="1" si="27"/>
        <v>0</v>
      </c>
      <c r="BY48" s="21">
        <f t="shared" ca="1" si="28"/>
        <v>0</v>
      </c>
      <c r="BZ48" s="21">
        <f t="shared" ca="1" si="29"/>
        <v>0</v>
      </c>
      <c r="CA48" s="21" t="str">
        <f t="shared" ca="1" si="30"/>
        <v>0:</v>
      </c>
      <c r="CB48" s="21" t="str">
        <f t="shared" ca="1" si="31"/>
        <v>0:</v>
      </c>
      <c r="CC48" s="21" t="str">
        <f t="shared" ca="1" si="32"/>
        <v>0:</v>
      </c>
      <c r="CD48" s="21" t="str">
        <f t="shared" ca="1" si="33"/>
        <v>0:</v>
      </c>
      <c r="CE48" s="21" t="str">
        <f t="shared" ca="1" si="34"/>
        <v>0:</v>
      </c>
      <c r="CF48" s="21">
        <f t="shared" ca="1" si="35"/>
        <v>0</v>
      </c>
      <c r="CG48" s="21">
        <f t="shared" ca="1" si="36"/>
        <v>0</v>
      </c>
      <c r="CH48" s="21">
        <f t="shared" ca="1" si="37"/>
        <v>0</v>
      </c>
      <c r="CI48" s="21">
        <f t="shared" ca="1" si="38"/>
        <v>0</v>
      </c>
      <c r="CJ48" s="21">
        <f t="shared" ca="1" si="39"/>
        <v>0</v>
      </c>
      <c r="CK48" s="21">
        <f t="shared" ca="1" si="66"/>
        <v>0</v>
      </c>
      <c r="CL48" s="21" t="str">
        <f ca="1">IFERROR(VLOOKUP($CK48,Definitions!$V:$W,COLUMNS(Definitions!$V:$W),TRUE),"")</f>
        <v>Basic</v>
      </c>
      <c r="CM48" s="21" t="str">
        <f ca="1">_xlfn.LET(
_xlpm._comments,SimpleLookup($A48,Tracing!$B:$AB),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48" s="21" t="str" cm="1">
        <f t="array" aca="1" ref="CN48" ca="1">_xlfn.LET(
_xlpm._rapRange,Definitions!$W:$W,
_xlpm._calculatedRAP,$CL48,
_xlpm._inlineRAP,$CM48,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48" s="21" t="str">
        <f ca="1">IFERROR(IF(OR($BP48="",$CN48=""),
Definitions!$AE$4,
VLOOKUP($BP48,Definitions!$AH:$AM,MATCH($CN48,Definitions!$AH$3:$AM$3,0),FALSE)),
"")</f>
        <v>No Risk</v>
      </c>
      <c r="CP48" s="21" cm="1">
        <f t="array" aca="1" ref="CP48" ca="1">IF($CO48="",0,SimpleLookup($CO48,Definitions!$AE:$AF))</f>
        <v>0</v>
      </c>
      <c r="CQ48" s="21" t="b">
        <f ca="1">OR(AND($S48,$I48=Helper!$B$7),$I48&gt;Helper!$B$7)</f>
        <v>1</v>
      </c>
      <c r="CR48" s="21" t="str">
        <f t="shared" ca="1" si="67"/>
        <v/>
      </c>
      <c r="CS48" s="21" cm="1">
        <f t="array" aca="1" ref="CS48" ca="1">CreateID($CS$2,$CV:$CV,$CR48&lt;&gt;"")</f>
        <v>0</v>
      </c>
      <c r="CT48" s="21" t="str">
        <f ca="1">IF(IFERROR(MATCH(","&amp;A48&amp;",",'Risk Treatment'!$AT:$AT,0)&gt;0,FALSE),"",$A48)</f>
        <v/>
      </c>
      <c r="CU48" s="21" cm="1">
        <f t="array" aca="1" ref="CU48" ca="1">CreateID($CU$2,$CU:$CU,$CT48&lt;&gt;"")</f>
        <v>0</v>
      </c>
    </row>
    <row r="49" spans="1:99" x14ac:dyDescent="0.25">
      <c r="A49" s="33" t="str" cm="1">
        <f t="array" aca="1" ref="A49" ca="1">IF($B49="","","R"&amp;RemoveDelimiter(SUBSTITUTE(SUBSTITUTE($K49,"AS",""),",","-"),"-"))</f>
        <v/>
      </c>
      <c r="B49" s="33" t="str" cm="1">
        <f t="array" aca="1" ref="B49" ca="1">IF($L49="","",_xlfn.LET(
_xlpm._finalAttackStep,$L49,
_xlpm._prepAttacks,RemoveFirstElement(_xlpm._finalAttackStep&amp;","&amp;$K49),
_xlpm._prepAttackNames,IFERROR(LookupNames(_xlpm._prepAttacks,'Attack Steps'!$A:$B),""),
_xlpm._delimiter,REPT(CHAR(150),55),
$L49&amp;" "&amp;SimpleLookup($L49,'Attack Steps'!$A:$B)&amp;
IF(_xlpm._prepAttackNames="","",CHAR(10)&amp;_xlpm._delimiter&amp;CHAR(10)&amp;_xlpm._prepAttackNames)))</f>
        <v/>
      </c>
      <c r="C49" s="34" t="str" cm="1">
        <f t="array" aca="1" ref="C49" ca="1">IFERROR(LookupNames($M49,'Damage Scenarios'!$A:$V),"")</f>
        <v/>
      </c>
      <c r="D49" s="33" t="str">
        <f ca="1">IFERROR(IF($T49=0,"",INDEX(Definitions!$Q:$Q,MATCH($T49,Definitions!$R:$R,0))),"")</f>
        <v/>
      </c>
      <c r="E49" s="34" t="str" cm="1">
        <f t="array" aca="1" ref="E49" ca="1">IF($A49="","",_xlfn.LET(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_xlpm._factorFunction($A49,$A:W,Definitions!$Y:$Y,Definitions!$AB:$AB,1)&amp;CHAR(10)&amp;
_xlpm._factorFunction($A49,$A:X,Definitions!$Y:$Y,Definitions!$AB:$AB,2)&amp;CHAR(10)&amp;
_xlpm._factorFunction($A49,$A:Y,Definitions!$Y:$Y,Definitions!$AB:$AB,3)&amp;CHAR(10)&amp;
_xlpm._factorFunction($A49,$A:Z,Definitions!$Y:$Y,Definitions!$AB:$AB,4)&amp;CHAR(10)&amp;
_xlpm._factorFunction($A49,$A:AA,Definitions!$Y:$Y,Definitions!$AB:$AB,5)))</f>
        <v/>
      </c>
      <c r="F49" s="33" t="str">
        <f ca="1">IF($A49="","",IFERROR(VLOOKUP($AG49,Definitions!$V:$W,COLUMNS(Definitions!$V:$W),TRUE),""))</f>
        <v/>
      </c>
      <c r="G49" s="33" t="str">
        <f ca="1">IFERROR(IF(OR($D49="",$F49=""),
"",
VLOOKUP($D49,Definitions!$AH:$AM,MATCH($F49,Definitions!$AH$3:$AM$3,0),FALSE)),
"")</f>
        <v/>
      </c>
      <c r="H49" s="23" cm="1">
        <f t="array" aca="1" ref="H49" ca="1">IF(ROW()=ROW($H$2)+1,0,INDEX($H:$H,ROW()-1))+IF($A49="",0,1)</f>
        <v>0</v>
      </c>
      <c r="I49" s="21" cm="1">
        <f t="array" aca="1" ref="I49" ca="1">IF(ROW()=ROW($I$2)+1,
1,
INDEX($I:$I,ROW()-1)+IF(INDEX($S:$S,ROW()-1),1,0))</f>
        <v>1</v>
      </c>
      <c r="J49" s="21">
        <f t="shared" ca="1" si="63"/>
        <v>47</v>
      </c>
      <c r="K49" s="21" t="str">
        <f t="shared" ca="1" si="68"/>
        <v/>
      </c>
      <c r="L49" s="21" t="str" cm="1">
        <f t="array" aca="1" ref="L49" ca="1">IF($P49="","",INDEX('Attack Steps'!$A:$A,$P49))</f>
        <v/>
      </c>
      <c r="M49" s="21" t="str" cm="1">
        <f t="array" aca="1" ref="M49" ca="1">IF($P49="","",INDEX('Attack Steps'!$T:$T,$P49))</f>
        <v/>
      </c>
      <c r="N49" s="21" t="str" cm="1">
        <f t="array" aca="1" ref="N49" ca="1">_xlfn.LET(_xlpm._dm,SanitizeInput(GetValuesWithFallback(SanitizeInput($AK49),Assumptions!$A:$I,Countermeasures!$A:$I,"",",",FALSE)),
IF(_xlpm._dm="","",","&amp;_xlpm._dm))</f>
        <v/>
      </c>
      <c r="O49" s="21" t="str" cm="1">
        <f t="array" aca="1" ref="O49" ca="1">ApplyDamageMitigation($M49,$N49,"")</f>
        <v/>
      </c>
      <c r="P49" s="21" t="str">
        <f ca="1">IFERROR(MATCH($I49,'Attack Steps'!$V:$V,0),"")</f>
        <v/>
      </c>
      <c r="Q49" s="21" t="str" cm="1">
        <f t="array" aca="1" ref="Q49" ca="1">IF($P49="","","§"&amp;INDEX('Attack Steps'!$S:$S,$P49))</f>
        <v/>
      </c>
      <c r="R49" s="21" t="str" cm="1">
        <f t="array" aca="1" ref="R49" ca="1">IF($P49="","",INDEX('Attack Steps'!$W:$W,$P49))</f>
        <v/>
      </c>
      <c r="S49" s="21" t="b">
        <f t="shared" ca="1" si="69"/>
        <v>0</v>
      </c>
      <c r="T49" s="21" cm="1">
        <f t="array" aca="1" ref="T49" ca="1">_xlfn.LAMBDA(_xlpm._in,_xlpm._val,_xlpm._range,
IF(_xlpm._in="",_xlpm._val,_xlfn.LET(
_xlpm._id,LEFT(_xlpm._in,FIND(",",_xlpm._in)-1),
CalculateMaxFromList(RemoveFirstElement(_xlpm._in),MAX(_xlpm._val,VLOOKUP(_xlpm._id,_xlpm._range,COLUMNS(_xlpm._range),FALSE)),_xlpm._range))))($M49,0,'Damage Scenarios'!$A:$U)</f>
        <v>0</v>
      </c>
      <c r="U49" s="21" cm="1">
        <f t="array" aca="1" ref="U49" ca="1">CalculateMaxFromList($O49,0,'Damage Scenarios'!$A:$U)</f>
        <v>0</v>
      </c>
      <c r="V49" s="21" t="str">
        <f ca="1">IF($U49=0,"",INDEX(Definitions!$Q:$Q,MATCH($U49,Definitions!$R:$R,0)))</f>
        <v/>
      </c>
      <c r="W49" s="21" t="str" cm="1">
        <f t="array" aca="1" ref="W49" ca="1">CalculateMaxAndElements($K49,0,"",'Attack Steps'!$A:X)</f>
        <v>0:</v>
      </c>
      <c r="X49" s="21" t="str" cm="1">
        <f t="array" aca="1" ref="X49" ca="1">CalculateMaxAndElements($K49,0,"",'Attack Steps'!$A:Y)</f>
        <v>0:</v>
      </c>
      <c r="Y49" s="21" t="str" cm="1">
        <f t="array" aca="1" ref="Y49" ca="1">CalculateMaxAndElements($K49,0,"",'Attack Steps'!$A:Z)</f>
        <v>0:</v>
      </c>
      <c r="Z49" s="21" t="str" cm="1">
        <f t="array" aca="1" ref="Z49" ca="1">CalculateMaxAndElements($K49,0,"",'Attack Steps'!$A:AA)</f>
        <v>0:</v>
      </c>
      <c r="AA49" s="21" t="str" cm="1">
        <f t="array" aca="1" ref="AA49" ca="1">CalculateMaxAndElements($K49,0,"",'Attack Steps'!$A:AB)</f>
        <v>0:</v>
      </c>
      <c r="AB49" s="21">
        <f t="shared" ca="1" si="70"/>
        <v>0</v>
      </c>
      <c r="AC49" s="21">
        <f t="shared" ca="1" si="71"/>
        <v>0</v>
      </c>
      <c r="AD49" s="21">
        <f t="shared" ca="1" si="72"/>
        <v>0</v>
      </c>
      <c r="AE49" s="21">
        <f t="shared" ca="1" si="73"/>
        <v>0</v>
      </c>
      <c r="AF49" s="21">
        <f t="shared" ca="1" si="74"/>
        <v>0</v>
      </c>
      <c r="AG49" s="21">
        <f t="shared" ca="1" si="64"/>
        <v>0</v>
      </c>
      <c r="AH49" s="21" t="str" cm="1">
        <f t="array" aca="1" ref="AH49" ca="1">IF(ROW()=ROW($AH$2)+1,"",INDEX($AH:$AH,ROW()-1))&amp;IF($A49="","",$A49&amp;",")</f>
        <v/>
      </c>
      <c r="AI49" s="21" t="str">
        <f t="shared" ca="1" si="75"/>
        <v/>
      </c>
      <c r="AJ49" s="21" cm="1">
        <f t="array" aca="1" ref="AJ49" ca="1">IF($G49="",0,SimpleLookup($G49,Definitions!$AE:$AF))</f>
        <v>0</v>
      </c>
      <c r="AK49" s="21" t="str" cm="1">
        <f t="array" aca="1" ref="AK49" ca="1">InverseLookup($A49,Mitigation!$U$2,Mitigation!$J$2,1,Helper!$B$5,",")</f>
        <v/>
      </c>
      <c r="AL49" s="21" t="str" cm="1">
        <f t="array" aca="1" ref="AL49" ca="1">CalculateMaxAndElementsWithFallback(SanitizeInput($AK49),0,"",Countermeasures!$A:Y,Assumptions!$A:Z)</f>
        <v>0:</v>
      </c>
      <c r="AM49" s="21" t="str" cm="1">
        <f t="array" aca="1" ref="AM49" ca="1">CalculateMaxAndElementsWithFallback(SanitizeInput($AK49),0,"",Countermeasures!$A:Z,Assumptions!$A:AA)</f>
        <v>0:</v>
      </c>
      <c r="AN49" s="21" t="str" cm="1">
        <f t="array" aca="1" ref="AN49" ca="1">CalculateMaxAndElementsWithFallback(SanitizeInput($AK49),0,"",Countermeasures!$A:AA,Assumptions!$A:AB)</f>
        <v>0:</v>
      </c>
      <c r="AO49" s="21" t="str" cm="1">
        <f t="array" aca="1" ref="AO49" ca="1">CalculateMaxAndElementsWithFallback(SanitizeInput($AK49),0,"",Countermeasures!$A:AB,Assumptions!$A:AC)</f>
        <v>0:</v>
      </c>
      <c r="AP49" s="21" t="str" cm="1">
        <f t="array" aca="1" ref="AP49" ca="1">CalculateMaxAndElementsWithFallback(SanitizeInput($AK49),0,"",Countermeasures!$A:AC,Assumptions!$A:AD)</f>
        <v>0:</v>
      </c>
      <c r="AQ49" s="21">
        <f t="shared" ca="1" si="76"/>
        <v>0</v>
      </c>
      <c r="AR49" s="21">
        <f t="shared" ca="1" si="77"/>
        <v>0</v>
      </c>
      <c r="AS49" s="21">
        <f t="shared" ca="1" si="78"/>
        <v>0</v>
      </c>
      <c r="AT49" s="21">
        <f t="shared" ca="1" si="79"/>
        <v>0</v>
      </c>
      <c r="AU49" s="21">
        <f t="shared" ca="1" si="80"/>
        <v>0</v>
      </c>
      <c r="AV49" s="21" t="str">
        <f t="shared" ca="1" si="81"/>
        <v>0:</v>
      </c>
      <c r="AW49" s="21" t="str">
        <f t="shared" ca="1" si="82"/>
        <v>0:</v>
      </c>
      <c r="AX49" s="21" t="str">
        <f t="shared" ca="1" si="83"/>
        <v>0:</v>
      </c>
      <c r="AY49" s="21" t="str">
        <f t="shared" ca="1" si="84"/>
        <v>0:</v>
      </c>
      <c r="AZ49" s="21" t="str">
        <f t="shared" ca="1" si="85"/>
        <v>0:</v>
      </c>
      <c r="BA49" s="21">
        <f t="shared" ca="1" si="86"/>
        <v>0</v>
      </c>
      <c r="BB49" s="21">
        <f t="shared" ca="1" si="87"/>
        <v>0</v>
      </c>
      <c r="BC49" s="21">
        <f t="shared" ca="1" si="88"/>
        <v>0</v>
      </c>
      <c r="BD49" s="21">
        <f t="shared" ca="1" si="89"/>
        <v>0</v>
      </c>
      <c r="BE49" s="21">
        <f t="shared" ca="1" si="90"/>
        <v>0</v>
      </c>
      <c r="BF49" s="21">
        <f t="shared" ca="1" si="65"/>
        <v>0</v>
      </c>
      <c r="BG49" s="21" t="str">
        <f ca="1">IFERROR(VLOOKUP($BF49,Definitions!$V:$W,COLUMNS(Definitions!$V:$W),TRUE),"")</f>
        <v>Basic</v>
      </c>
      <c r="BH49" s="21" t="str">
        <f ca="1">_xlfn.LET(
_xlpm._comments,GetValues($K49,Mitigation!$A:$O,"","",FALSE),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49" s="21" t="str" cm="1">
        <f t="array" aca="1" ref="BI49" ca="1">_xlfn.LET(
_xlpm._rapRange,Definitions!$W:$W,
_xlpm._calculatedRAP,$BG49,
_xlpm._inlineRAP,$BH49,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49" s="21" t="str">
        <f ca="1">IFERROR(IF(OR($V49="",$BI49=""),
Definitions!$AE$4,
VLOOKUP($V49,Definitions!$AH:$AM,MATCH($BI49,Definitions!$AH$3:$AM$3,0),FALSE)),
"")</f>
        <v>No Risk</v>
      </c>
      <c r="BK49" s="21" cm="1">
        <f t="array" aca="1" ref="BK49" ca="1">IF($BJ49="",0,SimpleLookup($BJ49,Definitions!$AE:$AF))</f>
        <v>0</v>
      </c>
      <c r="BL49" s="21" t="str" cm="1">
        <f t="array" aca="1" ref="BL49" ca="1">IFERROR(SimpleLookup($A49,Tracing!$B:$Z),"")</f>
        <v/>
      </c>
      <c r="BM49" s="21" t="str" cm="1">
        <f t="array" aca="1" ref="BM49" ca="1">_xlfn.LET(_xlpm._dm,SanitizeInput(GetValuesWithFallback(SanitizeInput($BL49),Assumptions!$A:$I,Countermeasures!$A:$I,"",",",FALSE)),
IF(_xlpm._dm="","",","&amp;_xlpm._dm))</f>
        <v/>
      </c>
      <c r="BN49" s="21" t="str" cm="1">
        <f t="array" aca="1" ref="BN49" ca="1">ApplyDamageMitigation($M49,$BM49,"")</f>
        <v/>
      </c>
      <c r="BO49" s="21" cm="1">
        <f t="array" aca="1" ref="BO49" ca="1">CalculateMaxFromList($BN49,0,'Damage Scenarios'!$A:$U)</f>
        <v>0</v>
      </c>
      <c r="BP49" s="21" t="str">
        <f ca="1">IF($BO49=0,"",INDEX(Definitions!$Q:$Q,MATCH($BO49,Definitions!$R:$R,0)))</f>
        <v/>
      </c>
      <c r="BQ49" s="21" t="str" cm="1">
        <f t="array" aca="1" ref="BQ49" ca="1">CalculateMaxAndElementsWithFallback(SanitizeInput($BL49),0,"",Countermeasures!$A:Y,Assumptions!$A:Z)</f>
        <v>0:</v>
      </c>
      <c r="BR49" s="21" t="str" cm="1">
        <f t="array" aca="1" ref="BR49" ca="1">CalculateMaxAndElementsWithFallback(SanitizeInput($BL49),0,"",Countermeasures!$A:Z,Assumptions!$A:AA)</f>
        <v>0:</v>
      </c>
      <c r="BS49" s="21" t="str" cm="1">
        <f t="array" aca="1" ref="BS49" ca="1">CalculateMaxAndElementsWithFallback(SanitizeInput($BL49),0,"",Countermeasures!$A:AA,Assumptions!$A:AB)</f>
        <v>0:</v>
      </c>
      <c r="BT49" s="21" t="str" cm="1">
        <f t="array" aca="1" ref="BT49" ca="1">CalculateMaxAndElementsWithFallback(SanitizeInput($BL49),0,"",Countermeasures!$A:AB,Assumptions!$A:AC)</f>
        <v>0:</v>
      </c>
      <c r="BU49" s="21" t="str" cm="1">
        <f t="array" aca="1" ref="BU49" ca="1">CalculateMaxAndElementsWithFallback(SanitizeInput($BL49),0,"",Countermeasures!$A:AC,Assumptions!$A:AD)</f>
        <v>0:</v>
      </c>
      <c r="BV49" s="21">
        <f t="shared" ca="1" si="25"/>
        <v>0</v>
      </c>
      <c r="BW49" s="21">
        <f t="shared" ca="1" si="26"/>
        <v>0</v>
      </c>
      <c r="BX49" s="21">
        <f t="shared" ca="1" si="27"/>
        <v>0</v>
      </c>
      <c r="BY49" s="21">
        <f t="shared" ca="1" si="28"/>
        <v>0</v>
      </c>
      <c r="BZ49" s="21">
        <f t="shared" ca="1" si="29"/>
        <v>0</v>
      </c>
      <c r="CA49" s="21" t="str">
        <f t="shared" ca="1" si="30"/>
        <v>0:</v>
      </c>
      <c r="CB49" s="21" t="str">
        <f t="shared" ca="1" si="31"/>
        <v>0:</v>
      </c>
      <c r="CC49" s="21" t="str">
        <f t="shared" ca="1" si="32"/>
        <v>0:</v>
      </c>
      <c r="CD49" s="21" t="str">
        <f t="shared" ca="1" si="33"/>
        <v>0:</v>
      </c>
      <c r="CE49" s="21" t="str">
        <f t="shared" ca="1" si="34"/>
        <v>0:</v>
      </c>
      <c r="CF49" s="21">
        <f t="shared" ca="1" si="35"/>
        <v>0</v>
      </c>
      <c r="CG49" s="21">
        <f t="shared" ca="1" si="36"/>
        <v>0</v>
      </c>
      <c r="CH49" s="21">
        <f t="shared" ca="1" si="37"/>
        <v>0</v>
      </c>
      <c r="CI49" s="21">
        <f t="shared" ca="1" si="38"/>
        <v>0</v>
      </c>
      <c r="CJ49" s="21">
        <f t="shared" ca="1" si="39"/>
        <v>0</v>
      </c>
      <c r="CK49" s="21">
        <f t="shared" ca="1" si="66"/>
        <v>0</v>
      </c>
      <c r="CL49" s="21" t="str">
        <f ca="1">IFERROR(VLOOKUP($CK49,Definitions!$V:$W,COLUMNS(Definitions!$V:$W),TRUE),"")</f>
        <v>Basic</v>
      </c>
      <c r="CM49" s="21" t="str">
        <f ca="1">_xlfn.LET(
_xlpm._comments,SimpleLookup($A49,Tracing!$B:$AB),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49" s="21" t="str" cm="1">
        <f t="array" aca="1" ref="CN49" ca="1">_xlfn.LET(
_xlpm._rapRange,Definitions!$W:$W,
_xlpm._calculatedRAP,$CL49,
_xlpm._inlineRAP,$CM49,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49" s="21" t="str">
        <f ca="1">IFERROR(IF(OR($BP49="",$CN49=""),
Definitions!$AE$4,
VLOOKUP($BP49,Definitions!$AH:$AM,MATCH($CN49,Definitions!$AH$3:$AM$3,0),FALSE)),
"")</f>
        <v>No Risk</v>
      </c>
      <c r="CP49" s="21" cm="1">
        <f t="array" aca="1" ref="CP49" ca="1">IF($CO49="",0,SimpleLookup($CO49,Definitions!$AE:$AF))</f>
        <v>0</v>
      </c>
      <c r="CQ49" s="21" t="b">
        <f ca="1">OR(AND($S49,$I49=Helper!$B$7),$I49&gt;Helper!$B$7)</f>
        <v>1</v>
      </c>
      <c r="CR49" s="21" t="str">
        <f t="shared" ca="1" si="67"/>
        <v/>
      </c>
      <c r="CS49" s="21" cm="1">
        <f t="array" aca="1" ref="CS49" ca="1">CreateID($CS$2,$CV:$CV,$CR49&lt;&gt;"")</f>
        <v>0</v>
      </c>
      <c r="CT49" s="21" t="str">
        <f ca="1">IF(IFERROR(MATCH(","&amp;A49&amp;",",'Risk Treatment'!$AT:$AT,0)&gt;0,FALSE),"",$A49)</f>
        <v/>
      </c>
      <c r="CU49" s="21" cm="1">
        <f t="array" aca="1" ref="CU49" ca="1">CreateID($CU$2,$CU:$CU,$CT49&lt;&gt;"")</f>
        <v>0</v>
      </c>
    </row>
    <row r="50" spans="1:99" x14ac:dyDescent="0.25">
      <c r="A50" s="33" t="str" cm="1">
        <f t="array" aca="1" ref="A50" ca="1">IF($B50="","","R"&amp;RemoveDelimiter(SUBSTITUTE(SUBSTITUTE($K50,"AS",""),",","-"),"-"))</f>
        <v/>
      </c>
      <c r="B50" s="33" t="str" cm="1">
        <f t="array" aca="1" ref="B50" ca="1">IF($L50="","",_xlfn.LET(
_xlpm._finalAttackStep,$L50,
_xlpm._prepAttacks,RemoveFirstElement(_xlpm._finalAttackStep&amp;","&amp;$K50),
_xlpm._prepAttackNames,IFERROR(LookupNames(_xlpm._prepAttacks,'Attack Steps'!$A:$B),""),
_xlpm._delimiter,REPT(CHAR(150),55),
$L50&amp;" "&amp;SimpleLookup($L50,'Attack Steps'!$A:$B)&amp;
IF(_xlpm._prepAttackNames="","",CHAR(10)&amp;_xlpm._delimiter&amp;CHAR(10)&amp;_xlpm._prepAttackNames)))</f>
        <v/>
      </c>
      <c r="C50" s="34" t="str" cm="1">
        <f t="array" aca="1" ref="C50" ca="1">IFERROR(LookupNames($M50,'Damage Scenarios'!$A:$V),"")</f>
        <v/>
      </c>
      <c r="D50" s="33" t="str">
        <f ca="1">IFERROR(IF($T50=0,"",INDEX(Definitions!$Q:$Q,MATCH($T50,Definitions!$R:$R,0))),"")</f>
        <v/>
      </c>
      <c r="E50" s="34" t="str" cm="1">
        <f t="array" aca="1" ref="E50" ca="1">IF($A50="","",_xlfn.LET(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_xlpm._factorFunction($A50,$A:W,Definitions!$Y:$Y,Definitions!$AB:$AB,1)&amp;CHAR(10)&amp;
_xlpm._factorFunction($A50,$A:X,Definitions!$Y:$Y,Definitions!$AB:$AB,2)&amp;CHAR(10)&amp;
_xlpm._factorFunction($A50,$A:Y,Definitions!$Y:$Y,Definitions!$AB:$AB,3)&amp;CHAR(10)&amp;
_xlpm._factorFunction($A50,$A:Z,Definitions!$Y:$Y,Definitions!$AB:$AB,4)&amp;CHAR(10)&amp;
_xlpm._factorFunction($A50,$A:AA,Definitions!$Y:$Y,Definitions!$AB:$AB,5)))</f>
        <v/>
      </c>
      <c r="F50" s="33" t="str">
        <f ca="1">IF($A50="","",IFERROR(VLOOKUP($AG50,Definitions!$V:$W,COLUMNS(Definitions!$V:$W),TRUE),""))</f>
        <v/>
      </c>
      <c r="G50" s="33" t="str">
        <f ca="1">IFERROR(IF(OR($D50="",$F50=""),
"",
VLOOKUP($D50,Definitions!$AH:$AM,MATCH($F50,Definitions!$AH$3:$AM$3,0),FALSE)),
"")</f>
        <v/>
      </c>
      <c r="H50" s="23" cm="1">
        <f t="array" aca="1" ref="H50" ca="1">IF(ROW()=ROW($H$2)+1,0,INDEX($H:$H,ROW()-1))+IF($A50="",0,1)</f>
        <v>0</v>
      </c>
      <c r="I50" s="21" cm="1">
        <f t="array" aca="1" ref="I50" ca="1">IF(ROW()=ROW($I$2)+1,
1,
INDEX($I:$I,ROW()-1)+IF(INDEX($S:$S,ROW()-1),1,0))</f>
        <v>1</v>
      </c>
      <c r="J50" s="21">
        <f t="shared" ca="1" si="63"/>
        <v>48</v>
      </c>
      <c r="K50" s="21" t="str">
        <f t="shared" ca="1" si="68"/>
        <v/>
      </c>
      <c r="L50" s="21" t="str" cm="1">
        <f t="array" aca="1" ref="L50" ca="1">IF($P50="","",INDEX('Attack Steps'!$A:$A,$P50))</f>
        <v/>
      </c>
      <c r="M50" s="21" t="str" cm="1">
        <f t="array" aca="1" ref="M50" ca="1">IF($P50="","",INDEX('Attack Steps'!$T:$T,$P50))</f>
        <v/>
      </c>
      <c r="N50" s="21" t="str" cm="1">
        <f t="array" aca="1" ref="N50" ca="1">_xlfn.LET(_xlpm._dm,SanitizeInput(GetValuesWithFallback(SanitizeInput($AK50),Assumptions!$A:$I,Countermeasures!$A:$I,"",",",FALSE)),
IF(_xlpm._dm="","",","&amp;_xlpm._dm))</f>
        <v/>
      </c>
      <c r="O50" s="21" t="str" cm="1">
        <f t="array" aca="1" ref="O50" ca="1">ApplyDamageMitigation($M50,$N50,"")</f>
        <v/>
      </c>
      <c r="P50" s="21" t="str">
        <f ca="1">IFERROR(MATCH($I50,'Attack Steps'!$V:$V,0),"")</f>
        <v/>
      </c>
      <c r="Q50" s="21" t="str" cm="1">
        <f t="array" aca="1" ref="Q50" ca="1">IF($P50="","","§"&amp;INDEX('Attack Steps'!$S:$S,$P50))</f>
        <v/>
      </c>
      <c r="R50" s="21" t="str" cm="1">
        <f t="array" aca="1" ref="R50" ca="1">IF($P50="","",INDEX('Attack Steps'!$W:$W,$P50))</f>
        <v/>
      </c>
      <c r="S50" s="21" t="b">
        <f t="shared" ca="1" si="69"/>
        <v>0</v>
      </c>
      <c r="T50" s="21" cm="1">
        <f t="array" aca="1" ref="T50" ca="1">_xlfn.LAMBDA(_xlpm._in,_xlpm._val,_xlpm._range,
IF(_xlpm._in="",_xlpm._val,_xlfn.LET(
_xlpm._id,LEFT(_xlpm._in,FIND(",",_xlpm._in)-1),
CalculateMaxFromList(RemoveFirstElement(_xlpm._in),MAX(_xlpm._val,VLOOKUP(_xlpm._id,_xlpm._range,COLUMNS(_xlpm._range),FALSE)),_xlpm._range))))($M50,0,'Damage Scenarios'!$A:$U)</f>
        <v>0</v>
      </c>
      <c r="U50" s="21" cm="1">
        <f t="array" aca="1" ref="U50" ca="1">CalculateMaxFromList($O50,0,'Damage Scenarios'!$A:$U)</f>
        <v>0</v>
      </c>
      <c r="V50" s="21" t="str">
        <f ca="1">IF($U50=0,"",INDEX(Definitions!$Q:$Q,MATCH($U50,Definitions!$R:$R,0)))</f>
        <v/>
      </c>
      <c r="W50" s="21" t="str" cm="1">
        <f t="array" aca="1" ref="W50" ca="1">CalculateMaxAndElements($K50,0,"",'Attack Steps'!$A:X)</f>
        <v>0:</v>
      </c>
      <c r="X50" s="21" t="str" cm="1">
        <f t="array" aca="1" ref="X50" ca="1">CalculateMaxAndElements($K50,0,"",'Attack Steps'!$A:Y)</f>
        <v>0:</v>
      </c>
      <c r="Y50" s="21" t="str" cm="1">
        <f t="array" aca="1" ref="Y50" ca="1">CalculateMaxAndElements($K50,0,"",'Attack Steps'!$A:Z)</f>
        <v>0:</v>
      </c>
      <c r="Z50" s="21" t="str" cm="1">
        <f t="array" aca="1" ref="Z50" ca="1">CalculateMaxAndElements($K50,0,"",'Attack Steps'!$A:AA)</f>
        <v>0:</v>
      </c>
      <c r="AA50" s="21" t="str" cm="1">
        <f t="array" aca="1" ref="AA50" ca="1">CalculateMaxAndElements($K50,0,"",'Attack Steps'!$A:AB)</f>
        <v>0:</v>
      </c>
      <c r="AB50" s="21">
        <f t="shared" ca="1" si="70"/>
        <v>0</v>
      </c>
      <c r="AC50" s="21">
        <f t="shared" ca="1" si="71"/>
        <v>0</v>
      </c>
      <c r="AD50" s="21">
        <f t="shared" ca="1" si="72"/>
        <v>0</v>
      </c>
      <c r="AE50" s="21">
        <f t="shared" ca="1" si="73"/>
        <v>0</v>
      </c>
      <c r="AF50" s="21">
        <f t="shared" ca="1" si="74"/>
        <v>0</v>
      </c>
      <c r="AG50" s="21">
        <f t="shared" ca="1" si="64"/>
        <v>0</v>
      </c>
      <c r="AH50" s="21" t="str" cm="1">
        <f t="array" aca="1" ref="AH50" ca="1">IF(ROW()=ROW($AH$2)+1,"",INDEX($AH:$AH,ROW()-1))&amp;IF($A50="","",$A50&amp;",")</f>
        <v/>
      </c>
      <c r="AI50" s="21" t="str">
        <f t="shared" ca="1" si="75"/>
        <v/>
      </c>
      <c r="AJ50" s="21" cm="1">
        <f t="array" aca="1" ref="AJ50" ca="1">IF($G50="",0,SimpleLookup($G50,Definitions!$AE:$AF))</f>
        <v>0</v>
      </c>
      <c r="AK50" s="21" t="str" cm="1">
        <f t="array" aca="1" ref="AK50" ca="1">InverseLookup($A50,Mitigation!$U$2,Mitigation!$J$2,1,Helper!$B$5,",")</f>
        <v/>
      </c>
      <c r="AL50" s="21" t="str" cm="1">
        <f t="array" aca="1" ref="AL50" ca="1">CalculateMaxAndElementsWithFallback(SanitizeInput($AK50),0,"",Countermeasures!$A:Y,Assumptions!$A:Z)</f>
        <v>0:</v>
      </c>
      <c r="AM50" s="21" t="str" cm="1">
        <f t="array" aca="1" ref="AM50" ca="1">CalculateMaxAndElementsWithFallback(SanitizeInput($AK50),0,"",Countermeasures!$A:Z,Assumptions!$A:AA)</f>
        <v>0:</v>
      </c>
      <c r="AN50" s="21" t="str" cm="1">
        <f t="array" aca="1" ref="AN50" ca="1">CalculateMaxAndElementsWithFallback(SanitizeInput($AK50),0,"",Countermeasures!$A:AA,Assumptions!$A:AB)</f>
        <v>0:</v>
      </c>
      <c r="AO50" s="21" t="str" cm="1">
        <f t="array" aca="1" ref="AO50" ca="1">CalculateMaxAndElementsWithFallback(SanitizeInput($AK50),0,"",Countermeasures!$A:AB,Assumptions!$A:AC)</f>
        <v>0:</v>
      </c>
      <c r="AP50" s="21" t="str" cm="1">
        <f t="array" aca="1" ref="AP50" ca="1">CalculateMaxAndElementsWithFallback(SanitizeInput($AK50),0,"",Countermeasures!$A:AC,Assumptions!$A:AD)</f>
        <v>0:</v>
      </c>
      <c r="AQ50" s="21">
        <f t="shared" ca="1" si="76"/>
        <v>0</v>
      </c>
      <c r="AR50" s="21">
        <f t="shared" ca="1" si="77"/>
        <v>0</v>
      </c>
      <c r="AS50" s="21">
        <f t="shared" ca="1" si="78"/>
        <v>0</v>
      </c>
      <c r="AT50" s="21">
        <f t="shared" ca="1" si="79"/>
        <v>0</v>
      </c>
      <c r="AU50" s="21">
        <f t="shared" ca="1" si="80"/>
        <v>0</v>
      </c>
      <c r="AV50" s="21" t="str">
        <f t="shared" ca="1" si="81"/>
        <v>0:</v>
      </c>
      <c r="AW50" s="21" t="str">
        <f t="shared" ca="1" si="82"/>
        <v>0:</v>
      </c>
      <c r="AX50" s="21" t="str">
        <f t="shared" ca="1" si="83"/>
        <v>0:</v>
      </c>
      <c r="AY50" s="21" t="str">
        <f t="shared" ca="1" si="84"/>
        <v>0:</v>
      </c>
      <c r="AZ50" s="21" t="str">
        <f t="shared" ca="1" si="85"/>
        <v>0:</v>
      </c>
      <c r="BA50" s="21">
        <f t="shared" ca="1" si="86"/>
        <v>0</v>
      </c>
      <c r="BB50" s="21">
        <f t="shared" ca="1" si="87"/>
        <v>0</v>
      </c>
      <c r="BC50" s="21">
        <f t="shared" ca="1" si="88"/>
        <v>0</v>
      </c>
      <c r="BD50" s="21">
        <f t="shared" ca="1" si="89"/>
        <v>0</v>
      </c>
      <c r="BE50" s="21">
        <f t="shared" ca="1" si="90"/>
        <v>0</v>
      </c>
      <c r="BF50" s="21">
        <f t="shared" ca="1" si="65"/>
        <v>0</v>
      </c>
      <c r="BG50" s="21" t="str">
        <f ca="1">IFERROR(VLOOKUP($BF50,Definitions!$V:$W,COLUMNS(Definitions!$V:$W),TRUE),"")</f>
        <v>Basic</v>
      </c>
      <c r="BH50" s="21" t="str">
        <f ca="1">_xlfn.LET(
_xlpm._comments,GetValues($K50,Mitigation!$A:$O,"","",FALSE),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50" s="21" t="str" cm="1">
        <f t="array" aca="1" ref="BI50" ca="1">_xlfn.LET(
_xlpm._rapRange,Definitions!$W:$W,
_xlpm._calculatedRAP,$BG50,
_xlpm._inlineRAP,$BH50,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50" s="21" t="str">
        <f ca="1">IFERROR(IF(OR($V50="",$BI50=""),
Definitions!$AE$4,
VLOOKUP($V50,Definitions!$AH:$AM,MATCH($BI50,Definitions!$AH$3:$AM$3,0),FALSE)),
"")</f>
        <v>No Risk</v>
      </c>
      <c r="BK50" s="21" cm="1">
        <f t="array" aca="1" ref="BK50" ca="1">IF($BJ50="",0,SimpleLookup($BJ50,Definitions!$AE:$AF))</f>
        <v>0</v>
      </c>
      <c r="BL50" s="21" t="str" cm="1">
        <f t="array" aca="1" ref="BL50" ca="1">IFERROR(SimpleLookup($A50,Tracing!$B:$Z),"")</f>
        <v/>
      </c>
      <c r="BM50" s="21" t="str" cm="1">
        <f t="array" aca="1" ref="BM50" ca="1">_xlfn.LET(_xlpm._dm,SanitizeInput(GetValuesWithFallback(SanitizeInput($BL50),Assumptions!$A:$I,Countermeasures!$A:$I,"",",",FALSE)),
IF(_xlpm._dm="","",","&amp;_xlpm._dm))</f>
        <v/>
      </c>
      <c r="BN50" s="21" t="str" cm="1">
        <f t="array" aca="1" ref="BN50" ca="1">ApplyDamageMitigation($M50,$BM50,"")</f>
        <v/>
      </c>
      <c r="BO50" s="21" cm="1">
        <f t="array" aca="1" ref="BO50" ca="1">CalculateMaxFromList($BN50,0,'Damage Scenarios'!$A:$U)</f>
        <v>0</v>
      </c>
      <c r="BP50" s="21" t="str">
        <f ca="1">IF($BO50=0,"",INDEX(Definitions!$Q:$Q,MATCH($BO50,Definitions!$R:$R,0)))</f>
        <v/>
      </c>
      <c r="BQ50" s="21" t="str" cm="1">
        <f t="array" aca="1" ref="BQ50" ca="1">CalculateMaxAndElementsWithFallback(SanitizeInput($BL50),0,"",Countermeasures!$A:Y,Assumptions!$A:Z)</f>
        <v>0:</v>
      </c>
      <c r="BR50" s="21" t="str" cm="1">
        <f t="array" aca="1" ref="BR50" ca="1">CalculateMaxAndElementsWithFallback(SanitizeInput($BL50),0,"",Countermeasures!$A:Z,Assumptions!$A:AA)</f>
        <v>0:</v>
      </c>
      <c r="BS50" s="21" t="str" cm="1">
        <f t="array" aca="1" ref="BS50" ca="1">CalculateMaxAndElementsWithFallback(SanitizeInput($BL50),0,"",Countermeasures!$A:AA,Assumptions!$A:AB)</f>
        <v>0:</v>
      </c>
      <c r="BT50" s="21" t="str" cm="1">
        <f t="array" aca="1" ref="BT50" ca="1">CalculateMaxAndElementsWithFallback(SanitizeInput($BL50),0,"",Countermeasures!$A:AB,Assumptions!$A:AC)</f>
        <v>0:</v>
      </c>
      <c r="BU50" s="21" t="str" cm="1">
        <f t="array" aca="1" ref="BU50" ca="1">CalculateMaxAndElementsWithFallback(SanitizeInput($BL50),0,"",Countermeasures!$A:AC,Assumptions!$A:AD)</f>
        <v>0:</v>
      </c>
      <c r="BV50" s="21">
        <f t="shared" ca="1" si="25"/>
        <v>0</v>
      </c>
      <c r="BW50" s="21">
        <f t="shared" ca="1" si="26"/>
        <v>0</v>
      </c>
      <c r="BX50" s="21">
        <f t="shared" ca="1" si="27"/>
        <v>0</v>
      </c>
      <c r="BY50" s="21">
        <f t="shared" ca="1" si="28"/>
        <v>0</v>
      </c>
      <c r="BZ50" s="21">
        <f t="shared" ca="1" si="29"/>
        <v>0</v>
      </c>
      <c r="CA50" s="21" t="str">
        <f t="shared" ca="1" si="30"/>
        <v>0:</v>
      </c>
      <c r="CB50" s="21" t="str">
        <f t="shared" ca="1" si="31"/>
        <v>0:</v>
      </c>
      <c r="CC50" s="21" t="str">
        <f t="shared" ca="1" si="32"/>
        <v>0:</v>
      </c>
      <c r="CD50" s="21" t="str">
        <f t="shared" ca="1" si="33"/>
        <v>0:</v>
      </c>
      <c r="CE50" s="21" t="str">
        <f t="shared" ca="1" si="34"/>
        <v>0:</v>
      </c>
      <c r="CF50" s="21">
        <f t="shared" ca="1" si="35"/>
        <v>0</v>
      </c>
      <c r="CG50" s="21">
        <f t="shared" ca="1" si="36"/>
        <v>0</v>
      </c>
      <c r="CH50" s="21">
        <f t="shared" ca="1" si="37"/>
        <v>0</v>
      </c>
      <c r="CI50" s="21">
        <f t="shared" ca="1" si="38"/>
        <v>0</v>
      </c>
      <c r="CJ50" s="21">
        <f t="shared" ca="1" si="39"/>
        <v>0</v>
      </c>
      <c r="CK50" s="21">
        <f t="shared" ca="1" si="66"/>
        <v>0</v>
      </c>
      <c r="CL50" s="21" t="str">
        <f ca="1">IFERROR(VLOOKUP($CK50,Definitions!$V:$W,COLUMNS(Definitions!$V:$W),TRUE),"")</f>
        <v>Basic</v>
      </c>
      <c r="CM50" s="21" t="str">
        <f ca="1">_xlfn.LET(
_xlpm._comments,SimpleLookup($A50,Tracing!$B:$AB),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50" s="21" t="str" cm="1">
        <f t="array" aca="1" ref="CN50" ca="1">_xlfn.LET(
_xlpm._rapRange,Definitions!$W:$W,
_xlpm._calculatedRAP,$CL50,
_xlpm._inlineRAP,$CM50,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50" s="21" t="str">
        <f ca="1">IFERROR(IF(OR($BP50="",$CN50=""),
Definitions!$AE$4,
VLOOKUP($BP50,Definitions!$AH:$AM,MATCH($CN50,Definitions!$AH$3:$AM$3,0),FALSE)),
"")</f>
        <v>No Risk</v>
      </c>
      <c r="CP50" s="21" cm="1">
        <f t="array" aca="1" ref="CP50" ca="1">IF($CO50="",0,SimpleLookup($CO50,Definitions!$AE:$AF))</f>
        <v>0</v>
      </c>
      <c r="CQ50" s="21" t="b">
        <f ca="1">OR(AND($S50,$I50=Helper!$B$7),$I50&gt;Helper!$B$7)</f>
        <v>1</v>
      </c>
      <c r="CR50" s="21" t="str">
        <f t="shared" ca="1" si="67"/>
        <v/>
      </c>
      <c r="CS50" s="21" cm="1">
        <f t="array" aca="1" ref="CS50" ca="1">CreateID($CS$2,$CV:$CV,$CR50&lt;&gt;"")</f>
        <v>0</v>
      </c>
      <c r="CT50" s="21" t="str">
        <f ca="1">IF(IFERROR(MATCH(","&amp;A50&amp;",",'Risk Treatment'!$AT:$AT,0)&gt;0,FALSE),"",$A50)</f>
        <v/>
      </c>
      <c r="CU50" s="21" cm="1">
        <f t="array" aca="1" ref="CU50" ca="1">CreateID($CU$2,$CU:$CU,$CT50&lt;&gt;"")</f>
        <v>0</v>
      </c>
    </row>
    <row r="51" spans="1:99" x14ac:dyDescent="0.25">
      <c r="A51" s="33" t="str" cm="1">
        <f t="array" aca="1" ref="A51" ca="1">IF($B51="","","R"&amp;RemoveDelimiter(SUBSTITUTE(SUBSTITUTE($K51,"AS",""),",","-"),"-"))</f>
        <v/>
      </c>
      <c r="B51" s="33" t="str" cm="1">
        <f t="array" aca="1" ref="B51" ca="1">IF($L51="","",_xlfn.LET(
_xlpm._finalAttackStep,$L51,
_xlpm._prepAttacks,RemoveFirstElement(_xlpm._finalAttackStep&amp;","&amp;$K51),
_xlpm._prepAttackNames,IFERROR(LookupNames(_xlpm._prepAttacks,'Attack Steps'!$A:$B),""),
_xlpm._delimiter,REPT(CHAR(150),55),
$L51&amp;" "&amp;SimpleLookup($L51,'Attack Steps'!$A:$B)&amp;
IF(_xlpm._prepAttackNames="","",CHAR(10)&amp;_xlpm._delimiter&amp;CHAR(10)&amp;_xlpm._prepAttackNames)))</f>
        <v/>
      </c>
      <c r="C51" s="34" t="str" cm="1">
        <f t="array" aca="1" ref="C51" ca="1">IFERROR(LookupNames($M51,'Damage Scenarios'!$A:$V),"")</f>
        <v/>
      </c>
      <c r="D51" s="33" t="str">
        <f ca="1">IFERROR(IF($T51=0,"",INDEX(Definitions!$Q:$Q,MATCH($T51,Definitions!$R:$R,0))),"")</f>
        <v/>
      </c>
      <c r="E51" s="34" t="str" cm="1">
        <f t="array" aca="1" ref="E51" ca="1">IF($A51="","",_xlfn.LET(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_xlpm._factorFunction($A51,$A:W,Definitions!$Y:$Y,Definitions!$AB:$AB,1)&amp;CHAR(10)&amp;
_xlpm._factorFunction($A51,$A:X,Definitions!$Y:$Y,Definitions!$AB:$AB,2)&amp;CHAR(10)&amp;
_xlpm._factorFunction($A51,$A:Y,Definitions!$Y:$Y,Definitions!$AB:$AB,3)&amp;CHAR(10)&amp;
_xlpm._factorFunction($A51,$A:Z,Definitions!$Y:$Y,Definitions!$AB:$AB,4)&amp;CHAR(10)&amp;
_xlpm._factorFunction($A51,$A:AA,Definitions!$Y:$Y,Definitions!$AB:$AB,5)))</f>
        <v/>
      </c>
      <c r="F51" s="33" t="str">
        <f ca="1">IF($A51="","",IFERROR(VLOOKUP($AG51,Definitions!$V:$W,COLUMNS(Definitions!$V:$W),TRUE),""))</f>
        <v/>
      </c>
      <c r="G51" s="33" t="str">
        <f ca="1">IFERROR(IF(OR($D51="",$F51=""),
"",
VLOOKUP($D51,Definitions!$AH:$AM,MATCH($F51,Definitions!$AH$3:$AM$3,0),FALSE)),
"")</f>
        <v/>
      </c>
      <c r="H51" s="23" cm="1">
        <f t="array" aca="1" ref="H51" ca="1">IF(ROW()=ROW($H$2)+1,0,INDEX($H:$H,ROW()-1))+IF($A51="",0,1)</f>
        <v>0</v>
      </c>
      <c r="I51" s="21" cm="1">
        <f t="array" aca="1" ref="I51" ca="1">IF(ROW()=ROW($I$2)+1,
1,
INDEX($I:$I,ROW()-1)+IF(INDEX($S:$S,ROW()-1),1,0))</f>
        <v>1</v>
      </c>
      <c r="J51" s="21">
        <f t="shared" ca="1" si="63"/>
        <v>49</v>
      </c>
      <c r="K51" s="21" t="str">
        <f t="shared" ca="1" si="68"/>
        <v/>
      </c>
      <c r="L51" s="21" t="str" cm="1">
        <f t="array" aca="1" ref="L51" ca="1">IF($P51="","",INDEX('Attack Steps'!$A:$A,$P51))</f>
        <v/>
      </c>
      <c r="M51" s="21" t="str" cm="1">
        <f t="array" aca="1" ref="M51" ca="1">IF($P51="","",INDEX('Attack Steps'!$T:$T,$P51))</f>
        <v/>
      </c>
      <c r="N51" s="21" t="str" cm="1">
        <f t="array" aca="1" ref="N51" ca="1">_xlfn.LET(_xlpm._dm,SanitizeInput(GetValuesWithFallback(SanitizeInput($AK51),Assumptions!$A:$I,Countermeasures!$A:$I,"",",",FALSE)),
IF(_xlpm._dm="","",","&amp;_xlpm._dm))</f>
        <v/>
      </c>
      <c r="O51" s="21" t="str" cm="1">
        <f t="array" aca="1" ref="O51" ca="1">ApplyDamageMitigation($M51,$N51,"")</f>
        <v/>
      </c>
      <c r="P51" s="21" t="str">
        <f ca="1">IFERROR(MATCH($I51,'Attack Steps'!$V:$V,0),"")</f>
        <v/>
      </c>
      <c r="Q51" s="21" t="str" cm="1">
        <f t="array" aca="1" ref="Q51" ca="1">IF($P51="","","§"&amp;INDEX('Attack Steps'!$S:$S,$P51))</f>
        <v/>
      </c>
      <c r="R51" s="21" t="str" cm="1">
        <f t="array" aca="1" ref="R51" ca="1">IF($P51="","",INDEX('Attack Steps'!$W:$W,$P51))</f>
        <v/>
      </c>
      <c r="S51" s="21" t="b">
        <f t="shared" ca="1" si="69"/>
        <v>0</v>
      </c>
      <c r="T51" s="21" cm="1">
        <f t="array" aca="1" ref="T51" ca="1">_xlfn.LAMBDA(_xlpm._in,_xlpm._val,_xlpm._range,
IF(_xlpm._in="",_xlpm._val,_xlfn.LET(
_xlpm._id,LEFT(_xlpm._in,FIND(",",_xlpm._in)-1),
CalculateMaxFromList(RemoveFirstElement(_xlpm._in),MAX(_xlpm._val,VLOOKUP(_xlpm._id,_xlpm._range,COLUMNS(_xlpm._range),FALSE)),_xlpm._range))))($M51,0,'Damage Scenarios'!$A:$U)</f>
        <v>0</v>
      </c>
      <c r="U51" s="21" cm="1">
        <f t="array" aca="1" ref="U51" ca="1">CalculateMaxFromList($O51,0,'Damage Scenarios'!$A:$U)</f>
        <v>0</v>
      </c>
      <c r="V51" s="21" t="str">
        <f ca="1">IF($U51=0,"",INDEX(Definitions!$Q:$Q,MATCH($U51,Definitions!$R:$R,0)))</f>
        <v/>
      </c>
      <c r="W51" s="21" t="str" cm="1">
        <f t="array" aca="1" ref="W51" ca="1">CalculateMaxAndElements($K51,0,"",'Attack Steps'!$A:X)</f>
        <v>0:</v>
      </c>
      <c r="X51" s="21" t="str" cm="1">
        <f t="array" aca="1" ref="X51" ca="1">CalculateMaxAndElements($K51,0,"",'Attack Steps'!$A:Y)</f>
        <v>0:</v>
      </c>
      <c r="Y51" s="21" t="str" cm="1">
        <f t="array" aca="1" ref="Y51" ca="1">CalculateMaxAndElements($K51,0,"",'Attack Steps'!$A:Z)</f>
        <v>0:</v>
      </c>
      <c r="Z51" s="21" t="str" cm="1">
        <f t="array" aca="1" ref="Z51" ca="1">CalculateMaxAndElements($K51,0,"",'Attack Steps'!$A:AA)</f>
        <v>0:</v>
      </c>
      <c r="AA51" s="21" t="str" cm="1">
        <f t="array" aca="1" ref="AA51" ca="1">CalculateMaxAndElements($K51,0,"",'Attack Steps'!$A:AB)</f>
        <v>0:</v>
      </c>
      <c r="AB51" s="21">
        <f t="shared" ca="1" si="70"/>
        <v>0</v>
      </c>
      <c r="AC51" s="21">
        <f t="shared" ca="1" si="71"/>
        <v>0</v>
      </c>
      <c r="AD51" s="21">
        <f t="shared" ca="1" si="72"/>
        <v>0</v>
      </c>
      <c r="AE51" s="21">
        <f t="shared" ca="1" si="73"/>
        <v>0</v>
      </c>
      <c r="AF51" s="21">
        <f t="shared" ca="1" si="74"/>
        <v>0</v>
      </c>
      <c r="AG51" s="21">
        <f t="shared" ca="1" si="64"/>
        <v>0</v>
      </c>
      <c r="AH51" s="21" t="str" cm="1">
        <f t="array" aca="1" ref="AH51" ca="1">IF(ROW()=ROW($AH$2)+1,"",INDEX($AH:$AH,ROW()-1))&amp;IF($A51="","",$A51&amp;",")</f>
        <v/>
      </c>
      <c r="AI51" s="21" t="str">
        <f t="shared" ca="1" si="75"/>
        <v/>
      </c>
      <c r="AJ51" s="21" cm="1">
        <f t="array" aca="1" ref="AJ51" ca="1">IF($G51="",0,SimpleLookup($G51,Definitions!$AE:$AF))</f>
        <v>0</v>
      </c>
      <c r="AK51" s="21" t="str" cm="1">
        <f t="array" aca="1" ref="AK51" ca="1">InverseLookup($A51,Mitigation!$U$2,Mitigation!$J$2,1,Helper!$B$5,",")</f>
        <v/>
      </c>
      <c r="AL51" s="21" t="str" cm="1">
        <f t="array" aca="1" ref="AL51" ca="1">CalculateMaxAndElementsWithFallback(SanitizeInput($AK51),0,"",Countermeasures!$A:Y,Assumptions!$A:Z)</f>
        <v>0:</v>
      </c>
      <c r="AM51" s="21" t="str" cm="1">
        <f t="array" aca="1" ref="AM51" ca="1">CalculateMaxAndElementsWithFallback(SanitizeInput($AK51),0,"",Countermeasures!$A:Z,Assumptions!$A:AA)</f>
        <v>0:</v>
      </c>
      <c r="AN51" s="21" t="str" cm="1">
        <f t="array" aca="1" ref="AN51" ca="1">CalculateMaxAndElementsWithFallback(SanitizeInput($AK51),0,"",Countermeasures!$A:AA,Assumptions!$A:AB)</f>
        <v>0:</v>
      </c>
      <c r="AO51" s="21" t="str" cm="1">
        <f t="array" aca="1" ref="AO51" ca="1">CalculateMaxAndElementsWithFallback(SanitizeInput($AK51),0,"",Countermeasures!$A:AB,Assumptions!$A:AC)</f>
        <v>0:</v>
      </c>
      <c r="AP51" s="21" t="str" cm="1">
        <f t="array" aca="1" ref="AP51" ca="1">CalculateMaxAndElementsWithFallback(SanitizeInput($AK51),0,"",Countermeasures!$A:AC,Assumptions!$A:AD)</f>
        <v>0:</v>
      </c>
      <c r="AQ51" s="21">
        <f t="shared" ca="1" si="76"/>
        <v>0</v>
      </c>
      <c r="AR51" s="21">
        <f t="shared" ca="1" si="77"/>
        <v>0</v>
      </c>
      <c r="AS51" s="21">
        <f t="shared" ca="1" si="78"/>
        <v>0</v>
      </c>
      <c r="AT51" s="21">
        <f t="shared" ca="1" si="79"/>
        <v>0</v>
      </c>
      <c r="AU51" s="21">
        <f t="shared" ca="1" si="80"/>
        <v>0</v>
      </c>
      <c r="AV51" s="21" t="str">
        <f t="shared" ca="1" si="81"/>
        <v>0:</v>
      </c>
      <c r="AW51" s="21" t="str">
        <f t="shared" ca="1" si="82"/>
        <v>0:</v>
      </c>
      <c r="AX51" s="21" t="str">
        <f t="shared" ca="1" si="83"/>
        <v>0:</v>
      </c>
      <c r="AY51" s="21" t="str">
        <f t="shared" ca="1" si="84"/>
        <v>0:</v>
      </c>
      <c r="AZ51" s="21" t="str">
        <f t="shared" ca="1" si="85"/>
        <v>0:</v>
      </c>
      <c r="BA51" s="21">
        <f t="shared" ca="1" si="86"/>
        <v>0</v>
      </c>
      <c r="BB51" s="21">
        <f t="shared" ca="1" si="87"/>
        <v>0</v>
      </c>
      <c r="BC51" s="21">
        <f t="shared" ca="1" si="88"/>
        <v>0</v>
      </c>
      <c r="BD51" s="21">
        <f t="shared" ca="1" si="89"/>
        <v>0</v>
      </c>
      <c r="BE51" s="21">
        <f t="shared" ca="1" si="90"/>
        <v>0</v>
      </c>
      <c r="BF51" s="21">
        <f t="shared" ca="1" si="65"/>
        <v>0</v>
      </c>
      <c r="BG51" s="21" t="str">
        <f ca="1">IFERROR(VLOOKUP($BF51,Definitions!$V:$W,COLUMNS(Definitions!$V:$W),TRUE),"")</f>
        <v>Basic</v>
      </c>
      <c r="BH51" s="21" t="str">
        <f ca="1">_xlfn.LET(
_xlpm._comments,GetValues($K51,Mitigation!$A:$O,"","",FALSE),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51" s="21" t="str" cm="1">
        <f t="array" aca="1" ref="BI51" ca="1">_xlfn.LET(
_xlpm._rapRange,Definitions!$W:$W,
_xlpm._calculatedRAP,$BG51,
_xlpm._inlineRAP,$BH51,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51" s="21" t="str">
        <f ca="1">IFERROR(IF(OR($V51="",$BI51=""),
Definitions!$AE$4,
VLOOKUP($V51,Definitions!$AH:$AM,MATCH($BI51,Definitions!$AH$3:$AM$3,0),FALSE)),
"")</f>
        <v>No Risk</v>
      </c>
      <c r="BK51" s="21" cm="1">
        <f t="array" aca="1" ref="BK51" ca="1">IF($BJ51="",0,SimpleLookup($BJ51,Definitions!$AE:$AF))</f>
        <v>0</v>
      </c>
      <c r="BL51" s="21" t="str" cm="1">
        <f t="array" aca="1" ref="BL51" ca="1">IFERROR(SimpleLookup($A51,Tracing!$B:$Z),"")</f>
        <v/>
      </c>
      <c r="BM51" s="21" t="str" cm="1">
        <f t="array" aca="1" ref="BM51" ca="1">_xlfn.LET(_xlpm._dm,SanitizeInput(GetValuesWithFallback(SanitizeInput($BL51),Assumptions!$A:$I,Countermeasures!$A:$I,"",",",FALSE)),
IF(_xlpm._dm="","",","&amp;_xlpm._dm))</f>
        <v/>
      </c>
      <c r="BN51" s="21" t="str" cm="1">
        <f t="array" aca="1" ref="BN51" ca="1">ApplyDamageMitigation($M51,$BM51,"")</f>
        <v/>
      </c>
      <c r="BO51" s="21" cm="1">
        <f t="array" aca="1" ref="BO51" ca="1">CalculateMaxFromList($BN51,0,'Damage Scenarios'!$A:$U)</f>
        <v>0</v>
      </c>
      <c r="BP51" s="21" t="str">
        <f ca="1">IF($BO51=0,"",INDEX(Definitions!$Q:$Q,MATCH($BO51,Definitions!$R:$R,0)))</f>
        <v/>
      </c>
      <c r="BQ51" s="21" t="str" cm="1">
        <f t="array" aca="1" ref="BQ51" ca="1">CalculateMaxAndElementsWithFallback(SanitizeInput($BL51),0,"",Countermeasures!$A:Y,Assumptions!$A:Z)</f>
        <v>0:</v>
      </c>
      <c r="BR51" s="21" t="str" cm="1">
        <f t="array" aca="1" ref="BR51" ca="1">CalculateMaxAndElementsWithFallback(SanitizeInput($BL51),0,"",Countermeasures!$A:Z,Assumptions!$A:AA)</f>
        <v>0:</v>
      </c>
      <c r="BS51" s="21" t="str" cm="1">
        <f t="array" aca="1" ref="BS51" ca="1">CalculateMaxAndElementsWithFallback(SanitizeInput($BL51),0,"",Countermeasures!$A:AA,Assumptions!$A:AB)</f>
        <v>0:</v>
      </c>
      <c r="BT51" s="21" t="str" cm="1">
        <f t="array" aca="1" ref="BT51" ca="1">CalculateMaxAndElementsWithFallback(SanitizeInput($BL51),0,"",Countermeasures!$A:AB,Assumptions!$A:AC)</f>
        <v>0:</v>
      </c>
      <c r="BU51" s="21" t="str" cm="1">
        <f t="array" aca="1" ref="BU51" ca="1">CalculateMaxAndElementsWithFallback(SanitizeInput($BL51),0,"",Countermeasures!$A:AC,Assumptions!$A:AD)</f>
        <v>0:</v>
      </c>
      <c r="BV51" s="21">
        <f t="shared" ca="1" si="25"/>
        <v>0</v>
      </c>
      <c r="BW51" s="21">
        <f t="shared" ca="1" si="26"/>
        <v>0</v>
      </c>
      <c r="BX51" s="21">
        <f t="shared" ca="1" si="27"/>
        <v>0</v>
      </c>
      <c r="BY51" s="21">
        <f t="shared" ca="1" si="28"/>
        <v>0</v>
      </c>
      <c r="BZ51" s="21">
        <f t="shared" ca="1" si="29"/>
        <v>0</v>
      </c>
      <c r="CA51" s="21" t="str">
        <f t="shared" ca="1" si="30"/>
        <v>0:</v>
      </c>
      <c r="CB51" s="21" t="str">
        <f t="shared" ca="1" si="31"/>
        <v>0:</v>
      </c>
      <c r="CC51" s="21" t="str">
        <f t="shared" ca="1" si="32"/>
        <v>0:</v>
      </c>
      <c r="CD51" s="21" t="str">
        <f t="shared" ca="1" si="33"/>
        <v>0:</v>
      </c>
      <c r="CE51" s="21" t="str">
        <f t="shared" ca="1" si="34"/>
        <v>0:</v>
      </c>
      <c r="CF51" s="21">
        <f t="shared" ca="1" si="35"/>
        <v>0</v>
      </c>
      <c r="CG51" s="21">
        <f t="shared" ca="1" si="36"/>
        <v>0</v>
      </c>
      <c r="CH51" s="21">
        <f t="shared" ca="1" si="37"/>
        <v>0</v>
      </c>
      <c r="CI51" s="21">
        <f t="shared" ca="1" si="38"/>
        <v>0</v>
      </c>
      <c r="CJ51" s="21">
        <f t="shared" ca="1" si="39"/>
        <v>0</v>
      </c>
      <c r="CK51" s="21">
        <f t="shared" ca="1" si="66"/>
        <v>0</v>
      </c>
      <c r="CL51" s="21" t="str">
        <f ca="1">IFERROR(VLOOKUP($CK51,Definitions!$V:$W,COLUMNS(Definitions!$V:$W),TRUE),"")</f>
        <v>Basic</v>
      </c>
      <c r="CM51" s="21" t="str">
        <f ca="1">_xlfn.LET(
_xlpm._comments,SimpleLookup($A51,Tracing!$B:$AB),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51" s="21" t="str" cm="1">
        <f t="array" aca="1" ref="CN51" ca="1">_xlfn.LET(
_xlpm._rapRange,Definitions!$W:$W,
_xlpm._calculatedRAP,$CL51,
_xlpm._inlineRAP,$CM51,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51" s="21" t="str">
        <f ca="1">IFERROR(IF(OR($BP51="",$CN51=""),
Definitions!$AE$4,
VLOOKUP($BP51,Definitions!$AH:$AM,MATCH($CN51,Definitions!$AH$3:$AM$3,0),FALSE)),
"")</f>
        <v>No Risk</v>
      </c>
      <c r="CP51" s="21" cm="1">
        <f t="array" aca="1" ref="CP51" ca="1">IF($CO51="",0,SimpleLookup($CO51,Definitions!$AE:$AF))</f>
        <v>0</v>
      </c>
      <c r="CQ51" s="21" t="b">
        <f ca="1">OR(AND($S51,$I51=Helper!$B$7),$I51&gt;Helper!$B$7)</f>
        <v>1</v>
      </c>
      <c r="CR51" s="21" t="str">
        <f t="shared" ca="1" si="67"/>
        <v/>
      </c>
      <c r="CS51" s="21" cm="1">
        <f t="array" aca="1" ref="CS51" ca="1">CreateID($CS$2,$CV:$CV,$CR51&lt;&gt;"")</f>
        <v>0</v>
      </c>
      <c r="CT51" s="21" t="str">
        <f ca="1">IF(IFERROR(MATCH(","&amp;A51&amp;",",'Risk Treatment'!$AT:$AT,0)&gt;0,FALSE),"",$A51)</f>
        <v/>
      </c>
      <c r="CU51" s="21" cm="1">
        <f t="array" aca="1" ref="CU51" ca="1">CreateID($CU$2,$CU:$CU,$CT51&lt;&gt;"")</f>
        <v>0</v>
      </c>
    </row>
    <row r="52" spans="1:99" x14ac:dyDescent="0.25">
      <c r="A52" s="33" t="str" cm="1">
        <f t="array" aca="1" ref="A52" ca="1">IF($B52="","","R"&amp;RemoveDelimiter(SUBSTITUTE(SUBSTITUTE($K52,"AS",""),",","-"),"-"))</f>
        <v/>
      </c>
      <c r="B52" s="33" t="str" cm="1">
        <f t="array" aca="1" ref="B52" ca="1">IF($L52="","",_xlfn.LET(
_xlpm._finalAttackStep,$L52,
_xlpm._prepAttacks,RemoveFirstElement(_xlpm._finalAttackStep&amp;","&amp;$K52),
_xlpm._prepAttackNames,IFERROR(LookupNames(_xlpm._prepAttacks,'Attack Steps'!$A:$B),""),
_xlpm._delimiter,REPT(CHAR(150),55),
$L52&amp;" "&amp;SimpleLookup($L52,'Attack Steps'!$A:$B)&amp;
IF(_xlpm._prepAttackNames="","",CHAR(10)&amp;_xlpm._delimiter&amp;CHAR(10)&amp;_xlpm._prepAttackNames)))</f>
        <v/>
      </c>
      <c r="C52" s="34" t="str" cm="1">
        <f t="array" aca="1" ref="C52" ca="1">IFERROR(LookupNames($M52,'Damage Scenarios'!$A:$V),"")</f>
        <v/>
      </c>
      <c r="D52" s="33" t="str">
        <f ca="1">IFERROR(IF($T52=0,"",INDEX(Definitions!$Q:$Q,MATCH($T52,Definitions!$R:$R,0))),"")</f>
        <v/>
      </c>
      <c r="E52" s="34" t="str" cm="1">
        <f t="array" aca="1" ref="E52" ca="1">IF($A52="","",_xlfn.LET(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_xlpm._factorFunction($A52,$A:W,Definitions!$Y:$Y,Definitions!$AB:$AB,1)&amp;CHAR(10)&amp;
_xlpm._factorFunction($A52,$A:X,Definitions!$Y:$Y,Definitions!$AB:$AB,2)&amp;CHAR(10)&amp;
_xlpm._factorFunction($A52,$A:Y,Definitions!$Y:$Y,Definitions!$AB:$AB,3)&amp;CHAR(10)&amp;
_xlpm._factorFunction($A52,$A:Z,Definitions!$Y:$Y,Definitions!$AB:$AB,4)&amp;CHAR(10)&amp;
_xlpm._factorFunction($A52,$A:AA,Definitions!$Y:$Y,Definitions!$AB:$AB,5)))</f>
        <v/>
      </c>
      <c r="F52" s="33" t="str">
        <f ca="1">IF($A52="","",IFERROR(VLOOKUP($AG52,Definitions!$V:$W,COLUMNS(Definitions!$V:$W),TRUE),""))</f>
        <v/>
      </c>
      <c r="G52" s="33" t="str">
        <f ca="1">IFERROR(IF(OR($D52="",$F52=""),
"",
VLOOKUP($D52,Definitions!$AH:$AM,MATCH($F52,Definitions!$AH$3:$AM$3,0),FALSE)),
"")</f>
        <v/>
      </c>
      <c r="H52" s="23" cm="1">
        <f t="array" aca="1" ref="H52" ca="1">IF(ROW()=ROW($H$2)+1,0,INDEX($H:$H,ROW()-1))+IF($A52="",0,1)</f>
        <v>0</v>
      </c>
      <c r="I52" s="21" cm="1">
        <f t="array" aca="1" ref="I52" ca="1">IF(ROW()=ROW($I$2)+1,
1,
INDEX($I:$I,ROW()-1)+IF(INDEX($S:$S,ROW()-1),1,0))</f>
        <v>1</v>
      </c>
      <c r="J52" s="21">
        <f t="shared" ca="1" si="63"/>
        <v>50</v>
      </c>
      <c r="K52" s="21" t="str">
        <f t="shared" ca="1" si="68"/>
        <v/>
      </c>
      <c r="L52" s="21" t="str" cm="1">
        <f t="array" aca="1" ref="L52" ca="1">IF($P52="","",INDEX('Attack Steps'!$A:$A,$P52))</f>
        <v/>
      </c>
      <c r="M52" s="21" t="str" cm="1">
        <f t="array" aca="1" ref="M52" ca="1">IF($P52="","",INDEX('Attack Steps'!$T:$T,$P52))</f>
        <v/>
      </c>
      <c r="N52" s="21" t="str" cm="1">
        <f t="array" aca="1" ref="N52" ca="1">_xlfn.LET(_xlpm._dm,SanitizeInput(GetValuesWithFallback(SanitizeInput($AK52),Assumptions!$A:$I,Countermeasures!$A:$I,"",",",FALSE)),
IF(_xlpm._dm="","",","&amp;_xlpm._dm))</f>
        <v/>
      </c>
      <c r="O52" s="21" t="str" cm="1">
        <f t="array" aca="1" ref="O52" ca="1">ApplyDamageMitigation($M52,$N52,"")</f>
        <v/>
      </c>
      <c r="P52" s="21" t="str">
        <f ca="1">IFERROR(MATCH($I52,'Attack Steps'!$V:$V,0),"")</f>
        <v/>
      </c>
      <c r="Q52" s="21" t="str" cm="1">
        <f t="array" aca="1" ref="Q52" ca="1">IF($P52="","","§"&amp;INDEX('Attack Steps'!$S:$S,$P52))</f>
        <v/>
      </c>
      <c r="R52" s="21" t="str" cm="1">
        <f t="array" aca="1" ref="R52" ca="1">IF($P52="","",INDEX('Attack Steps'!$W:$W,$P52))</f>
        <v/>
      </c>
      <c r="S52" s="21" t="b">
        <f t="shared" ca="1" si="69"/>
        <v>0</v>
      </c>
      <c r="T52" s="21" cm="1">
        <f t="array" aca="1" ref="T52" ca="1">_xlfn.LAMBDA(_xlpm._in,_xlpm._val,_xlpm._range,
IF(_xlpm._in="",_xlpm._val,_xlfn.LET(
_xlpm._id,LEFT(_xlpm._in,FIND(",",_xlpm._in)-1),
CalculateMaxFromList(RemoveFirstElement(_xlpm._in),MAX(_xlpm._val,VLOOKUP(_xlpm._id,_xlpm._range,COLUMNS(_xlpm._range),FALSE)),_xlpm._range))))($M52,0,'Damage Scenarios'!$A:$U)</f>
        <v>0</v>
      </c>
      <c r="U52" s="21" cm="1">
        <f t="array" aca="1" ref="U52" ca="1">CalculateMaxFromList($O52,0,'Damage Scenarios'!$A:$U)</f>
        <v>0</v>
      </c>
      <c r="V52" s="21" t="str">
        <f ca="1">IF($U52=0,"",INDEX(Definitions!$Q:$Q,MATCH($U52,Definitions!$R:$R,0)))</f>
        <v/>
      </c>
      <c r="W52" s="21" t="str" cm="1">
        <f t="array" aca="1" ref="W52" ca="1">CalculateMaxAndElements($K52,0,"",'Attack Steps'!$A:X)</f>
        <v>0:</v>
      </c>
      <c r="X52" s="21" t="str" cm="1">
        <f t="array" aca="1" ref="X52" ca="1">CalculateMaxAndElements($K52,0,"",'Attack Steps'!$A:Y)</f>
        <v>0:</v>
      </c>
      <c r="Y52" s="21" t="str" cm="1">
        <f t="array" aca="1" ref="Y52" ca="1">CalculateMaxAndElements($K52,0,"",'Attack Steps'!$A:Z)</f>
        <v>0:</v>
      </c>
      <c r="Z52" s="21" t="str" cm="1">
        <f t="array" aca="1" ref="Z52" ca="1">CalculateMaxAndElements($K52,0,"",'Attack Steps'!$A:AA)</f>
        <v>0:</v>
      </c>
      <c r="AA52" s="21" t="str" cm="1">
        <f t="array" aca="1" ref="AA52" ca="1">CalculateMaxAndElements($K52,0,"",'Attack Steps'!$A:AB)</f>
        <v>0:</v>
      </c>
      <c r="AB52" s="21">
        <f t="shared" ca="1" si="70"/>
        <v>0</v>
      </c>
      <c r="AC52" s="21">
        <f t="shared" ca="1" si="71"/>
        <v>0</v>
      </c>
      <c r="AD52" s="21">
        <f t="shared" ca="1" si="72"/>
        <v>0</v>
      </c>
      <c r="AE52" s="21">
        <f t="shared" ca="1" si="73"/>
        <v>0</v>
      </c>
      <c r="AF52" s="21">
        <f t="shared" ca="1" si="74"/>
        <v>0</v>
      </c>
      <c r="AG52" s="21">
        <f t="shared" ca="1" si="64"/>
        <v>0</v>
      </c>
      <c r="AH52" s="21" t="str" cm="1">
        <f t="array" aca="1" ref="AH52" ca="1">IF(ROW()=ROW($AH$2)+1,"",INDEX($AH:$AH,ROW()-1))&amp;IF($A52="","",$A52&amp;",")</f>
        <v/>
      </c>
      <c r="AI52" s="21" t="str">
        <f t="shared" ca="1" si="75"/>
        <v/>
      </c>
      <c r="AJ52" s="21" cm="1">
        <f t="array" aca="1" ref="AJ52" ca="1">IF($G52="",0,SimpleLookup($G52,Definitions!$AE:$AF))</f>
        <v>0</v>
      </c>
      <c r="AK52" s="21" t="str" cm="1">
        <f t="array" aca="1" ref="AK52" ca="1">InverseLookup($A52,Mitigation!$U$2,Mitigation!$J$2,1,Helper!$B$5,",")</f>
        <v/>
      </c>
      <c r="AL52" s="21" t="str" cm="1">
        <f t="array" aca="1" ref="AL52" ca="1">CalculateMaxAndElementsWithFallback(SanitizeInput($AK52),0,"",Countermeasures!$A:Y,Assumptions!$A:Z)</f>
        <v>0:</v>
      </c>
      <c r="AM52" s="21" t="str" cm="1">
        <f t="array" aca="1" ref="AM52" ca="1">CalculateMaxAndElementsWithFallback(SanitizeInput($AK52),0,"",Countermeasures!$A:Z,Assumptions!$A:AA)</f>
        <v>0:</v>
      </c>
      <c r="AN52" s="21" t="str" cm="1">
        <f t="array" aca="1" ref="AN52" ca="1">CalculateMaxAndElementsWithFallback(SanitizeInput($AK52),0,"",Countermeasures!$A:AA,Assumptions!$A:AB)</f>
        <v>0:</v>
      </c>
      <c r="AO52" s="21" t="str" cm="1">
        <f t="array" aca="1" ref="AO52" ca="1">CalculateMaxAndElementsWithFallback(SanitizeInput($AK52),0,"",Countermeasures!$A:AB,Assumptions!$A:AC)</f>
        <v>0:</v>
      </c>
      <c r="AP52" s="21" t="str" cm="1">
        <f t="array" aca="1" ref="AP52" ca="1">CalculateMaxAndElementsWithFallback(SanitizeInput($AK52),0,"",Countermeasures!$A:AC,Assumptions!$A:AD)</f>
        <v>0:</v>
      </c>
      <c r="AQ52" s="21">
        <f t="shared" ca="1" si="76"/>
        <v>0</v>
      </c>
      <c r="AR52" s="21">
        <f t="shared" ca="1" si="77"/>
        <v>0</v>
      </c>
      <c r="AS52" s="21">
        <f t="shared" ca="1" si="78"/>
        <v>0</v>
      </c>
      <c r="AT52" s="21">
        <f t="shared" ca="1" si="79"/>
        <v>0</v>
      </c>
      <c r="AU52" s="21">
        <f t="shared" ca="1" si="80"/>
        <v>0</v>
      </c>
      <c r="AV52" s="21" t="str">
        <f t="shared" ca="1" si="81"/>
        <v>0:</v>
      </c>
      <c r="AW52" s="21" t="str">
        <f t="shared" ca="1" si="82"/>
        <v>0:</v>
      </c>
      <c r="AX52" s="21" t="str">
        <f t="shared" ca="1" si="83"/>
        <v>0:</v>
      </c>
      <c r="AY52" s="21" t="str">
        <f t="shared" ca="1" si="84"/>
        <v>0:</v>
      </c>
      <c r="AZ52" s="21" t="str">
        <f t="shared" ca="1" si="85"/>
        <v>0:</v>
      </c>
      <c r="BA52" s="21">
        <f t="shared" ca="1" si="86"/>
        <v>0</v>
      </c>
      <c r="BB52" s="21">
        <f t="shared" ca="1" si="87"/>
        <v>0</v>
      </c>
      <c r="BC52" s="21">
        <f t="shared" ca="1" si="88"/>
        <v>0</v>
      </c>
      <c r="BD52" s="21">
        <f t="shared" ca="1" si="89"/>
        <v>0</v>
      </c>
      <c r="BE52" s="21">
        <f t="shared" ca="1" si="90"/>
        <v>0</v>
      </c>
      <c r="BF52" s="21">
        <f t="shared" ca="1" si="65"/>
        <v>0</v>
      </c>
      <c r="BG52" s="21" t="str">
        <f ca="1">IFERROR(VLOOKUP($BF52,Definitions!$V:$W,COLUMNS(Definitions!$V:$W),TRUE),"")</f>
        <v>Basic</v>
      </c>
      <c r="BH52" s="21" t="str">
        <f ca="1">_xlfn.LET(
_xlpm._comments,GetValues($K52,Mitigation!$A:$O,"","",FALSE),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52" s="21" t="str" cm="1">
        <f t="array" aca="1" ref="BI52" ca="1">_xlfn.LET(
_xlpm._rapRange,Definitions!$W:$W,
_xlpm._calculatedRAP,$BG52,
_xlpm._inlineRAP,$BH52,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52" s="21" t="str">
        <f ca="1">IFERROR(IF(OR($V52="",$BI52=""),
Definitions!$AE$4,
VLOOKUP($V52,Definitions!$AH:$AM,MATCH($BI52,Definitions!$AH$3:$AM$3,0),FALSE)),
"")</f>
        <v>No Risk</v>
      </c>
      <c r="BK52" s="21" cm="1">
        <f t="array" aca="1" ref="BK52" ca="1">IF($BJ52="",0,SimpleLookup($BJ52,Definitions!$AE:$AF))</f>
        <v>0</v>
      </c>
      <c r="BL52" s="21" t="str" cm="1">
        <f t="array" aca="1" ref="BL52" ca="1">IFERROR(SimpleLookup($A52,Tracing!$B:$Z),"")</f>
        <v/>
      </c>
      <c r="BM52" s="21" t="str" cm="1">
        <f t="array" aca="1" ref="BM52" ca="1">_xlfn.LET(_xlpm._dm,SanitizeInput(GetValuesWithFallback(SanitizeInput($BL52),Assumptions!$A:$I,Countermeasures!$A:$I,"",",",FALSE)),
IF(_xlpm._dm="","",","&amp;_xlpm._dm))</f>
        <v/>
      </c>
      <c r="BN52" s="21" t="str" cm="1">
        <f t="array" aca="1" ref="BN52" ca="1">ApplyDamageMitigation($M52,$BM52,"")</f>
        <v/>
      </c>
      <c r="BO52" s="21" cm="1">
        <f t="array" aca="1" ref="BO52" ca="1">CalculateMaxFromList($BN52,0,'Damage Scenarios'!$A:$U)</f>
        <v>0</v>
      </c>
      <c r="BP52" s="21" t="str">
        <f ca="1">IF($BO52=0,"",INDEX(Definitions!$Q:$Q,MATCH($BO52,Definitions!$R:$R,0)))</f>
        <v/>
      </c>
      <c r="BQ52" s="21" t="str" cm="1">
        <f t="array" aca="1" ref="BQ52" ca="1">CalculateMaxAndElementsWithFallback(SanitizeInput($BL52),0,"",Countermeasures!$A:Y,Assumptions!$A:Z)</f>
        <v>0:</v>
      </c>
      <c r="BR52" s="21" t="str" cm="1">
        <f t="array" aca="1" ref="BR52" ca="1">CalculateMaxAndElementsWithFallback(SanitizeInput($BL52),0,"",Countermeasures!$A:Z,Assumptions!$A:AA)</f>
        <v>0:</v>
      </c>
      <c r="BS52" s="21" t="str" cm="1">
        <f t="array" aca="1" ref="BS52" ca="1">CalculateMaxAndElementsWithFallback(SanitizeInput($BL52),0,"",Countermeasures!$A:AA,Assumptions!$A:AB)</f>
        <v>0:</v>
      </c>
      <c r="BT52" s="21" t="str" cm="1">
        <f t="array" aca="1" ref="BT52" ca="1">CalculateMaxAndElementsWithFallback(SanitizeInput($BL52),0,"",Countermeasures!$A:AB,Assumptions!$A:AC)</f>
        <v>0:</v>
      </c>
      <c r="BU52" s="21" t="str" cm="1">
        <f t="array" aca="1" ref="BU52" ca="1">CalculateMaxAndElementsWithFallback(SanitizeInput($BL52),0,"",Countermeasures!$A:AC,Assumptions!$A:AD)</f>
        <v>0:</v>
      </c>
      <c r="BV52" s="21">
        <f t="shared" ca="1" si="25"/>
        <v>0</v>
      </c>
      <c r="BW52" s="21">
        <f t="shared" ca="1" si="26"/>
        <v>0</v>
      </c>
      <c r="BX52" s="21">
        <f t="shared" ca="1" si="27"/>
        <v>0</v>
      </c>
      <c r="BY52" s="21">
        <f t="shared" ca="1" si="28"/>
        <v>0</v>
      </c>
      <c r="BZ52" s="21">
        <f t="shared" ca="1" si="29"/>
        <v>0</v>
      </c>
      <c r="CA52" s="21" t="str">
        <f t="shared" ca="1" si="30"/>
        <v>0:</v>
      </c>
      <c r="CB52" s="21" t="str">
        <f t="shared" ca="1" si="31"/>
        <v>0:</v>
      </c>
      <c r="CC52" s="21" t="str">
        <f t="shared" ca="1" si="32"/>
        <v>0:</v>
      </c>
      <c r="CD52" s="21" t="str">
        <f t="shared" ca="1" si="33"/>
        <v>0:</v>
      </c>
      <c r="CE52" s="21" t="str">
        <f t="shared" ca="1" si="34"/>
        <v>0:</v>
      </c>
      <c r="CF52" s="21">
        <f t="shared" ca="1" si="35"/>
        <v>0</v>
      </c>
      <c r="CG52" s="21">
        <f t="shared" ca="1" si="36"/>
        <v>0</v>
      </c>
      <c r="CH52" s="21">
        <f t="shared" ca="1" si="37"/>
        <v>0</v>
      </c>
      <c r="CI52" s="21">
        <f t="shared" ca="1" si="38"/>
        <v>0</v>
      </c>
      <c r="CJ52" s="21">
        <f t="shared" ca="1" si="39"/>
        <v>0</v>
      </c>
      <c r="CK52" s="21">
        <f t="shared" ca="1" si="66"/>
        <v>0</v>
      </c>
      <c r="CL52" s="21" t="str">
        <f ca="1">IFERROR(VLOOKUP($CK52,Definitions!$V:$W,COLUMNS(Definitions!$V:$W),TRUE),"")</f>
        <v>Basic</v>
      </c>
      <c r="CM52" s="21" t="str">
        <f ca="1">_xlfn.LET(
_xlpm._comments,SimpleLookup($A52,Tracing!$B:$AB),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52" s="21" t="str" cm="1">
        <f t="array" aca="1" ref="CN52" ca="1">_xlfn.LET(
_xlpm._rapRange,Definitions!$W:$W,
_xlpm._calculatedRAP,$CL52,
_xlpm._inlineRAP,$CM52,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52" s="21" t="str">
        <f ca="1">IFERROR(IF(OR($BP52="",$CN52=""),
Definitions!$AE$4,
VLOOKUP($BP52,Definitions!$AH:$AM,MATCH($CN52,Definitions!$AH$3:$AM$3,0),FALSE)),
"")</f>
        <v>No Risk</v>
      </c>
      <c r="CP52" s="21" cm="1">
        <f t="array" aca="1" ref="CP52" ca="1">IF($CO52="",0,SimpleLookup($CO52,Definitions!$AE:$AF))</f>
        <v>0</v>
      </c>
      <c r="CQ52" s="21" t="b">
        <f ca="1">OR(AND($S52,$I52=Helper!$B$7),$I52&gt;Helper!$B$7)</f>
        <v>1</v>
      </c>
      <c r="CR52" s="21" t="str">
        <f t="shared" ca="1" si="67"/>
        <v/>
      </c>
      <c r="CS52" s="21" cm="1">
        <f t="array" aca="1" ref="CS52" ca="1">CreateID($CS$2,$CV:$CV,$CR52&lt;&gt;"")</f>
        <v>0</v>
      </c>
      <c r="CT52" s="21" t="str">
        <f ca="1">IF(IFERROR(MATCH(","&amp;A52&amp;",",'Risk Treatment'!$AT:$AT,0)&gt;0,FALSE),"",$A52)</f>
        <v/>
      </c>
      <c r="CU52" s="21" cm="1">
        <f t="array" aca="1" ref="CU52" ca="1">CreateID($CU$2,$CU:$CU,$CT52&lt;&gt;"")</f>
        <v>0</v>
      </c>
    </row>
    <row r="53" spans="1:99" x14ac:dyDescent="0.25">
      <c r="A53" s="33" t="str" cm="1">
        <f t="array" aca="1" ref="A53" ca="1">IF($B53="","","R"&amp;RemoveDelimiter(SUBSTITUTE(SUBSTITUTE($K53,"AS",""),",","-"),"-"))</f>
        <v/>
      </c>
      <c r="B53" s="33" t="str" cm="1">
        <f t="array" aca="1" ref="B53" ca="1">IF($L53="","",_xlfn.LET(
_xlpm._finalAttackStep,$L53,
_xlpm._prepAttacks,RemoveFirstElement(_xlpm._finalAttackStep&amp;","&amp;$K53),
_xlpm._prepAttackNames,IFERROR(LookupNames(_xlpm._prepAttacks,'Attack Steps'!$A:$B),""),
_xlpm._delimiter,REPT(CHAR(150),55),
$L53&amp;" "&amp;SimpleLookup($L53,'Attack Steps'!$A:$B)&amp;
IF(_xlpm._prepAttackNames="","",CHAR(10)&amp;_xlpm._delimiter&amp;CHAR(10)&amp;_xlpm._prepAttackNames)))</f>
        <v/>
      </c>
      <c r="C53" s="34" t="str" cm="1">
        <f t="array" aca="1" ref="C53" ca="1">IFERROR(LookupNames($M53,'Damage Scenarios'!$A:$V),"")</f>
        <v/>
      </c>
      <c r="D53" s="33" t="str">
        <f ca="1">IFERROR(IF($T53=0,"",INDEX(Definitions!$Q:$Q,MATCH($T53,Definitions!$R:$R,0))),"")</f>
        <v/>
      </c>
      <c r="E53" s="34" t="str" cm="1">
        <f t="array" aca="1" ref="E53" ca="1">IF($A53="","",_xlfn.LET(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_xlpm._factorFunction($A53,$A:W,Definitions!$Y:$Y,Definitions!$AB:$AB,1)&amp;CHAR(10)&amp;
_xlpm._factorFunction($A53,$A:X,Definitions!$Y:$Y,Definitions!$AB:$AB,2)&amp;CHAR(10)&amp;
_xlpm._factorFunction($A53,$A:Y,Definitions!$Y:$Y,Definitions!$AB:$AB,3)&amp;CHAR(10)&amp;
_xlpm._factorFunction($A53,$A:Z,Definitions!$Y:$Y,Definitions!$AB:$AB,4)&amp;CHAR(10)&amp;
_xlpm._factorFunction($A53,$A:AA,Definitions!$Y:$Y,Definitions!$AB:$AB,5)))</f>
        <v/>
      </c>
      <c r="F53" s="33" t="str">
        <f ca="1">IF($A53="","",IFERROR(VLOOKUP($AG53,Definitions!$V:$W,COLUMNS(Definitions!$V:$W),TRUE),""))</f>
        <v/>
      </c>
      <c r="G53" s="33" t="str">
        <f ca="1">IFERROR(IF(OR($D53="",$F53=""),
"",
VLOOKUP($D53,Definitions!$AH:$AM,MATCH($F53,Definitions!$AH$3:$AM$3,0),FALSE)),
"")</f>
        <v/>
      </c>
      <c r="H53" s="23" cm="1">
        <f t="array" aca="1" ref="H53" ca="1">IF(ROW()=ROW($H$2)+1,0,INDEX($H:$H,ROW()-1))+IF($A53="",0,1)</f>
        <v>0</v>
      </c>
      <c r="I53" s="21" cm="1">
        <f t="array" aca="1" ref="I53" ca="1">IF(ROW()=ROW($I$2)+1,
1,
INDEX($I:$I,ROW()-1)+IF(INDEX($S:$S,ROW()-1),1,0))</f>
        <v>1</v>
      </c>
      <c r="J53" s="21">
        <f t="shared" ca="1" si="63"/>
        <v>51</v>
      </c>
      <c r="K53" s="21" t="str">
        <f t="shared" ca="1" si="68"/>
        <v/>
      </c>
      <c r="L53" s="21" t="str" cm="1">
        <f t="array" aca="1" ref="L53" ca="1">IF($P53="","",INDEX('Attack Steps'!$A:$A,$P53))</f>
        <v/>
      </c>
      <c r="M53" s="21" t="str" cm="1">
        <f t="array" aca="1" ref="M53" ca="1">IF($P53="","",INDEX('Attack Steps'!$T:$T,$P53))</f>
        <v/>
      </c>
      <c r="N53" s="21" t="str" cm="1">
        <f t="array" aca="1" ref="N53" ca="1">_xlfn.LET(_xlpm._dm,SanitizeInput(GetValuesWithFallback(SanitizeInput($AK53),Assumptions!$A:$I,Countermeasures!$A:$I,"",",",FALSE)),
IF(_xlpm._dm="","",","&amp;_xlpm._dm))</f>
        <v/>
      </c>
      <c r="O53" s="21" t="str" cm="1">
        <f t="array" aca="1" ref="O53" ca="1">ApplyDamageMitigation($M53,$N53,"")</f>
        <v/>
      </c>
      <c r="P53" s="21" t="str">
        <f ca="1">IFERROR(MATCH($I53,'Attack Steps'!$V:$V,0),"")</f>
        <v/>
      </c>
      <c r="Q53" s="21" t="str" cm="1">
        <f t="array" aca="1" ref="Q53" ca="1">IF($P53="","","§"&amp;INDEX('Attack Steps'!$S:$S,$P53))</f>
        <v/>
      </c>
      <c r="R53" s="21" t="str" cm="1">
        <f t="array" aca="1" ref="R53" ca="1">IF($P53="","",INDEX('Attack Steps'!$W:$W,$P53))</f>
        <v/>
      </c>
      <c r="S53" s="21" t="b">
        <f t="shared" ca="1" si="69"/>
        <v>0</v>
      </c>
      <c r="T53" s="21" cm="1">
        <f t="array" aca="1" ref="T53" ca="1">_xlfn.LAMBDA(_xlpm._in,_xlpm._val,_xlpm._range,
IF(_xlpm._in="",_xlpm._val,_xlfn.LET(
_xlpm._id,LEFT(_xlpm._in,FIND(",",_xlpm._in)-1),
CalculateMaxFromList(RemoveFirstElement(_xlpm._in),MAX(_xlpm._val,VLOOKUP(_xlpm._id,_xlpm._range,COLUMNS(_xlpm._range),FALSE)),_xlpm._range))))($M53,0,'Damage Scenarios'!$A:$U)</f>
        <v>0</v>
      </c>
      <c r="U53" s="21" cm="1">
        <f t="array" aca="1" ref="U53" ca="1">CalculateMaxFromList($O53,0,'Damage Scenarios'!$A:$U)</f>
        <v>0</v>
      </c>
      <c r="V53" s="21" t="str">
        <f ca="1">IF($U53=0,"",INDEX(Definitions!$Q:$Q,MATCH($U53,Definitions!$R:$R,0)))</f>
        <v/>
      </c>
      <c r="W53" s="21" t="str" cm="1">
        <f t="array" aca="1" ref="W53" ca="1">CalculateMaxAndElements($K53,0,"",'Attack Steps'!$A:X)</f>
        <v>0:</v>
      </c>
      <c r="X53" s="21" t="str" cm="1">
        <f t="array" aca="1" ref="X53" ca="1">CalculateMaxAndElements($K53,0,"",'Attack Steps'!$A:Y)</f>
        <v>0:</v>
      </c>
      <c r="Y53" s="21" t="str" cm="1">
        <f t="array" aca="1" ref="Y53" ca="1">CalculateMaxAndElements($K53,0,"",'Attack Steps'!$A:Z)</f>
        <v>0:</v>
      </c>
      <c r="Z53" s="21" t="str" cm="1">
        <f t="array" aca="1" ref="Z53" ca="1">CalculateMaxAndElements($K53,0,"",'Attack Steps'!$A:AA)</f>
        <v>0:</v>
      </c>
      <c r="AA53" s="21" t="str" cm="1">
        <f t="array" aca="1" ref="AA53" ca="1">CalculateMaxAndElements($K53,0,"",'Attack Steps'!$A:AB)</f>
        <v>0:</v>
      </c>
      <c r="AB53" s="21">
        <f t="shared" ca="1" si="70"/>
        <v>0</v>
      </c>
      <c r="AC53" s="21">
        <f t="shared" ca="1" si="71"/>
        <v>0</v>
      </c>
      <c r="AD53" s="21">
        <f t="shared" ca="1" si="72"/>
        <v>0</v>
      </c>
      <c r="AE53" s="21">
        <f t="shared" ca="1" si="73"/>
        <v>0</v>
      </c>
      <c r="AF53" s="21">
        <f t="shared" ca="1" si="74"/>
        <v>0</v>
      </c>
      <c r="AG53" s="21">
        <f t="shared" ca="1" si="64"/>
        <v>0</v>
      </c>
      <c r="AH53" s="21" t="str" cm="1">
        <f t="array" aca="1" ref="AH53" ca="1">IF(ROW()=ROW($AH$2)+1,"",INDEX($AH:$AH,ROW()-1))&amp;IF($A53="","",$A53&amp;",")</f>
        <v/>
      </c>
      <c r="AI53" s="21" t="str">
        <f t="shared" ca="1" si="75"/>
        <v/>
      </c>
      <c r="AJ53" s="21" cm="1">
        <f t="array" aca="1" ref="AJ53" ca="1">IF($G53="",0,SimpleLookup($G53,Definitions!$AE:$AF))</f>
        <v>0</v>
      </c>
      <c r="AK53" s="21" t="str" cm="1">
        <f t="array" aca="1" ref="AK53" ca="1">InverseLookup($A53,Mitigation!$U$2,Mitigation!$J$2,1,Helper!$B$5,",")</f>
        <v/>
      </c>
      <c r="AL53" s="21" t="str" cm="1">
        <f t="array" aca="1" ref="AL53" ca="1">CalculateMaxAndElementsWithFallback(SanitizeInput($AK53),0,"",Countermeasures!$A:Y,Assumptions!$A:Z)</f>
        <v>0:</v>
      </c>
      <c r="AM53" s="21" t="str" cm="1">
        <f t="array" aca="1" ref="AM53" ca="1">CalculateMaxAndElementsWithFallback(SanitizeInput($AK53),0,"",Countermeasures!$A:Z,Assumptions!$A:AA)</f>
        <v>0:</v>
      </c>
      <c r="AN53" s="21" t="str" cm="1">
        <f t="array" aca="1" ref="AN53" ca="1">CalculateMaxAndElementsWithFallback(SanitizeInput($AK53),0,"",Countermeasures!$A:AA,Assumptions!$A:AB)</f>
        <v>0:</v>
      </c>
      <c r="AO53" s="21" t="str" cm="1">
        <f t="array" aca="1" ref="AO53" ca="1">CalculateMaxAndElementsWithFallback(SanitizeInput($AK53),0,"",Countermeasures!$A:AB,Assumptions!$A:AC)</f>
        <v>0:</v>
      </c>
      <c r="AP53" s="21" t="str" cm="1">
        <f t="array" aca="1" ref="AP53" ca="1">CalculateMaxAndElementsWithFallback(SanitizeInput($AK53),0,"",Countermeasures!$A:AC,Assumptions!$A:AD)</f>
        <v>0:</v>
      </c>
      <c r="AQ53" s="21">
        <f t="shared" ca="1" si="76"/>
        <v>0</v>
      </c>
      <c r="AR53" s="21">
        <f t="shared" ca="1" si="77"/>
        <v>0</v>
      </c>
      <c r="AS53" s="21">
        <f t="shared" ca="1" si="78"/>
        <v>0</v>
      </c>
      <c r="AT53" s="21">
        <f t="shared" ca="1" si="79"/>
        <v>0</v>
      </c>
      <c r="AU53" s="21">
        <f t="shared" ca="1" si="80"/>
        <v>0</v>
      </c>
      <c r="AV53" s="21" t="str">
        <f t="shared" ca="1" si="81"/>
        <v>0:</v>
      </c>
      <c r="AW53" s="21" t="str">
        <f t="shared" ca="1" si="82"/>
        <v>0:</v>
      </c>
      <c r="AX53" s="21" t="str">
        <f t="shared" ca="1" si="83"/>
        <v>0:</v>
      </c>
      <c r="AY53" s="21" t="str">
        <f t="shared" ca="1" si="84"/>
        <v>0:</v>
      </c>
      <c r="AZ53" s="21" t="str">
        <f t="shared" ca="1" si="85"/>
        <v>0:</v>
      </c>
      <c r="BA53" s="21">
        <f t="shared" ca="1" si="86"/>
        <v>0</v>
      </c>
      <c r="BB53" s="21">
        <f t="shared" ca="1" si="87"/>
        <v>0</v>
      </c>
      <c r="BC53" s="21">
        <f t="shared" ca="1" si="88"/>
        <v>0</v>
      </c>
      <c r="BD53" s="21">
        <f t="shared" ca="1" si="89"/>
        <v>0</v>
      </c>
      <c r="BE53" s="21">
        <f t="shared" ca="1" si="90"/>
        <v>0</v>
      </c>
      <c r="BF53" s="21">
        <f t="shared" ca="1" si="65"/>
        <v>0</v>
      </c>
      <c r="BG53" s="21" t="str">
        <f ca="1">IFERROR(VLOOKUP($BF53,Definitions!$V:$W,COLUMNS(Definitions!$V:$W),TRUE),"")</f>
        <v>Basic</v>
      </c>
      <c r="BH53" s="21" t="str">
        <f ca="1">_xlfn.LET(
_xlpm._comments,GetValues($K53,Mitigation!$A:$O,"","",FALSE),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53" s="21" t="str" cm="1">
        <f t="array" aca="1" ref="BI53" ca="1">_xlfn.LET(
_xlpm._rapRange,Definitions!$W:$W,
_xlpm._calculatedRAP,$BG53,
_xlpm._inlineRAP,$BH53,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53" s="21" t="str">
        <f ca="1">IFERROR(IF(OR($V53="",$BI53=""),
Definitions!$AE$4,
VLOOKUP($V53,Definitions!$AH:$AM,MATCH($BI53,Definitions!$AH$3:$AM$3,0),FALSE)),
"")</f>
        <v>No Risk</v>
      </c>
      <c r="BK53" s="21" cm="1">
        <f t="array" aca="1" ref="BK53" ca="1">IF($BJ53="",0,SimpleLookup($BJ53,Definitions!$AE:$AF))</f>
        <v>0</v>
      </c>
      <c r="BL53" s="21" t="str" cm="1">
        <f t="array" aca="1" ref="BL53" ca="1">IFERROR(SimpleLookup($A53,Tracing!$B:$Z),"")</f>
        <v/>
      </c>
      <c r="BM53" s="21" t="str" cm="1">
        <f t="array" aca="1" ref="BM53" ca="1">_xlfn.LET(_xlpm._dm,SanitizeInput(GetValuesWithFallback(SanitizeInput($BL53),Assumptions!$A:$I,Countermeasures!$A:$I,"",",",FALSE)),
IF(_xlpm._dm="","",","&amp;_xlpm._dm))</f>
        <v/>
      </c>
      <c r="BN53" s="21" t="str" cm="1">
        <f t="array" aca="1" ref="BN53" ca="1">ApplyDamageMitigation($M53,$BM53,"")</f>
        <v/>
      </c>
      <c r="BO53" s="21" cm="1">
        <f t="array" aca="1" ref="BO53" ca="1">CalculateMaxFromList($BN53,0,'Damage Scenarios'!$A:$U)</f>
        <v>0</v>
      </c>
      <c r="BP53" s="21" t="str">
        <f ca="1">IF($BO53=0,"",INDEX(Definitions!$Q:$Q,MATCH($BO53,Definitions!$R:$R,0)))</f>
        <v/>
      </c>
      <c r="BQ53" s="21" t="str" cm="1">
        <f t="array" aca="1" ref="BQ53" ca="1">CalculateMaxAndElementsWithFallback(SanitizeInput($BL53),0,"",Countermeasures!$A:Y,Assumptions!$A:Z)</f>
        <v>0:</v>
      </c>
      <c r="BR53" s="21" t="str" cm="1">
        <f t="array" aca="1" ref="BR53" ca="1">CalculateMaxAndElementsWithFallback(SanitizeInput($BL53),0,"",Countermeasures!$A:Z,Assumptions!$A:AA)</f>
        <v>0:</v>
      </c>
      <c r="BS53" s="21" t="str" cm="1">
        <f t="array" aca="1" ref="BS53" ca="1">CalculateMaxAndElementsWithFallback(SanitizeInput($BL53),0,"",Countermeasures!$A:AA,Assumptions!$A:AB)</f>
        <v>0:</v>
      </c>
      <c r="BT53" s="21" t="str" cm="1">
        <f t="array" aca="1" ref="BT53" ca="1">CalculateMaxAndElementsWithFallback(SanitizeInput($BL53),0,"",Countermeasures!$A:AB,Assumptions!$A:AC)</f>
        <v>0:</v>
      </c>
      <c r="BU53" s="21" t="str" cm="1">
        <f t="array" aca="1" ref="BU53" ca="1">CalculateMaxAndElementsWithFallback(SanitizeInput($BL53),0,"",Countermeasures!$A:AC,Assumptions!$A:AD)</f>
        <v>0:</v>
      </c>
      <c r="BV53" s="21">
        <f t="shared" ca="1" si="25"/>
        <v>0</v>
      </c>
      <c r="BW53" s="21">
        <f t="shared" ca="1" si="26"/>
        <v>0</v>
      </c>
      <c r="BX53" s="21">
        <f t="shared" ca="1" si="27"/>
        <v>0</v>
      </c>
      <c r="BY53" s="21">
        <f t="shared" ca="1" si="28"/>
        <v>0</v>
      </c>
      <c r="BZ53" s="21">
        <f t="shared" ca="1" si="29"/>
        <v>0</v>
      </c>
      <c r="CA53" s="21" t="str">
        <f t="shared" ca="1" si="30"/>
        <v>0:</v>
      </c>
      <c r="CB53" s="21" t="str">
        <f t="shared" ca="1" si="31"/>
        <v>0:</v>
      </c>
      <c r="CC53" s="21" t="str">
        <f t="shared" ca="1" si="32"/>
        <v>0:</v>
      </c>
      <c r="CD53" s="21" t="str">
        <f t="shared" ca="1" si="33"/>
        <v>0:</v>
      </c>
      <c r="CE53" s="21" t="str">
        <f t="shared" ca="1" si="34"/>
        <v>0:</v>
      </c>
      <c r="CF53" s="21">
        <f t="shared" ca="1" si="35"/>
        <v>0</v>
      </c>
      <c r="CG53" s="21">
        <f t="shared" ca="1" si="36"/>
        <v>0</v>
      </c>
      <c r="CH53" s="21">
        <f t="shared" ca="1" si="37"/>
        <v>0</v>
      </c>
      <c r="CI53" s="21">
        <f t="shared" ca="1" si="38"/>
        <v>0</v>
      </c>
      <c r="CJ53" s="21">
        <f t="shared" ca="1" si="39"/>
        <v>0</v>
      </c>
      <c r="CK53" s="21">
        <f t="shared" ca="1" si="66"/>
        <v>0</v>
      </c>
      <c r="CL53" s="21" t="str">
        <f ca="1">IFERROR(VLOOKUP($CK53,Definitions!$V:$W,COLUMNS(Definitions!$V:$W),TRUE),"")</f>
        <v>Basic</v>
      </c>
      <c r="CM53" s="21" t="str">
        <f ca="1">_xlfn.LET(
_xlpm._comments,SimpleLookup($A53,Tracing!$B:$AB),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53" s="21" t="str" cm="1">
        <f t="array" aca="1" ref="CN53" ca="1">_xlfn.LET(
_xlpm._rapRange,Definitions!$W:$W,
_xlpm._calculatedRAP,$CL53,
_xlpm._inlineRAP,$CM53,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53" s="21" t="str">
        <f ca="1">IFERROR(IF(OR($BP53="",$CN53=""),
Definitions!$AE$4,
VLOOKUP($BP53,Definitions!$AH:$AM,MATCH($CN53,Definitions!$AH$3:$AM$3,0),FALSE)),
"")</f>
        <v>No Risk</v>
      </c>
      <c r="CP53" s="21" cm="1">
        <f t="array" aca="1" ref="CP53" ca="1">IF($CO53="",0,SimpleLookup($CO53,Definitions!$AE:$AF))</f>
        <v>0</v>
      </c>
      <c r="CQ53" s="21" t="b">
        <f ca="1">OR(AND($S53,$I53=Helper!$B$7),$I53&gt;Helper!$B$7)</f>
        <v>1</v>
      </c>
      <c r="CR53" s="21" t="str">
        <f t="shared" ca="1" si="67"/>
        <v/>
      </c>
      <c r="CS53" s="21" cm="1">
        <f t="array" aca="1" ref="CS53" ca="1">CreateID($CS$2,$CV:$CV,$CR53&lt;&gt;"")</f>
        <v>0</v>
      </c>
      <c r="CT53" s="21" t="str">
        <f ca="1">IF(IFERROR(MATCH(","&amp;A53&amp;",",'Risk Treatment'!$AT:$AT,0)&gt;0,FALSE),"",$A53)</f>
        <v/>
      </c>
      <c r="CU53" s="21" cm="1">
        <f t="array" aca="1" ref="CU53" ca="1">CreateID($CU$2,$CU:$CU,$CT53&lt;&gt;"")</f>
        <v>0</v>
      </c>
    </row>
    <row r="54" spans="1:99" x14ac:dyDescent="0.25">
      <c r="A54" s="33" t="str" cm="1">
        <f t="array" aca="1" ref="A54" ca="1">IF($B54="","","R"&amp;RemoveDelimiter(SUBSTITUTE(SUBSTITUTE($K54,"AS",""),",","-"),"-"))</f>
        <v/>
      </c>
      <c r="B54" s="33" t="str" cm="1">
        <f t="array" aca="1" ref="B54" ca="1">IF($L54="","",_xlfn.LET(
_xlpm._finalAttackStep,$L54,
_xlpm._prepAttacks,RemoveFirstElement(_xlpm._finalAttackStep&amp;","&amp;$K54),
_xlpm._prepAttackNames,IFERROR(LookupNames(_xlpm._prepAttacks,'Attack Steps'!$A:$B),""),
_xlpm._delimiter,REPT(CHAR(150),55),
$L54&amp;" "&amp;SimpleLookup($L54,'Attack Steps'!$A:$B)&amp;
IF(_xlpm._prepAttackNames="","",CHAR(10)&amp;_xlpm._delimiter&amp;CHAR(10)&amp;_xlpm._prepAttackNames)))</f>
        <v/>
      </c>
      <c r="C54" s="34" t="str" cm="1">
        <f t="array" aca="1" ref="C54" ca="1">IFERROR(LookupNames($M54,'Damage Scenarios'!$A:$V),"")</f>
        <v/>
      </c>
      <c r="D54" s="33" t="str">
        <f ca="1">IFERROR(IF($T54=0,"",INDEX(Definitions!$Q:$Q,MATCH($T54,Definitions!$R:$R,0))),"")</f>
        <v/>
      </c>
      <c r="E54" s="34" t="str" cm="1">
        <f t="array" aca="1" ref="E54" ca="1">IF($A54="","",_xlfn.LET(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_xlpm._factorFunction($A54,$A:W,Definitions!$Y:$Y,Definitions!$AB:$AB,1)&amp;CHAR(10)&amp;
_xlpm._factorFunction($A54,$A:X,Definitions!$Y:$Y,Definitions!$AB:$AB,2)&amp;CHAR(10)&amp;
_xlpm._factorFunction($A54,$A:Y,Definitions!$Y:$Y,Definitions!$AB:$AB,3)&amp;CHAR(10)&amp;
_xlpm._factorFunction($A54,$A:Z,Definitions!$Y:$Y,Definitions!$AB:$AB,4)&amp;CHAR(10)&amp;
_xlpm._factorFunction($A54,$A:AA,Definitions!$Y:$Y,Definitions!$AB:$AB,5)))</f>
        <v/>
      </c>
      <c r="F54" s="33" t="str">
        <f ca="1">IF($A54="","",IFERROR(VLOOKUP($AG54,Definitions!$V:$W,COLUMNS(Definitions!$V:$W),TRUE),""))</f>
        <v/>
      </c>
      <c r="G54" s="33" t="str">
        <f ca="1">IFERROR(IF(OR($D54="",$F54=""),
"",
VLOOKUP($D54,Definitions!$AH:$AM,MATCH($F54,Definitions!$AH$3:$AM$3,0),FALSE)),
"")</f>
        <v/>
      </c>
      <c r="H54" s="23" cm="1">
        <f t="array" aca="1" ref="H54" ca="1">IF(ROW()=ROW($H$2)+1,0,INDEX($H:$H,ROW()-1))+IF($A54="",0,1)</f>
        <v>0</v>
      </c>
      <c r="I54" s="21" cm="1">
        <f t="array" aca="1" ref="I54" ca="1">IF(ROW()=ROW($I$2)+1,
1,
INDEX($I:$I,ROW()-1)+IF(INDEX($S:$S,ROW()-1),1,0))</f>
        <v>1</v>
      </c>
      <c r="J54" s="21">
        <f t="shared" ca="1" si="63"/>
        <v>52</v>
      </c>
      <c r="K54" s="21" t="str">
        <f t="shared" ca="1" si="68"/>
        <v/>
      </c>
      <c r="L54" s="21" t="str" cm="1">
        <f t="array" aca="1" ref="L54" ca="1">IF($P54="","",INDEX('Attack Steps'!$A:$A,$P54))</f>
        <v/>
      </c>
      <c r="M54" s="21" t="str" cm="1">
        <f t="array" aca="1" ref="M54" ca="1">IF($P54="","",INDEX('Attack Steps'!$T:$T,$P54))</f>
        <v/>
      </c>
      <c r="N54" s="21" t="str" cm="1">
        <f t="array" aca="1" ref="N54" ca="1">_xlfn.LET(_xlpm._dm,SanitizeInput(GetValuesWithFallback(SanitizeInput($AK54),Assumptions!$A:$I,Countermeasures!$A:$I,"",",",FALSE)),
IF(_xlpm._dm="","",","&amp;_xlpm._dm))</f>
        <v/>
      </c>
      <c r="O54" s="21" t="str" cm="1">
        <f t="array" aca="1" ref="O54" ca="1">ApplyDamageMitigation($M54,$N54,"")</f>
        <v/>
      </c>
      <c r="P54" s="21" t="str">
        <f ca="1">IFERROR(MATCH($I54,'Attack Steps'!$V:$V,0),"")</f>
        <v/>
      </c>
      <c r="Q54" s="21" t="str" cm="1">
        <f t="array" aca="1" ref="Q54" ca="1">IF($P54="","","§"&amp;INDEX('Attack Steps'!$S:$S,$P54))</f>
        <v/>
      </c>
      <c r="R54" s="21" t="str" cm="1">
        <f t="array" aca="1" ref="R54" ca="1">IF($P54="","",INDEX('Attack Steps'!$W:$W,$P54))</f>
        <v/>
      </c>
      <c r="S54" s="21" t="b">
        <f t="shared" ca="1" si="69"/>
        <v>0</v>
      </c>
      <c r="T54" s="21" cm="1">
        <f t="array" aca="1" ref="T54" ca="1">_xlfn.LAMBDA(_xlpm._in,_xlpm._val,_xlpm._range,
IF(_xlpm._in="",_xlpm._val,_xlfn.LET(
_xlpm._id,LEFT(_xlpm._in,FIND(",",_xlpm._in)-1),
CalculateMaxFromList(RemoveFirstElement(_xlpm._in),MAX(_xlpm._val,VLOOKUP(_xlpm._id,_xlpm._range,COLUMNS(_xlpm._range),FALSE)),_xlpm._range))))($M54,0,'Damage Scenarios'!$A:$U)</f>
        <v>0</v>
      </c>
      <c r="U54" s="21" cm="1">
        <f t="array" aca="1" ref="U54" ca="1">CalculateMaxFromList($O54,0,'Damage Scenarios'!$A:$U)</f>
        <v>0</v>
      </c>
      <c r="V54" s="21" t="str">
        <f ca="1">IF($U54=0,"",INDEX(Definitions!$Q:$Q,MATCH($U54,Definitions!$R:$R,0)))</f>
        <v/>
      </c>
      <c r="W54" s="21" t="str" cm="1">
        <f t="array" aca="1" ref="W54" ca="1">CalculateMaxAndElements($K54,0,"",'Attack Steps'!$A:X)</f>
        <v>0:</v>
      </c>
      <c r="X54" s="21" t="str" cm="1">
        <f t="array" aca="1" ref="X54" ca="1">CalculateMaxAndElements($K54,0,"",'Attack Steps'!$A:Y)</f>
        <v>0:</v>
      </c>
      <c r="Y54" s="21" t="str" cm="1">
        <f t="array" aca="1" ref="Y54" ca="1">CalculateMaxAndElements($K54,0,"",'Attack Steps'!$A:Z)</f>
        <v>0:</v>
      </c>
      <c r="Z54" s="21" t="str" cm="1">
        <f t="array" aca="1" ref="Z54" ca="1">CalculateMaxAndElements($K54,0,"",'Attack Steps'!$A:AA)</f>
        <v>0:</v>
      </c>
      <c r="AA54" s="21" t="str" cm="1">
        <f t="array" aca="1" ref="AA54" ca="1">CalculateMaxAndElements($K54,0,"",'Attack Steps'!$A:AB)</f>
        <v>0:</v>
      </c>
      <c r="AB54" s="21">
        <f t="shared" ca="1" si="70"/>
        <v>0</v>
      </c>
      <c r="AC54" s="21">
        <f t="shared" ca="1" si="71"/>
        <v>0</v>
      </c>
      <c r="AD54" s="21">
        <f t="shared" ca="1" si="72"/>
        <v>0</v>
      </c>
      <c r="AE54" s="21">
        <f t="shared" ca="1" si="73"/>
        <v>0</v>
      </c>
      <c r="AF54" s="21">
        <f t="shared" ca="1" si="74"/>
        <v>0</v>
      </c>
      <c r="AG54" s="21">
        <f t="shared" ca="1" si="64"/>
        <v>0</v>
      </c>
      <c r="AH54" s="21" t="str" cm="1">
        <f t="array" aca="1" ref="AH54" ca="1">IF(ROW()=ROW($AH$2)+1,"",INDEX($AH:$AH,ROW()-1))&amp;IF($A54="","",$A54&amp;",")</f>
        <v/>
      </c>
      <c r="AI54" s="21" t="str">
        <f t="shared" ca="1" si="75"/>
        <v/>
      </c>
      <c r="AJ54" s="21" cm="1">
        <f t="array" aca="1" ref="AJ54" ca="1">IF($G54="",0,SimpleLookup($G54,Definitions!$AE:$AF))</f>
        <v>0</v>
      </c>
      <c r="AK54" s="21" t="str" cm="1">
        <f t="array" aca="1" ref="AK54" ca="1">InverseLookup($A54,Mitigation!$U$2,Mitigation!$J$2,1,Helper!$B$5,",")</f>
        <v/>
      </c>
      <c r="AL54" s="21" t="str" cm="1">
        <f t="array" aca="1" ref="AL54" ca="1">CalculateMaxAndElementsWithFallback(SanitizeInput($AK54),0,"",Countermeasures!$A:Y,Assumptions!$A:Z)</f>
        <v>0:</v>
      </c>
      <c r="AM54" s="21" t="str" cm="1">
        <f t="array" aca="1" ref="AM54" ca="1">CalculateMaxAndElementsWithFallback(SanitizeInput($AK54),0,"",Countermeasures!$A:Z,Assumptions!$A:AA)</f>
        <v>0:</v>
      </c>
      <c r="AN54" s="21" t="str" cm="1">
        <f t="array" aca="1" ref="AN54" ca="1">CalculateMaxAndElementsWithFallback(SanitizeInput($AK54),0,"",Countermeasures!$A:AA,Assumptions!$A:AB)</f>
        <v>0:</v>
      </c>
      <c r="AO54" s="21" t="str" cm="1">
        <f t="array" aca="1" ref="AO54" ca="1">CalculateMaxAndElementsWithFallback(SanitizeInput($AK54),0,"",Countermeasures!$A:AB,Assumptions!$A:AC)</f>
        <v>0:</v>
      </c>
      <c r="AP54" s="21" t="str" cm="1">
        <f t="array" aca="1" ref="AP54" ca="1">CalculateMaxAndElementsWithFallback(SanitizeInput($AK54),0,"",Countermeasures!$A:AC,Assumptions!$A:AD)</f>
        <v>0:</v>
      </c>
      <c r="AQ54" s="21">
        <f t="shared" ca="1" si="76"/>
        <v>0</v>
      </c>
      <c r="AR54" s="21">
        <f t="shared" ca="1" si="77"/>
        <v>0</v>
      </c>
      <c r="AS54" s="21">
        <f t="shared" ca="1" si="78"/>
        <v>0</v>
      </c>
      <c r="AT54" s="21">
        <f t="shared" ca="1" si="79"/>
        <v>0</v>
      </c>
      <c r="AU54" s="21">
        <f t="shared" ca="1" si="80"/>
        <v>0</v>
      </c>
      <c r="AV54" s="21" t="str">
        <f t="shared" ca="1" si="81"/>
        <v>0:</v>
      </c>
      <c r="AW54" s="21" t="str">
        <f t="shared" ca="1" si="82"/>
        <v>0:</v>
      </c>
      <c r="AX54" s="21" t="str">
        <f t="shared" ca="1" si="83"/>
        <v>0:</v>
      </c>
      <c r="AY54" s="21" t="str">
        <f t="shared" ca="1" si="84"/>
        <v>0:</v>
      </c>
      <c r="AZ54" s="21" t="str">
        <f t="shared" ca="1" si="85"/>
        <v>0:</v>
      </c>
      <c r="BA54" s="21">
        <f t="shared" ca="1" si="86"/>
        <v>0</v>
      </c>
      <c r="BB54" s="21">
        <f t="shared" ca="1" si="87"/>
        <v>0</v>
      </c>
      <c r="BC54" s="21">
        <f t="shared" ca="1" si="88"/>
        <v>0</v>
      </c>
      <c r="BD54" s="21">
        <f t="shared" ca="1" si="89"/>
        <v>0</v>
      </c>
      <c r="BE54" s="21">
        <f t="shared" ca="1" si="90"/>
        <v>0</v>
      </c>
      <c r="BF54" s="21">
        <f t="shared" ca="1" si="65"/>
        <v>0</v>
      </c>
      <c r="BG54" s="21" t="str">
        <f ca="1">IFERROR(VLOOKUP($BF54,Definitions!$V:$W,COLUMNS(Definitions!$V:$W),TRUE),"")</f>
        <v>Basic</v>
      </c>
      <c r="BH54" s="21" t="str">
        <f ca="1">_xlfn.LET(
_xlpm._comments,GetValues($K54,Mitigation!$A:$O,"","",FALSE),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54" s="21" t="str" cm="1">
        <f t="array" aca="1" ref="BI54" ca="1">_xlfn.LET(
_xlpm._rapRange,Definitions!$W:$W,
_xlpm._calculatedRAP,$BG54,
_xlpm._inlineRAP,$BH54,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54" s="21" t="str">
        <f ca="1">IFERROR(IF(OR($V54="",$BI54=""),
Definitions!$AE$4,
VLOOKUP($V54,Definitions!$AH:$AM,MATCH($BI54,Definitions!$AH$3:$AM$3,0),FALSE)),
"")</f>
        <v>No Risk</v>
      </c>
      <c r="BK54" s="21" cm="1">
        <f t="array" aca="1" ref="BK54" ca="1">IF($BJ54="",0,SimpleLookup($BJ54,Definitions!$AE:$AF))</f>
        <v>0</v>
      </c>
      <c r="BL54" s="21" t="str" cm="1">
        <f t="array" aca="1" ref="BL54" ca="1">IFERROR(SimpleLookup($A54,Tracing!$B:$Z),"")</f>
        <v/>
      </c>
      <c r="BM54" s="21" t="str" cm="1">
        <f t="array" aca="1" ref="BM54" ca="1">_xlfn.LET(_xlpm._dm,SanitizeInput(GetValuesWithFallback(SanitizeInput($BL54),Assumptions!$A:$I,Countermeasures!$A:$I,"",",",FALSE)),
IF(_xlpm._dm="","",","&amp;_xlpm._dm))</f>
        <v/>
      </c>
      <c r="BN54" s="21" t="str" cm="1">
        <f t="array" aca="1" ref="BN54" ca="1">ApplyDamageMitigation($M54,$BM54,"")</f>
        <v/>
      </c>
      <c r="BO54" s="21" cm="1">
        <f t="array" aca="1" ref="BO54" ca="1">CalculateMaxFromList($BN54,0,'Damage Scenarios'!$A:$U)</f>
        <v>0</v>
      </c>
      <c r="BP54" s="21" t="str">
        <f ca="1">IF($BO54=0,"",INDEX(Definitions!$Q:$Q,MATCH($BO54,Definitions!$R:$R,0)))</f>
        <v/>
      </c>
      <c r="BQ54" s="21" t="str" cm="1">
        <f t="array" aca="1" ref="BQ54" ca="1">CalculateMaxAndElementsWithFallback(SanitizeInput($BL54),0,"",Countermeasures!$A:Y,Assumptions!$A:Z)</f>
        <v>0:</v>
      </c>
      <c r="BR54" s="21" t="str" cm="1">
        <f t="array" aca="1" ref="BR54" ca="1">CalculateMaxAndElementsWithFallback(SanitizeInput($BL54),0,"",Countermeasures!$A:Z,Assumptions!$A:AA)</f>
        <v>0:</v>
      </c>
      <c r="BS54" s="21" t="str" cm="1">
        <f t="array" aca="1" ref="BS54" ca="1">CalculateMaxAndElementsWithFallback(SanitizeInput($BL54),0,"",Countermeasures!$A:AA,Assumptions!$A:AB)</f>
        <v>0:</v>
      </c>
      <c r="BT54" s="21" t="str" cm="1">
        <f t="array" aca="1" ref="BT54" ca="1">CalculateMaxAndElementsWithFallback(SanitizeInput($BL54),0,"",Countermeasures!$A:AB,Assumptions!$A:AC)</f>
        <v>0:</v>
      </c>
      <c r="BU54" s="21" t="str" cm="1">
        <f t="array" aca="1" ref="BU54" ca="1">CalculateMaxAndElementsWithFallback(SanitizeInput($BL54),0,"",Countermeasures!$A:AC,Assumptions!$A:AD)</f>
        <v>0:</v>
      </c>
      <c r="BV54" s="21">
        <f t="shared" ca="1" si="25"/>
        <v>0</v>
      </c>
      <c r="BW54" s="21">
        <f t="shared" ca="1" si="26"/>
        <v>0</v>
      </c>
      <c r="BX54" s="21">
        <f t="shared" ca="1" si="27"/>
        <v>0</v>
      </c>
      <c r="BY54" s="21">
        <f t="shared" ca="1" si="28"/>
        <v>0</v>
      </c>
      <c r="BZ54" s="21">
        <f t="shared" ca="1" si="29"/>
        <v>0</v>
      </c>
      <c r="CA54" s="21" t="str">
        <f t="shared" ca="1" si="30"/>
        <v>0:</v>
      </c>
      <c r="CB54" s="21" t="str">
        <f t="shared" ca="1" si="31"/>
        <v>0:</v>
      </c>
      <c r="CC54" s="21" t="str">
        <f t="shared" ca="1" si="32"/>
        <v>0:</v>
      </c>
      <c r="CD54" s="21" t="str">
        <f t="shared" ca="1" si="33"/>
        <v>0:</v>
      </c>
      <c r="CE54" s="21" t="str">
        <f t="shared" ca="1" si="34"/>
        <v>0:</v>
      </c>
      <c r="CF54" s="21">
        <f t="shared" ca="1" si="35"/>
        <v>0</v>
      </c>
      <c r="CG54" s="21">
        <f t="shared" ca="1" si="36"/>
        <v>0</v>
      </c>
      <c r="CH54" s="21">
        <f t="shared" ca="1" si="37"/>
        <v>0</v>
      </c>
      <c r="CI54" s="21">
        <f t="shared" ca="1" si="38"/>
        <v>0</v>
      </c>
      <c r="CJ54" s="21">
        <f t="shared" ca="1" si="39"/>
        <v>0</v>
      </c>
      <c r="CK54" s="21">
        <f t="shared" ca="1" si="66"/>
        <v>0</v>
      </c>
      <c r="CL54" s="21" t="str">
        <f ca="1">IFERROR(VLOOKUP($CK54,Definitions!$V:$W,COLUMNS(Definitions!$V:$W),TRUE),"")</f>
        <v>Basic</v>
      </c>
      <c r="CM54" s="21" t="str">
        <f ca="1">_xlfn.LET(
_xlpm._comments,SimpleLookup($A54,Tracing!$B:$AB),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54" s="21" t="str" cm="1">
        <f t="array" aca="1" ref="CN54" ca="1">_xlfn.LET(
_xlpm._rapRange,Definitions!$W:$W,
_xlpm._calculatedRAP,$CL54,
_xlpm._inlineRAP,$CM54,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54" s="21" t="str">
        <f ca="1">IFERROR(IF(OR($BP54="",$CN54=""),
Definitions!$AE$4,
VLOOKUP($BP54,Definitions!$AH:$AM,MATCH($CN54,Definitions!$AH$3:$AM$3,0),FALSE)),
"")</f>
        <v>No Risk</v>
      </c>
      <c r="CP54" s="21" cm="1">
        <f t="array" aca="1" ref="CP54" ca="1">IF($CO54="",0,SimpleLookup($CO54,Definitions!$AE:$AF))</f>
        <v>0</v>
      </c>
      <c r="CQ54" s="21" t="b">
        <f ca="1">OR(AND($S54,$I54=Helper!$B$7),$I54&gt;Helper!$B$7)</f>
        <v>1</v>
      </c>
      <c r="CR54" s="21" t="str">
        <f t="shared" ca="1" si="67"/>
        <v/>
      </c>
      <c r="CS54" s="21" cm="1">
        <f t="array" aca="1" ref="CS54" ca="1">CreateID($CS$2,$CV:$CV,$CR54&lt;&gt;"")</f>
        <v>0</v>
      </c>
      <c r="CT54" s="21" t="str">
        <f ca="1">IF(IFERROR(MATCH(","&amp;A54&amp;",",'Risk Treatment'!$AT:$AT,0)&gt;0,FALSE),"",$A54)</f>
        <v/>
      </c>
      <c r="CU54" s="21" cm="1">
        <f t="array" aca="1" ref="CU54" ca="1">CreateID($CU$2,$CU:$CU,$CT54&lt;&gt;"")</f>
        <v>0</v>
      </c>
    </row>
    <row r="55" spans="1:99" x14ac:dyDescent="0.25">
      <c r="A55" s="33" t="str" cm="1">
        <f t="array" aca="1" ref="A55" ca="1">IF($B55="","","R"&amp;RemoveDelimiter(SUBSTITUTE(SUBSTITUTE($K55,"AS",""),",","-"),"-"))</f>
        <v/>
      </c>
      <c r="B55" s="33" t="str" cm="1">
        <f t="array" aca="1" ref="B55" ca="1">IF($L55="","",_xlfn.LET(
_xlpm._finalAttackStep,$L55,
_xlpm._prepAttacks,RemoveFirstElement(_xlpm._finalAttackStep&amp;","&amp;$K55),
_xlpm._prepAttackNames,IFERROR(LookupNames(_xlpm._prepAttacks,'Attack Steps'!$A:$B),""),
_xlpm._delimiter,REPT(CHAR(150),55),
$L55&amp;" "&amp;SimpleLookup($L55,'Attack Steps'!$A:$B)&amp;
IF(_xlpm._prepAttackNames="","",CHAR(10)&amp;_xlpm._delimiter&amp;CHAR(10)&amp;_xlpm._prepAttackNames)))</f>
        <v/>
      </c>
      <c r="C55" s="34" t="str" cm="1">
        <f t="array" aca="1" ref="C55" ca="1">IFERROR(LookupNames($M55,'Damage Scenarios'!$A:$V),"")</f>
        <v/>
      </c>
      <c r="D55" s="33" t="str">
        <f ca="1">IFERROR(IF($T55=0,"",INDEX(Definitions!$Q:$Q,MATCH($T55,Definitions!$R:$R,0))),"")</f>
        <v/>
      </c>
      <c r="E55" s="34" t="str" cm="1">
        <f t="array" aca="1" ref="E55" ca="1">IF($A55="","",_xlfn.LET(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_xlpm._factorFunction($A55,$A:W,Definitions!$Y:$Y,Definitions!$AB:$AB,1)&amp;CHAR(10)&amp;
_xlpm._factorFunction($A55,$A:X,Definitions!$Y:$Y,Definitions!$AB:$AB,2)&amp;CHAR(10)&amp;
_xlpm._factorFunction($A55,$A:Y,Definitions!$Y:$Y,Definitions!$AB:$AB,3)&amp;CHAR(10)&amp;
_xlpm._factorFunction($A55,$A:Z,Definitions!$Y:$Y,Definitions!$AB:$AB,4)&amp;CHAR(10)&amp;
_xlpm._factorFunction($A55,$A:AA,Definitions!$Y:$Y,Definitions!$AB:$AB,5)))</f>
        <v/>
      </c>
      <c r="F55" s="33" t="str">
        <f ca="1">IF($A55="","",IFERROR(VLOOKUP($AG55,Definitions!$V:$W,COLUMNS(Definitions!$V:$W),TRUE),""))</f>
        <v/>
      </c>
      <c r="G55" s="33" t="str">
        <f ca="1">IFERROR(IF(OR($D55="",$F55=""),
"",
VLOOKUP($D55,Definitions!$AH:$AM,MATCH($F55,Definitions!$AH$3:$AM$3,0),FALSE)),
"")</f>
        <v/>
      </c>
      <c r="H55" s="23" cm="1">
        <f t="array" aca="1" ref="H55" ca="1">IF(ROW()=ROW($H$2)+1,0,INDEX($H:$H,ROW()-1))+IF($A55="",0,1)</f>
        <v>0</v>
      </c>
      <c r="I55" s="21" cm="1">
        <f t="array" aca="1" ref="I55" ca="1">IF(ROW()=ROW($I$2)+1,
1,
INDEX($I:$I,ROW()-1)+IF(INDEX($S:$S,ROW()-1),1,0))</f>
        <v>1</v>
      </c>
      <c r="J55" s="21">
        <f t="shared" ca="1" si="63"/>
        <v>53</v>
      </c>
      <c r="K55" s="21" t="str">
        <f t="shared" ca="1" si="68"/>
        <v/>
      </c>
      <c r="L55" s="21" t="str" cm="1">
        <f t="array" aca="1" ref="L55" ca="1">IF($P55="","",INDEX('Attack Steps'!$A:$A,$P55))</f>
        <v/>
      </c>
      <c r="M55" s="21" t="str" cm="1">
        <f t="array" aca="1" ref="M55" ca="1">IF($P55="","",INDEX('Attack Steps'!$T:$T,$P55))</f>
        <v/>
      </c>
      <c r="N55" s="21" t="str" cm="1">
        <f t="array" aca="1" ref="N55" ca="1">_xlfn.LET(_xlpm._dm,SanitizeInput(GetValuesWithFallback(SanitizeInput($AK55),Assumptions!$A:$I,Countermeasures!$A:$I,"",",",FALSE)),
IF(_xlpm._dm="","",","&amp;_xlpm._dm))</f>
        <v/>
      </c>
      <c r="O55" s="21" t="str" cm="1">
        <f t="array" aca="1" ref="O55" ca="1">ApplyDamageMitigation($M55,$N55,"")</f>
        <v/>
      </c>
      <c r="P55" s="21" t="str">
        <f ca="1">IFERROR(MATCH($I55,'Attack Steps'!$V:$V,0),"")</f>
        <v/>
      </c>
      <c r="Q55" s="21" t="str" cm="1">
        <f t="array" aca="1" ref="Q55" ca="1">IF($P55="","","§"&amp;INDEX('Attack Steps'!$S:$S,$P55))</f>
        <v/>
      </c>
      <c r="R55" s="21" t="str" cm="1">
        <f t="array" aca="1" ref="R55" ca="1">IF($P55="","",INDEX('Attack Steps'!$W:$W,$P55))</f>
        <v/>
      </c>
      <c r="S55" s="21" t="b">
        <f t="shared" ca="1" si="69"/>
        <v>0</v>
      </c>
      <c r="T55" s="21" cm="1">
        <f t="array" aca="1" ref="T55" ca="1">_xlfn.LAMBDA(_xlpm._in,_xlpm._val,_xlpm._range,
IF(_xlpm._in="",_xlpm._val,_xlfn.LET(
_xlpm._id,LEFT(_xlpm._in,FIND(",",_xlpm._in)-1),
CalculateMaxFromList(RemoveFirstElement(_xlpm._in),MAX(_xlpm._val,VLOOKUP(_xlpm._id,_xlpm._range,COLUMNS(_xlpm._range),FALSE)),_xlpm._range))))($M55,0,'Damage Scenarios'!$A:$U)</f>
        <v>0</v>
      </c>
      <c r="U55" s="21" cm="1">
        <f t="array" aca="1" ref="U55" ca="1">CalculateMaxFromList($O55,0,'Damage Scenarios'!$A:$U)</f>
        <v>0</v>
      </c>
      <c r="V55" s="21" t="str">
        <f ca="1">IF($U55=0,"",INDEX(Definitions!$Q:$Q,MATCH($U55,Definitions!$R:$R,0)))</f>
        <v/>
      </c>
      <c r="W55" s="21" t="str" cm="1">
        <f t="array" aca="1" ref="W55" ca="1">CalculateMaxAndElements($K55,0,"",'Attack Steps'!$A:X)</f>
        <v>0:</v>
      </c>
      <c r="X55" s="21" t="str" cm="1">
        <f t="array" aca="1" ref="X55" ca="1">CalculateMaxAndElements($K55,0,"",'Attack Steps'!$A:Y)</f>
        <v>0:</v>
      </c>
      <c r="Y55" s="21" t="str" cm="1">
        <f t="array" aca="1" ref="Y55" ca="1">CalculateMaxAndElements($K55,0,"",'Attack Steps'!$A:Z)</f>
        <v>0:</v>
      </c>
      <c r="Z55" s="21" t="str" cm="1">
        <f t="array" aca="1" ref="Z55" ca="1">CalculateMaxAndElements($K55,0,"",'Attack Steps'!$A:AA)</f>
        <v>0:</v>
      </c>
      <c r="AA55" s="21" t="str" cm="1">
        <f t="array" aca="1" ref="AA55" ca="1">CalculateMaxAndElements($K55,0,"",'Attack Steps'!$A:AB)</f>
        <v>0:</v>
      </c>
      <c r="AB55" s="21">
        <f t="shared" ca="1" si="70"/>
        <v>0</v>
      </c>
      <c r="AC55" s="21">
        <f t="shared" ca="1" si="71"/>
        <v>0</v>
      </c>
      <c r="AD55" s="21">
        <f t="shared" ca="1" si="72"/>
        <v>0</v>
      </c>
      <c r="AE55" s="21">
        <f t="shared" ca="1" si="73"/>
        <v>0</v>
      </c>
      <c r="AF55" s="21">
        <f t="shared" ca="1" si="74"/>
        <v>0</v>
      </c>
      <c r="AG55" s="21">
        <f t="shared" ca="1" si="64"/>
        <v>0</v>
      </c>
      <c r="AH55" s="21" t="str" cm="1">
        <f t="array" aca="1" ref="AH55" ca="1">IF(ROW()=ROW($AH$2)+1,"",INDEX($AH:$AH,ROW()-1))&amp;IF($A55="","",$A55&amp;",")</f>
        <v/>
      </c>
      <c r="AI55" s="21" t="str">
        <f t="shared" ca="1" si="75"/>
        <v/>
      </c>
      <c r="AJ55" s="21" cm="1">
        <f t="array" aca="1" ref="AJ55" ca="1">IF($G55="",0,SimpleLookup($G55,Definitions!$AE:$AF))</f>
        <v>0</v>
      </c>
      <c r="AK55" s="21" t="str" cm="1">
        <f t="array" aca="1" ref="AK55" ca="1">InverseLookup($A55,Mitigation!$U$2,Mitigation!$J$2,1,Helper!$B$5,",")</f>
        <v/>
      </c>
      <c r="AL55" s="21" t="str" cm="1">
        <f t="array" aca="1" ref="AL55" ca="1">CalculateMaxAndElementsWithFallback(SanitizeInput($AK55),0,"",Countermeasures!$A:Y,Assumptions!$A:Z)</f>
        <v>0:</v>
      </c>
      <c r="AM55" s="21" t="str" cm="1">
        <f t="array" aca="1" ref="AM55" ca="1">CalculateMaxAndElementsWithFallback(SanitizeInput($AK55),0,"",Countermeasures!$A:Z,Assumptions!$A:AA)</f>
        <v>0:</v>
      </c>
      <c r="AN55" s="21" t="str" cm="1">
        <f t="array" aca="1" ref="AN55" ca="1">CalculateMaxAndElementsWithFallback(SanitizeInput($AK55),0,"",Countermeasures!$A:AA,Assumptions!$A:AB)</f>
        <v>0:</v>
      </c>
      <c r="AO55" s="21" t="str" cm="1">
        <f t="array" aca="1" ref="AO55" ca="1">CalculateMaxAndElementsWithFallback(SanitizeInput($AK55),0,"",Countermeasures!$A:AB,Assumptions!$A:AC)</f>
        <v>0:</v>
      </c>
      <c r="AP55" s="21" t="str" cm="1">
        <f t="array" aca="1" ref="AP55" ca="1">CalculateMaxAndElementsWithFallback(SanitizeInput($AK55),0,"",Countermeasures!$A:AC,Assumptions!$A:AD)</f>
        <v>0:</v>
      </c>
      <c r="AQ55" s="21">
        <f t="shared" ca="1" si="76"/>
        <v>0</v>
      </c>
      <c r="AR55" s="21">
        <f t="shared" ca="1" si="77"/>
        <v>0</v>
      </c>
      <c r="AS55" s="21">
        <f t="shared" ca="1" si="78"/>
        <v>0</v>
      </c>
      <c r="AT55" s="21">
        <f t="shared" ca="1" si="79"/>
        <v>0</v>
      </c>
      <c r="AU55" s="21">
        <f t="shared" ca="1" si="80"/>
        <v>0</v>
      </c>
      <c r="AV55" s="21" t="str">
        <f t="shared" ca="1" si="81"/>
        <v>0:</v>
      </c>
      <c r="AW55" s="21" t="str">
        <f t="shared" ca="1" si="82"/>
        <v>0:</v>
      </c>
      <c r="AX55" s="21" t="str">
        <f t="shared" ca="1" si="83"/>
        <v>0:</v>
      </c>
      <c r="AY55" s="21" t="str">
        <f t="shared" ca="1" si="84"/>
        <v>0:</v>
      </c>
      <c r="AZ55" s="21" t="str">
        <f t="shared" ca="1" si="85"/>
        <v>0:</v>
      </c>
      <c r="BA55" s="21">
        <f t="shared" ca="1" si="86"/>
        <v>0</v>
      </c>
      <c r="BB55" s="21">
        <f t="shared" ca="1" si="87"/>
        <v>0</v>
      </c>
      <c r="BC55" s="21">
        <f t="shared" ca="1" si="88"/>
        <v>0</v>
      </c>
      <c r="BD55" s="21">
        <f t="shared" ca="1" si="89"/>
        <v>0</v>
      </c>
      <c r="BE55" s="21">
        <f t="shared" ca="1" si="90"/>
        <v>0</v>
      </c>
      <c r="BF55" s="21">
        <f t="shared" ca="1" si="65"/>
        <v>0</v>
      </c>
      <c r="BG55" s="21" t="str">
        <f ca="1">IFERROR(VLOOKUP($BF55,Definitions!$V:$W,COLUMNS(Definitions!$V:$W),TRUE),"")</f>
        <v>Basic</v>
      </c>
      <c r="BH55" s="21" t="str">
        <f ca="1">_xlfn.LET(
_xlpm._comments,GetValues($K55,Mitigation!$A:$O,"","",FALSE),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55" s="21" t="str" cm="1">
        <f t="array" aca="1" ref="BI55" ca="1">_xlfn.LET(
_xlpm._rapRange,Definitions!$W:$W,
_xlpm._calculatedRAP,$BG55,
_xlpm._inlineRAP,$BH55,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55" s="21" t="str">
        <f ca="1">IFERROR(IF(OR($V55="",$BI55=""),
Definitions!$AE$4,
VLOOKUP($V55,Definitions!$AH:$AM,MATCH($BI55,Definitions!$AH$3:$AM$3,0),FALSE)),
"")</f>
        <v>No Risk</v>
      </c>
      <c r="BK55" s="21" cm="1">
        <f t="array" aca="1" ref="BK55" ca="1">IF($BJ55="",0,SimpleLookup($BJ55,Definitions!$AE:$AF))</f>
        <v>0</v>
      </c>
      <c r="BL55" s="21" t="str" cm="1">
        <f t="array" aca="1" ref="BL55" ca="1">IFERROR(SimpleLookup($A55,Tracing!$B:$Z),"")</f>
        <v/>
      </c>
      <c r="BM55" s="21" t="str" cm="1">
        <f t="array" aca="1" ref="BM55" ca="1">_xlfn.LET(_xlpm._dm,SanitizeInput(GetValuesWithFallback(SanitizeInput($BL55),Assumptions!$A:$I,Countermeasures!$A:$I,"",",",FALSE)),
IF(_xlpm._dm="","",","&amp;_xlpm._dm))</f>
        <v/>
      </c>
      <c r="BN55" s="21" t="str" cm="1">
        <f t="array" aca="1" ref="BN55" ca="1">ApplyDamageMitigation($M55,$BM55,"")</f>
        <v/>
      </c>
      <c r="BO55" s="21" cm="1">
        <f t="array" aca="1" ref="BO55" ca="1">CalculateMaxFromList($BN55,0,'Damage Scenarios'!$A:$U)</f>
        <v>0</v>
      </c>
      <c r="BP55" s="21" t="str">
        <f ca="1">IF($BO55=0,"",INDEX(Definitions!$Q:$Q,MATCH($BO55,Definitions!$R:$R,0)))</f>
        <v/>
      </c>
      <c r="BQ55" s="21" t="str" cm="1">
        <f t="array" aca="1" ref="BQ55" ca="1">CalculateMaxAndElementsWithFallback(SanitizeInput($BL55),0,"",Countermeasures!$A:Y,Assumptions!$A:Z)</f>
        <v>0:</v>
      </c>
      <c r="BR55" s="21" t="str" cm="1">
        <f t="array" aca="1" ref="BR55" ca="1">CalculateMaxAndElementsWithFallback(SanitizeInput($BL55),0,"",Countermeasures!$A:Z,Assumptions!$A:AA)</f>
        <v>0:</v>
      </c>
      <c r="BS55" s="21" t="str" cm="1">
        <f t="array" aca="1" ref="BS55" ca="1">CalculateMaxAndElementsWithFallback(SanitizeInput($BL55),0,"",Countermeasures!$A:AA,Assumptions!$A:AB)</f>
        <v>0:</v>
      </c>
      <c r="BT55" s="21" t="str" cm="1">
        <f t="array" aca="1" ref="BT55" ca="1">CalculateMaxAndElementsWithFallback(SanitizeInput($BL55),0,"",Countermeasures!$A:AB,Assumptions!$A:AC)</f>
        <v>0:</v>
      </c>
      <c r="BU55" s="21" t="str" cm="1">
        <f t="array" aca="1" ref="BU55" ca="1">CalculateMaxAndElementsWithFallback(SanitizeInput($BL55),0,"",Countermeasures!$A:AC,Assumptions!$A:AD)</f>
        <v>0:</v>
      </c>
      <c r="BV55" s="21">
        <f t="shared" ca="1" si="25"/>
        <v>0</v>
      </c>
      <c r="BW55" s="21">
        <f t="shared" ca="1" si="26"/>
        <v>0</v>
      </c>
      <c r="BX55" s="21">
        <f t="shared" ca="1" si="27"/>
        <v>0</v>
      </c>
      <c r="BY55" s="21">
        <f t="shared" ca="1" si="28"/>
        <v>0</v>
      </c>
      <c r="BZ55" s="21">
        <f t="shared" ca="1" si="29"/>
        <v>0</v>
      </c>
      <c r="CA55" s="21" t="str">
        <f t="shared" ca="1" si="30"/>
        <v>0:</v>
      </c>
      <c r="CB55" s="21" t="str">
        <f t="shared" ca="1" si="31"/>
        <v>0:</v>
      </c>
      <c r="CC55" s="21" t="str">
        <f t="shared" ca="1" si="32"/>
        <v>0:</v>
      </c>
      <c r="CD55" s="21" t="str">
        <f t="shared" ca="1" si="33"/>
        <v>0:</v>
      </c>
      <c r="CE55" s="21" t="str">
        <f t="shared" ca="1" si="34"/>
        <v>0:</v>
      </c>
      <c r="CF55" s="21">
        <f t="shared" ca="1" si="35"/>
        <v>0</v>
      </c>
      <c r="CG55" s="21">
        <f t="shared" ca="1" si="36"/>
        <v>0</v>
      </c>
      <c r="CH55" s="21">
        <f t="shared" ca="1" si="37"/>
        <v>0</v>
      </c>
      <c r="CI55" s="21">
        <f t="shared" ca="1" si="38"/>
        <v>0</v>
      </c>
      <c r="CJ55" s="21">
        <f t="shared" ca="1" si="39"/>
        <v>0</v>
      </c>
      <c r="CK55" s="21">
        <f t="shared" ca="1" si="66"/>
        <v>0</v>
      </c>
      <c r="CL55" s="21" t="str">
        <f ca="1">IFERROR(VLOOKUP($CK55,Definitions!$V:$W,COLUMNS(Definitions!$V:$W),TRUE),"")</f>
        <v>Basic</v>
      </c>
      <c r="CM55" s="21" t="str">
        <f ca="1">_xlfn.LET(
_xlpm._comments,SimpleLookup($A55,Tracing!$B:$AB),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55" s="21" t="str" cm="1">
        <f t="array" aca="1" ref="CN55" ca="1">_xlfn.LET(
_xlpm._rapRange,Definitions!$W:$W,
_xlpm._calculatedRAP,$CL55,
_xlpm._inlineRAP,$CM55,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55" s="21" t="str">
        <f ca="1">IFERROR(IF(OR($BP55="",$CN55=""),
Definitions!$AE$4,
VLOOKUP($BP55,Definitions!$AH:$AM,MATCH($CN55,Definitions!$AH$3:$AM$3,0),FALSE)),
"")</f>
        <v>No Risk</v>
      </c>
      <c r="CP55" s="21" cm="1">
        <f t="array" aca="1" ref="CP55" ca="1">IF($CO55="",0,SimpleLookup($CO55,Definitions!$AE:$AF))</f>
        <v>0</v>
      </c>
      <c r="CQ55" s="21" t="b">
        <f ca="1">OR(AND($S55,$I55=Helper!$B$7),$I55&gt;Helper!$B$7)</f>
        <v>1</v>
      </c>
      <c r="CR55" s="21" t="str">
        <f t="shared" ca="1" si="67"/>
        <v/>
      </c>
      <c r="CS55" s="21" cm="1">
        <f t="array" aca="1" ref="CS55" ca="1">CreateID($CS$2,$CV:$CV,$CR55&lt;&gt;"")</f>
        <v>0</v>
      </c>
      <c r="CT55" s="21" t="str">
        <f ca="1">IF(IFERROR(MATCH(","&amp;A55&amp;",",'Risk Treatment'!$AT:$AT,0)&gt;0,FALSE),"",$A55)</f>
        <v/>
      </c>
      <c r="CU55" s="21" cm="1">
        <f t="array" aca="1" ref="CU55" ca="1">CreateID($CU$2,$CU:$CU,$CT55&lt;&gt;"")</f>
        <v>0</v>
      </c>
    </row>
    <row r="56" spans="1:99" x14ac:dyDescent="0.25">
      <c r="A56" s="33" t="str" cm="1">
        <f t="array" aca="1" ref="A56" ca="1">IF($B56="","","R"&amp;RemoveDelimiter(SUBSTITUTE(SUBSTITUTE($K56,"AS",""),",","-"),"-"))</f>
        <v/>
      </c>
      <c r="B56" s="33" t="str" cm="1">
        <f t="array" aca="1" ref="B56" ca="1">IF($L56="","",_xlfn.LET(
_xlpm._finalAttackStep,$L56,
_xlpm._prepAttacks,RemoveFirstElement(_xlpm._finalAttackStep&amp;","&amp;$K56),
_xlpm._prepAttackNames,IFERROR(LookupNames(_xlpm._prepAttacks,'Attack Steps'!$A:$B),""),
_xlpm._delimiter,REPT(CHAR(150),55),
$L56&amp;" "&amp;SimpleLookup($L56,'Attack Steps'!$A:$B)&amp;
IF(_xlpm._prepAttackNames="","",CHAR(10)&amp;_xlpm._delimiter&amp;CHAR(10)&amp;_xlpm._prepAttackNames)))</f>
        <v/>
      </c>
      <c r="C56" s="34" t="str" cm="1">
        <f t="array" aca="1" ref="C56" ca="1">IFERROR(LookupNames($M56,'Damage Scenarios'!$A:$V),"")</f>
        <v/>
      </c>
      <c r="D56" s="33" t="str">
        <f ca="1">IFERROR(IF($T56=0,"",INDEX(Definitions!$Q:$Q,MATCH($T56,Definitions!$R:$R,0))),"")</f>
        <v/>
      </c>
      <c r="E56" s="34" t="str" cm="1">
        <f t="array" aca="1" ref="E56" ca="1">IF($A56="","",_xlfn.LET(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_xlpm._factorFunction($A56,$A:W,Definitions!$Y:$Y,Definitions!$AB:$AB,1)&amp;CHAR(10)&amp;
_xlpm._factorFunction($A56,$A:X,Definitions!$Y:$Y,Definitions!$AB:$AB,2)&amp;CHAR(10)&amp;
_xlpm._factorFunction($A56,$A:Y,Definitions!$Y:$Y,Definitions!$AB:$AB,3)&amp;CHAR(10)&amp;
_xlpm._factorFunction($A56,$A:Z,Definitions!$Y:$Y,Definitions!$AB:$AB,4)&amp;CHAR(10)&amp;
_xlpm._factorFunction($A56,$A:AA,Definitions!$Y:$Y,Definitions!$AB:$AB,5)))</f>
        <v/>
      </c>
      <c r="F56" s="33" t="str">
        <f ca="1">IF($A56="","",IFERROR(VLOOKUP($AG56,Definitions!$V:$W,COLUMNS(Definitions!$V:$W),TRUE),""))</f>
        <v/>
      </c>
      <c r="G56" s="33" t="str">
        <f ca="1">IFERROR(IF(OR($D56="",$F56=""),
"",
VLOOKUP($D56,Definitions!$AH:$AM,MATCH($F56,Definitions!$AH$3:$AM$3,0),FALSE)),
"")</f>
        <v/>
      </c>
      <c r="H56" s="23" cm="1">
        <f t="array" aca="1" ref="H56" ca="1">IF(ROW()=ROW($H$2)+1,0,INDEX($H:$H,ROW()-1))+IF($A56="",0,1)</f>
        <v>0</v>
      </c>
      <c r="I56" s="21" cm="1">
        <f t="array" aca="1" ref="I56" ca="1">IF(ROW()=ROW($I$2)+1,
1,
INDEX($I:$I,ROW()-1)+IF(INDEX($S:$S,ROW()-1),1,0))</f>
        <v>1</v>
      </c>
      <c r="J56" s="21">
        <f t="shared" ca="1" si="63"/>
        <v>54</v>
      </c>
      <c r="K56" s="21" t="str">
        <f t="shared" ca="1" si="68"/>
        <v/>
      </c>
      <c r="L56" s="21" t="str" cm="1">
        <f t="array" aca="1" ref="L56" ca="1">IF($P56="","",INDEX('Attack Steps'!$A:$A,$P56))</f>
        <v/>
      </c>
      <c r="M56" s="21" t="str" cm="1">
        <f t="array" aca="1" ref="M56" ca="1">IF($P56="","",INDEX('Attack Steps'!$T:$T,$P56))</f>
        <v/>
      </c>
      <c r="N56" s="21" t="str" cm="1">
        <f t="array" aca="1" ref="N56" ca="1">_xlfn.LET(_xlpm._dm,SanitizeInput(GetValuesWithFallback(SanitizeInput($AK56),Assumptions!$A:$I,Countermeasures!$A:$I,"",",",FALSE)),
IF(_xlpm._dm="","",","&amp;_xlpm._dm))</f>
        <v/>
      </c>
      <c r="O56" s="21" t="str" cm="1">
        <f t="array" aca="1" ref="O56" ca="1">ApplyDamageMitigation($M56,$N56,"")</f>
        <v/>
      </c>
      <c r="P56" s="21" t="str">
        <f ca="1">IFERROR(MATCH($I56,'Attack Steps'!$V:$V,0),"")</f>
        <v/>
      </c>
      <c r="Q56" s="21" t="str" cm="1">
        <f t="array" aca="1" ref="Q56" ca="1">IF($P56="","","§"&amp;INDEX('Attack Steps'!$S:$S,$P56))</f>
        <v/>
      </c>
      <c r="R56" s="21" t="str" cm="1">
        <f t="array" aca="1" ref="R56" ca="1">IF($P56="","",INDEX('Attack Steps'!$W:$W,$P56))</f>
        <v/>
      </c>
      <c r="S56" s="21" t="b">
        <f t="shared" ca="1" si="69"/>
        <v>0</v>
      </c>
      <c r="T56" s="21" cm="1">
        <f t="array" aca="1" ref="T56" ca="1">_xlfn.LAMBDA(_xlpm._in,_xlpm._val,_xlpm._range,
IF(_xlpm._in="",_xlpm._val,_xlfn.LET(
_xlpm._id,LEFT(_xlpm._in,FIND(",",_xlpm._in)-1),
CalculateMaxFromList(RemoveFirstElement(_xlpm._in),MAX(_xlpm._val,VLOOKUP(_xlpm._id,_xlpm._range,COLUMNS(_xlpm._range),FALSE)),_xlpm._range))))($M56,0,'Damage Scenarios'!$A:$U)</f>
        <v>0</v>
      </c>
      <c r="U56" s="21" cm="1">
        <f t="array" aca="1" ref="U56" ca="1">CalculateMaxFromList($O56,0,'Damage Scenarios'!$A:$U)</f>
        <v>0</v>
      </c>
      <c r="V56" s="21" t="str">
        <f ca="1">IF($U56=0,"",INDEX(Definitions!$Q:$Q,MATCH($U56,Definitions!$R:$R,0)))</f>
        <v/>
      </c>
      <c r="W56" s="21" t="str" cm="1">
        <f t="array" aca="1" ref="W56" ca="1">CalculateMaxAndElements($K56,0,"",'Attack Steps'!$A:X)</f>
        <v>0:</v>
      </c>
      <c r="X56" s="21" t="str" cm="1">
        <f t="array" aca="1" ref="X56" ca="1">CalculateMaxAndElements($K56,0,"",'Attack Steps'!$A:Y)</f>
        <v>0:</v>
      </c>
      <c r="Y56" s="21" t="str" cm="1">
        <f t="array" aca="1" ref="Y56" ca="1">CalculateMaxAndElements($K56,0,"",'Attack Steps'!$A:Z)</f>
        <v>0:</v>
      </c>
      <c r="Z56" s="21" t="str" cm="1">
        <f t="array" aca="1" ref="Z56" ca="1">CalculateMaxAndElements($K56,0,"",'Attack Steps'!$A:AA)</f>
        <v>0:</v>
      </c>
      <c r="AA56" s="21" t="str" cm="1">
        <f t="array" aca="1" ref="AA56" ca="1">CalculateMaxAndElements($K56,0,"",'Attack Steps'!$A:AB)</f>
        <v>0:</v>
      </c>
      <c r="AB56" s="21">
        <f t="shared" ca="1" si="70"/>
        <v>0</v>
      </c>
      <c r="AC56" s="21">
        <f t="shared" ca="1" si="71"/>
        <v>0</v>
      </c>
      <c r="AD56" s="21">
        <f t="shared" ca="1" si="72"/>
        <v>0</v>
      </c>
      <c r="AE56" s="21">
        <f t="shared" ca="1" si="73"/>
        <v>0</v>
      </c>
      <c r="AF56" s="21">
        <f t="shared" ca="1" si="74"/>
        <v>0</v>
      </c>
      <c r="AG56" s="21">
        <f t="shared" ca="1" si="64"/>
        <v>0</v>
      </c>
      <c r="AH56" s="21" t="str" cm="1">
        <f t="array" aca="1" ref="AH56" ca="1">IF(ROW()=ROW($AH$2)+1,"",INDEX($AH:$AH,ROW()-1))&amp;IF($A56="","",$A56&amp;",")</f>
        <v/>
      </c>
      <c r="AI56" s="21" t="str">
        <f t="shared" ca="1" si="75"/>
        <v/>
      </c>
      <c r="AJ56" s="21" cm="1">
        <f t="array" aca="1" ref="AJ56" ca="1">IF($G56="",0,SimpleLookup($G56,Definitions!$AE:$AF))</f>
        <v>0</v>
      </c>
      <c r="AK56" s="21" t="str" cm="1">
        <f t="array" aca="1" ref="AK56" ca="1">InverseLookup($A56,Mitigation!$U$2,Mitigation!$J$2,1,Helper!$B$5,",")</f>
        <v/>
      </c>
      <c r="AL56" s="21" t="str" cm="1">
        <f t="array" aca="1" ref="AL56" ca="1">CalculateMaxAndElementsWithFallback(SanitizeInput($AK56),0,"",Countermeasures!$A:Y,Assumptions!$A:Z)</f>
        <v>0:</v>
      </c>
      <c r="AM56" s="21" t="str" cm="1">
        <f t="array" aca="1" ref="AM56" ca="1">CalculateMaxAndElementsWithFallback(SanitizeInput($AK56),0,"",Countermeasures!$A:Z,Assumptions!$A:AA)</f>
        <v>0:</v>
      </c>
      <c r="AN56" s="21" t="str" cm="1">
        <f t="array" aca="1" ref="AN56" ca="1">CalculateMaxAndElementsWithFallback(SanitizeInput($AK56),0,"",Countermeasures!$A:AA,Assumptions!$A:AB)</f>
        <v>0:</v>
      </c>
      <c r="AO56" s="21" t="str" cm="1">
        <f t="array" aca="1" ref="AO56" ca="1">CalculateMaxAndElementsWithFallback(SanitizeInput($AK56),0,"",Countermeasures!$A:AB,Assumptions!$A:AC)</f>
        <v>0:</v>
      </c>
      <c r="AP56" s="21" t="str" cm="1">
        <f t="array" aca="1" ref="AP56" ca="1">CalculateMaxAndElementsWithFallback(SanitizeInput($AK56),0,"",Countermeasures!$A:AC,Assumptions!$A:AD)</f>
        <v>0:</v>
      </c>
      <c r="AQ56" s="21">
        <f t="shared" ca="1" si="76"/>
        <v>0</v>
      </c>
      <c r="AR56" s="21">
        <f t="shared" ca="1" si="77"/>
        <v>0</v>
      </c>
      <c r="AS56" s="21">
        <f t="shared" ca="1" si="78"/>
        <v>0</v>
      </c>
      <c r="AT56" s="21">
        <f t="shared" ca="1" si="79"/>
        <v>0</v>
      </c>
      <c r="AU56" s="21">
        <f t="shared" ca="1" si="80"/>
        <v>0</v>
      </c>
      <c r="AV56" s="21" t="str">
        <f t="shared" ca="1" si="81"/>
        <v>0:</v>
      </c>
      <c r="AW56" s="21" t="str">
        <f t="shared" ca="1" si="82"/>
        <v>0:</v>
      </c>
      <c r="AX56" s="21" t="str">
        <f t="shared" ca="1" si="83"/>
        <v>0:</v>
      </c>
      <c r="AY56" s="21" t="str">
        <f t="shared" ca="1" si="84"/>
        <v>0:</v>
      </c>
      <c r="AZ56" s="21" t="str">
        <f t="shared" ca="1" si="85"/>
        <v>0:</v>
      </c>
      <c r="BA56" s="21">
        <f t="shared" ca="1" si="86"/>
        <v>0</v>
      </c>
      <c r="BB56" s="21">
        <f t="shared" ca="1" si="87"/>
        <v>0</v>
      </c>
      <c r="BC56" s="21">
        <f t="shared" ca="1" si="88"/>
        <v>0</v>
      </c>
      <c r="BD56" s="21">
        <f t="shared" ca="1" si="89"/>
        <v>0</v>
      </c>
      <c r="BE56" s="21">
        <f t="shared" ca="1" si="90"/>
        <v>0</v>
      </c>
      <c r="BF56" s="21">
        <f t="shared" ca="1" si="65"/>
        <v>0</v>
      </c>
      <c r="BG56" s="21" t="str">
        <f ca="1">IFERROR(VLOOKUP($BF56,Definitions!$V:$W,COLUMNS(Definitions!$V:$W),TRUE),"")</f>
        <v>Basic</v>
      </c>
      <c r="BH56" s="21" t="str">
        <f ca="1">_xlfn.LET(
_xlpm._comments,GetValues($K56,Mitigation!$A:$O,"","",FALSE),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56" s="21" t="str" cm="1">
        <f t="array" aca="1" ref="BI56" ca="1">_xlfn.LET(
_xlpm._rapRange,Definitions!$W:$W,
_xlpm._calculatedRAP,$BG56,
_xlpm._inlineRAP,$BH56,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56" s="21" t="str">
        <f ca="1">IFERROR(IF(OR($V56="",$BI56=""),
Definitions!$AE$4,
VLOOKUP($V56,Definitions!$AH:$AM,MATCH($BI56,Definitions!$AH$3:$AM$3,0),FALSE)),
"")</f>
        <v>No Risk</v>
      </c>
      <c r="BK56" s="21" cm="1">
        <f t="array" aca="1" ref="BK56" ca="1">IF($BJ56="",0,SimpleLookup($BJ56,Definitions!$AE:$AF))</f>
        <v>0</v>
      </c>
      <c r="BL56" s="21" t="str" cm="1">
        <f t="array" aca="1" ref="BL56" ca="1">IFERROR(SimpleLookup($A56,Tracing!$B:$Z),"")</f>
        <v/>
      </c>
      <c r="BM56" s="21" t="str" cm="1">
        <f t="array" aca="1" ref="BM56" ca="1">_xlfn.LET(_xlpm._dm,SanitizeInput(GetValuesWithFallback(SanitizeInput($BL56),Assumptions!$A:$I,Countermeasures!$A:$I,"",",",FALSE)),
IF(_xlpm._dm="","",","&amp;_xlpm._dm))</f>
        <v/>
      </c>
      <c r="BN56" s="21" t="str" cm="1">
        <f t="array" aca="1" ref="BN56" ca="1">ApplyDamageMitigation($M56,$BM56,"")</f>
        <v/>
      </c>
      <c r="BO56" s="21" cm="1">
        <f t="array" aca="1" ref="BO56" ca="1">CalculateMaxFromList($BN56,0,'Damage Scenarios'!$A:$U)</f>
        <v>0</v>
      </c>
      <c r="BP56" s="21" t="str">
        <f ca="1">IF($BO56=0,"",INDEX(Definitions!$Q:$Q,MATCH($BO56,Definitions!$R:$R,0)))</f>
        <v/>
      </c>
      <c r="BQ56" s="21" t="str" cm="1">
        <f t="array" aca="1" ref="BQ56" ca="1">CalculateMaxAndElementsWithFallback(SanitizeInput($BL56),0,"",Countermeasures!$A:Y,Assumptions!$A:Z)</f>
        <v>0:</v>
      </c>
      <c r="BR56" s="21" t="str" cm="1">
        <f t="array" aca="1" ref="BR56" ca="1">CalculateMaxAndElementsWithFallback(SanitizeInput($BL56),0,"",Countermeasures!$A:Z,Assumptions!$A:AA)</f>
        <v>0:</v>
      </c>
      <c r="BS56" s="21" t="str" cm="1">
        <f t="array" aca="1" ref="BS56" ca="1">CalculateMaxAndElementsWithFallback(SanitizeInput($BL56),0,"",Countermeasures!$A:AA,Assumptions!$A:AB)</f>
        <v>0:</v>
      </c>
      <c r="BT56" s="21" t="str" cm="1">
        <f t="array" aca="1" ref="BT56" ca="1">CalculateMaxAndElementsWithFallback(SanitizeInput($BL56),0,"",Countermeasures!$A:AB,Assumptions!$A:AC)</f>
        <v>0:</v>
      </c>
      <c r="BU56" s="21" t="str" cm="1">
        <f t="array" aca="1" ref="BU56" ca="1">CalculateMaxAndElementsWithFallback(SanitizeInput($BL56),0,"",Countermeasures!$A:AC,Assumptions!$A:AD)</f>
        <v>0:</v>
      </c>
      <c r="BV56" s="21">
        <f t="shared" ca="1" si="25"/>
        <v>0</v>
      </c>
      <c r="BW56" s="21">
        <f t="shared" ca="1" si="26"/>
        <v>0</v>
      </c>
      <c r="BX56" s="21">
        <f t="shared" ca="1" si="27"/>
        <v>0</v>
      </c>
      <c r="BY56" s="21">
        <f t="shared" ca="1" si="28"/>
        <v>0</v>
      </c>
      <c r="BZ56" s="21">
        <f t="shared" ca="1" si="29"/>
        <v>0</v>
      </c>
      <c r="CA56" s="21" t="str">
        <f t="shared" ca="1" si="30"/>
        <v>0:</v>
      </c>
      <c r="CB56" s="21" t="str">
        <f t="shared" ca="1" si="31"/>
        <v>0:</v>
      </c>
      <c r="CC56" s="21" t="str">
        <f t="shared" ca="1" si="32"/>
        <v>0:</v>
      </c>
      <c r="CD56" s="21" t="str">
        <f t="shared" ca="1" si="33"/>
        <v>0:</v>
      </c>
      <c r="CE56" s="21" t="str">
        <f t="shared" ca="1" si="34"/>
        <v>0:</v>
      </c>
      <c r="CF56" s="21">
        <f t="shared" ca="1" si="35"/>
        <v>0</v>
      </c>
      <c r="CG56" s="21">
        <f t="shared" ca="1" si="36"/>
        <v>0</v>
      </c>
      <c r="CH56" s="21">
        <f t="shared" ca="1" si="37"/>
        <v>0</v>
      </c>
      <c r="CI56" s="21">
        <f t="shared" ca="1" si="38"/>
        <v>0</v>
      </c>
      <c r="CJ56" s="21">
        <f t="shared" ca="1" si="39"/>
        <v>0</v>
      </c>
      <c r="CK56" s="21">
        <f t="shared" ca="1" si="66"/>
        <v>0</v>
      </c>
      <c r="CL56" s="21" t="str">
        <f ca="1">IFERROR(VLOOKUP($CK56,Definitions!$V:$W,COLUMNS(Definitions!$V:$W),TRUE),"")</f>
        <v>Basic</v>
      </c>
      <c r="CM56" s="21" t="str">
        <f ca="1">_xlfn.LET(
_xlpm._comments,SimpleLookup($A56,Tracing!$B:$AB),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56" s="21" t="str" cm="1">
        <f t="array" aca="1" ref="CN56" ca="1">_xlfn.LET(
_xlpm._rapRange,Definitions!$W:$W,
_xlpm._calculatedRAP,$CL56,
_xlpm._inlineRAP,$CM56,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56" s="21" t="str">
        <f ca="1">IFERROR(IF(OR($BP56="",$CN56=""),
Definitions!$AE$4,
VLOOKUP($BP56,Definitions!$AH:$AM,MATCH($CN56,Definitions!$AH$3:$AM$3,0),FALSE)),
"")</f>
        <v>No Risk</v>
      </c>
      <c r="CP56" s="21" cm="1">
        <f t="array" aca="1" ref="CP56" ca="1">IF($CO56="",0,SimpleLookup($CO56,Definitions!$AE:$AF))</f>
        <v>0</v>
      </c>
      <c r="CQ56" s="21" t="b">
        <f ca="1">OR(AND($S56,$I56=Helper!$B$7),$I56&gt;Helper!$B$7)</f>
        <v>1</v>
      </c>
      <c r="CR56" s="21" t="str">
        <f t="shared" ca="1" si="67"/>
        <v/>
      </c>
      <c r="CS56" s="21" cm="1">
        <f t="array" aca="1" ref="CS56" ca="1">CreateID($CS$2,$CV:$CV,$CR56&lt;&gt;"")</f>
        <v>0</v>
      </c>
      <c r="CT56" s="21" t="str">
        <f ca="1">IF(IFERROR(MATCH(","&amp;A56&amp;",",'Risk Treatment'!$AT:$AT,0)&gt;0,FALSE),"",$A56)</f>
        <v/>
      </c>
      <c r="CU56" s="21" cm="1">
        <f t="array" aca="1" ref="CU56" ca="1">CreateID($CU$2,$CU:$CU,$CT56&lt;&gt;"")</f>
        <v>0</v>
      </c>
    </row>
    <row r="57" spans="1:99" x14ac:dyDescent="0.25">
      <c r="A57" s="33" t="str" cm="1">
        <f t="array" aca="1" ref="A57" ca="1">IF($B57="","","R"&amp;RemoveDelimiter(SUBSTITUTE(SUBSTITUTE($K57,"AS",""),",","-"),"-"))</f>
        <v/>
      </c>
      <c r="B57" s="33" t="str" cm="1">
        <f t="array" aca="1" ref="B57" ca="1">IF($L57="","",_xlfn.LET(
_xlpm._finalAttackStep,$L57,
_xlpm._prepAttacks,RemoveFirstElement(_xlpm._finalAttackStep&amp;","&amp;$K57),
_xlpm._prepAttackNames,IFERROR(LookupNames(_xlpm._prepAttacks,'Attack Steps'!$A:$B),""),
_xlpm._delimiter,REPT(CHAR(150),55),
$L57&amp;" "&amp;SimpleLookup($L57,'Attack Steps'!$A:$B)&amp;
IF(_xlpm._prepAttackNames="","",CHAR(10)&amp;_xlpm._delimiter&amp;CHAR(10)&amp;_xlpm._prepAttackNames)))</f>
        <v/>
      </c>
      <c r="C57" s="34" t="str" cm="1">
        <f t="array" aca="1" ref="C57" ca="1">IFERROR(LookupNames($M57,'Damage Scenarios'!$A:$V),"")</f>
        <v/>
      </c>
      <c r="D57" s="33" t="str">
        <f ca="1">IFERROR(IF($T57=0,"",INDEX(Definitions!$Q:$Q,MATCH($T57,Definitions!$R:$R,0))),"")</f>
        <v/>
      </c>
      <c r="E57" s="34" t="str" cm="1">
        <f t="array" aca="1" ref="E57" ca="1">IF($A57="","",_xlfn.LET(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_xlpm._factorFunction($A57,$A:W,Definitions!$Y:$Y,Definitions!$AB:$AB,1)&amp;CHAR(10)&amp;
_xlpm._factorFunction($A57,$A:X,Definitions!$Y:$Y,Definitions!$AB:$AB,2)&amp;CHAR(10)&amp;
_xlpm._factorFunction($A57,$A:Y,Definitions!$Y:$Y,Definitions!$AB:$AB,3)&amp;CHAR(10)&amp;
_xlpm._factorFunction($A57,$A:Z,Definitions!$Y:$Y,Definitions!$AB:$AB,4)&amp;CHAR(10)&amp;
_xlpm._factorFunction($A57,$A:AA,Definitions!$Y:$Y,Definitions!$AB:$AB,5)))</f>
        <v/>
      </c>
      <c r="F57" s="33" t="str">
        <f ca="1">IF($A57="","",IFERROR(VLOOKUP($AG57,Definitions!$V:$W,COLUMNS(Definitions!$V:$W),TRUE),""))</f>
        <v/>
      </c>
      <c r="G57" s="33" t="str">
        <f ca="1">IFERROR(IF(OR($D57="",$F57=""),
"",
VLOOKUP($D57,Definitions!$AH:$AM,MATCH($F57,Definitions!$AH$3:$AM$3,0),FALSE)),
"")</f>
        <v/>
      </c>
      <c r="H57" s="23" cm="1">
        <f t="array" aca="1" ref="H57" ca="1">IF(ROW()=ROW($H$2)+1,0,INDEX($H:$H,ROW()-1))+IF($A57="",0,1)</f>
        <v>0</v>
      </c>
      <c r="I57" s="21" cm="1">
        <f t="array" aca="1" ref="I57" ca="1">IF(ROW()=ROW($I$2)+1,
1,
INDEX($I:$I,ROW()-1)+IF(INDEX($S:$S,ROW()-1),1,0))</f>
        <v>1</v>
      </c>
      <c r="J57" s="21">
        <f t="shared" ca="1" si="63"/>
        <v>55</v>
      </c>
      <c r="K57" s="21" t="str">
        <f t="shared" ca="1" si="68"/>
        <v/>
      </c>
      <c r="L57" s="21" t="str" cm="1">
        <f t="array" aca="1" ref="L57" ca="1">IF($P57="","",INDEX('Attack Steps'!$A:$A,$P57))</f>
        <v/>
      </c>
      <c r="M57" s="21" t="str" cm="1">
        <f t="array" aca="1" ref="M57" ca="1">IF($P57="","",INDEX('Attack Steps'!$T:$T,$P57))</f>
        <v/>
      </c>
      <c r="N57" s="21" t="str" cm="1">
        <f t="array" aca="1" ref="N57" ca="1">_xlfn.LET(_xlpm._dm,SanitizeInput(GetValuesWithFallback(SanitizeInput($AK57),Assumptions!$A:$I,Countermeasures!$A:$I,"",",",FALSE)),
IF(_xlpm._dm="","",","&amp;_xlpm._dm))</f>
        <v/>
      </c>
      <c r="O57" s="21" t="str" cm="1">
        <f t="array" aca="1" ref="O57" ca="1">ApplyDamageMitigation($M57,$N57,"")</f>
        <v/>
      </c>
      <c r="P57" s="21" t="str">
        <f ca="1">IFERROR(MATCH($I57,'Attack Steps'!$V:$V,0),"")</f>
        <v/>
      </c>
      <c r="Q57" s="21" t="str" cm="1">
        <f t="array" aca="1" ref="Q57" ca="1">IF($P57="","","§"&amp;INDEX('Attack Steps'!$S:$S,$P57))</f>
        <v/>
      </c>
      <c r="R57" s="21" t="str" cm="1">
        <f t="array" aca="1" ref="R57" ca="1">IF($P57="","",INDEX('Attack Steps'!$W:$W,$P57))</f>
        <v/>
      </c>
      <c r="S57" s="21" t="b">
        <f t="shared" ca="1" si="69"/>
        <v>0</v>
      </c>
      <c r="T57" s="21" cm="1">
        <f t="array" aca="1" ref="T57" ca="1">_xlfn.LAMBDA(_xlpm._in,_xlpm._val,_xlpm._range,
IF(_xlpm._in="",_xlpm._val,_xlfn.LET(
_xlpm._id,LEFT(_xlpm._in,FIND(",",_xlpm._in)-1),
CalculateMaxFromList(RemoveFirstElement(_xlpm._in),MAX(_xlpm._val,VLOOKUP(_xlpm._id,_xlpm._range,COLUMNS(_xlpm._range),FALSE)),_xlpm._range))))($M57,0,'Damage Scenarios'!$A:$U)</f>
        <v>0</v>
      </c>
      <c r="U57" s="21" cm="1">
        <f t="array" aca="1" ref="U57" ca="1">CalculateMaxFromList($O57,0,'Damage Scenarios'!$A:$U)</f>
        <v>0</v>
      </c>
      <c r="V57" s="21" t="str">
        <f ca="1">IF($U57=0,"",INDEX(Definitions!$Q:$Q,MATCH($U57,Definitions!$R:$R,0)))</f>
        <v/>
      </c>
      <c r="W57" s="21" t="str" cm="1">
        <f t="array" aca="1" ref="W57" ca="1">CalculateMaxAndElements($K57,0,"",'Attack Steps'!$A:X)</f>
        <v>0:</v>
      </c>
      <c r="X57" s="21" t="str" cm="1">
        <f t="array" aca="1" ref="X57" ca="1">CalculateMaxAndElements($K57,0,"",'Attack Steps'!$A:Y)</f>
        <v>0:</v>
      </c>
      <c r="Y57" s="21" t="str" cm="1">
        <f t="array" aca="1" ref="Y57" ca="1">CalculateMaxAndElements($K57,0,"",'Attack Steps'!$A:Z)</f>
        <v>0:</v>
      </c>
      <c r="Z57" s="21" t="str" cm="1">
        <f t="array" aca="1" ref="Z57" ca="1">CalculateMaxAndElements($K57,0,"",'Attack Steps'!$A:AA)</f>
        <v>0:</v>
      </c>
      <c r="AA57" s="21" t="str" cm="1">
        <f t="array" aca="1" ref="AA57" ca="1">CalculateMaxAndElements($K57,0,"",'Attack Steps'!$A:AB)</f>
        <v>0:</v>
      </c>
      <c r="AB57" s="21">
        <f t="shared" ca="1" si="70"/>
        <v>0</v>
      </c>
      <c r="AC57" s="21">
        <f t="shared" ca="1" si="71"/>
        <v>0</v>
      </c>
      <c r="AD57" s="21">
        <f t="shared" ca="1" si="72"/>
        <v>0</v>
      </c>
      <c r="AE57" s="21">
        <f t="shared" ca="1" si="73"/>
        <v>0</v>
      </c>
      <c r="AF57" s="21">
        <f t="shared" ca="1" si="74"/>
        <v>0</v>
      </c>
      <c r="AG57" s="21">
        <f t="shared" ca="1" si="64"/>
        <v>0</v>
      </c>
      <c r="AH57" s="21" t="str" cm="1">
        <f t="array" aca="1" ref="AH57" ca="1">IF(ROW()=ROW($AH$2)+1,"",INDEX($AH:$AH,ROW()-1))&amp;IF($A57="","",$A57&amp;",")</f>
        <v/>
      </c>
      <c r="AI57" s="21" t="str">
        <f t="shared" ca="1" si="75"/>
        <v/>
      </c>
      <c r="AJ57" s="21" cm="1">
        <f t="array" aca="1" ref="AJ57" ca="1">IF($G57="",0,SimpleLookup($G57,Definitions!$AE:$AF))</f>
        <v>0</v>
      </c>
      <c r="AK57" s="21" t="str" cm="1">
        <f t="array" aca="1" ref="AK57" ca="1">InverseLookup($A57,Mitigation!$U$2,Mitigation!$J$2,1,Helper!$B$5,",")</f>
        <v/>
      </c>
      <c r="AL57" s="21" t="str" cm="1">
        <f t="array" aca="1" ref="AL57" ca="1">CalculateMaxAndElementsWithFallback(SanitizeInput($AK57),0,"",Countermeasures!$A:Y,Assumptions!$A:Z)</f>
        <v>0:</v>
      </c>
      <c r="AM57" s="21" t="str" cm="1">
        <f t="array" aca="1" ref="AM57" ca="1">CalculateMaxAndElementsWithFallback(SanitizeInput($AK57),0,"",Countermeasures!$A:Z,Assumptions!$A:AA)</f>
        <v>0:</v>
      </c>
      <c r="AN57" s="21" t="str" cm="1">
        <f t="array" aca="1" ref="AN57" ca="1">CalculateMaxAndElementsWithFallback(SanitizeInput($AK57),0,"",Countermeasures!$A:AA,Assumptions!$A:AB)</f>
        <v>0:</v>
      </c>
      <c r="AO57" s="21" t="str" cm="1">
        <f t="array" aca="1" ref="AO57" ca="1">CalculateMaxAndElementsWithFallback(SanitizeInput($AK57),0,"",Countermeasures!$A:AB,Assumptions!$A:AC)</f>
        <v>0:</v>
      </c>
      <c r="AP57" s="21" t="str" cm="1">
        <f t="array" aca="1" ref="AP57" ca="1">CalculateMaxAndElementsWithFallback(SanitizeInput($AK57),0,"",Countermeasures!$A:AC,Assumptions!$A:AD)</f>
        <v>0:</v>
      </c>
      <c r="AQ57" s="21">
        <f t="shared" ca="1" si="76"/>
        <v>0</v>
      </c>
      <c r="AR57" s="21">
        <f t="shared" ca="1" si="77"/>
        <v>0</v>
      </c>
      <c r="AS57" s="21">
        <f t="shared" ca="1" si="78"/>
        <v>0</v>
      </c>
      <c r="AT57" s="21">
        <f t="shared" ca="1" si="79"/>
        <v>0</v>
      </c>
      <c r="AU57" s="21">
        <f t="shared" ca="1" si="80"/>
        <v>0</v>
      </c>
      <c r="AV57" s="21" t="str">
        <f t="shared" ca="1" si="81"/>
        <v>0:</v>
      </c>
      <c r="AW57" s="21" t="str">
        <f t="shared" ca="1" si="82"/>
        <v>0:</v>
      </c>
      <c r="AX57" s="21" t="str">
        <f t="shared" ca="1" si="83"/>
        <v>0:</v>
      </c>
      <c r="AY57" s="21" t="str">
        <f t="shared" ca="1" si="84"/>
        <v>0:</v>
      </c>
      <c r="AZ57" s="21" t="str">
        <f t="shared" ca="1" si="85"/>
        <v>0:</v>
      </c>
      <c r="BA57" s="21">
        <f t="shared" ca="1" si="86"/>
        <v>0</v>
      </c>
      <c r="BB57" s="21">
        <f t="shared" ca="1" si="87"/>
        <v>0</v>
      </c>
      <c r="BC57" s="21">
        <f t="shared" ca="1" si="88"/>
        <v>0</v>
      </c>
      <c r="BD57" s="21">
        <f t="shared" ca="1" si="89"/>
        <v>0</v>
      </c>
      <c r="BE57" s="21">
        <f t="shared" ca="1" si="90"/>
        <v>0</v>
      </c>
      <c r="BF57" s="21">
        <f t="shared" ca="1" si="65"/>
        <v>0</v>
      </c>
      <c r="BG57" s="21" t="str">
        <f ca="1">IFERROR(VLOOKUP($BF57,Definitions!$V:$W,COLUMNS(Definitions!$V:$W),TRUE),"")</f>
        <v>Basic</v>
      </c>
      <c r="BH57" s="21" t="str">
        <f ca="1">_xlfn.LET(
_xlpm._comments,GetValues($K57,Mitigation!$A:$O,"","",FALSE),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57" s="21" t="str" cm="1">
        <f t="array" aca="1" ref="BI57" ca="1">_xlfn.LET(
_xlpm._rapRange,Definitions!$W:$W,
_xlpm._calculatedRAP,$BG57,
_xlpm._inlineRAP,$BH57,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57" s="21" t="str">
        <f ca="1">IFERROR(IF(OR($V57="",$BI57=""),
Definitions!$AE$4,
VLOOKUP($V57,Definitions!$AH:$AM,MATCH($BI57,Definitions!$AH$3:$AM$3,0),FALSE)),
"")</f>
        <v>No Risk</v>
      </c>
      <c r="BK57" s="21" cm="1">
        <f t="array" aca="1" ref="BK57" ca="1">IF($BJ57="",0,SimpleLookup($BJ57,Definitions!$AE:$AF))</f>
        <v>0</v>
      </c>
      <c r="BL57" s="21" t="str" cm="1">
        <f t="array" aca="1" ref="BL57" ca="1">IFERROR(SimpleLookup($A57,Tracing!$B:$Z),"")</f>
        <v/>
      </c>
      <c r="BM57" s="21" t="str" cm="1">
        <f t="array" aca="1" ref="BM57" ca="1">_xlfn.LET(_xlpm._dm,SanitizeInput(GetValuesWithFallback(SanitizeInput($BL57),Assumptions!$A:$I,Countermeasures!$A:$I,"",",",FALSE)),
IF(_xlpm._dm="","",","&amp;_xlpm._dm))</f>
        <v/>
      </c>
      <c r="BN57" s="21" t="str" cm="1">
        <f t="array" aca="1" ref="BN57" ca="1">ApplyDamageMitigation($M57,$BM57,"")</f>
        <v/>
      </c>
      <c r="BO57" s="21" cm="1">
        <f t="array" aca="1" ref="BO57" ca="1">CalculateMaxFromList($BN57,0,'Damage Scenarios'!$A:$U)</f>
        <v>0</v>
      </c>
      <c r="BP57" s="21" t="str">
        <f ca="1">IF($BO57=0,"",INDEX(Definitions!$Q:$Q,MATCH($BO57,Definitions!$R:$R,0)))</f>
        <v/>
      </c>
      <c r="BQ57" s="21" t="str" cm="1">
        <f t="array" aca="1" ref="BQ57" ca="1">CalculateMaxAndElementsWithFallback(SanitizeInput($BL57),0,"",Countermeasures!$A:Y,Assumptions!$A:Z)</f>
        <v>0:</v>
      </c>
      <c r="BR57" s="21" t="str" cm="1">
        <f t="array" aca="1" ref="BR57" ca="1">CalculateMaxAndElementsWithFallback(SanitizeInput($BL57),0,"",Countermeasures!$A:Z,Assumptions!$A:AA)</f>
        <v>0:</v>
      </c>
      <c r="BS57" s="21" t="str" cm="1">
        <f t="array" aca="1" ref="BS57" ca="1">CalculateMaxAndElementsWithFallback(SanitizeInput($BL57),0,"",Countermeasures!$A:AA,Assumptions!$A:AB)</f>
        <v>0:</v>
      </c>
      <c r="BT57" s="21" t="str" cm="1">
        <f t="array" aca="1" ref="BT57" ca="1">CalculateMaxAndElementsWithFallback(SanitizeInput($BL57),0,"",Countermeasures!$A:AB,Assumptions!$A:AC)</f>
        <v>0:</v>
      </c>
      <c r="BU57" s="21" t="str" cm="1">
        <f t="array" aca="1" ref="BU57" ca="1">CalculateMaxAndElementsWithFallback(SanitizeInput($BL57),0,"",Countermeasures!$A:AC,Assumptions!$A:AD)</f>
        <v>0:</v>
      </c>
      <c r="BV57" s="21">
        <f t="shared" ca="1" si="25"/>
        <v>0</v>
      </c>
      <c r="BW57" s="21">
        <f t="shared" ca="1" si="26"/>
        <v>0</v>
      </c>
      <c r="BX57" s="21">
        <f t="shared" ca="1" si="27"/>
        <v>0</v>
      </c>
      <c r="BY57" s="21">
        <f t="shared" ca="1" si="28"/>
        <v>0</v>
      </c>
      <c r="BZ57" s="21">
        <f t="shared" ca="1" si="29"/>
        <v>0</v>
      </c>
      <c r="CA57" s="21" t="str">
        <f t="shared" ca="1" si="30"/>
        <v>0:</v>
      </c>
      <c r="CB57" s="21" t="str">
        <f t="shared" ca="1" si="31"/>
        <v>0:</v>
      </c>
      <c r="CC57" s="21" t="str">
        <f t="shared" ca="1" si="32"/>
        <v>0:</v>
      </c>
      <c r="CD57" s="21" t="str">
        <f t="shared" ca="1" si="33"/>
        <v>0:</v>
      </c>
      <c r="CE57" s="21" t="str">
        <f t="shared" ca="1" si="34"/>
        <v>0:</v>
      </c>
      <c r="CF57" s="21">
        <f t="shared" ca="1" si="35"/>
        <v>0</v>
      </c>
      <c r="CG57" s="21">
        <f t="shared" ca="1" si="36"/>
        <v>0</v>
      </c>
      <c r="CH57" s="21">
        <f t="shared" ca="1" si="37"/>
        <v>0</v>
      </c>
      <c r="CI57" s="21">
        <f t="shared" ca="1" si="38"/>
        <v>0</v>
      </c>
      <c r="CJ57" s="21">
        <f t="shared" ca="1" si="39"/>
        <v>0</v>
      </c>
      <c r="CK57" s="21">
        <f t="shared" ca="1" si="66"/>
        <v>0</v>
      </c>
      <c r="CL57" s="21" t="str">
        <f ca="1">IFERROR(VLOOKUP($CK57,Definitions!$V:$W,COLUMNS(Definitions!$V:$W),TRUE),"")</f>
        <v>Basic</v>
      </c>
      <c r="CM57" s="21" t="str">
        <f ca="1">_xlfn.LET(
_xlpm._comments,SimpleLookup($A57,Tracing!$B:$AB),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57" s="21" t="str" cm="1">
        <f t="array" aca="1" ref="CN57" ca="1">_xlfn.LET(
_xlpm._rapRange,Definitions!$W:$W,
_xlpm._calculatedRAP,$CL57,
_xlpm._inlineRAP,$CM57,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57" s="21" t="str">
        <f ca="1">IFERROR(IF(OR($BP57="",$CN57=""),
Definitions!$AE$4,
VLOOKUP($BP57,Definitions!$AH:$AM,MATCH($CN57,Definitions!$AH$3:$AM$3,0),FALSE)),
"")</f>
        <v>No Risk</v>
      </c>
      <c r="CP57" s="21" cm="1">
        <f t="array" aca="1" ref="CP57" ca="1">IF($CO57="",0,SimpleLookup($CO57,Definitions!$AE:$AF))</f>
        <v>0</v>
      </c>
      <c r="CQ57" s="21" t="b">
        <f ca="1">OR(AND($S57,$I57=Helper!$B$7),$I57&gt;Helper!$B$7)</f>
        <v>1</v>
      </c>
      <c r="CR57" s="21" t="str">
        <f t="shared" ca="1" si="67"/>
        <v/>
      </c>
      <c r="CS57" s="21" cm="1">
        <f t="array" aca="1" ref="CS57" ca="1">CreateID($CS$2,$CV:$CV,$CR57&lt;&gt;"")</f>
        <v>0</v>
      </c>
      <c r="CT57" s="21" t="str">
        <f ca="1">IF(IFERROR(MATCH(","&amp;A57&amp;",",'Risk Treatment'!$AT:$AT,0)&gt;0,FALSE),"",$A57)</f>
        <v/>
      </c>
      <c r="CU57" s="21" cm="1">
        <f t="array" aca="1" ref="CU57" ca="1">CreateID($CU$2,$CU:$CU,$CT57&lt;&gt;"")</f>
        <v>0</v>
      </c>
    </row>
    <row r="58" spans="1:99" x14ac:dyDescent="0.25">
      <c r="A58" s="33" t="str" cm="1">
        <f t="array" aca="1" ref="A58" ca="1">IF($B58="","","R"&amp;RemoveDelimiter(SUBSTITUTE(SUBSTITUTE($K58,"AS",""),",","-"),"-"))</f>
        <v/>
      </c>
      <c r="B58" s="33" t="str" cm="1">
        <f t="array" aca="1" ref="B58" ca="1">IF($L58="","",_xlfn.LET(
_xlpm._finalAttackStep,$L58,
_xlpm._prepAttacks,RemoveFirstElement(_xlpm._finalAttackStep&amp;","&amp;$K58),
_xlpm._prepAttackNames,IFERROR(LookupNames(_xlpm._prepAttacks,'Attack Steps'!$A:$B),""),
_xlpm._delimiter,REPT(CHAR(150),55),
$L58&amp;" "&amp;SimpleLookup($L58,'Attack Steps'!$A:$B)&amp;
IF(_xlpm._prepAttackNames="","",CHAR(10)&amp;_xlpm._delimiter&amp;CHAR(10)&amp;_xlpm._prepAttackNames)))</f>
        <v/>
      </c>
      <c r="C58" s="34" t="str" cm="1">
        <f t="array" aca="1" ref="C58" ca="1">IFERROR(LookupNames($M58,'Damage Scenarios'!$A:$V),"")</f>
        <v/>
      </c>
      <c r="D58" s="33" t="str">
        <f ca="1">IFERROR(IF($T58=0,"",INDEX(Definitions!$Q:$Q,MATCH($T58,Definitions!$R:$R,0))),"")</f>
        <v/>
      </c>
      <c r="E58" s="34" t="str" cm="1">
        <f t="array" aca="1" ref="E58" ca="1">IF($A58="","",_xlfn.LET(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_xlpm._factorFunction($A58,$A:W,Definitions!$Y:$Y,Definitions!$AB:$AB,1)&amp;CHAR(10)&amp;
_xlpm._factorFunction($A58,$A:X,Definitions!$Y:$Y,Definitions!$AB:$AB,2)&amp;CHAR(10)&amp;
_xlpm._factorFunction($A58,$A:Y,Definitions!$Y:$Y,Definitions!$AB:$AB,3)&amp;CHAR(10)&amp;
_xlpm._factorFunction($A58,$A:Z,Definitions!$Y:$Y,Definitions!$AB:$AB,4)&amp;CHAR(10)&amp;
_xlpm._factorFunction($A58,$A:AA,Definitions!$Y:$Y,Definitions!$AB:$AB,5)))</f>
        <v/>
      </c>
      <c r="F58" s="33" t="str">
        <f ca="1">IF($A58="","",IFERROR(VLOOKUP($AG58,Definitions!$V:$W,COLUMNS(Definitions!$V:$W),TRUE),""))</f>
        <v/>
      </c>
      <c r="G58" s="33" t="str">
        <f ca="1">IFERROR(IF(OR($D58="",$F58=""),
"",
VLOOKUP($D58,Definitions!$AH:$AM,MATCH($F58,Definitions!$AH$3:$AM$3,0),FALSE)),
"")</f>
        <v/>
      </c>
      <c r="H58" s="23" cm="1">
        <f t="array" aca="1" ref="H58" ca="1">IF(ROW()=ROW($H$2)+1,0,INDEX($H:$H,ROW()-1))+IF($A58="",0,1)</f>
        <v>0</v>
      </c>
      <c r="I58" s="21" cm="1">
        <f t="array" aca="1" ref="I58" ca="1">IF(ROW()=ROW($I$2)+1,
1,
INDEX($I:$I,ROW()-1)+IF(INDEX($S:$S,ROW()-1),1,0))</f>
        <v>1</v>
      </c>
      <c r="J58" s="21">
        <f t="shared" ca="1" si="63"/>
        <v>56</v>
      </c>
      <c r="K58" s="21" t="str">
        <f t="shared" ca="1" si="68"/>
        <v/>
      </c>
      <c r="L58" s="21" t="str" cm="1">
        <f t="array" aca="1" ref="L58" ca="1">IF($P58="","",INDEX('Attack Steps'!$A:$A,$P58))</f>
        <v/>
      </c>
      <c r="M58" s="21" t="str" cm="1">
        <f t="array" aca="1" ref="M58" ca="1">IF($P58="","",INDEX('Attack Steps'!$T:$T,$P58))</f>
        <v/>
      </c>
      <c r="N58" s="21" t="str" cm="1">
        <f t="array" aca="1" ref="N58" ca="1">_xlfn.LET(_xlpm._dm,SanitizeInput(GetValuesWithFallback(SanitizeInput($AK58),Assumptions!$A:$I,Countermeasures!$A:$I,"",",",FALSE)),
IF(_xlpm._dm="","",","&amp;_xlpm._dm))</f>
        <v/>
      </c>
      <c r="O58" s="21" t="str" cm="1">
        <f t="array" aca="1" ref="O58" ca="1">ApplyDamageMitigation($M58,$N58,"")</f>
        <v/>
      </c>
      <c r="P58" s="21" t="str">
        <f ca="1">IFERROR(MATCH($I58,'Attack Steps'!$V:$V,0),"")</f>
        <v/>
      </c>
      <c r="Q58" s="21" t="str" cm="1">
        <f t="array" aca="1" ref="Q58" ca="1">IF($P58="","","§"&amp;INDEX('Attack Steps'!$S:$S,$P58))</f>
        <v/>
      </c>
      <c r="R58" s="21" t="str" cm="1">
        <f t="array" aca="1" ref="R58" ca="1">IF($P58="","",INDEX('Attack Steps'!$W:$W,$P58))</f>
        <v/>
      </c>
      <c r="S58" s="21" t="b">
        <f t="shared" ca="1" si="69"/>
        <v>0</v>
      </c>
      <c r="T58" s="21" cm="1">
        <f t="array" aca="1" ref="T58" ca="1">_xlfn.LAMBDA(_xlpm._in,_xlpm._val,_xlpm._range,
IF(_xlpm._in="",_xlpm._val,_xlfn.LET(
_xlpm._id,LEFT(_xlpm._in,FIND(",",_xlpm._in)-1),
CalculateMaxFromList(RemoveFirstElement(_xlpm._in),MAX(_xlpm._val,VLOOKUP(_xlpm._id,_xlpm._range,COLUMNS(_xlpm._range),FALSE)),_xlpm._range))))($M58,0,'Damage Scenarios'!$A:$U)</f>
        <v>0</v>
      </c>
      <c r="U58" s="21" cm="1">
        <f t="array" aca="1" ref="U58" ca="1">CalculateMaxFromList($O58,0,'Damage Scenarios'!$A:$U)</f>
        <v>0</v>
      </c>
      <c r="V58" s="21" t="str">
        <f ca="1">IF($U58=0,"",INDEX(Definitions!$Q:$Q,MATCH($U58,Definitions!$R:$R,0)))</f>
        <v/>
      </c>
      <c r="W58" s="21" t="str" cm="1">
        <f t="array" aca="1" ref="W58" ca="1">CalculateMaxAndElements($K58,0,"",'Attack Steps'!$A:X)</f>
        <v>0:</v>
      </c>
      <c r="X58" s="21" t="str" cm="1">
        <f t="array" aca="1" ref="X58" ca="1">CalculateMaxAndElements($K58,0,"",'Attack Steps'!$A:Y)</f>
        <v>0:</v>
      </c>
      <c r="Y58" s="21" t="str" cm="1">
        <f t="array" aca="1" ref="Y58" ca="1">CalculateMaxAndElements($K58,0,"",'Attack Steps'!$A:Z)</f>
        <v>0:</v>
      </c>
      <c r="Z58" s="21" t="str" cm="1">
        <f t="array" aca="1" ref="Z58" ca="1">CalculateMaxAndElements($K58,0,"",'Attack Steps'!$A:AA)</f>
        <v>0:</v>
      </c>
      <c r="AA58" s="21" t="str" cm="1">
        <f t="array" aca="1" ref="AA58" ca="1">CalculateMaxAndElements($K58,0,"",'Attack Steps'!$A:AB)</f>
        <v>0:</v>
      </c>
      <c r="AB58" s="21">
        <f t="shared" ca="1" si="70"/>
        <v>0</v>
      </c>
      <c r="AC58" s="21">
        <f t="shared" ca="1" si="71"/>
        <v>0</v>
      </c>
      <c r="AD58" s="21">
        <f t="shared" ca="1" si="72"/>
        <v>0</v>
      </c>
      <c r="AE58" s="21">
        <f t="shared" ca="1" si="73"/>
        <v>0</v>
      </c>
      <c r="AF58" s="21">
        <f t="shared" ca="1" si="74"/>
        <v>0</v>
      </c>
      <c r="AG58" s="21">
        <f t="shared" ca="1" si="64"/>
        <v>0</v>
      </c>
      <c r="AH58" s="21" t="str" cm="1">
        <f t="array" aca="1" ref="AH58" ca="1">IF(ROW()=ROW($AH$2)+1,"",INDEX($AH:$AH,ROW()-1))&amp;IF($A58="","",$A58&amp;",")</f>
        <v/>
      </c>
      <c r="AI58" s="21" t="str">
        <f t="shared" ca="1" si="75"/>
        <v/>
      </c>
      <c r="AJ58" s="21" cm="1">
        <f t="array" aca="1" ref="AJ58" ca="1">IF($G58="",0,SimpleLookup($G58,Definitions!$AE:$AF))</f>
        <v>0</v>
      </c>
      <c r="AK58" s="21" t="str" cm="1">
        <f t="array" aca="1" ref="AK58" ca="1">InverseLookup($A58,Mitigation!$U$2,Mitigation!$J$2,1,Helper!$B$5,",")</f>
        <v/>
      </c>
      <c r="AL58" s="21" t="str" cm="1">
        <f t="array" aca="1" ref="AL58" ca="1">CalculateMaxAndElementsWithFallback(SanitizeInput($AK58),0,"",Countermeasures!$A:Y,Assumptions!$A:Z)</f>
        <v>0:</v>
      </c>
      <c r="AM58" s="21" t="str" cm="1">
        <f t="array" aca="1" ref="AM58" ca="1">CalculateMaxAndElementsWithFallback(SanitizeInput($AK58),0,"",Countermeasures!$A:Z,Assumptions!$A:AA)</f>
        <v>0:</v>
      </c>
      <c r="AN58" s="21" t="str" cm="1">
        <f t="array" aca="1" ref="AN58" ca="1">CalculateMaxAndElementsWithFallback(SanitizeInput($AK58),0,"",Countermeasures!$A:AA,Assumptions!$A:AB)</f>
        <v>0:</v>
      </c>
      <c r="AO58" s="21" t="str" cm="1">
        <f t="array" aca="1" ref="AO58" ca="1">CalculateMaxAndElementsWithFallback(SanitizeInput($AK58),0,"",Countermeasures!$A:AB,Assumptions!$A:AC)</f>
        <v>0:</v>
      </c>
      <c r="AP58" s="21" t="str" cm="1">
        <f t="array" aca="1" ref="AP58" ca="1">CalculateMaxAndElementsWithFallback(SanitizeInput($AK58),0,"",Countermeasures!$A:AC,Assumptions!$A:AD)</f>
        <v>0:</v>
      </c>
      <c r="AQ58" s="21">
        <f t="shared" ca="1" si="76"/>
        <v>0</v>
      </c>
      <c r="AR58" s="21">
        <f t="shared" ca="1" si="77"/>
        <v>0</v>
      </c>
      <c r="AS58" s="21">
        <f t="shared" ca="1" si="78"/>
        <v>0</v>
      </c>
      <c r="AT58" s="21">
        <f t="shared" ca="1" si="79"/>
        <v>0</v>
      </c>
      <c r="AU58" s="21">
        <f t="shared" ca="1" si="80"/>
        <v>0</v>
      </c>
      <c r="AV58" s="21" t="str">
        <f t="shared" ca="1" si="81"/>
        <v>0:</v>
      </c>
      <c r="AW58" s="21" t="str">
        <f t="shared" ca="1" si="82"/>
        <v>0:</v>
      </c>
      <c r="AX58" s="21" t="str">
        <f t="shared" ca="1" si="83"/>
        <v>0:</v>
      </c>
      <c r="AY58" s="21" t="str">
        <f t="shared" ca="1" si="84"/>
        <v>0:</v>
      </c>
      <c r="AZ58" s="21" t="str">
        <f t="shared" ca="1" si="85"/>
        <v>0:</v>
      </c>
      <c r="BA58" s="21">
        <f t="shared" ca="1" si="86"/>
        <v>0</v>
      </c>
      <c r="BB58" s="21">
        <f t="shared" ca="1" si="87"/>
        <v>0</v>
      </c>
      <c r="BC58" s="21">
        <f t="shared" ca="1" si="88"/>
        <v>0</v>
      </c>
      <c r="BD58" s="21">
        <f t="shared" ca="1" si="89"/>
        <v>0</v>
      </c>
      <c r="BE58" s="21">
        <f t="shared" ca="1" si="90"/>
        <v>0</v>
      </c>
      <c r="BF58" s="21">
        <f t="shared" ca="1" si="65"/>
        <v>0</v>
      </c>
      <c r="BG58" s="21" t="str">
        <f ca="1">IFERROR(VLOOKUP($BF58,Definitions!$V:$W,COLUMNS(Definitions!$V:$W),TRUE),"")</f>
        <v>Basic</v>
      </c>
      <c r="BH58" s="21" t="str">
        <f ca="1">_xlfn.LET(
_xlpm._comments,GetValues($K58,Mitigation!$A:$O,"","",FALSE),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58" s="21" t="str" cm="1">
        <f t="array" aca="1" ref="BI58" ca="1">_xlfn.LET(
_xlpm._rapRange,Definitions!$W:$W,
_xlpm._calculatedRAP,$BG58,
_xlpm._inlineRAP,$BH58,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58" s="21" t="str">
        <f ca="1">IFERROR(IF(OR($V58="",$BI58=""),
Definitions!$AE$4,
VLOOKUP($V58,Definitions!$AH:$AM,MATCH($BI58,Definitions!$AH$3:$AM$3,0),FALSE)),
"")</f>
        <v>No Risk</v>
      </c>
      <c r="BK58" s="21" cm="1">
        <f t="array" aca="1" ref="BK58" ca="1">IF($BJ58="",0,SimpleLookup($BJ58,Definitions!$AE:$AF))</f>
        <v>0</v>
      </c>
      <c r="BL58" s="21" t="str" cm="1">
        <f t="array" aca="1" ref="BL58" ca="1">IFERROR(SimpleLookup($A58,Tracing!$B:$Z),"")</f>
        <v/>
      </c>
      <c r="BM58" s="21" t="str" cm="1">
        <f t="array" aca="1" ref="BM58" ca="1">_xlfn.LET(_xlpm._dm,SanitizeInput(GetValuesWithFallback(SanitizeInput($BL58),Assumptions!$A:$I,Countermeasures!$A:$I,"",",",FALSE)),
IF(_xlpm._dm="","",","&amp;_xlpm._dm))</f>
        <v/>
      </c>
      <c r="BN58" s="21" t="str" cm="1">
        <f t="array" aca="1" ref="BN58" ca="1">ApplyDamageMitigation($M58,$BM58,"")</f>
        <v/>
      </c>
      <c r="BO58" s="21" cm="1">
        <f t="array" aca="1" ref="BO58" ca="1">CalculateMaxFromList($BN58,0,'Damage Scenarios'!$A:$U)</f>
        <v>0</v>
      </c>
      <c r="BP58" s="21" t="str">
        <f ca="1">IF($BO58=0,"",INDEX(Definitions!$Q:$Q,MATCH($BO58,Definitions!$R:$R,0)))</f>
        <v/>
      </c>
      <c r="BQ58" s="21" t="str" cm="1">
        <f t="array" aca="1" ref="BQ58" ca="1">CalculateMaxAndElementsWithFallback(SanitizeInput($BL58),0,"",Countermeasures!$A:Y,Assumptions!$A:Z)</f>
        <v>0:</v>
      </c>
      <c r="BR58" s="21" t="str" cm="1">
        <f t="array" aca="1" ref="BR58" ca="1">CalculateMaxAndElementsWithFallback(SanitizeInput($BL58),0,"",Countermeasures!$A:Z,Assumptions!$A:AA)</f>
        <v>0:</v>
      </c>
      <c r="BS58" s="21" t="str" cm="1">
        <f t="array" aca="1" ref="BS58" ca="1">CalculateMaxAndElementsWithFallback(SanitizeInput($BL58),0,"",Countermeasures!$A:AA,Assumptions!$A:AB)</f>
        <v>0:</v>
      </c>
      <c r="BT58" s="21" t="str" cm="1">
        <f t="array" aca="1" ref="BT58" ca="1">CalculateMaxAndElementsWithFallback(SanitizeInput($BL58),0,"",Countermeasures!$A:AB,Assumptions!$A:AC)</f>
        <v>0:</v>
      </c>
      <c r="BU58" s="21" t="str" cm="1">
        <f t="array" aca="1" ref="BU58" ca="1">CalculateMaxAndElementsWithFallback(SanitizeInput($BL58),0,"",Countermeasures!$A:AC,Assumptions!$A:AD)</f>
        <v>0:</v>
      </c>
      <c r="BV58" s="21">
        <f t="shared" ca="1" si="25"/>
        <v>0</v>
      </c>
      <c r="BW58" s="21">
        <f t="shared" ca="1" si="26"/>
        <v>0</v>
      </c>
      <c r="BX58" s="21">
        <f t="shared" ca="1" si="27"/>
        <v>0</v>
      </c>
      <c r="BY58" s="21">
        <f t="shared" ca="1" si="28"/>
        <v>0</v>
      </c>
      <c r="BZ58" s="21">
        <f t="shared" ca="1" si="29"/>
        <v>0</v>
      </c>
      <c r="CA58" s="21" t="str">
        <f t="shared" ca="1" si="30"/>
        <v>0:</v>
      </c>
      <c r="CB58" s="21" t="str">
        <f t="shared" ca="1" si="31"/>
        <v>0:</v>
      </c>
      <c r="CC58" s="21" t="str">
        <f t="shared" ca="1" si="32"/>
        <v>0:</v>
      </c>
      <c r="CD58" s="21" t="str">
        <f t="shared" ca="1" si="33"/>
        <v>0:</v>
      </c>
      <c r="CE58" s="21" t="str">
        <f t="shared" ca="1" si="34"/>
        <v>0:</v>
      </c>
      <c r="CF58" s="21">
        <f t="shared" ca="1" si="35"/>
        <v>0</v>
      </c>
      <c r="CG58" s="21">
        <f t="shared" ca="1" si="36"/>
        <v>0</v>
      </c>
      <c r="CH58" s="21">
        <f t="shared" ca="1" si="37"/>
        <v>0</v>
      </c>
      <c r="CI58" s="21">
        <f t="shared" ca="1" si="38"/>
        <v>0</v>
      </c>
      <c r="CJ58" s="21">
        <f t="shared" ca="1" si="39"/>
        <v>0</v>
      </c>
      <c r="CK58" s="21">
        <f t="shared" ca="1" si="66"/>
        <v>0</v>
      </c>
      <c r="CL58" s="21" t="str">
        <f ca="1">IFERROR(VLOOKUP($CK58,Definitions!$V:$W,COLUMNS(Definitions!$V:$W),TRUE),"")</f>
        <v>Basic</v>
      </c>
      <c r="CM58" s="21" t="str">
        <f ca="1">_xlfn.LET(
_xlpm._comments,SimpleLookup($A58,Tracing!$B:$AB),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58" s="21" t="str" cm="1">
        <f t="array" aca="1" ref="CN58" ca="1">_xlfn.LET(
_xlpm._rapRange,Definitions!$W:$W,
_xlpm._calculatedRAP,$CL58,
_xlpm._inlineRAP,$CM58,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58" s="21" t="str">
        <f ca="1">IFERROR(IF(OR($BP58="",$CN58=""),
Definitions!$AE$4,
VLOOKUP($BP58,Definitions!$AH:$AM,MATCH($CN58,Definitions!$AH$3:$AM$3,0),FALSE)),
"")</f>
        <v>No Risk</v>
      </c>
      <c r="CP58" s="21" cm="1">
        <f t="array" aca="1" ref="CP58" ca="1">IF($CO58="",0,SimpleLookup($CO58,Definitions!$AE:$AF))</f>
        <v>0</v>
      </c>
      <c r="CQ58" s="21" t="b">
        <f ca="1">OR(AND($S58,$I58=Helper!$B$7),$I58&gt;Helper!$B$7)</f>
        <v>1</v>
      </c>
      <c r="CR58" s="21" t="str">
        <f t="shared" ca="1" si="67"/>
        <v/>
      </c>
      <c r="CS58" s="21" cm="1">
        <f t="array" aca="1" ref="CS58" ca="1">CreateID($CS$2,$CV:$CV,$CR58&lt;&gt;"")</f>
        <v>0</v>
      </c>
      <c r="CT58" s="21" t="str">
        <f ca="1">IF(IFERROR(MATCH(","&amp;A58&amp;",",'Risk Treatment'!$AT:$AT,0)&gt;0,FALSE),"",$A58)</f>
        <v/>
      </c>
      <c r="CU58" s="21" cm="1">
        <f t="array" aca="1" ref="CU58" ca="1">CreateID($CU$2,$CU:$CU,$CT58&lt;&gt;"")</f>
        <v>0</v>
      </c>
    </row>
    <row r="59" spans="1:99" x14ac:dyDescent="0.25">
      <c r="A59" s="33" t="str" cm="1">
        <f t="array" aca="1" ref="A59" ca="1">IF($B59="","","R"&amp;RemoveDelimiter(SUBSTITUTE(SUBSTITUTE($K59,"AS",""),",","-"),"-"))</f>
        <v/>
      </c>
      <c r="B59" s="33" t="str" cm="1">
        <f t="array" aca="1" ref="B59" ca="1">IF($L59="","",_xlfn.LET(
_xlpm._finalAttackStep,$L59,
_xlpm._prepAttacks,RemoveFirstElement(_xlpm._finalAttackStep&amp;","&amp;$K59),
_xlpm._prepAttackNames,IFERROR(LookupNames(_xlpm._prepAttacks,'Attack Steps'!$A:$B),""),
_xlpm._delimiter,REPT(CHAR(150),55),
$L59&amp;" "&amp;SimpleLookup($L59,'Attack Steps'!$A:$B)&amp;
IF(_xlpm._prepAttackNames="","",CHAR(10)&amp;_xlpm._delimiter&amp;CHAR(10)&amp;_xlpm._prepAttackNames)))</f>
        <v/>
      </c>
      <c r="C59" s="34" t="str" cm="1">
        <f t="array" aca="1" ref="C59" ca="1">IFERROR(LookupNames($M59,'Damage Scenarios'!$A:$V),"")</f>
        <v/>
      </c>
      <c r="D59" s="33" t="str">
        <f ca="1">IFERROR(IF($T59=0,"",INDEX(Definitions!$Q:$Q,MATCH($T59,Definitions!$R:$R,0))),"")</f>
        <v/>
      </c>
      <c r="E59" s="34" t="str" cm="1">
        <f t="array" aca="1" ref="E59" ca="1">IF($A59="","",_xlfn.LET(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_xlpm._factorFunction($A59,$A:W,Definitions!$Y:$Y,Definitions!$AB:$AB,1)&amp;CHAR(10)&amp;
_xlpm._factorFunction($A59,$A:X,Definitions!$Y:$Y,Definitions!$AB:$AB,2)&amp;CHAR(10)&amp;
_xlpm._factorFunction($A59,$A:Y,Definitions!$Y:$Y,Definitions!$AB:$AB,3)&amp;CHAR(10)&amp;
_xlpm._factorFunction($A59,$A:Z,Definitions!$Y:$Y,Definitions!$AB:$AB,4)&amp;CHAR(10)&amp;
_xlpm._factorFunction($A59,$A:AA,Definitions!$Y:$Y,Definitions!$AB:$AB,5)))</f>
        <v/>
      </c>
      <c r="F59" s="33" t="str">
        <f ca="1">IF($A59="","",IFERROR(VLOOKUP($AG59,Definitions!$V:$W,COLUMNS(Definitions!$V:$W),TRUE),""))</f>
        <v/>
      </c>
      <c r="G59" s="33" t="str">
        <f ca="1">IFERROR(IF(OR($D59="",$F59=""),
"",
VLOOKUP($D59,Definitions!$AH:$AM,MATCH($F59,Definitions!$AH$3:$AM$3,0),FALSE)),
"")</f>
        <v/>
      </c>
      <c r="H59" s="23" cm="1">
        <f t="array" aca="1" ref="H59" ca="1">IF(ROW()=ROW($H$2)+1,0,INDEX($H:$H,ROW()-1))+IF($A59="",0,1)</f>
        <v>0</v>
      </c>
      <c r="I59" s="21" cm="1">
        <f t="array" aca="1" ref="I59" ca="1">IF(ROW()=ROW($I$2)+1,
1,
INDEX($I:$I,ROW()-1)+IF(INDEX($S:$S,ROW()-1),1,0))</f>
        <v>1</v>
      </c>
      <c r="J59" s="21">
        <f t="shared" ca="1" si="63"/>
        <v>57</v>
      </c>
      <c r="K59" s="21" t="str">
        <f t="shared" ca="1" si="68"/>
        <v/>
      </c>
      <c r="L59" s="21" t="str" cm="1">
        <f t="array" aca="1" ref="L59" ca="1">IF($P59="","",INDEX('Attack Steps'!$A:$A,$P59))</f>
        <v/>
      </c>
      <c r="M59" s="21" t="str" cm="1">
        <f t="array" aca="1" ref="M59" ca="1">IF($P59="","",INDEX('Attack Steps'!$T:$T,$P59))</f>
        <v/>
      </c>
      <c r="N59" s="21" t="str" cm="1">
        <f t="array" aca="1" ref="N59" ca="1">_xlfn.LET(_xlpm._dm,SanitizeInput(GetValuesWithFallback(SanitizeInput($AK59),Assumptions!$A:$I,Countermeasures!$A:$I,"",",",FALSE)),
IF(_xlpm._dm="","",","&amp;_xlpm._dm))</f>
        <v/>
      </c>
      <c r="O59" s="21" t="str" cm="1">
        <f t="array" aca="1" ref="O59" ca="1">ApplyDamageMitigation($M59,$N59,"")</f>
        <v/>
      </c>
      <c r="P59" s="21" t="str">
        <f ca="1">IFERROR(MATCH($I59,'Attack Steps'!$V:$V,0),"")</f>
        <v/>
      </c>
      <c r="Q59" s="21" t="str" cm="1">
        <f t="array" aca="1" ref="Q59" ca="1">IF($P59="","","§"&amp;INDEX('Attack Steps'!$S:$S,$P59))</f>
        <v/>
      </c>
      <c r="R59" s="21" t="str" cm="1">
        <f t="array" aca="1" ref="R59" ca="1">IF($P59="","",INDEX('Attack Steps'!$W:$W,$P59))</f>
        <v/>
      </c>
      <c r="S59" s="21" t="b">
        <f t="shared" ca="1" si="69"/>
        <v>0</v>
      </c>
      <c r="T59" s="21" cm="1">
        <f t="array" aca="1" ref="T59" ca="1">_xlfn.LAMBDA(_xlpm._in,_xlpm._val,_xlpm._range,
IF(_xlpm._in="",_xlpm._val,_xlfn.LET(
_xlpm._id,LEFT(_xlpm._in,FIND(",",_xlpm._in)-1),
CalculateMaxFromList(RemoveFirstElement(_xlpm._in),MAX(_xlpm._val,VLOOKUP(_xlpm._id,_xlpm._range,COLUMNS(_xlpm._range),FALSE)),_xlpm._range))))($M59,0,'Damage Scenarios'!$A:$U)</f>
        <v>0</v>
      </c>
      <c r="U59" s="21" cm="1">
        <f t="array" aca="1" ref="U59" ca="1">CalculateMaxFromList($O59,0,'Damage Scenarios'!$A:$U)</f>
        <v>0</v>
      </c>
      <c r="V59" s="21" t="str">
        <f ca="1">IF($U59=0,"",INDEX(Definitions!$Q:$Q,MATCH($U59,Definitions!$R:$R,0)))</f>
        <v/>
      </c>
      <c r="W59" s="21" t="str" cm="1">
        <f t="array" aca="1" ref="W59" ca="1">CalculateMaxAndElements($K59,0,"",'Attack Steps'!$A:X)</f>
        <v>0:</v>
      </c>
      <c r="X59" s="21" t="str" cm="1">
        <f t="array" aca="1" ref="X59" ca="1">CalculateMaxAndElements($K59,0,"",'Attack Steps'!$A:Y)</f>
        <v>0:</v>
      </c>
      <c r="Y59" s="21" t="str" cm="1">
        <f t="array" aca="1" ref="Y59" ca="1">CalculateMaxAndElements($K59,0,"",'Attack Steps'!$A:Z)</f>
        <v>0:</v>
      </c>
      <c r="Z59" s="21" t="str" cm="1">
        <f t="array" aca="1" ref="Z59" ca="1">CalculateMaxAndElements($K59,0,"",'Attack Steps'!$A:AA)</f>
        <v>0:</v>
      </c>
      <c r="AA59" s="21" t="str" cm="1">
        <f t="array" aca="1" ref="AA59" ca="1">CalculateMaxAndElements($K59,0,"",'Attack Steps'!$A:AB)</f>
        <v>0:</v>
      </c>
      <c r="AB59" s="21">
        <f t="shared" ca="1" si="70"/>
        <v>0</v>
      </c>
      <c r="AC59" s="21">
        <f t="shared" ca="1" si="71"/>
        <v>0</v>
      </c>
      <c r="AD59" s="21">
        <f t="shared" ca="1" si="72"/>
        <v>0</v>
      </c>
      <c r="AE59" s="21">
        <f t="shared" ca="1" si="73"/>
        <v>0</v>
      </c>
      <c r="AF59" s="21">
        <f t="shared" ca="1" si="74"/>
        <v>0</v>
      </c>
      <c r="AG59" s="21">
        <f t="shared" ca="1" si="64"/>
        <v>0</v>
      </c>
      <c r="AH59" s="21" t="str" cm="1">
        <f t="array" aca="1" ref="AH59" ca="1">IF(ROW()=ROW($AH$2)+1,"",INDEX($AH:$AH,ROW()-1))&amp;IF($A59="","",$A59&amp;",")</f>
        <v/>
      </c>
      <c r="AI59" s="21" t="str">
        <f t="shared" ca="1" si="75"/>
        <v/>
      </c>
      <c r="AJ59" s="21" cm="1">
        <f t="array" aca="1" ref="AJ59" ca="1">IF($G59="",0,SimpleLookup($G59,Definitions!$AE:$AF))</f>
        <v>0</v>
      </c>
      <c r="AK59" s="21" t="str" cm="1">
        <f t="array" aca="1" ref="AK59" ca="1">InverseLookup($A59,Mitigation!$U$2,Mitigation!$J$2,1,Helper!$B$5,",")</f>
        <v/>
      </c>
      <c r="AL59" s="21" t="str" cm="1">
        <f t="array" aca="1" ref="AL59" ca="1">CalculateMaxAndElementsWithFallback(SanitizeInput($AK59),0,"",Countermeasures!$A:Y,Assumptions!$A:Z)</f>
        <v>0:</v>
      </c>
      <c r="AM59" s="21" t="str" cm="1">
        <f t="array" aca="1" ref="AM59" ca="1">CalculateMaxAndElementsWithFallback(SanitizeInput($AK59),0,"",Countermeasures!$A:Z,Assumptions!$A:AA)</f>
        <v>0:</v>
      </c>
      <c r="AN59" s="21" t="str" cm="1">
        <f t="array" aca="1" ref="AN59" ca="1">CalculateMaxAndElementsWithFallback(SanitizeInput($AK59),0,"",Countermeasures!$A:AA,Assumptions!$A:AB)</f>
        <v>0:</v>
      </c>
      <c r="AO59" s="21" t="str" cm="1">
        <f t="array" aca="1" ref="AO59" ca="1">CalculateMaxAndElementsWithFallback(SanitizeInput($AK59),0,"",Countermeasures!$A:AB,Assumptions!$A:AC)</f>
        <v>0:</v>
      </c>
      <c r="AP59" s="21" t="str" cm="1">
        <f t="array" aca="1" ref="AP59" ca="1">CalculateMaxAndElementsWithFallback(SanitizeInput($AK59),0,"",Countermeasures!$A:AC,Assumptions!$A:AD)</f>
        <v>0:</v>
      </c>
      <c r="AQ59" s="21">
        <f t="shared" ca="1" si="76"/>
        <v>0</v>
      </c>
      <c r="AR59" s="21">
        <f t="shared" ca="1" si="77"/>
        <v>0</v>
      </c>
      <c r="AS59" s="21">
        <f t="shared" ca="1" si="78"/>
        <v>0</v>
      </c>
      <c r="AT59" s="21">
        <f t="shared" ca="1" si="79"/>
        <v>0</v>
      </c>
      <c r="AU59" s="21">
        <f t="shared" ca="1" si="80"/>
        <v>0</v>
      </c>
      <c r="AV59" s="21" t="str">
        <f t="shared" ca="1" si="81"/>
        <v>0:</v>
      </c>
      <c r="AW59" s="21" t="str">
        <f t="shared" ca="1" si="82"/>
        <v>0:</v>
      </c>
      <c r="AX59" s="21" t="str">
        <f t="shared" ca="1" si="83"/>
        <v>0:</v>
      </c>
      <c r="AY59" s="21" t="str">
        <f t="shared" ca="1" si="84"/>
        <v>0:</v>
      </c>
      <c r="AZ59" s="21" t="str">
        <f t="shared" ca="1" si="85"/>
        <v>0:</v>
      </c>
      <c r="BA59" s="21">
        <f t="shared" ca="1" si="86"/>
        <v>0</v>
      </c>
      <c r="BB59" s="21">
        <f t="shared" ca="1" si="87"/>
        <v>0</v>
      </c>
      <c r="BC59" s="21">
        <f t="shared" ca="1" si="88"/>
        <v>0</v>
      </c>
      <c r="BD59" s="21">
        <f t="shared" ca="1" si="89"/>
        <v>0</v>
      </c>
      <c r="BE59" s="21">
        <f t="shared" ca="1" si="90"/>
        <v>0</v>
      </c>
      <c r="BF59" s="21">
        <f t="shared" ca="1" si="65"/>
        <v>0</v>
      </c>
      <c r="BG59" s="21" t="str">
        <f ca="1">IFERROR(VLOOKUP($BF59,Definitions!$V:$W,COLUMNS(Definitions!$V:$W),TRUE),"")</f>
        <v>Basic</v>
      </c>
      <c r="BH59" s="21" t="str">
        <f ca="1">_xlfn.LET(
_xlpm._comments,GetValues($K59,Mitigation!$A:$O,"","",FALSE),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59" s="21" t="str" cm="1">
        <f t="array" aca="1" ref="BI59" ca="1">_xlfn.LET(
_xlpm._rapRange,Definitions!$W:$W,
_xlpm._calculatedRAP,$BG59,
_xlpm._inlineRAP,$BH59,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59" s="21" t="str">
        <f ca="1">IFERROR(IF(OR($V59="",$BI59=""),
Definitions!$AE$4,
VLOOKUP($V59,Definitions!$AH:$AM,MATCH($BI59,Definitions!$AH$3:$AM$3,0),FALSE)),
"")</f>
        <v>No Risk</v>
      </c>
      <c r="BK59" s="21" cm="1">
        <f t="array" aca="1" ref="BK59" ca="1">IF($BJ59="",0,SimpleLookup($BJ59,Definitions!$AE:$AF))</f>
        <v>0</v>
      </c>
      <c r="BL59" s="21" t="str" cm="1">
        <f t="array" aca="1" ref="BL59" ca="1">IFERROR(SimpleLookup($A59,Tracing!$B:$Z),"")</f>
        <v/>
      </c>
      <c r="BM59" s="21" t="str" cm="1">
        <f t="array" aca="1" ref="BM59" ca="1">_xlfn.LET(_xlpm._dm,SanitizeInput(GetValuesWithFallback(SanitizeInput($BL59),Assumptions!$A:$I,Countermeasures!$A:$I,"",",",FALSE)),
IF(_xlpm._dm="","",","&amp;_xlpm._dm))</f>
        <v/>
      </c>
      <c r="BN59" s="21" t="str" cm="1">
        <f t="array" aca="1" ref="BN59" ca="1">ApplyDamageMitigation($M59,$BM59,"")</f>
        <v/>
      </c>
      <c r="BO59" s="21" cm="1">
        <f t="array" aca="1" ref="BO59" ca="1">CalculateMaxFromList($BN59,0,'Damage Scenarios'!$A:$U)</f>
        <v>0</v>
      </c>
      <c r="BP59" s="21" t="str">
        <f ca="1">IF($BO59=0,"",INDEX(Definitions!$Q:$Q,MATCH($BO59,Definitions!$R:$R,0)))</f>
        <v/>
      </c>
      <c r="BQ59" s="21" t="str" cm="1">
        <f t="array" aca="1" ref="BQ59" ca="1">CalculateMaxAndElementsWithFallback(SanitizeInput($BL59),0,"",Countermeasures!$A:Y,Assumptions!$A:Z)</f>
        <v>0:</v>
      </c>
      <c r="BR59" s="21" t="str" cm="1">
        <f t="array" aca="1" ref="BR59" ca="1">CalculateMaxAndElementsWithFallback(SanitizeInput($BL59),0,"",Countermeasures!$A:Z,Assumptions!$A:AA)</f>
        <v>0:</v>
      </c>
      <c r="BS59" s="21" t="str" cm="1">
        <f t="array" aca="1" ref="BS59" ca="1">CalculateMaxAndElementsWithFallback(SanitizeInput($BL59),0,"",Countermeasures!$A:AA,Assumptions!$A:AB)</f>
        <v>0:</v>
      </c>
      <c r="BT59" s="21" t="str" cm="1">
        <f t="array" aca="1" ref="BT59" ca="1">CalculateMaxAndElementsWithFallback(SanitizeInput($BL59),0,"",Countermeasures!$A:AB,Assumptions!$A:AC)</f>
        <v>0:</v>
      </c>
      <c r="BU59" s="21" t="str" cm="1">
        <f t="array" aca="1" ref="BU59" ca="1">CalculateMaxAndElementsWithFallback(SanitizeInput($BL59),0,"",Countermeasures!$A:AC,Assumptions!$A:AD)</f>
        <v>0:</v>
      </c>
      <c r="BV59" s="21">
        <f t="shared" ca="1" si="25"/>
        <v>0</v>
      </c>
      <c r="BW59" s="21">
        <f t="shared" ca="1" si="26"/>
        <v>0</v>
      </c>
      <c r="BX59" s="21">
        <f t="shared" ca="1" si="27"/>
        <v>0</v>
      </c>
      <c r="BY59" s="21">
        <f t="shared" ca="1" si="28"/>
        <v>0</v>
      </c>
      <c r="BZ59" s="21">
        <f t="shared" ca="1" si="29"/>
        <v>0</v>
      </c>
      <c r="CA59" s="21" t="str">
        <f t="shared" ca="1" si="30"/>
        <v>0:</v>
      </c>
      <c r="CB59" s="21" t="str">
        <f t="shared" ca="1" si="31"/>
        <v>0:</v>
      </c>
      <c r="CC59" s="21" t="str">
        <f t="shared" ca="1" si="32"/>
        <v>0:</v>
      </c>
      <c r="CD59" s="21" t="str">
        <f t="shared" ca="1" si="33"/>
        <v>0:</v>
      </c>
      <c r="CE59" s="21" t="str">
        <f t="shared" ca="1" si="34"/>
        <v>0:</v>
      </c>
      <c r="CF59" s="21">
        <f t="shared" ca="1" si="35"/>
        <v>0</v>
      </c>
      <c r="CG59" s="21">
        <f t="shared" ca="1" si="36"/>
        <v>0</v>
      </c>
      <c r="CH59" s="21">
        <f t="shared" ca="1" si="37"/>
        <v>0</v>
      </c>
      <c r="CI59" s="21">
        <f t="shared" ca="1" si="38"/>
        <v>0</v>
      </c>
      <c r="CJ59" s="21">
        <f t="shared" ca="1" si="39"/>
        <v>0</v>
      </c>
      <c r="CK59" s="21">
        <f t="shared" ca="1" si="66"/>
        <v>0</v>
      </c>
      <c r="CL59" s="21" t="str">
        <f ca="1">IFERROR(VLOOKUP($CK59,Definitions!$V:$W,COLUMNS(Definitions!$V:$W),TRUE),"")</f>
        <v>Basic</v>
      </c>
      <c r="CM59" s="21" t="str">
        <f ca="1">_xlfn.LET(
_xlpm._comments,SimpleLookup($A59,Tracing!$B:$AB),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59" s="21" t="str" cm="1">
        <f t="array" aca="1" ref="CN59" ca="1">_xlfn.LET(
_xlpm._rapRange,Definitions!$W:$W,
_xlpm._calculatedRAP,$CL59,
_xlpm._inlineRAP,$CM59,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59" s="21" t="str">
        <f ca="1">IFERROR(IF(OR($BP59="",$CN59=""),
Definitions!$AE$4,
VLOOKUP($BP59,Definitions!$AH:$AM,MATCH($CN59,Definitions!$AH$3:$AM$3,0),FALSE)),
"")</f>
        <v>No Risk</v>
      </c>
      <c r="CP59" s="21" cm="1">
        <f t="array" aca="1" ref="CP59" ca="1">IF($CO59="",0,SimpleLookup($CO59,Definitions!$AE:$AF))</f>
        <v>0</v>
      </c>
      <c r="CQ59" s="21" t="b">
        <f ca="1">OR(AND($S59,$I59=Helper!$B$7),$I59&gt;Helper!$B$7)</f>
        <v>1</v>
      </c>
      <c r="CR59" s="21" t="str">
        <f t="shared" ca="1" si="67"/>
        <v/>
      </c>
      <c r="CS59" s="21" cm="1">
        <f t="array" aca="1" ref="CS59" ca="1">CreateID($CS$2,$CV:$CV,$CR59&lt;&gt;"")</f>
        <v>0</v>
      </c>
      <c r="CT59" s="21" t="str">
        <f ca="1">IF(IFERROR(MATCH(","&amp;A59&amp;",",'Risk Treatment'!$AT:$AT,0)&gt;0,FALSE),"",$A59)</f>
        <v/>
      </c>
      <c r="CU59" s="21" cm="1">
        <f t="array" aca="1" ref="CU59" ca="1">CreateID($CU$2,$CU:$CU,$CT59&lt;&gt;"")</f>
        <v>0</v>
      </c>
    </row>
    <row r="60" spans="1:99" x14ac:dyDescent="0.25">
      <c r="A60" s="33" t="str" cm="1">
        <f t="array" aca="1" ref="A60" ca="1">IF($B60="","","R"&amp;RemoveDelimiter(SUBSTITUTE(SUBSTITUTE($K60,"AS",""),",","-"),"-"))</f>
        <v/>
      </c>
      <c r="B60" s="33" t="str" cm="1">
        <f t="array" aca="1" ref="B60" ca="1">IF($L60="","",_xlfn.LET(
_xlpm._finalAttackStep,$L60,
_xlpm._prepAttacks,RemoveFirstElement(_xlpm._finalAttackStep&amp;","&amp;$K60),
_xlpm._prepAttackNames,IFERROR(LookupNames(_xlpm._prepAttacks,'Attack Steps'!$A:$B),""),
_xlpm._delimiter,REPT(CHAR(150),55),
$L60&amp;" "&amp;SimpleLookup($L60,'Attack Steps'!$A:$B)&amp;
IF(_xlpm._prepAttackNames="","",CHAR(10)&amp;_xlpm._delimiter&amp;CHAR(10)&amp;_xlpm._prepAttackNames)))</f>
        <v/>
      </c>
      <c r="C60" s="34" t="str" cm="1">
        <f t="array" aca="1" ref="C60" ca="1">IFERROR(LookupNames($M60,'Damage Scenarios'!$A:$V),"")</f>
        <v/>
      </c>
      <c r="D60" s="33" t="str">
        <f ca="1">IFERROR(IF($T60=0,"",INDEX(Definitions!$Q:$Q,MATCH($T60,Definitions!$R:$R,0))),"")</f>
        <v/>
      </c>
      <c r="E60" s="34" t="str" cm="1">
        <f t="array" aca="1" ref="E60" ca="1">IF($A60="","",_xlfn.LET(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_xlpm._factorFunction($A60,$A:W,Definitions!$Y:$Y,Definitions!$AB:$AB,1)&amp;CHAR(10)&amp;
_xlpm._factorFunction($A60,$A:X,Definitions!$Y:$Y,Definitions!$AB:$AB,2)&amp;CHAR(10)&amp;
_xlpm._factorFunction($A60,$A:Y,Definitions!$Y:$Y,Definitions!$AB:$AB,3)&amp;CHAR(10)&amp;
_xlpm._factorFunction($A60,$A:Z,Definitions!$Y:$Y,Definitions!$AB:$AB,4)&amp;CHAR(10)&amp;
_xlpm._factorFunction($A60,$A:AA,Definitions!$Y:$Y,Definitions!$AB:$AB,5)))</f>
        <v/>
      </c>
      <c r="F60" s="33" t="str">
        <f ca="1">IF($A60="","",IFERROR(VLOOKUP($AG60,Definitions!$V:$W,COLUMNS(Definitions!$V:$W),TRUE),""))</f>
        <v/>
      </c>
      <c r="G60" s="33" t="str">
        <f ca="1">IFERROR(IF(OR($D60="",$F60=""),
"",
VLOOKUP($D60,Definitions!$AH:$AM,MATCH($F60,Definitions!$AH$3:$AM$3,0),FALSE)),
"")</f>
        <v/>
      </c>
      <c r="H60" s="23" cm="1">
        <f t="array" aca="1" ref="H60" ca="1">IF(ROW()=ROW($H$2)+1,0,INDEX($H:$H,ROW()-1))+IF($A60="",0,1)</f>
        <v>0</v>
      </c>
      <c r="I60" s="21" cm="1">
        <f t="array" aca="1" ref="I60" ca="1">IF(ROW()=ROW($I$2)+1,
1,
INDEX($I:$I,ROW()-1)+IF(INDEX($S:$S,ROW()-1),1,0))</f>
        <v>1</v>
      </c>
      <c r="J60" s="21">
        <f t="shared" ca="1" si="63"/>
        <v>58</v>
      </c>
      <c r="K60" s="21" t="str">
        <f t="shared" ca="1" si="68"/>
        <v/>
      </c>
      <c r="L60" s="21" t="str" cm="1">
        <f t="array" aca="1" ref="L60" ca="1">IF($P60="","",INDEX('Attack Steps'!$A:$A,$P60))</f>
        <v/>
      </c>
      <c r="M60" s="21" t="str" cm="1">
        <f t="array" aca="1" ref="M60" ca="1">IF($P60="","",INDEX('Attack Steps'!$T:$T,$P60))</f>
        <v/>
      </c>
      <c r="N60" s="21" t="str" cm="1">
        <f t="array" aca="1" ref="N60" ca="1">_xlfn.LET(_xlpm._dm,SanitizeInput(GetValuesWithFallback(SanitizeInput($AK60),Assumptions!$A:$I,Countermeasures!$A:$I,"",",",FALSE)),
IF(_xlpm._dm="","",","&amp;_xlpm._dm))</f>
        <v/>
      </c>
      <c r="O60" s="21" t="str" cm="1">
        <f t="array" aca="1" ref="O60" ca="1">ApplyDamageMitigation($M60,$N60,"")</f>
        <v/>
      </c>
      <c r="P60" s="21" t="str">
        <f ca="1">IFERROR(MATCH($I60,'Attack Steps'!$V:$V,0),"")</f>
        <v/>
      </c>
      <c r="Q60" s="21" t="str" cm="1">
        <f t="array" aca="1" ref="Q60" ca="1">IF($P60="","","§"&amp;INDEX('Attack Steps'!$S:$S,$P60))</f>
        <v/>
      </c>
      <c r="R60" s="21" t="str" cm="1">
        <f t="array" aca="1" ref="R60" ca="1">IF($P60="","",INDEX('Attack Steps'!$W:$W,$P60))</f>
        <v/>
      </c>
      <c r="S60" s="21" t="b">
        <f t="shared" ca="1" si="69"/>
        <v>0</v>
      </c>
      <c r="T60" s="21" cm="1">
        <f t="array" aca="1" ref="T60" ca="1">_xlfn.LAMBDA(_xlpm._in,_xlpm._val,_xlpm._range,
IF(_xlpm._in="",_xlpm._val,_xlfn.LET(
_xlpm._id,LEFT(_xlpm._in,FIND(",",_xlpm._in)-1),
CalculateMaxFromList(RemoveFirstElement(_xlpm._in),MAX(_xlpm._val,VLOOKUP(_xlpm._id,_xlpm._range,COLUMNS(_xlpm._range),FALSE)),_xlpm._range))))($M60,0,'Damage Scenarios'!$A:$U)</f>
        <v>0</v>
      </c>
      <c r="U60" s="21" cm="1">
        <f t="array" aca="1" ref="U60" ca="1">CalculateMaxFromList($O60,0,'Damage Scenarios'!$A:$U)</f>
        <v>0</v>
      </c>
      <c r="V60" s="21" t="str">
        <f ca="1">IF($U60=0,"",INDEX(Definitions!$Q:$Q,MATCH($U60,Definitions!$R:$R,0)))</f>
        <v/>
      </c>
      <c r="W60" s="21" t="str" cm="1">
        <f t="array" aca="1" ref="W60" ca="1">CalculateMaxAndElements($K60,0,"",'Attack Steps'!$A:X)</f>
        <v>0:</v>
      </c>
      <c r="X60" s="21" t="str" cm="1">
        <f t="array" aca="1" ref="X60" ca="1">CalculateMaxAndElements($K60,0,"",'Attack Steps'!$A:Y)</f>
        <v>0:</v>
      </c>
      <c r="Y60" s="21" t="str" cm="1">
        <f t="array" aca="1" ref="Y60" ca="1">CalculateMaxAndElements($K60,0,"",'Attack Steps'!$A:Z)</f>
        <v>0:</v>
      </c>
      <c r="Z60" s="21" t="str" cm="1">
        <f t="array" aca="1" ref="Z60" ca="1">CalculateMaxAndElements($K60,0,"",'Attack Steps'!$A:AA)</f>
        <v>0:</v>
      </c>
      <c r="AA60" s="21" t="str" cm="1">
        <f t="array" aca="1" ref="AA60" ca="1">CalculateMaxAndElements($K60,0,"",'Attack Steps'!$A:AB)</f>
        <v>0:</v>
      </c>
      <c r="AB60" s="21">
        <f t="shared" ca="1" si="70"/>
        <v>0</v>
      </c>
      <c r="AC60" s="21">
        <f t="shared" ca="1" si="71"/>
        <v>0</v>
      </c>
      <c r="AD60" s="21">
        <f t="shared" ca="1" si="72"/>
        <v>0</v>
      </c>
      <c r="AE60" s="21">
        <f t="shared" ca="1" si="73"/>
        <v>0</v>
      </c>
      <c r="AF60" s="21">
        <f t="shared" ca="1" si="74"/>
        <v>0</v>
      </c>
      <c r="AG60" s="21">
        <f t="shared" ca="1" si="64"/>
        <v>0</v>
      </c>
      <c r="AH60" s="21" t="str" cm="1">
        <f t="array" aca="1" ref="AH60" ca="1">IF(ROW()=ROW($AH$2)+1,"",INDEX($AH:$AH,ROW()-1))&amp;IF($A60="","",$A60&amp;",")</f>
        <v/>
      </c>
      <c r="AI60" s="21" t="str">
        <f t="shared" ca="1" si="75"/>
        <v/>
      </c>
      <c r="AJ60" s="21" cm="1">
        <f t="array" aca="1" ref="AJ60" ca="1">IF($G60="",0,SimpleLookup($G60,Definitions!$AE:$AF))</f>
        <v>0</v>
      </c>
      <c r="AK60" s="21" t="str" cm="1">
        <f t="array" aca="1" ref="AK60" ca="1">InverseLookup($A60,Mitigation!$U$2,Mitigation!$J$2,1,Helper!$B$5,",")</f>
        <v/>
      </c>
      <c r="AL60" s="21" t="str" cm="1">
        <f t="array" aca="1" ref="AL60" ca="1">CalculateMaxAndElementsWithFallback(SanitizeInput($AK60),0,"",Countermeasures!$A:Y,Assumptions!$A:Z)</f>
        <v>0:</v>
      </c>
      <c r="AM60" s="21" t="str" cm="1">
        <f t="array" aca="1" ref="AM60" ca="1">CalculateMaxAndElementsWithFallback(SanitizeInput($AK60),0,"",Countermeasures!$A:Z,Assumptions!$A:AA)</f>
        <v>0:</v>
      </c>
      <c r="AN60" s="21" t="str" cm="1">
        <f t="array" aca="1" ref="AN60" ca="1">CalculateMaxAndElementsWithFallback(SanitizeInput($AK60),0,"",Countermeasures!$A:AA,Assumptions!$A:AB)</f>
        <v>0:</v>
      </c>
      <c r="AO60" s="21" t="str" cm="1">
        <f t="array" aca="1" ref="AO60" ca="1">CalculateMaxAndElementsWithFallback(SanitizeInput($AK60),0,"",Countermeasures!$A:AB,Assumptions!$A:AC)</f>
        <v>0:</v>
      </c>
      <c r="AP60" s="21" t="str" cm="1">
        <f t="array" aca="1" ref="AP60" ca="1">CalculateMaxAndElementsWithFallback(SanitizeInput($AK60),0,"",Countermeasures!$A:AC,Assumptions!$A:AD)</f>
        <v>0:</v>
      </c>
      <c r="AQ60" s="21">
        <f t="shared" ca="1" si="76"/>
        <v>0</v>
      </c>
      <c r="AR60" s="21">
        <f t="shared" ca="1" si="77"/>
        <v>0</v>
      </c>
      <c r="AS60" s="21">
        <f t="shared" ca="1" si="78"/>
        <v>0</v>
      </c>
      <c r="AT60" s="21">
        <f t="shared" ca="1" si="79"/>
        <v>0</v>
      </c>
      <c r="AU60" s="21">
        <f t="shared" ca="1" si="80"/>
        <v>0</v>
      </c>
      <c r="AV60" s="21" t="str">
        <f t="shared" ca="1" si="81"/>
        <v>0:</v>
      </c>
      <c r="AW60" s="21" t="str">
        <f t="shared" ca="1" si="82"/>
        <v>0:</v>
      </c>
      <c r="AX60" s="21" t="str">
        <f t="shared" ca="1" si="83"/>
        <v>0:</v>
      </c>
      <c r="AY60" s="21" t="str">
        <f t="shared" ca="1" si="84"/>
        <v>0:</v>
      </c>
      <c r="AZ60" s="21" t="str">
        <f t="shared" ca="1" si="85"/>
        <v>0:</v>
      </c>
      <c r="BA60" s="21">
        <f t="shared" ca="1" si="86"/>
        <v>0</v>
      </c>
      <c r="BB60" s="21">
        <f t="shared" ca="1" si="87"/>
        <v>0</v>
      </c>
      <c r="BC60" s="21">
        <f t="shared" ca="1" si="88"/>
        <v>0</v>
      </c>
      <c r="BD60" s="21">
        <f t="shared" ca="1" si="89"/>
        <v>0</v>
      </c>
      <c r="BE60" s="21">
        <f t="shared" ca="1" si="90"/>
        <v>0</v>
      </c>
      <c r="BF60" s="21">
        <f t="shared" ca="1" si="65"/>
        <v>0</v>
      </c>
      <c r="BG60" s="21" t="str">
        <f ca="1">IFERROR(VLOOKUP($BF60,Definitions!$V:$W,COLUMNS(Definitions!$V:$W),TRUE),"")</f>
        <v>Basic</v>
      </c>
      <c r="BH60" s="21" t="str">
        <f ca="1">_xlfn.LET(
_xlpm._comments,GetValues($K60,Mitigation!$A:$O,"","",FALSE),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60" s="21" t="str" cm="1">
        <f t="array" aca="1" ref="BI60" ca="1">_xlfn.LET(
_xlpm._rapRange,Definitions!$W:$W,
_xlpm._calculatedRAP,$BG60,
_xlpm._inlineRAP,$BH60,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60" s="21" t="str">
        <f ca="1">IFERROR(IF(OR($V60="",$BI60=""),
Definitions!$AE$4,
VLOOKUP($V60,Definitions!$AH:$AM,MATCH($BI60,Definitions!$AH$3:$AM$3,0),FALSE)),
"")</f>
        <v>No Risk</v>
      </c>
      <c r="BK60" s="21" cm="1">
        <f t="array" aca="1" ref="BK60" ca="1">IF($BJ60="",0,SimpleLookup($BJ60,Definitions!$AE:$AF))</f>
        <v>0</v>
      </c>
      <c r="BL60" s="21" t="str" cm="1">
        <f t="array" aca="1" ref="BL60" ca="1">IFERROR(SimpleLookup($A60,Tracing!$B:$Z),"")</f>
        <v/>
      </c>
      <c r="BM60" s="21" t="str" cm="1">
        <f t="array" aca="1" ref="BM60" ca="1">_xlfn.LET(_xlpm._dm,SanitizeInput(GetValuesWithFallback(SanitizeInput($BL60),Assumptions!$A:$I,Countermeasures!$A:$I,"",",",FALSE)),
IF(_xlpm._dm="","",","&amp;_xlpm._dm))</f>
        <v/>
      </c>
      <c r="BN60" s="21" t="str" cm="1">
        <f t="array" aca="1" ref="BN60" ca="1">ApplyDamageMitigation($M60,$BM60,"")</f>
        <v/>
      </c>
      <c r="BO60" s="21" cm="1">
        <f t="array" aca="1" ref="BO60" ca="1">CalculateMaxFromList($BN60,0,'Damage Scenarios'!$A:$U)</f>
        <v>0</v>
      </c>
      <c r="BP60" s="21" t="str">
        <f ca="1">IF($BO60=0,"",INDEX(Definitions!$Q:$Q,MATCH($BO60,Definitions!$R:$R,0)))</f>
        <v/>
      </c>
      <c r="BQ60" s="21" t="str" cm="1">
        <f t="array" aca="1" ref="BQ60" ca="1">CalculateMaxAndElementsWithFallback(SanitizeInput($BL60),0,"",Countermeasures!$A:Y,Assumptions!$A:Z)</f>
        <v>0:</v>
      </c>
      <c r="BR60" s="21" t="str" cm="1">
        <f t="array" aca="1" ref="BR60" ca="1">CalculateMaxAndElementsWithFallback(SanitizeInput($BL60),0,"",Countermeasures!$A:Z,Assumptions!$A:AA)</f>
        <v>0:</v>
      </c>
      <c r="BS60" s="21" t="str" cm="1">
        <f t="array" aca="1" ref="BS60" ca="1">CalculateMaxAndElementsWithFallback(SanitizeInput($BL60),0,"",Countermeasures!$A:AA,Assumptions!$A:AB)</f>
        <v>0:</v>
      </c>
      <c r="BT60" s="21" t="str" cm="1">
        <f t="array" aca="1" ref="BT60" ca="1">CalculateMaxAndElementsWithFallback(SanitizeInput($BL60),0,"",Countermeasures!$A:AB,Assumptions!$A:AC)</f>
        <v>0:</v>
      </c>
      <c r="BU60" s="21" t="str" cm="1">
        <f t="array" aca="1" ref="BU60" ca="1">CalculateMaxAndElementsWithFallback(SanitizeInput($BL60),0,"",Countermeasures!$A:AC,Assumptions!$A:AD)</f>
        <v>0:</v>
      </c>
      <c r="BV60" s="21">
        <f t="shared" ca="1" si="25"/>
        <v>0</v>
      </c>
      <c r="BW60" s="21">
        <f t="shared" ca="1" si="26"/>
        <v>0</v>
      </c>
      <c r="BX60" s="21">
        <f t="shared" ca="1" si="27"/>
        <v>0</v>
      </c>
      <c r="BY60" s="21">
        <f t="shared" ca="1" si="28"/>
        <v>0</v>
      </c>
      <c r="BZ60" s="21">
        <f t="shared" ca="1" si="29"/>
        <v>0</v>
      </c>
      <c r="CA60" s="21" t="str">
        <f t="shared" ca="1" si="30"/>
        <v>0:</v>
      </c>
      <c r="CB60" s="21" t="str">
        <f t="shared" ca="1" si="31"/>
        <v>0:</v>
      </c>
      <c r="CC60" s="21" t="str">
        <f t="shared" ca="1" si="32"/>
        <v>0:</v>
      </c>
      <c r="CD60" s="21" t="str">
        <f t="shared" ca="1" si="33"/>
        <v>0:</v>
      </c>
      <c r="CE60" s="21" t="str">
        <f t="shared" ca="1" si="34"/>
        <v>0:</v>
      </c>
      <c r="CF60" s="21">
        <f t="shared" ca="1" si="35"/>
        <v>0</v>
      </c>
      <c r="CG60" s="21">
        <f t="shared" ca="1" si="36"/>
        <v>0</v>
      </c>
      <c r="CH60" s="21">
        <f t="shared" ca="1" si="37"/>
        <v>0</v>
      </c>
      <c r="CI60" s="21">
        <f t="shared" ca="1" si="38"/>
        <v>0</v>
      </c>
      <c r="CJ60" s="21">
        <f t="shared" ca="1" si="39"/>
        <v>0</v>
      </c>
      <c r="CK60" s="21">
        <f t="shared" ca="1" si="66"/>
        <v>0</v>
      </c>
      <c r="CL60" s="21" t="str">
        <f ca="1">IFERROR(VLOOKUP($CK60,Definitions!$V:$W,COLUMNS(Definitions!$V:$W),TRUE),"")</f>
        <v>Basic</v>
      </c>
      <c r="CM60" s="21" t="str">
        <f ca="1">_xlfn.LET(
_xlpm._comments,SimpleLookup($A60,Tracing!$B:$AB),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60" s="21" t="str" cm="1">
        <f t="array" aca="1" ref="CN60" ca="1">_xlfn.LET(
_xlpm._rapRange,Definitions!$W:$W,
_xlpm._calculatedRAP,$CL60,
_xlpm._inlineRAP,$CM60,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60" s="21" t="str">
        <f ca="1">IFERROR(IF(OR($BP60="",$CN60=""),
Definitions!$AE$4,
VLOOKUP($BP60,Definitions!$AH:$AM,MATCH($CN60,Definitions!$AH$3:$AM$3,0),FALSE)),
"")</f>
        <v>No Risk</v>
      </c>
      <c r="CP60" s="21" cm="1">
        <f t="array" aca="1" ref="CP60" ca="1">IF($CO60="",0,SimpleLookup($CO60,Definitions!$AE:$AF))</f>
        <v>0</v>
      </c>
      <c r="CQ60" s="21" t="b">
        <f ca="1">OR(AND($S60,$I60=Helper!$B$7),$I60&gt;Helper!$B$7)</f>
        <v>1</v>
      </c>
      <c r="CR60" s="21" t="str">
        <f t="shared" ca="1" si="67"/>
        <v/>
      </c>
      <c r="CS60" s="21" cm="1">
        <f t="array" aca="1" ref="CS60" ca="1">CreateID($CS$2,$CV:$CV,$CR60&lt;&gt;"")</f>
        <v>0</v>
      </c>
      <c r="CT60" s="21" t="str">
        <f ca="1">IF(IFERROR(MATCH(","&amp;A60&amp;",",'Risk Treatment'!$AT:$AT,0)&gt;0,FALSE),"",$A60)</f>
        <v/>
      </c>
      <c r="CU60" s="21" cm="1">
        <f t="array" aca="1" ref="CU60" ca="1">CreateID($CU$2,$CU:$CU,$CT60&lt;&gt;"")</f>
        <v>0</v>
      </c>
    </row>
    <row r="61" spans="1:99" x14ac:dyDescent="0.25">
      <c r="A61" s="33" t="str" cm="1">
        <f t="array" aca="1" ref="A61" ca="1">IF($B61="","","R"&amp;RemoveDelimiter(SUBSTITUTE(SUBSTITUTE($K61,"AS",""),",","-"),"-"))</f>
        <v/>
      </c>
      <c r="B61" s="33" t="str" cm="1">
        <f t="array" aca="1" ref="B61" ca="1">IF($L61="","",_xlfn.LET(
_xlpm._finalAttackStep,$L61,
_xlpm._prepAttacks,RemoveFirstElement(_xlpm._finalAttackStep&amp;","&amp;$K61),
_xlpm._prepAttackNames,IFERROR(LookupNames(_xlpm._prepAttacks,'Attack Steps'!$A:$B),""),
_xlpm._delimiter,REPT(CHAR(150),55),
$L61&amp;" "&amp;SimpleLookup($L61,'Attack Steps'!$A:$B)&amp;
IF(_xlpm._prepAttackNames="","",CHAR(10)&amp;_xlpm._delimiter&amp;CHAR(10)&amp;_xlpm._prepAttackNames)))</f>
        <v/>
      </c>
      <c r="C61" s="34" t="str" cm="1">
        <f t="array" aca="1" ref="C61" ca="1">IFERROR(LookupNames($M61,'Damage Scenarios'!$A:$V),"")</f>
        <v/>
      </c>
      <c r="D61" s="33" t="str">
        <f ca="1">IFERROR(IF($T61=0,"",INDEX(Definitions!$Q:$Q,MATCH($T61,Definitions!$R:$R,0))),"")</f>
        <v/>
      </c>
      <c r="E61" s="34" t="str" cm="1">
        <f t="array" aca="1" ref="E61" ca="1">IF($A61="","",_xlfn.LET(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_xlpm._factorFunction($A61,$A:W,Definitions!$Y:$Y,Definitions!$AB:$AB,1)&amp;CHAR(10)&amp;
_xlpm._factorFunction($A61,$A:X,Definitions!$Y:$Y,Definitions!$AB:$AB,2)&amp;CHAR(10)&amp;
_xlpm._factorFunction($A61,$A:Y,Definitions!$Y:$Y,Definitions!$AB:$AB,3)&amp;CHAR(10)&amp;
_xlpm._factorFunction($A61,$A:Z,Definitions!$Y:$Y,Definitions!$AB:$AB,4)&amp;CHAR(10)&amp;
_xlpm._factorFunction($A61,$A:AA,Definitions!$Y:$Y,Definitions!$AB:$AB,5)))</f>
        <v/>
      </c>
      <c r="F61" s="33" t="str">
        <f ca="1">IF($A61="","",IFERROR(VLOOKUP($AG61,Definitions!$V:$W,COLUMNS(Definitions!$V:$W),TRUE),""))</f>
        <v/>
      </c>
      <c r="G61" s="33" t="str">
        <f ca="1">IFERROR(IF(OR($D61="",$F61=""),
"",
VLOOKUP($D61,Definitions!$AH:$AM,MATCH($F61,Definitions!$AH$3:$AM$3,0),FALSE)),
"")</f>
        <v/>
      </c>
      <c r="H61" s="23" cm="1">
        <f t="array" aca="1" ref="H61" ca="1">IF(ROW()=ROW($H$2)+1,0,INDEX($H:$H,ROW()-1))+IF($A61="",0,1)</f>
        <v>0</v>
      </c>
      <c r="I61" s="21" cm="1">
        <f t="array" aca="1" ref="I61" ca="1">IF(ROW()=ROW($I$2)+1,
1,
INDEX($I:$I,ROW()-1)+IF(INDEX($S:$S,ROW()-1),1,0))</f>
        <v>1</v>
      </c>
      <c r="J61" s="21">
        <f t="shared" ca="1" si="63"/>
        <v>59</v>
      </c>
      <c r="K61" s="21" t="str">
        <f t="shared" ca="1" si="68"/>
        <v/>
      </c>
      <c r="L61" s="21" t="str" cm="1">
        <f t="array" aca="1" ref="L61" ca="1">IF($P61="","",INDEX('Attack Steps'!$A:$A,$P61))</f>
        <v/>
      </c>
      <c r="M61" s="21" t="str" cm="1">
        <f t="array" aca="1" ref="M61" ca="1">IF($P61="","",INDEX('Attack Steps'!$T:$T,$P61))</f>
        <v/>
      </c>
      <c r="N61" s="21" t="str" cm="1">
        <f t="array" aca="1" ref="N61" ca="1">_xlfn.LET(_xlpm._dm,SanitizeInput(GetValuesWithFallback(SanitizeInput($AK61),Assumptions!$A:$I,Countermeasures!$A:$I,"",",",FALSE)),
IF(_xlpm._dm="","",","&amp;_xlpm._dm))</f>
        <v/>
      </c>
      <c r="O61" s="21" t="str" cm="1">
        <f t="array" aca="1" ref="O61" ca="1">ApplyDamageMitigation($M61,$N61,"")</f>
        <v/>
      </c>
      <c r="P61" s="21" t="str">
        <f ca="1">IFERROR(MATCH($I61,'Attack Steps'!$V:$V,0),"")</f>
        <v/>
      </c>
      <c r="Q61" s="21" t="str" cm="1">
        <f t="array" aca="1" ref="Q61" ca="1">IF($P61="","","§"&amp;INDEX('Attack Steps'!$S:$S,$P61))</f>
        <v/>
      </c>
      <c r="R61" s="21" t="str" cm="1">
        <f t="array" aca="1" ref="R61" ca="1">IF($P61="","",INDEX('Attack Steps'!$W:$W,$P61))</f>
        <v/>
      </c>
      <c r="S61" s="21" t="b">
        <f t="shared" ca="1" si="69"/>
        <v>0</v>
      </c>
      <c r="T61" s="21" cm="1">
        <f t="array" aca="1" ref="T61" ca="1">_xlfn.LAMBDA(_xlpm._in,_xlpm._val,_xlpm._range,
IF(_xlpm._in="",_xlpm._val,_xlfn.LET(
_xlpm._id,LEFT(_xlpm._in,FIND(",",_xlpm._in)-1),
CalculateMaxFromList(RemoveFirstElement(_xlpm._in),MAX(_xlpm._val,VLOOKUP(_xlpm._id,_xlpm._range,COLUMNS(_xlpm._range),FALSE)),_xlpm._range))))($M61,0,'Damage Scenarios'!$A:$U)</f>
        <v>0</v>
      </c>
      <c r="U61" s="21" cm="1">
        <f t="array" aca="1" ref="U61" ca="1">CalculateMaxFromList($O61,0,'Damage Scenarios'!$A:$U)</f>
        <v>0</v>
      </c>
      <c r="V61" s="21" t="str">
        <f ca="1">IF($U61=0,"",INDEX(Definitions!$Q:$Q,MATCH($U61,Definitions!$R:$R,0)))</f>
        <v/>
      </c>
      <c r="W61" s="21" t="str" cm="1">
        <f t="array" aca="1" ref="W61" ca="1">CalculateMaxAndElements($K61,0,"",'Attack Steps'!$A:X)</f>
        <v>0:</v>
      </c>
      <c r="X61" s="21" t="str" cm="1">
        <f t="array" aca="1" ref="X61" ca="1">CalculateMaxAndElements($K61,0,"",'Attack Steps'!$A:Y)</f>
        <v>0:</v>
      </c>
      <c r="Y61" s="21" t="str" cm="1">
        <f t="array" aca="1" ref="Y61" ca="1">CalculateMaxAndElements($K61,0,"",'Attack Steps'!$A:Z)</f>
        <v>0:</v>
      </c>
      <c r="Z61" s="21" t="str" cm="1">
        <f t="array" aca="1" ref="Z61" ca="1">CalculateMaxAndElements($K61,0,"",'Attack Steps'!$A:AA)</f>
        <v>0:</v>
      </c>
      <c r="AA61" s="21" t="str" cm="1">
        <f t="array" aca="1" ref="AA61" ca="1">CalculateMaxAndElements($K61,0,"",'Attack Steps'!$A:AB)</f>
        <v>0:</v>
      </c>
      <c r="AB61" s="21">
        <f t="shared" ca="1" si="70"/>
        <v>0</v>
      </c>
      <c r="AC61" s="21">
        <f t="shared" ca="1" si="71"/>
        <v>0</v>
      </c>
      <c r="AD61" s="21">
        <f t="shared" ca="1" si="72"/>
        <v>0</v>
      </c>
      <c r="AE61" s="21">
        <f t="shared" ca="1" si="73"/>
        <v>0</v>
      </c>
      <c r="AF61" s="21">
        <f t="shared" ca="1" si="74"/>
        <v>0</v>
      </c>
      <c r="AG61" s="21">
        <f t="shared" ca="1" si="64"/>
        <v>0</v>
      </c>
      <c r="AH61" s="21" t="str" cm="1">
        <f t="array" aca="1" ref="AH61" ca="1">IF(ROW()=ROW($AH$2)+1,"",INDEX($AH:$AH,ROW()-1))&amp;IF($A61="","",$A61&amp;",")</f>
        <v/>
      </c>
      <c r="AI61" s="21" t="str">
        <f t="shared" ca="1" si="75"/>
        <v/>
      </c>
      <c r="AJ61" s="21" cm="1">
        <f t="array" aca="1" ref="AJ61" ca="1">IF($G61="",0,SimpleLookup($G61,Definitions!$AE:$AF))</f>
        <v>0</v>
      </c>
      <c r="AK61" s="21" t="str" cm="1">
        <f t="array" aca="1" ref="AK61" ca="1">InverseLookup($A61,Mitigation!$U$2,Mitigation!$J$2,1,Helper!$B$5,",")</f>
        <v/>
      </c>
      <c r="AL61" s="21" t="str" cm="1">
        <f t="array" aca="1" ref="AL61" ca="1">CalculateMaxAndElementsWithFallback(SanitizeInput($AK61),0,"",Countermeasures!$A:Y,Assumptions!$A:Z)</f>
        <v>0:</v>
      </c>
      <c r="AM61" s="21" t="str" cm="1">
        <f t="array" aca="1" ref="AM61" ca="1">CalculateMaxAndElementsWithFallback(SanitizeInput($AK61),0,"",Countermeasures!$A:Z,Assumptions!$A:AA)</f>
        <v>0:</v>
      </c>
      <c r="AN61" s="21" t="str" cm="1">
        <f t="array" aca="1" ref="AN61" ca="1">CalculateMaxAndElementsWithFallback(SanitizeInput($AK61),0,"",Countermeasures!$A:AA,Assumptions!$A:AB)</f>
        <v>0:</v>
      </c>
      <c r="AO61" s="21" t="str" cm="1">
        <f t="array" aca="1" ref="AO61" ca="1">CalculateMaxAndElementsWithFallback(SanitizeInput($AK61),0,"",Countermeasures!$A:AB,Assumptions!$A:AC)</f>
        <v>0:</v>
      </c>
      <c r="AP61" s="21" t="str" cm="1">
        <f t="array" aca="1" ref="AP61" ca="1">CalculateMaxAndElementsWithFallback(SanitizeInput($AK61),0,"",Countermeasures!$A:AC,Assumptions!$A:AD)</f>
        <v>0:</v>
      </c>
      <c r="AQ61" s="21">
        <f t="shared" ca="1" si="76"/>
        <v>0</v>
      </c>
      <c r="AR61" s="21">
        <f t="shared" ca="1" si="77"/>
        <v>0</v>
      </c>
      <c r="AS61" s="21">
        <f t="shared" ca="1" si="78"/>
        <v>0</v>
      </c>
      <c r="AT61" s="21">
        <f t="shared" ca="1" si="79"/>
        <v>0</v>
      </c>
      <c r="AU61" s="21">
        <f t="shared" ca="1" si="80"/>
        <v>0</v>
      </c>
      <c r="AV61" s="21" t="str">
        <f t="shared" ca="1" si="81"/>
        <v>0:</v>
      </c>
      <c r="AW61" s="21" t="str">
        <f t="shared" ca="1" si="82"/>
        <v>0:</v>
      </c>
      <c r="AX61" s="21" t="str">
        <f t="shared" ca="1" si="83"/>
        <v>0:</v>
      </c>
      <c r="AY61" s="21" t="str">
        <f t="shared" ca="1" si="84"/>
        <v>0:</v>
      </c>
      <c r="AZ61" s="21" t="str">
        <f t="shared" ca="1" si="85"/>
        <v>0:</v>
      </c>
      <c r="BA61" s="21">
        <f t="shared" ca="1" si="86"/>
        <v>0</v>
      </c>
      <c r="BB61" s="21">
        <f t="shared" ca="1" si="87"/>
        <v>0</v>
      </c>
      <c r="BC61" s="21">
        <f t="shared" ca="1" si="88"/>
        <v>0</v>
      </c>
      <c r="BD61" s="21">
        <f t="shared" ca="1" si="89"/>
        <v>0</v>
      </c>
      <c r="BE61" s="21">
        <f t="shared" ca="1" si="90"/>
        <v>0</v>
      </c>
      <c r="BF61" s="21">
        <f t="shared" ca="1" si="65"/>
        <v>0</v>
      </c>
      <c r="BG61" s="21" t="str">
        <f ca="1">IFERROR(VLOOKUP($BF61,Definitions!$V:$W,COLUMNS(Definitions!$V:$W),TRUE),"")</f>
        <v>Basic</v>
      </c>
      <c r="BH61" s="21" t="str">
        <f ca="1">_xlfn.LET(
_xlpm._comments,GetValues($K61,Mitigation!$A:$O,"","",FALSE),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61" s="21" t="str" cm="1">
        <f t="array" aca="1" ref="BI61" ca="1">_xlfn.LET(
_xlpm._rapRange,Definitions!$W:$W,
_xlpm._calculatedRAP,$BG61,
_xlpm._inlineRAP,$BH61,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61" s="21" t="str">
        <f ca="1">IFERROR(IF(OR($V61="",$BI61=""),
Definitions!$AE$4,
VLOOKUP($V61,Definitions!$AH:$AM,MATCH($BI61,Definitions!$AH$3:$AM$3,0),FALSE)),
"")</f>
        <v>No Risk</v>
      </c>
      <c r="BK61" s="21" cm="1">
        <f t="array" aca="1" ref="BK61" ca="1">IF($BJ61="",0,SimpleLookup($BJ61,Definitions!$AE:$AF))</f>
        <v>0</v>
      </c>
      <c r="BL61" s="21" t="str" cm="1">
        <f t="array" aca="1" ref="BL61" ca="1">IFERROR(SimpleLookup($A61,Tracing!$B:$Z),"")</f>
        <v/>
      </c>
      <c r="BM61" s="21" t="str" cm="1">
        <f t="array" aca="1" ref="BM61" ca="1">_xlfn.LET(_xlpm._dm,SanitizeInput(GetValuesWithFallback(SanitizeInput($BL61),Assumptions!$A:$I,Countermeasures!$A:$I,"",",",FALSE)),
IF(_xlpm._dm="","",","&amp;_xlpm._dm))</f>
        <v/>
      </c>
      <c r="BN61" s="21" t="str" cm="1">
        <f t="array" aca="1" ref="BN61" ca="1">ApplyDamageMitigation($M61,$BM61,"")</f>
        <v/>
      </c>
      <c r="BO61" s="21" cm="1">
        <f t="array" aca="1" ref="BO61" ca="1">CalculateMaxFromList($BN61,0,'Damage Scenarios'!$A:$U)</f>
        <v>0</v>
      </c>
      <c r="BP61" s="21" t="str">
        <f ca="1">IF($BO61=0,"",INDEX(Definitions!$Q:$Q,MATCH($BO61,Definitions!$R:$R,0)))</f>
        <v/>
      </c>
      <c r="BQ61" s="21" t="str" cm="1">
        <f t="array" aca="1" ref="BQ61" ca="1">CalculateMaxAndElementsWithFallback(SanitizeInput($BL61),0,"",Countermeasures!$A:Y,Assumptions!$A:Z)</f>
        <v>0:</v>
      </c>
      <c r="BR61" s="21" t="str" cm="1">
        <f t="array" aca="1" ref="BR61" ca="1">CalculateMaxAndElementsWithFallback(SanitizeInput($BL61),0,"",Countermeasures!$A:Z,Assumptions!$A:AA)</f>
        <v>0:</v>
      </c>
      <c r="BS61" s="21" t="str" cm="1">
        <f t="array" aca="1" ref="BS61" ca="1">CalculateMaxAndElementsWithFallback(SanitizeInput($BL61),0,"",Countermeasures!$A:AA,Assumptions!$A:AB)</f>
        <v>0:</v>
      </c>
      <c r="BT61" s="21" t="str" cm="1">
        <f t="array" aca="1" ref="BT61" ca="1">CalculateMaxAndElementsWithFallback(SanitizeInput($BL61),0,"",Countermeasures!$A:AB,Assumptions!$A:AC)</f>
        <v>0:</v>
      </c>
      <c r="BU61" s="21" t="str" cm="1">
        <f t="array" aca="1" ref="BU61" ca="1">CalculateMaxAndElementsWithFallback(SanitizeInput($BL61),0,"",Countermeasures!$A:AC,Assumptions!$A:AD)</f>
        <v>0:</v>
      </c>
      <c r="BV61" s="21">
        <f t="shared" ca="1" si="25"/>
        <v>0</v>
      </c>
      <c r="BW61" s="21">
        <f t="shared" ca="1" si="26"/>
        <v>0</v>
      </c>
      <c r="BX61" s="21">
        <f t="shared" ca="1" si="27"/>
        <v>0</v>
      </c>
      <c r="BY61" s="21">
        <f t="shared" ca="1" si="28"/>
        <v>0</v>
      </c>
      <c r="BZ61" s="21">
        <f t="shared" ca="1" si="29"/>
        <v>0</v>
      </c>
      <c r="CA61" s="21" t="str">
        <f t="shared" ca="1" si="30"/>
        <v>0:</v>
      </c>
      <c r="CB61" s="21" t="str">
        <f t="shared" ca="1" si="31"/>
        <v>0:</v>
      </c>
      <c r="CC61" s="21" t="str">
        <f t="shared" ca="1" si="32"/>
        <v>0:</v>
      </c>
      <c r="CD61" s="21" t="str">
        <f t="shared" ca="1" si="33"/>
        <v>0:</v>
      </c>
      <c r="CE61" s="21" t="str">
        <f t="shared" ca="1" si="34"/>
        <v>0:</v>
      </c>
      <c r="CF61" s="21">
        <f t="shared" ca="1" si="35"/>
        <v>0</v>
      </c>
      <c r="CG61" s="21">
        <f t="shared" ca="1" si="36"/>
        <v>0</v>
      </c>
      <c r="CH61" s="21">
        <f t="shared" ca="1" si="37"/>
        <v>0</v>
      </c>
      <c r="CI61" s="21">
        <f t="shared" ca="1" si="38"/>
        <v>0</v>
      </c>
      <c r="CJ61" s="21">
        <f t="shared" ca="1" si="39"/>
        <v>0</v>
      </c>
      <c r="CK61" s="21">
        <f t="shared" ca="1" si="66"/>
        <v>0</v>
      </c>
      <c r="CL61" s="21" t="str">
        <f ca="1">IFERROR(VLOOKUP($CK61,Definitions!$V:$W,COLUMNS(Definitions!$V:$W),TRUE),"")</f>
        <v>Basic</v>
      </c>
      <c r="CM61" s="21" t="str">
        <f ca="1">_xlfn.LET(
_xlpm._comments,SimpleLookup($A61,Tracing!$B:$AB),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61" s="21" t="str" cm="1">
        <f t="array" aca="1" ref="CN61" ca="1">_xlfn.LET(
_xlpm._rapRange,Definitions!$W:$W,
_xlpm._calculatedRAP,$CL61,
_xlpm._inlineRAP,$CM61,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61" s="21" t="str">
        <f ca="1">IFERROR(IF(OR($BP61="",$CN61=""),
Definitions!$AE$4,
VLOOKUP($BP61,Definitions!$AH:$AM,MATCH($CN61,Definitions!$AH$3:$AM$3,0),FALSE)),
"")</f>
        <v>No Risk</v>
      </c>
      <c r="CP61" s="21" cm="1">
        <f t="array" aca="1" ref="CP61" ca="1">IF($CO61="",0,SimpleLookup($CO61,Definitions!$AE:$AF))</f>
        <v>0</v>
      </c>
      <c r="CQ61" s="21" t="b">
        <f ca="1">OR(AND($S61,$I61=Helper!$B$7),$I61&gt;Helper!$B$7)</f>
        <v>1</v>
      </c>
      <c r="CR61" s="21" t="str">
        <f t="shared" ca="1" si="67"/>
        <v/>
      </c>
      <c r="CS61" s="21" cm="1">
        <f t="array" aca="1" ref="CS61" ca="1">CreateID($CS$2,$CV:$CV,$CR61&lt;&gt;"")</f>
        <v>0</v>
      </c>
      <c r="CT61" s="21" t="str">
        <f ca="1">IF(IFERROR(MATCH(","&amp;A61&amp;",",'Risk Treatment'!$AT:$AT,0)&gt;0,FALSE),"",$A61)</f>
        <v/>
      </c>
      <c r="CU61" s="21" cm="1">
        <f t="array" aca="1" ref="CU61" ca="1">CreateID($CU$2,$CU:$CU,$CT61&lt;&gt;"")</f>
        <v>0</v>
      </c>
    </row>
    <row r="62" spans="1:99" x14ac:dyDescent="0.25">
      <c r="A62" s="33" t="str" cm="1">
        <f t="array" aca="1" ref="A62" ca="1">IF($B62="","","R"&amp;RemoveDelimiter(SUBSTITUTE(SUBSTITUTE($K62,"AS",""),",","-"),"-"))</f>
        <v/>
      </c>
      <c r="B62" s="33" t="str" cm="1">
        <f t="array" aca="1" ref="B62" ca="1">IF($L62="","",_xlfn.LET(
_xlpm._finalAttackStep,$L62,
_xlpm._prepAttacks,RemoveFirstElement(_xlpm._finalAttackStep&amp;","&amp;$K62),
_xlpm._prepAttackNames,IFERROR(LookupNames(_xlpm._prepAttacks,'Attack Steps'!$A:$B),""),
_xlpm._delimiter,REPT(CHAR(150),55),
$L62&amp;" "&amp;SimpleLookup($L62,'Attack Steps'!$A:$B)&amp;
IF(_xlpm._prepAttackNames="","",CHAR(10)&amp;_xlpm._delimiter&amp;CHAR(10)&amp;_xlpm._prepAttackNames)))</f>
        <v/>
      </c>
      <c r="C62" s="34" t="str" cm="1">
        <f t="array" aca="1" ref="C62" ca="1">IFERROR(LookupNames($M62,'Damage Scenarios'!$A:$V),"")</f>
        <v/>
      </c>
      <c r="D62" s="33" t="str">
        <f ca="1">IFERROR(IF($T62=0,"",INDEX(Definitions!$Q:$Q,MATCH($T62,Definitions!$R:$R,0))),"")</f>
        <v/>
      </c>
      <c r="E62" s="34" t="str" cm="1">
        <f t="array" aca="1" ref="E62" ca="1">IF($A62="","",_xlfn.LET(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_xlpm._factorFunction($A62,$A:W,Definitions!$Y:$Y,Definitions!$AB:$AB,1)&amp;CHAR(10)&amp;
_xlpm._factorFunction($A62,$A:X,Definitions!$Y:$Y,Definitions!$AB:$AB,2)&amp;CHAR(10)&amp;
_xlpm._factorFunction($A62,$A:Y,Definitions!$Y:$Y,Definitions!$AB:$AB,3)&amp;CHAR(10)&amp;
_xlpm._factorFunction($A62,$A:Z,Definitions!$Y:$Y,Definitions!$AB:$AB,4)&amp;CHAR(10)&amp;
_xlpm._factorFunction($A62,$A:AA,Definitions!$Y:$Y,Definitions!$AB:$AB,5)))</f>
        <v/>
      </c>
      <c r="F62" s="33" t="str">
        <f ca="1">IF($A62="","",IFERROR(VLOOKUP($AG62,Definitions!$V:$W,COLUMNS(Definitions!$V:$W),TRUE),""))</f>
        <v/>
      </c>
      <c r="G62" s="33" t="str">
        <f ca="1">IFERROR(IF(OR($D62="",$F62=""),
"",
VLOOKUP($D62,Definitions!$AH:$AM,MATCH($F62,Definitions!$AH$3:$AM$3,0),FALSE)),
"")</f>
        <v/>
      </c>
      <c r="H62" s="23" cm="1">
        <f t="array" aca="1" ref="H62" ca="1">IF(ROW()=ROW($H$2)+1,0,INDEX($H:$H,ROW()-1))+IF($A62="",0,1)</f>
        <v>0</v>
      </c>
      <c r="I62" s="21" cm="1">
        <f t="array" aca="1" ref="I62" ca="1">IF(ROW()=ROW($I$2)+1,
1,
INDEX($I:$I,ROW()-1)+IF(INDEX($S:$S,ROW()-1),1,0))</f>
        <v>1</v>
      </c>
      <c r="J62" s="21">
        <f t="shared" ca="1" si="63"/>
        <v>60</v>
      </c>
      <c r="K62" s="21" t="str">
        <f t="shared" ca="1" si="68"/>
        <v/>
      </c>
      <c r="L62" s="21" t="str" cm="1">
        <f t="array" aca="1" ref="L62" ca="1">IF($P62="","",INDEX('Attack Steps'!$A:$A,$P62))</f>
        <v/>
      </c>
      <c r="M62" s="21" t="str" cm="1">
        <f t="array" aca="1" ref="M62" ca="1">IF($P62="","",INDEX('Attack Steps'!$T:$T,$P62))</f>
        <v/>
      </c>
      <c r="N62" s="21" t="str" cm="1">
        <f t="array" aca="1" ref="N62" ca="1">_xlfn.LET(_xlpm._dm,SanitizeInput(GetValuesWithFallback(SanitizeInput($AK62),Assumptions!$A:$I,Countermeasures!$A:$I,"",",",FALSE)),
IF(_xlpm._dm="","",","&amp;_xlpm._dm))</f>
        <v/>
      </c>
      <c r="O62" s="21" t="str" cm="1">
        <f t="array" aca="1" ref="O62" ca="1">ApplyDamageMitigation($M62,$N62,"")</f>
        <v/>
      </c>
      <c r="P62" s="21" t="str">
        <f ca="1">IFERROR(MATCH($I62,'Attack Steps'!$V:$V,0),"")</f>
        <v/>
      </c>
      <c r="Q62" s="21" t="str" cm="1">
        <f t="array" aca="1" ref="Q62" ca="1">IF($P62="","","§"&amp;INDEX('Attack Steps'!$S:$S,$P62))</f>
        <v/>
      </c>
      <c r="R62" s="21" t="str" cm="1">
        <f t="array" aca="1" ref="R62" ca="1">IF($P62="","",INDEX('Attack Steps'!$W:$W,$P62))</f>
        <v/>
      </c>
      <c r="S62" s="21" t="b">
        <f t="shared" ca="1" si="69"/>
        <v>0</v>
      </c>
      <c r="T62" s="21" cm="1">
        <f t="array" aca="1" ref="T62" ca="1">_xlfn.LAMBDA(_xlpm._in,_xlpm._val,_xlpm._range,
IF(_xlpm._in="",_xlpm._val,_xlfn.LET(
_xlpm._id,LEFT(_xlpm._in,FIND(",",_xlpm._in)-1),
CalculateMaxFromList(RemoveFirstElement(_xlpm._in),MAX(_xlpm._val,VLOOKUP(_xlpm._id,_xlpm._range,COLUMNS(_xlpm._range),FALSE)),_xlpm._range))))($M62,0,'Damage Scenarios'!$A:$U)</f>
        <v>0</v>
      </c>
      <c r="U62" s="21" cm="1">
        <f t="array" aca="1" ref="U62" ca="1">CalculateMaxFromList($O62,0,'Damage Scenarios'!$A:$U)</f>
        <v>0</v>
      </c>
      <c r="V62" s="21" t="str">
        <f ca="1">IF($U62=0,"",INDEX(Definitions!$Q:$Q,MATCH($U62,Definitions!$R:$R,0)))</f>
        <v/>
      </c>
      <c r="W62" s="21" t="str" cm="1">
        <f t="array" aca="1" ref="W62" ca="1">CalculateMaxAndElements($K62,0,"",'Attack Steps'!$A:X)</f>
        <v>0:</v>
      </c>
      <c r="X62" s="21" t="str" cm="1">
        <f t="array" aca="1" ref="X62" ca="1">CalculateMaxAndElements($K62,0,"",'Attack Steps'!$A:Y)</f>
        <v>0:</v>
      </c>
      <c r="Y62" s="21" t="str" cm="1">
        <f t="array" aca="1" ref="Y62" ca="1">CalculateMaxAndElements($K62,0,"",'Attack Steps'!$A:Z)</f>
        <v>0:</v>
      </c>
      <c r="Z62" s="21" t="str" cm="1">
        <f t="array" aca="1" ref="Z62" ca="1">CalculateMaxAndElements($K62,0,"",'Attack Steps'!$A:AA)</f>
        <v>0:</v>
      </c>
      <c r="AA62" s="21" t="str" cm="1">
        <f t="array" aca="1" ref="AA62" ca="1">CalculateMaxAndElements($K62,0,"",'Attack Steps'!$A:AB)</f>
        <v>0:</v>
      </c>
      <c r="AB62" s="21">
        <f t="shared" ca="1" si="70"/>
        <v>0</v>
      </c>
      <c r="AC62" s="21">
        <f t="shared" ca="1" si="71"/>
        <v>0</v>
      </c>
      <c r="AD62" s="21">
        <f t="shared" ca="1" si="72"/>
        <v>0</v>
      </c>
      <c r="AE62" s="21">
        <f t="shared" ca="1" si="73"/>
        <v>0</v>
      </c>
      <c r="AF62" s="21">
        <f t="shared" ca="1" si="74"/>
        <v>0</v>
      </c>
      <c r="AG62" s="21">
        <f t="shared" ca="1" si="64"/>
        <v>0</v>
      </c>
      <c r="AH62" s="21" t="str" cm="1">
        <f t="array" aca="1" ref="AH62" ca="1">IF(ROW()=ROW($AH$2)+1,"",INDEX($AH:$AH,ROW()-1))&amp;IF($A62="","",$A62&amp;",")</f>
        <v/>
      </c>
      <c r="AI62" s="21" t="str">
        <f t="shared" ca="1" si="75"/>
        <v/>
      </c>
      <c r="AJ62" s="21" cm="1">
        <f t="array" aca="1" ref="AJ62" ca="1">IF($G62="",0,SimpleLookup($G62,Definitions!$AE:$AF))</f>
        <v>0</v>
      </c>
      <c r="AK62" s="21" t="str" cm="1">
        <f t="array" aca="1" ref="AK62" ca="1">InverseLookup($A62,Mitigation!$U$2,Mitigation!$J$2,1,Helper!$B$5,",")</f>
        <v/>
      </c>
      <c r="AL62" s="21" t="str" cm="1">
        <f t="array" aca="1" ref="AL62" ca="1">CalculateMaxAndElementsWithFallback(SanitizeInput($AK62),0,"",Countermeasures!$A:Y,Assumptions!$A:Z)</f>
        <v>0:</v>
      </c>
      <c r="AM62" s="21" t="str" cm="1">
        <f t="array" aca="1" ref="AM62" ca="1">CalculateMaxAndElementsWithFallback(SanitizeInput($AK62),0,"",Countermeasures!$A:Z,Assumptions!$A:AA)</f>
        <v>0:</v>
      </c>
      <c r="AN62" s="21" t="str" cm="1">
        <f t="array" aca="1" ref="AN62" ca="1">CalculateMaxAndElementsWithFallback(SanitizeInput($AK62),0,"",Countermeasures!$A:AA,Assumptions!$A:AB)</f>
        <v>0:</v>
      </c>
      <c r="AO62" s="21" t="str" cm="1">
        <f t="array" aca="1" ref="AO62" ca="1">CalculateMaxAndElementsWithFallback(SanitizeInput($AK62),0,"",Countermeasures!$A:AB,Assumptions!$A:AC)</f>
        <v>0:</v>
      </c>
      <c r="AP62" s="21" t="str" cm="1">
        <f t="array" aca="1" ref="AP62" ca="1">CalculateMaxAndElementsWithFallback(SanitizeInput($AK62),0,"",Countermeasures!$A:AC,Assumptions!$A:AD)</f>
        <v>0:</v>
      </c>
      <c r="AQ62" s="21">
        <f t="shared" ca="1" si="76"/>
        <v>0</v>
      </c>
      <c r="AR62" s="21">
        <f t="shared" ca="1" si="77"/>
        <v>0</v>
      </c>
      <c r="AS62" s="21">
        <f t="shared" ca="1" si="78"/>
        <v>0</v>
      </c>
      <c r="AT62" s="21">
        <f t="shared" ca="1" si="79"/>
        <v>0</v>
      </c>
      <c r="AU62" s="21">
        <f t="shared" ca="1" si="80"/>
        <v>0</v>
      </c>
      <c r="AV62" s="21" t="str">
        <f t="shared" ca="1" si="81"/>
        <v>0:</v>
      </c>
      <c r="AW62" s="21" t="str">
        <f t="shared" ca="1" si="82"/>
        <v>0:</v>
      </c>
      <c r="AX62" s="21" t="str">
        <f t="shared" ca="1" si="83"/>
        <v>0:</v>
      </c>
      <c r="AY62" s="21" t="str">
        <f t="shared" ca="1" si="84"/>
        <v>0:</v>
      </c>
      <c r="AZ62" s="21" t="str">
        <f t="shared" ca="1" si="85"/>
        <v>0:</v>
      </c>
      <c r="BA62" s="21">
        <f t="shared" ca="1" si="86"/>
        <v>0</v>
      </c>
      <c r="BB62" s="21">
        <f t="shared" ca="1" si="87"/>
        <v>0</v>
      </c>
      <c r="BC62" s="21">
        <f t="shared" ca="1" si="88"/>
        <v>0</v>
      </c>
      <c r="BD62" s="21">
        <f t="shared" ca="1" si="89"/>
        <v>0</v>
      </c>
      <c r="BE62" s="21">
        <f t="shared" ca="1" si="90"/>
        <v>0</v>
      </c>
      <c r="BF62" s="21">
        <f t="shared" ca="1" si="65"/>
        <v>0</v>
      </c>
      <c r="BG62" s="21" t="str">
        <f ca="1">IFERROR(VLOOKUP($BF62,Definitions!$V:$W,COLUMNS(Definitions!$V:$W),TRUE),"")</f>
        <v>Basic</v>
      </c>
      <c r="BH62" s="21" t="str">
        <f ca="1">_xlfn.LET(
_xlpm._comments,GetValues($K62,Mitigation!$A:$O,"","",FALSE),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62" s="21" t="str" cm="1">
        <f t="array" aca="1" ref="BI62" ca="1">_xlfn.LET(
_xlpm._rapRange,Definitions!$W:$W,
_xlpm._calculatedRAP,$BG62,
_xlpm._inlineRAP,$BH62,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62" s="21" t="str">
        <f ca="1">IFERROR(IF(OR($V62="",$BI62=""),
Definitions!$AE$4,
VLOOKUP($V62,Definitions!$AH:$AM,MATCH($BI62,Definitions!$AH$3:$AM$3,0),FALSE)),
"")</f>
        <v>No Risk</v>
      </c>
      <c r="BK62" s="21" cm="1">
        <f t="array" aca="1" ref="BK62" ca="1">IF($BJ62="",0,SimpleLookup($BJ62,Definitions!$AE:$AF))</f>
        <v>0</v>
      </c>
      <c r="BL62" s="21" t="str" cm="1">
        <f t="array" aca="1" ref="BL62" ca="1">IFERROR(SimpleLookup($A62,Tracing!$B:$Z),"")</f>
        <v/>
      </c>
      <c r="BM62" s="21" t="str" cm="1">
        <f t="array" aca="1" ref="BM62" ca="1">_xlfn.LET(_xlpm._dm,SanitizeInput(GetValuesWithFallback(SanitizeInput($BL62),Assumptions!$A:$I,Countermeasures!$A:$I,"",",",FALSE)),
IF(_xlpm._dm="","",","&amp;_xlpm._dm))</f>
        <v/>
      </c>
      <c r="BN62" s="21" t="str" cm="1">
        <f t="array" aca="1" ref="BN62" ca="1">ApplyDamageMitigation($M62,$BM62,"")</f>
        <v/>
      </c>
      <c r="BO62" s="21" cm="1">
        <f t="array" aca="1" ref="BO62" ca="1">CalculateMaxFromList($BN62,0,'Damage Scenarios'!$A:$U)</f>
        <v>0</v>
      </c>
      <c r="BP62" s="21" t="str">
        <f ca="1">IF($BO62=0,"",INDEX(Definitions!$Q:$Q,MATCH($BO62,Definitions!$R:$R,0)))</f>
        <v/>
      </c>
      <c r="BQ62" s="21" t="str" cm="1">
        <f t="array" aca="1" ref="BQ62" ca="1">CalculateMaxAndElementsWithFallback(SanitizeInput($BL62),0,"",Countermeasures!$A:Y,Assumptions!$A:Z)</f>
        <v>0:</v>
      </c>
      <c r="BR62" s="21" t="str" cm="1">
        <f t="array" aca="1" ref="BR62" ca="1">CalculateMaxAndElementsWithFallback(SanitizeInput($BL62),0,"",Countermeasures!$A:Z,Assumptions!$A:AA)</f>
        <v>0:</v>
      </c>
      <c r="BS62" s="21" t="str" cm="1">
        <f t="array" aca="1" ref="BS62" ca="1">CalculateMaxAndElementsWithFallback(SanitizeInput($BL62),0,"",Countermeasures!$A:AA,Assumptions!$A:AB)</f>
        <v>0:</v>
      </c>
      <c r="BT62" s="21" t="str" cm="1">
        <f t="array" aca="1" ref="BT62" ca="1">CalculateMaxAndElementsWithFallback(SanitizeInput($BL62),0,"",Countermeasures!$A:AB,Assumptions!$A:AC)</f>
        <v>0:</v>
      </c>
      <c r="BU62" s="21" t="str" cm="1">
        <f t="array" aca="1" ref="BU62" ca="1">CalculateMaxAndElementsWithFallback(SanitizeInput($BL62),0,"",Countermeasures!$A:AC,Assumptions!$A:AD)</f>
        <v>0:</v>
      </c>
      <c r="BV62" s="21">
        <f t="shared" ca="1" si="25"/>
        <v>0</v>
      </c>
      <c r="BW62" s="21">
        <f t="shared" ca="1" si="26"/>
        <v>0</v>
      </c>
      <c r="BX62" s="21">
        <f t="shared" ca="1" si="27"/>
        <v>0</v>
      </c>
      <c r="BY62" s="21">
        <f t="shared" ca="1" si="28"/>
        <v>0</v>
      </c>
      <c r="BZ62" s="21">
        <f t="shared" ca="1" si="29"/>
        <v>0</v>
      </c>
      <c r="CA62" s="21" t="str">
        <f t="shared" ca="1" si="30"/>
        <v>0:</v>
      </c>
      <c r="CB62" s="21" t="str">
        <f t="shared" ca="1" si="31"/>
        <v>0:</v>
      </c>
      <c r="CC62" s="21" t="str">
        <f t="shared" ca="1" si="32"/>
        <v>0:</v>
      </c>
      <c r="CD62" s="21" t="str">
        <f t="shared" ca="1" si="33"/>
        <v>0:</v>
      </c>
      <c r="CE62" s="21" t="str">
        <f t="shared" ca="1" si="34"/>
        <v>0:</v>
      </c>
      <c r="CF62" s="21">
        <f t="shared" ca="1" si="35"/>
        <v>0</v>
      </c>
      <c r="CG62" s="21">
        <f t="shared" ca="1" si="36"/>
        <v>0</v>
      </c>
      <c r="CH62" s="21">
        <f t="shared" ca="1" si="37"/>
        <v>0</v>
      </c>
      <c r="CI62" s="21">
        <f t="shared" ca="1" si="38"/>
        <v>0</v>
      </c>
      <c r="CJ62" s="21">
        <f t="shared" ca="1" si="39"/>
        <v>0</v>
      </c>
      <c r="CK62" s="21">
        <f t="shared" ca="1" si="66"/>
        <v>0</v>
      </c>
      <c r="CL62" s="21" t="str">
        <f ca="1">IFERROR(VLOOKUP($CK62,Definitions!$V:$W,COLUMNS(Definitions!$V:$W),TRUE),"")</f>
        <v>Basic</v>
      </c>
      <c r="CM62" s="21" t="str">
        <f ca="1">_xlfn.LET(
_xlpm._comments,SimpleLookup($A62,Tracing!$B:$AB),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62" s="21" t="str" cm="1">
        <f t="array" aca="1" ref="CN62" ca="1">_xlfn.LET(
_xlpm._rapRange,Definitions!$W:$W,
_xlpm._calculatedRAP,$CL62,
_xlpm._inlineRAP,$CM62,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62" s="21" t="str">
        <f ca="1">IFERROR(IF(OR($BP62="",$CN62=""),
Definitions!$AE$4,
VLOOKUP($BP62,Definitions!$AH:$AM,MATCH($CN62,Definitions!$AH$3:$AM$3,0),FALSE)),
"")</f>
        <v>No Risk</v>
      </c>
      <c r="CP62" s="21" cm="1">
        <f t="array" aca="1" ref="CP62" ca="1">IF($CO62="",0,SimpleLookup($CO62,Definitions!$AE:$AF))</f>
        <v>0</v>
      </c>
      <c r="CQ62" s="21" t="b">
        <f ca="1">OR(AND($S62,$I62=Helper!$B$7),$I62&gt;Helper!$B$7)</f>
        <v>1</v>
      </c>
      <c r="CR62" s="21" t="str">
        <f t="shared" ca="1" si="67"/>
        <v/>
      </c>
      <c r="CS62" s="21" cm="1">
        <f t="array" aca="1" ref="CS62" ca="1">CreateID($CS$2,$CV:$CV,$CR62&lt;&gt;"")</f>
        <v>0</v>
      </c>
      <c r="CT62" s="21" t="str">
        <f ca="1">IF(IFERROR(MATCH(","&amp;A62&amp;",",'Risk Treatment'!$AT:$AT,0)&gt;0,FALSE),"",$A62)</f>
        <v/>
      </c>
      <c r="CU62" s="21" cm="1">
        <f t="array" aca="1" ref="CU62" ca="1">CreateID($CU$2,$CU:$CU,$CT62&lt;&gt;"")</f>
        <v>0</v>
      </c>
    </row>
    <row r="63" spans="1:99" x14ac:dyDescent="0.25">
      <c r="A63" s="33" t="str" cm="1">
        <f t="array" aca="1" ref="A63" ca="1">IF($B63="","","R"&amp;RemoveDelimiter(SUBSTITUTE(SUBSTITUTE($K63,"AS",""),",","-"),"-"))</f>
        <v/>
      </c>
      <c r="B63" s="33" t="str" cm="1">
        <f t="array" aca="1" ref="B63" ca="1">IF($L63="","",_xlfn.LET(
_xlpm._finalAttackStep,$L63,
_xlpm._prepAttacks,RemoveFirstElement(_xlpm._finalAttackStep&amp;","&amp;$K63),
_xlpm._prepAttackNames,IFERROR(LookupNames(_xlpm._prepAttacks,'Attack Steps'!$A:$B),""),
_xlpm._delimiter,REPT(CHAR(150),55),
$L63&amp;" "&amp;SimpleLookup($L63,'Attack Steps'!$A:$B)&amp;
IF(_xlpm._prepAttackNames="","",CHAR(10)&amp;_xlpm._delimiter&amp;CHAR(10)&amp;_xlpm._prepAttackNames)))</f>
        <v/>
      </c>
      <c r="C63" s="34" t="str" cm="1">
        <f t="array" aca="1" ref="C63" ca="1">IFERROR(LookupNames($M63,'Damage Scenarios'!$A:$V),"")</f>
        <v/>
      </c>
      <c r="D63" s="33" t="str">
        <f ca="1">IFERROR(IF($T63=0,"",INDEX(Definitions!$Q:$Q,MATCH($T63,Definitions!$R:$R,0))),"")</f>
        <v/>
      </c>
      <c r="E63" s="34" t="str" cm="1">
        <f t="array" aca="1" ref="E63" ca="1">IF($A63="","",_xlfn.LET(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_xlpm._factorFunction($A63,$A:W,Definitions!$Y:$Y,Definitions!$AB:$AB,1)&amp;CHAR(10)&amp;
_xlpm._factorFunction($A63,$A:X,Definitions!$Y:$Y,Definitions!$AB:$AB,2)&amp;CHAR(10)&amp;
_xlpm._factorFunction($A63,$A:Y,Definitions!$Y:$Y,Definitions!$AB:$AB,3)&amp;CHAR(10)&amp;
_xlpm._factorFunction($A63,$A:Z,Definitions!$Y:$Y,Definitions!$AB:$AB,4)&amp;CHAR(10)&amp;
_xlpm._factorFunction($A63,$A:AA,Definitions!$Y:$Y,Definitions!$AB:$AB,5)))</f>
        <v/>
      </c>
      <c r="F63" s="33" t="str">
        <f ca="1">IF($A63="","",IFERROR(VLOOKUP($AG63,Definitions!$V:$W,COLUMNS(Definitions!$V:$W),TRUE),""))</f>
        <v/>
      </c>
      <c r="G63" s="33" t="str">
        <f ca="1">IFERROR(IF(OR($D63="",$F63=""),
"",
VLOOKUP($D63,Definitions!$AH:$AM,MATCH($F63,Definitions!$AH$3:$AM$3,0),FALSE)),
"")</f>
        <v/>
      </c>
      <c r="H63" s="23" cm="1">
        <f t="array" aca="1" ref="H63" ca="1">IF(ROW()=ROW($H$2)+1,0,INDEX($H:$H,ROW()-1))+IF($A63="",0,1)</f>
        <v>0</v>
      </c>
      <c r="I63" s="21" cm="1">
        <f t="array" aca="1" ref="I63" ca="1">IF(ROW()=ROW($I$2)+1,
1,
INDEX($I:$I,ROW()-1)+IF(INDEX($S:$S,ROW()-1),1,0))</f>
        <v>1</v>
      </c>
      <c r="J63" s="21">
        <f t="shared" ca="1" si="63"/>
        <v>61</v>
      </c>
      <c r="K63" s="21" t="str">
        <f t="shared" ca="1" si="68"/>
        <v/>
      </c>
      <c r="L63" s="21" t="str" cm="1">
        <f t="array" aca="1" ref="L63" ca="1">IF($P63="","",INDEX('Attack Steps'!$A:$A,$P63))</f>
        <v/>
      </c>
      <c r="M63" s="21" t="str" cm="1">
        <f t="array" aca="1" ref="M63" ca="1">IF($P63="","",INDEX('Attack Steps'!$T:$T,$P63))</f>
        <v/>
      </c>
      <c r="N63" s="21" t="str" cm="1">
        <f t="array" aca="1" ref="N63" ca="1">_xlfn.LET(_xlpm._dm,SanitizeInput(GetValuesWithFallback(SanitizeInput($AK63),Assumptions!$A:$I,Countermeasures!$A:$I,"",",",FALSE)),
IF(_xlpm._dm="","",","&amp;_xlpm._dm))</f>
        <v/>
      </c>
      <c r="O63" s="21" t="str" cm="1">
        <f t="array" aca="1" ref="O63" ca="1">ApplyDamageMitigation($M63,$N63,"")</f>
        <v/>
      </c>
      <c r="P63" s="21" t="str">
        <f ca="1">IFERROR(MATCH($I63,'Attack Steps'!$V:$V,0),"")</f>
        <v/>
      </c>
      <c r="Q63" s="21" t="str" cm="1">
        <f t="array" aca="1" ref="Q63" ca="1">IF($P63="","","§"&amp;INDEX('Attack Steps'!$S:$S,$P63))</f>
        <v/>
      </c>
      <c r="R63" s="21" t="str" cm="1">
        <f t="array" aca="1" ref="R63" ca="1">IF($P63="","",INDEX('Attack Steps'!$W:$W,$P63))</f>
        <v/>
      </c>
      <c r="S63" s="21" t="b">
        <f t="shared" ca="1" si="69"/>
        <v>0</v>
      </c>
      <c r="T63" s="21" cm="1">
        <f t="array" aca="1" ref="T63" ca="1">_xlfn.LAMBDA(_xlpm._in,_xlpm._val,_xlpm._range,
IF(_xlpm._in="",_xlpm._val,_xlfn.LET(
_xlpm._id,LEFT(_xlpm._in,FIND(",",_xlpm._in)-1),
CalculateMaxFromList(RemoveFirstElement(_xlpm._in),MAX(_xlpm._val,VLOOKUP(_xlpm._id,_xlpm._range,COLUMNS(_xlpm._range),FALSE)),_xlpm._range))))($M63,0,'Damage Scenarios'!$A:$U)</f>
        <v>0</v>
      </c>
      <c r="U63" s="21" cm="1">
        <f t="array" aca="1" ref="U63" ca="1">CalculateMaxFromList($O63,0,'Damage Scenarios'!$A:$U)</f>
        <v>0</v>
      </c>
      <c r="V63" s="21" t="str">
        <f ca="1">IF($U63=0,"",INDEX(Definitions!$Q:$Q,MATCH($U63,Definitions!$R:$R,0)))</f>
        <v/>
      </c>
      <c r="W63" s="21" t="str" cm="1">
        <f t="array" aca="1" ref="W63" ca="1">CalculateMaxAndElements($K63,0,"",'Attack Steps'!$A:X)</f>
        <v>0:</v>
      </c>
      <c r="X63" s="21" t="str" cm="1">
        <f t="array" aca="1" ref="X63" ca="1">CalculateMaxAndElements($K63,0,"",'Attack Steps'!$A:Y)</f>
        <v>0:</v>
      </c>
      <c r="Y63" s="21" t="str" cm="1">
        <f t="array" aca="1" ref="Y63" ca="1">CalculateMaxAndElements($K63,0,"",'Attack Steps'!$A:Z)</f>
        <v>0:</v>
      </c>
      <c r="Z63" s="21" t="str" cm="1">
        <f t="array" aca="1" ref="Z63" ca="1">CalculateMaxAndElements($K63,0,"",'Attack Steps'!$A:AA)</f>
        <v>0:</v>
      </c>
      <c r="AA63" s="21" t="str" cm="1">
        <f t="array" aca="1" ref="AA63" ca="1">CalculateMaxAndElements($K63,0,"",'Attack Steps'!$A:AB)</f>
        <v>0:</v>
      </c>
      <c r="AB63" s="21">
        <f t="shared" ca="1" si="70"/>
        <v>0</v>
      </c>
      <c r="AC63" s="21">
        <f t="shared" ca="1" si="71"/>
        <v>0</v>
      </c>
      <c r="AD63" s="21">
        <f t="shared" ca="1" si="72"/>
        <v>0</v>
      </c>
      <c r="AE63" s="21">
        <f t="shared" ca="1" si="73"/>
        <v>0</v>
      </c>
      <c r="AF63" s="21">
        <f t="shared" ca="1" si="74"/>
        <v>0</v>
      </c>
      <c r="AG63" s="21">
        <f t="shared" ca="1" si="64"/>
        <v>0</v>
      </c>
      <c r="AH63" s="21" t="str" cm="1">
        <f t="array" aca="1" ref="AH63" ca="1">IF(ROW()=ROW($AH$2)+1,"",INDEX($AH:$AH,ROW()-1))&amp;IF($A63="","",$A63&amp;",")</f>
        <v/>
      </c>
      <c r="AI63" s="21" t="str">
        <f t="shared" ca="1" si="75"/>
        <v/>
      </c>
      <c r="AJ63" s="21" cm="1">
        <f t="array" aca="1" ref="AJ63" ca="1">IF($G63="",0,SimpleLookup($G63,Definitions!$AE:$AF))</f>
        <v>0</v>
      </c>
      <c r="AK63" s="21" t="str" cm="1">
        <f t="array" aca="1" ref="AK63" ca="1">InverseLookup($A63,Mitigation!$U$2,Mitigation!$J$2,1,Helper!$B$5,",")</f>
        <v/>
      </c>
      <c r="AL63" s="21" t="str" cm="1">
        <f t="array" aca="1" ref="AL63" ca="1">CalculateMaxAndElementsWithFallback(SanitizeInput($AK63),0,"",Countermeasures!$A:Y,Assumptions!$A:Z)</f>
        <v>0:</v>
      </c>
      <c r="AM63" s="21" t="str" cm="1">
        <f t="array" aca="1" ref="AM63" ca="1">CalculateMaxAndElementsWithFallback(SanitizeInput($AK63),0,"",Countermeasures!$A:Z,Assumptions!$A:AA)</f>
        <v>0:</v>
      </c>
      <c r="AN63" s="21" t="str" cm="1">
        <f t="array" aca="1" ref="AN63" ca="1">CalculateMaxAndElementsWithFallback(SanitizeInput($AK63),0,"",Countermeasures!$A:AA,Assumptions!$A:AB)</f>
        <v>0:</v>
      </c>
      <c r="AO63" s="21" t="str" cm="1">
        <f t="array" aca="1" ref="AO63" ca="1">CalculateMaxAndElementsWithFallback(SanitizeInput($AK63),0,"",Countermeasures!$A:AB,Assumptions!$A:AC)</f>
        <v>0:</v>
      </c>
      <c r="AP63" s="21" t="str" cm="1">
        <f t="array" aca="1" ref="AP63" ca="1">CalculateMaxAndElementsWithFallback(SanitizeInput($AK63),0,"",Countermeasures!$A:AC,Assumptions!$A:AD)</f>
        <v>0:</v>
      </c>
      <c r="AQ63" s="21">
        <f t="shared" ca="1" si="76"/>
        <v>0</v>
      </c>
      <c r="AR63" s="21">
        <f t="shared" ca="1" si="77"/>
        <v>0</v>
      </c>
      <c r="AS63" s="21">
        <f t="shared" ca="1" si="78"/>
        <v>0</v>
      </c>
      <c r="AT63" s="21">
        <f t="shared" ca="1" si="79"/>
        <v>0</v>
      </c>
      <c r="AU63" s="21">
        <f t="shared" ca="1" si="80"/>
        <v>0</v>
      </c>
      <c r="AV63" s="21" t="str">
        <f t="shared" ca="1" si="81"/>
        <v>0:</v>
      </c>
      <c r="AW63" s="21" t="str">
        <f t="shared" ca="1" si="82"/>
        <v>0:</v>
      </c>
      <c r="AX63" s="21" t="str">
        <f t="shared" ca="1" si="83"/>
        <v>0:</v>
      </c>
      <c r="AY63" s="21" t="str">
        <f t="shared" ca="1" si="84"/>
        <v>0:</v>
      </c>
      <c r="AZ63" s="21" t="str">
        <f t="shared" ca="1" si="85"/>
        <v>0:</v>
      </c>
      <c r="BA63" s="21">
        <f t="shared" ca="1" si="86"/>
        <v>0</v>
      </c>
      <c r="BB63" s="21">
        <f t="shared" ca="1" si="87"/>
        <v>0</v>
      </c>
      <c r="BC63" s="21">
        <f t="shared" ca="1" si="88"/>
        <v>0</v>
      </c>
      <c r="BD63" s="21">
        <f t="shared" ca="1" si="89"/>
        <v>0</v>
      </c>
      <c r="BE63" s="21">
        <f t="shared" ca="1" si="90"/>
        <v>0</v>
      </c>
      <c r="BF63" s="21">
        <f t="shared" ca="1" si="65"/>
        <v>0</v>
      </c>
      <c r="BG63" s="21" t="str">
        <f ca="1">IFERROR(VLOOKUP($BF63,Definitions!$V:$W,COLUMNS(Definitions!$V:$W),TRUE),"")</f>
        <v>Basic</v>
      </c>
      <c r="BH63" s="21" t="str">
        <f ca="1">_xlfn.LET(
_xlpm._comments,GetValues($K63,Mitigation!$A:$O,"","",FALSE),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63" s="21" t="str" cm="1">
        <f t="array" aca="1" ref="BI63" ca="1">_xlfn.LET(
_xlpm._rapRange,Definitions!$W:$W,
_xlpm._calculatedRAP,$BG63,
_xlpm._inlineRAP,$BH63,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63" s="21" t="str">
        <f ca="1">IFERROR(IF(OR($V63="",$BI63=""),
Definitions!$AE$4,
VLOOKUP($V63,Definitions!$AH:$AM,MATCH($BI63,Definitions!$AH$3:$AM$3,0),FALSE)),
"")</f>
        <v>No Risk</v>
      </c>
      <c r="BK63" s="21" cm="1">
        <f t="array" aca="1" ref="BK63" ca="1">IF($BJ63="",0,SimpleLookup($BJ63,Definitions!$AE:$AF))</f>
        <v>0</v>
      </c>
      <c r="BL63" s="21" t="str" cm="1">
        <f t="array" aca="1" ref="BL63" ca="1">IFERROR(SimpleLookup($A63,Tracing!$B:$Z),"")</f>
        <v/>
      </c>
      <c r="BM63" s="21" t="str" cm="1">
        <f t="array" aca="1" ref="BM63" ca="1">_xlfn.LET(_xlpm._dm,SanitizeInput(GetValuesWithFallback(SanitizeInput($BL63),Assumptions!$A:$I,Countermeasures!$A:$I,"",",",FALSE)),
IF(_xlpm._dm="","",","&amp;_xlpm._dm))</f>
        <v/>
      </c>
      <c r="BN63" s="21" t="str" cm="1">
        <f t="array" aca="1" ref="BN63" ca="1">ApplyDamageMitigation($M63,$BM63,"")</f>
        <v/>
      </c>
      <c r="BO63" s="21" cm="1">
        <f t="array" aca="1" ref="BO63" ca="1">CalculateMaxFromList($BN63,0,'Damage Scenarios'!$A:$U)</f>
        <v>0</v>
      </c>
      <c r="BP63" s="21" t="str">
        <f ca="1">IF($BO63=0,"",INDEX(Definitions!$Q:$Q,MATCH($BO63,Definitions!$R:$R,0)))</f>
        <v/>
      </c>
      <c r="BQ63" s="21" t="str" cm="1">
        <f t="array" aca="1" ref="BQ63" ca="1">CalculateMaxAndElementsWithFallback(SanitizeInput($BL63),0,"",Countermeasures!$A:Y,Assumptions!$A:Z)</f>
        <v>0:</v>
      </c>
      <c r="BR63" s="21" t="str" cm="1">
        <f t="array" aca="1" ref="BR63" ca="1">CalculateMaxAndElementsWithFallback(SanitizeInput($BL63),0,"",Countermeasures!$A:Z,Assumptions!$A:AA)</f>
        <v>0:</v>
      </c>
      <c r="BS63" s="21" t="str" cm="1">
        <f t="array" aca="1" ref="BS63" ca="1">CalculateMaxAndElementsWithFallback(SanitizeInput($BL63),0,"",Countermeasures!$A:AA,Assumptions!$A:AB)</f>
        <v>0:</v>
      </c>
      <c r="BT63" s="21" t="str" cm="1">
        <f t="array" aca="1" ref="BT63" ca="1">CalculateMaxAndElementsWithFallback(SanitizeInput($BL63),0,"",Countermeasures!$A:AB,Assumptions!$A:AC)</f>
        <v>0:</v>
      </c>
      <c r="BU63" s="21" t="str" cm="1">
        <f t="array" aca="1" ref="BU63" ca="1">CalculateMaxAndElementsWithFallback(SanitizeInput($BL63),0,"",Countermeasures!$A:AC,Assumptions!$A:AD)</f>
        <v>0:</v>
      </c>
      <c r="BV63" s="21">
        <f t="shared" ca="1" si="25"/>
        <v>0</v>
      </c>
      <c r="BW63" s="21">
        <f t="shared" ca="1" si="26"/>
        <v>0</v>
      </c>
      <c r="BX63" s="21">
        <f t="shared" ca="1" si="27"/>
        <v>0</v>
      </c>
      <c r="BY63" s="21">
        <f t="shared" ca="1" si="28"/>
        <v>0</v>
      </c>
      <c r="BZ63" s="21">
        <f t="shared" ca="1" si="29"/>
        <v>0</v>
      </c>
      <c r="CA63" s="21" t="str">
        <f t="shared" ca="1" si="30"/>
        <v>0:</v>
      </c>
      <c r="CB63" s="21" t="str">
        <f t="shared" ca="1" si="31"/>
        <v>0:</v>
      </c>
      <c r="CC63" s="21" t="str">
        <f t="shared" ca="1" si="32"/>
        <v>0:</v>
      </c>
      <c r="CD63" s="21" t="str">
        <f t="shared" ca="1" si="33"/>
        <v>0:</v>
      </c>
      <c r="CE63" s="21" t="str">
        <f t="shared" ca="1" si="34"/>
        <v>0:</v>
      </c>
      <c r="CF63" s="21">
        <f t="shared" ca="1" si="35"/>
        <v>0</v>
      </c>
      <c r="CG63" s="21">
        <f t="shared" ca="1" si="36"/>
        <v>0</v>
      </c>
      <c r="CH63" s="21">
        <f t="shared" ca="1" si="37"/>
        <v>0</v>
      </c>
      <c r="CI63" s="21">
        <f t="shared" ca="1" si="38"/>
        <v>0</v>
      </c>
      <c r="CJ63" s="21">
        <f t="shared" ca="1" si="39"/>
        <v>0</v>
      </c>
      <c r="CK63" s="21">
        <f t="shared" ca="1" si="66"/>
        <v>0</v>
      </c>
      <c r="CL63" s="21" t="str">
        <f ca="1">IFERROR(VLOOKUP($CK63,Definitions!$V:$W,COLUMNS(Definitions!$V:$W),TRUE),"")</f>
        <v>Basic</v>
      </c>
      <c r="CM63" s="21" t="str">
        <f ca="1">_xlfn.LET(
_xlpm._comments,SimpleLookup($A63,Tracing!$B:$AB),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63" s="21" t="str" cm="1">
        <f t="array" aca="1" ref="CN63" ca="1">_xlfn.LET(
_xlpm._rapRange,Definitions!$W:$W,
_xlpm._calculatedRAP,$CL63,
_xlpm._inlineRAP,$CM63,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63" s="21" t="str">
        <f ca="1">IFERROR(IF(OR($BP63="",$CN63=""),
Definitions!$AE$4,
VLOOKUP($BP63,Definitions!$AH:$AM,MATCH($CN63,Definitions!$AH$3:$AM$3,0),FALSE)),
"")</f>
        <v>No Risk</v>
      </c>
      <c r="CP63" s="21" cm="1">
        <f t="array" aca="1" ref="CP63" ca="1">IF($CO63="",0,SimpleLookup($CO63,Definitions!$AE:$AF))</f>
        <v>0</v>
      </c>
      <c r="CQ63" s="21" t="b">
        <f ca="1">OR(AND($S63,$I63=Helper!$B$7),$I63&gt;Helper!$B$7)</f>
        <v>1</v>
      </c>
      <c r="CR63" s="21" t="str">
        <f t="shared" ca="1" si="67"/>
        <v/>
      </c>
      <c r="CS63" s="21" cm="1">
        <f t="array" aca="1" ref="CS63" ca="1">CreateID($CS$2,$CV:$CV,$CR63&lt;&gt;"")</f>
        <v>0</v>
      </c>
      <c r="CT63" s="21" t="str">
        <f ca="1">IF(IFERROR(MATCH(","&amp;A63&amp;",",'Risk Treatment'!$AT:$AT,0)&gt;0,FALSE),"",$A63)</f>
        <v/>
      </c>
      <c r="CU63" s="21" cm="1">
        <f t="array" aca="1" ref="CU63" ca="1">CreateID($CU$2,$CU:$CU,$CT63&lt;&gt;"")</f>
        <v>0</v>
      </c>
    </row>
    <row r="64" spans="1:99" x14ac:dyDescent="0.25">
      <c r="A64" s="33" t="str" cm="1">
        <f t="array" aca="1" ref="A64" ca="1">IF($B64="","","R"&amp;RemoveDelimiter(SUBSTITUTE(SUBSTITUTE($K64,"AS",""),",","-"),"-"))</f>
        <v/>
      </c>
      <c r="B64" s="33" t="str" cm="1">
        <f t="array" aca="1" ref="B64" ca="1">IF($L64="","",_xlfn.LET(
_xlpm._finalAttackStep,$L64,
_xlpm._prepAttacks,RemoveFirstElement(_xlpm._finalAttackStep&amp;","&amp;$K64),
_xlpm._prepAttackNames,IFERROR(LookupNames(_xlpm._prepAttacks,'Attack Steps'!$A:$B),""),
_xlpm._delimiter,REPT(CHAR(150),55),
$L64&amp;" "&amp;SimpleLookup($L64,'Attack Steps'!$A:$B)&amp;
IF(_xlpm._prepAttackNames="","",CHAR(10)&amp;_xlpm._delimiter&amp;CHAR(10)&amp;_xlpm._prepAttackNames)))</f>
        <v/>
      </c>
      <c r="C64" s="34" t="str" cm="1">
        <f t="array" aca="1" ref="C64" ca="1">IFERROR(LookupNames($M64,'Damage Scenarios'!$A:$V),"")</f>
        <v/>
      </c>
      <c r="D64" s="33" t="str">
        <f ca="1">IFERROR(IF($T64=0,"",INDEX(Definitions!$Q:$Q,MATCH($T64,Definitions!$R:$R,0))),"")</f>
        <v/>
      </c>
      <c r="E64" s="34" t="str" cm="1">
        <f t="array" aca="1" ref="E64" ca="1">IF($A64="","",_xlfn.LET(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_xlpm._factorFunction($A64,$A:W,Definitions!$Y:$Y,Definitions!$AB:$AB,1)&amp;CHAR(10)&amp;
_xlpm._factorFunction($A64,$A:X,Definitions!$Y:$Y,Definitions!$AB:$AB,2)&amp;CHAR(10)&amp;
_xlpm._factorFunction($A64,$A:Y,Definitions!$Y:$Y,Definitions!$AB:$AB,3)&amp;CHAR(10)&amp;
_xlpm._factorFunction($A64,$A:Z,Definitions!$Y:$Y,Definitions!$AB:$AB,4)&amp;CHAR(10)&amp;
_xlpm._factorFunction($A64,$A:AA,Definitions!$Y:$Y,Definitions!$AB:$AB,5)))</f>
        <v/>
      </c>
      <c r="F64" s="33" t="str">
        <f ca="1">IF($A64="","",IFERROR(VLOOKUP($AG64,Definitions!$V:$W,COLUMNS(Definitions!$V:$W),TRUE),""))</f>
        <v/>
      </c>
      <c r="G64" s="33" t="str">
        <f ca="1">IFERROR(IF(OR($D64="",$F64=""),
"",
VLOOKUP($D64,Definitions!$AH:$AM,MATCH($F64,Definitions!$AH$3:$AM$3,0),FALSE)),
"")</f>
        <v/>
      </c>
      <c r="H64" s="23" cm="1">
        <f t="array" aca="1" ref="H64" ca="1">IF(ROW()=ROW($H$2)+1,0,INDEX($H:$H,ROW()-1))+IF($A64="",0,1)</f>
        <v>0</v>
      </c>
      <c r="I64" s="21" cm="1">
        <f t="array" aca="1" ref="I64" ca="1">IF(ROW()=ROW($I$2)+1,
1,
INDEX($I:$I,ROW()-1)+IF(INDEX($S:$S,ROW()-1),1,0))</f>
        <v>1</v>
      </c>
      <c r="J64" s="21">
        <f t="shared" ca="1" si="63"/>
        <v>62</v>
      </c>
      <c r="K64" s="21" t="str">
        <f t="shared" ca="1" si="68"/>
        <v/>
      </c>
      <c r="L64" s="21" t="str" cm="1">
        <f t="array" aca="1" ref="L64" ca="1">IF($P64="","",INDEX('Attack Steps'!$A:$A,$P64))</f>
        <v/>
      </c>
      <c r="M64" s="21" t="str" cm="1">
        <f t="array" aca="1" ref="M64" ca="1">IF($P64="","",INDEX('Attack Steps'!$T:$T,$P64))</f>
        <v/>
      </c>
      <c r="N64" s="21" t="str" cm="1">
        <f t="array" aca="1" ref="N64" ca="1">_xlfn.LET(_xlpm._dm,SanitizeInput(GetValuesWithFallback(SanitizeInput($AK64),Assumptions!$A:$I,Countermeasures!$A:$I,"",",",FALSE)),
IF(_xlpm._dm="","",","&amp;_xlpm._dm))</f>
        <v/>
      </c>
      <c r="O64" s="21" t="str" cm="1">
        <f t="array" aca="1" ref="O64" ca="1">ApplyDamageMitigation($M64,$N64,"")</f>
        <v/>
      </c>
      <c r="P64" s="21" t="str">
        <f ca="1">IFERROR(MATCH($I64,'Attack Steps'!$V:$V,0),"")</f>
        <v/>
      </c>
      <c r="Q64" s="21" t="str" cm="1">
        <f t="array" aca="1" ref="Q64" ca="1">IF($P64="","","§"&amp;INDEX('Attack Steps'!$S:$S,$P64))</f>
        <v/>
      </c>
      <c r="R64" s="21" t="str" cm="1">
        <f t="array" aca="1" ref="R64" ca="1">IF($P64="","",INDEX('Attack Steps'!$W:$W,$P64))</f>
        <v/>
      </c>
      <c r="S64" s="21" t="b">
        <f t="shared" ca="1" si="69"/>
        <v>0</v>
      </c>
      <c r="T64" s="21" cm="1">
        <f t="array" aca="1" ref="T64" ca="1">_xlfn.LAMBDA(_xlpm._in,_xlpm._val,_xlpm._range,
IF(_xlpm._in="",_xlpm._val,_xlfn.LET(
_xlpm._id,LEFT(_xlpm._in,FIND(",",_xlpm._in)-1),
CalculateMaxFromList(RemoveFirstElement(_xlpm._in),MAX(_xlpm._val,VLOOKUP(_xlpm._id,_xlpm._range,COLUMNS(_xlpm._range),FALSE)),_xlpm._range))))($M64,0,'Damage Scenarios'!$A:$U)</f>
        <v>0</v>
      </c>
      <c r="U64" s="21" cm="1">
        <f t="array" aca="1" ref="U64" ca="1">CalculateMaxFromList($O64,0,'Damage Scenarios'!$A:$U)</f>
        <v>0</v>
      </c>
      <c r="V64" s="21" t="str">
        <f ca="1">IF($U64=0,"",INDEX(Definitions!$Q:$Q,MATCH($U64,Definitions!$R:$R,0)))</f>
        <v/>
      </c>
      <c r="W64" s="21" t="str" cm="1">
        <f t="array" aca="1" ref="W64" ca="1">CalculateMaxAndElements($K64,0,"",'Attack Steps'!$A:X)</f>
        <v>0:</v>
      </c>
      <c r="X64" s="21" t="str" cm="1">
        <f t="array" aca="1" ref="X64" ca="1">CalculateMaxAndElements($K64,0,"",'Attack Steps'!$A:Y)</f>
        <v>0:</v>
      </c>
      <c r="Y64" s="21" t="str" cm="1">
        <f t="array" aca="1" ref="Y64" ca="1">CalculateMaxAndElements($K64,0,"",'Attack Steps'!$A:Z)</f>
        <v>0:</v>
      </c>
      <c r="Z64" s="21" t="str" cm="1">
        <f t="array" aca="1" ref="Z64" ca="1">CalculateMaxAndElements($K64,0,"",'Attack Steps'!$A:AA)</f>
        <v>0:</v>
      </c>
      <c r="AA64" s="21" t="str" cm="1">
        <f t="array" aca="1" ref="AA64" ca="1">CalculateMaxAndElements($K64,0,"",'Attack Steps'!$A:AB)</f>
        <v>0:</v>
      </c>
      <c r="AB64" s="21">
        <f t="shared" ca="1" si="70"/>
        <v>0</v>
      </c>
      <c r="AC64" s="21">
        <f t="shared" ca="1" si="71"/>
        <v>0</v>
      </c>
      <c r="AD64" s="21">
        <f t="shared" ca="1" si="72"/>
        <v>0</v>
      </c>
      <c r="AE64" s="21">
        <f t="shared" ca="1" si="73"/>
        <v>0</v>
      </c>
      <c r="AF64" s="21">
        <f t="shared" ca="1" si="74"/>
        <v>0</v>
      </c>
      <c r="AG64" s="21">
        <f t="shared" ca="1" si="64"/>
        <v>0</v>
      </c>
      <c r="AH64" s="21" t="str" cm="1">
        <f t="array" aca="1" ref="AH64" ca="1">IF(ROW()=ROW($AH$2)+1,"",INDEX($AH:$AH,ROW()-1))&amp;IF($A64="","",$A64&amp;",")</f>
        <v/>
      </c>
      <c r="AI64" s="21" t="str">
        <f t="shared" ca="1" si="75"/>
        <v/>
      </c>
      <c r="AJ64" s="21" cm="1">
        <f t="array" aca="1" ref="AJ64" ca="1">IF($G64="",0,SimpleLookup($G64,Definitions!$AE:$AF))</f>
        <v>0</v>
      </c>
      <c r="AK64" s="21" t="str" cm="1">
        <f t="array" aca="1" ref="AK64" ca="1">InverseLookup($A64,Mitigation!$U$2,Mitigation!$J$2,1,Helper!$B$5,",")</f>
        <v/>
      </c>
      <c r="AL64" s="21" t="str" cm="1">
        <f t="array" aca="1" ref="AL64" ca="1">CalculateMaxAndElementsWithFallback(SanitizeInput($AK64),0,"",Countermeasures!$A:Y,Assumptions!$A:Z)</f>
        <v>0:</v>
      </c>
      <c r="AM64" s="21" t="str" cm="1">
        <f t="array" aca="1" ref="AM64" ca="1">CalculateMaxAndElementsWithFallback(SanitizeInput($AK64),0,"",Countermeasures!$A:Z,Assumptions!$A:AA)</f>
        <v>0:</v>
      </c>
      <c r="AN64" s="21" t="str" cm="1">
        <f t="array" aca="1" ref="AN64" ca="1">CalculateMaxAndElementsWithFallback(SanitizeInput($AK64),0,"",Countermeasures!$A:AA,Assumptions!$A:AB)</f>
        <v>0:</v>
      </c>
      <c r="AO64" s="21" t="str" cm="1">
        <f t="array" aca="1" ref="AO64" ca="1">CalculateMaxAndElementsWithFallback(SanitizeInput($AK64),0,"",Countermeasures!$A:AB,Assumptions!$A:AC)</f>
        <v>0:</v>
      </c>
      <c r="AP64" s="21" t="str" cm="1">
        <f t="array" aca="1" ref="AP64" ca="1">CalculateMaxAndElementsWithFallback(SanitizeInput($AK64),0,"",Countermeasures!$A:AC,Assumptions!$A:AD)</f>
        <v>0:</v>
      </c>
      <c r="AQ64" s="21">
        <f t="shared" ca="1" si="76"/>
        <v>0</v>
      </c>
      <c r="AR64" s="21">
        <f t="shared" ca="1" si="77"/>
        <v>0</v>
      </c>
      <c r="AS64" s="21">
        <f t="shared" ca="1" si="78"/>
        <v>0</v>
      </c>
      <c r="AT64" s="21">
        <f t="shared" ca="1" si="79"/>
        <v>0</v>
      </c>
      <c r="AU64" s="21">
        <f t="shared" ca="1" si="80"/>
        <v>0</v>
      </c>
      <c r="AV64" s="21" t="str">
        <f t="shared" ca="1" si="81"/>
        <v>0:</v>
      </c>
      <c r="AW64" s="21" t="str">
        <f t="shared" ca="1" si="82"/>
        <v>0:</v>
      </c>
      <c r="AX64" s="21" t="str">
        <f t="shared" ca="1" si="83"/>
        <v>0:</v>
      </c>
      <c r="AY64" s="21" t="str">
        <f t="shared" ca="1" si="84"/>
        <v>0:</v>
      </c>
      <c r="AZ64" s="21" t="str">
        <f t="shared" ca="1" si="85"/>
        <v>0:</v>
      </c>
      <c r="BA64" s="21">
        <f t="shared" ca="1" si="86"/>
        <v>0</v>
      </c>
      <c r="BB64" s="21">
        <f t="shared" ca="1" si="87"/>
        <v>0</v>
      </c>
      <c r="BC64" s="21">
        <f t="shared" ca="1" si="88"/>
        <v>0</v>
      </c>
      <c r="BD64" s="21">
        <f t="shared" ca="1" si="89"/>
        <v>0</v>
      </c>
      <c r="BE64" s="21">
        <f t="shared" ca="1" si="90"/>
        <v>0</v>
      </c>
      <c r="BF64" s="21">
        <f t="shared" ca="1" si="65"/>
        <v>0</v>
      </c>
      <c r="BG64" s="21" t="str">
        <f ca="1">IFERROR(VLOOKUP($BF64,Definitions!$V:$W,COLUMNS(Definitions!$V:$W),TRUE),"")</f>
        <v>Basic</v>
      </c>
      <c r="BH64" s="21" t="str">
        <f ca="1">_xlfn.LET(
_xlpm._comments,GetValues($K64,Mitigation!$A:$O,"","",FALSE),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64" s="21" t="str" cm="1">
        <f t="array" aca="1" ref="BI64" ca="1">_xlfn.LET(
_xlpm._rapRange,Definitions!$W:$W,
_xlpm._calculatedRAP,$BG64,
_xlpm._inlineRAP,$BH64,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64" s="21" t="str">
        <f ca="1">IFERROR(IF(OR($V64="",$BI64=""),
Definitions!$AE$4,
VLOOKUP($V64,Definitions!$AH:$AM,MATCH($BI64,Definitions!$AH$3:$AM$3,0),FALSE)),
"")</f>
        <v>No Risk</v>
      </c>
      <c r="BK64" s="21" cm="1">
        <f t="array" aca="1" ref="BK64" ca="1">IF($BJ64="",0,SimpleLookup($BJ64,Definitions!$AE:$AF))</f>
        <v>0</v>
      </c>
      <c r="BL64" s="21" t="str" cm="1">
        <f t="array" aca="1" ref="BL64" ca="1">IFERROR(SimpleLookup($A64,Tracing!$B:$Z),"")</f>
        <v/>
      </c>
      <c r="BM64" s="21" t="str" cm="1">
        <f t="array" aca="1" ref="BM64" ca="1">_xlfn.LET(_xlpm._dm,SanitizeInput(GetValuesWithFallback(SanitizeInput($BL64),Assumptions!$A:$I,Countermeasures!$A:$I,"",",",FALSE)),
IF(_xlpm._dm="","",","&amp;_xlpm._dm))</f>
        <v/>
      </c>
      <c r="BN64" s="21" t="str" cm="1">
        <f t="array" aca="1" ref="BN64" ca="1">ApplyDamageMitigation($M64,$BM64,"")</f>
        <v/>
      </c>
      <c r="BO64" s="21" cm="1">
        <f t="array" aca="1" ref="BO64" ca="1">CalculateMaxFromList($BN64,0,'Damage Scenarios'!$A:$U)</f>
        <v>0</v>
      </c>
      <c r="BP64" s="21" t="str">
        <f ca="1">IF($BO64=0,"",INDEX(Definitions!$Q:$Q,MATCH($BO64,Definitions!$R:$R,0)))</f>
        <v/>
      </c>
      <c r="BQ64" s="21" t="str" cm="1">
        <f t="array" aca="1" ref="BQ64" ca="1">CalculateMaxAndElementsWithFallback(SanitizeInput($BL64),0,"",Countermeasures!$A:Y,Assumptions!$A:Z)</f>
        <v>0:</v>
      </c>
      <c r="BR64" s="21" t="str" cm="1">
        <f t="array" aca="1" ref="BR64" ca="1">CalculateMaxAndElementsWithFallback(SanitizeInput($BL64),0,"",Countermeasures!$A:Z,Assumptions!$A:AA)</f>
        <v>0:</v>
      </c>
      <c r="BS64" s="21" t="str" cm="1">
        <f t="array" aca="1" ref="BS64" ca="1">CalculateMaxAndElementsWithFallback(SanitizeInput($BL64),0,"",Countermeasures!$A:AA,Assumptions!$A:AB)</f>
        <v>0:</v>
      </c>
      <c r="BT64" s="21" t="str" cm="1">
        <f t="array" aca="1" ref="BT64" ca="1">CalculateMaxAndElementsWithFallback(SanitizeInput($BL64),0,"",Countermeasures!$A:AB,Assumptions!$A:AC)</f>
        <v>0:</v>
      </c>
      <c r="BU64" s="21" t="str" cm="1">
        <f t="array" aca="1" ref="BU64" ca="1">CalculateMaxAndElementsWithFallback(SanitizeInput($BL64),0,"",Countermeasures!$A:AC,Assumptions!$A:AD)</f>
        <v>0:</v>
      </c>
      <c r="BV64" s="21">
        <f t="shared" ca="1" si="25"/>
        <v>0</v>
      </c>
      <c r="BW64" s="21">
        <f t="shared" ca="1" si="26"/>
        <v>0</v>
      </c>
      <c r="BX64" s="21">
        <f t="shared" ca="1" si="27"/>
        <v>0</v>
      </c>
      <c r="BY64" s="21">
        <f t="shared" ca="1" si="28"/>
        <v>0</v>
      </c>
      <c r="BZ64" s="21">
        <f t="shared" ca="1" si="29"/>
        <v>0</v>
      </c>
      <c r="CA64" s="21" t="str">
        <f t="shared" ca="1" si="30"/>
        <v>0:</v>
      </c>
      <c r="CB64" s="21" t="str">
        <f t="shared" ca="1" si="31"/>
        <v>0:</v>
      </c>
      <c r="CC64" s="21" t="str">
        <f t="shared" ca="1" si="32"/>
        <v>0:</v>
      </c>
      <c r="CD64" s="21" t="str">
        <f t="shared" ca="1" si="33"/>
        <v>0:</v>
      </c>
      <c r="CE64" s="21" t="str">
        <f t="shared" ca="1" si="34"/>
        <v>0:</v>
      </c>
      <c r="CF64" s="21">
        <f t="shared" ca="1" si="35"/>
        <v>0</v>
      </c>
      <c r="CG64" s="21">
        <f t="shared" ca="1" si="36"/>
        <v>0</v>
      </c>
      <c r="CH64" s="21">
        <f t="shared" ca="1" si="37"/>
        <v>0</v>
      </c>
      <c r="CI64" s="21">
        <f t="shared" ca="1" si="38"/>
        <v>0</v>
      </c>
      <c r="CJ64" s="21">
        <f t="shared" ca="1" si="39"/>
        <v>0</v>
      </c>
      <c r="CK64" s="21">
        <f t="shared" ca="1" si="66"/>
        <v>0</v>
      </c>
      <c r="CL64" s="21" t="str">
        <f ca="1">IFERROR(VLOOKUP($CK64,Definitions!$V:$W,COLUMNS(Definitions!$V:$W),TRUE),"")</f>
        <v>Basic</v>
      </c>
      <c r="CM64" s="21" t="str">
        <f ca="1">_xlfn.LET(
_xlpm._comments,SimpleLookup($A64,Tracing!$B:$AB),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64" s="21" t="str" cm="1">
        <f t="array" aca="1" ref="CN64" ca="1">_xlfn.LET(
_xlpm._rapRange,Definitions!$W:$W,
_xlpm._calculatedRAP,$CL64,
_xlpm._inlineRAP,$CM64,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64" s="21" t="str">
        <f ca="1">IFERROR(IF(OR($BP64="",$CN64=""),
Definitions!$AE$4,
VLOOKUP($BP64,Definitions!$AH:$AM,MATCH($CN64,Definitions!$AH$3:$AM$3,0),FALSE)),
"")</f>
        <v>No Risk</v>
      </c>
      <c r="CP64" s="21" cm="1">
        <f t="array" aca="1" ref="CP64" ca="1">IF($CO64="",0,SimpleLookup($CO64,Definitions!$AE:$AF))</f>
        <v>0</v>
      </c>
      <c r="CQ64" s="21" t="b">
        <f ca="1">OR(AND($S64,$I64=Helper!$B$7),$I64&gt;Helper!$B$7)</f>
        <v>1</v>
      </c>
      <c r="CR64" s="21" t="str">
        <f t="shared" ca="1" si="67"/>
        <v/>
      </c>
      <c r="CS64" s="21" cm="1">
        <f t="array" aca="1" ref="CS64" ca="1">CreateID($CS$2,$CV:$CV,$CR64&lt;&gt;"")</f>
        <v>0</v>
      </c>
      <c r="CT64" s="21" t="str">
        <f ca="1">IF(IFERROR(MATCH(","&amp;A64&amp;",",'Risk Treatment'!$AT:$AT,0)&gt;0,FALSE),"",$A64)</f>
        <v/>
      </c>
      <c r="CU64" s="21" cm="1">
        <f t="array" aca="1" ref="CU64" ca="1">CreateID($CU$2,$CU:$CU,$CT64&lt;&gt;"")</f>
        <v>0</v>
      </c>
    </row>
    <row r="65" spans="1:99" x14ac:dyDescent="0.25">
      <c r="A65" s="33" t="str" cm="1">
        <f t="array" aca="1" ref="A65" ca="1">IF($B65="","","R"&amp;RemoveDelimiter(SUBSTITUTE(SUBSTITUTE($K65,"AS",""),",","-"),"-"))</f>
        <v/>
      </c>
      <c r="B65" s="33" t="str" cm="1">
        <f t="array" aca="1" ref="B65" ca="1">IF($L65="","",_xlfn.LET(
_xlpm._finalAttackStep,$L65,
_xlpm._prepAttacks,RemoveFirstElement(_xlpm._finalAttackStep&amp;","&amp;$K65),
_xlpm._prepAttackNames,IFERROR(LookupNames(_xlpm._prepAttacks,'Attack Steps'!$A:$B),""),
_xlpm._delimiter,REPT(CHAR(150),55),
$L65&amp;" "&amp;SimpleLookup($L65,'Attack Steps'!$A:$B)&amp;
IF(_xlpm._prepAttackNames="","",CHAR(10)&amp;_xlpm._delimiter&amp;CHAR(10)&amp;_xlpm._prepAttackNames)))</f>
        <v/>
      </c>
      <c r="C65" s="34" t="str" cm="1">
        <f t="array" aca="1" ref="C65" ca="1">IFERROR(LookupNames($M65,'Damage Scenarios'!$A:$V),"")</f>
        <v/>
      </c>
      <c r="D65" s="33" t="str">
        <f ca="1">IFERROR(IF($T65=0,"",INDEX(Definitions!$Q:$Q,MATCH($T65,Definitions!$R:$R,0))),"")</f>
        <v/>
      </c>
      <c r="E65" s="34" t="str" cm="1">
        <f t="array" aca="1" ref="E65" ca="1">IF($A65="","",_xlfn.LET(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_xlpm._factorFunction($A65,$A:W,Definitions!$Y:$Y,Definitions!$AB:$AB,1)&amp;CHAR(10)&amp;
_xlpm._factorFunction($A65,$A:X,Definitions!$Y:$Y,Definitions!$AB:$AB,2)&amp;CHAR(10)&amp;
_xlpm._factorFunction($A65,$A:Y,Definitions!$Y:$Y,Definitions!$AB:$AB,3)&amp;CHAR(10)&amp;
_xlpm._factorFunction($A65,$A:Z,Definitions!$Y:$Y,Definitions!$AB:$AB,4)&amp;CHAR(10)&amp;
_xlpm._factorFunction($A65,$A:AA,Definitions!$Y:$Y,Definitions!$AB:$AB,5)))</f>
        <v/>
      </c>
      <c r="F65" s="33" t="str">
        <f ca="1">IF($A65="","",IFERROR(VLOOKUP($AG65,Definitions!$V:$W,COLUMNS(Definitions!$V:$W),TRUE),""))</f>
        <v/>
      </c>
      <c r="G65" s="33" t="str">
        <f ca="1">IFERROR(IF(OR($D65="",$F65=""),
"",
VLOOKUP($D65,Definitions!$AH:$AM,MATCH($F65,Definitions!$AH$3:$AM$3,0),FALSE)),
"")</f>
        <v/>
      </c>
      <c r="H65" s="23" cm="1">
        <f t="array" aca="1" ref="H65" ca="1">IF(ROW()=ROW($H$2)+1,0,INDEX($H:$H,ROW()-1))+IF($A65="",0,1)</f>
        <v>0</v>
      </c>
      <c r="I65" s="21" cm="1">
        <f t="array" aca="1" ref="I65" ca="1">IF(ROW()=ROW($I$2)+1,
1,
INDEX($I:$I,ROW()-1)+IF(INDEX($S:$S,ROW()-1),1,0))</f>
        <v>1</v>
      </c>
      <c r="J65" s="21">
        <f t="shared" ca="1" si="63"/>
        <v>63</v>
      </c>
      <c r="K65" s="21" t="str">
        <f t="shared" ca="1" si="68"/>
        <v/>
      </c>
      <c r="L65" s="21" t="str" cm="1">
        <f t="array" aca="1" ref="L65" ca="1">IF($P65="","",INDEX('Attack Steps'!$A:$A,$P65))</f>
        <v/>
      </c>
      <c r="M65" s="21" t="str" cm="1">
        <f t="array" aca="1" ref="M65" ca="1">IF($P65="","",INDEX('Attack Steps'!$T:$T,$P65))</f>
        <v/>
      </c>
      <c r="N65" s="21" t="str" cm="1">
        <f t="array" aca="1" ref="N65" ca="1">_xlfn.LET(_xlpm._dm,SanitizeInput(GetValuesWithFallback(SanitizeInput($AK65),Assumptions!$A:$I,Countermeasures!$A:$I,"",",",FALSE)),
IF(_xlpm._dm="","",","&amp;_xlpm._dm))</f>
        <v/>
      </c>
      <c r="O65" s="21" t="str" cm="1">
        <f t="array" aca="1" ref="O65" ca="1">ApplyDamageMitigation($M65,$N65,"")</f>
        <v/>
      </c>
      <c r="P65" s="21" t="str">
        <f ca="1">IFERROR(MATCH($I65,'Attack Steps'!$V:$V,0),"")</f>
        <v/>
      </c>
      <c r="Q65" s="21" t="str" cm="1">
        <f t="array" aca="1" ref="Q65" ca="1">IF($P65="","","§"&amp;INDEX('Attack Steps'!$S:$S,$P65))</f>
        <v/>
      </c>
      <c r="R65" s="21" t="str" cm="1">
        <f t="array" aca="1" ref="R65" ca="1">IF($P65="","",INDEX('Attack Steps'!$W:$W,$P65))</f>
        <v/>
      </c>
      <c r="S65" s="21" t="b">
        <f t="shared" ca="1" si="69"/>
        <v>0</v>
      </c>
      <c r="T65" s="21" cm="1">
        <f t="array" aca="1" ref="T65" ca="1">_xlfn.LAMBDA(_xlpm._in,_xlpm._val,_xlpm._range,
IF(_xlpm._in="",_xlpm._val,_xlfn.LET(
_xlpm._id,LEFT(_xlpm._in,FIND(",",_xlpm._in)-1),
CalculateMaxFromList(RemoveFirstElement(_xlpm._in),MAX(_xlpm._val,VLOOKUP(_xlpm._id,_xlpm._range,COLUMNS(_xlpm._range),FALSE)),_xlpm._range))))($M65,0,'Damage Scenarios'!$A:$U)</f>
        <v>0</v>
      </c>
      <c r="U65" s="21" cm="1">
        <f t="array" aca="1" ref="U65" ca="1">CalculateMaxFromList($O65,0,'Damage Scenarios'!$A:$U)</f>
        <v>0</v>
      </c>
      <c r="V65" s="21" t="str">
        <f ca="1">IF($U65=0,"",INDEX(Definitions!$Q:$Q,MATCH($U65,Definitions!$R:$R,0)))</f>
        <v/>
      </c>
      <c r="W65" s="21" t="str" cm="1">
        <f t="array" aca="1" ref="W65" ca="1">CalculateMaxAndElements($K65,0,"",'Attack Steps'!$A:X)</f>
        <v>0:</v>
      </c>
      <c r="X65" s="21" t="str" cm="1">
        <f t="array" aca="1" ref="X65" ca="1">CalculateMaxAndElements($K65,0,"",'Attack Steps'!$A:Y)</f>
        <v>0:</v>
      </c>
      <c r="Y65" s="21" t="str" cm="1">
        <f t="array" aca="1" ref="Y65" ca="1">CalculateMaxAndElements($K65,0,"",'Attack Steps'!$A:Z)</f>
        <v>0:</v>
      </c>
      <c r="Z65" s="21" t="str" cm="1">
        <f t="array" aca="1" ref="Z65" ca="1">CalculateMaxAndElements($K65,0,"",'Attack Steps'!$A:AA)</f>
        <v>0:</v>
      </c>
      <c r="AA65" s="21" t="str" cm="1">
        <f t="array" aca="1" ref="AA65" ca="1">CalculateMaxAndElements($K65,0,"",'Attack Steps'!$A:AB)</f>
        <v>0:</v>
      </c>
      <c r="AB65" s="21">
        <f t="shared" ca="1" si="70"/>
        <v>0</v>
      </c>
      <c r="AC65" s="21">
        <f t="shared" ca="1" si="71"/>
        <v>0</v>
      </c>
      <c r="AD65" s="21">
        <f t="shared" ca="1" si="72"/>
        <v>0</v>
      </c>
      <c r="AE65" s="21">
        <f t="shared" ca="1" si="73"/>
        <v>0</v>
      </c>
      <c r="AF65" s="21">
        <f t="shared" ca="1" si="74"/>
        <v>0</v>
      </c>
      <c r="AG65" s="21">
        <f t="shared" ca="1" si="64"/>
        <v>0</v>
      </c>
      <c r="AH65" s="21" t="str" cm="1">
        <f t="array" aca="1" ref="AH65" ca="1">IF(ROW()=ROW($AH$2)+1,"",INDEX($AH:$AH,ROW()-1))&amp;IF($A65="","",$A65&amp;",")</f>
        <v/>
      </c>
      <c r="AI65" s="21" t="str">
        <f t="shared" ca="1" si="75"/>
        <v/>
      </c>
      <c r="AJ65" s="21" cm="1">
        <f t="array" aca="1" ref="AJ65" ca="1">IF($G65="",0,SimpleLookup($G65,Definitions!$AE:$AF))</f>
        <v>0</v>
      </c>
      <c r="AK65" s="21" t="str" cm="1">
        <f t="array" aca="1" ref="AK65" ca="1">InverseLookup($A65,Mitigation!$U$2,Mitigation!$J$2,1,Helper!$B$5,",")</f>
        <v/>
      </c>
      <c r="AL65" s="21" t="str" cm="1">
        <f t="array" aca="1" ref="AL65" ca="1">CalculateMaxAndElementsWithFallback(SanitizeInput($AK65),0,"",Countermeasures!$A:Y,Assumptions!$A:Z)</f>
        <v>0:</v>
      </c>
      <c r="AM65" s="21" t="str" cm="1">
        <f t="array" aca="1" ref="AM65" ca="1">CalculateMaxAndElementsWithFallback(SanitizeInput($AK65),0,"",Countermeasures!$A:Z,Assumptions!$A:AA)</f>
        <v>0:</v>
      </c>
      <c r="AN65" s="21" t="str" cm="1">
        <f t="array" aca="1" ref="AN65" ca="1">CalculateMaxAndElementsWithFallback(SanitizeInput($AK65),0,"",Countermeasures!$A:AA,Assumptions!$A:AB)</f>
        <v>0:</v>
      </c>
      <c r="AO65" s="21" t="str" cm="1">
        <f t="array" aca="1" ref="AO65" ca="1">CalculateMaxAndElementsWithFallback(SanitizeInput($AK65),0,"",Countermeasures!$A:AB,Assumptions!$A:AC)</f>
        <v>0:</v>
      </c>
      <c r="AP65" s="21" t="str" cm="1">
        <f t="array" aca="1" ref="AP65" ca="1">CalculateMaxAndElementsWithFallback(SanitizeInput($AK65),0,"",Countermeasures!$A:AC,Assumptions!$A:AD)</f>
        <v>0:</v>
      </c>
      <c r="AQ65" s="21">
        <f t="shared" ca="1" si="76"/>
        <v>0</v>
      </c>
      <c r="AR65" s="21">
        <f t="shared" ca="1" si="77"/>
        <v>0</v>
      </c>
      <c r="AS65" s="21">
        <f t="shared" ca="1" si="78"/>
        <v>0</v>
      </c>
      <c r="AT65" s="21">
        <f t="shared" ca="1" si="79"/>
        <v>0</v>
      </c>
      <c r="AU65" s="21">
        <f t="shared" ca="1" si="80"/>
        <v>0</v>
      </c>
      <c r="AV65" s="21" t="str">
        <f t="shared" ca="1" si="81"/>
        <v>0:</v>
      </c>
      <c r="AW65" s="21" t="str">
        <f t="shared" ca="1" si="82"/>
        <v>0:</v>
      </c>
      <c r="AX65" s="21" t="str">
        <f t="shared" ca="1" si="83"/>
        <v>0:</v>
      </c>
      <c r="AY65" s="21" t="str">
        <f t="shared" ca="1" si="84"/>
        <v>0:</v>
      </c>
      <c r="AZ65" s="21" t="str">
        <f t="shared" ca="1" si="85"/>
        <v>0:</v>
      </c>
      <c r="BA65" s="21">
        <f t="shared" ca="1" si="86"/>
        <v>0</v>
      </c>
      <c r="BB65" s="21">
        <f t="shared" ca="1" si="87"/>
        <v>0</v>
      </c>
      <c r="BC65" s="21">
        <f t="shared" ca="1" si="88"/>
        <v>0</v>
      </c>
      <c r="BD65" s="21">
        <f t="shared" ca="1" si="89"/>
        <v>0</v>
      </c>
      <c r="BE65" s="21">
        <f t="shared" ca="1" si="90"/>
        <v>0</v>
      </c>
      <c r="BF65" s="21">
        <f t="shared" ca="1" si="65"/>
        <v>0</v>
      </c>
      <c r="BG65" s="21" t="str">
        <f ca="1">IFERROR(VLOOKUP($BF65,Definitions!$V:$W,COLUMNS(Definitions!$V:$W),TRUE),"")</f>
        <v>Basic</v>
      </c>
      <c r="BH65" s="21" t="str">
        <f ca="1">_xlfn.LET(
_xlpm._comments,GetValues($K65,Mitigation!$A:$O,"","",FALSE),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65" s="21" t="str" cm="1">
        <f t="array" aca="1" ref="BI65" ca="1">_xlfn.LET(
_xlpm._rapRange,Definitions!$W:$W,
_xlpm._calculatedRAP,$BG65,
_xlpm._inlineRAP,$BH65,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65" s="21" t="str">
        <f ca="1">IFERROR(IF(OR($V65="",$BI65=""),
Definitions!$AE$4,
VLOOKUP($V65,Definitions!$AH:$AM,MATCH($BI65,Definitions!$AH$3:$AM$3,0),FALSE)),
"")</f>
        <v>No Risk</v>
      </c>
      <c r="BK65" s="21" cm="1">
        <f t="array" aca="1" ref="BK65" ca="1">IF($BJ65="",0,SimpleLookup($BJ65,Definitions!$AE:$AF))</f>
        <v>0</v>
      </c>
      <c r="BL65" s="21" t="str" cm="1">
        <f t="array" aca="1" ref="BL65" ca="1">IFERROR(SimpleLookup($A65,Tracing!$B:$Z),"")</f>
        <v/>
      </c>
      <c r="BM65" s="21" t="str" cm="1">
        <f t="array" aca="1" ref="BM65" ca="1">_xlfn.LET(_xlpm._dm,SanitizeInput(GetValuesWithFallback(SanitizeInput($BL65),Assumptions!$A:$I,Countermeasures!$A:$I,"",",",FALSE)),
IF(_xlpm._dm="","",","&amp;_xlpm._dm))</f>
        <v/>
      </c>
      <c r="BN65" s="21" t="str" cm="1">
        <f t="array" aca="1" ref="BN65" ca="1">ApplyDamageMitigation($M65,$BM65,"")</f>
        <v/>
      </c>
      <c r="BO65" s="21" cm="1">
        <f t="array" aca="1" ref="BO65" ca="1">CalculateMaxFromList($BN65,0,'Damage Scenarios'!$A:$U)</f>
        <v>0</v>
      </c>
      <c r="BP65" s="21" t="str">
        <f ca="1">IF($BO65=0,"",INDEX(Definitions!$Q:$Q,MATCH($BO65,Definitions!$R:$R,0)))</f>
        <v/>
      </c>
      <c r="BQ65" s="21" t="str" cm="1">
        <f t="array" aca="1" ref="BQ65" ca="1">CalculateMaxAndElementsWithFallback(SanitizeInput($BL65),0,"",Countermeasures!$A:Y,Assumptions!$A:Z)</f>
        <v>0:</v>
      </c>
      <c r="BR65" s="21" t="str" cm="1">
        <f t="array" aca="1" ref="BR65" ca="1">CalculateMaxAndElementsWithFallback(SanitizeInput($BL65),0,"",Countermeasures!$A:Z,Assumptions!$A:AA)</f>
        <v>0:</v>
      </c>
      <c r="BS65" s="21" t="str" cm="1">
        <f t="array" aca="1" ref="BS65" ca="1">CalculateMaxAndElementsWithFallback(SanitizeInput($BL65),0,"",Countermeasures!$A:AA,Assumptions!$A:AB)</f>
        <v>0:</v>
      </c>
      <c r="BT65" s="21" t="str" cm="1">
        <f t="array" aca="1" ref="BT65" ca="1">CalculateMaxAndElementsWithFallback(SanitizeInput($BL65),0,"",Countermeasures!$A:AB,Assumptions!$A:AC)</f>
        <v>0:</v>
      </c>
      <c r="BU65" s="21" t="str" cm="1">
        <f t="array" aca="1" ref="BU65" ca="1">CalculateMaxAndElementsWithFallback(SanitizeInput($BL65),0,"",Countermeasures!$A:AC,Assumptions!$A:AD)</f>
        <v>0:</v>
      </c>
      <c r="BV65" s="21">
        <f t="shared" ca="1" si="25"/>
        <v>0</v>
      </c>
      <c r="BW65" s="21">
        <f t="shared" ca="1" si="26"/>
        <v>0</v>
      </c>
      <c r="BX65" s="21">
        <f t="shared" ca="1" si="27"/>
        <v>0</v>
      </c>
      <c r="BY65" s="21">
        <f t="shared" ca="1" si="28"/>
        <v>0</v>
      </c>
      <c r="BZ65" s="21">
        <f t="shared" ca="1" si="29"/>
        <v>0</v>
      </c>
      <c r="CA65" s="21" t="str">
        <f t="shared" ca="1" si="30"/>
        <v>0:</v>
      </c>
      <c r="CB65" s="21" t="str">
        <f t="shared" ca="1" si="31"/>
        <v>0:</v>
      </c>
      <c r="CC65" s="21" t="str">
        <f t="shared" ca="1" si="32"/>
        <v>0:</v>
      </c>
      <c r="CD65" s="21" t="str">
        <f t="shared" ca="1" si="33"/>
        <v>0:</v>
      </c>
      <c r="CE65" s="21" t="str">
        <f t="shared" ca="1" si="34"/>
        <v>0:</v>
      </c>
      <c r="CF65" s="21">
        <f t="shared" ca="1" si="35"/>
        <v>0</v>
      </c>
      <c r="CG65" s="21">
        <f t="shared" ca="1" si="36"/>
        <v>0</v>
      </c>
      <c r="CH65" s="21">
        <f t="shared" ca="1" si="37"/>
        <v>0</v>
      </c>
      <c r="CI65" s="21">
        <f t="shared" ca="1" si="38"/>
        <v>0</v>
      </c>
      <c r="CJ65" s="21">
        <f t="shared" ca="1" si="39"/>
        <v>0</v>
      </c>
      <c r="CK65" s="21">
        <f t="shared" ca="1" si="66"/>
        <v>0</v>
      </c>
      <c r="CL65" s="21" t="str">
        <f ca="1">IFERROR(VLOOKUP($CK65,Definitions!$V:$W,COLUMNS(Definitions!$V:$W),TRUE),"")</f>
        <v>Basic</v>
      </c>
      <c r="CM65" s="21" t="str">
        <f ca="1">_xlfn.LET(
_xlpm._comments,SimpleLookup($A65,Tracing!$B:$AB),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65" s="21" t="str" cm="1">
        <f t="array" aca="1" ref="CN65" ca="1">_xlfn.LET(
_xlpm._rapRange,Definitions!$W:$W,
_xlpm._calculatedRAP,$CL65,
_xlpm._inlineRAP,$CM65,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65" s="21" t="str">
        <f ca="1">IFERROR(IF(OR($BP65="",$CN65=""),
Definitions!$AE$4,
VLOOKUP($BP65,Definitions!$AH:$AM,MATCH($CN65,Definitions!$AH$3:$AM$3,0),FALSE)),
"")</f>
        <v>No Risk</v>
      </c>
      <c r="CP65" s="21" cm="1">
        <f t="array" aca="1" ref="CP65" ca="1">IF($CO65="",0,SimpleLookup($CO65,Definitions!$AE:$AF))</f>
        <v>0</v>
      </c>
      <c r="CQ65" s="21" t="b">
        <f ca="1">OR(AND($S65,$I65=Helper!$B$7),$I65&gt;Helper!$B$7)</f>
        <v>1</v>
      </c>
      <c r="CR65" s="21" t="str">
        <f t="shared" ca="1" si="67"/>
        <v/>
      </c>
      <c r="CS65" s="21" cm="1">
        <f t="array" aca="1" ref="CS65" ca="1">CreateID($CS$2,$CV:$CV,$CR65&lt;&gt;"")</f>
        <v>0</v>
      </c>
      <c r="CT65" s="21" t="str">
        <f ca="1">IF(IFERROR(MATCH(","&amp;A65&amp;",",'Risk Treatment'!$AT:$AT,0)&gt;0,FALSE),"",$A65)</f>
        <v/>
      </c>
      <c r="CU65" s="21" cm="1">
        <f t="array" aca="1" ref="CU65" ca="1">CreateID($CU$2,$CU:$CU,$CT65&lt;&gt;"")</f>
        <v>0</v>
      </c>
    </row>
    <row r="66" spans="1:99" x14ac:dyDescent="0.25">
      <c r="A66" s="33" t="str" cm="1">
        <f t="array" aca="1" ref="A66" ca="1">IF($B66="","","R"&amp;RemoveDelimiter(SUBSTITUTE(SUBSTITUTE($K66,"AS",""),",","-"),"-"))</f>
        <v/>
      </c>
      <c r="B66" s="33" t="str" cm="1">
        <f t="array" aca="1" ref="B66" ca="1">IF($L66="","",_xlfn.LET(
_xlpm._finalAttackStep,$L66,
_xlpm._prepAttacks,RemoveFirstElement(_xlpm._finalAttackStep&amp;","&amp;$K66),
_xlpm._prepAttackNames,IFERROR(LookupNames(_xlpm._prepAttacks,'Attack Steps'!$A:$B),""),
_xlpm._delimiter,REPT(CHAR(150),55),
$L66&amp;" "&amp;SimpleLookup($L66,'Attack Steps'!$A:$B)&amp;
IF(_xlpm._prepAttackNames="","",CHAR(10)&amp;_xlpm._delimiter&amp;CHAR(10)&amp;_xlpm._prepAttackNames)))</f>
        <v/>
      </c>
      <c r="C66" s="34" t="str" cm="1">
        <f t="array" aca="1" ref="C66" ca="1">IFERROR(LookupNames($M66,'Damage Scenarios'!$A:$V),"")</f>
        <v/>
      </c>
      <c r="D66" s="33" t="str">
        <f ca="1">IFERROR(IF($T66=0,"",INDEX(Definitions!$Q:$Q,MATCH($T66,Definitions!$R:$R,0))),"")</f>
        <v/>
      </c>
      <c r="E66" s="34" t="str" cm="1">
        <f t="array" aca="1" ref="E66" ca="1">IF($A66="","",_xlfn.LET(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_xlpm._factorFunction($A66,$A:W,Definitions!$Y:$Y,Definitions!$AB:$AB,1)&amp;CHAR(10)&amp;
_xlpm._factorFunction($A66,$A:X,Definitions!$Y:$Y,Definitions!$AB:$AB,2)&amp;CHAR(10)&amp;
_xlpm._factorFunction($A66,$A:Y,Definitions!$Y:$Y,Definitions!$AB:$AB,3)&amp;CHAR(10)&amp;
_xlpm._factorFunction($A66,$A:Z,Definitions!$Y:$Y,Definitions!$AB:$AB,4)&amp;CHAR(10)&amp;
_xlpm._factorFunction($A66,$A:AA,Definitions!$Y:$Y,Definitions!$AB:$AB,5)))</f>
        <v/>
      </c>
      <c r="F66" s="33" t="str">
        <f ca="1">IF($A66="","",IFERROR(VLOOKUP($AG66,Definitions!$V:$W,COLUMNS(Definitions!$V:$W),TRUE),""))</f>
        <v/>
      </c>
      <c r="G66" s="33" t="str">
        <f ca="1">IFERROR(IF(OR($D66="",$F66=""),
"",
VLOOKUP($D66,Definitions!$AH:$AM,MATCH($F66,Definitions!$AH$3:$AM$3,0),FALSE)),
"")</f>
        <v/>
      </c>
      <c r="H66" s="23" cm="1">
        <f t="array" aca="1" ref="H66" ca="1">IF(ROW()=ROW($H$2)+1,0,INDEX($H:$H,ROW()-1))+IF($A66="",0,1)</f>
        <v>0</v>
      </c>
      <c r="I66" s="21" cm="1">
        <f t="array" aca="1" ref="I66" ca="1">IF(ROW()=ROW($I$2)+1,
1,
INDEX($I:$I,ROW()-1)+IF(INDEX($S:$S,ROW()-1),1,0))</f>
        <v>1</v>
      </c>
      <c r="J66" s="21">
        <f t="shared" ca="1" si="63"/>
        <v>64</v>
      </c>
      <c r="K66" s="21" t="str">
        <f t="shared" ca="1" si="68"/>
        <v/>
      </c>
      <c r="L66" s="21" t="str" cm="1">
        <f t="array" aca="1" ref="L66" ca="1">IF($P66="","",INDEX('Attack Steps'!$A:$A,$P66))</f>
        <v/>
      </c>
      <c r="M66" s="21" t="str" cm="1">
        <f t="array" aca="1" ref="M66" ca="1">IF($P66="","",INDEX('Attack Steps'!$T:$T,$P66))</f>
        <v/>
      </c>
      <c r="N66" s="21" t="str" cm="1">
        <f t="array" aca="1" ref="N66" ca="1">_xlfn.LET(_xlpm._dm,SanitizeInput(GetValuesWithFallback(SanitizeInput($AK66),Assumptions!$A:$I,Countermeasures!$A:$I,"",",",FALSE)),
IF(_xlpm._dm="","",","&amp;_xlpm._dm))</f>
        <v/>
      </c>
      <c r="O66" s="21" t="str" cm="1">
        <f t="array" aca="1" ref="O66" ca="1">ApplyDamageMitigation($M66,$N66,"")</f>
        <v/>
      </c>
      <c r="P66" s="21" t="str">
        <f ca="1">IFERROR(MATCH($I66,'Attack Steps'!$V:$V,0),"")</f>
        <v/>
      </c>
      <c r="Q66" s="21" t="str" cm="1">
        <f t="array" aca="1" ref="Q66" ca="1">IF($P66="","","§"&amp;INDEX('Attack Steps'!$S:$S,$P66))</f>
        <v/>
      </c>
      <c r="R66" s="21" t="str" cm="1">
        <f t="array" aca="1" ref="R66" ca="1">IF($P66="","",INDEX('Attack Steps'!$W:$W,$P66))</f>
        <v/>
      </c>
      <c r="S66" s="21" t="b">
        <f t="shared" ca="1" si="69"/>
        <v>0</v>
      </c>
      <c r="T66" s="21" cm="1">
        <f t="array" aca="1" ref="T66" ca="1">_xlfn.LAMBDA(_xlpm._in,_xlpm._val,_xlpm._range,
IF(_xlpm._in="",_xlpm._val,_xlfn.LET(
_xlpm._id,LEFT(_xlpm._in,FIND(",",_xlpm._in)-1),
CalculateMaxFromList(RemoveFirstElement(_xlpm._in),MAX(_xlpm._val,VLOOKUP(_xlpm._id,_xlpm._range,COLUMNS(_xlpm._range),FALSE)),_xlpm._range))))($M66,0,'Damage Scenarios'!$A:$U)</f>
        <v>0</v>
      </c>
      <c r="U66" s="21" cm="1">
        <f t="array" aca="1" ref="U66" ca="1">CalculateMaxFromList($O66,0,'Damage Scenarios'!$A:$U)</f>
        <v>0</v>
      </c>
      <c r="V66" s="21" t="str">
        <f ca="1">IF($U66=0,"",INDEX(Definitions!$Q:$Q,MATCH($U66,Definitions!$R:$R,0)))</f>
        <v/>
      </c>
      <c r="W66" s="21" t="str" cm="1">
        <f t="array" aca="1" ref="W66" ca="1">CalculateMaxAndElements($K66,0,"",'Attack Steps'!$A:X)</f>
        <v>0:</v>
      </c>
      <c r="X66" s="21" t="str" cm="1">
        <f t="array" aca="1" ref="X66" ca="1">CalculateMaxAndElements($K66,0,"",'Attack Steps'!$A:Y)</f>
        <v>0:</v>
      </c>
      <c r="Y66" s="21" t="str" cm="1">
        <f t="array" aca="1" ref="Y66" ca="1">CalculateMaxAndElements($K66,0,"",'Attack Steps'!$A:Z)</f>
        <v>0:</v>
      </c>
      <c r="Z66" s="21" t="str" cm="1">
        <f t="array" aca="1" ref="Z66" ca="1">CalculateMaxAndElements($K66,0,"",'Attack Steps'!$A:AA)</f>
        <v>0:</v>
      </c>
      <c r="AA66" s="21" t="str" cm="1">
        <f t="array" aca="1" ref="AA66" ca="1">CalculateMaxAndElements($K66,0,"",'Attack Steps'!$A:AB)</f>
        <v>0:</v>
      </c>
      <c r="AB66" s="21">
        <f t="shared" ca="1" si="70"/>
        <v>0</v>
      </c>
      <c r="AC66" s="21">
        <f t="shared" ca="1" si="71"/>
        <v>0</v>
      </c>
      <c r="AD66" s="21">
        <f t="shared" ca="1" si="72"/>
        <v>0</v>
      </c>
      <c r="AE66" s="21">
        <f t="shared" ca="1" si="73"/>
        <v>0</v>
      </c>
      <c r="AF66" s="21">
        <f t="shared" ca="1" si="74"/>
        <v>0</v>
      </c>
      <c r="AG66" s="21">
        <f t="shared" ca="1" si="64"/>
        <v>0</v>
      </c>
      <c r="AH66" s="21" t="str" cm="1">
        <f t="array" aca="1" ref="AH66" ca="1">IF(ROW()=ROW($AH$2)+1,"",INDEX($AH:$AH,ROW()-1))&amp;IF($A66="","",$A66&amp;",")</f>
        <v/>
      </c>
      <c r="AI66" s="21" t="str">
        <f t="shared" ca="1" si="75"/>
        <v/>
      </c>
      <c r="AJ66" s="21" cm="1">
        <f t="array" aca="1" ref="AJ66" ca="1">IF($G66="",0,SimpleLookup($G66,Definitions!$AE:$AF))</f>
        <v>0</v>
      </c>
      <c r="AK66" s="21" t="str" cm="1">
        <f t="array" aca="1" ref="AK66" ca="1">InverseLookup($A66,Mitigation!$U$2,Mitigation!$J$2,1,Helper!$B$5,",")</f>
        <v/>
      </c>
      <c r="AL66" s="21" t="str" cm="1">
        <f t="array" aca="1" ref="AL66" ca="1">CalculateMaxAndElementsWithFallback(SanitizeInput($AK66),0,"",Countermeasures!$A:Y,Assumptions!$A:Z)</f>
        <v>0:</v>
      </c>
      <c r="AM66" s="21" t="str" cm="1">
        <f t="array" aca="1" ref="AM66" ca="1">CalculateMaxAndElementsWithFallback(SanitizeInput($AK66),0,"",Countermeasures!$A:Z,Assumptions!$A:AA)</f>
        <v>0:</v>
      </c>
      <c r="AN66" s="21" t="str" cm="1">
        <f t="array" aca="1" ref="AN66" ca="1">CalculateMaxAndElementsWithFallback(SanitizeInput($AK66),0,"",Countermeasures!$A:AA,Assumptions!$A:AB)</f>
        <v>0:</v>
      </c>
      <c r="AO66" s="21" t="str" cm="1">
        <f t="array" aca="1" ref="AO66" ca="1">CalculateMaxAndElementsWithFallback(SanitizeInput($AK66),0,"",Countermeasures!$A:AB,Assumptions!$A:AC)</f>
        <v>0:</v>
      </c>
      <c r="AP66" s="21" t="str" cm="1">
        <f t="array" aca="1" ref="AP66" ca="1">CalculateMaxAndElementsWithFallback(SanitizeInput($AK66),0,"",Countermeasures!$A:AC,Assumptions!$A:AD)</f>
        <v>0:</v>
      </c>
      <c r="AQ66" s="21">
        <f t="shared" ca="1" si="76"/>
        <v>0</v>
      </c>
      <c r="AR66" s="21">
        <f t="shared" ca="1" si="77"/>
        <v>0</v>
      </c>
      <c r="AS66" s="21">
        <f t="shared" ca="1" si="78"/>
        <v>0</v>
      </c>
      <c r="AT66" s="21">
        <f t="shared" ca="1" si="79"/>
        <v>0</v>
      </c>
      <c r="AU66" s="21">
        <f t="shared" ca="1" si="80"/>
        <v>0</v>
      </c>
      <c r="AV66" s="21" t="str">
        <f t="shared" ca="1" si="81"/>
        <v>0:</v>
      </c>
      <c r="AW66" s="21" t="str">
        <f t="shared" ca="1" si="82"/>
        <v>0:</v>
      </c>
      <c r="AX66" s="21" t="str">
        <f t="shared" ca="1" si="83"/>
        <v>0:</v>
      </c>
      <c r="AY66" s="21" t="str">
        <f t="shared" ca="1" si="84"/>
        <v>0:</v>
      </c>
      <c r="AZ66" s="21" t="str">
        <f t="shared" ca="1" si="85"/>
        <v>0:</v>
      </c>
      <c r="BA66" s="21">
        <f t="shared" ca="1" si="86"/>
        <v>0</v>
      </c>
      <c r="BB66" s="21">
        <f t="shared" ca="1" si="87"/>
        <v>0</v>
      </c>
      <c r="BC66" s="21">
        <f t="shared" ca="1" si="88"/>
        <v>0</v>
      </c>
      <c r="BD66" s="21">
        <f t="shared" ca="1" si="89"/>
        <v>0</v>
      </c>
      <c r="BE66" s="21">
        <f t="shared" ca="1" si="90"/>
        <v>0</v>
      </c>
      <c r="BF66" s="21">
        <f t="shared" ca="1" si="65"/>
        <v>0</v>
      </c>
      <c r="BG66" s="21" t="str">
        <f ca="1">IFERROR(VLOOKUP($BF66,Definitions!$V:$W,COLUMNS(Definitions!$V:$W),TRUE),"")</f>
        <v>Basic</v>
      </c>
      <c r="BH66" s="21" t="str">
        <f ca="1">_xlfn.LET(
_xlpm._comments,GetValues($K66,Mitigation!$A:$O,"","",FALSE),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66" s="21" t="str" cm="1">
        <f t="array" aca="1" ref="BI66" ca="1">_xlfn.LET(
_xlpm._rapRange,Definitions!$W:$W,
_xlpm._calculatedRAP,$BG66,
_xlpm._inlineRAP,$BH66,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66" s="21" t="str">
        <f ca="1">IFERROR(IF(OR($V66="",$BI66=""),
Definitions!$AE$4,
VLOOKUP($V66,Definitions!$AH:$AM,MATCH($BI66,Definitions!$AH$3:$AM$3,0),FALSE)),
"")</f>
        <v>No Risk</v>
      </c>
      <c r="BK66" s="21" cm="1">
        <f t="array" aca="1" ref="BK66" ca="1">IF($BJ66="",0,SimpleLookup($BJ66,Definitions!$AE:$AF))</f>
        <v>0</v>
      </c>
      <c r="BL66" s="21" t="str" cm="1">
        <f t="array" aca="1" ref="BL66" ca="1">IFERROR(SimpleLookup($A66,Tracing!$B:$Z),"")</f>
        <v/>
      </c>
      <c r="BM66" s="21" t="str" cm="1">
        <f t="array" aca="1" ref="BM66" ca="1">_xlfn.LET(_xlpm._dm,SanitizeInput(GetValuesWithFallback(SanitizeInput($BL66),Assumptions!$A:$I,Countermeasures!$A:$I,"",",",FALSE)),
IF(_xlpm._dm="","",","&amp;_xlpm._dm))</f>
        <v/>
      </c>
      <c r="BN66" s="21" t="str" cm="1">
        <f t="array" aca="1" ref="BN66" ca="1">ApplyDamageMitigation($M66,$BM66,"")</f>
        <v/>
      </c>
      <c r="BO66" s="21" cm="1">
        <f t="array" aca="1" ref="BO66" ca="1">CalculateMaxFromList($BN66,0,'Damage Scenarios'!$A:$U)</f>
        <v>0</v>
      </c>
      <c r="BP66" s="21" t="str">
        <f ca="1">IF($BO66=0,"",INDEX(Definitions!$Q:$Q,MATCH($BO66,Definitions!$R:$R,0)))</f>
        <v/>
      </c>
      <c r="BQ66" s="21" t="str" cm="1">
        <f t="array" aca="1" ref="BQ66" ca="1">CalculateMaxAndElementsWithFallback(SanitizeInput($BL66),0,"",Countermeasures!$A:Y,Assumptions!$A:Z)</f>
        <v>0:</v>
      </c>
      <c r="BR66" s="21" t="str" cm="1">
        <f t="array" aca="1" ref="BR66" ca="1">CalculateMaxAndElementsWithFallback(SanitizeInput($BL66),0,"",Countermeasures!$A:Z,Assumptions!$A:AA)</f>
        <v>0:</v>
      </c>
      <c r="BS66" s="21" t="str" cm="1">
        <f t="array" aca="1" ref="BS66" ca="1">CalculateMaxAndElementsWithFallback(SanitizeInput($BL66),0,"",Countermeasures!$A:AA,Assumptions!$A:AB)</f>
        <v>0:</v>
      </c>
      <c r="BT66" s="21" t="str" cm="1">
        <f t="array" aca="1" ref="BT66" ca="1">CalculateMaxAndElementsWithFallback(SanitizeInput($BL66),0,"",Countermeasures!$A:AB,Assumptions!$A:AC)</f>
        <v>0:</v>
      </c>
      <c r="BU66" s="21" t="str" cm="1">
        <f t="array" aca="1" ref="BU66" ca="1">CalculateMaxAndElementsWithFallback(SanitizeInput($BL66),0,"",Countermeasures!$A:AC,Assumptions!$A:AD)</f>
        <v>0:</v>
      </c>
      <c r="BV66" s="21">
        <f t="shared" ca="1" si="25"/>
        <v>0</v>
      </c>
      <c r="BW66" s="21">
        <f t="shared" ca="1" si="26"/>
        <v>0</v>
      </c>
      <c r="BX66" s="21">
        <f t="shared" ca="1" si="27"/>
        <v>0</v>
      </c>
      <c r="BY66" s="21">
        <f t="shared" ca="1" si="28"/>
        <v>0</v>
      </c>
      <c r="BZ66" s="21">
        <f t="shared" ca="1" si="29"/>
        <v>0</v>
      </c>
      <c r="CA66" s="21" t="str">
        <f t="shared" ca="1" si="30"/>
        <v>0:</v>
      </c>
      <c r="CB66" s="21" t="str">
        <f t="shared" ca="1" si="31"/>
        <v>0:</v>
      </c>
      <c r="CC66" s="21" t="str">
        <f t="shared" ca="1" si="32"/>
        <v>0:</v>
      </c>
      <c r="CD66" s="21" t="str">
        <f t="shared" ca="1" si="33"/>
        <v>0:</v>
      </c>
      <c r="CE66" s="21" t="str">
        <f t="shared" ca="1" si="34"/>
        <v>0:</v>
      </c>
      <c r="CF66" s="21">
        <f t="shared" ca="1" si="35"/>
        <v>0</v>
      </c>
      <c r="CG66" s="21">
        <f t="shared" ca="1" si="36"/>
        <v>0</v>
      </c>
      <c r="CH66" s="21">
        <f t="shared" ca="1" si="37"/>
        <v>0</v>
      </c>
      <c r="CI66" s="21">
        <f t="shared" ca="1" si="38"/>
        <v>0</v>
      </c>
      <c r="CJ66" s="21">
        <f t="shared" ca="1" si="39"/>
        <v>0</v>
      </c>
      <c r="CK66" s="21">
        <f t="shared" ca="1" si="66"/>
        <v>0</v>
      </c>
      <c r="CL66" s="21" t="str">
        <f ca="1">IFERROR(VLOOKUP($CK66,Definitions!$V:$W,COLUMNS(Definitions!$V:$W),TRUE),"")</f>
        <v>Basic</v>
      </c>
      <c r="CM66" s="21" t="str">
        <f ca="1">_xlfn.LET(
_xlpm._comments,SimpleLookup($A66,Tracing!$B:$AB),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66" s="21" t="str" cm="1">
        <f t="array" aca="1" ref="CN66" ca="1">_xlfn.LET(
_xlpm._rapRange,Definitions!$W:$W,
_xlpm._calculatedRAP,$CL66,
_xlpm._inlineRAP,$CM66,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66" s="21" t="str">
        <f ca="1">IFERROR(IF(OR($BP66="",$CN66=""),
Definitions!$AE$4,
VLOOKUP($BP66,Definitions!$AH:$AM,MATCH($CN66,Definitions!$AH$3:$AM$3,0),FALSE)),
"")</f>
        <v>No Risk</v>
      </c>
      <c r="CP66" s="21" cm="1">
        <f t="array" aca="1" ref="CP66" ca="1">IF($CO66="",0,SimpleLookup($CO66,Definitions!$AE:$AF))</f>
        <v>0</v>
      </c>
      <c r="CQ66" s="21" t="b">
        <f ca="1">OR(AND($S66,$I66=Helper!$B$7),$I66&gt;Helper!$B$7)</f>
        <v>1</v>
      </c>
      <c r="CR66" s="21" t="str">
        <f t="shared" ca="1" si="67"/>
        <v/>
      </c>
      <c r="CS66" s="21" cm="1">
        <f t="array" aca="1" ref="CS66" ca="1">CreateID($CS$2,$CV:$CV,$CR66&lt;&gt;"")</f>
        <v>0</v>
      </c>
      <c r="CT66" s="21" t="str">
        <f ca="1">IF(IFERROR(MATCH(","&amp;A66&amp;",",'Risk Treatment'!$AT:$AT,0)&gt;0,FALSE),"",$A66)</f>
        <v/>
      </c>
      <c r="CU66" s="21" cm="1">
        <f t="array" aca="1" ref="CU66" ca="1">CreateID($CU$2,$CU:$CU,$CT66&lt;&gt;"")</f>
        <v>0</v>
      </c>
    </row>
    <row r="67" spans="1:99" x14ac:dyDescent="0.25">
      <c r="A67" s="33" t="str" cm="1">
        <f t="array" aca="1" ref="A67" ca="1">IF($B67="","","R"&amp;RemoveDelimiter(SUBSTITUTE(SUBSTITUTE($K67,"AS",""),",","-"),"-"))</f>
        <v/>
      </c>
      <c r="B67" s="33" t="str" cm="1">
        <f t="array" aca="1" ref="B67" ca="1">IF($L67="","",_xlfn.LET(
_xlpm._finalAttackStep,$L67,
_xlpm._prepAttacks,RemoveFirstElement(_xlpm._finalAttackStep&amp;","&amp;$K67),
_xlpm._prepAttackNames,IFERROR(LookupNames(_xlpm._prepAttacks,'Attack Steps'!$A:$B),""),
_xlpm._delimiter,REPT(CHAR(150),55),
$L67&amp;" "&amp;SimpleLookup($L67,'Attack Steps'!$A:$B)&amp;
IF(_xlpm._prepAttackNames="","",CHAR(10)&amp;_xlpm._delimiter&amp;CHAR(10)&amp;_xlpm._prepAttackNames)))</f>
        <v/>
      </c>
      <c r="C67" s="34" t="str" cm="1">
        <f t="array" aca="1" ref="C67" ca="1">IFERROR(LookupNames($M67,'Damage Scenarios'!$A:$V),"")</f>
        <v/>
      </c>
      <c r="D67" s="33" t="str">
        <f ca="1">IFERROR(IF($T67=0,"",INDEX(Definitions!$Q:$Q,MATCH($T67,Definitions!$R:$R,0))),"")</f>
        <v/>
      </c>
      <c r="E67" s="34" t="str" cm="1">
        <f t="array" aca="1" ref="E67" ca="1">IF($A67="","",_xlfn.LET(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_xlpm._factorFunction($A67,$A:W,Definitions!$Y:$Y,Definitions!$AB:$AB,1)&amp;CHAR(10)&amp;
_xlpm._factorFunction($A67,$A:X,Definitions!$Y:$Y,Definitions!$AB:$AB,2)&amp;CHAR(10)&amp;
_xlpm._factorFunction($A67,$A:Y,Definitions!$Y:$Y,Definitions!$AB:$AB,3)&amp;CHAR(10)&amp;
_xlpm._factorFunction($A67,$A:Z,Definitions!$Y:$Y,Definitions!$AB:$AB,4)&amp;CHAR(10)&amp;
_xlpm._factorFunction($A67,$A:AA,Definitions!$Y:$Y,Definitions!$AB:$AB,5)))</f>
        <v/>
      </c>
      <c r="F67" s="33" t="str">
        <f ca="1">IF($A67="","",IFERROR(VLOOKUP($AG67,Definitions!$V:$W,COLUMNS(Definitions!$V:$W),TRUE),""))</f>
        <v/>
      </c>
      <c r="G67" s="33" t="str">
        <f ca="1">IFERROR(IF(OR($D67="",$F67=""),
"",
VLOOKUP($D67,Definitions!$AH:$AM,MATCH($F67,Definitions!$AH$3:$AM$3,0),FALSE)),
"")</f>
        <v/>
      </c>
      <c r="H67" s="23" cm="1">
        <f t="array" aca="1" ref="H67" ca="1">IF(ROW()=ROW($H$2)+1,0,INDEX($H:$H,ROW()-1))+IF($A67="",0,1)</f>
        <v>0</v>
      </c>
      <c r="I67" s="21" cm="1">
        <f t="array" aca="1" ref="I67" ca="1">IF(ROW()=ROW($I$2)+1,
1,
INDEX($I:$I,ROW()-1)+IF(INDEX($S:$S,ROW()-1),1,0))</f>
        <v>1</v>
      </c>
      <c r="J67" s="21">
        <f t="shared" ref="J67:J77" ca="1" si="91">COUNTIF(OFFSET($I$2,1,0,ROW()-ROW($I$2),1),$I67)</f>
        <v>65</v>
      </c>
      <c r="K67" s="21" t="str">
        <f t="shared" ca="1" si="68"/>
        <v/>
      </c>
      <c r="L67" s="21" t="str" cm="1">
        <f t="array" aca="1" ref="L67" ca="1">IF($P67="","",INDEX('Attack Steps'!$A:$A,$P67))</f>
        <v/>
      </c>
      <c r="M67" s="21" t="str" cm="1">
        <f t="array" aca="1" ref="M67" ca="1">IF($P67="","",INDEX('Attack Steps'!$T:$T,$P67))</f>
        <v/>
      </c>
      <c r="N67" s="21" t="str" cm="1">
        <f t="array" aca="1" ref="N67" ca="1">_xlfn.LET(_xlpm._dm,SanitizeInput(GetValuesWithFallback(SanitizeInput($AK67),Assumptions!$A:$I,Countermeasures!$A:$I,"",",",FALSE)),
IF(_xlpm._dm="","",","&amp;_xlpm._dm))</f>
        <v/>
      </c>
      <c r="O67" s="21" t="str" cm="1">
        <f t="array" aca="1" ref="O67" ca="1">ApplyDamageMitigation($M67,$N67,"")</f>
        <v/>
      </c>
      <c r="P67" s="21" t="str">
        <f ca="1">IFERROR(MATCH($I67,'Attack Steps'!$V:$V,0),"")</f>
        <v/>
      </c>
      <c r="Q67" s="21" t="str" cm="1">
        <f t="array" aca="1" ref="Q67" ca="1">IF($P67="","","§"&amp;INDEX('Attack Steps'!$S:$S,$P67))</f>
        <v/>
      </c>
      <c r="R67" s="21" t="str" cm="1">
        <f t="array" aca="1" ref="R67" ca="1">IF($P67="","",INDEX('Attack Steps'!$W:$W,$P67))</f>
        <v/>
      </c>
      <c r="S67" s="21" t="b">
        <f t="shared" ca="1" si="69"/>
        <v>0</v>
      </c>
      <c r="T67" s="21" cm="1">
        <f t="array" aca="1" ref="T67" ca="1">_xlfn.LAMBDA(_xlpm._in,_xlpm._val,_xlpm._range,
IF(_xlpm._in="",_xlpm._val,_xlfn.LET(
_xlpm._id,LEFT(_xlpm._in,FIND(",",_xlpm._in)-1),
CalculateMaxFromList(RemoveFirstElement(_xlpm._in),MAX(_xlpm._val,VLOOKUP(_xlpm._id,_xlpm._range,COLUMNS(_xlpm._range),FALSE)),_xlpm._range))))($M67,0,'Damage Scenarios'!$A:$U)</f>
        <v>0</v>
      </c>
      <c r="U67" s="21" cm="1">
        <f t="array" aca="1" ref="U67" ca="1">CalculateMaxFromList($O67,0,'Damage Scenarios'!$A:$U)</f>
        <v>0</v>
      </c>
      <c r="V67" s="21" t="str">
        <f ca="1">IF($U67=0,"",INDEX(Definitions!$Q:$Q,MATCH($U67,Definitions!$R:$R,0)))</f>
        <v/>
      </c>
      <c r="W67" s="21" t="str" cm="1">
        <f t="array" aca="1" ref="W67" ca="1">CalculateMaxAndElements($K67,0,"",'Attack Steps'!$A:X)</f>
        <v>0:</v>
      </c>
      <c r="X67" s="21" t="str" cm="1">
        <f t="array" aca="1" ref="X67" ca="1">CalculateMaxAndElements($K67,0,"",'Attack Steps'!$A:Y)</f>
        <v>0:</v>
      </c>
      <c r="Y67" s="21" t="str" cm="1">
        <f t="array" aca="1" ref="Y67" ca="1">CalculateMaxAndElements($K67,0,"",'Attack Steps'!$A:Z)</f>
        <v>0:</v>
      </c>
      <c r="Z67" s="21" t="str" cm="1">
        <f t="array" aca="1" ref="Z67" ca="1">CalculateMaxAndElements($K67,0,"",'Attack Steps'!$A:AA)</f>
        <v>0:</v>
      </c>
      <c r="AA67" s="21" t="str" cm="1">
        <f t="array" aca="1" ref="AA67" ca="1">CalculateMaxAndElements($K67,0,"",'Attack Steps'!$A:AB)</f>
        <v>0:</v>
      </c>
      <c r="AB67" s="21">
        <f t="shared" ca="1" si="70"/>
        <v>0</v>
      </c>
      <c r="AC67" s="21">
        <f t="shared" ca="1" si="71"/>
        <v>0</v>
      </c>
      <c r="AD67" s="21">
        <f t="shared" ca="1" si="72"/>
        <v>0</v>
      </c>
      <c r="AE67" s="21">
        <f t="shared" ca="1" si="73"/>
        <v>0</v>
      </c>
      <c r="AF67" s="21">
        <f t="shared" ca="1" si="74"/>
        <v>0</v>
      </c>
      <c r="AG67" s="21">
        <f t="shared" ref="AG67:AG77" ca="1" si="92">SUM(OFFSET($AB67,0,0,1,COLUMNS($AB:$AF)))</f>
        <v>0</v>
      </c>
      <c r="AH67" s="21" t="str" cm="1">
        <f t="array" aca="1" ref="AH67" ca="1">IF(ROW()=ROW($AH$2)+1,"",INDEX($AH:$AH,ROW()-1))&amp;IF($A67="","",$A67&amp;",")</f>
        <v/>
      </c>
      <c r="AI67" s="21" t="str">
        <f t="shared" ca="1" si="75"/>
        <v/>
      </c>
      <c r="AJ67" s="21" cm="1">
        <f t="array" aca="1" ref="AJ67" ca="1">IF($G67="",0,SimpleLookup($G67,Definitions!$AE:$AF))</f>
        <v>0</v>
      </c>
      <c r="AK67" s="21" t="str" cm="1">
        <f t="array" aca="1" ref="AK67" ca="1">InverseLookup($A67,Mitigation!$U$2,Mitigation!$J$2,1,Helper!$B$5,",")</f>
        <v/>
      </c>
      <c r="AL67" s="21" t="str" cm="1">
        <f t="array" aca="1" ref="AL67" ca="1">CalculateMaxAndElementsWithFallback(SanitizeInput($AK67),0,"",Countermeasures!$A:Y,Assumptions!$A:Z)</f>
        <v>0:</v>
      </c>
      <c r="AM67" s="21" t="str" cm="1">
        <f t="array" aca="1" ref="AM67" ca="1">CalculateMaxAndElementsWithFallback(SanitizeInput($AK67),0,"",Countermeasures!$A:Z,Assumptions!$A:AA)</f>
        <v>0:</v>
      </c>
      <c r="AN67" s="21" t="str" cm="1">
        <f t="array" aca="1" ref="AN67" ca="1">CalculateMaxAndElementsWithFallback(SanitizeInput($AK67),0,"",Countermeasures!$A:AA,Assumptions!$A:AB)</f>
        <v>0:</v>
      </c>
      <c r="AO67" s="21" t="str" cm="1">
        <f t="array" aca="1" ref="AO67" ca="1">CalculateMaxAndElementsWithFallback(SanitizeInput($AK67),0,"",Countermeasures!$A:AB,Assumptions!$A:AC)</f>
        <v>0:</v>
      </c>
      <c r="AP67" s="21" t="str" cm="1">
        <f t="array" aca="1" ref="AP67" ca="1">CalculateMaxAndElementsWithFallback(SanitizeInput($AK67),0,"",Countermeasures!$A:AC,Assumptions!$A:AD)</f>
        <v>0:</v>
      </c>
      <c r="AQ67" s="21">
        <f t="shared" ca="1" si="76"/>
        <v>0</v>
      </c>
      <c r="AR67" s="21">
        <f t="shared" ca="1" si="77"/>
        <v>0</v>
      </c>
      <c r="AS67" s="21">
        <f t="shared" ca="1" si="78"/>
        <v>0</v>
      </c>
      <c r="AT67" s="21">
        <f t="shared" ca="1" si="79"/>
        <v>0</v>
      </c>
      <c r="AU67" s="21">
        <f t="shared" ca="1" si="80"/>
        <v>0</v>
      </c>
      <c r="AV67" s="21" t="str">
        <f t="shared" ca="1" si="81"/>
        <v>0:</v>
      </c>
      <c r="AW67" s="21" t="str">
        <f t="shared" ca="1" si="82"/>
        <v>0:</v>
      </c>
      <c r="AX67" s="21" t="str">
        <f t="shared" ca="1" si="83"/>
        <v>0:</v>
      </c>
      <c r="AY67" s="21" t="str">
        <f t="shared" ca="1" si="84"/>
        <v>0:</v>
      </c>
      <c r="AZ67" s="21" t="str">
        <f t="shared" ca="1" si="85"/>
        <v>0:</v>
      </c>
      <c r="BA67" s="21">
        <f t="shared" ca="1" si="86"/>
        <v>0</v>
      </c>
      <c r="BB67" s="21">
        <f t="shared" ca="1" si="87"/>
        <v>0</v>
      </c>
      <c r="BC67" s="21">
        <f t="shared" ca="1" si="88"/>
        <v>0</v>
      </c>
      <c r="BD67" s="21">
        <f t="shared" ca="1" si="89"/>
        <v>0</v>
      </c>
      <c r="BE67" s="21">
        <f t="shared" ca="1" si="90"/>
        <v>0</v>
      </c>
      <c r="BF67" s="21">
        <f t="shared" ref="BF67:BF77" ca="1" si="93">SUM(OFFSET($BA67,0,0,1,COLUMNS($BA:$BE)))</f>
        <v>0</v>
      </c>
      <c r="BG67" s="21" t="str">
        <f ca="1">IFERROR(VLOOKUP($BF67,Definitions!$V:$W,COLUMNS(Definitions!$V:$W),TRUE),"")</f>
        <v>Basic</v>
      </c>
      <c r="BH67" s="21" t="str">
        <f ca="1">_xlfn.LET(
_xlpm._comments,GetValues($K67,Mitigation!$A:$O,"","",FALSE),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67" s="21" t="str" cm="1">
        <f t="array" aca="1" ref="BI67" ca="1">_xlfn.LET(
_xlpm._rapRange,Definitions!$W:$W,
_xlpm._calculatedRAP,$BG67,
_xlpm._inlineRAP,$BH67,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67" s="21" t="str">
        <f ca="1">IFERROR(IF(OR($V67="",$BI67=""),
Definitions!$AE$4,
VLOOKUP($V67,Definitions!$AH:$AM,MATCH($BI67,Definitions!$AH$3:$AM$3,0),FALSE)),
"")</f>
        <v>No Risk</v>
      </c>
      <c r="BK67" s="21" cm="1">
        <f t="array" aca="1" ref="BK67" ca="1">IF($BJ67="",0,SimpleLookup($BJ67,Definitions!$AE:$AF))</f>
        <v>0</v>
      </c>
      <c r="BL67" s="21" t="str" cm="1">
        <f t="array" aca="1" ref="BL67" ca="1">IFERROR(SimpleLookup($A67,Tracing!$B:$Z),"")</f>
        <v/>
      </c>
      <c r="BM67" s="21" t="str" cm="1">
        <f t="array" aca="1" ref="BM67" ca="1">_xlfn.LET(_xlpm._dm,SanitizeInput(GetValuesWithFallback(SanitizeInput($BL67),Assumptions!$A:$I,Countermeasures!$A:$I,"",",",FALSE)),
IF(_xlpm._dm="","",","&amp;_xlpm._dm))</f>
        <v/>
      </c>
      <c r="BN67" s="21" t="str" cm="1">
        <f t="array" aca="1" ref="BN67" ca="1">ApplyDamageMitigation($M67,$BM67,"")</f>
        <v/>
      </c>
      <c r="BO67" s="21" cm="1">
        <f t="array" aca="1" ref="BO67" ca="1">CalculateMaxFromList($BN67,0,'Damage Scenarios'!$A:$U)</f>
        <v>0</v>
      </c>
      <c r="BP67" s="21" t="str">
        <f ca="1">IF($BO67=0,"",INDEX(Definitions!$Q:$Q,MATCH($BO67,Definitions!$R:$R,0)))</f>
        <v/>
      </c>
      <c r="BQ67" s="21" t="str" cm="1">
        <f t="array" aca="1" ref="BQ67" ca="1">CalculateMaxAndElementsWithFallback(SanitizeInput($BL67),0,"",Countermeasures!$A:Y,Assumptions!$A:Z)</f>
        <v>0:</v>
      </c>
      <c r="BR67" s="21" t="str" cm="1">
        <f t="array" aca="1" ref="BR67" ca="1">CalculateMaxAndElementsWithFallback(SanitizeInput($BL67),0,"",Countermeasures!$A:Z,Assumptions!$A:AA)</f>
        <v>0:</v>
      </c>
      <c r="BS67" s="21" t="str" cm="1">
        <f t="array" aca="1" ref="BS67" ca="1">CalculateMaxAndElementsWithFallback(SanitizeInput($BL67),0,"",Countermeasures!$A:AA,Assumptions!$A:AB)</f>
        <v>0:</v>
      </c>
      <c r="BT67" s="21" t="str" cm="1">
        <f t="array" aca="1" ref="BT67" ca="1">CalculateMaxAndElementsWithFallback(SanitizeInput($BL67),0,"",Countermeasures!$A:AB,Assumptions!$A:AC)</f>
        <v>0:</v>
      </c>
      <c r="BU67" s="21" t="str" cm="1">
        <f t="array" aca="1" ref="BU67" ca="1">CalculateMaxAndElementsWithFallback(SanitizeInput($BL67),0,"",Countermeasures!$A:AC,Assumptions!$A:AD)</f>
        <v>0:</v>
      </c>
      <c r="BV67" s="21">
        <f t="shared" ca="1" si="25"/>
        <v>0</v>
      </c>
      <c r="BW67" s="21">
        <f t="shared" ca="1" si="26"/>
        <v>0</v>
      </c>
      <c r="BX67" s="21">
        <f t="shared" ca="1" si="27"/>
        <v>0</v>
      </c>
      <c r="BY67" s="21">
        <f t="shared" ca="1" si="28"/>
        <v>0</v>
      </c>
      <c r="BZ67" s="21">
        <f t="shared" ca="1" si="29"/>
        <v>0</v>
      </c>
      <c r="CA67" s="21" t="str">
        <f t="shared" ca="1" si="30"/>
        <v>0:</v>
      </c>
      <c r="CB67" s="21" t="str">
        <f t="shared" ca="1" si="31"/>
        <v>0:</v>
      </c>
      <c r="CC67" s="21" t="str">
        <f t="shared" ca="1" si="32"/>
        <v>0:</v>
      </c>
      <c r="CD67" s="21" t="str">
        <f t="shared" ca="1" si="33"/>
        <v>0:</v>
      </c>
      <c r="CE67" s="21" t="str">
        <f t="shared" ca="1" si="34"/>
        <v>0:</v>
      </c>
      <c r="CF67" s="21">
        <f t="shared" ca="1" si="35"/>
        <v>0</v>
      </c>
      <c r="CG67" s="21">
        <f t="shared" ca="1" si="36"/>
        <v>0</v>
      </c>
      <c r="CH67" s="21">
        <f t="shared" ca="1" si="37"/>
        <v>0</v>
      </c>
      <c r="CI67" s="21">
        <f t="shared" ca="1" si="38"/>
        <v>0</v>
      </c>
      <c r="CJ67" s="21">
        <f t="shared" ca="1" si="39"/>
        <v>0</v>
      </c>
      <c r="CK67" s="21">
        <f t="shared" ref="CK67:CK77" ca="1" si="94">SUM(OFFSET($CF67,0,0,1,COLUMNS($CF:$CJ)))</f>
        <v>0</v>
      </c>
      <c r="CL67" s="21" t="str">
        <f ca="1">IFERROR(VLOOKUP($CK67,Definitions!$V:$W,COLUMNS(Definitions!$V:$W),TRUE),"")</f>
        <v>Basic</v>
      </c>
      <c r="CM67" s="21" t="str">
        <f ca="1">_xlfn.LET(
_xlpm._comments,SimpleLookup($A67,Tracing!$B:$AB),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67" s="21" t="str" cm="1">
        <f t="array" aca="1" ref="CN67" ca="1">_xlfn.LET(
_xlpm._rapRange,Definitions!$W:$W,
_xlpm._calculatedRAP,$CL67,
_xlpm._inlineRAP,$CM67,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67" s="21" t="str">
        <f ca="1">IFERROR(IF(OR($BP67="",$CN67=""),
Definitions!$AE$4,
VLOOKUP($BP67,Definitions!$AH:$AM,MATCH($CN67,Definitions!$AH$3:$AM$3,0),FALSE)),
"")</f>
        <v>No Risk</v>
      </c>
      <c r="CP67" s="21" cm="1">
        <f t="array" aca="1" ref="CP67" ca="1">IF($CO67="",0,SimpleLookup($CO67,Definitions!$AE:$AF))</f>
        <v>0</v>
      </c>
      <c r="CQ67" s="21" t="b">
        <f ca="1">OR(AND($S67,$I67=Helper!$B$7),$I67&gt;Helper!$B$7)</f>
        <v>1</v>
      </c>
      <c r="CR67" s="21" t="str">
        <f t="shared" ca="1" si="67"/>
        <v/>
      </c>
      <c r="CS67" s="21" cm="1">
        <f t="array" aca="1" ref="CS67" ca="1">CreateID($CS$2,$CV:$CV,$CR67&lt;&gt;"")</f>
        <v>0</v>
      </c>
      <c r="CT67" s="21" t="str">
        <f ca="1">IF(IFERROR(MATCH(","&amp;A67&amp;",",'Risk Treatment'!$AT:$AT,0)&gt;0,FALSE),"",$A67)</f>
        <v/>
      </c>
      <c r="CU67" s="21" cm="1">
        <f t="array" aca="1" ref="CU67" ca="1">CreateID($CU$2,$CU:$CU,$CT67&lt;&gt;"")</f>
        <v>0</v>
      </c>
    </row>
    <row r="68" spans="1:99" x14ac:dyDescent="0.25">
      <c r="A68" s="33" t="str" cm="1">
        <f t="array" aca="1" ref="A68" ca="1">IF($B68="","","R"&amp;RemoveDelimiter(SUBSTITUTE(SUBSTITUTE($K68,"AS",""),",","-"),"-"))</f>
        <v/>
      </c>
      <c r="B68" s="33" t="str" cm="1">
        <f t="array" aca="1" ref="B68" ca="1">IF($L68="","",_xlfn.LET(
_xlpm._finalAttackStep,$L68,
_xlpm._prepAttacks,RemoveFirstElement(_xlpm._finalAttackStep&amp;","&amp;$K68),
_xlpm._prepAttackNames,IFERROR(LookupNames(_xlpm._prepAttacks,'Attack Steps'!$A:$B),""),
_xlpm._delimiter,REPT(CHAR(150),55),
$L68&amp;" "&amp;SimpleLookup($L68,'Attack Steps'!$A:$B)&amp;
IF(_xlpm._prepAttackNames="","",CHAR(10)&amp;_xlpm._delimiter&amp;CHAR(10)&amp;_xlpm._prepAttackNames)))</f>
        <v/>
      </c>
      <c r="C68" s="34" t="str" cm="1">
        <f t="array" aca="1" ref="C68" ca="1">IFERROR(LookupNames($M68,'Damage Scenarios'!$A:$V),"")</f>
        <v/>
      </c>
      <c r="D68" s="33" t="str">
        <f ca="1">IFERROR(IF($T68=0,"",INDEX(Definitions!$Q:$Q,MATCH($T68,Definitions!$R:$R,0))),"")</f>
        <v/>
      </c>
      <c r="E68" s="34" t="str" cm="1">
        <f t="array" aca="1" ref="E68" ca="1">IF($A68="","",_xlfn.LET(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_xlpm._factorFunction($A68,$A:W,Definitions!$Y:$Y,Definitions!$AB:$AB,1)&amp;CHAR(10)&amp;
_xlpm._factorFunction($A68,$A:X,Definitions!$Y:$Y,Definitions!$AB:$AB,2)&amp;CHAR(10)&amp;
_xlpm._factorFunction($A68,$A:Y,Definitions!$Y:$Y,Definitions!$AB:$AB,3)&amp;CHAR(10)&amp;
_xlpm._factorFunction($A68,$A:Z,Definitions!$Y:$Y,Definitions!$AB:$AB,4)&amp;CHAR(10)&amp;
_xlpm._factorFunction($A68,$A:AA,Definitions!$Y:$Y,Definitions!$AB:$AB,5)))</f>
        <v/>
      </c>
      <c r="F68" s="33" t="str">
        <f ca="1">IF($A68="","",IFERROR(VLOOKUP($AG68,Definitions!$V:$W,COLUMNS(Definitions!$V:$W),TRUE),""))</f>
        <v/>
      </c>
      <c r="G68" s="33" t="str">
        <f ca="1">IFERROR(IF(OR($D68="",$F68=""),
"",
VLOOKUP($D68,Definitions!$AH:$AM,MATCH($F68,Definitions!$AH$3:$AM$3,0),FALSE)),
"")</f>
        <v/>
      </c>
      <c r="H68" s="23" cm="1">
        <f t="array" aca="1" ref="H68" ca="1">IF(ROW()=ROW($H$2)+1,0,INDEX($H:$H,ROW()-1))+IF($A68="",0,1)</f>
        <v>0</v>
      </c>
      <c r="I68" s="21" cm="1">
        <f t="array" aca="1" ref="I68" ca="1">IF(ROW()=ROW($I$2)+1,
1,
INDEX($I:$I,ROW()-1)+IF(INDEX($S:$S,ROW()-1),1,0))</f>
        <v>1</v>
      </c>
      <c r="J68" s="21">
        <f t="shared" ca="1" si="91"/>
        <v>66</v>
      </c>
      <c r="K68" s="21" t="str">
        <f t="shared" ca="1" si="68"/>
        <v/>
      </c>
      <c r="L68" s="21" t="str" cm="1">
        <f t="array" aca="1" ref="L68" ca="1">IF($P68="","",INDEX('Attack Steps'!$A:$A,$P68))</f>
        <v/>
      </c>
      <c r="M68" s="21" t="str" cm="1">
        <f t="array" aca="1" ref="M68" ca="1">IF($P68="","",INDEX('Attack Steps'!$T:$T,$P68))</f>
        <v/>
      </c>
      <c r="N68" s="21" t="str" cm="1">
        <f t="array" aca="1" ref="N68" ca="1">_xlfn.LET(_xlpm._dm,SanitizeInput(GetValuesWithFallback(SanitizeInput($AK68),Assumptions!$A:$I,Countermeasures!$A:$I,"",",",FALSE)),
IF(_xlpm._dm="","",","&amp;_xlpm._dm))</f>
        <v/>
      </c>
      <c r="O68" s="21" t="str" cm="1">
        <f t="array" aca="1" ref="O68" ca="1">ApplyDamageMitigation($M68,$N68,"")</f>
        <v/>
      </c>
      <c r="P68" s="21" t="str">
        <f ca="1">IFERROR(MATCH($I68,'Attack Steps'!$V:$V,0),"")</f>
        <v/>
      </c>
      <c r="Q68" s="21" t="str" cm="1">
        <f t="array" aca="1" ref="Q68" ca="1">IF($P68="","","§"&amp;INDEX('Attack Steps'!$S:$S,$P68))</f>
        <v/>
      </c>
      <c r="R68" s="21" t="str" cm="1">
        <f t="array" aca="1" ref="R68" ca="1">IF($P68="","",INDEX('Attack Steps'!$W:$W,$P68))</f>
        <v/>
      </c>
      <c r="S68" s="21" t="b">
        <f t="shared" ca="1" si="69"/>
        <v>0</v>
      </c>
      <c r="T68" s="21" cm="1">
        <f t="array" aca="1" ref="T68" ca="1">_xlfn.LAMBDA(_xlpm._in,_xlpm._val,_xlpm._range,
IF(_xlpm._in="",_xlpm._val,_xlfn.LET(
_xlpm._id,LEFT(_xlpm._in,FIND(",",_xlpm._in)-1),
CalculateMaxFromList(RemoveFirstElement(_xlpm._in),MAX(_xlpm._val,VLOOKUP(_xlpm._id,_xlpm._range,COLUMNS(_xlpm._range),FALSE)),_xlpm._range))))($M68,0,'Damage Scenarios'!$A:$U)</f>
        <v>0</v>
      </c>
      <c r="U68" s="21" cm="1">
        <f t="array" aca="1" ref="U68" ca="1">CalculateMaxFromList($O68,0,'Damage Scenarios'!$A:$U)</f>
        <v>0</v>
      </c>
      <c r="V68" s="21" t="str">
        <f ca="1">IF($U68=0,"",INDEX(Definitions!$Q:$Q,MATCH($U68,Definitions!$R:$R,0)))</f>
        <v/>
      </c>
      <c r="W68" s="21" t="str" cm="1">
        <f t="array" aca="1" ref="W68" ca="1">CalculateMaxAndElements($K68,0,"",'Attack Steps'!$A:X)</f>
        <v>0:</v>
      </c>
      <c r="X68" s="21" t="str" cm="1">
        <f t="array" aca="1" ref="X68" ca="1">CalculateMaxAndElements($K68,0,"",'Attack Steps'!$A:Y)</f>
        <v>0:</v>
      </c>
      <c r="Y68" s="21" t="str" cm="1">
        <f t="array" aca="1" ref="Y68" ca="1">CalculateMaxAndElements($K68,0,"",'Attack Steps'!$A:Z)</f>
        <v>0:</v>
      </c>
      <c r="Z68" s="21" t="str" cm="1">
        <f t="array" aca="1" ref="Z68" ca="1">CalculateMaxAndElements($K68,0,"",'Attack Steps'!$A:AA)</f>
        <v>0:</v>
      </c>
      <c r="AA68" s="21" t="str" cm="1">
        <f t="array" aca="1" ref="AA68" ca="1">CalculateMaxAndElements($K68,0,"",'Attack Steps'!$A:AB)</f>
        <v>0:</v>
      </c>
      <c r="AB68" s="21">
        <f t="shared" ca="1" si="70"/>
        <v>0</v>
      </c>
      <c r="AC68" s="21">
        <f t="shared" ca="1" si="71"/>
        <v>0</v>
      </c>
      <c r="AD68" s="21">
        <f t="shared" ca="1" si="72"/>
        <v>0</v>
      </c>
      <c r="AE68" s="21">
        <f t="shared" ca="1" si="73"/>
        <v>0</v>
      </c>
      <c r="AF68" s="21">
        <f t="shared" ca="1" si="74"/>
        <v>0</v>
      </c>
      <c r="AG68" s="21">
        <f t="shared" ca="1" si="92"/>
        <v>0</v>
      </c>
      <c r="AH68" s="21" t="str" cm="1">
        <f t="array" aca="1" ref="AH68" ca="1">IF(ROW()=ROW($AH$2)+1,"",INDEX($AH:$AH,ROW()-1))&amp;IF($A68="","",$A68&amp;",")</f>
        <v/>
      </c>
      <c r="AI68" s="21" t="str">
        <f t="shared" ca="1" si="75"/>
        <v/>
      </c>
      <c r="AJ68" s="21" cm="1">
        <f t="array" aca="1" ref="AJ68" ca="1">IF($G68="",0,SimpleLookup($G68,Definitions!$AE:$AF))</f>
        <v>0</v>
      </c>
      <c r="AK68" s="21" t="str" cm="1">
        <f t="array" aca="1" ref="AK68" ca="1">InverseLookup($A68,Mitigation!$U$2,Mitigation!$J$2,1,Helper!$B$5,",")</f>
        <v/>
      </c>
      <c r="AL68" s="21" t="str" cm="1">
        <f t="array" aca="1" ref="AL68" ca="1">CalculateMaxAndElementsWithFallback(SanitizeInput($AK68),0,"",Countermeasures!$A:Y,Assumptions!$A:Z)</f>
        <v>0:</v>
      </c>
      <c r="AM68" s="21" t="str" cm="1">
        <f t="array" aca="1" ref="AM68" ca="1">CalculateMaxAndElementsWithFallback(SanitizeInput($AK68),0,"",Countermeasures!$A:Z,Assumptions!$A:AA)</f>
        <v>0:</v>
      </c>
      <c r="AN68" s="21" t="str" cm="1">
        <f t="array" aca="1" ref="AN68" ca="1">CalculateMaxAndElementsWithFallback(SanitizeInput($AK68),0,"",Countermeasures!$A:AA,Assumptions!$A:AB)</f>
        <v>0:</v>
      </c>
      <c r="AO68" s="21" t="str" cm="1">
        <f t="array" aca="1" ref="AO68" ca="1">CalculateMaxAndElementsWithFallback(SanitizeInput($AK68),0,"",Countermeasures!$A:AB,Assumptions!$A:AC)</f>
        <v>0:</v>
      </c>
      <c r="AP68" s="21" t="str" cm="1">
        <f t="array" aca="1" ref="AP68" ca="1">CalculateMaxAndElementsWithFallback(SanitizeInput($AK68),0,"",Countermeasures!$A:AC,Assumptions!$A:AD)</f>
        <v>0:</v>
      </c>
      <c r="AQ68" s="21">
        <f t="shared" ca="1" si="76"/>
        <v>0</v>
      </c>
      <c r="AR68" s="21">
        <f t="shared" ca="1" si="77"/>
        <v>0</v>
      </c>
      <c r="AS68" s="21">
        <f t="shared" ca="1" si="78"/>
        <v>0</v>
      </c>
      <c r="AT68" s="21">
        <f t="shared" ca="1" si="79"/>
        <v>0</v>
      </c>
      <c r="AU68" s="21">
        <f t="shared" ca="1" si="80"/>
        <v>0</v>
      </c>
      <c r="AV68" s="21" t="str">
        <f t="shared" ca="1" si="81"/>
        <v>0:</v>
      </c>
      <c r="AW68" s="21" t="str">
        <f t="shared" ca="1" si="82"/>
        <v>0:</v>
      </c>
      <c r="AX68" s="21" t="str">
        <f t="shared" ca="1" si="83"/>
        <v>0:</v>
      </c>
      <c r="AY68" s="21" t="str">
        <f t="shared" ca="1" si="84"/>
        <v>0:</v>
      </c>
      <c r="AZ68" s="21" t="str">
        <f t="shared" ca="1" si="85"/>
        <v>0:</v>
      </c>
      <c r="BA68" s="21">
        <f t="shared" ca="1" si="86"/>
        <v>0</v>
      </c>
      <c r="BB68" s="21">
        <f t="shared" ca="1" si="87"/>
        <v>0</v>
      </c>
      <c r="BC68" s="21">
        <f t="shared" ca="1" si="88"/>
        <v>0</v>
      </c>
      <c r="BD68" s="21">
        <f t="shared" ca="1" si="89"/>
        <v>0</v>
      </c>
      <c r="BE68" s="21">
        <f t="shared" ca="1" si="90"/>
        <v>0</v>
      </c>
      <c r="BF68" s="21">
        <f t="shared" ca="1" si="93"/>
        <v>0</v>
      </c>
      <c r="BG68" s="21" t="str">
        <f ca="1">IFERROR(VLOOKUP($BF68,Definitions!$V:$W,COLUMNS(Definitions!$V:$W),TRUE),"")</f>
        <v>Basic</v>
      </c>
      <c r="BH68" s="21" t="str">
        <f ca="1">_xlfn.LET(
_xlpm._comments,GetValues($K68,Mitigation!$A:$O,"","",FALSE),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68" s="21" t="str" cm="1">
        <f t="array" aca="1" ref="BI68" ca="1">_xlfn.LET(
_xlpm._rapRange,Definitions!$W:$W,
_xlpm._calculatedRAP,$BG68,
_xlpm._inlineRAP,$BH68,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68" s="21" t="str">
        <f ca="1">IFERROR(IF(OR($V68="",$BI68=""),
Definitions!$AE$4,
VLOOKUP($V68,Definitions!$AH:$AM,MATCH($BI68,Definitions!$AH$3:$AM$3,0),FALSE)),
"")</f>
        <v>No Risk</v>
      </c>
      <c r="BK68" s="21" cm="1">
        <f t="array" aca="1" ref="BK68" ca="1">IF($BJ68="",0,SimpleLookup($BJ68,Definitions!$AE:$AF))</f>
        <v>0</v>
      </c>
      <c r="BL68" s="21" t="str" cm="1">
        <f t="array" aca="1" ref="BL68" ca="1">IFERROR(SimpleLookup($A68,Tracing!$B:$Z),"")</f>
        <v/>
      </c>
      <c r="BM68" s="21" t="str" cm="1">
        <f t="array" aca="1" ref="BM68" ca="1">_xlfn.LET(_xlpm._dm,SanitizeInput(GetValuesWithFallback(SanitizeInput($BL68),Assumptions!$A:$I,Countermeasures!$A:$I,"",",",FALSE)),
IF(_xlpm._dm="","",","&amp;_xlpm._dm))</f>
        <v/>
      </c>
      <c r="BN68" s="21" t="str" cm="1">
        <f t="array" aca="1" ref="BN68" ca="1">ApplyDamageMitigation($M68,$BM68,"")</f>
        <v/>
      </c>
      <c r="BO68" s="21" cm="1">
        <f t="array" aca="1" ref="BO68" ca="1">CalculateMaxFromList($BN68,0,'Damage Scenarios'!$A:$U)</f>
        <v>0</v>
      </c>
      <c r="BP68" s="21" t="str">
        <f ca="1">IF($BO68=0,"",INDEX(Definitions!$Q:$Q,MATCH($BO68,Definitions!$R:$R,0)))</f>
        <v/>
      </c>
      <c r="BQ68" s="21" t="str" cm="1">
        <f t="array" aca="1" ref="BQ68" ca="1">CalculateMaxAndElementsWithFallback(SanitizeInput($BL68),0,"",Countermeasures!$A:Y,Assumptions!$A:Z)</f>
        <v>0:</v>
      </c>
      <c r="BR68" s="21" t="str" cm="1">
        <f t="array" aca="1" ref="BR68" ca="1">CalculateMaxAndElementsWithFallback(SanitizeInput($BL68),0,"",Countermeasures!$A:Z,Assumptions!$A:AA)</f>
        <v>0:</v>
      </c>
      <c r="BS68" s="21" t="str" cm="1">
        <f t="array" aca="1" ref="BS68" ca="1">CalculateMaxAndElementsWithFallback(SanitizeInput($BL68),0,"",Countermeasures!$A:AA,Assumptions!$A:AB)</f>
        <v>0:</v>
      </c>
      <c r="BT68" s="21" t="str" cm="1">
        <f t="array" aca="1" ref="BT68" ca="1">CalculateMaxAndElementsWithFallback(SanitizeInput($BL68),0,"",Countermeasures!$A:AB,Assumptions!$A:AC)</f>
        <v>0:</v>
      </c>
      <c r="BU68" s="21" t="str" cm="1">
        <f t="array" aca="1" ref="BU68" ca="1">CalculateMaxAndElementsWithFallback(SanitizeInput($BL68),0,"",Countermeasures!$A:AC,Assumptions!$A:AD)</f>
        <v>0:</v>
      </c>
      <c r="BV68" s="21">
        <f t="shared" ref="BV68:BV77" ca="1" si="95">IF(BQ68="","",VALUE(LEFT(BQ68,FIND(":",BQ68)-1)))</f>
        <v>0</v>
      </c>
      <c r="BW68" s="21">
        <f t="shared" ref="BW68:BW77" ca="1" si="96">IF(BR68="","",VALUE(LEFT(BR68,FIND(":",BR68)-1)))</f>
        <v>0</v>
      </c>
      <c r="BX68" s="21">
        <f t="shared" ref="BX68:BX77" ca="1" si="97">IF(BS68="","",VALUE(LEFT(BS68,FIND(":",BS68)-1)))</f>
        <v>0</v>
      </c>
      <c r="BY68" s="21">
        <f t="shared" ref="BY68:BY77" ca="1" si="98">IF(BT68="","",VALUE(LEFT(BT68,FIND(":",BT68)-1)))</f>
        <v>0</v>
      </c>
      <c r="BZ68" s="21">
        <f t="shared" ref="BZ68:BZ77" ca="1" si="99">IF(BU68="","",VALUE(LEFT(BU68,FIND(":",BU68)-1)))</f>
        <v>0</v>
      </c>
      <c r="CA68" s="21" t="str">
        <f t="shared" ref="CA68:CA77" ca="1" si="100">IF(AB68=BV68,W68&amp;RIGHT(BQ68,LEN(BQ68)-FIND(":",BQ68)),
IF(AB68&gt;BV68,W68,BQ68))</f>
        <v>0:</v>
      </c>
      <c r="CB68" s="21" t="str">
        <f t="shared" ref="CB68:CB77" ca="1" si="101">IF(AC68=BW68,X68&amp;RIGHT(BR68,LEN(BR68)-FIND(":",BR68)),
IF(AC68&gt;BW68,X68,BR68))</f>
        <v>0:</v>
      </c>
      <c r="CC68" s="21" t="str">
        <f t="shared" ref="CC68:CC77" ca="1" si="102">IF(AD68=BX68,Y68&amp;RIGHT(BS68,LEN(BS68)-FIND(":",BS68)),
IF(AD68&gt;BX68,Y68,BS68))</f>
        <v>0:</v>
      </c>
      <c r="CD68" s="21" t="str">
        <f t="shared" ref="CD68:CD77" ca="1" si="103">IF(AE68=BY68,Z68&amp;RIGHT(BT68,LEN(BT68)-FIND(":",BT68)),
IF(AE68&gt;BY68,Z68,BT68))</f>
        <v>0:</v>
      </c>
      <c r="CE68" s="21" t="str">
        <f t="shared" ref="CE68:CE77" ca="1" si="104">IF(AF68=BZ68,AA68&amp;RIGHT(BU68,LEN(BU68)-FIND(":",BU68)),
IF(AF68&gt;BZ68,AA68,BU68))</f>
        <v>0:</v>
      </c>
      <c r="CF68" s="21">
        <f t="shared" ref="CF68:CF77" ca="1" si="105">MAX(AB68,BV68)</f>
        <v>0</v>
      </c>
      <c r="CG68" s="21">
        <f t="shared" ref="CG68:CG77" ca="1" si="106">MAX(AC68,BW68)</f>
        <v>0</v>
      </c>
      <c r="CH68" s="21">
        <f t="shared" ref="CH68:CH77" ca="1" si="107">MAX(AD68,BX68)</f>
        <v>0</v>
      </c>
      <c r="CI68" s="21">
        <f t="shared" ref="CI68:CI77" ca="1" si="108">MAX(AE68,BY68)</f>
        <v>0</v>
      </c>
      <c r="CJ68" s="21">
        <f t="shared" ref="CJ68:CJ77" ca="1" si="109">MAX(AF68,BZ68)</f>
        <v>0</v>
      </c>
      <c r="CK68" s="21">
        <f t="shared" ca="1" si="94"/>
        <v>0</v>
      </c>
      <c r="CL68" s="21" t="str">
        <f ca="1">IFERROR(VLOOKUP($CK68,Definitions!$V:$W,COLUMNS(Definitions!$V:$W),TRUE),"")</f>
        <v>Basic</v>
      </c>
      <c r="CM68" s="21" t="str">
        <f ca="1">_xlfn.LET(
_xlpm._comments,SimpleLookup($A68,Tracing!$B:$AB),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68" s="21" t="str" cm="1">
        <f t="array" aca="1" ref="CN68" ca="1">_xlfn.LET(
_xlpm._rapRange,Definitions!$W:$W,
_xlpm._calculatedRAP,$CL68,
_xlpm._inlineRAP,$CM68,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68" s="21" t="str">
        <f ca="1">IFERROR(IF(OR($BP68="",$CN68=""),
Definitions!$AE$4,
VLOOKUP($BP68,Definitions!$AH:$AM,MATCH($CN68,Definitions!$AH$3:$AM$3,0),FALSE)),
"")</f>
        <v>No Risk</v>
      </c>
      <c r="CP68" s="21" cm="1">
        <f t="array" aca="1" ref="CP68" ca="1">IF($CO68="",0,SimpleLookup($CO68,Definitions!$AE:$AF))</f>
        <v>0</v>
      </c>
      <c r="CQ68" s="21" t="b">
        <f ca="1">OR(AND($S68,$I68=Helper!$B$7),$I68&gt;Helper!$B$7)</f>
        <v>1</v>
      </c>
      <c r="CR68" s="21" t="str">
        <f t="shared" ca="1" si="67"/>
        <v/>
      </c>
      <c r="CS68" s="21" cm="1">
        <f t="array" aca="1" ref="CS68" ca="1">CreateID($CS$2,$CV:$CV,$CR68&lt;&gt;"")</f>
        <v>0</v>
      </c>
      <c r="CT68" s="21" t="str">
        <f ca="1">IF(IFERROR(MATCH(","&amp;A68&amp;",",'Risk Treatment'!$AT:$AT,0)&gt;0,FALSE),"",$A68)</f>
        <v/>
      </c>
      <c r="CU68" s="21" cm="1">
        <f t="array" aca="1" ref="CU68" ca="1">CreateID($CU$2,$CU:$CU,$CT68&lt;&gt;"")</f>
        <v>0</v>
      </c>
    </row>
    <row r="69" spans="1:99" x14ac:dyDescent="0.25">
      <c r="A69" s="33" t="str" cm="1">
        <f t="array" aca="1" ref="A69" ca="1">IF($B69="","","R"&amp;RemoveDelimiter(SUBSTITUTE(SUBSTITUTE($K69,"AS",""),",","-"),"-"))</f>
        <v/>
      </c>
      <c r="B69" s="33" t="str" cm="1">
        <f t="array" aca="1" ref="B69" ca="1">IF($L69="","",_xlfn.LET(
_xlpm._finalAttackStep,$L69,
_xlpm._prepAttacks,RemoveFirstElement(_xlpm._finalAttackStep&amp;","&amp;$K69),
_xlpm._prepAttackNames,IFERROR(LookupNames(_xlpm._prepAttacks,'Attack Steps'!$A:$B),""),
_xlpm._delimiter,REPT(CHAR(150),55),
$L69&amp;" "&amp;SimpleLookup($L69,'Attack Steps'!$A:$B)&amp;
IF(_xlpm._prepAttackNames="","",CHAR(10)&amp;_xlpm._delimiter&amp;CHAR(10)&amp;_xlpm._prepAttackNames)))</f>
        <v/>
      </c>
      <c r="C69" s="34" t="str" cm="1">
        <f t="array" aca="1" ref="C69" ca="1">IFERROR(LookupNames($M69,'Damage Scenarios'!$A:$V),"")</f>
        <v/>
      </c>
      <c r="D69" s="33" t="str">
        <f ca="1">IFERROR(IF($T69=0,"",INDEX(Definitions!$Q:$Q,MATCH($T69,Definitions!$R:$R,0))),"")</f>
        <v/>
      </c>
      <c r="E69" s="34" t="str" cm="1">
        <f t="array" aca="1" ref="E69" ca="1">IF($A69="","",_xlfn.LET(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_xlpm._factorFunction($A69,$A:W,Definitions!$Y:$Y,Definitions!$AB:$AB,1)&amp;CHAR(10)&amp;
_xlpm._factorFunction($A69,$A:X,Definitions!$Y:$Y,Definitions!$AB:$AB,2)&amp;CHAR(10)&amp;
_xlpm._factorFunction($A69,$A:Y,Definitions!$Y:$Y,Definitions!$AB:$AB,3)&amp;CHAR(10)&amp;
_xlpm._factorFunction($A69,$A:Z,Definitions!$Y:$Y,Definitions!$AB:$AB,4)&amp;CHAR(10)&amp;
_xlpm._factorFunction($A69,$A:AA,Definitions!$Y:$Y,Definitions!$AB:$AB,5)))</f>
        <v/>
      </c>
      <c r="F69" s="33" t="str">
        <f ca="1">IF($A69="","",IFERROR(VLOOKUP($AG69,Definitions!$V:$W,COLUMNS(Definitions!$V:$W),TRUE),""))</f>
        <v/>
      </c>
      <c r="G69" s="33" t="str">
        <f ca="1">IFERROR(IF(OR($D69="",$F69=""),
"",
VLOOKUP($D69,Definitions!$AH:$AM,MATCH($F69,Definitions!$AH$3:$AM$3,0),FALSE)),
"")</f>
        <v/>
      </c>
      <c r="H69" s="23" cm="1">
        <f t="array" aca="1" ref="H69" ca="1">IF(ROW()=ROW($H$2)+1,0,INDEX($H:$H,ROW()-1))+IF($A69="",0,1)</f>
        <v>0</v>
      </c>
      <c r="I69" s="21" cm="1">
        <f t="array" aca="1" ref="I69" ca="1">IF(ROW()=ROW($I$2)+1,
1,
INDEX($I:$I,ROW()-1)+IF(INDEX($S:$S,ROW()-1),1,0))</f>
        <v>1</v>
      </c>
      <c r="J69" s="21">
        <f t="shared" ca="1" si="91"/>
        <v>67</v>
      </c>
      <c r="K69" s="21" t="str">
        <f t="shared" ref="K69:K77" ca="1" si="110">IF($Q69="","",_xlfn.LET(
_xlpm._aps,$Q69,
_xlpm._firstPos,FIND("$",SUBSTITUTE(_xlpm._aps,"§","$",$J69))+1,
_xlpm._lastPos,FIND("$",SUBSTITUTE(_xlpm._aps,"§","$",$J69+1)),
MID(_xlpm._aps,_xlpm._firstPos,_xlpm._lastPos-_xlpm._firstPos)))</f>
        <v/>
      </c>
      <c r="L69" s="21" t="str" cm="1">
        <f t="array" aca="1" ref="L69" ca="1">IF($P69="","",INDEX('Attack Steps'!$A:$A,$P69))</f>
        <v/>
      </c>
      <c r="M69" s="21" t="str" cm="1">
        <f t="array" aca="1" ref="M69" ca="1">IF($P69="","",INDEX('Attack Steps'!$T:$T,$P69))</f>
        <v/>
      </c>
      <c r="N69" s="21" t="str" cm="1">
        <f t="array" aca="1" ref="N69" ca="1">_xlfn.LET(_xlpm._dm,SanitizeInput(GetValuesWithFallback(SanitizeInput($AK69),Assumptions!$A:$I,Countermeasures!$A:$I,"",",",FALSE)),
IF(_xlpm._dm="","",","&amp;_xlpm._dm))</f>
        <v/>
      </c>
      <c r="O69" s="21" t="str" cm="1">
        <f t="array" aca="1" ref="O69" ca="1">ApplyDamageMitigation($M69,$N69,"")</f>
        <v/>
      </c>
      <c r="P69" s="21" t="str">
        <f ca="1">IFERROR(MATCH($I69,'Attack Steps'!$V:$V,0),"")</f>
        <v/>
      </c>
      <c r="Q69" s="21" t="str" cm="1">
        <f t="array" aca="1" ref="Q69" ca="1">IF($P69="","","§"&amp;INDEX('Attack Steps'!$S:$S,$P69))</f>
        <v/>
      </c>
      <c r="R69" s="21" t="str" cm="1">
        <f t="array" aca="1" ref="R69" ca="1">IF($P69="","",INDEX('Attack Steps'!$W:$W,$P69))</f>
        <v/>
      </c>
      <c r="S69" s="21" t="b">
        <f t="shared" ref="S69:S77" ca="1" si="111">$J69=$R69</f>
        <v>0</v>
      </c>
      <c r="T69" s="21" cm="1">
        <f t="array" aca="1" ref="T69" ca="1">_xlfn.LAMBDA(_xlpm._in,_xlpm._val,_xlpm._range,
IF(_xlpm._in="",_xlpm._val,_xlfn.LET(
_xlpm._id,LEFT(_xlpm._in,FIND(",",_xlpm._in)-1),
CalculateMaxFromList(RemoveFirstElement(_xlpm._in),MAX(_xlpm._val,VLOOKUP(_xlpm._id,_xlpm._range,COLUMNS(_xlpm._range),FALSE)),_xlpm._range))))($M69,0,'Damage Scenarios'!$A:$U)</f>
        <v>0</v>
      </c>
      <c r="U69" s="21" cm="1">
        <f t="array" aca="1" ref="U69" ca="1">CalculateMaxFromList($O69,0,'Damage Scenarios'!$A:$U)</f>
        <v>0</v>
      </c>
      <c r="V69" s="21" t="str">
        <f ca="1">IF($U69=0,"",INDEX(Definitions!$Q:$Q,MATCH($U69,Definitions!$R:$R,0)))</f>
        <v/>
      </c>
      <c r="W69" s="21" t="str" cm="1">
        <f t="array" aca="1" ref="W69" ca="1">CalculateMaxAndElements($K69,0,"",'Attack Steps'!$A:X)</f>
        <v>0:</v>
      </c>
      <c r="X69" s="21" t="str" cm="1">
        <f t="array" aca="1" ref="X69" ca="1">CalculateMaxAndElements($K69,0,"",'Attack Steps'!$A:Y)</f>
        <v>0:</v>
      </c>
      <c r="Y69" s="21" t="str" cm="1">
        <f t="array" aca="1" ref="Y69" ca="1">CalculateMaxAndElements($K69,0,"",'Attack Steps'!$A:Z)</f>
        <v>0:</v>
      </c>
      <c r="Z69" s="21" t="str" cm="1">
        <f t="array" aca="1" ref="Z69" ca="1">CalculateMaxAndElements($K69,0,"",'Attack Steps'!$A:AA)</f>
        <v>0:</v>
      </c>
      <c r="AA69" s="21" t="str" cm="1">
        <f t="array" aca="1" ref="AA69" ca="1">CalculateMaxAndElements($K69,0,"",'Attack Steps'!$A:AB)</f>
        <v>0:</v>
      </c>
      <c r="AB69" s="21">
        <f t="shared" ref="AB69:AB77" ca="1" si="112">IF(W69="","",VALUE(LEFT(W69,FIND(":",W69)-1)))</f>
        <v>0</v>
      </c>
      <c r="AC69" s="21">
        <f t="shared" ref="AC69:AC77" ca="1" si="113">IF(X69="","",VALUE(LEFT(X69,FIND(":",X69)-1)))</f>
        <v>0</v>
      </c>
      <c r="AD69" s="21">
        <f t="shared" ref="AD69:AD77" ca="1" si="114">IF(Y69="","",VALUE(LEFT(Y69,FIND(":",Y69)-1)))</f>
        <v>0</v>
      </c>
      <c r="AE69" s="21">
        <f t="shared" ref="AE69:AE77" ca="1" si="115">IF(Z69="","",VALUE(LEFT(Z69,FIND(":",Z69)-1)))</f>
        <v>0</v>
      </c>
      <c r="AF69" s="21">
        <f t="shared" ref="AF69:AF77" ca="1" si="116">IF(AA69="","",VALUE(LEFT(AA69,FIND(":",AA69)-1)))</f>
        <v>0</v>
      </c>
      <c r="AG69" s="21">
        <f t="shared" ca="1" si="92"/>
        <v>0</v>
      </c>
      <c r="AH69" s="21" t="str" cm="1">
        <f t="array" aca="1" ref="AH69" ca="1">IF(ROW()=ROW($AH$2)+1,"",INDEX($AH:$AH,ROW()-1))&amp;IF($A69="","",$A69&amp;",")</f>
        <v/>
      </c>
      <c r="AI69" s="21" t="str">
        <f t="shared" ref="AI69:AI77" ca="1" si="117">IF($K69="","",","&amp;$K69)</f>
        <v/>
      </c>
      <c r="AJ69" s="21" cm="1">
        <f t="array" aca="1" ref="AJ69" ca="1">IF($G69="",0,SimpleLookup($G69,Definitions!$AE:$AF))</f>
        <v>0</v>
      </c>
      <c r="AK69" s="21" t="str" cm="1">
        <f t="array" aca="1" ref="AK69" ca="1">InverseLookup($A69,Mitigation!$U$2,Mitigation!$J$2,1,Helper!$B$5,",")</f>
        <v/>
      </c>
      <c r="AL69" s="21" t="str" cm="1">
        <f t="array" aca="1" ref="AL69" ca="1">CalculateMaxAndElementsWithFallback(SanitizeInput($AK69),0,"",Countermeasures!$A:Y,Assumptions!$A:Z)</f>
        <v>0:</v>
      </c>
      <c r="AM69" s="21" t="str" cm="1">
        <f t="array" aca="1" ref="AM69" ca="1">CalculateMaxAndElementsWithFallback(SanitizeInput($AK69),0,"",Countermeasures!$A:Z,Assumptions!$A:AA)</f>
        <v>0:</v>
      </c>
      <c r="AN69" s="21" t="str" cm="1">
        <f t="array" aca="1" ref="AN69" ca="1">CalculateMaxAndElementsWithFallback(SanitizeInput($AK69),0,"",Countermeasures!$A:AA,Assumptions!$A:AB)</f>
        <v>0:</v>
      </c>
      <c r="AO69" s="21" t="str" cm="1">
        <f t="array" aca="1" ref="AO69" ca="1">CalculateMaxAndElementsWithFallback(SanitizeInput($AK69),0,"",Countermeasures!$A:AB,Assumptions!$A:AC)</f>
        <v>0:</v>
      </c>
      <c r="AP69" s="21" t="str" cm="1">
        <f t="array" aca="1" ref="AP69" ca="1">CalculateMaxAndElementsWithFallback(SanitizeInput($AK69),0,"",Countermeasures!$A:AC,Assumptions!$A:AD)</f>
        <v>0:</v>
      </c>
      <c r="AQ69" s="21">
        <f t="shared" ref="AQ69:AQ77" ca="1" si="118">IF(AL69="","",VALUE(LEFT(AL69,FIND(":",AL69)-1)))</f>
        <v>0</v>
      </c>
      <c r="AR69" s="21">
        <f t="shared" ref="AR69:AR77" ca="1" si="119">IF(AM69="","",VALUE(LEFT(AM69,FIND(":",AM69)-1)))</f>
        <v>0</v>
      </c>
      <c r="AS69" s="21">
        <f t="shared" ref="AS69:AS77" ca="1" si="120">IF(AN69="","",VALUE(LEFT(AN69,FIND(":",AN69)-1)))</f>
        <v>0</v>
      </c>
      <c r="AT69" s="21">
        <f t="shared" ref="AT69:AT77" ca="1" si="121">IF(AO69="","",VALUE(LEFT(AO69,FIND(":",AO69)-1)))</f>
        <v>0</v>
      </c>
      <c r="AU69" s="21">
        <f t="shared" ref="AU69:AU77" ca="1" si="122">IF(AP69="","",VALUE(LEFT(AP69,FIND(":",AP69)-1)))</f>
        <v>0</v>
      </c>
      <c r="AV69" s="21" t="str">
        <f t="shared" ref="AV69:AV77" ca="1" si="123">IF(AB69=AQ69,W69&amp;RIGHT(AL69,LEN(AL69)-FIND(":",AL69)),
IF(AB69&gt;AQ69,W69,AL69))</f>
        <v>0:</v>
      </c>
      <c r="AW69" s="21" t="str">
        <f t="shared" ref="AW69:AW77" ca="1" si="124">IF(AC69=AR69,X69&amp;RIGHT(AM69,LEN(AM69)-FIND(":",AM69)),
IF(AC69&gt;AR69,X69,AM69))</f>
        <v>0:</v>
      </c>
      <c r="AX69" s="21" t="str">
        <f t="shared" ref="AX69:AX77" ca="1" si="125">IF(AD69=AS69,Y69&amp;RIGHT(AN69,LEN(AN69)-FIND(":",AN69)),
IF(AD69&gt;AS69,Y69,AN69))</f>
        <v>0:</v>
      </c>
      <c r="AY69" s="21" t="str">
        <f t="shared" ref="AY69:AY77" ca="1" si="126">IF(AE69=AT69,Z69&amp;RIGHT(AO69,LEN(AO69)-FIND(":",AO69)),
IF(AE69&gt;AT69,Z69,AO69))</f>
        <v>0:</v>
      </c>
      <c r="AZ69" s="21" t="str">
        <f t="shared" ref="AZ69:AZ77" ca="1" si="127">IF(AF69=AU69,AA69&amp;RIGHT(AP69,LEN(AP69)-FIND(":",AP69)),
IF(AF69&gt;AU69,AA69,AP69))</f>
        <v>0:</v>
      </c>
      <c r="BA69" s="21">
        <f t="shared" ref="BA69:BA77" ca="1" si="128">MAX(AB69,AQ69)</f>
        <v>0</v>
      </c>
      <c r="BB69" s="21">
        <f t="shared" ref="BB69:BB77" ca="1" si="129">MAX(AC69,AR69)</f>
        <v>0</v>
      </c>
      <c r="BC69" s="21">
        <f t="shared" ref="BC69:BC77" ca="1" si="130">MAX(AD69,AS69)</f>
        <v>0</v>
      </c>
      <c r="BD69" s="21">
        <f t="shared" ref="BD69:BD77" ca="1" si="131">MAX(AE69,AT69)</f>
        <v>0</v>
      </c>
      <c r="BE69" s="21">
        <f t="shared" ref="BE69:BE77" ca="1" si="132">MAX(AF69,AU69)</f>
        <v>0</v>
      </c>
      <c r="BF69" s="21">
        <f t="shared" ca="1" si="93"/>
        <v>0</v>
      </c>
      <c r="BG69" s="21" t="str">
        <f ca="1">IFERROR(VLOOKUP($BF69,Definitions!$V:$W,COLUMNS(Definitions!$V:$W),TRUE),"")</f>
        <v>Basic</v>
      </c>
      <c r="BH69" s="21" t="str">
        <f ca="1">_xlfn.LET(
_xlpm._comments,GetValues($K69,Mitigation!$A:$O,"","",FALSE),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69" s="21" t="str" cm="1">
        <f t="array" aca="1" ref="BI69" ca="1">_xlfn.LET(
_xlpm._rapRange,Definitions!$W:$W,
_xlpm._calculatedRAP,$BG69,
_xlpm._inlineRAP,$BH69,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69" s="21" t="str">
        <f ca="1">IFERROR(IF(OR($V69="",$BI69=""),
Definitions!$AE$4,
VLOOKUP($V69,Definitions!$AH:$AM,MATCH($BI69,Definitions!$AH$3:$AM$3,0),FALSE)),
"")</f>
        <v>No Risk</v>
      </c>
      <c r="BK69" s="21" cm="1">
        <f t="array" aca="1" ref="BK69" ca="1">IF($BJ69="",0,SimpleLookup($BJ69,Definitions!$AE:$AF))</f>
        <v>0</v>
      </c>
      <c r="BL69" s="21" t="str" cm="1">
        <f t="array" aca="1" ref="BL69" ca="1">IFERROR(SimpleLookup($A69,Tracing!$B:$Z),"")</f>
        <v/>
      </c>
      <c r="BM69" s="21" t="str" cm="1">
        <f t="array" aca="1" ref="BM69" ca="1">_xlfn.LET(_xlpm._dm,SanitizeInput(GetValuesWithFallback(SanitizeInput($BL69),Assumptions!$A:$I,Countermeasures!$A:$I,"",",",FALSE)),
IF(_xlpm._dm="","",","&amp;_xlpm._dm))</f>
        <v/>
      </c>
      <c r="BN69" s="21" t="str" cm="1">
        <f t="array" aca="1" ref="BN69" ca="1">ApplyDamageMitigation($M69,$BM69,"")</f>
        <v/>
      </c>
      <c r="BO69" s="21" cm="1">
        <f t="array" aca="1" ref="BO69" ca="1">CalculateMaxFromList($BN69,0,'Damage Scenarios'!$A:$U)</f>
        <v>0</v>
      </c>
      <c r="BP69" s="21" t="str">
        <f ca="1">IF($BO69=0,"",INDEX(Definitions!$Q:$Q,MATCH($BO69,Definitions!$R:$R,0)))</f>
        <v/>
      </c>
      <c r="BQ69" s="21" t="str" cm="1">
        <f t="array" aca="1" ref="BQ69" ca="1">CalculateMaxAndElementsWithFallback(SanitizeInput($BL69),0,"",Countermeasures!$A:Y,Assumptions!$A:Z)</f>
        <v>0:</v>
      </c>
      <c r="BR69" s="21" t="str" cm="1">
        <f t="array" aca="1" ref="BR69" ca="1">CalculateMaxAndElementsWithFallback(SanitizeInput($BL69),0,"",Countermeasures!$A:Z,Assumptions!$A:AA)</f>
        <v>0:</v>
      </c>
      <c r="BS69" s="21" t="str" cm="1">
        <f t="array" aca="1" ref="BS69" ca="1">CalculateMaxAndElementsWithFallback(SanitizeInput($BL69),0,"",Countermeasures!$A:AA,Assumptions!$A:AB)</f>
        <v>0:</v>
      </c>
      <c r="BT69" s="21" t="str" cm="1">
        <f t="array" aca="1" ref="BT69" ca="1">CalculateMaxAndElementsWithFallback(SanitizeInput($BL69),0,"",Countermeasures!$A:AB,Assumptions!$A:AC)</f>
        <v>0:</v>
      </c>
      <c r="BU69" s="21" t="str" cm="1">
        <f t="array" aca="1" ref="BU69" ca="1">CalculateMaxAndElementsWithFallback(SanitizeInput($BL69),0,"",Countermeasures!$A:AC,Assumptions!$A:AD)</f>
        <v>0:</v>
      </c>
      <c r="BV69" s="21">
        <f t="shared" ca="1" si="95"/>
        <v>0</v>
      </c>
      <c r="BW69" s="21">
        <f t="shared" ca="1" si="96"/>
        <v>0</v>
      </c>
      <c r="BX69" s="21">
        <f t="shared" ca="1" si="97"/>
        <v>0</v>
      </c>
      <c r="BY69" s="21">
        <f t="shared" ca="1" si="98"/>
        <v>0</v>
      </c>
      <c r="BZ69" s="21">
        <f t="shared" ca="1" si="99"/>
        <v>0</v>
      </c>
      <c r="CA69" s="21" t="str">
        <f t="shared" ca="1" si="100"/>
        <v>0:</v>
      </c>
      <c r="CB69" s="21" t="str">
        <f t="shared" ca="1" si="101"/>
        <v>0:</v>
      </c>
      <c r="CC69" s="21" t="str">
        <f t="shared" ca="1" si="102"/>
        <v>0:</v>
      </c>
      <c r="CD69" s="21" t="str">
        <f t="shared" ca="1" si="103"/>
        <v>0:</v>
      </c>
      <c r="CE69" s="21" t="str">
        <f t="shared" ca="1" si="104"/>
        <v>0:</v>
      </c>
      <c r="CF69" s="21">
        <f t="shared" ca="1" si="105"/>
        <v>0</v>
      </c>
      <c r="CG69" s="21">
        <f t="shared" ca="1" si="106"/>
        <v>0</v>
      </c>
      <c r="CH69" s="21">
        <f t="shared" ca="1" si="107"/>
        <v>0</v>
      </c>
      <c r="CI69" s="21">
        <f t="shared" ca="1" si="108"/>
        <v>0</v>
      </c>
      <c r="CJ69" s="21">
        <f t="shared" ca="1" si="109"/>
        <v>0</v>
      </c>
      <c r="CK69" s="21">
        <f t="shared" ca="1" si="94"/>
        <v>0</v>
      </c>
      <c r="CL69" s="21" t="str">
        <f ca="1">IFERROR(VLOOKUP($CK69,Definitions!$V:$W,COLUMNS(Definitions!$V:$W),TRUE),"")</f>
        <v>Basic</v>
      </c>
      <c r="CM69" s="21" t="str">
        <f ca="1">_xlfn.LET(
_xlpm._comments,SimpleLookup($A69,Tracing!$B:$AB),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69" s="21" t="str" cm="1">
        <f t="array" aca="1" ref="CN69" ca="1">_xlfn.LET(
_xlpm._rapRange,Definitions!$W:$W,
_xlpm._calculatedRAP,$CL69,
_xlpm._inlineRAP,$CM69,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69" s="21" t="str">
        <f ca="1">IFERROR(IF(OR($BP69="",$CN69=""),
Definitions!$AE$4,
VLOOKUP($BP69,Definitions!$AH:$AM,MATCH($CN69,Definitions!$AH$3:$AM$3,0),FALSE)),
"")</f>
        <v>No Risk</v>
      </c>
      <c r="CP69" s="21" cm="1">
        <f t="array" aca="1" ref="CP69" ca="1">IF($CO69="",0,SimpleLookup($CO69,Definitions!$AE:$AF))</f>
        <v>0</v>
      </c>
      <c r="CQ69" s="21" t="b">
        <f ca="1">OR(AND($S69,$I69=Helper!$B$7),$I69&gt;Helper!$B$7)</f>
        <v>1</v>
      </c>
      <c r="CR69" s="21" t="str">
        <f t="shared" ref="CR69:CR77" ca="1" si="133">IF(NOT(OR($CQ69,AND(NOT($CQ69),OFFSET($CQ69,1,0)&lt;&gt;""))),"Please enlarge the table!","")</f>
        <v/>
      </c>
      <c r="CS69" s="21" cm="1">
        <f t="array" aca="1" ref="CS69" ca="1">CreateID($CS$2,$CV:$CV,$CR69&lt;&gt;"")</f>
        <v>0</v>
      </c>
      <c r="CT69" s="21" t="str">
        <f ca="1">IF(IFERROR(MATCH(","&amp;A69&amp;",",'Risk Treatment'!$AT:$AT,0)&gt;0,FALSE),"",$A69)</f>
        <v/>
      </c>
      <c r="CU69" s="21" cm="1">
        <f t="array" aca="1" ref="CU69" ca="1">CreateID($CU$2,$CU:$CU,$CT69&lt;&gt;"")</f>
        <v>0</v>
      </c>
    </row>
    <row r="70" spans="1:99" x14ac:dyDescent="0.25">
      <c r="A70" s="33" t="str" cm="1">
        <f t="array" aca="1" ref="A70" ca="1">IF($B70="","","R"&amp;RemoveDelimiter(SUBSTITUTE(SUBSTITUTE($K70,"AS",""),",","-"),"-"))</f>
        <v/>
      </c>
      <c r="B70" s="33" t="str" cm="1">
        <f t="array" aca="1" ref="B70" ca="1">IF($L70="","",_xlfn.LET(
_xlpm._finalAttackStep,$L70,
_xlpm._prepAttacks,RemoveFirstElement(_xlpm._finalAttackStep&amp;","&amp;$K70),
_xlpm._prepAttackNames,IFERROR(LookupNames(_xlpm._prepAttacks,'Attack Steps'!$A:$B),""),
_xlpm._delimiter,REPT(CHAR(150),55),
$L70&amp;" "&amp;SimpleLookup($L70,'Attack Steps'!$A:$B)&amp;
IF(_xlpm._prepAttackNames="","",CHAR(10)&amp;_xlpm._delimiter&amp;CHAR(10)&amp;_xlpm._prepAttackNames)))</f>
        <v/>
      </c>
      <c r="C70" s="34" t="str" cm="1">
        <f t="array" aca="1" ref="C70" ca="1">IFERROR(LookupNames($M70,'Damage Scenarios'!$A:$V),"")</f>
        <v/>
      </c>
      <c r="D70" s="33" t="str">
        <f ca="1">IFERROR(IF($T70=0,"",INDEX(Definitions!$Q:$Q,MATCH($T70,Definitions!$R:$R,0))),"")</f>
        <v/>
      </c>
      <c r="E70" s="34" t="str" cm="1">
        <f t="array" aca="1" ref="E70" ca="1">IF($A70="","",_xlfn.LET(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_xlpm._factorFunction($A70,$A:W,Definitions!$Y:$Y,Definitions!$AB:$AB,1)&amp;CHAR(10)&amp;
_xlpm._factorFunction($A70,$A:X,Definitions!$Y:$Y,Definitions!$AB:$AB,2)&amp;CHAR(10)&amp;
_xlpm._factorFunction($A70,$A:Y,Definitions!$Y:$Y,Definitions!$AB:$AB,3)&amp;CHAR(10)&amp;
_xlpm._factorFunction($A70,$A:Z,Definitions!$Y:$Y,Definitions!$AB:$AB,4)&amp;CHAR(10)&amp;
_xlpm._factorFunction($A70,$A:AA,Definitions!$Y:$Y,Definitions!$AB:$AB,5)))</f>
        <v/>
      </c>
      <c r="F70" s="33" t="str">
        <f ca="1">IF($A70="","",IFERROR(VLOOKUP($AG70,Definitions!$V:$W,COLUMNS(Definitions!$V:$W),TRUE),""))</f>
        <v/>
      </c>
      <c r="G70" s="33" t="str">
        <f ca="1">IFERROR(IF(OR($D70="",$F70=""),
"",
VLOOKUP($D70,Definitions!$AH:$AM,MATCH($F70,Definitions!$AH$3:$AM$3,0),FALSE)),
"")</f>
        <v/>
      </c>
      <c r="H70" s="23" cm="1">
        <f t="array" aca="1" ref="H70" ca="1">IF(ROW()=ROW($H$2)+1,0,INDEX($H:$H,ROW()-1))+IF($A70="",0,1)</f>
        <v>0</v>
      </c>
      <c r="I70" s="21" cm="1">
        <f t="array" aca="1" ref="I70" ca="1">IF(ROW()=ROW($I$2)+1,
1,
INDEX($I:$I,ROW()-1)+IF(INDEX($S:$S,ROW()-1),1,0))</f>
        <v>1</v>
      </c>
      <c r="J70" s="21">
        <f t="shared" ca="1" si="91"/>
        <v>68</v>
      </c>
      <c r="K70" s="21" t="str">
        <f t="shared" ca="1" si="110"/>
        <v/>
      </c>
      <c r="L70" s="21" t="str" cm="1">
        <f t="array" aca="1" ref="L70" ca="1">IF($P70="","",INDEX('Attack Steps'!$A:$A,$P70))</f>
        <v/>
      </c>
      <c r="M70" s="21" t="str" cm="1">
        <f t="array" aca="1" ref="M70" ca="1">IF($P70="","",INDEX('Attack Steps'!$T:$T,$P70))</f>
        <v/>
      </c>
      <c r="N70" s="21" t="str" cm="1">
        <f t="array" aca="1" ref="N70" ca="1">_xlfn.LET(_xlpm._dm,SanitizeInput(GetValuesWithFallback(SanitizeInput($AK70),Assumptions!$A:$I,Countermeasures!$A:$I,"",",",FALSE)),
IF(_xlpm._dm="","",","&amp;_xlpm._dm))</f>
        <v/>
      </c>
      <c r="O70" s="21" t="str" cm="1">
        <f t="array" aca="1" ref="O70" ca="1">ApplyDamageMitigation($M70,$N70,"")</f>
        <v/>
      </c>
      <c r="P70" s="21" t="str">
        <f ca="1">IFERROR(MATCH($I70,'Attack Steps'!$V:$V,0),"")</f>
        <v/>
      </c>
      <c r="Q70" s="21" t="str" cm="1">
        <f t="array" aca="1" ref="Q70" ca="1">IF($P70="","","§"&amp;INDEX('Attack Steps'!$S:$S,$P70))</f>
        <v/>
      </c>
      <c r="R70" s="21" t="str" cm="1">
        <f t="array" aca="1" ref="R70" ca="1">IF($P70="","",INDEX('Attack Steps'!$W:$W,$P70))</f>
        <v/>
      </c>
      <c r="S70" s="21" t="b">
        <f t="shared" ca="1" si="111"/>
        <v>0</v>
      </c>
      <c r="T70" s="21" cm="1">
        <f t="array" aca="1" ref="T70" ca="1">_xlfn.LAMBDA(_xlpm._in,_xlpm._val,_xlpm._range,
IF(_xlpm._in="",_xlpm._val,_xlfn.LET(
_xlpm._id,LEFT(_xlpm._in,FIND(",",_xlpm._in)-1),
CalculateMaxFromList(RemoveFirstElement(_xlpm._in),MAX(_xlpm._val,VLOOKUP(_xlpm._id,_xlpm._range,COLUMNS(_xlpm._range),FALSE)),_xlpm._range))))($M70,0,'Damage Scenarios'!$A:$U)</f>
        <v>0</v>
      </c>
      <c r="U70" s="21" cm="1">
        <f t="array" aca="1" ref="U70" ca="1">CalculateMaxFromList($O70,0,'Damage Scenarios'!$A:$U)</f>
        <v>0</v>
      </c>
      <c r="V70" s="21" t="str">
        <f ca="1">IF($U70=0,"",INDEX(Definitions!$Q:$Q,MATCH($U70,Definitions!$R:$R,0)))</f>
        <v/>
      </c>
      <c r="W70" s="21" t="str" cm="1">
        <f t="array" aca="1" ref="W70" ca="1">CalculateMaxAndElements($K70,0,"",'Attack Steps'!$A:X)</f>
        <v>0:</v>
      </c>
      <c r="X70" s="21" t="str" cm="1">
        <f t="array" aca="1" ref="X70" ca="1">CalculateMaxAndElements($K70,0,"",'Attack Steps'!$A:Y)</f>
        <v>0:</v>
      </c>
      <c r="Y70" s="21" t="str" cm="1">
        <f t="array" aca="1" ref="Y70" ca="1">CalculateMaxAndElements($K70,0,"",'Attack Steps'!$A:Z)</f>
        <v>0:</v>
      </c>
      <c r="Z70" s="21" t="str" cm="1">
        <f t="array" aca="1" ref="Z70" ca="1">CalculateMaxAndElements($K70,0,"",'Attack Steps'!$A:AA)</f>
        <v>0:</v>
      </c>
      <c r="AA70" s="21" t="str" cm="1">
        <f t="array" aca="1" ref="AA70" ca="1">CalculateMaxAndElements($K70,0,"",'Attack Steps'!$A:AB)</f>
        <v>0:</v>
      </c>
      <c r="AB70" s="21">
        <f t="shared" ca="1" si="112"/>
        <v>0</v>
      </c>
      <c r="AC70" s="21">
        <f t="shared" ca="1" si="113"/>
        <v>0</v>
      </c>
      <c r="AD70" s="21">
        <f t="shared" ca="1" si="114"/>
        <v>0</v>
      </c>
      <c r="AE70" s="21">
        <f t="shared" ca="1" si="115"/>
        <v>0</v>
      </c>
      <c r="AF70" s="21">
        <f t="shared" ca="1" si="116"/>
        <v>0</v>
      </c>
      <c r="AG70" s="21">
        <f t="shared" ca="1" si="92"/>
        <v>0</v>
      </c>
      <c r="AH70" s="21" t="str" cm="1">
        <f t="array" aca="1" ref="AH70" ca="1">IF(ROW()=ROW($AH$2)+1,"",INDEX($AH:$AH,ROW()-1))&amp;IF($A70="","",$A70&amp;",")</f>
        <v/>
      </c>
      <c r="AI70" s="21" t="str">
        <f t="shared" ca="1" si="117"/>
        <v/>
      </c>
      <c r="AJ70" s="21" cm="1">
        <f t="array" aca="1" ref="AJ70" ca="1">IF($G70="",0,SimpleLookup($G70,Definitions!$AE:$AF))</f>
        <v>0</v>
      </c>
      <c r="AK70" s="21" t="str" cm="1">
        <f t="array" aca="1" ref="AK70" ca="1">InverseLookup($A70,Mitigation!$U$2,Mitigation!$J$2,1,Helper!$B$5,",")</f>
        <v/>
      </c>
      <c r="AL70" s="21" t="str" cm="1">
        <f t="array" aca="1" ref="AL70" ca="1">CalculateMaxAndElementsWithFallback(SanitizeInput($AK70),0,"",Countermeasures!$A:Y,Assumptions!$A:Z)</f>
        <v>0:</v>
      </c>
      <c r="AM70" s="21" t="str" cm="1">
        <f t="array" aca="1" ref="AM70" ca="1">CalculateMaxAndElementsWithFallback(SanitizeInput($AK70),0,"",Countermeasures!$A:Z,Assumptions!$A:AA)</f>
        <v>0:</v>
      </c>
      <c r="AN70" s="21" t="str" cm="1">
        <f t="array" aca="1" ref="AN70" ca="1">CalculateMaxAndElementsWithFallback(SanitizeInput($AK70),0,"",Countermeasures!$A:AA,Assumptions!$A:AB)</f>
        <v>0:</v>
      </c>
      <c r="AO70" s="21" t="str" cm="1">
        <f t="array" aca="1" ref="AO70" ca="1">CalculateMaxAndElementsWithFallback(SanitizeInput($AK70),0,"",Countermeasures!$A:AB,Assumptions!$A:AC)</f>
        <v>0:</v>
      </c>
      <c r="AP70" s="21" t="str" cm="1">
        <f t="array" aca="1" ref="AP70" ca="1">CalculateMaxAndElementsWithFallback(SanitizeInput($AK70),0,"",Countermeasures!$A:AC,Assumptions!$A:AD)</f>
        <v>0:</v>
      </c>
      <c r="AQ70" s="21">
        <f t="shared" ca="1" si="118"/>
        <v>0</v>
      </c>
      <c r="AR70" s="21">
        <f t="shared" ca="1" si="119"/>
        <v>0</v>
      </c>
      <c r="AS70" s="21">
        <f t="shared" ca="1" si="120"/>
        <v>0</v>
      </c>
      <c r="AT70" s="21">
        <f t="shared" ca="1" si="121"/>
        <v>0</v>
      </c>
      <c r="AU70" s="21">
        <f t="shared" ca="1" si="122"/>
        <v>0</v>
      </c>
      <c r="AV70" s="21" t="str">
        <f t="shared" ca="1" si="123"/>
        <v>0:</v>
      </c>
      <c r="AW70" s="21" t="str">
        <f t="shared" ca="1" si="124"/>
        <v>0:</v>
      </c>
      <c r="AX70" s="21" t="str">
        <f t="shared" ca="1" si="125"/>
        <v>0:</v>
      </c>
      <c r="AY70" s="21" t="str">
        <f t="shared" ca="1" si="126"/>
        <v>0:</v>
      </c>
      <c r="AZ70" s="21" t="str">
        <f t="shared" ca="1" si="127"/>
        <v>0:</v>
      </c>
      <c r="BA70" s="21">
        <f t="shared" ca="1" si="128"/>
        <v>0</v>
      </c>
      <c r="BB70" s="21">
        <f t="shared" ca="1" si="129"/>
        <v>0</v>
      </c>
      <c r="BC70" s="21">
        <f t="shared" ca="1" si="130"/>
        <v>0</v>
      </c>
      <c r="BD70" s="21">
        <f t="shared" ca="1" si="131"/>
        <v>0</v>
      </c>
      <c r="BE70" s="21">
        <f t="shared" ca="1" si="132"/>
        <v>0</v>
      </c>
      <c r="BF70" s="21">
        <f t="shared" ca="1" si="93"/>
        <v>0</v>
      </c>
      <c r="BG70" s="21" t="str">
        <f ca="1">IFERROR(VLOOKUP($BF70,Definitions!$V:$W,COLUMNS(Definitions!$V:$W),TRUE),"")</f>
        <v>Basic</v>
      </c>
      <c r="BH70" s="21" t="str">
        <f ca="1">_xlfn.LET(
_xlpm._comments,GetValues($K70,Mitigation!$A:$O,"","",FALSE),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70" s="21" t="str" cm="1">
        <f t="array" aca="1" ref="BI70" ca="1">_xlfn.LET(
_xlpm._rapRange,Definitions!$W:$W,
_xlpm._calculatedRAP,$BG70,
_xlpm._inlineRAP,$BH70,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70" s="21" t="str">
        <f ca="1">IFERROR(IF(OR($V70="",$BI70=""),
Definitions!$AE$4,
VLOOKUP($V70,Definitions!$AH:$AM,MATCH($BI70,Definitions!$AH$3:$AM$3,0),FALSE)),
"")</f>
        <v>No Risk</v>
      </c>
      <c r="BK70" s="21" cm="1">
        <f t="array" aca="1" ref="BK70" ca="1">IF($BJ70="",0,SimpleLookup($BJ70,Definitions!$AE:$AF))</f>
        <v>0</v>
      </c>
      <c r="BL70" s="21" t="str" cm="1">
        <f t="array" aca="1" ref="BL70" ca="1">IFERROR(SimpleLookup($A70,Tracing!$B:$Z),"")</f>
        <v/>
      </c>
      <c r="BM70" s="21" t="str" cm="1">
        <f t="array" aca="1" ref="BM70" ca="1">_xlfn.LET(_xlpm._dm,SanitizeInput(GetValuesWithFallback(SanitizeInput($BL70),Assumptions!$A:$I,Countermeasures!$A:$I,"",",",FALSE)),
IF(_xlpm._dm="","",","&amp;_xlpm._dm))</f>
        <v/>
      </c>
      <c r="BN70" s="21" t="str" cm="1">
        <f t="array" aca="1" ref="BN70" ca="1">ApplyDamageMitigation($M70,$BM70,"")</f>
        <v/>
      </c>
      <c r="BO70" s="21" cm="1">
        <f t="array" aca="1" ref="BO70" ca="1">CalculateMaxFromList($BN70,0,'Damage Scenarios'!$A:$U)</f>
        <v>0</v>
      </c>
      <c r="BP70" s="21" t="str">
        <f ca="1">IF($BO70=0,"",INDEX(Definitions!$Q:$Q,MATCH($BO70,Definitions!$R:$R,0)))</f>
        <v/>
      </c>
      <c r="BQ70" s="21" t="str" cm="1">
        <f t="array" aca="1" ref="BQ70" ca="1">CalculateMaxAndElementsWithFallback(SanitizeInput($BL70),0,"",Countermeasures!$A:Y,Assumptions!$A:Z)</f>
        <v>0:</v>
      </c>
      <c r="BR70" s="21" t="str" cm="1">
        <f t="array" aca="1" ref="BR70" ca="1">CalculateMaxAndElementsWithFallback(SanitizeInput($BL70),0,"",Countermeasures!$A:Z,Assumptions!$A:AA)</f>
        <v>0:</v>
      </c>
      <c r="BS70" s="21" t="str" cm="1">
        <f t="array" aca="1" ref="BS70" ca="1">CalculateMaxAndElementsWithFallback(SanitizeInput($BL70),0,"",Countermeasures!$A:AA,Assumptions!$A:AB)</f>
        <v>0:</v>
      </c>
      <c r="BT70" s="21" t="str" cm="1">
        <f t="array" aca="1" ref="BT70" ca="1">CalculateMaxAndElementsWithFallback(SanitizeInput($BL70),0,"",Countermeasures!$A:AB,Assumptions!$A:AC)</f>
        <v>0:</v>
      </c>
      <c r="BU70" s="21" t="str" cm="1">
        <f t="array" aca="1" ref="BU70" ca="1">CalculateMaxAndElementsWithFallback(SanitizeInput($BL70),0,"",Countermeasures!$A:AC,Assumptions!$A:AD)</f>
        <v>0:</v>
      </c>
      <c r="BV70" s="21">
        <f t="shared" ca="1" si="95"/>
        <v>0</v>
      </c>
      <c r="BW70" s="21">
        <f t="shared" ca="1" si="96"/>
        <v>0</v>
      </c>
      <c r="BX70" s="21">
        <f t="shared" ca="1" si="97"/>
        <v>0</v>
      </c>
      <c r="BY70" s="21">
        <f t="shared" ca="1" si="98"/>
        <v>0</v>
      </c>
      <c r="BZ70" s="21">
        <f t="shared" ca="1" si="99"/>
        <v>0</v>
      </c>
      <c r="CA70" s="21" t="str">
        <f t="shared" ca="1" si="100"/>
        <v>0:</v>
      </c>
      <c r="CB70" s="21" t="str">
        <f t="shared" ca="1" si="101"/>
        <v>0:</v>
      </c>
      <c r="CC70" s="21" t="str">
        <f t="shared" ca="1" si="102"/>
        <v>0:</v>
      </c>
      <c r="CD70" s="21" t="str">
        <f t="shared" ca="1" si="103"/>
        <v>0:</v>
      </c>
      <c r="CE70" s="21" t="str">
        <f t="shared" ca="1" si="104"/>
        <v>0:</v>
      </c>
      <c r="CF70" s="21">
        <f t="shared" ca="1" si="105"/>
        <v>0</v>
      </c>
      <c r="CG70" s="21">
        <f t="shared" ca="1" si="106"/>
        <v>0</v>
      </c>
      <c r="CH70" s="21">
        <f t="shared" ca="1" si="107"/>
        <v>0</v>
      </c>
      <c r="CI70" s="21">
        <f t="shared" ca="1" si="108"/>
        <v>0</v>
      </c>
      <c r="CJ70" s="21">
        <f t="shared" ca="1" si="109"/>
        <v>0</v>
      </c>
      <c r="CK70" s="21">
        <f t="shared" ca="1" si="94"/>
        <v>0</v>
      </c>
      <c r="CL70" s="21" t="str">
        <f ca="1">IFERROR(VLOOKUP($CK70,Definitions!$V:$W,COLUMNS(Definitions!$V:$W),TRUE),"")</f>
        <v>Basic</v>
      </c>
      <c r="CM70" s="21" t="str">
        <f ca="1">_xlfn.LET(
_xlpm._comments,SimpleLookup($A70,Tracing!$B:$AB),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70" s="21" t="str" cm="1">
        <f t="array" aca="1" ref="CN70" ca="1">_xlfn.LET(
_xlpm._rapRange,Definitions!$W:$W,
_xlpm._calculatedRAP,$CL70,
_xlpm._inlineRAP,$CM70,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70" s="21" t="str">
        <f ca="1">IFERROR(IF(OR($BP70="",$CN70=""),
Definitions!$AE$4,
VLOOKUP($BP70,Definitions!$AH:$AM,MATCH($CN70,Definitions!$AH$3:$AM$3,0),FALSE)),
"")</f>
        <v>No Risk</v>
      </c>
      <c r="CP70" s="21" cm="1">
        <f t="array" aca="1" ref="CP70" ca="1">IF($CO70="",0,SimpleLookup($CO70,Definitions!$AE:$AF))</f>
        <v>0</v>
      </c>
      <c r="CQ70" s="21" t="b">
        <f ca="1">OR(AND($S70,$I70=Helper!$B$7),$I70&gt;Helper!$B$7)</f>
        <v>1</v>
      </c>
      <c r="CR70" s="21" t="str">
        <f t="shared" ca="1" si="133"/>
        <v/>
      </c>
      <c r="CS70" s="21" cm="1">
        <f t="array" aca="1" ref="CS70" ca="1">CreateID($CS$2,$CV:$CV,$CR70&lt;&gt;"")</f>
        <v>0</v>
      </c>
      <c r="CT70" s="21" t="str">
        <f ca="1">IF(IFERROR(MATCH(","&amp;A70&amp;",",'Risk Treatment'!$AT:$AT,0)&gt;0,FALSE),"",$A70)</f>
        <v/>
      </c>
      <c r="CU70" s="21" cm="1">
        <f t="array" aca="1" ref="CU70" ca="1">CreateID($CU$2,$CU:$CU,$CT70&lt;&gt;"")</f>
        <v>0</v>
      </c>
    </row>
    <row r="71" spans="1:99" x14ac:dyDescent="0.25">
      <c r="A71" s="33" t="str" cm="1">
        <f t="array" aca="1" ref="A71" ca="1">IF($B71="","","R"&amp;RemoveDelimiter(SUBSTITUTE(SUBSTITUTE($K71,"AS",""),",","-"),"-"))</f>
        <v/>
      </c>
      <c r="B71" s="33" t="str" cm="1">
        <f t="array" aca="1" ref="B71" ca="1">IF($L71="","",_xlfn.LET(
_xlpm._finalAttackStep,$L71,
_xlpm._prepAttacks,RemoveFirstElement(_xlpm._finalAttackStep&amp;","&amp;$K71),
_xlpm._prepAttackNames,IFERROR(LookupNames(_xlpm._prepAttacks,'Attack Steps'!$A:$B),""),
_xlpm._delimiter,REPT(CHAR(150),55),
$L71&amp;" "&amp;SimpleLookup($L71,'Attack Steps'!$A:$B)&amp;
IF(_xlpm._prepAttackNames="","",CHAR(10)&amp;_xlpm._delimiter&amp;CHAR(10)&amp;_xlpm._prepAttackNames)))</f>
        <v/>
      </c>
      <c r="C71" s="34" t="str" cm="1">
        <f t="array" aca="1" ref="C71" ca="1">IFERROR(LookupNames($M71,'Damage Scenarios'!$A:$V),"")</f>
        <v/>
      </c>
      <c r="D71" s="33" t="str">
        <f ca="1">IFERROR(IF($T71=0,"",INDEX(Definitions!$Q:$Q,MATCH($T71,Definitions!$R:$R,0))),"")</f>
        <v/>
      </c>
      <c r="E71" s="34" t="str" cm="1">
        <f t="array" aca="1" ref="E71" ca="1">IF($A71="","",_xlfn.LET(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_xlpm._factorFunction($A71,$A:W,Definitions!$Y:$Y,Definitions!$AB:$AB,1)&amp;CHAR(10)&amp;
_xlpm._factorFunction($A71,$A:X,Definitions!$Y:$Y,Definitions!$AB:$AB,2)&amp;CHAR(10)&amp;
_xlpm._factorFunction($A71,$A:Y,Definitions!$Y:$Y,Definitions!$AB:$AB,3)&amp;CHAR(10)&amp;
_xlpm._factorFunction($A71,$A:Z,Definitions!$Y:$Y,Definitions!$AB:$AB,4)&amp;CHAR(10)&amp;
_xlpm._factorFunction($A71,$A:AA,Definitions!$Y:$Y,Definitions!$AB:$AB,5)))</f>
        <v/>
      </c>
      <c r="F71" s="33" t="str">
        <f ca="1">IF($A71="","",IFERROR(VLOOKUP($AG71,Definitions!$V:$W,COLUMNS(Definitions!$V:$W),TRUE),""))</f>
        <v/>
      </c>
      <c r="G71" s="33" t="str">
        <f ca="1">IFERROR(IF(OR($D71="",$F71=""),
"",
VLOOKUP($D71,Definitions!$AH:$AM,MATCH($F71,Definitions!$AH$3:$AM$3,0),FALSE)),
"")</f>
        <v/>
      </c>
      <c r="H71" s="23" cm="1">
        <f t="array" aca="1" ref="H71" ca="1">IF(ROW()=ROW($H$2)+1,0,INDEX($H:$H,ROW()-1))+IF($A71="",0,1)</f>
        <v>0</v>
      </c>
      <c r="I71" s="21" cm="1">
        <f t="array" aca="1" ref="I71" ca="1">IF(ROW()=ROW($I$2)+1,
1,
INDEX($I:$I,ROW()-1)+IF(INDEX($S:$S,ROW()-1),1,0))</f>
        <v>1</v>
      </c>
      <c r="J71" s="21">
        <f t="shared" ca="1" si="91"/>
        <v>69</v>
      </c>
      <c r="K71" s="21" t="str">
        <f t="shared" ca="1" si="110"/>
        <v/>
      </c>
      <c r="L71" s="21" t="str" cm="1">
        <f t="array" aca="1" ref="L71" ca="1">IF($P71="","",INDEX('Attack Steps'!$A:$A,$P71))</f>
        <v/>
      </c>
      <c r="M71" s="21" t="str" cm="1">
        <f t="array" aca="1" ref="M71" ca="1">IF($P71="","",INDEX('Attack Steps'!$T:$T,$P71))</f>
        <v/>
      </c>
      <c r="N71" s="21" t="str" cm="1">
        <f t="array" aca="1" ref="N71" ca="1">_xlfn.LET(_xlpm._dm,SanitizeInput(GetValuesWithFallback(SanitizeInput($AK71),Assumptions!$A:$I,Countermeasures!$A:$I,"",",",FALSE)),
IF(_xlpm._dm="","",","&amp;_xlpm._dm))</f>
        <v/>
      </c>
      <c r="O71" s="21" t="str" cm="1">
        <f t="array" aca="1" ref="O71" ca="1">ApplyDamageMitigation($M71,$N71,"")</f>
        <v/>
      </c>
      <c r="P71" s="21" t="str">
        <f ca="1">IFERROR(MATCH($I71,'Attack Steps'!$V:$V,0),"")</f>
        <v/>
      </c>
      <c r="Q71" s="21" t="str" cm="1">
        <f t="array" aca="1" ref="Q71" ca="1">IF($P71="","","§"&amp;INDEX('Attack Steps'!$S:$S,$P71))</f>
        <v/>
      </c>
      <c r="R71" s="21" t="str" cm="1">
        <f t="array" aca="1" ref="R71" ca="1">IF($P71="","",INDEX('Attack Steps'!$W:$W,$P71))</f>
        <v/>
      </c>
      <c r="S71" s="21" t="b">
        <f t="shared" ca="1" si="111"/>
        <v>0</v>
      </c>
      <c r="T71" s="21" cm="1">
        <f t="array" aca="1" ref="T71" ca="1">_xlfn.LAMBDA(_xlpm._in,_xlpm._val,_xlpm._range,
IF(_xlpm._in="",_xlpm._val,_xlfn.LET(
_xlpm._id,LEFT(_xlpm._in,FIND(",",_xlpm._in)-1),
CalculateMaxFromList(RemoveFirstElement(_xlpm._in),MAX(_xlpm._val,VLOOKUP(_xlpm._id,_xlpm._range,COLUMNS(_xlpm._range),FALSE)),_xlpm._range))))($M71,0,'Damage Scenarios'!$A:$U)</f>
        <v>0</v>
      </c>
      <c r="U71" s="21" cm="1">
        <f t="array" aca="1" ref="U71" ca="1">CalculateMaxFromList($O71,0,'Damage Scenarios'!$A:$U)</f>
        <v>0</v>
      </c>
      <c r="V71" s="21" t="str">
        <f ca="1">IF($U71=0,"",INDEX(Definitions!$Q:$Q,MATCH($U71,Definitions!$R:$R,0)))</f>
        <v/>
      </c>
      <c r="W71" s="21" t="str" cm="1">
        <f t="array" aca="1" ref="W71" ca="1">CalculateMaxAndElements($K71,0,"",'Attack Steps'!$A:X)</f>
        <v>0:</v>
      </c>
      <c r="X71" s="21" t="str" cm="1">
        <f t="array" aca="1" ref="X71" ca="1">CalculateMaxAndElements($K71,0,"",'Attack Steps'!$A:Y)</f>
        <v>0:</v>
      </c>
      <c r="Y71" s="21" t="str" cm="1">
        <f t="array" aca="1" ref="Y71" ca="1">CalculateMaxAndElements($K71,0,"",'Attack Steps'!$A:Z)</f>
        <v>0:</v>
      </c>
      <c r="Z71" s="21" t="str" cm="1">
        <f t="array" aca="1" ref="Z71" ca="1">CalculateMaxAndElements($K71,0,"",'Attack Steps'!$A:AA)</f>
        <v>0:</v>
      </c>
      <c r="AA71" s="21" t="str" cm="1">
        <f t="array" aca="1" ref="AA71" ca="1">CalculateMaxAndElements($K71,0,"",'Attack Steps'!$A:AB)</f>
        <v>0:</v>
      </c>
      <c r="AB71" s="21">
        <f t="shared" ca="1" si="112"/>
        <v>0</v>
      </c>
      <c r="AC71" s="21">
        <f t="shared" ca="1" si="113"/>
        <v>0</v>
      </c>
      <c r="AD71" s="21">
        <f t="shared" ca="1" si="114"/>
        <v>0</v>
      </c>
      <c r="AE71" s="21">
        <f t="shared" ca="1" si="115"/>
        <v>0</v>
      </c>
      <c r="AF71" s="21">
        <f t="shared" ca="1" si="116"/>
        <v>0</v>
      </c>
      <c r="AG71" s="21">
        <f t="shared" ca="1" si="92"/>
        <v>0</v>
      </c>
      <c r="AH71" s="21" t="str" cm="1">
        <f t="array" aca="1" ref="AH71" ca="1">IF(ROW()=ROW($AH$2)+1,"",INDEX($AH:$AH,ROW()-1))&amp;IF($A71="","",$A71&amp;",")</f>
        <v/>
      </c>
      <c r="AI71" s="21" t="str">
        <f t="shared" ca="1" si="117"/>
        <v/>
      </c>
      <c r="AJ71" s="21" cm="1">
        <f t="array" aca="1" ref="AJ71" ca="1">IF($G71="",0,SimpleLookup($G71,Definitions!$AE:$AF))</f>
        <v>0</v>
      </c>
      <c r="AK71" s="21" t="str" cm="1">
        <f t="array" aca="1" ref="AK71" ca="1">InverseLookup($A71,Mitigation!$U$2,Mitigation!$J$2,1,Helper!$B$5,",")</f>
        <v/>
      </c>
      <c r="AL71" s="21" t="str" cm="1">
        <f t="array" aca="1" ref="AL71" ca="1">CalculateMaxAndElementsWithFallback(SanitizeInput($AK71),0,"",Countermeasures!$A:Y,Assumptions!$A:Z)</f>
        <v>0:</v>
      </c>
      <c r="AM71" s="21" t="str" cm="1">
        <f t="array" aca="1" ref="AM71" ca="1">CalculateMaxAndElementsWithFallback(SanitizeInput($AK71),0,"",Countermeasures!$A:Z,Assumptions!$A:AA)</f>
        <v>0:</v>
      </c>
      <c r="AN71" s="21" t="str" cm="1">
        <f t="array" aca="1" ref="AN71" ca="1">CalculateMaxAndElementsWithFallback(SanitizeInput($AK71),0,"",Countermeasures!$A:AA,Assumptions!$A:AB)</f>
        <v>0:</v>
      </c>
      <c r="AO71" s="21" t="str" cm="1">
        <f t="array" aca="1" ref="AO71" ca="1">CalculateMaxAndElementsWithFallback(SanitizeInput($AK71),0,"",Countermeasures!$A:AB,Assumptions!$A:AC)</f>
        <v>0:</v>
      </c>
      <c r="AP71" s="21" t="str" cm="1">
        <f t="array" aca="1" ref="AP71" ca="1">CalculateMaxAndElementsWithFallback(SanitizeInput($AK71),0,"",Countermeasures!$A:AC,Assumptions!$A:AD)</f>
        <v>0:</v>
      </c>
      <c r="AQ71" s="21">
        <f t="shared" ca="1" si="118"/>
        <v>0</v>
      </c>
      <c r="AR71" s="21">
        <f t="shared" ca="1" si="119"/>
        <v>0</v>
      </c>
      <c r="AS71" s="21">
        <f t="shared" ca="1" si="120"/>
        <v>0</v>
      </c>
      <c r="AT71" s="21">
        <f t="shared" ca="1" si="121"/>
        <v>0</v>
      </c>
      <c r="AU71" s="21">
        <f t="shared" ca="1" si="122"/>
        <v>0</v>
      </c>
      <c r="AV71" s="21" t="str">
        <f t="shared" ca="1" si="123"/>
        <v>0:</v>
      </c>
      <c r="AW71" s="21" t="str">
        <f t="shared" ca="1" si="124"/>
        <v>0:</v>
      </c>
      <c r="AX71" s="21" t="str">
        <f t="shared" ca="1" si="125"/>
        <v>0:</v>
      </c>
      <c r="AY71" s="21" t="str">
        <f t="shared" ca="1" si="126"/>
        <v>0:</v>
      </c>
      <c r="AZ71" s="21" t="str">
        <f t="shared" ca="1" si="127"/>
        <v>0:</v>
      </c>
      <c r="BA71" s="21">
        <f t="shared" ca="1" si="128"/>
        <v>0</v>
      </c>
      <c r="BB71" s="21">
        <f t="shared" ca="1" si="129"/>
        <v>0</v>
      </c>
      <c r="BC71" s="21">
        <f t="shared" ca="1" si="130"/>
        <v>0</v>
      </c>
      <c r="BD71" s="21">
        <f t="shared" ca="1" si="131"/>
        <v>0</v>
      </c>
      <c r="BE71" s="21">
        <f t="shared" ca="1" si="132"/>
        <v>0</v>
      </c>
      <c r="BF71" s="21">
        <f t="shared" ca="1" si="93"/>
        <v>0</v>
      </c>
      <c r="BG71" s="21" t="str">
        <f ca="1">IFERROR(VLOOKUP($BF71,Definitions!$V:$W,COLUMNS(Definitions!$V:$W),TRUE),"")</f>
        <v>Basic</v>
      </c>
      <c r="BH71" s="21" t="str">
        <f ca="1">_xlfn.LET(
_xlpm._comments,GetValues($K71,Mitigation!$A:$O,"","",FALSE),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71" s="21" t="str" cm="1">
        <f t="array" aca="1" ref="BI71" ca="1">_xlfn.LET(
_xlpm._rapRange,Definitions!$W:$W,
_xlpm._calculatedRAP,$BG71,
_xlpm._inlineRAP,$BH71,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71" s="21" t="str">
        <f ca="1">IFERROR(IF(OR($V71="",$BI71=""),
Definitions!$AE$4,
VLOOKUP($V71,Definitions!$AH:$AM,MATCH($BI71,Definitions!$AH$3:$AM$3,0),FALSE)),
"")</f>
        <v>No Risk</v>
      </c>
      <c r="BK71" s="21" cm="1">
        <f t="array" aca="1" ref="BK71" ca="1">IF($BJ71="",0,SimpleLookup($BJ71,Definitions!$AE:$AF))</f>
        <v>0</v>
      </c>
      <c r="BL71" s="21" t="str" cm="1">
        <f t="array" aca="1" ref="BL71" ca="1">IFERROR(SimpleLookup($A71,Tracing!$B:$Z),"")</f>
        <v/>
      </c>
      <c r="BM71" s="21" t="str" cm="1">
        <f t="array" aca="1" ref="BM71" ca="1">_xlfn.LET(_xlpm._dm,SanitizeInput(GetValuesWithFallback(SanitizeInput($BL71),Assumptions!$A:$I,Countermeasures!$A:$I,"",",",FALSE)),
IF(_xlpm._dm="","",","&amp;_xlpm._dm))</f>
        <v/>
      </c>
      <c r="BN71" s="21" t="str" cm="1">
        <f t="array" aca="1" ref="BN71" ca="1">ApplyDamageMitigation($M71,$BM71,"")</f>
        <v/>
      </c>
      <c r="BO71" s="21" cm="1">
        <f t="array" aca="1" ref="BO71" ca="1">CalculateMaxFromList($BN71,0,'Damage Scenarios'!$A:$U)</f>
        <v>0</v>
      </c>
      <c r="BP71" s="21" t="str">
        <f ca="1">IF($BO71=0,"",INDEX(Definitions!$Q:$Q,MATCH($BO71,Definitions!$R:$R,0)))</f>
        <v/>
      </c>
      <c r="BQ71" s="21" t="str" cm="1">
        <f t="array" aca="1" ref="BQ71" ca="1">CalculateMaxAndElementsWithFallback(SanitizeInput($BL71),0,"",Countermeasures!$A:Y,Assumptions!$A:Z)</f>
        <v>0:</v>
      </c>
      <c r="BR71" s="21" t="str" cm="1">
        <f t="array" aca="1" ref="BR71" ca="1">CalculateMaxAndElementsWithFallback(SanitizeInput($BL71),0,"",Countermeasures!$A:Z,Assumptions!$A:AA)</f>
        <v>0:</v>
      </c>
      <c r="BS71" s="21" t="str" cm="1">
        <f t="array" aca="1" ref="BS71" ca="1">CalculateMaxAndElementsWithFallback(SanitizeInput($BL71),0,"",Countermeasures!$A:AA,Assumptions!$A:AB)</f>
        <v>0:</v>
      </c>
      <c r="BT71" s="21" t="str" cm="1">
        <f t="array" aca="1" ref="BT71" ca="1">CalculateMaxAndElementsWithFallback(SanitizeInput($BL71),0,"",Countermeasures!$A:AB,Assumptions!$A:AC)</f>
        <v>0:</v>
      </c>
      <c r="BU71" s="21" t="str" cm="1">
        <f t="array" aca="1" ref="BU71" ca="1">CalculateMaxAndElementsWithFallback(SanitizeInput($BL71),0,"",Countermeasures!$A:AC,Assumptions!$A:AD)</f>
        <v>0:</v>
      </c>
      <c r="BV71" s="21">
        <f t="shared" ca="1" si="95"/>
        <v>0</v>
      </c>
      <c r="BW71" s="21">
        <f t="shared" ca="1" si="96"/>
        <v>0</v>
      </c>
      <c r="BX71" s="21">
        <f t="shared" ca="1" si="97"/>
        <v>0</v>
      </c>
      <c r="BY71" s="21">
        <f t="shared" ca="1" si="98"/>
        <v>0</v>
      </c>
      <c r="BZ71" s="21">
        <f t="shared" ca="1" si="99"/>
        <v>0</v>
      </c>
      <c r="CA71" s="21" t="str">
        <f t="shared" ca="1" si="100"/>
        <v>0:</v>
      </c>
      <c r="CB71" s="21" t="str">
        <f t="shared" ca="1" si="101"/>
        <v>0:</v>
      </c>
      <c r="CC71" s="21" t="str">
        <f t="shared" ca="1" si="102"/>
        <v>0:</v>
      </c>
      <c r="CD71" s="21" t="str">
        <f t="shared" ca="1" si="103"/>
        <v>0:</v>
      </c>
      <c r="CE71" s="21" t="str">
        <f t="shared" ca="1" si="104"/>
        <v>0:</v>
      </c>
      <c r="CF71" s="21">
        <f t="shared" ca="1" si="105"/>
        <v>0</v>
      </c>
      <c r="CG71" s="21">
        <f t="shared" ca="1" si="106"/>
        <v>0</v>
      </c>
      <c r="CH71" s="21">
        <f t="shared" ca="1" si="107"/>
        <v>0</v>
      </c>
      <c r="CI71" s="21">
        <f t="shared" ca="1" si="108"/>
        <v>0</v>
      </c>
      <c r="CJ71" s="21">
        <f t="shared" ca="1" si="109"/>
        <v>0</v>
      </c>
      <c r="CK71" s="21">
        <f t="shared" ca="1" si="94"/>
        <v>0</v>
      </c>
      <c r="CL71" s="21" t="str">
        <f ca="1">IFERROR(VLOOKUP($CK71,Definitions!$V:$W,COLUMNS(Definitions!$V:$W),TRUE),"")</f>
        <v>Basic</v>
      </c>
      <c r="CM71" s="21" t="str">
        <f ca="1">_xlfn.LET(
_xlpm._comments,SimpleLookup($A71,Tracing!$B:$AB),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71" s="21" t="str" cm="1">
        <f t="array" aca="1" ref="CN71" ca="1">_xlfn.LET(
_xlpm._rapRange,Definitions!$W:$W,
_xlpm._calculatedRAP,$CL71,
_xlpm._inlineRAP,$CM71,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71" s="21" t="str">
        <f ca="1">IFERROR(IF(OR($BP71="",$CN71=""),
Definitions!$AE$4,
VLOOKUP($BP71,Definitions!$AH:$AM,MATCH($CN71,Definitions!$AH$3:$AM$3,0),FALSE)),
"")</f>
        <v>No Risk</v>
      </c>
      <c r="CP71" s="21" cm="1">
        <f t="array" aca="1" ref="CP71" ca="1">IF($CO71="",0,SimpleLookup($CO71,Definitions!$AE:$AF))</f>
        <v>0</v>
      </c>
      <c r="CQ71" s="21" t="b">
        <f ca="1">OR(AND($S71,$I71=Helper!$B$7),$I71&gt;Helper!$B$7)</f>
        <v>1</v>
      </c>
      <c r="CR71" s="21" t="str">
        <f t="shared" ca="1" si="133"/>
        <v/>
      </c>
      <c r="CS71" s="21" cm="1">
        <f t="array" aca="1" ref="CS71" ca="1">CreateID($CS$2,$CV:$CV,$CR71&lt;&gt;"")</f>
        <v>0</v>
      </c>
      <c r="CT71" s="21" t="str">
        <f ca="1">IF(IFERROR(MATCH(","&amp;A71&amp;",",'Risk Treatment'!$AT:$AT,0)&gt;0,FALSE),"",$A71)</f>
        <v/>
      </c>
      <c r="CU71" s="21" cm="1">
        <f t="array" aca="1" ref="CU71" ca="1">CreateID($CU$2,$CU:$CU,$CT71&lt;&gt;"")</f>
        <v>0</v>
      </c>
    </row>
    <row r="72" spans="1:99" x14ac:dyDescent="0.25">
      <c r="A72" s="33" t="str" cm="1">
        <f t="array" aca="1" ref="A72" ca="1">IF($B72="","","R"&amp;RemoveDelimiter(SUBSTITUTE(SUBSTITUTE($K72,"AS",""),",","-"),"-"))</f>
        <v/>
      </c>
      <c r="B72" s="33" t="str" cm="1">
        <f t="array" aca="1" ref="B72" ca="1">IF($L72="","",_xlfn.LET(
_xlpm._finalAttackStep,$L72,
_xlpm._prepAttacks,RemoveFirstElement(_xlpm._finalAttackStep&amp;","&amp;$K72),
_xlpm._prepAttackNames,IFERROR(LookupNames(_xlpm._prepAttacks,'Attack Steps'!$A:$B),""),
_xlpm._delimiter,REPT(CHAR(150),55),
$L72&amp;" "&amp;SimpleLookup($L72,'Attack Steps'!$A:$B)&amp;
IF(_xlpm._prepAttackNames="","",CHAR(10)&amp;_xlpm._delimiter&amp;CHAR(10)&amp;_xlpm._prepAttackNames)))</f>
        <v/>
      </c>
      <c r="C72" s="34" t="str" cm="1">
        <f t="array" aca="1" ref="C72" ca="1">IFERROR(LookupNames($M72,'Damage Scenarios'!$A:$V),"")</f>
        <v/>
      </c>
      <c r="D72" s="33" t="str">
        <f ca="1">IFERROR(IF($T72=0,"",INDEX(Definitions!$Q:$Q,MATCH($T72,Definitions!$R:$R,0))),"")</f>
        <v/>
      </c>
      <c r="E72" s="34" t="str" cm="1">
        <f t="array" aca="1" ref="E72" ca="1">IF($A72="","",_xlfn.LET(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_xlpm._factorFunction($A72,$A:W,Definitions!$Y:$Y,Definitions!$AB:$AB,1)&amp;CHAR(10)&amp;
_xlpm._factorFunction($A72,$A:X,Definitions!$Y:$Y,Definitions!$AB:$AB,2)&amp;CHAR(10)&amp;
_xlpm._factorFunction($A72,$A:Y,Definitions!$Y:$Y,Definitions!$AB:$AB,3)&amp;CHAR(10)&amp;
_xlpm._factorFunction($A72,$A:Z,Definitions!$Y:$Y,Definitions!$AB:$AB,4)&amp;CHAR(10)&amp;
_xlpm._factorFunction($A72,$A:AA,Definitions!$Y:$Y,Definitions!$AB:$AB,5)))</f>
        <v/>
      </c>
      <c r="F72" s="33" t="str">
        <f ca="1">IF($A72="","",IFERROR(VLOOKUP($AG72,Definitions!$V:$W,COLUMNS(Definitions!$V:$W),TRUE),""))</f>
        <v/>
      </c>
      <c r="G72" s="33" t="str">
        <f ca="1">IFERROR(IF(OR($D72="",$F72=""),
"",
VLOOKUP($D72,Definitions!$AH:$AM,MATCH($F72,Definitions!$AH$3:$AM$3,0),FALSE)),
"")</f>
        <v/>
      </c>
      <c r="H72" s="23" cm="1">
        <f t="array" aca="1" ref="H72" ca="1">IF(ROW()=ROW($H$2)+1,0,INDEX($H:$H,ROW()-1))+IF($A72="",0,1)</f>
        <v>0</v>
      </c>
      <c r="I72" s="21" cm="1">
        <f t="array" aca="1" ref="I72" ca="1">IF(ROW()=ROW($I$2)+1,
1,
INDEX($I:$I,ROW()-1)+IF(INDEX($S:$S,ROW()-1),1,0))</f>
        <v>1</v>
      </c>
      <c r="J72" s="21">
        <f t="shared" ca="1" si="91"/>
        <v>70</v>
      </c>
      <c r="K72" s="21" t="str">
        <f t="shared" ca="1" si="110"/>
        <v/>
      </c>
      <c r="L72" s="21" t="str" cm="1">
        <f t="array" aca="1" ref="L72" ca="1">IF($P72="","",INDEX('Attack Steps'!$A:$A,$P72))</f>
        <v/>
      </c>
      <c r="M72" s="21" t="str" cm="1">
        <f t="array" aca="1" ref="M72" ca="1">IF($P72="","",INDEX('Attack Steps'!$T:$T,$P72))</f>
        <v/>
      </c>
      <c r="N72" s="21" t="str" cm="1">
        <f t="array" aca="1" ref="N72" ca="1">_xlfn.LET(_xlpm._dm,SanitizeInput(GetValuesWithFallback(SanitizeInput($AK72),Assumptions!$A:$I,Countermeasures!$A:$I,"",",",FALSE)),
IF(_xlpm._dm="","",","&amp;_xlpm._dm))</f>
        <v/>
      </c>
      <c r="O72" s="21" t="str" cm="1">
        <f t="array" aca="1" ref="O72" ca="1">ApplyDamageMitigation($M72,$N72,"")</f>
        <v/>
      </c>
      <c r="P72" s="21" t="str">
        <f ca="1">IFERROR(MATCH($I72,'Attack Steps'!$V:$V,0),"")</f>
        <v/>
      </c>
      <c r="Q72" s="21" t="str" cm="1">
        <f t="array" aca="1" ref="Q72" ca="1">IF($P72="","","§"&amp;INDEX('Attack Steps'!$S:$S,$P72))</f>
        <v/>
      </c>
      <c r="R72" s="21" t="str" cm="1">
        <f t="array" aca="1" ref="R72" ca="1">IF($P72="","",INDEX('Attack Steps'!$W:$W,$P72))</f>
        <v/>
      </c>
      <c r="S72" s="21" t="b">
        <f t="shared" ca="1" si="111"/>
        <v>0</v>
      </c>
      <c r="T72" s="21" cm="1">
        <f t="array" aca="1" ref="T72" ca="1">_xlfn.LAMBDA(_xlpm._in,_xlpm._val,_xlpm._range,
IF(_xlpm._in="",_xlpm._val,_xlfn.LET(
_xlpm._id,LEFT(_xlpm._in,FIND(",",_xlpm._in)-1),
CalculateMaxFromList(RemoveFirstElement(_xlpm._in),MAX(_xlpm._val,VLOOKUP(_xlpm._id,_xlpm._range,COLUMNS(_xlpm._range),FALSE)),_xlpm._range))))($M72,0,'Damage Scenarios'!$A:$U)</f>
        <v>0</v>
      </c>
      <c r="U72" s="21" cm="1">
        <f t="array" aca="1" ref="U72" ca="1">CalculateMaxFromList($O72,0,'Damage Scenarios'!$A:$U)</f>
        <v>0</v>
      </c>
      <c r="V72" s="21" t="str">
        <f ca="1">IF($U72=0,"",INDEX(Definitions!$Q:$Q,MATCH($U72,Definitions!$R:$R,0)))</f>
        <v/>
      </c>
      <c r="W72" s="21" t="str" cm="1">
        <f t="array" aca="1" ref="W72" ca="1">CalculateMaxAndElements($K72,0,"",'Attack Steps'!$A:X)</f>
        <v>0:</v>
      </c>
      <c r="X72" s="21" t="str" cm="1">
        <f t="array" aca="1" ref="X72" ca="1">CalculateMaxAndElements($K72,0,"",'Attack Steps'!$A:Y)</f>
        <v>0:</v>
      </c>
      <c r="Y72" s="21" t="str" cm="1">
        <f t="array" aca="1" ref="Y72" ca="1">CalculateMaxAndElements($K72,0,"",'Attack Steps'!$A:Z)</f>
        <v>0:</v>
      </c>
      <c r="Z72" s="21" t="str" cm="1">
        <f t="array" aca="1" ref="Z72" ca="1">CalculateMaxAndElements($K72,0,"",'Attack Steps'!$A:AA)</f>
        <v>0:</v>
      </c>
      <c r="AA72" s="21" t="str" cm="1">
        <f t="array" aca="1" ref="AA72" ca="1">CalculateMaxAndElements($K72,0,"",'Attack Steps'!$A:AB)</f>
        <v>0:</v>
      </c>
      <c r="AB72" s="21">
        <f t="shared" ca="1" si="112"/>
        <v>0</v>
      </c>
      <c r="AC72" s="21">
        <f t="shared" ca="1" si="113"/>
        <v>0</v>
      </c>
      <c r="AD72" s="21">
        <f t="shared" ca="1" si="114"/>
        <v>0</v>
      </c>
      <c r="AE72" s="21">
        <f t="shared" ca="1" si="115"/>
        <v>0</v>
      </c>
      <c r="AF72" s="21">
        <f t="shared" ca="1" si="116"/>
        <v>0</v>
      </c>
      <c r="AG72" s="21">
        <f t="shared" ca="1" si="92"/>
        <v>0</v>
      </c>
      <c r="AH72" s="21" t="str" cm="1">
        <f t="array" aca="1" ref="AH72" ca="1">IF(ROW()=ROW($AH$2)+1,"",INDEX($AH:$AH,ROW()-1))&amp;IF($A72="","",$A72&amp;",")</f>
        <v/>
      </c>
      <c r="AI72" s="21" t="str">
        <f t="shared" ca="1" si="117"/>
        <v/>
      </c>
      <c r="AJ72" s="21" cm="1">
        <f t="array" aca="1" ref="AJ72" ca="1">IF($G72="",0,SimpleLookup($G72,Definitions!$AE:$AF))</f>
        <v>0</v>
      </c>
      <c r="AK72" s="21" t="str" cm="1">
        <f t="array" aca="1" ref="AK72" ca="1">InverseLookup($A72,Mitigation!$U$2,Mitigation!$J$2,1,Helper!$B$5,",")</f>
        <v/>
      </c>
      <c r="AL72" s="21" t="str" cm="1">
        <f t="array" aca="1" ref="AL72" ca="1">CalculateMaxAndElementsWithFallback(SanitizeInput($AK72),0,"",Countermeasures!$A:Y,Assumptions!$A:Z)</f>
        <v>0:</v>
      </c>
      <c r="AM72" s="21" t="str" cm="1">
        <f t="array" aca="1" ref="AM72" ca="1">CalculateMaxAndElementsWithFallback(SanitizeInput($AK72),0,"",Countermeasures!$A:Z,Assumptions!$A:AA)</f>
        <v>0:</v>
      </c>
      <c r="AN72" s="21" t="str" cm="1">
        <f t="array" aca="1" ref="AN72" ca="1">CalculateMaxAndElementsWithFallback(SanitizeInput($AK72),0,"",Countermeasures!$A:AA,Assumptions!$A:AB)</f>
        <v>0:</v>
      </c>
      <c r="AO72" s="21" t="str" cm="1">
        <f t="array" aca="1" ref="AO72" ca="1">CalculateMaxAndElementsWithFallback(SanitizeInput($AK72),0,"",Countermeasures!$A:AB,Assumptions!$A:AC)</f>
        <v>0:</v>
      </c>
      <c r="AP72" s="21" t="str" cm="1">
        <f t="array" aca="1" ref="AP72" ca="1">CalculateMaxAndElementsWithFallback(SanitizeInput($AK72),0,"",Countermeasures!$A:AC,Assumptions!$A:AD)</f>
        <v>0:</v>
      </c>
      <c r="AQ72" s="21">
        <f t="shared" ca="1" si="118"/>
        <v>0</v>
      </c>
      <c r="AR72" s="21">
        <f t="shared" ca="1" si="119"/>
        <v>0</v>
      </c>
      <c r="AS72" s="21">
        <f t="shared" ca="1" si="120"/>
        <v>0</v>
      </c>
      <c r="AT72" s="21">
        <f t="shared" ca="1" si="121"/>
        <v>0</v>
      </c>
      <c r="AU72" s="21">
        <f t="shared" ca="1" si="122"/>
        <v>0</v>
      </c>
      <c r="AV72" s="21" t="str">
        <f t="shared" ca="1" si="123"/>
        <v>0:</v>
      </c>
      <c r="AW72" s="21" t="str">
        <f t="shared" ca="1" si="124"/>
        <v>0:</v>
      </c>
      <c r="AX72" s="21" t="str">
        <f t="shared" ca="1" si="125"/>
        <v>0:</v>
      </c>
      <c r="AY72" s="21" t="str">
        <f t="shared" ca="1" si="126"/>
        <v>0:</v>
      </c>
      <c r="AZ72" s="21" t="str">
        <f t="shared" ca="1" si="127"/>
        <v>0:</v>
      </c>
      <c r="BA72" s="21">
        <f t="shared" ca="1" si="128"/>
        <v>0</v>
      </c>
      <c r="BB72" s="21">
        <f t="shared" ca="1" si="129"/>
        <v>0</v>
      </c>
      <c r="BC72" s="21">
        <f t="shared" ca="1" si="130"/>
        <v>0</v>
      </c>
      <c r="BD72" s="21">
        <f t="shared" ca="1" si="131"/>
        <v>0</v>
      </c>
      <c r="BE72" s="21">
        <f t="shared" ca="1" si="132"/>
        <v>0</v>
      </c>
      <c r="BF72" s="21">
        <f t="shared" ca="1" si="93"/>
        <v>0</v>
      </c>
      <c r="BG72" s="21" t="str">
        <f ca="1">IFERROR(VLOOKUP($BF72,Definitions!$V:$W,COLUMNS(Definitions!$V:$W),TRUE),"")</f>
        <v>Basic</v>
      </c>
      <c r="BH72" s="21" t="str">
        <f ca="1">_xlfn.LET(
_xlpm._comments,GetValues($K72,Mitigation!$A:$O,"","",FALSE),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72" s="21" t="str" cm="1">
        <f t="array" aca="1" ref="BI72" ca="1">_xlfn.LET(
_xlpm._rapRange,Definitions!$W:$W,
_xlpm._calculatedRAP,$BG72,
_xlpm._inlineRAP,$BH72,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72" s="21" t="str">
        <f ca="1">IFERROR(IF(OR($V72="",$BI72=""),
Definitions!$AE$4,
VLOOKUP($V72,Definitions!$AH:$AM,MATCH($BI72,Definitions!$AH$3:$AM$3,0),FALSE)),
"")</f>
        <v>No Risk</v>
      </c>
      <c r="BK72" s="21" cm="1">
        <f t="array" aca="1" ref="BK72" ca="1">IF($BJ72="",0,SimpleLookup($BJ72,Definitions!$AE:$AF))</f>
        <v>0</v>
      </c>
      <c r="BL72" s="21" t="str" cm="1">
        <f t="array" aca="1" ref="BL72" ca="1">IFERROR(SimpleLookup($A72,Tracing!$B:$Z),"")</f>
        <v/>
      </c>
      <c r="BM72" s="21" t="str" cm="1">
        <f t="array" aca="1" ref="BM72" ca="1">_xlfn.LET(_xlpm._dm,SanitizeInput(GetValuesWithFallback(SanitizeInput($BL72),Assumptions!$A:$I,Countermeasures!$A:$I,"",",",FALSE)),
IF(_xlpm._dm="","",","&amp;_xlpm._dm))</f>
        <v/>
      </c>
      <c r="BN72" s="21" t="str" cm="1">
        <f t="array" aca="1" ref="BN72" ca="1">ApplyDamageMitigation($M72,$BM72,"")</f>
        <v/>
      </c>
      <c r="BO72" s="21" cm="1">
        <f t="array" aca="1" ref="BO72" ca="1">CalculateMaxFromList($BN72,0,'Damage Scenarios'!$A:$U)</f>
        <v>0</v>
      </c>
      <c r="BP72" s="21" t="str">
        <f ca="1">IF($BO72=0,"",INDEX(Definitions!$Q:$Q,MATCH($BO72,Definitions!$R:$R,0)))</f>
        <v/>
      </c>
      <c r="BQ72" s="21" t="str" cm="1">
        <f t="array" aca="1" ref="BQ72" ca="1">CalculateMaxAndElementsWithFallback(SanitizeInput($BL72),0,"",Countermeasures!$A:Y,Assumptions!$A:Z)</f>
        <v>0:</v>
      </c>
      <c r="BR72" s="21" t="str" cm="1">
        <f t="array" aca="1" ref="BR72" ca="1">CalculateMaxAndElementsWithFallback(SanitizeInput($BL72),0,"",Countermeasures!$A:Z,Assumptions!$A:AA)</f>
        <v>0:</v>
      </c>
      <c r="BS72" s="21" t="str" cm="1">
        <f t="array" aca="1" ref="BS72" ca="1">CalculateMaxAndElementsWithFallback(SanitizeInput($BL72),0,"",Countermeasures!$A:AA,Assumptions!$A:AB)</f>
        <v>0:</v>
      </c>
      <c r="BT72" s="21" t="str" cm="1">
        <f t="array" aca="1" ref="BT72" ca="1">CalculateMaxAndElementsWithFallback(SanitizeInput($BL72),0,"",Countermeasures!$A:AB,Assumptions!$A:AC)</f>
        <v>0:</v>
      </c>
      <c r="BU72" s="21" t="str" cm="1">
        <f t="array" aca="1" ref="BU72" ca="1">CalculateMaxAndElementsWithFallback(SanitizeInput($BL72),0,"",Countermeasures!$A:AC,Assumptions!$A:AD)</f>
        <v>0:</v>
      </c>
      <c r="BV72" s="21">
        <f t="shared" ca="1" si="95"/>
        <v>0</v>
      </c>
      <c r="BW72" s="21">
        <f t="shared" ca="1" si="96"/>
        <v>0</v>
      </c>
      <c r="BX72" s="21">
        <f t="shared" ca="1" si="97"/>
        <v>0</v>
      </c>
      <c r="BY72" s="21">
        <f t="shared" ca="1" si="98"/>
        <v>0</v>
      </c>
      <c r="BZ72" s="21">
        <f t="shared" ca="1" si="99"/>
        <v>0</v>
      </c>
      <c r="CA72" s="21" t="str">
        <f t="shared" ca="1" si="100"/>
        <v>0:</v>
      </c>
      <c r="CB72" s="21" t="str">
        <f t="shared" ca="1" si="101"/>
        <v>0:</v>
      </c>
      <c r="CC72" s="21" t="str">
        <f t="shared" ca="1" si="102"/>
        <v>0:</v>
      </c>
      <c r="CD72" s="21" t="str">
        <f t="shared" ca="1" si="103"/>
        <v>0:</v>
      </c>
      <c r="CE72" s="21" t="str">
        <f t="shared" ca="1" si="104"/>
        <v>0:</v>
      </c>
      <c r="CF72" s="21">
        <f t="shared" ca="1" si="105"/>
        <v>0</v>
      </c>
      <c r="CG72" s="21">
        <f t="shared" ca="1" si="106"/>
        <v>0</v>
      </c>
      <c r="CH72" s="21">
        <f t="shared" ca="1" si="107"/>
        <v>0</v>
      </c>
      <c r="CI72" s="21">
        <f t="shared" ca="1" si="108"/>
        <v>0</v>
      </c>
      <c r="CJ72" s="21">
        <f t="shared" ca="1" si="109"/>
        <v>0</v>
      </c>
      <c r="CK72" s="21">
        <f t="shared" ca="1" si="94"/>
        <v>0</v>
      </c>
      <c r="CL72" s="21" t="str">
        <f ca="1">IFERROR(VLOOKUP($CK72,Definitions!$V:$W,COLUMNS(Definitions!$V:$W),TRUE),"")</f>
        <v>Basic</v>
      </c>
      <c r="CM72" s="21" t="str">
        <f ca="1">_xlfn.LET(
_xlpm._comments,SimpleLookup($A72,Tracing!$B:$AB),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72" s="21" t="str" cm="1">
        <f t="array" aca="1" ref="CN72" ca="1">_xlfn.LET(
_xlpm._rapRange,Definitions!$W:$W,
_xlpm._calculatedRAP,$CL72,
_xlpm._inlineRAP,$CM72,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72" s="21" t="str">
        <f ca="1">IFERROR(IF(OR($BP72="",$CN72=""),
Definitions!$AE$4,
VLOOKUP($BP72,Definitions!$AH:$AM,MATCH($CN72,Definitions!$AH$3:$AM$3,0),FALSE)),
"")</f>
        <v>No Risk</v>
      </c>
      <c r="CP72" s="21" cm="1">
        <f t="array" aca="1" ref="CP72" ca="1">IF($CO72="",0,SimpleLookup($CO72,Definitions!$AE:$AF))</f>
        <v>0</v>
      </c>
      <c r="CQ72" s="21" t="b">
        <f ca="1">OR(AND($S72,$I72=Helper!$B$7),$I72&gt;Helper!$B$7)</f>
        <v>1</v>
      </c>
      <c r="CR72" s="21" t="str">
        <f t="shared" ca="1" si="133"/>
        <v/>
      </c>
      <c r="CS72" s="21" cm="1">
        <f t="array" aca="1" ref="CS72" ca="1">CreateID($CS$2,$CV:$CV,$CR72&lt;&gt;"")</f>
        <v>0</v>
      </c>
      <c r="CT72" s="21" t="str">
        <f ca="1">IF(IFERROR(MATCH(","&amp;A72&amp;",",'Risk Treatment'!$AT:$AT,0)&gt;0,FALSE),"",$A72)</f>
        <v/>
      </c>
      <c r="CU72" s="21" cm="1">
        <f t="array" aca="1" ref="CU72" ca="1">CreateID($CU$2,$CU:$CU,$CT72&lt;&gt;"")</f>
        <v>0</v>
      </c>
    </row>
    <row r="73" spans="1:99" x14ac:dyDescent="0.25">
      <c r="A73" s="33" t="str" cm="1">
        <f t="array" aca="1" ref="A73" ca="1">IF($B73="","","R"&amp;RemoveDelimiter(SUBSTITUTE(SUBSTITUTE($K73,"AS",""),",","-"),"-"))</f>
        <v/>
      </c>
      <c r="B73" s="33" t="str" cm="1">
        <f t="array" aca="1" ref="B73" ca="1">IF($L73="","",_xlfn.LET(
_xlpm._finalAttackStep,$L73,
_xlpm._prepAttacks,RemoveFirstElement(_xlpm._finalAttackStep&amp;","&amp;$K73),
_xlpm._prepAttackNames,IFERROR(LookupNames(_xlpm._prepAttacks,'Attack Steps'!$A:$B),""),
_xlpm._delimiter,REPT(CHAR(150),55),
$L73&amp;" "&amp;SimpleLookup($L73,'Attack Steps'!$A:$B)&amp;
IF(_xlpm._prepAttackNames="","",CHAR(10)&amp;_xlpm._delimiter&amp;CHAR(10)&amp;_xlpm._prepAttackNames)))</f>
        <v/>
      </c>
      <c r="C73" s="34" t="str" cm="1">
        <f t="array" aca="1" ref="C73" ca="1">IFERROR(LookupNames($M73,'Damage Scenarios'!$A:$V),"")</f>
        <v/>
      </c>
      <c r="D73" s="33" t="str">
        <f ca="1">IFERROR(IF($T73=0,"",INDEX(Definitions!$Q:$Q,MATCH($T73,Definitions!$R:$R,0))),"")</f>
        <v/>
      </c>
      <c r="E73" s="34" t="str" cm="1">
        <f t="array" aca="1" ref="E73" ca="1">IF($A73="","",_xlfn.LET(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_xlpm._factorFunction($A73,$A:W,Definitions!$Y:$Y,Definitions!$AB:$AB,1)&amp;CHAR(10)&amp;
_xlpm._factorFunction($A73,$A:X,Definitions!$Y:$Y,Definitions!$AB:$AB,2)&amp;CHAR(10)&amp;
_xlpm._factorFunction($A73,$A:Y,Definitions!$Y:$Y,Definitions!$AB:$AB,3)&amp;CHAR(10)&amp;
_xlpm._factorFunction($A73,$A:Z,Definitions!$Y:$Y,Definitions!$AB:$AB,4)&amp;CHAR(10)&amp;
_xlpm._factorFunction($A73,$A:AA,Definitions!$Y:$Y,Definitions!$AB:$AB,5)))</f>
        <v/>
      </c>
      <c r="F73" s="33" t="str">
        <f ca="1">IF($A73="","",IFERROR(VLOOKUP($AG73,Definitions!$V:$W,COLUMNS(Definitions!$V:$W),TRUE),""))</f>
        <v/>
      </c>
      <c r="G73" s="33" t="str">
        <f ca="1">IFERROR(IF(OR($D73="",$F73=""),
"",
VLOOKUP($D73,Definitions!$AH:$AM,MATCH($F73,Definitions!$AH$3:$AM$3,0),FALSE)),
"")</f>
        <v/>
      </c>
      <c r="H73" s="23" cm="1">
        <f t="array" aca="1" ref="H73" ca="1">IF(ROW()=ROW($H$2)+1,0,INDEX($H:$H,ROW()-1))+IF($A73="",0,1)</f>
        <v>0</v>
      </c>
      <c r="I73" s="21" cm="1">
        <f t="array" aca="1" ref="I73" ca="1">IF(ROW()=ROW($I$2)+1,
1,
INDEX($I:$I,ROW()-1)+IF(INDEX($S:$S,ROW()-1),1,0))</f>
        <v>1</v>
      </c>
      <c r="J73" s="21">
        <f t="shared" ca="1" si="91"/>
        <v>71</v>
      </c>
      <c r="K73" s="21" t="str">
        <f t="shared" ca="1" si="110"/>
        <v/>
      </c>
      <c r="L73" s="21" t="str" cm="1">
        <f t="array" aca="1" ref="L73" ca="1">IF($P73="","",INDEX('Attack Steps'!$A:$A,$P73))</f>
        <v/>
      </c>
      <c r="M73" s="21" t="str" cm="1">
        <f t="array" aca="1" ref="M73" ca="1">IF($P73="","",INDEX('Attack Steps'!$T:$T,$P73))</f>
        <v/>
      </c>
      <c r="N73" s="21" t="str" cm="1">
        <f t="array" aca="1" ref="N73" ca="1">_xlfn.LET(_xlpm._dm,SanitizeInput(GetValuesWithFallback(SanitizeInput($AK73),Assumptions!$A:$I,Countermeasures!$A:$I,"",",",FALSE)),
IF(_xlpm._dm="","",","&amp;_xlpm._dm))</f>
        <v/>
      </c>
      <c r="O73" s="21" t="str" cm="1">
        <f t="array" aca="1" ref="O73" ca="1">ApplyDamageMitigation($M73,$N73,"")</f>
        <v/>
      </c>
      <c r="P73" s="21" t="str">
        <f ca="1">IFERROR(MATCH($I73,'Attack Steps'!$V:$V,0),"")</f>
        <v/>
      </c>
      <c r="Q73" s="21" t="str" cm="1">
        <f t="array" aca="1" ref="Q73" ca="1">IF($P73="","","§"&amp;INDEX('Attack Steps'!$S:$S,$P73))</f>
        <v/>
      </c>
      <c r="R73" s="21" t="str" cm="1">
        <f t="array" aca="1" ref="R73" ca="1">IF($P73="","",INDEX('Attack Steps'!$W:$W,$P73))</f>
        <v/>
      </c>
      <c r="S73" s="21" t="b">
        <f t="shared" ca="1" si="111"/>
        <v>0</v>
      </c>
      <c r="T73" s="21" cm="1">
        <f t="array" aca="1" ref="T73" ca="1">_xlfn.LAMBDA(_xlpm._in,_xlpm._val,_xlpm._range,
IF(_xlpm._in="",_xlpm._val,_xlfn.LET(
_xlpm._id,LEFT(_xlpm._in,FIND(",",_xlpm._in)-1),
CalculateMaxFromList(RemoveFirstElement(_xlpm._in),MAX(_xlpm._val,VLOOKUP(_xlpm._id,_xlpm._range,COLUMNS(_xlpm._range),FALSE)),_xlpm._range))))($M73,0,'Damage Scenarios'!$A:$U)</f>
        <v>0</v>
      </c>
      <c r="U73" s="21" cm="1">
        <f t="array" aca="1" ref="U73" ca="1">CalculateMaxFromList($O73,0,'Damage Scenarios'!$A:$U)</f>
        <v>0</v>
      </c>
      <c r="V73" s="21" t="str">
        <f ca="1">IF($U73=0,"",INDEX(Definitions!$Q:$Q,MATCH($U73,Definitions!$R:$R,0)))</f>
        <v/>
      </c>
      <c r="W73" s="21" t="str" cm="1">
        <f t="array" aca="1" ref="W73" ca="1">CalculateMaxAndElements($K73,0,"",'Attack Steps'!$A:X)</f>
        <v>0:</v>
      </c>
      <c r="X73" s="21" t="str" cm="1">
        <f t="array" aca="1" ref="X73" ca="1">CalculateMaxAndElements($K73,0,"",'Attack Steps'!$A:Y)</f>
        <v>0:</v>
      </c>
      <c r="Y73" s="21" t="str" cm="1">
        <f t="array" aca="1" ref="Y73" ca="1">CalculateMaxAndElements($K73,0,"",'Attack Steps'!$A:Z)</f>
        <v>0:</v>
      </c>
      <c r="Z73" s="21" t="str" cm="1">
        <f t="array" aca="1" ref="Z73" ca="1">CalculateMaxAndElements($K73,0,"",'Attack Steps'!$A:AA)</f>
        <v>0:</v>
      </c>
      <c r="AA73" s="21" t="str" cm="1">
        <f t="array" aca="1" ref="AA73" ca="1">CalculateMaxAndElements($K73,0,"",'Attack Steps'!$A:AB)</f>
        <v>0:</v>
      </c>
      <c r="AB73" s="21">
        <f t="shared" ca="1" si="112"/>
        <v>0</v>
      </c>
      <c r="AC73" s="21">
        <f t="shared" ca="1" si="113"/>
        <v>0</v>
      </c>
      <c r="AD73" s="21">
        <f t="shared" ca="1" si="114"/>
        <v>0</v>
      </c>
      <c r="AE73" s="21">
        <f t="shared" ca="1" si="115"/>
        <v>0</v>
      </c>
      <c r="AF73" s="21">
        <f t="shared" ca="1" si="116"/>
        <v>0</v>
      </c>
      <c r="AG73" s="21">
        <f t="shared" ca="1" si="92"/>
        <v>0</v>
      </c>
      <c r="AH73" s="21" t="str" cm="1">
        <f t="array" aca="1" ref="AH73" ca="1">IF(ROW()=ROW($AH$2)+1,"",INDEX($AH:$AH,ROW()-1))&amp;IF($A73="","",$A73&amp;",")</f>
        <v/>
      </c>
      <c r="AI73" s="21" t="str">
        <f t="shared" ca="1" si="117"/>
        <v/>
      </c>
      <c r="AJ73" s="21" cm="1">
        <f t="array" aca="1" ref="AJ73" ca="1">IF($G73="",0,SimpleLookup($G73,Definitions!$AE:$AF))</f>
        <v>0</v>
      </c>
      <c r="AK73" s="21" t="str" cm="1">
        <f t="array" aca="1" ref="AK73" ca="1">InverseLookup($A73,Mitigation!$U$2,Mitigation!$J$2,1,Helper!$B$5,",")</f>
        <v/>
      </c>
      <c r="AL73" s="21" t="str" cm="1">
        <f t="array" aca="1" ref="AL73" ca="1">CalculateMaxAndElementsWithFallback(SanitizeInput($AK73),0,"",Countermeasures!$A:Y,Assumptions!$A:Z)</f>
        <v>0:</v>
      </c>
      <c r="AM73" s="21" t="str" cm="1">
        <f t="array" aca="1" ref="AM73" ca="1">CalculateMaxAndElementsWithFallback(SanitizeInput($AK73),0,"",Countermeasures!$A:Z,Assumptions!$A:AA)</f>
        <v>0:</v>
      </c>
      <c r="AN73" s="21" t="str" cm="1">
        <f t="array" aca="1" ref="AN73" ca="1">CalculateMaxAndElementsWithFallback(SanitizeInput($AK73),0,"",Countermeasures!$A:AA,Assumptions!$A:AB)</f>
        <v>0:</v>
      </c>
      <c r="AO73" s="21" t="str" cm="1">
        <f t="array" aca="1" ref="AO73" ca="1">CalculateMaxAndElementsWithFallback(SanitizeInput($AK73),0,"",Countermeasures!$A:AB,Assumptions!$A:AC)</f>
        <v>0:</v>
      </c>
      <c r="AP73" s="21" t="str" cm="1">
        <f t="array" aca="1" ref="AP73" ca="1">CalculateMaxAndElementsWithFallback(SanitizeInput($AK73),0,"",Countermeasures!$A:AC,Assumptions!$A:AD)</f>
        <v>0:</v>
      </c>
      <c r="AQ73" s="21">
        <f t="shared" ca="1" si="118"/>
        <v>0</v>
      </c>
      <c r="AR73" s="21">
        <f t="shared" ca="1" si="119"/>
        <v>0</v>
      </c>
      <c r="AS73" s="21">
        <f t="shared" ca="1" si="120"/>
        <v>0</v>
      </c>
      <c r="AT73" s="21">
        <f t="shared" ca="1" si="121"/>
        <v>0</v>
      </c>
      <c r="AU73" s="21">
        <f t="shared" ca="1" si="122"/>
        <v>0</v>
      </c>
      <c r="AV73" s="21" t="str">
        <f t="shared" ca="1" si="123"/>
        <v>0:</v>
      </c>
      <c r="AW73" s="21" t="str">
        <f t="shared" ca="1" si="124"/>
        <v>0:</v>
      </c>
      <c r="AX73" s="21" t="str">
        <f t="shared" ca="1" si="125"/>
        <v>0:</v>
      </c>
      <c r="AY73" s="21" t="str">
        <f t="shared" ca="1" si="126"/>
        <v>0:</v>
      </c>
      <c r="AZ73" s="21" t="str">
        <f t="shared" ca="1" si="127"/>
        <v>0:</v>
      </c>
      <c r="BA73" s="21">
        <f t="shared" ca="1" si="128"/>
        <v>0</v>
      </c>
      <c r="BB73" s="21">
        <f t="shared" ca="1" si="129"/>
        <v>0</v>
      </c>
      <c r="BC73" s="21">
        <f t="shared" ca="1" si="130"/>
        <v>0</v>
      </c>
      <c r="BD73" s="21">
        <f t="shared" ca="1" si="131"/>
        <v>0</v>
      </c>
      <c r="BE73" s="21">
        <f t="shared" ca="1" si="132"/>
        <v>0</v>
      </c>
      <c r="BF73" s="21">
        <f t="shared" ca="1" si="93"/>
        <v>0</v>
      </c>
      <c r="BG73" s="21" t="str">
        <f ca="1">IFERROR(VLOOKUP($BF73,Definitions!$V:$W,COLUMNS(Definitions!$V:$W),TRUE),"")</f>
        <v>Basic</v>
      </c>
      <c r="BH73" s="21" t="str">
        <f ca="1">_xlfn.LET(
_xlpm._comments,GetValues($K73,Mitigation!$A:$O,"","",FALSE),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73" s="21" t="str" cm="1">
        <f t="array" aca="1" ref="BI73" ca="1">_xlfn.LET(
_xlpm._rapRange,Definitions!$W:$W,
_xlpm._calculatedRAP,$BG73,
_xlpm._inlineRAP,$BH73,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73" s="21" t="str">
        <f ca="1">IFERROR(IF(OR($V73="",$BI73=""),
Definitions!$AE$4,
VLOOKUP($V73,Definitions!$AH:$AM,MATCH($BI73,Definitions!$AH$3:$AM$3,0),FALSE)),
"")</f>
        <v>No Risk</v>
      </c>
      <c r="BK73" s="21" cm="1">
        <f t="array" aca="1" ref="BK73" ca="1">IF($BJ73="",0,SimpleLookup($BJ73,Definitions!$AE:$AF))</f>
        <v>0</v>
      </c>
      <c r="BL73" s="21" t="str" cm="1">
        <f t="array" aca="1" ref="BL73" ca="1">IFERROR(SimpleLookup($A73,Tracing!$B:$Z),"")</f>
        <v/>
      </c>
      <c r="BM73" s="21" t="str" cm="1">
        <f t="array" aca="1" ref="BM73" ca="1">_xlfn.LET(_xlpm._dm,SanitizeInput(GetValuesWithFallback(SanitizeInput($BL73),Assumptions!$A:$I,Countermeasures!$A:$I,"",",",FALSE)),
IF(_xlpm._dm="","",","&amp;_xlpm._dm))</f>
        <v/>
      </c>
      <c r="BN73" s="21" t="str" cm="1">
        <f t="array" aca="1" ref="BN73" ca="1">ApplyDamageMitigation($M73,$BM73,"")</f>
        <v/>
      </c>
      <c r="BO73" s="21" cm="1">
        <f t="array" aca="1" ref="BO73" ca="1">CalculateMaxFromList($BN73,0,'Damage Scenarios'!$A:$U)</f>
        <v>0</v>
      </c>
      <c r="BP73" s="21" t="str">
        <f ca="1">IF($BO73=0,"",INDEX(Definitions!$Q:$Q,MATCH($BO73,Definitions!$R:$R,0)))</f>
        <v/>
      </c>
      <c r="BQ73" s="21" t="str" cm="1">
        <f t="array" aca="1" ref="BQ73" ca="1">CalculateMaxAndElementsWithFallback(SanitizeInput($BL73),0,"",Countermeasures!$A:Y,Assumptions!$A:Z)</f>
        <v>0:</v>
      </c>
      <c r="BR73" s="21" t="str" cm="1">
        <f t="array" aca="1" ref="BR73" ca="1">CalculateMaxAndElementsWithFallback(SanitizeInput($BL73),0,"",Countermeasures!$A:Z,Assumptions!$A:AA)</f>
        <v>0:</v>
      </c>
      <c r="BS73" s="21" t="str" cm="1">
        <f t="array" aca="1" ref="BS73" ca="1">CalculateMaxAndElementsWithFallback(SanitizeInput($BL73),0,"",Countermeasures!$A:AA,Assumptions!$A:AB)</f>
        <v>0:</v>
      </c>
      <c r="BT73" s="21" t="str" cm="1">
        <f t="array" aca="1" ref="BT73" ca="1">CalculateMaxAndElementsWithFallback(SanitizeInput($BL73),0,"",Countermeasures!$A:AB,Assumptions!$A:AC)</f>
        <v>0:</v>
      </c>
      <c r="BU73" s="21" t="str" cm="1">
        <f t="array" aca="1" ref="BU73" ca="1">CalculateMaxAndElementsWithFallback(SanitizeInput($BL73),0,"",Countermeasures!$A:AC,Assumptions!$A:AD)</f>
        <v>0:</v>
      </c>
      <c r="BV73" s="21">
        <f t="shared" ca="1" si="95"/>
        <v>0</v>
      </c>
      <c r="BW73" s="21">
        <f t="shared" ca="1" si="96"/>
        <v>0</v>
      </c>
      <c r="BX73" s="21">
        <f t="shared" ca="1" si="97"/>
        <v>0</v>
      </c>
      <c r="BY73" s="21">
        <f t="shared" ca="1" si="98"/>
        <v>0</v>
      </c>
      <c r="BZ73" s="21">
        <f t="shared" ca="1" si="99"/>
        <v>0</v>
      </c>
      <c r="CA73" s="21" t="str">
        <f t="shared" ca="1" si="100"/>
        <v>0:</v>
      </c>
      <c r="CB73" s="21" t="str">
        <f t="shared" ca="1" si="101"/>
        <v>0:</v>
      </c>
      <c r="CC73" s="21" t="str">
        <f t="shared" ca="1" si="102"/>
        <v>0:</v>
      </c>
      <c r="CD73" s="21" t="str">
        <f t="shared" ca="1" si="103"/>
        <v>0:</v>
      </c>
      <c r="CE73" s="21" t="str">
        <f t="shared" ca="1" si="104"/>
        <v>0:</v>
      </c>
      <c r="CF73" s="21">
        <f t="shared" ca="1" si="105"/>
        <v>0</v>
      </c>
      <c r="CG73" s="21">
        <f t="shared" ca="1" si="106"/>
        <v>0</v>
      </c>
      <c r="CH73" s="21">
        <f t="shared" ca="1" si="107"/>
        <v>0</v>
      </c>
      <c r="CI73" s="21">
        <f t="shared" ca="1" si="108"/>
        <v>0</v>
      </c>
      <c r="CJ73" s="21">
        <f t="shared" ca="1" si="109"/>
        <v>0</v>
      </c>
      <c r="CK73" s="21">
        <f t="shared" ca="1" si="94"/>
        <v>0</v>
      </c>
      <c r="CL73" s="21" t="str">
        <f ca="1">IFERROR(VLOOKUP($CK73,Definitions!$V:$W,COLUMNS(Definitions!$V:$W),TRUE),"")</f>
        <v>Basic</v>
      </c>
      <c r="CM73" s="21" t="str">
        <f ca="1">_xlfn.LET(
_xlpm._comments,SimpleLookup($A73,Tracing!$B:$AB),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73" s="21" t="str" cm="1">
        <f t="array" aca="1" ref="CN73" ca="1">_xlfn.LET(
_xlpm._rapRange,Definitions!$W:$W,
_xlpm._calculatedRAP,$CL73,
_xlpm._inlineRAP,$CM73,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73" s="21" t="str">
        <f ca="1">IFERROR(IF(OR($BP73="",$CN73=""),
Definitions!$AE$4,
VLOOKUP($BP73,Definitions!$AH:$AM,MATCH($CN73,Definitions!$AH$3:$AM$3,0),FALSE)),
"")</f>
        <v>No Risk</v>
      </c>
      <c r="CP73" s="21" cm="1">
        <f t="array" aca="1" ref="CP73" ca="1">IF($CO73="",0,SimpleLookup($CO73,Definitions!$AE:$AF))</f>
        <v>0</v>
      </c>
      <c r="CQ73" s="21" t="b">
        <f ca="1">OR(AND($S73,$I73=Helper!$B$7),$I73&gt;Helper!$B$7)</f>
        <v>1</v>
      </c>
      <c r="CR73" s="21" t="str">
        <f t="shared" ca="1" si="133"/>
        <v/>
      </c>
      <c r="CS73" s="21" cm="1">
        <f t="array" aca="1" ref="CS73" ca="1">CreateID($CS$2,$CV:$CV,$CR73&lt;&gt;"")</f>
        <v>0</v>
      </c>
      <c r="CT73" s="21" t="str">
        <f ca="1">IF(IFERROR(MATCH(","&amp;A73&amp;",",'Risk Treatment'!$AT:$AT,0)&gt;0,FALSE),"",$A73)</f>
        <v/>
      </c>
      <c r="CU73" s="21" cm="1">
        <f t="array" aca="1" ref="CU73" ca="1">CreateID($CU$2,$CU:$CU,$CT73&lt;&gt;"")</f>
        <v>0</v>
      </c>
    </row>
    <row r="74" spans="1:99" x14ac:dyDescent="0.25">
      <c r="A74" s="33" t="str" cm="1">
        <f t="array" aca="1" ref="A74" ca="1">IF($B74="","","R"&amp;RemoveDelimiter(SUBSTITUTE(SUBSTITUTE($K74,"AS",""),",","-"),"-"))</f>
        <v/>
      </c>
      <c r="B74" s="33" t="str" cm="1">
        <f t="array" aca="1" ref="B74" ca="1">IF($L74="","",_xlfn.LET(
_xlpm._finalAttackStep,$L74,
_xlpm._prepAttacks,RemoveFirstElement(_xlpm._finalAttackStep&amp;","&amp;$K74),
_xlpm._prepAttackNames,IFERROR(LookupNames(_xlpm._prepAttacks,'Attack Steps'!$A:$B),""),
_xlpm._delimiter,REPT(CHAR(150),55),
$L74&amp;" "&amp;SimpleLookup($L74,'Attack Steps'!$A:$B)&amp;
IF(_xlpm._prepAttackNames="","",CHAR(10)&amp;_xlpm._delimiter&amp;CHAR(10)&amp;_xlpm._prepAttackNames)))</f>
        <v/>
      </c>
      <c r="C74" s="34" t="str" cm="1">
        <f t="array" aca="1" ref="C74" ca="1">IFERROR(LookupNames($M74,'Damage Scenarios'!$A:$V),"")</f>
        <v/>
      </c>
      <c r="D74" s="33" t="str">
        <f ca="1">IFERROR(IF($T74=0,"",INDEX(Definitions!$Q:$Q,MATCH($T74,Definitions!$R:$R,0))),"")</f>
        <v/>
      </c>
      <c r="E74" s="34" t="str" cm="1">
        <f t="array" aca="1" ref="E74" ca="1">IF($A74="","",_xlfn.LET(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_xlpm._factorFunction($A74,$A:W,Definitions!$Y:$Y,Definitions!$AB:$AB,1)&amp;CHAR(10)&amp;
_xlpm._factorFunction($A74,$A:X,Definitions!$Y:$Y,Definitions!$AB:$AB,2)&amp;CHAR(10)&amp;
_xlpm._factorFunction($A74,$A:Y,Definitions!$Y:$Y,Definitions!$AB:$AB,3)&amp;CHAR(10)&amp;
_xlpm._factorFunction($A74,$A:Z,Definitions!$Y:$Y,Definitions!$AB:$AB,4)&amp;CHAR(10)&amp;
_xlpm._factorFunction($A74,$A:AA,Definitions!$Y:$Y,Definitions!$AB:$AB,5)))</f>
        <v/>
      </c>
      <c r="F74" s="33" t="str">
        <f ca="1">IF($A74="","",IFERROR(VLOOKUP($AG74,Definitions!$V:$W,COLUMNS(Definitions!$V:$W),TRUE),""))</f>
        <v/>
      </c>
      <c r="G74" s="33" t="str">
        <f ca="1">IFERROR(IF(OR($D74="",$F74=""),
"",
VLOOKUP($D74,Definitions!$AH:$AM,MATCH($F74,Definitions!$AH$3:$AM$3,0),FALSE)),
"")</f>
        <v/>
      </c>
      <c r="H74" s="23" cm="1">
        <f t="array" aca="1" ref="H74" ca="1">IF(ROW()=ROW($H$2)+1,0,INDEX($H:$H,ROW()-1))+IF($A74="",0,1)</f>
        <v>0</v>
      </c>
      <c r="I74" s="21" cm="1">
        <f t="array" aca="1" ref="I74" ca="1">IF(ROW()=ROW($I$2)+1,
1,
INDEX($I:$I,ROW()-1)+IF(INDEX($S:$S,ROW()-1),1,0))</f>
        <v>1</v>
      </c>
      <c r="J74" s="21">
        <f t="shared" ca="1" si="91"/>
        <v>72</v>
      </c>
      <c r="K74" s="21" t="str">
        <f t="shared" ca="1" si="110"/>
        <v/>
      </c>
      <c r="L74" s="21" t="str" cm="1">
        <f t="array" aca="1" ref="L74" ca="1">IF($P74="","",INDEX('Attack Steps'!$A:$A,$P74))</f>
        <v/>
      </c>
      <c r="M74" s="21" t="str" cm="1">
        <f t="array" aca="1" ref="M74" ca="1">IF($P74="","",INDEX('Attack Steps'!$T:$T,$P74))</f>
        <v/>
      </c>
      <c r="N74" s="21" t="str" cm="1">
        <f t="array" aca="1" ref="N74" ca="1">_xlfn.LET(_xlpm._dm,SanitizeInput(GetValuesWithFallback(SanitizeInput($AK74),Assumptions!$A:$I,Countermeasures!$A:$I,"",",",FALSE)),
IF(_xlpm._dm="","",","&amp;_xlpm._dm))</f>
        <v/>
      </c>
      <c r="O74" s="21" t="str" cm="1">
        <f t="array" aca="1" ref="O74" ca="1">ApplyDamageMitigation($M74,$N74,"")</f>
        <v/>
      </c>
      <c r="P74" s="21" t="str">
        <f ca="1">IFERROR(MATCH($I74,'Attack Steps'!$V:$V,0),"")</f>
        <v/>
      </c>
      <c r="Q74" s="21" t="str" cm="1">
        <f t="array" aca="1" ref="Q74" ca="1">IF($P74="","","§"&amp;INDEX('Attack Steps'!$S:$S,$P74))</f>
        <v/>
      </c>
      <c r="R74" s="21" t="str" cm="1">
        <f t="array" aca="1" ref="R74" ca="1">IF($P74="","",INDEX('Attack Steps'!$W:$W,$P74))</f>
        <v/>
      </c>
      <c r="S74" s="21" t="b">
        <f t="shared" ca="1" si="111"/>
        <v>0</v>
      </c>
      <c r="T74" s="21" cm="1">
        <f t="array" aca="1" ref="T74" ca="1">_xlfn.LAMBDA(_xlpm._in,_xlpm._val,_xlpm._range,
IF(_xlpm._in="",_xlpm._val,_xlfn.LET(
_xlpm._id,LEFT(_xlpm._in,FIND(",",_xlpm._in)-1),
CalculateMaxFromList(RemoveFirstElement(_xlpm._in),MAX(_xlpm._val,VLOOKUP(_xlpm._id,_xlpm._range,COLUMNS(_xlpm._range),FALSE)),_xlpm._range))))($M74,0,'Damage Scenarios'!$A:$U)</f>
        <v>0</v>
      </c>
      <c r="U74" s="21" cm="1">
        <f t="array" aca="1" ref="U74" ca="1">CalculateMaxFromList($O74,0,'Damage Scenarios'!$A:$U)</f>
        <v>0</v>
      </c>
      <c r="V74" s="21" t="str">
        <f ca="1">IF($U74=0,"",INDEX(Definitions!$Q:$Q,MATCH($U74,Definitions!$R:$R,0)))</f>
        <v/>
      </c>
      <c r="W74" s="21" t="str" cm="1">
        <f t="array" aca="1" ref="W74" ca="1">CalculateMaxAndElements($K74,0,"",'Attack Steps'!$A:X)</f>
        <v>0:</v>
      </c>
      <c r="X74" s="21" t="str" cm="1">
        <f t="array" aca="1" ref="X74" ca="1">CalculateMaxAndElements($K74,0,"",'Attack Steps'!$A:Y)</f>
        <v>0:</v>
      </c>
      <c r="Y74" s="21" t="str" cm="1">
        <f t="array" aca="1" ref="Y74" ca="1">CalculateMaxAndElements($K74,0,"",'Attack Steps'!$A:Z)</f>
        <v>0:</v>
      </c>
      <c r="Z74" s="21" t="str" cm="1">
        <f t="array" aca="1" ref="Z74" ca="1">CalculateMaxAndElements($K74,0,"",'Attack Steps'!$A:AA)</f>
        <v>0:</v>
      </c>
      <c r="AA74" s="21" t="str" cm="1">
        <f t="array" aca="1" ref="AA74" ca="1">CalculateMaxAndElements($K74,0,"",'Attack Steps'!$A:AB)</f>
        <v>0:</v>
      </c>
      <c r="AB74" s="21">
        <f t="shared" ca="1" si="112"/>
        <v>0</v>
      </c>
      <c r="AC74" s="21">
        <f t="shared" ca="1" si="113"/>
        <v>0</v>
      </c>
      <c r="AD74" s="21">
        <f t="shared" ca="1" si="114"/>
        <v>0</v>
      </c>
      <c r="AE74" s="21">
        <f t="shared" ca="1" si="115"/>
        <v>0</v>
      </c>
      <c r="AF74" s="21">
        <f t="shared" ca="1" si="116"/>
        <v>0</v>
      </c>
      <c r="AG74" s="21">
        <f t="shared" ca="1" si="92"/>
        <v>0</v>
      </c>
      <c r="AH74" s="21" t="str" cm="1">
        <f t="array" aca="1" ref="AH74" ca="1">IF(ROW()=ROW($AH$2)+1,"",INDEX($AH:$AH,ROW()-1))&amp;IF($A74="","",$A74&amp;",")</f>
        <v/>
      </c>
      <c r="AI74" s="21" t="str">
        <f t="shared" ca="1" si="117"/>
        <v/>
      </c>
      <c r="AJ74" s="21" cm="1">
        <f t="array" aca="1" ref="AJ74" ca="1">IF($G74="",0,SimpleLookup($G74,Definitions!$AE:$AF))</f>
        <v>0</v>
      </c>
      <c r="AK74" s="21" t="str" cm="1">
        <f t="array" aca="1" ref="AK74" ca="1">InverseLookup($A74,Mitigation!$U$2,Mitigation!$J$2,1,Helper!$B$5,",")</f>
        <v/>
      </c>
      <c r="AL74" s="21" t="str" cm="1">
        <f t="array" aca="1" ref="AL74" ca="1">CalculateMaxAndElementsWithFallback(SanitizeInput($AK74),0,"",Countermeasures!$A:Y,Assumptions!$A:Z)</f>
        <v>0:</v>
      </c>
      <c r="AM74" s="21" t="str" cm="1">
        <f t="array" aca="1" ref="AM74" ca="1">CalculateMaxAndElementsWithFallback(SanitizeInput($AK74),0,"",Countermeasures!$A:Z,Assumptions!$A:AA)</f>
        <v>0:</v>
      </c>
      <c r="AN74" s="21" t="str" cm="1">
        <f t="array" aca="1" ref="AN74" ca="1">CalculateMaxAndElementsWithFallback(SanitizeInput($AK74),0,"",Countermeasures!$A:AA,Assumptions!$A:AB)</f>
        <v>0:</v>
      </c>
      <c r="AO74" s="21" t="str" cm="1">
        <f t="array" aca="1" ref="AO74" ca="1">CalculateMaxAndElementsWithFallback(SanitizeInput($AK74),0,"",Countermeasures!$A:AB,Assumptions!$A:AC)</f>
        <v>0:</v>
      </c>
      <c r="AP74" s="21" t="str" cm="1">
        <f t="array" aca="1" ref="AP74" ca="1">CalculateMaxAndElementsWithFallback(SanitizeInput($AK74),0,"",Countermeasures!$A:AC,Assumptions!$A:AD)</f>
        <v>0:</v>
      </c>
      <c r="AQ74" s="21">
        <f t="shared" ca="1" si="118"/>
        <v>0</v>
      </c>
      <c r="AR74" s="21">
        <f t="shared" ca="1" si="119"/>
        <v>0</v>
      </c>
      <c r="AS74" s="21">
        <f t="shared" ca="1" si="120"/>
        <v>0</v>
      </c>
      <c r="AT74" s="21">
        <f t="shared" ca="1" si="121"/>
        <v>0</v>
      </c>
      <c r="AU74" s="21">
        <f t="shared" ca="1" si="122"/>
        <v>0</v>
      </c>
      <c r="AV74" s="21" t="str">
        <f t="shared" ca="1" si="123"/>
        <v>0:</v>
      </c>
      <c r="AW74" s="21" t="str">
        <f t="shared" ca="1" si="124"/>
        <v>0:</v>
      </c>
      <c r="AX74" s="21" t="str">
        <f t="shared" ca="1" si="125"/>
        <v>0:</v>
      </c>
      <c r="AY74" s="21" t="str">
        <f t="shared" ca="1" si="126"/>
        <v>0:</v>
      </c>
      <c r="AZ74" s="21" t="str">
        <f t="shared" ca="1" si="127"/>
        <v>0:</v>
      </c>
      <c r="BA74" s="21">
        <f t="shared" ca="1" si="128"/>
        <v>0</v>
      </c>
      <c r="BB74" s="21">
        <f t="shared" ca="1" si="129"/>
        <v>0</v>
      </c>
      <c r="BC74" s="21">
        <f t="shared" ca="1" si="130"/>
        <v>0</v>
      </c>
      <c r="BD74" s="21">
        <f t="shared" ca="1" si="131"/>
        <v>0</v>
      </c>
      <c r="BE74" s="21">
        <f t="shared" ca="1" si="132"/>
        <v>0</v>
      </c>
      <c r="BF74" s="21">
        <f t="shared" ca="1" si="93"/>
        <v>0</v>
      </c>
      <c r="BG74" s="21" t="str">
        <f ca="1">IFERROR(VLOOKUP($BF74,Definitions!$V:$W,COLUMNS(Definitions!$V:$W),TRUE),"")</f>
        <v>Basic</v>
      </c>
      <c r="BH74" s="21" t="str">
        <f ca="1">_xlfn.LET(
_xlpm._comments,GetValues($K74,Mitigation!$A:$O,"","",FALSE),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74" s="21" t="str" cm="1">
        <f t="array" aca="1" ref="BI74" ca="1">_xlfn.LET(
_xlpm._rapRange,Definitions!$W:$W,
_xlpm._calculatedRAP,$BG74,
_xlpm._inlineRAP,$BH74,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74" s="21" t="str">
        <f ca="1">IFERROR(IF(OR($V74="",$BI74=""),
Definitions!$AE$4,
VLOOKUP($V74,Definitions!$AH:$AM,MATCH($BI74,Definitions!$AH$3:$AM$3,0),FALSE)),
"")</f>
        <v>No Risk</v>
      </c>
      <c r="BK74" s="21" cm="1">
        <f t="array" aca="1" ref="BK74" ca="1">IF($BJ74="",0,SimpleLookup($BJ74,Definitions!$AE:$AF))</f>
        <v>0</v>
      </c>
      <c r="BL74" s="21" t="str" cm="1">
        <f t="array" aca="1" ref="BL74" ca="1">IFERROR(SimpleLookup($A74,Tracing!$B:$Z),"")</f>
        <v/>
      </c>
      <c r="BM74" s="21" t="str" cm="1">
        <f t="array" aca="1" ref="BM74" ca="1">_xlfn.LET(_xlpm._dm,SanitizeInput(GetValuesWithFallback(SanitizeInput($BL74),Assumptions!$A:$I,Countermeasures!$A:$I,"",",",FALSE)),
IF(_xlpm._dm="","",","&amp;_xlpm._dm))</f>
        <v/>
      </c>
      <c r="BN74" s="21" t="str" cm="1">
        <f t="array" aca="1" ref="BN74" ca="1">ApplyDamageMitigation($M74,$BM74,"")</f>
        <v/>
      </c>
      <c r="BO74" s="21" cm="1">
        <f t="array" aca="1" ref="BO74" ca="1">CalculateMaxFromList($BN74,0,'Damage Scenarios'!$A:$U)</f>
        <v>0</v>
      </c>
      <c r="BP74" s="21" t="str">
        <f ca="1">IF($BO74=0,"",INDEX(Definitions!$Q:$Q,MATCH($BO74,Definitions!$R:$R,0)))</f>
        <v/>
      </c>
      <c r="BQ74" s="21" t="str" cm="1">
        <f t="array" aca="1" ref="BQ74" ca="1">CalculateMaxAndElementsWithFallback(SanitizeInput($BL74),0,"",Countermeasures!$A:Y,Assumptions!$A:Z)</f>
        <v>0:</v>
      </c>
      <c r="BR74" s="21" t="str" cm="1">
        <f t="array" aca="1" ref="BR74" ca="1">CalculateMaxAndElementsWithFallback(SanitizeInput($BL74),0,"",Countermeasures!$A:Z,Assumptions!$A:AA)</f>
        <v>0:</v>
      </c>
      <c r="BS74" s="21" t="str" cm="1">
        <f t="array" aca="1" ref="BS74" ca="1">CalculateMaxAndElementsWithFallback(SanitizeInput($BL74),0,"",Countermeasures!$A:AA,Assumptions!$A:AB)</f>
        <v>0:</v>
      </c>
      <c r="BT74" s="21" t="str" cm="1">
        <f t="array" aca="1" ref="BT74" ca="1">CalculateMaxAndElementsWithFallback(SanitizeInput($BL74),0,"",Countermeasures!$A:AB,Assumptions!$A:AC)</f>
        <v>0:</v>
      </c>
      <c r="BU74" s="21" t="str" cm="1">
        <f t="array" aca="1" ref="BU74" ca="1">CalculateMaxAndElementsWithFallback(SanitizeInput($BL74),0,"",Countermeasures!$A:AC,Assumptions!$A:AD)</f>
        <v>0:</v>
      </c>
      <c r="BV74" s="21">
        <f t="shared" ca="1" si="95"/>
        <v>0</v>
      </c>
      <c r="BW74" s="21">
        <f t="shared" ca="1" si="96"/>
        <v>0</v>
      </c>
      <c r="BX74" s="21">
        <f t="shared" ca="1" si="97"/>
        <v>0</v>
      </c>
      <c r="BY74" s="21">
        <f t="shared" ca="1" si="98"/>
        <v>0</v>
      </c>
      <c r="BZ74" s="21">
        <f t="shared" ca="1" si="99"/>
        <v>0</v>
      </c>
      <c r="CA74" s="21" t="str">
        <f t="shared" ca="1" si="100"/>
        <v>0:</v>
      </c>
      <c r="CB74" s="21" t="str">
        <f t="shared" ca="1" si="101"/>
        <v>0:</v>
      </c>
      <c r="CC74" s="21" t="str">
        <f t="shared" ca="1" si="102"/>
        <v>0:</v>
      </c>
      <c r="CD74" s="21" t="str">
        <f t="shared" ca="1" si="103"/>
        <v>0:</v>
      </c>
      <c r="CE74" s="21" t="str">
        <f t="shared" ca="1" si="104"/>
        <v>0:</v>
      </c>
      <c r="CF74" s="21">
        <f t="shared" ca="1" si="105"/>
        <v>0</v>
      </c>
      <c r="CG74" s="21">
        <f t="shared" ca="1" si="106"/>
        <v>0</v>
      </c>
      <c r="CH74" s="21">
        <f t="shared" ca="1" si="107"/>
        <v>0</v>
      </c>
      <c r="CI74" s="21">
        <f t="shared" ca="1" si="108"/>
        <v>0</v>
      </c>
      <c r="CJ74" s="21">
        <f t="shared" ca="1" si="109"/>
        <v>0</v>
      </c>
      <c r="CK74" s="21">
        <f t="shared" ca="1" si="94"/>
        <v>0</v>
      </c>
      <c r="CL74" s="21" t="str">
        <f ca="1">IFERROR(VLOOKUP($CK74,Definitions!$V:$W,COLUMNS(Definitions!$V:$W),TRUE),"")</f>
        <v>Basic</v>
      </c>
      <c r="CM74" s="21" t="str">
        <f ca="1">_xlfn.LET(
_xlpm._comments,SimpleLookup($A74,Tracing!$B:$AB),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74" s="21" t="str" cm="1">
        <f t="array" aca="1" ref="CN74" ca="1">_xlfn.LET(
_xlpm._rapRange,Definitions!$W:$W,
_xlpm._calculatedRAP,$CL74,
_xlpm._inlineRAP,$CM74,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74" s="21" t="str">
        <f ca="1">IFERROR(IF(OR($BP74="",$CN74=""),
Definitions!$AE$4,
VLOOKUP($BP74,Definitions!$AH:$AM,MATCH($CN74,Definitions!$AH$3:$AM$3,0),FALSE)),
"")</f>
        <v>No Risk</v>
      </c>
      <c r="CP74" s="21" cm="1">
        <f t="array" aca="1" ref="CP74" ca="1">IF($CO74="",0,SimpleLookup($CO74,Definitions!$AE:$AF))</f>
        <v>0</v>
      </c>
      <c r="CQ74" s="21" t="b">
        <f ca="1">OR(AND($S74,$I74=Helper!$B$7),$I74&gt;Helper!$B$7)</f>
        <v>1</v>
      </c>
      <c r="CR74" s="21" t="str">
        <f t="shared" ca="1" si="133"/>
        <v/>
      </c>
      <c r="CS74" s="21" cm="1">
        <f t="array" aca="1" ref="CS74" ca="1">CreateID($CS$2,$CV:$CV,$CR74&lt;&gt;"")</f>
        <v>0</v>
      </c>
      <c r="CT74" s="21" t="str">
        <f ca="1">IF(IFERROR(MATCH(","&amp;A74&amp;",",'Risk Treatment'!$AT:$AT,0)&gt;0,FALSE),"",$A74)</f>
        <v/>
      </c>
      <c r="CU74" s="21" cm="1">
        <f t="array" aca="1" ref="CU74" ca="1">CreateID($CU$2,$CU:$CU,$CT74&lt;&gt;"")</f>
        <v>0</v>
      </c>
    </row>
    <row r="75" spans="1:99" x14ac:dyDescent="0.25">
      <c r="A75" s="33" t="str" cm="1">
        <f t="array" aca="1" ref="A75" ca="1">IF($B75="","","R"&amp;RemoveDelimiter(SUBSTITUTE(SUBSTITUTE($K75,"AS",""),",","-"),"-"))</f>
        <v/>
      </c>
      <c r="B75" s="33" t="str" cm="1">
        <f t="array" aca="1" ref="B75" ca="1">IF($L75="","",_xlfn.LET(
_xlpm._finalAttackStep,$L75,
_xlpm._prepAttacks,RemoveFirstElement(_xlpm._finalAttackStep&amp;","&amp;$K75),
_xlpm._prepAttackNames,IFERROR(LookupNames(_xlpm._prepAttacks,'Attack Steps'!$A:$B),""),
_xlpm._delimiter,REPT(CHAR(150),55),
$L75&amp;" "&amp;SimpleLookup($L75,'Attack Steps'!$A:$B)&amp;
IF(_xlpm._prepAttackNames="","",CHAR(10)&amp;_xlpm._delimiter&amp;CHAR(10)&amp;_xlpm._prepAttackNames)))</f>
        <v/>
      </c>
      <c r="C75" s="34" t="str" cm="1">
        <f t="array" aca="1" ref="C75" ca="1">IFERROR(LookupNames($M75,'Damage Scenarios'!$A:$V),"")</f>
        <v/>
      </c>
      <c r="D75" s="33" t="str">
        <f ca="1">IFERROR(IF($T75=0,"",INDEX(Definitions!$Q:$Q,MATCH($T75,Definitions!$R:$R,0))),"")</f>
        <v/>
      </c>
      <c r="E75" s="34" t="str" cm="1">
        <f t="array" aca="1" ref="E75" ca="1">IF($A75="","",_xlfn.LET(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_xlpm._factorFunction($A75,$A:W,Definitions!$Y:$Y,Definitions!$AB:$AB,1)&amp;CHAR(10)&amp;
_xlpm._factorFunction($A75,$A:X,Definitions!$Y:$Y,Definitions!$AB:$AB,2)&amp;CHAR(10)&amp;
_xlpm._factorFunction($A75,$A:Y,Definitions!$Y:$Y,Definitions!$AB:$AB,3)&amp;CHAR(10)&amp;
_xlpm._factorFunction($A75,$A:Z,Definitions!$Y:$Y,Definitions!$AB:$AB,4)&amp;CHAR(10)&amp;
_xlpm._factorFunction($A75,$A:AA,Definitions!$Y:$Y,Definitions!$AB:$AB,5)))</f>
        <v/>
      </c>
      <c r="F75" s="33" t="str">
        <f ca="1">IF($A75="","",IFERROR(VLOOKUP($AG75,Definitions!$V:$W,COLUMNS(Definitions!$V:$W),TRUE),""))</f>
        <v/>
      </c>
      <c r="G75" s="33" t="str">
        <f ca="1">IFERROR(IF(OR($D75="",$F75=""),
"",
VLOOKUP($D75,Definitions!$AH:$AM,MATCH($F75,Definitions!$AH$3:$AM$3,0),FALSE)),
"")</f>
        <v/>
      </c>
      <c r="H75" s="23" cm="1">
        <f t="array" aca="1" ref="H75" ca="1">IF(ROW()=ROW($H$2)+1,0,INDEX($H:$H,ROW()-1))+IF($A75="",0,1)</f>
        <v>0</v>
      </c>
      <c r="I75" s="21" cm="1">
        <f t="array" aca="1" ref="I75" ca="1">IF(ROW()=ROW($I$2)+1,
1,
INDEX($I:$I,ROW()-1)+IF(INDEX($S:$S,ROW()-1),1,0))</f>
        <v>1</v>
      </c>
      <c r="J75" s="21">
        <f t="shared" ca="1" si="91"/>
        <v>73</v>
      </c>
      <c r="K75" s="21" t="str">
        <f t="shared" ca="1" si="110"/>
        <v/>
      </c>
      <c r="L75" s="21" t="str" cm="1">
        <f t="array" aca="1" ref="L75" ca="1">IF($P75="","",INDEX('Attack Steps'!$A:$A,$P75))</f>
        <v/>
      </c>
      <c r="M75" s="21" t="str" cm="1">
        <f t="array" aca="1" ref="M75" ca="1">IF($P75="","",INDEX('Attack Steps'!$T:$T,$P75))</f>
        <v/>
      </c>
      <c r="N75" s="21" t="str" cm="1">
        <f t="array" aca="1" ref="N75" ca="1">_xlfn.LET(_xlpm._dm,SanitizeInput(GetValuesWithFallback(SanitizeInput($AK75),Assumptions!$A:$I,Countermeasures!$A:$I,"",",",FALSE)),
IF(_xlpm._dm="","",","&amp;_xlpm._dm))</f>
        <v/>
      </c>
      <c r="O75" s="21" t="str" cm="1">
        <f t="array" aca="1" ref="O75" ca="1">ApplyDamageMitigation($M75,$N75,"")</f>
        <v/>
      </c>
      <c r="P75" s="21" t="str">
        <f ca="1">IFERROR(MATCH($I75,'Attack Steps'!$V:$V,0),"")</f>
        <v/>
      </c>
      <c r="Q75" s="21" t="str" cm="1">
        <f t="array" aca="1" ref="Q75" ca="1">IF($P75="","","§"&amp;INDEX('Attack Steps'!$S:$S,$P75))</f>
        <v/>
      </c>
      <c r="R75" s="21" t="str" cm="1">
        <f t="array" aca="1" ref="R75" ca="1">IF($P75="","",INDEX('Attack Steps'!$W:$W,$P75))</f>
        <v/>
      </c>
      <c r="S75" s="21" t="b">
        <f t="shared" ca="1" si="111"/>
        <v>0</v>
      </c>
      <c r="T75" s="21" cm="1">
        <f t="array" aca="1" ref="T75" ca="1">_xlfn.LAMBDA(_xlpm._in,_xlpm._val,_xlpm._range,
IF(_xlpm._in="",_xlpm._val,_xlfn.LET(
_xlpm._id,LEFT(_xlpm._in,FIND(",",_xlpm._in)-1),
CalculateMaxFromList(RemoveFirstElement(_xlpm._in),MAX(_xlpm._val,VLOOKUP(_xlpm._id,_xlpm._range,COLUMNS(_xlpm._range),FALSE)),_xlpm._range))))($M75,0,'Damage Scenarios'!$A:$U)</f>
        <v>0</v>
      </c>
      <c r="U75" s="21" cm="1">
        <f t="array" aca="1" ref="U75" ca="1">CalculateMaxFromList($O75,0,'Damage Scenarios'!$A:$U)</f>
        <v>0</v>
      </c>
      <c r="V75" s="21" t="str">
        <f ca="1">IF($U75=0,"",INDEX(Definitions!$Q:$Q,MATCH($U75,Definitions!$R:$R,0)))</f>
        <v/>
      </c>
      <c r="W75" s="21" t="str" cm="1">
        <f t="array" aca="1" ref="W75" ca="1">CalculateMaxAndElements($K75,0,"",'Attack Steps'!$A:X)</f>
        <v>0:</v>
      </c>
      <c r="X75" s="21" t="str" cm="1">
        <f t="array" aca="1" ref="X75" ca="1">CalculateMaxAndElements($K75,0,"",'Attack Steps'!$A:Y)</f>
        <v>0:</v>
      </c>
      <c r="Y75" s="21" t="str" cm="1">
        <f t="array" aca="1" ref="Y75" ca="1">CalculateMaxAndElements($K75,0,"",'Attack Steps'!$A:Z)</f>
        <v>0:</v>
      </c>
      <c r="Z75" s="21" t="str" cm="1">
        <f t="array" aca="1" ref="Z75" ca="1">CalculateMaxAndElements($K75,0,"",'Attack Steps'!$A:AA)</f>
        <v>0:</v>
      </c>
      <c r="AA75" s="21" t="str" cm="1">
        <f t="array" aca="1" ref="AA75" ca="1">CalculateMaxAndElements($K75,0,"",'Attack Steps'!$A:AB)</f>
        <v>0:</v>
      </c>
      <c r="AB75" s="21">
        <f t="shared" ca="1" si="112"/>
        <v>0</v>
      </c>
      <c r="AC75" s="21">
        <f t="shared" ca="1" si="113"/>
        <v>0</v>
      </c>
      <c r="AD75" s="21">
        <f t="shared" ca="1" si="114"/>
        <v>0</v>
      </c>
      <c r="AE75" s="21">
        <f t="shared" ca="1" si="115"/>
        <v>0</v>
      </c>
      <c r="AF75" s="21">
        <f t="shared" ca="1" si="116"/>
        <v>0</v>
      </c>
      <c r="AG75" s="21">
        <f t="shared" ca="1" si="92"/>
        <v>0</v>
      </c>
      <c r="AH75" s="21" t="str" cm="1">
        <f t="array" aca="1" ref="AH75" ca="1">IF(ROW()=ROW($AH$2)+1,"",INDEX($AH:$AH,ROW()-1))&amp;IF($A75="","",$A75&amp;",")</f>
        <v/>
      </c>
      <c r="AI75" s="21" t="str">
        <f t="shared" ca="1" si="117"/>
        <v/>
      </c>
      <c r="AJ75" s="21" cm="1">
        <f t="array" aca="1" ref="AJ75" ca="1">IF($G75="",0,SimpleLookup($G75,Definitions!$AE:$AF))</f>
        <v>0</v>
      </c>
      <c r="AK75" s="21" t="str" cm="1">
        <f t="array" aca="1" ref="AK75" ca="1">InverseLookup($A75,Mitigation!$U$2,Mitigation!$J$2,1,Helper!$B$5,",")</f>
        <v/>
      </c>
      <c r="AL75" s="21" t="str" cm="1">
        <f t="array" aca="1" ref="AL75" ca="1">CalculateMaxAndElementsWithFallback(SanitizeInput($AK75),0,"",Countermeasures!$A:Y,Assumptions!$A:Z)</f>
        <v>0:</v>
      </c>
      <c r="AM75" s="21" t="str" cm="1">
        <f t="array" aca="1" ref="AM75" ca="1">CalculateMaxAndElementsWithFallback(SanitizeInput($AK75),0,"",Countermeasures!$A:Z,Assumptions!$A:AA)</f>
        <v>0:</v>
      </c>
      <c r="AN75" s="21" t="str" cm="1">
        <f t="array" aca="1" ref="AN75" ca="1">CalculateMaxAndElementsWithFallback(SanitizeInput($AK75),0,"",Countermeasures!$A:AA,Assumptions!$A:AB)</f>
        <v>0:</v>
      </c>
      <c r="AO75" s="21" t="str" cm="1">
        <f t="array" aca="1" ref="AO75" ca="1">CalculateMaxAndElementsWithFallback(SanitizeInput($AK75),0,"",Countermeasures!$A:AB,Assumptions!$A:AC)</f>
        <v>0:</v>
      </c>
      <c r="AP75" s="21" t="str" cm="1">
        <f t="array" aca="1" ref="AP75" ca="1">CalculateMaxAndElementsWithFallback(SanitizeInput($AK75),0,"",Countermeasures!$A:AC,Assumptions!$A:AD)</f>
        <v>0:</v>
      </c>
      <c r="AQ75" s="21">
        <f t="shared" ca="1" si="118"/>
        <v>0</v>
      </c>
      <c r="AR75" s="21">
        <f t="shared" ca="1" si="119"/>
        <v>0</v>
      </c>
      <c r="AS75" s="21">
        <f t="shared" ca="1" si="120"/>
        <v>0</v>
      </c>
      <c r="AT75" s="21">
        <f t="shared" ca="1" si="121"/>
        <v>0</v>
      </c>
      <c r="AU75" s="21">
        <f t="shared" ca="1" si="122"/>
        <v>0</v>
      </c>
      <c r="AV75" s="21" t="str">
        <f t="shared" ca="1" si="123"/>
        <v>0:</v>
      </c>
      <c r="AW75" s="21" t="str">
        <f t="shared" ca="1" si="124"/>
        <v>0:</v>
      </c>
      <c r="AX75" s="21" t="str">
        <f t="shared" ca="1" si="125"/>
        <v>0:</v>
      </c>
      <c r="AY75" s="21" t="str">
        <f t="shared" ca="1" si="126"/>
        <v>0:</v>
      </c>
      <c r="AZ75" s="21" t="str">
        <f t="shared" ca="1" si="127"/>
        <v>0:</v>
      </c>
      <c r="BA75" s="21">
        <f t="shared" ca="1" si="128"/>
        <v>0</v>
      </c>
      <c r="BB75" s="21">
        <f t="shared" ca="1" si="129"/>
        <v>0</v>
      </c>
      <c r="BC75" s="21">
        <f t="shared" ca="1" si="130"/>
        <v>0</v>
      </c>
      <c r="BD75" s="21">
        <f t="shared" ca="1" si="131"/>
        <v>0</v>
      </c>
      <c r="BE75" s="21">
        <f t="shared" ca="1" si="132"/>
        <v>0</v>
      </c>
      <c r="BF75" s="21">
        <f t="shared" ca="1" si="93"/>
        <v>0</v>
      </c>
      <c r="BG75" s="21" t="str">
        <f ca="1">IFERROR(VLOOKUP($BF75,Definitions!$V:$W,COLUMNS(Definitions!$V:$W),TRUE),"")</f>
        <v>Basic</v>
      </c>
      <c r="BH75" s="21" t="str">
        <f ca="1">_xlfn.LET(
_xlpm._comments,GetValues($K75,Mitigation!$A:$O,"","",FALSE),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75" s="21" t="str" cm="1">
        <f t="array" aca="1" ref="BI75" ca="1">_xlfn.LET(
_xlpm._rapRange,Definitions!$W:$W,
_xlpm._calculatedRAP,$BG75,
_xlpm._inlineRAP,$BH75,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75" s="21" t="str">
        <f ca="1">IFERROR(IF(OR($V75="",$BI75=""),
Definitions!$AE$4,
VLOOKUP($V75,Definitions!$AH:$AM,MATCH($BI75,Definitions!$AH$3:$AM$3,0),FALSE)),
"")</f>
        <v>No Risk</v>
      </c>
      <c r="BK75" s="21" cm="1">
        <f t="array" aca="1" ref="BK75" ca="1">IF($BJ75="",0,SimpleLookup($BJ75,Definitions!$AE:$AF))</f>
        <v>0</v>
      </c>
      <c r="BL75" s="21" t="str" cm="1">
        <f t="array" aca="1" ref="BL75" ca="1">IFERROR(SimpleLookup($A75,Tracing!$B:$Z),"")</f>
        <v/>
      </c>
      <c r="BM75" s="21" t="str" cm="1">
        <f t="array" aca="1" ref="BM75" ca="1">_xlfn.LET(_xlpm._dm,SanitizeInput(GetValuesWithFallback(SanitizeInput($BL75),Assumptions!$A:$I,Countermeasures!$A:$I,"",",",FALSE)),
IF(_xlpm._dm="","",","&amp;_xlpm._dm))</f>
        <v/>
      </c>
      <c r="BN75" s="21" t="str" cm="1">
        <f t="array" aca="1" ref="BN75" ca="1">ApplyDamageMitigation($M75,$BM75,"")</f>
        <v/>
      </c>
      <c r="BO75" s="21" cm="1">
        <f t="array" aca="1" ref="BO75" ca="1">CalculateMaxFromList($BN75,0,'Damage Scenarios'!$A:$U)</f>
        <v>0</v>
      </c>
      <c r="BP75" s="21" t="str">
        <f ca="1">IF($BO75=0,"",INDEX(Definitions!$Q:$Q,MATCH($BO75,Definitions!$R:$R,0)))</f>
        <v/>
      </c>
      <c r="BQ75" s="21" t="str" cm="1">
        <f t="array" aca="1" ref="BQ75" ca="1">CalculateMaxAndElementsWithFallback(SanitizeInput($BL75),0,"",Countermeasures!$A:Y,Assumptions!$A:Z)</f>
        <v>0:</v>
      </c>
      <c r="BR75" s="21" t="str" cm="1">
        <f t="array" aca="1" ref="BR75" ca="1">CalculateMaxAndElementsWithFallback(SanitizeInput($BL75),0,"",Countermeasures!$A:Z,Assumptions!$A:AA)</f>
        <v>0:</v>
      </c>
      <c r="BS75" s="21" t="str" cm="1">
        <f t="array" aca="1" ref="BS75" ca="1">CalculateMaxAndElementsWithFallback(SanitizeInput($BL75),0,"",Countermeasures!$A:AA,Assumptions!$A:AB)</f>
        <v>0:</v>
      </c>
      <c r="BT75" s="21" t="str" cm="1">
        <f t="array" aca="1" ref="BT75" ca="1">CalculateMaxAndElementsWithFallback(SanitizeInput($BL75),0,"",Countermeasures!$A:AB,Assumptions!$A:AC)</f>
        <v>0:</v>
      </c>
      <c r="BU75" s="21" t="str" cm="1">
        <f t="array" aca="1" ref="BU75" ca="1">CalculateMaxAndElementsWithFallback(SanitizeInput($BL75),0,"",Countermeasures!$A:AC,Assumptions!$A:AD)</f>
        <v>0:</v>
      </c>
      <c r="BV75" s="21">
        <f t="shared" ca="1" si="95"/>
        <v>0</v>
      </c>
      <c r="BW75" s="21">
        <f t="shared" ca="1" si="96"/>
        <v>0</v>
      </c>
      <c r="BX75" s="21">
        <f t="shared" ca="1" si="97"/>
        <v>0</v>
      </c>
      <c r="BY75" s="21">
        <f t="shared" ca="1" si="98"/>
        <v>0</v>
      </c>
      <c r="BZ75" s="21">
        <f t="shared" ca="1" si="99"/>
        <v>0</v>
      </c>
      <c r="CA75" s="21" t="str">
        <f t="shared" ca="1" si="100"/>
        <v>0:</v>
      </c>
      <c r="CB75" s="21" t="str">
        <f t="shared" ca="1" si="101"/>
        <v>0:</v>
      </c>
      <c r="CC75" s="21" t="str">
        <f t="shared" ca="1" si="102"/>
        <v>0:</v>
      </c>
      <c r="CD75" s="21" t="str">
        <f t="shared" ca="1" si="103"/>
        <v>0:</v>
      </c>
      <c r="CE75" s="21" t="str">
        <f t="shared" ca="1" si="104"/>
        <v>0:</v>
      </c>
      <c r="CF75" s="21">
        <f t="shared" ca="1" si="105"/>
        <v>0</v>
      </c>
      <c r="CG75" s="21">
        <f t="shared" ca="1" si="106"/>
        <v>0</v>
      </c>
      <c r="CH75" s="21">
        <f t="shared" ca="1" si="107"/>
        <v>0</v>
      </c>
      <c r="CI75" s="21">
        <f t="shared" ca="1" si="108"/>
        <v>0</v>
      </c>
      <c r="CJ75" s="21">
        <f t="shared" ca="1" si="109"/>
        <v>0</v>
      </c>
      <c r="CK75" s="21">
        <f t="shared" ca="1" si="94"/>
        <v>0</v>
      </c>
      <c r="CL75" s="21" t="str">
        <f ca="1">IFERROR(VLOOKUP($CK75,Definitions!$V:$W,COLUMNS(Definitions!$V:$W),TRUE),"")</f>
        <v>Basic</v>
      </c>
      <c r="CM75" s="21" t="str">
        <f ca="1">_xlfn.LET(
_xlpm._comments,SimpleLookup($A75,Tracing!$B:$AB),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75" s="21" t="str" cm="1">
        <f t="array" aca="1" ref="CN75" ca="1">_xlfn.LET(
_xlpm._rapRange,Definitions!$W:$W,
_xlpm._calculatedRAP,$CL75,
_xlpm._inlineRAP,$CM75,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75" s="21" t="str">
        <f ca="1">IFERROR(IF(OR($BP75="",$CN75=""),
Definitions!$AE$4,
VLOOKUP($BP75,Definitions!$AH:$AM,MATCH($CN75,Definitions!$AH$3:$AM$3,0),FALSE)),
"")</f>
        <v>No Risk</v>
      </c>
      <c r="CP75" s="21" cm="1">
        <f t="array" aca="1" ref="CP75" ca="1">IF($CO75="",0,SimpleLookup($CO75,Definitions!$AE:$AF))</f>
        <v>0</v>
      </c>
      <c r="CQ75" s="21" t="b">
        <f ca="1">OR(AND($S75,$I75=Helper!$B$7),$I75&gt;Helper!$B$7)</f>
        <v>1</v>
      </c>
      <c r="CR75" s="21" t="str">
        <f t="shared" ca="1" si="133"/>
        <v/>
      </c>
      <c r="CS75" s="21" cm="1">
        <f t="array" aca="1" ref="CS75" ca="1">CreateID($CS$2,$CV:$CV,$CR75&lt;&gt;"")</f>
        <v>0</v>
      </c>
      <c r="CT75" s="21" t="str">
        <f ca="1">IF(IFERROR(MATCH(","&amp;A75&amp;",",'Risk Treatment'!$AT:$AT,0)&gt;0,FALSE),"",$A75)</f>
        <v/>
      </c>
      <c r="CU75" s="21" cm="1">
        <f t="array" aca="1" ref="CU75" ca="1">CreateID($CU$2,$CU:$CU,$CT75&lt;&gt;"")</f>
        <v>0</v>
      </c>
    </row>
    <row r="76" spans="1:99" x14ac:dyDescent="0.25">
      <c r="A76" s="33" t="str" cm="1">
        <f t="array" aca="1" ref="A76" ca="1">IF($B76="","","R"&amp;RemoveDelimiter(SUBSTITUTE(SUBSTITUTE($K76,"AS",""),",","-"),"-"))</f>
        <v/>
      </c>
      <c r="B76" s="33" t="str" cm="1">
        <f t="array" aca="1" ref="B76" ca="1">IF($L76="","",_xlfn.LET(
_xlpm._finalAttackStep,$L76,
_xlpm._prepAttacks,RemoveFirstElement(_xlpm._finalAttackStep&amp;","&amp;$K76),
_xlpm._prepAttackNames,IFERROR(LookupNames(_xlpm._prepAttacks,'Attack Steps'!$A:$B),""),
_xlpm._delimiter,REPT(CHAR(150),55),
$L76&amp;" "&amp;SimpleLookup($L76,'Attack Steps'!$A:$B)&amp;
IF(_xlpm._prepAttackNames="","",CHAR(10)&amp;_xlpm._delimiter&amp;CHAR(10)&amp;_xlpm._prepAttackNames)))</f>
        <v/>
      </c>
      <c r="C76" s="34" t="str" cm="1">
        <f t="array" aca="1" ref="C76" ca="1">IFERROR(LookupNames($M76,'Damage Scenarios'!$A:$V),"")</f>
        <v/>
      </c>
      <c r="D76" s="33" t="str">
        <f ca="1">IFERROR(IF($T76=0,"",INDEX(Definitions!$Q:$Q,MATCH($T76,Definitions!$R:$R,0))),"")</f>
        <v/>
      </c>
      <c r="E76" s="34" t="str" cm="1">
        <f t="array" aca="1" ref="E76" ca="1">IF($A76="","",_xlfn.LET(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_xlpm._factorFunction($A76,$A:W,Definitions!$Y:$Y,Definitions!$AB:$AB,1)&amp;CHAR(10)&amp;
_xlpm._factorFunction($A76,$A:X,Definitions!$Y:$Y,Definitions!$AB:$AB,2)&amp;CHAR(10)&amp;
_xlpm._factorFunction($A76,$A:Y,Definitions!$Y:$Y,Definitions!$AB:$AB,3)&amp;CHAR(10)&amp;
_xlpm._factorFunction($A76,$A:Z,Definitions!$Y:$Y,Definitions!$AB:$AB,4)&amp;CHAR(10)&amp;
_xlpm._factorFunction($A76,$A:AA,Definitions!$Y:$Y,Definitions!$AB:$AB,5)))</f>
        <v/>
      </c>
      <c r="F76" s="33" t="str">
        <f ca="1">IF($A76="","",IFERROR(VLOOKUP($AG76,Definitions!$V:$W,COLUMNS(Definitions!$V:$W),TRUE),""))</f>
        <v/>
      </c>
      <c r="G76" s="33" t="str">
        <f ca="1">IFERROR(IF(OR($D76="",$F76=""),
"",
VLOOKUP($D76,Definitions!$AH:$AM,MATCH($F76,Definitions!$AH$3:$AM$3,0),FALSE)),
"")</f>
        <v/>
      </c>
      <c r="H76" s="23" cm="1">
        <f t="array" aca="1" ref="H76" ca="1">IF(ROW()=ROW($H$2)+1,0,INDEX($H:$H,ROW()-1))+IF($A76="",0,1)</f>
        <v>0</v>
      </c>
      <c r="I76" s="21" cm="1">
        <f t="array" aca="1" ref="I76" ca="1">IF(ROW()=ROW($I$2)+1,
1,
INDEX($I:$I,ROW()-1)+IF(INDEX($S:$S,ROW()-1),1,0))</f>
        <v>1</v>
      </c>
      <c r="J76" s="21">
        <f t="shared" ca="1" si="91"/>
        <v>74</v>
      </c>
      <c r="K76" s="21" t="str">
        <f t="shared" ca="1" si="110"/>
        <v/>
      </c>
      <c r="L76" s="21" t="str" cm="1">
        <f t="array" aca="1" ref="L76" ca="1">IF($P76="","",INDEX('Attack Steps'!$A:$A,$P76))</f>
        <v/>
      </c>
      <c r="M76" s="21" t="str" cm="1">
        <f t="array" aca="1" ref="M76" ca="1">IF($P76="","",INDEX('Attack Steps'!$T:$T,$P76))</f>
        <v/>
      </c>
      <c r="N76" s="21" t="str" cm="1">
        <f t="array" aca="1" ref="N76" ca="1">_xlfn.LET(_xlpm._dm,SanitizeInput(GetValuesWithFallback(SanitizeInput($AK76),Assumptions!$A:$I,Countermeasures!$A:$I,"",",",FALSE)),
IF(_xlpm._dm="","",","&amp;_xlpm._dm))</f>
        <v/>
      </c>
      <c r="O76" s="21" t="str" cm="1">
        <f t="array" aca="1" ref="O76" ca="1">ApplyDamageMitigation($M76,$N76,"")</f>
        <v/>
      </c>
      <c r="P76" s="21" t="str">
        <f ca="1">IFERROR(MATCH($I76,'Attack Steps'!$V:$V,0),"")</f>
        <v/>
      </c>
      <c r="Q76" s="21" t="str" cm="1">
        <f t="array" aca="1" ref="Q76" ca="1">IF($P76="","","§"&amp;INDEX('Attack Steps'!$S:$S,$P76))</f>
        <v/>
      </c>
      <c r="R76" s="21" t="str" cm="1">
        <f t="array" aca="1" ref="R76" ca="1">IF($P76="","",INDEX('Attack Steps'!$W:$W,$P76))</f>
        <v/>
      </c>
      <c r="S76" s="21" t="b">
        <f t="shared" ca="1" si="111"/>
        <v>0</v>
      </c>
      <c r="T76" s="21" cm="1">
        <f t="array" aca="1" ref="T76" ca="1">_xlfn.LAMBDA(_xlpm._in,_xlpm._val,_xlpm._range,
IF(_xlpm._in="",_xlpm._val,_xlfn.LET(
_xlpm._id,LEFT(_xlpm._in,FIND(",",_xlpm._in)-1),
CalculateMaxFromList(RemoveFirstElement(_xlpm._in),MAX(_xlpm._val,VLOOKUP(_xlpm._id,_xlpm._range,COLUMNS(_xlpm._range),FALSE)),_xlpm._range))))($M76,0,'Damage Scenarios'!$A:$U)</f>
        <v>0</v>
      </c>
      <c r="U76" s="21" cm="1">
        <f t="array" aca="1" ref="U76" ca="1">CalculateMaxFromList($O76,0,'Damage Scenarios'!$A:$U)</f>
        <v>0</v>
      </c>
      <c r="V76" s="21" t="str">
        <f ca="1">IF($U76=0,"",INDEX(Definitions!$Q:$Q,MATCH($U76,Definitions!$R:$R,0)))</f>
        <v/>
      </c>
      <c r="W76" s="21" t="str" cm="1">
        <f t="array" aca="1" ref="W76" ca="1">CalculateMaxAndElements($K76,0,"",'Attack Steps'!$A:X)</f>
        <v>0:</v>
      </c>
      <c r="X76" s="21" t="str" cm="1">
        <f t="array" aca="1" ref="X76" ca="1">CalculateMaxAndElements($K76,0,"",'Attack Steps'!$A:Y)</f>
        <v>0:</v>
      </c>
      <c r="Y76" s="21" t="str" cm="1">
        <f t="array" aca="1" ref="Y76" ca="1">CalculateMaxAndElements($K76,0,"",'Attack Steps'!$A:Z)</f>
        <v>0:</v>
      </c>
      <c r="Z76" s="21" t="str" cm="1">
        <f t="array" aca="1" ref="Z76" ca="1">CalculateMaxAndElements($K76,0,"",'Attack Steps'!$A:AA)</f>
        <v>0:</v>
      </c>
      <c r="AA76" s="21" t="str" cm="1">
        <f t="array" aca="1" ref="AA76" ca="1">CalculateMaxAndElements($K76,0,"",'Attack Steps'!$A:AB)</f>
        <v>0:</v>
      </c>
      <c r="AB76" s="21">
        <f t="shared" ca="1" si="112"/>
        <v>0</v>
      </c>
      <c r="AC76" s="21">
        <f t="shared" ca="1" si="113"/>
        <v>0</v>
      </c>
      <c r="AD76" s="21">
        <f t="shared" ca="1" si="114"/>
        <v>0</v>
      </c>
      <c r="AE76" s="21">
        <f t="shared" ca="1" si="115"/>
        <v>0</v>
      </c>
      <c r="AF76" s="21">
        <f t="shared" ca="1" si="116"/>
        <v>0</v>
      </c>
      <c r="AG76" s="21">
        <f t="shared" ca="1" si="92"/>
        <v>0</v>
      </c>
      <c r="AH76" s="21" t="str" cm="1">
        <f t="array" aca="1" ref="AH76" ca="1">IF(ROW()=ROW($AH$2)+1,"",INDEX($AH:$AH,ROW()-1))&amp;IF($A76="","",$A76&amp;",")</f>
        <v/>
      </c>
      <c r="AI76" s="21" t="str">
        <f t="shared" ca="1" si="117"/>
        <v/>
      </c>
      <c r="AJ76" s="21" cm="1">
        <f t="array" aca="1" ref="AJ76" ca="1">IF($G76="",0,SimpleLookup($G76,Definitions!$AE:$AF))</f>
        <v>0</v>
      </c>
      <c r="AK76" s="21" t="str" cm="1">
        <f t="array" aca="1" ref="AK76" ca="1">InverseLookup($A76,Mitigation!$U$2,Mitigation!$J$2,1,Helper!$B$5,",")</f>
        <v/>
      </c>
      <c r="AL76" s="21" t="str" cm="1">
        <f t="array" aca="1" ref="AL76" ca="1">CalculateMaxAndElementsWithFallback(SanitizeInput($AK76),0,"",Countermeasures!$A:Y,Assumptions!$A:Z)</f>
        <v>0:</v>
      </c>
      <c r="AM76" s="21" t="str" cm="1">
        <f t="array" aca="1" ref="AM76" ca="1">CalculateMaxAndElementsWithFallback(SanitizeInput($AK76),0,"",Countermeasures!$A:Z,Assumptions!$A:AA)</f>
        <v>0:</v>
      </c>
      <c r="AN76" s="21" t="str" cm="1">
        <f t="array" aca="1" ref="AN76" ca="1">CalculateMaxAndElementsWithFallback(SanitizeInput($AK76),0,"",Countermeasures!$A:AA,Assumptions!$A:AB)</f>
        <v>0:</v>
      </c>
      <c r="AO76" s="21" t="str" cm="1">
        <f t="array" aca="1" ref="AO76" ca="1">CalculateMaxAndElementsWithFallback(SanitizeInput($AK76),0,"",Countermeasures!$A:AB,Assumptions!$A:AC)</f>
        <v>0:</v>
      </c>
      <c r="AP76" s="21" t="str" cm="1">
        <f t="array" aca="1" ref="AP76" ca="1">CalculateMaxAndElementsWithFallback(SanitizeInput($AK76),0,"",Countermeasures!$A:AC,Assumptions!$A:AD)</f>
        <v>0:</v>
      </c>
      <c r="AQ76" s="21">
        <f t="shared" ca="1" si="118"/>
        <v>0</v>
      </c>
      <c r="AR76" s="21">
        <f t="shared" ca="1" si="119"/>
        <v>0</v>
      </c>
      <c r="AS76" s="21">
        <f t="shared" ca="1" si="120"/>
        <v>0</v>
      </c>
      <c r="AT76" s="21">
        <f t="shared" ca="1" si="121"/>
        <v>0</v>
      </c>
      <c r="AU76" s="21">
        <f t="shared" ca="1" si="122"/>
        <v>0</v>
      </c>
      <c r="AV76" s="21" t="str">
        <f t="shared" ca="1" si="123"/>
        <v>0:</v>
      </c>
      <c r="AW76" s="21" t="str">
        <f t="shared" ca="1" si="124"/>
        <v>0:</v>
      </c>
      <c r="AX76" s="21" t="str">
        <f t="shared" ca="1" si="125"/>
        <v>0:</v>
      </c>
      <c r="AY76" s="21" t="str">
        <f t="shared" ca="1" si="126"/>
        <v>0:</v>
      </c>
      <c r="AZ76" s="21" t="str">
        <f t="shared" ca="1" si="127"/>
        <v>0:</v>
      </c>
      <c r="BA76" s="21">
        <f t="shared" ca="1" si="128"/>
        <v>0</v>
      </c>
      <c r="BB76" s="21">
        <f t="shared" ca="1" si="129"/>
        <v>0</v>
      </c>
      <c r="BC76" s="21">
        <f t="shared" ca="1" si="130"/>
        <v>0</v>
      </c>
      <c r="BD76" s="21">
        <f t="shared" ca="1" si="131"/>
        <v>0</v>
      </c>
      <c r="BE76" s="21">
        <f t="shared" ca="1" si="132"/>
        <v>0</v>
      </c>
      <c r="BF76" s="21">
        <f t="shared" ca="1" si="93"/>
        <v>0</v>
      </c>
      <c r="BG76" s="21" t="str">
        <f ca="1">IFERROR(VLOOKUP($BF76,Definitions!$V:$W,COLUMNS(Definitions!$V:$W),TRUE),"")</f>
        <v>Basic</v>
      </c>
      <c r="BH76" s="21" t="str">
        <f ca="1">_xlfn.LET(
_xlpm._comments,GetValues($K76,Mitigation!$A:$O,"","",FALSE),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76" s="21" t="str" cm="1">
        <f t="array" aca="1" ref="BI76" ca="1">_xlfn.LET(
_xlpm._rapRange,Definitions!$W:$W,
_xlpm._calculatedRAP,$BG76,
_xlpm._inlineRAP,$BH76,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76" s="21" t="str">
        <f ca="1">IFERROR(IF(OR($V76="",$BI76=""),
Definitions!$AE$4,
VLOOKUP($V76,Definitions!$AH:$AM,MATCH($BI76,Definitions!$AH$3:$AM$3,0),FALSE)),
"")</f>
        <v>No Risk</v>
      </c>
      <c r="BK76" s="21" cm="1">
        <f t="array" aca="1" ref="BK76" ca="1">IF($BJ76="",0,SimpleLookup($BJ76,Definitions!$AE:$AF))</f>
        <v>0</v>
      </c>
      <c r="BL76" s="21" t="str" cm="1">
        <f t="array" aca="1" ref="BL76" ca="1">IFERROR(SimpleLookup($A76,Tracing!$B:$Z),"")</f>
        <v/>
      </c>
      <c r="BM76" s="21" t="str" cm="1">
        <f t="array" aca="1" ref="BM76" ca="1">_xlfn.LET(_xlpm._dm,SanitizeInput(GetValuesWithFallback(SanitizeInput($BL76),Assumptions!$A:$I,Countermeasures!$A:$I,"",",",FALSE)),
IF(_xlpm._dm="","",","&amp;_xlpm._dm))</f>
        <v/>
      </c>
      <c r="BN76" s="21" t="str" cm="1">
        <f t="array" aca="1" ref="BN76" ca="1">ApplyDamageMitigation($M76,$BM76,"")</f>
        <v/>
      </c>
      <c r="BO76" s="21" cm="1">
        <f t="array" aca="1" ref="BO76" ca="1">CalculateMaxFromList($BN76,0,'Damage Scenarios'!$A:$U)</f>
        <v>0</v>
      </c>
      <c r="BP76" s="21" t="str">
        <f ca="1">IF($BO76=0,"",INDEX(Definitions!$Q:$Q,MATCH($BO76,Definitions!$R:$R,0)))</f>
        <v/>
      </c>
      <c r="BQ76" s="21" t="str" cm="1">
        <f t="array" aca="1" ref="BQ76" ca="1">CalculateMaxAndElementsWithFallback(SanitizeInput($BL76),0,"",Countermeasures!$A:Y,Assumptions!$A:Z)</f>
        <v>0:</v>
      </c>
      <c r="BR76" s="21" t="str" cm="1">
        <f t="array" aca="1" ref="BR76" ca="1">CalculateMaxAndElementsWithFallback(SanitizeInput($BL76),0,"",Countermeasures!$A:Z,Assumptions!$A:AA)</f>
        <v>0:</v>
      </c>
      <c r="BS76" s="21" t="str" cm="1">
        <f t="array" aca="1" ref="BS76" ca="1">CalculateMaxAndElementsWithFallback(SanitizeInput($BL76),0,"",Countermeasures!$A:AA,Assumptions!$A:AB)</f>
        <v>0:</v>
      </c>
      <c r="BT76" s="21" t="str" cm="1">
        <f t="array" aca="1" ref="BT76" ca="1">CalculateMaxAndElementsWithFallback(SanitizeInput($BL76),0,"",Countermeasures!$A:AB,Assumptions!$A:AC)</f>
        <v>0:</v>
      </c>
      <c r="BU76" s="21" t="str" cm="1">
        <f t="array" aca="1" ref="BU76" ca="1">CalculateMaxAndElementsWithFallback(SanitizeInput($BL76),0,"",Countermeasures!$A:AC,Assumptions!$A:AD)</f>
        <v>0:</v>
      </c>
      <c r="BV76" s="21">
        <f t="shared" ca="1" si="95"/>
        <v>0</v>
      </c>
      <c r="BW76" s="21">
        <f t="shared" ca="1" si="96"/>
        <v>0</v>
      </c>
      <c r="BX76" s="21">
        <f t="shared" ca="1" si="97"/>
        <v>0</v>
      </c>
      <c r="BY76" s="21">
        <f t="shared" ca="1" si="98"/>
        <v>0</v>
      </c>
      <c r="BZ76" s="21">
        <f t="shared" ca="1" si="99"/>
        <v>0</v>
      </c>
      <c r="CA76" s="21" t="str">
        <f t="shared" ca="1" si="100"/>
        <v>0:</v>
      </c>
      <c r="CB76" s="21" t="str">
        <f t="shared" ca="1" si="101"/>
        <v>0:</v>
      </c>
      <c r="CC76" s="21" t="str">
        <f t="shared" ca="1" si="102"/>
        <v>0:</v>
      </c>
      <c r="CD76" s="21" t="str">
        <f t="shared" ca="1" si="103"/>
        <v>0:</v>
      </c>
      <c r="CE76" s="21" t="str">
        <f t="shared" ca="1" si="104"/>
        <v>0:</v>
      </c>
      <c r="CF76" s="21">
        <f t="shared" ca="1" si="105"/>
        <v>0</v>
      </c>
      <c r="CG76" s="21">
        <f t="shared" ca="1" si="106"/>
        <v>0</v>
      </c>
      <c r="CH76" s="21">
        <f t="shared" ca="1" si="107"/>
        <v>0</v>
      </c>
      <c r="CI76" s="21">
        <f t="shared" ca="1" si="108"/>
        <v>0</v>
      </c>
      <c r="CJ76" s="21">
        <f t="shared" ca="1" si="109"/>
        <v>0</v>
      </c>
      <c r="CK76" s="21">
        <f t="shared" ca="1" si="94"/>
        <v>0</v>
      </c>
      <c r="CL76" s="21" t="str">
        <f ca="1">IFERROR(VLOOKUP($CK76,Definitions!$V:$W,COLUMNS(Definitions!$V:$W),TRUE),"")</f>
        <v>Basic</v>
      </c>
      <c r="CM76" s="21" t="str">
        <f ca="1">_xlfn.LET(
_xlpm._comments,SimpleLookup($A76,Tracing!$B:$AB),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76" s="21" t="str" cm="1">
        <f t="array" aca="1" ref="CN76" ca="1">_xlfn.LET(
_xlpm._rapRange,Definitions!$W:$W,
_xlpm._calculatedRAP,$CL76,
_xlpm._inlineRAP,$CM76,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76" s="21" t="str">
        <f ca="1">IFERROR(IF(OR($BP76="",$CN76=""),
Definitions!$AE$4,
VLOOKUP($BP76,Definitions!$AH:$AM,MATCH($CN76,Definitions!$AH$3:$AM$3,0),FALSE)),
"")</f>
        <v>No Risk</v>
      </c>
      <c r="CP76" s="21" cm="1">
        <f t="array" aca="1" ref="CP76" ca="1">IF($CO76="",0,SimpleLookup($CO76,Definitions!$AE:$AF))</f>
        <v>0</v>
      </c>
      <c r="CQ76" s="21" t="b">
        <f ca="1">OR(AND($S76,$I76=Helper!$B$7),$I76&gt;Helper!$B$7)</f>
        <v>1</v>
      </c>
      <c r="CR76" s="21" t="str">
        <f t="shared" ca="1" si="133"/>
        <v/>
      </c>
      <c r="CS76" s="21" cm="1">
        <f t="array" aca="1" ref="CS76" ca="1">CreateID($CS$2,$CV:$CV,$CR76&lt;&gt;"")</f>
        <v>0</v>
      </c>
      <c r="CT76" s="21" t="str">
        <f ca="1">IF(IFERROR(MATCH(","&amp;A76&amp;",",'Risk Treatment'!$AT:$AT,0)&gt;0,FALSE),"",$A76)</f>
        <v/>
      </c>
      <c r="CU76" s="21" cm="1">
        <f t="array" aca="1" ref="CU76" ca="1">CreateID($CU$2,$CU:$CU,$CT76&lt;&gt;"")</f>
        <v>0</v>
      </c>
    </row>
    <row r="77" spans="1:99" x14ac:dyDescent="0.25">
      <c r="A77" s="33" t="str" cm="1">
        <f t="array" aca="1" ref="A77" ca="1">IF($B77="","","R"&amp;RemoveDelimiter(SUBSTITUTE(SUBSTITUTE($K77,"AS",""),",","-"),"-"))</f>
        <v/>
      </c>
      <c r="B77" s="33" t="str" cm="1">
        <f t="array" aca="1" ref="B77" ca="1">IF($L77="","",_xlfn.LET(
_xlpm._finalAttackStep,$L77,
_xlpm._prepAttacks,RemoveFirstElement(_xlpm._finalAttackStep&amp;","&amp;$K77),
_xlpm._prepAttackNames,IFERROR(LookupNames(_xlpm._prepAttacks,'Attack Steps'!$A:$B),""),
_xlpm._delimiter,REPT(CHAR(150),55),
$L77&amp;" "&amp;SimpleLookup($L77,'Attack Steps'!$A:$B)&amp;
IF(_xlpm._prepAttackNames="","",CHAR(10)&amp;_xlpm._delimiter&amp;CHAR(10)&amp;_xlpm._prepAttackNames)))</f>
        <v/>
      </c>
      <c r="C77" s="34" t="str" cm="1">
        <f t="array" aca="1" ref="C77" ca="1">IFERROR(LookupNames($M77,'Damage Scenarios'!$A:$V),"")</f>
        <v/>
      </c>
      <c r="D77" s="33" t="str">
        <f ca="1">IFERROR(IF($T77=0,"",INDEX(Definitions!$Q:$Q,MATCH($T77,Definitions!$R:$R,0))),"")</f>
        <v/>
      </c>
      <c r="E77" s="34" t="str" cm="1">
        <f t="array" aca="1" ref="E77" ca="1">IF($A77="","",_xlfn.LET(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_xlpm._factorFunction($A77,$A:W,Definitions!$Y:$Y,Definitions!$AB:$AB,1)&amp;CHAR(10)&amp;
_xlpm._factorFunction($A77,$A:X,Definitions!$Y:$Y,Definitions!$AB:$AB,2)&amp;CHAR(10)&amp;
_xlpm._factorFunction($A77,$A:Y,Definitions!$Y:$Y,Definitions!$AB:$AB,3)&amp;CHAR(10)&amp;
_xlpm._factorFunction($A77,$A:Z,Definitions!$Y:$Y,Definitions!$AB:$AB,4)&amp;CHAR(10)&amp;
_xlpm._factorFunction($A77,$A:AA,Definitions!$Y:$Y,Definitions!$AB:$AB,5)))</f>
        <v/>
      </c>
      <c r="F77" s="33" t="str">
        <f ca="1">IF($A77="","",IFERROR(VLOOKUP($AG77,Definitions!$V:$W,COLUMNS(Definitions!$V:$W),TRUE),""))</f>
        <v/>
      </c>
      <c r="G77" s="33" t="str">
        <f ca="1">IFERROR(IF(OR($D77="",$F77=""),
"",
VLOOKUP($D77,Definitions!$AH:$AM,MATCH($F77,Definitions!$AH$3:$AM$3,0),FALSE)),
"")</f>
        <v/>
      </c>
      <c r="H77" s="23" cm="1">
        <f t="array" aca="1" ref="H77" ca="1">IF(ROW()=ROW($H$2)+1,0,INDEX($H:$H,ROW()-1))+IF($A77="",0,1)</f>
        <v>0</v>
      </c>
      <c r="I77" s="21" cm="1">
        <f t="array" aca="1" ref="I77" ca="1">IF(ROW()=ROW($I$2)+1,
1,
INDEX($I:$I,ROW()-1)+IF(INDEX($S:$S,ROW()-1),1,0))</f>
        <v>1</v>
      </c>
      <c r="J77" s="21">
        <f t="shared" ca="1" si="91"/>
        <v>75</v>
      </c>
      <c r="K77" s="21" t="str">
        <f t="shared" ca="1" si="110"/>
        <v/>
      </c>
      <c r="L77" s="21" t="str" cm="1">
        <f t="array" aca="1" ref="L77" ca="1">IF($P77="","",INDEX('Attack Steps'!$A:$A,$P77))</f>
        <v/>
      </c>
      <c r="M77" s="21" t="str" cm="1">
        <f t="array" aca="1" ref="M77" ca="1">IF($P77="","",INDEX('Attack Steps'!$T:$T,$P77))</f>
        <v/>
      </c>
      <c r="N77" s="21" t="str" cm="1">
        <f t="array" aca="1" ref="N77" ca="1">_xlfn.LET(_xlpm._dm,SanitizeInput(GetValuesWithFallback(SanitizeInput($AK77),Assumptions!$A:$I,Countermeasures!$A:$I,"",",",FALSE)),
IF(_xlpm._dm="","",","&amp;_xlpm._dm))</f>
        <v/>
      </c>
      <c r="O77" s="21" t="str" cm="1">
        <f t="array" aca="1" ref="O77" ca="1">ApplyDamageMitigation($M77,$N77,"")</f>
        <v/>
      </c>
      <c r="P77" s="21" t="str">
        <f ca="1">IFERROR(MATCH($I77,'Attack Steps'!$V:$V,0),"")</f>
        <v/>
      </c>
      <c r="Q77" s="21" t="str" cm="1">
        <f t="array" aca="1" ref="Q77" ca="1">IF($P77="","","§"&amp;INDEX('Attack Steps'!$S:$S,$P77))</f>
        <v/>
      </c>
      <c r="R77" s="21" t="str" cm="1">
        <f t="array" aca="1" ref="R77" ca="1">IF($P77="","",INDEX('Attack Steps'!$W:$W,$P77))</f>
        <v/>
      </c>
      <c r="S77" s="21" t="b">
        <f t="shared" ca="1" si="111"/>
        <v>0</v>
      </c>
      <c r="T77" s="21" cm="1">
        <f t="array" aca="1" ref="T77" ca="1">_xlfn.LAMBDA(_xlpm._in,_xlpm._val,_xlpm._range,
IF(_xlpm._in="",_xlpm._val,_xlfn.LET(
_xlpm._id,LEFT(_xlpm._in,FIND(",",_xlpm._in)-1),
CalculateMaxFromList(RemoveFirstElement(_xlpm._in),MAX(_xlpm._val,VLOOKUP(_xlpm._id,_xlpm._range,COLUMNS(_xlpm._range),FALSE)),_xlpm._range))))($M77,0,'Damage Scenarios'!$A:$U)</f>
        <v>0</v>
      </c>
      <c r="U77" s="21" cm="1">
        <f t="array" aca="1" ref="U77" ca="1">CalculateMaxFromList($O77,0,'Damage Scenarios'!$A:$U)</f>
        <v>0</v>
      </c>
      <c r="V77" s="21" t="str">
        <f ca="1">IF($U77=0,"",INDEX(Definitions!$Q:$Q,MATCH($U77,Definitions!$R:$R,0)))</f>
        <v/>
      </c>
      <c r="W77" s="21" t="str" cm="1">
        <f t="array" aca="1" ref="W77" ca="1">CalculateMaxAndElements($K77,0,"",'Attack Steps'!$A:X)</f>
        <v>0:</v>
      </c>
      <c r="X77" s="21" t="str" cm="1">
        <f t="array" aca="1" ref="X77" ca="1">CalculateMaxAndElements($K77,0,"",'Attack Steps'!$A:Y)</f>
        <v>0:</v>
      </c>
      <c r="Y77" s="21" t="str" cm="1">
        <f t="array" aca="1" ref="Y77" ca="1">CalculateMaxAndElements($K77,0,"",'Attack Steps'!$A:Z)</f>
        <v>0:</v>
      </c>
      <c r="Z77" s="21" t="str" cm="1">
        <f t="array" aca="1" ref="Z77" ca="1">CalculateMaxAndElements($K77,0,"",'Attack Steps'!$A:AA)</f>
        <v>0:</v>
      </c>
      <c r="AA77" s="21" t="str" cm="1">
        <f t="array" aca="1" ref="AA77" ca="1">CalculateMaxAndElements($K77,0,"",'Attack Steps'!$A:AB)</f>
        <v>0:</v>
      </c>
      <c r="AB77" s="21">
        <f t="shared" ca="1" si="112"/>
        <v>0</v>
      </c>
      <c r="AC77" s="21">
        <f t="shared" ca="1" si="113"/>
        <v>0</v>
      </c>
      <c r="AD77" s="21">
        <f t="shared" ca="1" si="114"/>
        <v>0</v>
      </c>
      <c r="AE77" s="21">
        <f t="shared" ca="1" si="115"/>
        <v>0</v>
      </c>
      <c r="AF77" s="21">
        <f t="shared" ca="1" si="116"/>
        <v>0</v>
      </c>
      <c r="AG77" s="21">
        <f t="shared" ca="1" si="92"/>
        <v>0</v>
      </c>
      <c r="AH77" s="21" t="str" cm="1">
        <f t="array" aca="1" ref="AH77" ca="1">IF(ROW()=ROW($AH$2)+1,"",INDEX($AH:$AH,ROW()-1))&amp;IF($A77="","",$A77&amp;",")</f>
        <v/>
      </c>
      <c r="AI77" s="21" t="str">
        <f t="shared" ca="1" si="117"/>
        <v/>
      </c>
      <c r="AJ77" s="21" cm="1">
        <f t="array" aca="1" ref="AJ77" ca="1">IF($G77="",0,SimpleLookup($G77,Definitions!$AE:$AF))</f>
        <v>0</v>
      </c>
      <c r="AK77" s="21" t="str" cm="1">
        <f t="array" aca="1" ref="AK77" ca="1">InverseLookup($A77,Mitigation!$U$2,Mitigation!$J$2,1,Helper!$B$5,",")</f>
        <v/>
      </c>
      <c r="AL77" s="21" t="str" cm="1">
        <f t="array" aca="1" ref="AL77" ca="1">CalculateMaxAndElementsWithFallback(SanitizeInput($AK77),0,"",Countermeasures!$A:Y,Assumptions!$A:Z)</f>
        <v>0:</v>
      </c>
      <c r="AM77" s="21" t="str" cm="1">
        <f t="array" aca="1" ref="AM77" ca="1">CalculateMaxAndElementsWithFallback(SanitizeInput($AK77),0,"",Countermeasures!$A:Z,Assumptions!$A:AA)</f>
        <v>0:</v>
      </c>
      <c r="AN77" s="21" t="str" cm="1">
        <f t="array" aca="1" ref="AN77" ca="1">CalculateMaxAndElementsWithFallback(SanitizeInput($AK77),0,"",Countermeasures!$A:AA,Assumptions!$A:AB)</f>
        <v>0:</v>
      </c>
      <c r="AO77" s="21" t="str" cm="1">
        <f t="array" aca="1" ref="AO77" ca="1">CalculateMaxAndElementsWithFallback(SanitizeInput($AK77),0,"",Countermeasures!$A:AB,Assumptions!$A:AC)</f>
        <v>0:</v>
      </c>
      <c r="AP77" s="21" t="str" cm="1">
        <f t="array" aca="1" ref="AP77" ca="1">CalculateMaxAndElementsWithFallback(SanitizeInput($AK77),0,"",Countermeasures!$A:AC,Assumptions!$A:AD)</f>
        <v>0:</v>
      </c>
      <c r="AQ77" s="21">
        <f t="shared" ca="1" si="118"/>
        <v>0</v>
      </c>
      <c r="AR77" s="21">
        <f t="shared" ca="1" si="119"/>
        <v>0</v>
      </c>
      <c r="AS77" s="21">
        <f t="shared" ca="1" si="120"/>
        <v>0</v>
      </c>
      <c r="AT77" s="21">
        <f t="shared" ca="1" si="121"/>
        <v>0</v>
      </c>
      <c r="AU77" s="21">
        <f t="shared" ca="1" si="122"/>
        <v>0</v>
      </c>
      <c r="AV77" s="21" t="str">
        <f t="shared" ca="1" si="123"/>
        <v>0:</v>
      </c>
      <c r="AW77" s="21" t="str">
        <f t="shared" ca="1" si="124"/>
        <v>0:</v>
      </c>
      <c r="AX77" s="21" t="str">
        <f t="shared" ca="1" si="125"/>
        <v>0:</v>
      </c>
      <c r="AY77" s="21" t="str">
        <f t="shared" ca="1" si="126"/>
        <v>0:</v>
      </c>
      <c r="AZ77" s="21" t="str">
        <f t="shared" ca="1" si="127"/>
        <v>0:</v>
      </c>
      <c r="BA77" s="21">
        <f t="shared" ca="1" si="128"/>
        <v>0</v>
      </c>
      <c r="BB77" s="21">
        <f t="shared" ca="1" si="129"/>
        <v>0</v>
      </c>
      <c r="BC77" s="21">
        <f t="shared" ca="1" si="130"/>
        <v>0</v>
      </c>
      <c r="BD77" s="21">
        <f t="shared" ca="1" si="131"/>
        <v>0</v>
      </c>
      <c r="BE77" s="21">
        <f t="shared" ca="1" si="132"/>
        <v>0</v>
      </c>
      <c r="BF77" s="21">
        <f t="shared" ca="1" si="93"/>
        <v>0</v>
      </c>
      <c r="BG77" s="21" t="str">
        <f ca="1">IFERROR(VLOOKUP($BF77,Definitions!$V:$W,COLUMNS(Definitions!$V:$W),TRUE),"")</f>
        <v>Basic</v>
      </c>
      <c r="BH77" s="21" t="str">
        <f ca="1">_xlfn.LET(
_xlpm._comments,GetValues($K77,Mitigation!$A:$O,"","",FALSE),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BI77" s="21" t="str" cm="1">
        <f t="array" aca="1" ref="BI77" ca="1">_xlfn.LET(
_xlpm._rapRange,Definitions!$W:$W,
_xlpm._calculatedRAP,$BG77,
_xlpm._inlineRAP,$BH77,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BJ77" s="21" t="str">
        <f ca="1">IFERROR(IF(OR($V77="",$BI77=""),
Definitions!$AE$4,
VLOOKUP($V77,Definitions!$AH:$AM,MATCH($BI77,Definitions!$AH$3:$AM$3,0),FALSE)),
"")</f>
        <v>No Risk</v>
      </c>
      <c r="BK77" s="21" cm="1">
        <f t="array" aca="1" ref="BK77" ca="1">IF($BJ77="",0,SimpleLookup($BJ77,Definitions!$AE:$AF))</f>
        <v>0</v>
      </c>
      <c r="BL77" s="21" t="str" cm="1">
        <f t="array" aca="1" ref="BL77" ca="1">IFERROR(SimpleLookup($A77,Tracing!$B:$Z),"")</f>
        <v/>
      </c>
      <c r="BM77" s="21" t="str" cm="1">
        <f t="array" aca="1" ref="BM77" ca="1">_xlfn.LET(_xlpm._dm,SanitizeInput(GetValuesWithFallback(SanitizeInput($BL77),Assumptions!$A:$I,Countermeasures!$A:$I,"",",",FALSE)),
IF(_xlpm._dm="","",","&amp;_xlpm._dm))</f>
        <v/>
      </c>
      <c r="BN77" s="21" t="str" cm="1">
        <f t="array" aca="1" ref="BN77" ca="1">ApplyDamageMitigation($M77,$BM77,"")</f>
        <v/>
      </c>
      <c r="BO77" s="21" cm="1">
        <f t="array" aca="1" ref="BO77" ca="1">CalculateMaxFromList($BN77,0,'Damage Scenarios'!$A:$U)</f>
        <v>0</v>
      </c>
      <c r="BP77" s="21" t="str">
        <f ca="1">IF($BO77=0,"",INDEX(Definitions!$Q:$Q,MATCH($BO77,Definitions!$R:$R,0)))</f>
        <v/>
      </c>
      <c r="BQ77" s="21" t="str" cm="1">
        <f t="array" aca="1" ref="BQ77" ca="1">CalculateMaxAndElementsWithFallback(SanitizeInput($BL77),0,"",Countermeasures!$A:Y,Assumptions!$A:Z)</f>
        <v>0:</v>
      </c>
      <c r="BR77" s="21" t="str" cm="1">
        <f t="array" aca="1" ref="BR77" ca="1">CalculateMaxAndElementsWithFallback(SanitizeInput($BL77),0,"",Countermeasures!$A:Z,Assumptions!$A:AA)</f>
        <v>0:</v>
      </c>
      <c r="BS77" s="21" t="str" cm="1">
        <f t="array" aca="1" ref="BS77" ca="1">CalculateMaxAndElementsWithFallback(SanitizeInput($BL77),0,"",Countermeasures!$A:AA,Assumptions!$A:AB)</f>
        <v>0:</v>
      </c>
      <c r="BT77" s="21" t="str" cm="1">
        <f t="array" aca="1" ref="BT77" ca="1">CalculateMaxAndElementsWithFallback(SanitizeInput($BL77),0,"",Countermeasures!$A:AB,Assumptions!$A:AC)</f>
        <v>0:</v>
      </c>
      <c r="BU77" s="21" t="str" cm="1">
        <f t="array" aca="1" ref="BU77" ca="1">CalculateMaxAndElementsWithFallback(SanitizeInput($BL77),0,"",Countermeasures!$A:AC,Assumptions!$A:AD)</f>
        <v>0:</v>
      </c>
      <c r="BV77" s="21">
        <f t="shared" ca="1" si="95"/>
        <v>0</v>
      </c>
      <c r="BW77" s="21">
        <f t="shared" ca="1" si="96"/>
        <v>0</v>
      </c>
      <c r="BX77" s="21">
        <f t="shared" ca="1" si="97"/>
        <v>0</v>
      </c>
      <c r="BY77" s="21">
        <f t="shared" ca="1" si="98"/>
        <v>0</v>
      </c>
      <c r="BZ77" s="21">
        <f t="shared" ca="1" si="99"/>
        <v>0</v>
      </c>
      <c r="CA77" s="21" t="str">
        <f t="shared" ca="1" si="100"/>
        <v>0:</v>
      </c>
      <c r="CB77" s="21" t="str">
        <f t="shared" ca="1" si="101"/>
        <v>0:</v>
      </c>
      <c r="CC77" s="21" t="str">
        <f t="shared" ca="1" si="102"/>
        <v>0:</v>
      </c>
      <c r="CD77" s="21" t="str">
        <f t="shared" ca="1" si="103"/>
        <v>0:</v>
      </c>
      <c r="CE77" s="21" t="str">
        <f t="shared" ca="1" si="104"/>
        <v>0:</v>
      </c>
      <c r="CF77" s="21">
        <f t="shared" ca="1" si="105"/>
        <v>0</v>
      </c>
      <c r="CG77" s="21">
        <f t="shared" ca="1" si="106"/>
        <v>0</v>
      </c>
      <c r="CH77" s="21">
        <f t="shared" ca="1" si="107"/>
        <v>0</v>
      </c>
      <c r="CI77" s="21">
        <f t="shared" ca="1" si="108"/>
        <v>0</v>
      </c>
      <c r="CJ77" s="21">
        <f t="shared" ca="1" si="109"/>
        <v>0</v>
      </c>
      <c r="CK77" s="21">
        <f t="shared" ca="1" si="94"/>
        <v>0</v>
      </c>
      <c r="CL77" s="21" t="str">
        <f ca="1">IFERROR(VLOOKUP($CK77,Definitions!$V:$W,COLUMNS(Definitions!$V:$W),TRUE),"")</f>
        <v>Basic</v>
      </c>
      <c r="CM77" s="21" t="str">
        <f ca="1">_xlfn.LET(
_xlpm._comments,SimpleLookup($A77,Tracing!$B:$AB),
_xlpm._attackPotentialHeader,Definitions!$W$3,
_xlpm._attackPotentialColumn,Definitions!$W:$W,
_xlpm._attackPotentialsRange,OFFSET(_xlpm._attackPotentialHeader,1,0,COUNTA(_xlpm._attackPotentialColumn),1),
_xlpm._parsedAttackPotentialA,ParseAttackPotentialFromComment(_xlpm._comments,Definitions!$AR$6,Definitions!$AS$4,_xlpm._attackPotentialsRange,0),
_xlpm._parsedAttackPotentialC,ParseAttackPotentialFromComment(_xlpm._comments,Definitions!$AR$6,Definitions!$AS$5,_xlpm._attackPotentialsRange,0),
_xlpm._parsedAttackPotentialValue,MAX(_xlpm._parsedAttackPotentialA,_xlpm._parsedAttackPotentialC),
IF(_xlpm._parsedAttackPotentialValue=0,"",OFFSET(_xlpm._attackPotentialHeader,_xlpm._parsedAttackPotentialValue,0)))</f>
        <v/>
      </c>
      <c r="CN77" s="21" t="str" cm="1">
        <f t="array" aca="1" ref="CN77" ca="1">_xlfn.LET(
_xlpm._rapRange,Definitions!$W:$W,
_xlpm._calculatedRAP,$CL77,
_xlpm._inlineRAP,$CM77,
_xlpm._calculatedRAPValue,IF(_xlpm._calculatedRAP="",0,MATCH(_xlpm._calculatedRAP,_xlpm._rapRange,0)),
_xlpm._inlineRAPValue,IF(_xlpm._inlineRAP="",0,MATCH(_xlpm._inlineRAP,_xlpm._rapRange,0)),
_xlpm._maxRAP,MAX(_xlpm._calculatedRAPValue,_xlpm._inlineRAPValue),
IF(_xlpm._maxRAP=0,"",INDEX(_xlpm._rapRange,_xlpm._maxRAP)))</f>
        <v>Basic</v>
      </c>
      <c r="CO77" s="21" t="str">
        <f ca="1">IFERROR(IF(OR($BP77="",$CN77=""),
Definitions!$AE$4,
VLOOKUP($BP77,Definitions!$AH:$AM,MATCH($CN77,Definitions!$AH$3:$AM$3,0),FALSE)),
"")</f>
        <v>No Risk</v>
      </c>
      <c r="CP77" s="21" cm="1">
        <f t="array" aca="1" ref="CP77" ca="1">IF($CO77="",0,SimpleLookup($CO77,Definitions!$AE:$AF))</f>
        <v>0</v>
      </c>
      <c r="CQ77" s="21" t="b">
        <f ca="1">OR(AND($S77,$I77=Helper!$B$7),$I77&gt;Helper!$B$7)</f>
        <v>1</v>
      </c>
      <c r="CR77" s="21" t="str">
        <f t="shared" ca="1" si="133"/>
        <v/>
      </c>
      <c r="CS77" s="21" cm="1">
        <f t="array" aca="1" ref="CS77" ca="1">CreateID($CS$2,$CV:$CV,$CR77&lt;&gt;"")</f>
        <v>0</v>
      </c>
      <c r="CT77" s="21" t="str">
        <f ca="1">IF(IFERROR(MATCH(","&amp;A77&amp;",",'Risk Treatment'!$AT:$AT,0)&gt;0,FALSE),"",$A77)</f>
        <v/>
      </c>
      <c r="CU77" s="21" cm="1">
        <f t="array" aca="1" ref="CU77" ca="1">CreateID($CU$2,$CU:$CU,$CT77&lt;&gt;"")</f>
        <v>0</v>
      </c>
    </row>
  </sheetData>
  <phoneticPr fontId="4" type="noConversion"/>
  <conditionalFormatting sqref="A1:G1048576">
    <cfRule type="expression" dxfId="42" priority="428">
      <formula>AND($CQ1="",$CR1=FALSE,$CR1&lt;&gt;"")</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429" id="{3B498FEA-817E-40B2-BF1B-7C0D3E0B4AAA}">
            <xm:f>AND(ROW(A1)&gt;ROW(A$2),$A1="",ROW(A1)-ROW(A$2)&lt;=Helper!$B$13)</xm:f>
            <x14:dxf>
              <fill>
                <patternFill>
                  <bgColor rgb="FFFFB9B9"/>
                </patternFill>
              </fill>
            </x14:dxf>
          </x14:cfRule>
          <xm:sqref>A1:G1048576</xm:sqref>
        </x14:conditionalFormatting>
        <x14:conditionalFormatting xmlns:xm="http://schemas.microsoft.com/office/excel/2006/main">
          <x14:cfRule type="expression" priority="378" id="{B24F1A57-D384-4CE3-B6FE-59CBD6D2286C}">
            <xm:f>$G1=Definitions!$AE$4</xm:f>
            <x14:dxf>
              <font>
                <color theme="3" tint="-0.499984740745262"/>
              </font>
              <fill>
                <patternFill>
                  <bgColor theme="3" tint="0.59996337778862885"/>
                </patternFill>
              </fill>
            </x14:dxf>
          </x14:cfRule>
          <x14:cfRule type="expression" priority="379" id="{2DF7CA87-BED7-4229-899B-219DE7EA4117}">
            <xm:f>$G1=Definitions!$AE$5</xm:f>
            <x14:dxf>
              <font>
                <color theme="1"/>
              </font>
              <fill>
                <patternFill>
                  <bgColor rgb="FF99FFCC"/>
                </patternFill>
              </fill>
            </x14:dxf>
          </x14:cfRule>
          <x14:cfRule type="expression" priority="380" id="{5306B858-EBC3-4B93-BA24-7ED0DA905A6B}">
            <xm:f>$G1=Definitions!$AE$6</xm:f>
            <x14:dxf>
              <font>
                <color theme="1"/>
              </font>
              <fill>
                <patternFill>
                  <bgColor rgb="FFCCFF33"/>
                </patternFill>
              </fill>
            </x14:dxf>
          </x14:cfRule>
          <x14:cfRule type="expression" priority="381" id="{0E7B7D04-E705-4365-8899-E0427428ECAE}">
            <xm:f>$G1=Definitions!$AE$7</xm:f>
            <x14:dxf>
              <font>
                <color theme="1"/>
              </font>
              <fill>
                <patternFill>
                  <bgColor rgb="FFFFCC00"/>
                </patternFill>
              </fill>
            </x14:dxf>
          </x14:cfRule>
          <x14:cfRule type="expression" priority="382" id="{45B3F720-84CE-4E7C-ADC5-50091246A65A}">
            <xm:f>$G1=Definitions!$AE$8</xm:f>
            <x14:dxf>
              <font>
                <color theme="1"/>
              </font>
              <fill>
                <patternFill>
                  <bgColor rgb="FFFF3300"/>
                </patternFill>
              </fill>
            </x14:dxf>
          </x14:cfRule>
          <xm:sqref>G1:G1048576</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00BD4-9312-4775-A47D-90BF49352759}">
  <sheetPr>
    <tabColor theme="1" tint="0.14999847407452621"/>
  </sheetPr>
  <dimension ref="A1:AN48"/>
  <sheetViews>
    <sheetView workbookViewId="0">
      <pane xSplit="5" ySplit="2" topLeftCell="F3" activePane="bottomRight" state="frozen"/>
      <selection pane="topRight" activeCell="F1" sqref="F1"/>
      <selection pane="bottomLeft" activeCell="A2" sqref="A2"/>
      <selection pane="bottomRight" activeCell="J3" sqref="J3"/>
    </sheetView>
  </sheetViews>
  <sheetFormatPr defaultColWidth="9.140625" defaultRowHeight="15" outlineLevelCol="2" x14ac:dyDescent="0.25"/>
  <cols>
    <col min="1" max="1" width="9.140625" style="8"/>
    <col min="2" max="2" width="30.7109375" style="8" customWidth="1"/>
    <col min="3" max="3" width="21.28515625" style="8" hidden="1" customWidth="1" outlineLevel="2"/>
    <col min="4" max="4" width="70.7109375" style="8" hidden="1" customWidth="1" outlineLevel="1"/>
    <col min="5" max="5" width="15.7109375" style="8" customWidth="1" collapsed="1"/>
    <col min="6" max="8" width="15.7109375" style="8" customWidth="1" outlineLevel="1"/>
    <col min="9" max="9" width="30.7109375" style="8" customWidth="1" outlineLevel="1"/>
    <col min="10" max="10" width="15.7109375" style="4" customWidth="1"/>
    <col min="11" max="11" width="30.7109375" style="8" customWidth="1"/>
    <col min="12" max="12" width="21.28515625" style="4" hidden="1" customWidth="1" outlineLevel="2"/>
    <col min="13" max="13" width="70.7109375" style="8" customWidth="1" outlineLevel="1" collapsed="1"/>
    <col min="14" max="14" width="15.7109375" style="8" customWidth="1"/>
    <col min="15" max="15" width="40.7109375" style="4" customWidth="1"/>
    <col min="16" max="17" width="12.5703125" style="2" hidden="1" customWidth="1"/>
    <col min="18" max="18" width="9.140625" style="2" hidden="1" customWidth="1"/>
    <col min="19" max="19" width="24.42578125" style="2" hidden="1" customWidth="1"/>
    <col min="20" max="20" width="9.140625" style="2" hidden="1" customWidth="1"/>
    <col min="21" max="21" width="13.5703125" style="2" hidden="1" customWidth="1"/>
    <col min="22" max="22" width="9.140625" style="2" hidden="1" customWidth="1"/>
    <col min="23" max="23" width="14.5703125" style="2" hidden="1" customWidth="1"/>
    <col min="24" max="24" width="19" style="2" hidden="1" customWidth="1"/>
    <col min="25" max="25" width="19.5703125" style="2" hidden="1" customWidth="1"/>
    <col min="26" max="27" width="26.28515625" style="2" hidden="1" customWidth="1"/>
    <col min="28" max="29" width="30.7109375" style="2" hidden="1" customWidth="1"/>
    <col min="30" max="30" width="22.28515625" style="2" hidden="1" customWidth="1"/>
    <col min="31" max="31" width="44.85546875" style="2" hidden="1" customWidth="1"/>
    <col min="32" max="32" width="17.42578125" style="2" hidden="1" customWidth="1"/>
    <col min="33" max="33" width="23.42578125" style="2" hidden="1" customWidth="1"/>
    <col min="34" max="34" width="12.7109375" style="2" hidden="1" customWidth="1"/>
    <col min="35" max="35" width="34" style="2" hidden="1" customWidth="1"/>
    <col min="36" max="36" width="32" style="2" hidden="1" customWidth="1"/>
    <col min="37" max="37" width="41.140625" style="2" hidden="1" customWidth="1"/>
    <col min="38" max="38" width="39" style="2" hidden="1" customWidth="1"/>
    <col min="39" max="39" width="16.7109375" style="2" hidden="1" customWidth="1"/>
    <col min="40" max="40" width="14.5703125" style="2" hidden="1" customWidth="1"/>
    <col min="41" max="16384" width="9.140625" style="2"/>
  </cols>
  <sheetData>
    <row r="1" spans="1:40" s="115" customFormat="1" x14ac:dyDescent="0.25">
      <c r="A1" s="114"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HYPERLINK("#'"&amp;Helper!$G$2&amp;"'!"&amp;CHAR(CODE("A")+COLUMN(_xlpm._columnNameHeader)-1)&amp;_xlpm._entryOffset,Definitions!$AY$4)))(Helper!$G$13,A$2,README!$E:$E,README!$I$36,README!$B$36)</f>
        <v>◈</v>
      </c>
      <c r="B1" s="114"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HYPERLINK("#'"&amp;Helper!$G$2&amp;"'!"&amp;CHAR(CODE("A")+COLUMN(_xlpm._columnNameHeader)-1)&amp;_xlpm._entryOffset,Definitions!$AY$4)))(Helper!$G$13,B$2,README!$E:$E,README!$I$36,README!$B$36)</f>
        <v>◈</v>
      </c>
      <c r="C1" s="114"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HYPERLINK("#'"&amp;Helper!$G$2&amp;"'!"&amp;CHAR(CODE("A")+COLUMN(_xlpm._columnNameHeader)-1)&amp;_xlpm._entryOffset,Definitions!$AY$4)))(Helper!$G$13,C$2,README!$E:$E,README!$I$36,README!$B$36)</f>
        <v>◈</v>
      </c>
      <c r="D1" s="114"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HYPERLINK("#'"&amp;Helper!$G$2&amp;"'!"&amp;CHAR(CODE("A")+COLUMN(_xlpm._columnNameHeader)-1)&amp;_xlpm._entryOffset,Definitions!$AY$4)))(Helper!$G$13,D$2,README!$E:$E,README!$I$36,README!$B$36)</f>
        <v>◈</v>
      </c>
      <c r="E1" s="114"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HYPERLINK("#'"&amp;Helper!$G$2&amp;"'!"&amp;CHAR(CODE("A")+COLUMN(_xlpm._columnNameHeader)-1)&amp;_xlpm._entryOffset,Definitions!$AY$4)))(Helper!$G$13,E$2,README!$E:$E,README!$I$36,README!$B$36)</f>
        <v>◈</v>
      </c>
      <c r="F1" s="114"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HYPERLINK("#'"&amp;Helper!$G$2&amp;"'!"&amp;CHAR(CODE("A")+COLUMN(_xlpm._columnNameHeader)-1)&amp;_xlpm._entryOffset,Definitions!$AY$4)))(Helper!$G$13,F$2,README!$E:$E,README!$I$36,README!$B$36)</f>
        <v>◈</v>
      </c>
      <c r="G1" s="114"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HYPERLINK("#'"&amp;Helper!$G$2&amp;"'!"&amp;CHAR(CODE("A")+COLUMN(_xlpm._columnNameHeader)-1)&amp;_xlpm._entryOffset,Definitions!$AY$4)))(Helper!$G$13,G$2,README!$E:$E,README!$I$36,README!$B$36)</f>
        <v>◈</v>
      </c>
      <c r="H1" s="114" t="str" cm="1">
        <f t="array" aca="1" ref="H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HYPERLINK("#'"&amp;Helper!$G$2&amp;"'!"&amp;CHAR(CODE("A")+COLUMN(_xlpm._columnNameHeader)-1)&amp;_xlpm._entryOffset,Definitions!$AY$4)))(Helper!$G$13,H$2,README!$E:$E,README!$I$36,README!$B$36)</f>
        <v>◈</v>
      </c>
      <c r="I1" s="114" t="str" cm="1">
        <f t="array" aca="1" ref="I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HYPERLINK("#'"&amp;Helper!$G$2&amp;"'!"&amp;CHAR(CODE("A")+COLUMN(_xlpm._columnNameHeader)-1)&amp;_xlpm._entryOffset,Definitions!$AY$4)))(Helper!$G$13,I$2,README!$E:$E,README!$I$36,README!$B$36)</f>
        <v>◈</v>
      </c>
      <c r="J1" s="114" t="str" cm="1">
        <f t="array" aca="1" ref="J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HYPERLINK("#'"&amp;Helper!$G$2&amp;"'!"&amp;CHAR(CODE("A")+COLUMN(_xlpm._columnNameHeader)-1)&amp;_xlpm._entryOffset,Definitions!$AY$4)))(Helper!$G$13,J$2,README!$E:$E,README!$I$36,README!$B$36)</f>
        <v>◈</v>
      </c>
      <c r="K1" s="114" t="str" cm="1">
        <f t="array" aca="1" ref="K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HYPERLINK("#'"&amp;Helper!$G$2&amp;"'!"&amp;CHAR(CODE("A")+COLUMN(_xlpm._columnNameHeader)-1)&amp;_xlpm._entryOffset,Definitions!$AY$4)))(Helper!$G$13,K$2,README!$E:$E,README!$I$36,README!$B$36)</f>
        <v>◈</v>
      </c>
      <c r="L1" s="114" t="str" cm="1">
        <f t="array" aca="1" ref="L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HYPERLINK("#'"&amp;Helper!$G$2&amp;"'!"&amp;CHAR(CODE("A")+COLUMN(_xlpm._columnNameHeader)-1)&amp;_xlpm._entryOffset,Definitions!$AY$4)))(Helper!$G$13,L$2,README!$E:$E,README!$I$36,README!$B$36)</f>
        <v>◈</v>
      </c>
      <c r="M1" s="114" t="str" cm="1">
        <f t="array" aca="1" ref="M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HYPERLINK("#'"&amp;Helper!$G$2&amp;"'!"&amp;CHAR(CODE("A")+COLUMN(_xlpm._columnNameHeader)-1)&amp;_xlpm._entryOffset,Definitions!$AY$4)))(Helper!$G$13,M$2,README!$E:$E,README!$I$36,README!$B$36)</f>
        <v>◈</v>
      </c>
      <c r="N1" s="114" t="str" cm="1">
        <f t="array" aca="1" ref="N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HYPERLINK("#'"&amp;Helper!$G$2&amp;"'!"&amp;CHAR(CODE("A")+COLUMN(_xlpm._columnNameHeader)-1)&amp;_xlpm._entryOffset,Definitions!$AY$4)))(Helper!$G$13,N$2,README!$E:$E,README!$I$36,README!$B$36)</f>
        <v>◈</v>
      </c>
      <c r="O1" s="114" t="str" cm="1">
        <f t="array" aca="1" ref="O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HYPERLINK("#'"&amp;Helper!$G$2&amp;"'!"&amp;CHAR(CODE("A")+COLUMN(_xlpm._columnNameHeader)-1)&amp;_xlpm._entryOffset,Definitions!$AY$4)))(Helper!$G$13,O$2,README!$E:$E,README!$I$36,README!$B$36)</f>
        <v>◈</v>
      </c>
    </row>
    <row r="2" spans="1:40" ht="63.75" x14ac:dyDescent="0.25">
      <c r="A2" s="16" t="s">
        <v>286</v>
      </c>
      <c r="B2" s="16" t="s">
        <v>107</v>
      </c>
      <c r="C2" s="13" t="s">
        <v>1329</v>
      </c>
      <c r="D2" s="16" t="s">
        <v>320</v>
      </c>
      <c r="E2" s="16" t="s">
        <v>287</v>
      </c>
      <c r="F2" s="16" t="s">
        <v>1330</v>
      </c>
      <c r="G2" s="16" t="s">
        <v>934</v>
      </c>
      <c r="H2" s="16" t="s">
        <v>937</v>
      </c>
      <c r="I2" s="16" t="s">
        <v>279</v>
      </c>
      <c r="J2" s="13" t="s">
        <v>280</v>
      </c>
      <c r="K2" s="16" t="s">
        <v>278</v>
      </c>
      <c r="L2" s="13" t="s">
        <v>967</v>
      </c>
      <c r="M2" s="16" t="s">
        <v>319</v>
      </c>
      <c r="N2" s="8" t="s">
        <v>576</v>
      </c>
      <c r="O2" s="13" t="s">
        <v>1282</v>
      </c>
      <c r="P2" s="10" t="s">
        <v>54</v>
      </c>
      <c r="Q2" s="10" t="s">
        <v>230</v>
      </c>
      <c r="R2" s="10" t="s">
        <v>104</v>
      </c>
      <c r="S2" s="10" t="s">
        <v>321</v>
      </c>
      <c r="T2" s="10" t="s">
        <v>290</v>
      </c>
      <c r="U2" s="10" t="s">
        <v>302</v>
      </c>
      <c r="V2" s="10" t="s">
        <v>317</v>
      </c>
      <c r="W2" s="10" t="s">
        <v>318</v>
      </c>
      <c r="X2" s="10" t="s">
        <v>439</v>
      </c>
      <c r="Y2" s="10" t="s">
        <v>556</v>
      </c>
      <c r="Z2" s="10" t="s">
        <v>669</v>
      </c>
      <c r="AA2" s="10" t="s">
        <v>670</v>
      </c>
      <c r="AB2" s="10" t="s">
        <v>688</v>
      </c>
      <c r="AC2" s="10" t="s">
        <v>689</v>
      </c>
      <c r="AD2" s="10" t="s">
        <v>708</v>
      </c>
      <c r="AE2" s="10" t="s">
        <v>1129</v>
      </c>
      <c r="AF2" s="10" t="s">
        <v>1130</v>
      </c>
      <c r="AG2" s="10" t="s">
        <v>1287</v>
      </c>
      <c r="AH2" s="10" t="s">
        <v>1359</v>
      </c>
      <c r="AI2" s="10" t="s">
        <v>1357</v>
      </c>
      <c r="AJ2" s="10" t="s">
        <v>1358</v>
      </c>
      <c r="AK2" s="10" t="s">
        <v>1360</v>
      </c>
      <c r="AL2" s="10" t="s">
        <v>1361</v>
      </c>
      <c r="AM2" s="10" t="s">
        <v>1502</v>
      </c>
      <c r="AN2" s="10" t="s">
        <v>1503</v>
      </c>
    </row>
    <row r="3" spans="1:40" ht="45" x14ac:dyDescent="0.25">
      <c r="A3" s="16" t="str" cm="1">
        <f t="array" ref="A3">IF($R3=0,"",INDEX('Attack Steps'!A:A,$R3))</f>
        <v>AS1</v>
      </c>
      <c r="B3" s="16" t="str" cm="1">
        <f t="array" ref="B3">IF($R3=0,"",INDEX('Attack Steps'!B:B,$R3))</f>
        <v>Getting access to a trusted operational environment</v>
      </c>
      <c r="C3" s="13">
        <f>3</f>
        <v>3</v>
      </c>
      <c r="D3" s="19" t="str" cm="1">
        <f t="array" aca="1" ref="D3" ca="1">_xlfn.LET(
_xlpm._displayLimit,$C3,
_xlpm._risks,$S3,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 s="16" t="str" cm="1">
        <f t="array" aca="1" ref="E3" ca="1">_xlfn.LET(_xlpm._riskValue,CalculateMaxFromList($T3,0,Risks!$A:$AJ),
INDEX(Definitions!$AE:$AE,MATCH(_xlpm._riskValue,Definitions!$AF:$AF,0)))</f>
        <v>No Risk</v>
      </c>
      <c r="F3" s="16" t="str" cm="1">
        <f t="array" aca="1" ref="F3" ca="1">IF($A3="","",SUBSTITUTE(RemoveDelimiter(SanitizeInput(SimpleLookup($A3,'Attack Steps'!$A:$AE)),","),",",", "))</f>
        <v/>
      </c>
      <c r="G3" s="16" t="str" cm="1">
        <f t="array" aca="1" ref="G3" ca="1">IF($A3="","",SUBSTITUTE(RemoveDelimiter(SanitizeInput(SimpleLookup($A3,'Attack Steps'!$A:$AF)),","),",",", "))</f>
        <v/>
      </c>
      <c r="H3" s="79" t="str" cm="1">
        <f t="array" aca="1" ref="H3" ca="1">IF($A3="","",_xlfn.LET(
_xlpm._proposedActive,SanitizeInput($G3),
_xlpm._proposedAll,SimpleLookup($A3,'Attack Steps'!$A:$AG),
_xlpm._proposedDiff,FilterElementsFromList(_xlpm._proposedAll,_xlpm._proposedActive,FALSE,","),
SUBSTITUTE(RemoveDelimiter(SanitizeInput(_xlpm._proposedDiff),","),",",", ")))</f>
        <v>A12</v>
      </c>
      <c r="I3" s="16" t="str" cm="1">
        <f t="array" aca="1" ref="I3" ca="1">RemoveDelimiter(GetValuesWithFallback(SanitizeInput($F3)&amp;SanitizeInput($G3)&amp;SanitizeInput($H3),Countermeasures!$A:$B,Assumptions!$A:$B," ",","&amp;CHAR(10),TRUE),","&amp;CHAR(10))</f>
        <v>A12 SDR 1.10 – Device operates in trustworthy operational environment</v>
      </c>
      <c r="J3" s="13"/>
      <c r="K3" s="16" t="str" cm="1">
        <f t="array" ref="K3">RemoveDelimiter(GetValuesWithFallback(SanitizeInput($J3),Countermeasures!$A:$B,Assumptions!$A:$B," ",","&amp;CHAR(10),TRUE),","&amp;CHAR(10))</f>
        <v/>
      </c>
      <c r="L3" s="13">
        <f>3</f>
        <v>3</v>
      </c>
      <c r="M3" s="19" t="str" cm="1">
        <f t="array" aca="1" ref="M3" ca="1">_xlfn.LET(
_xlpm._displayLimit,$L3,
_xlpm._risks,$V3,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 s="16" t="str">
        <f ca="1">INDEX(Definitions!$AE:$AE,MATCH($W3,Definitions!$AF:$AF,0))</f>
        <v>No Risk</v>
      </c>
      <c r="O3" s="13"/>
      <c r="P3" s="10" cm="1">
        <f t="array" ref="P3">GenerateShadowID(ROW(),$P$2,$P:$P,0,$A3&lt;&gt;"")</f>
        <v>1</v>
      </c>
      <c r="Q3" s="10" cm="1">
        <f t="array" ref="Q3">CreateTaskID($Q$2,$Q:$Q,Tasks!$B$17,$O3)</f>
        <v>0</v>
      </c>
      <c r="R3" s="10">
        <f>IFERROR(MATCH(ROW()-ROW($R$2),'Attack Steps'!$Q:$Q,0),0)</f>
        <v>3</v>
      </c>
      <c r="S3" s="10" t="str" cm="1">
        <f t="array" aca="1" ref="S3" ca="1">CalculateMaxAndElements($T3,0,"",Risks!$A:$AJ)</f>
        <v>0:</v>
      </c>
      <c r="T3" s="10" t="str" cm="1">
        <f t="array" aca="1" ref="T3" ca="1">InverseLookup($A3,Risks!$AI$2,Risks!$A$2,1,Helper!$B$1,",")</f>
        <v/>
      </c>
      <c r="U3" s="10" t="str">
        <f t="shared" ref="U3:U16" ca="1" si="0">IF($T3="","",","&amp;$T3)</f>
        <v/>
      </c>
      <c r="V3" s="10" t="str" cm="1">
        <f t="array" aca="1" ref="V3" ca="1">CalculateMaxAndElements($T3,0,"",Risks!$A:$BK)</f>
        <v>0:</v>
      </c>
      <c r="W3" s="21">
        <f t="shared" ref="W3:W16" ca="1" si="1">IF($V3="","",VALUE(LEFT($V3,FIND(":",$V3)-1)))</f>
        <v>0</v>
      </c>
      <c r="X3" s="21" t="str" cm="1">
        <f t="array" ref="X3">IF($J3="","",","&amp;SanitizeInput($J3))</f>
        <v/>
      </c>
      <c r="Y3" s="21" t="b" cm="1">
        <f t="array" aca="1" ref="Y3" ca="1">INDEX('Attack Steps'!$AI:$AI,$R3)</f>
        <v>0</v>
      </c>
      <c r="Z3" s="21" cm="1">
        <f t="array" ref="Z3">CreateID($Z$2,$Z:$Z,IFERROR(FIND(Definitions!$AR$4,$O3)&gt;0,FALSE))</f>
        <v>0</v>
      </c>
      <c r="AA3" s="21">
        <f>_xlfn.LET(
_xlpm._comment,$O3,
_xlpm._keyWord,Definitions!$AR$4,
_xlpm._diffLen,LEN(_xlpm._comment)-LEN(SUBSTITUTE(_xlpm._comment,_xlpm._keyWord,"")),
_xlpm._diffLen/LEN(_xlpm._keyWord))</f>
        <v>0</v>
      </c>
      <c r="AB3" s="21" cm="1">
        <f t="array" ref="AB3">CreateID($AB$2,$AB:$AB,IFERROR(FIND(Definitions!$AR$5,$O3)&gt;0,FALSE))</f>
        <v>0</v>
      </c>
      <c r="AC3" s="21">
        <f>_xlfn.LET(
_xlpm._comment,$O3,
_xlpm._keyWord,Definitions!$AR$5,
_xlpm._diffLen,LEN(_xlpm._comment)-LEN(SUBSTITUTE(_xlpm._comment,_xlpm._keyWord,"")),
_xlpm._diffLen/LEN(_xlpm._keyWord))</f>
        <v>0</v>
      </c>
      <c r="AD3" s="21" t="str" cm="1">
        <f t="array" ref="AD3">CreateSearchString($J3)</f>
        <v/>
      </c>
      <c r="AE3" s="21" t="str" cm="1">
        <f t="array" aca="1" ref="AE3" ca="1">_xlfn.LET(
_xlpm._selected,SanitizeInput($J3),
_xlpm._catalogOptions,SanitizeInput($F3)&amp;SanitizeInput($G3)&amp;SanitizeInput($H3),
_xlpm._selectedNotInOptions,FilterElementsFromList(_xlpm._selected,_xlpm._catalogOptions,FALSE,","),
IF(_xlpm._selectedNotInOptions="","",$A3&amp;" "&amp;$B3&amp;": "&amp;SUBSTITUTE(RemoveDelimiter(_xlpm._selectedNotInOptions,","),",",", ")))</f>
        <v/>
      </c>
      <c r="AF3" s="21" cm="1">
        <f t="array" aca="1" ref="AF3" ca="1">CreateID($AF$2,$AF:$AF,$AE3&lt;&gt;"")</f>
        <v>0</v>
      </c>
      <c r="AG3" s="21" t="str" cm="1">
        <f t="array" ref="AG3">_xlfn.LET(
_xlpm._delimiter,","&amp;CHAR(10),
_xlpm._assumptions,ParseAllMitigationsFromComment($A3,"-","A",$O3,Definitions!$AR$4,Definitions!$AS$4,Definitions!$AR$6,_xlpm._delimiter,1),
_xlpm._countermeasures,ParseAllMitigationsFromComment($A3,"-","C",$O3,Definitions!$AR$5,Definitions!$AS$5,Definitions!$AR$6,_xlpm._delimiter,1),
IF(_xlpm._countermeasures="",RemoveDelimiter(_xlpm._assumptions,_xlpm._delimiter),_xlpm._assumptions&amp;RemoveDelimiter(_xlpm._countermeasures,_xlpm._delimiter)))</f>
        <v/>
      </c>
      <c r="AH3" s="21" t="str" cm="1">
        <f t="array" ref="AH3">CreateSearchString(SanitizeInput($J3)&amp;GetValuesIgnoreErrors(SanitizeInput($J3),Countermeasures!$A:$G,"",",",FALSE))</f>
        <v/>
      </c>
      <c r="AI3" s="21" t="str" cm="1">
        <f t="array" aca="1" ref="AI3" ca="1">IF(AND(IFERROR(FIND(","&amp;Countermeasures!$A$30&amp;",",$AH3)&gt;0,FALSE),Countermeasures!$AF$30=TRUE,SimpleLookup(Questions!$A$48,Questionnaire!$A:$C)=Definitions!$A$5),$A3&amp;" "&amp;$B3,"")</f>
        <v/>
      </c>
      <c r="AJ3" s="21" cm="1">
        <f t="array" aca="1" ref="AJ3" ca="1">CreateID($AJ$2,$AJ:$AJ,$AI3&lt;&gt;"")</f>
        <v>0</v>
      </c>
      <c r="AK3" s="21" t="str">
        <f t="shared" ref="AK3:AK41" ca="1" si="2">IF(AND($Y3=FALSE,$J3&lt;&gt;""),$A3&amp;" "&amp;$B3,"")</f>
        <v/>
      </c>
      <c r="AL3" s="21" cm="1">
        <f t="array" aca="1" ref="AL3" ca="1">CreateID($AL$2,$AL:$AL,$AK3&lt;&gt;"")</f>
        <v>0</v>
      </c>
      <c r="AM3" s="21" t="str">
        <f t="shared" ref="AM3:AM42" si="3">IF(IFERROR(FIND("ERROR:",$K3)&gt;0,FALSE),$A3&amp;" "&amp;$B3,"")</f>
        <v/>
      </c>
      <c r="AN3" s="21" cm="1">
        <f t="array" ref="AN3">CreateID($AN$2,$AN:$AN,$AM3&lt;&gt;"")</f>
        <v>0</v>
      </c>
    </row>
    <row r="4" spans="1:40" ht="45" x14ac:dyDescent="0.25">
      <c r="A4" s="16" t="str" cm="1">
        <f t="array" ref="A4">IF($R4=0,"",INDEX('Attack Steps'!A:A,$R4))</f>
        <v>AS2</v>
      </c>
      <c r="B4" s="16" t="str" cm="1">
        <f t="array" ref="B4">IF($R4=0,"",INDEX('Attack Steps'!B:B,$R4))</f>
        <v>Getting access to a wireless network</v>
      </c>
      <c r="C4" s="13">
        <f>3</f>
        <v>3</v>
      </c>
      <c r="D4" s="19" t="str" cm="1">
        <f t="array" aca="1" ref="D4" ca="1">_xlfn.LET(
_xlpm._displayLimit,$C4,
_xlpm._risks,$S4,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 s="16" t="str" cm="1">
        <f t="array" aca="1" ref="E4" ca="1">_xlfn.LET(_xlpm._riskValue,CalculateMaxFromList($T4,0,Risks!$A:$AJ),
INDEX(Definitions!$AE:$AE,MATCH(_xlpm._riskValue,Definitions!$AF:$AF,0)))</f>
        <v>No Risk</v>
      </c>
      <c r="F4" s="16" t="str" cm="1">
        <f t="array" aca="1" ref="F4" ca="1">IF($A4="","",SUBSTITUTE(RemoveDelimiter(SanitizeInput(SimpleLookup($A4,'Attack Steps'!$A:$AE)),","),",",", "))</f>
        <v>CM20</v>
      </c>
      <c r="G4" s="16" t="str" cm="1">
        <f t="array" aca="1" ref="G4" ca="1">IF($A4="","",SUBSTITUTE(RemoveDelimiter(SanitizeInput(SimpleLookup($A4,'Attack Steps'!$A:$AF)),","),",",", "))</f>
        <v/>
      </c>
      <c r="H4" s="79" t="str" cm="1">
        <f t="array" aca="1" ref="H4" ca="1">IF($A4="","",_xlfn.LET(
_xlpm._proposedActive,SanitizeInput($G4),
_xlpm._proposedAll,SimpleLookup($A4,'Attack Steps'!$A:$AG),
_xlpm._proposedDiff,FilterElementsFromList(_xlpm._proposedAll,_xlpm._proposedActive,FALSE,","),
SUBSTITUTE(RemoveDelimiter(SanitizeInput(_xlpm._proposedDiff),","),",",", ")))</f>
        <v>A36</v>
      </c>
      <c r="I4" s="16" t="str" cm="1">
        <f t="array" aca="1" ref="I4" ca="1">RemoveDelimiter(GetValuesWithFallback(SanitizeInput($F4)&amp;SanitizeInput($G4)&amp;SanitizeInput($H4),Countermeasures!$A:$B,Assumptions!$A:$B," ",","&amp;CHAR(10),TRUE),","&amp;CHAR(10))</f>
        <v>CM20 SCR 2.11 - Secure Wi-Fi,
A36 SDR 1.18 - Well-protected trustworthy wireless network</v>
      </c>
      <c r="J4" s="13"/>
      <c r="K4" s="16" t="str" cm="1">
        <f t="array" ref="K4">RemoveDelimiter(GetValuesWithFallback(SanitizeInput($J4),Countermeasures!$A:$B,Assumptions!$A:$B," ",","&amp;CHAR(10),TRUE),","&amp;CHAR(10))</f>
        <v/>
      </c>
      <c r="L4" s="13">
        <f>3</f>
        <v>3</v>
      </c>
      <c r="M4" s="19" t="str" cm="1">
        <f t="array" aca="1" ref="M4" ca="1">_xlfn.LET(
_xlpm._displayLimit,$L4,
_xlpm._risks,$V4,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 s="8" t="str">
        <f ca="1">INDEX(Definitions!$AE:$AE,MATCH($W4,Definitions!$AF:$AF,0))</f>
        <v>No Risk</v>
      </c>
      <c r="O4" s="13"/>
      <c r="P4" s="10" cm="1">
        <f t="array" ref="P4">GenerateShadowID(ROW(),$P$2,$P:$P,0,$A4&lt;&gt;"")</f>
        <v>2</v>
      </c>
      <c r="Q4" s="10" cm="1">
        <f t="array" ref="Q4">CreateTaskID($Q$2,$Q:$Q,Tasks!$B$17,$O4)</f>
        <v>0</v>
      </c>
      <c r="R4" s="10">
        <f>IFERROR(MATCH(ROW()-ROW($R$2),'Attack Steps'!$Q:$Q,0),0)</f>
        <v>4</v>
      </c>
      <c r="S4" s="10" t="str" cm="1">
        <f t="array" aca="1" ref="S4" ca="1">CalculateMaxAndElements($T4,0,"",Risks!$A:$AJ)</f>
        <v>0:</v>
      </c>
      <c r="T4" s="10" t="str" cm="1">
        <f t="array" aca="1" ref="T4" ca="1">InverseLookup($A4,Risks!$AI$2,Risks!$A$2,1,Helper!$B$1,",")</f>
        <v/>
      </c>
      <c r="U4" s="10" t="str">
        <f t="shared" ca="1" si="0"/>
        <v/>
      </c>
      <c r="V4" s="10" t="str" cm="1">
        <f t="array" aca="1" ref="V4" ca="1">CalculateMaxAndElements($T4,0,"",Risks!$A:$BK)</f>
        <v>0:</v>
      </c>
      <c r="W4" s="21">
        <f t="shared" ca="1" si="1"/>
        <v>0</v>
      </c>
      <c r="X4" s="21" t="str" cm="1">
        <f t="array" ref="X4">IF($J4="","",","&amp;SanitizeInput($J4))</f>
        <v/>
      </c>
      <c r="Y4" s="21" t="b" cm="1">
        <f t="array" aca="1" ref="Y4" ca="1">INDEX('Attack Steps'!$AI:$AI,$R4)</f>
        <v>0</v>
      </c>
      <c r="Z4" s="21" cm="1">
        <f t="array" ref="Z4">CreateID($Z$2,$Z:$Z,IFERROR(FIND(Definitions!$AR$4,$O4)&gt;0,FALSE))</f>
        <v>0</v>
      </c>
      <c r="AA4" s="21">
        <f>_xlfn.LET(
_xlpm._comment,$O4,
_xlpm._keyWord,Definitions!$AR$4,
_xlpm._diffLen,LEN(_xlpm._comment)-LEN(SUBSTITUTE(_xlpm._comment,_xlpm._keyWord,"")),
_xlpm._diffLen/LEN(_xlpm._keyWord))</f>
        <v>0</v>
      </c>
      <c r="AB4" s="21" cm="1">
        <f t="array" ref="AB4">CreateID($AB$2,$AB:$AB,IFERROR(FIND(Definitions!$AR$5,$O4)&gt;0,FALSE))</f>
        <v>0</v>
      </c>
      <c r="AC4" s="21">
        <f>_xlfn.LET(
_xlpm._comment,$O4,
_xlpm._keyWord,Definitions!$AR$5,
_xlpm._diffLen,LEN(_xlpm._comment)-LEN(SUBSTITUTE(_xlpm._comment,_xlpm._keyWord,"")),
_xlpm._diffLen/LEN(_xlpm._keyWord))</f>
        <v>0</v>
      </c>
      <c r="AD4" s="21" t="str" cm="1">
        <f t="array" ref="AD4">CreateSearchString($J4)</f>
        <v/>
      </c>
      <c r="AE4" s="21" t="str" cm="1">
        <f t="array" aca="1" ref="AE4" ca="1">_xlfn.LET(
_xlpm._selected,SanitizeInput($J4),
_xlpm._catalogOptions,SanitizeInput($F4)&amp;SanitizeInput($G4)&amp;SanitizeInput($H4),
_xlpm._selectedNotInOptions,FilterElementsFromList(_xlpm._selected,_xlpm._catalogOptions,FALSE,","),
IF(_xlpm._selectedNotInOptions="","",$A4&amp;" "&amp;$B4&amp;": "&amp;SUBSTITUTE(RemoveDelimiter(_xlpm._selectedNotInOptions,","),",",", ")))</f>
        <v/>
      </c>
      <c r="AF4" s="21" cm="1">
        <f t="array" aca="1" ref="AF4" ca="1">CreateID($AF$2,$AF:$AF,$AE4&lt;&gt;"")</f>
        <v>0</v>
      </c>
      <c r="AG4" s="21" t="str" cm="1">
        <f t="array" ref="AG4">_xlfn.LET(
_xlpm._delimiter,","&amp;CHAR(10),
_xlpm._assumptions,ParseAllMitigationsFromComment($A4,"-","A",$O4,Definitions!$AR$4,Definitions!$AS$4,Definitions!$AR$6,_xlpm._delimiter,1),
_xlpm._countermeasures,ParseAllMitigationsFromComment($A4,"-","C",$O4,Definitions!$AR$5,Definitions!$AS$5,Definitions!$AR$6,_xlpm._delimiter,1),
IF(_xlpm._countermeasures="",RemoveDelimiter(_xlpm._assumptions,_xlpm._delimiter),_xlpm._assumptions&amp;RemoveDelimiter(_xlpm._countermeasures,_xlpm._delimiter)))</f>
        <v/>
      </c>
      <c r="AH4" s="21" t="str" cm="1">
        <f t="array" ref="AH4">CreateSearchString(SanitizeInput($J4)&amp;GetValuesIgnoreErrors(SanitizeInput($J4),Countermeasures!$A:$G,"",",",FALSE))</f>
        <v/>
      </c>
      <c r="AI4" s="21" t="str" cm="1">
        <f t="array" aca="1" ref="AI4" ca="1">IF(AND(IFERROR(FIND(","&amp;Countermeasures!$A$30&amp;",",$AH4)&gt;0,FALSE),Countermeasures!$AF$30=TRUE,SimpleLookup(Questions!$A$48,Questionnaire!$A:$C)=Definitions!$A$5),$A4&amp;" "&amp;$B4,"")</f>
        <v/>
      </c>
      <c r="AJ4" s="21" cm="1">
        <f t="array" aca="1" ref="AJ4" ca="1">CreateID($AJ$2,$AJ:$AJ,$AI4&lt;&gt;"")</f>
        <v>0</v>
      </c>
      <c r="AK4" s="21" t="str">
        <f t="shared" ca="1" si="2"/>
        <v/>
      </c>
      <c r="AL4" s="21" cm="1">
        <f t="array" aca="1" ref="AL4" ca="1">CreateID($AL$2,$AL:$AL,$AK4&lt;&gt;"")</f>
        <v>0</v>
      </c>
      <c r="AM4" s="21" t="str">
        <f t="shared" si="3"/>
        <v/>
      </c>
      <c r="AN4" s="21" cm="1">
        <f t="array" ref="AN4">CreateID($AN$2,$AN:$AN,$AM4&lt;&gt;"")</f>
        <v>0</v>
      </c>
    </row>
    <row r="5" spans="1:40" ht="105" x14ac:dyDescent="0.25">
      <c r="A5" s="16" t="str" cm="1">
        <f t="array" ref="A5">IF($R5=0,"",INDEX('Attack Steps'!A:A,$R5))</f>
        <v>AS3</v>
      </c>
      <c r="B5" s="16" t="str" cm="1">
        <f t="array" ref="B5">IF($R5=0,"",INDEX('Attack Steps'!B:B,$R5))</f>
        <v>Compromising the product using a software vulnerability</v>
      </c>
      <c r="C5" s="13">
        <f>3</f>
        <v>3</v>
      </c>
      <c r="D5" s="19" t="str" cm="1">
        <f t="array" aca="1" ref="D5" ca="1">_xlfn.LET(
_xlpm._displayLimit,$C5,
_xlpm._risks,$S5,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5" s="16" t="str" cm="1">
        <f t="array" aca="1" ref="E5" ca="1">_xlfn.LET(_xlpm._riskValue,CalculateMaxFromList($T5,0,Risks!$A:$AJ),
INDEX(Definitions!$AE:$AE,MATCH(_xlpm._riskValue,Definitions!$AF:$AF,0)))</f>
        <v>No Risk</v>
      </c>
      <c r="F5" s="16" t="str" cm="1">
        <f t="array" aca="1" ref="F5" ca="1">IF($A5="","",SUBSTITUTE(RemoveDelimiter(SanitizeInput(SimpleLookup($A5,'Attack Steps'!$A:$AE)),","),",",", "))</f>
        <v>CM2a, CM2b, CM21, CM22</v>
      </c>
      <c r="G5" s="16" t="str" cm="1">
        <f t="array" aca="1" ref="G5" ca="1">IF($A5="","",SUBSTITUTE(RemoveDelimiter(SanitizeInput(SimpleLookup($A5,'Attack Steps'!$A:$AF)),","),",",", "))</f>
        <v/>
      </c>
      <c r="H5" s="79" t="str" cm="1">
        <f t="array" aca="1" ref="H5" ca="1">IF($A5="","",_xlfn.LET(
_xlpm._proposedActive,SanitizeInput($G5),
_xlpm._proposedAll,SimpleLookup($A5,'Attack Steps'!$A:$AG),
_xlpm._proposedDiff,FilterElementsFromList(_xlpm._proposedAll,_xlpm._proposedActive,FALSE,","),
SUBSTITUTE(RemoveDelimiter(SanitizeInput(_xlpm._proposedDiff),","),",",", ")))</f>
        <v/>
      </c>
      <c r="I5" s="16" t="str" cm="1">
        <f t="array" aca="1" ref="I5" ca="1">RemoveDelimiter(GetValuesWithFallback(SanitizeInput($F5)&amp;SanitizeInput($G5)&amp;SanitizeInput($H5),Countermeasures!$A:$B,Assumptions!$A:$B," ",","&amp;CHAR(10),TRUE),","&amp;CHAR(10))</f>
        <v>CM2a &lt;OEM name&gt;-specific SDL,
CM2b SDL IEC 62443 Cybersecurity,
CM21 SCR 2.12 - Trusted Execution Environment (TEE),
CM22 Isolation using virtualization or containers</v>
      </c>
      <c r="J5" s="13"/>
      <c r="K5" s="16" t="str" cm="1">
        <f t="array" ref="K5">RemoveDelimiter(GetValuesWithFallback(SanitizeInput($J5),Countermeasures!$A:$B,Assumptions!$A:$B," ",","&amp;CHAR(10),TRUE),","&amp;CHAR(10))</f>
        <v/>
      </c>
      <c r="L5" s="13">
        <f>3</f>
        <v>3</v>
      </c>
      <c r="M5" s="19" t="str" cm="1">
        <f t="array" aca="1" ref="M5" ca="1">_xlfn.LET(
_xlpm._displayLimit,$L5,
_xlpm._risks,$V5,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5" s="16" t="str">
        <f ca="1">INDEX(Definitions!$AE:$AE,MATCH($W5,Definitions!$AF:$AF,0))</f>
        <v>No Risk</v>
      </c>
      <c r="O5" s="13"/>
      <c r="P5" s="10" cm="1">
        <f t="array" ref="P5">GenerateShadowID(ROW(),$P$2,$P:$P,0,$A5&lt;&gt;"")</f>
        <v>3</v>
      </c>
      <c r="Q5" s="10" cm="1">
        <f t="array" ref="Q5">CreateTaskID($Q$2,$Q:$Q,Tasks!$B$17,$O5)</f>
        <v>0</v>
      </c>
      <c r="R5" s="10">
        <f>IFERROR(MATCH(ROW()-ROW($R$2),'Attack Steps'!$Q:$Q,0),0)</f>
        <v>5</v>
      </c>
      <c r="S5" s="10" t="str" cm="1">
        <f t="array" aca="1" ref="S5" ca="1">CalculateMaxAndElements($T5,0,"",Risks!$A:$AJ)</f>
        <v>0:</v>
      </c>
      <c r="T5" s="10" t="str" cm="1">
        <f t="array" aca="1" ref="T5" ca="1">InverseLookup($A5,Risks!$AI$2,Risks!$A$2,1,Helper!$B$1,",")</f>
        <v/>
      </c>
      <c r="U5" s="10" t="str">
        <f t="shared" ca="1" si="0"/>
        <v/>
      </c>
      <c r="V5" s="10" t="str" cm="1">
        <f t="array" aca="1" ref="V5" ca="1">CalculateMaxAndElements($T5,0,"",Risks!$A:$BK)</f>
        <v>0:</v>
      </c>
      <c r="W5" s="21">
        <f t="shared" ca="1" si="1"/>
        <v>0</v>
      </c>
      <c r="X5" s="21" t="str" cm="1">
        <f t="array" ref="X5">IF($J5="","",","&amp;SanitizeInput($J5))</f>
        <v/>
      </c>
      <c r="Y5" s="21" t="b" cm="1">
        <f t="array" aca="1" ref="Y5" ca="1">INDEX('Attack Steps'!$AI:$AI,$R5)</f>
        <v>0</v>
      </c>
      <c r="Z5" s="21" cm="1">
        <f t="array" ref="Z5">CreateID($Z$2,$Z:$Z,IFERROR(FIND(Definitions!$AR$4,$O5)&gt;0,FALSE))</f>
        <v>0</v>
      </c>
      <c r="AA5" s="21">
        <f>_xlfn.LET(
_xlpm._comment,$O5,
_xlpm._keyWord,Definitions!$AR$4,
_xlpm._diffLen,LEN(_xlpm._comment)-LEN(SUBSTITUTE(_xlpm._comment,_xlpm._keyWord,"")),
_xlpm._diffLen/LEN(_xlpm._keyWord))</f>
        <v>0</v>
      </c>
      <c r="AB5" s="21" cm="1">
        <f t="array" ref="AB5">CreateID($AB$2,$AB:$AB,IFERROR(FIND(Definitions!$AR$5,$O5)&gt;0,FALSE))</f>
        <v>0</v>
      </c>
      <c r="AC5" s="21">
        <f>_xlfn.LET(
_xlpm._comment,$O5,
_xlpm._keyWord,Definitions!$AR$5,
_xlpm._diffLen,LEN(_xlpm._comment)-LEN(SUBSTITUTE(_xlpm._comment,_xlpm._keyWord,"")),
_xlpm._diffLen/LEN(_xlpm._keyWord))</f>
        <v>0</v>
      </c>
      <c r="AD5" s="21" t="str" cm="1">
        <f t="array" ref="AD5">CreateSearchString($J5)</f>
        <v/>
      </c>
      <c r="AE5" s="21" t="str" cm="1">
        <f t="array" aca="1" ref="AE5" ca="1">_xlfn.LET(
_xlpm._selected,SanitizeInput($J5),
_xlpm._catalogOptions,SanitizeInput($F5)&amp;SanitizeInput($G5)&amp;SanitizeInput($H5),
_xlpm._selectedNotInOptions,FilterElementsFromList(_xlpm._selected,_xlpm._catalogOptions,FALSE,","),
IF(_xlpm._selectedNotInOptions="","",$A5&amp;" "&amp;$B5&amp;": "&amp;SUBSTITUTE(RemoveDelimiter(_xlpm._selectedNotInOptions,","),",",", ")))</f>
        <v/>
      </c>
      <c r="AF5" s="21" cm="1">
        <f t="array" aca="1" ref="AF5" ca="1">CreateID($AF$2,$AF:$AF,$AE5&lt;&gt;"")</f>
        <v>0</v>
      </c>
      <c r="AG5" s="21" t="str" cm="1">
        <f t="array" ref="AG5">_xlfn.LET(
_xlpm._delimiter,","&amp;CHAR(10),
_xlpm._assumptions,ParseAllMitigationsFromComment($A5,"-","A",$O5,Definitions!$AR$4,Definitions!$AS$4,Definitions!$AR$6,_xlpm._delimiter,1),
_xlpm._countermeasures,ParseAllMitigationsFromComment($A5,"-","C",$O5,Definitions!$AR$5,Definitions!$AS$5,Definitions!$AR$6,_xlpm._delimiter,1),
IF(_xlpm._countermeasures="",RemoveDelimiter(_xlpm._assumptions,_xlpm._delimiter),_xlpm._assumptions&amp;RemoveDelimiter(_xlpm._countermeasures,_xlpm._delimiter)))</f>
        <v/>
      </c>
      <c r="AH5" s="21" t="str" cm="1">
        <f t="array" ref="AH5">CreateSearchString(SanitizeInput($J5)&amp;GetValuesIgnoreErrors(SanitizeInput($J5),Countermeasures!$A:$G,"",",",FALSE))</f>
        <v/>
      </c>
      <c r="AI5" s="21" t="str" cm="1">
        <f t="array" aca="1" ref="AI5" ca="1">IF(AND(IFERROR(FIND(","&amp;Countermeasures!$A$30&amp;",",$AH5)&gt;0,FALSE),Countermeasures!$AF$30=TRUE,SimpleLookup(Questions!$A$48,Questionnaire!$A:$C)=Definitions!$A$5),$A5&amp;" "&amp;$B5,"")</f>
        <v/>
      </c>
      <c r="AJ5" s="21" cm="1">
        <f t="array" aca="1" ref="AJ5" ca="1">CreateID($AJ$2,$AJ:$AJ,$AI5&lt;&gt;"")</f>
        <v>0</v>
      </c>
      <c r="AK5" s="21" t="str">
        <f t="shared" ca="1" si="2"/>
        <v/>
      </c>
      <c r="AL5" s="21" cm="1">
        <f t="array" aca="1" ref="AL5" ca="1">CreateID($AL$2,$AL:$AL,$AK5&lt;&gt;"")</f>
        <v>0</v>
      </c>
      <c r="AM5" s="21" t="str">
        <f t="shared" si="3"/>
        <v/>
      </c>
      <c r="AN5" s="21" cm="1">
        <f t="array" ref="AN5">CreateID($AN$2,$AN:$AN,$AM5&lt;&gt;"")</f>
        <v>0</v>
      </c>
    </row>
    <row r="6" spans="1:40" ht="75" x14ac:dyDescent="0.25">
      <c r="A6" s="16" t="str" cm="1">
        <f t="array" ref="A6">IF($R6=0,"",INDEX('Attack Steps'!A:A,$R6))</f>
        <v>AS4</v>
      </c>
      <c r="B6" s="16" t="str" cm="1">
        <f t="array" ref="B6">IF($R6=0,"",INDEX('Attack Steps'!B:B,$R6))</f>
        <v>Interrupting the product with a denial of service attack</v>
      </c>
      <c r="C6" s="13">
        <f>3</f>
        <v>3</v>
      </c>
      <c r="D6" s="19" t="str" cm="1">
        <f t="array" aca="1" ref="D6" ca="1">_xlfn.LET(
_xlpm._displayLimit,$C6,
_xlpm._risks,$S6,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6" s="16" t="str" cm="1">
        <f t="array" aca="1" ref="E6" ca="1">_xlfn.LET(_xlpm._riskValue,CalculateMaxFromList($T6,0,Risks!$A:$AJ),
INDEX(Definitions!$AE:$AE,MATCH(_xlpm._riskValue,Definitions!$AF:$AF,0)))</f>
        <v>No Risk</v>
      </c>
      <c r="F6" s="16" t="str" cm="1">
        <f t="array" aca="1" ref="F6" ca="1">IF($A6="","",SUBSTITUTE(RemoveDelimiter(SanitizeInput(SimpleLookup($A6,'Attack Steps'!$A:$AE)),","),",",", "))</f>
        <v>C20, C21</v>
      </c>
      <c r="G6" s="16" t="str" cm="1">
        <f t="array" aca="1" ref="G6" ca="1">IF($A6="","",SUBSTITUTE(RemoveDelimiter(SanitizeInput(SimpleLookup($A6,'Attack Steps'!$A:$AF)),","),",",", "))</f>
        <v/>
      </c>
      <c r="H6" s="79" t="str" cm="1">
        <f t="array" aca="1" ref="H6" ca="1">IF($A6="","",_xlfn.LET(
_xlpm._proposedActive,SanitizeInput($G6),
_xlpm._proposedAll,SimpleLookup($A6,'Attack Steps'!$A:$AG),
_xlpm._proposedDiff,FilterElementsFromList(_xlpm._proposedAll,_xlpm._proposedActive,FALSE,","),
SUBSTITUTE(RemoveDelimiter(SanitizeInput(_xlpm._proposedDiff),","),",",", ")))</f>
        <v/>
      </c>
      <c r="I6" s="16" t="str" cm="1">
        <f t="array" aca="1" ref="I6" ca="1">RemoveDelimiter(GetValuesWithFallback(SanitizeInput($F6)&amp;SanitizeInput($G6)&amp;SanitizeInput($H6),Countermeasures!$A:$B,Assumptions!$A:$B," ",","&amp;CHAR(10),TRUE),","&amp;CHAR(10))</f>
        <v>C20 CR 7.1 – Denial of service protection,
C21 CR 7.1 RE 1 Manage communication load from component</v>
      </c>
      <c r="J6" s="13"/>
      <c r="K6" s="16" t="str" cm="1">
        <f t="array" ref="K6">RemoveDelimiter(GetValuesWithFallback(SanitizeInput($J6),Countermeasures!$A:$B,Assumptions!$A:$B," ",","&amp;CHAR(10),TRUE),","&amp;CHAR(10))</f>
        <v/>
      </c>
      <c r="L6" s="13">
        <f>3</f>
        <v>3</v>
      </c>
      <c r="M6" s="19" t="str" cm="1">
        <f t="array" aca="1" ref="M6" ca="1">_xlfn.LET(
_xlpm._displayLimit,$L6,
_xlpm._risks,$V6,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6" s="16" t="str">
        <f ca="1">INDEX(Definitions!$AE:$AE,MATCH($W6,Definitions!$AF:$AF,0))</f>
        <v>No Risk</v>
      </c>
      <c r="O6" s="13"/>
      <c r="P6" s="10" cm="1">
        <f t="array" ref="P6">GenerateShadowID(ROW(),$P$2,$P:$P,0,$A6&lt;&gt;"")</f>
        <v>4</v>
      </c>
      <c r="Q6" s="10" cm="1">
        <f t="array" ref="Q6">CreateTaskID($Q$2,$Q:$Q,Tasks!$B$17,$O6)</f>
        <v>0</v>
      </c>
      <c r="R6" s="10">
        <f>IFERROR(MATCH(ROW()-ROW($R$2),'Attack Steps'!$Q:$Q,0),0)</f>
        <v>6</v>
      </c>
      <c r="S6" s="10" t="str" cm="1">
        <f t="array" aca="1" ref="S6" ca="1">CalculateMaxAndElements($T6,0,"",Risks!$A:$AJ)</f>
        <v>0:</v>
      </c>
      <c r="T6" s="10" t="str" cm="1">
        <f t="array" aca="1" ref="T6" ca="1">InverseLookup($A6,Risks!$AI$2,Risks!$A$2,1,Helper!$B$1,",")</f>
        <v/>
      </c>
      <c r="U6" s="10" t="str">
        <f t="shared" ca="1" si="0"/>
        <v/>
      </c>
      <c r="V6" s="10" t="str" cm="1">
        <f t="array" aca="1" ref="V6" ca="1">CalculateMaxAndElements($T6,0,"",Risks!$A:$BK)</f>
        <v>0:</v>
      </c>
      <c r="W6" s="21">
        <f t="shared" ca="1" si="1"/>
        <v>0</v>
      </c>
      <c r="X6" s="21" t="str" cm="1">
        <f t="array" ref="X6">IF($J6="","",","&amp;SanitizeInput($J6))</f>
        <v/>
      </c>
      <c r="Y6" s="21" t="b" cm="1">
        <f t="array" aca="1" ref="Y6" ca="1">INDEX('Attack Steps'!$AI:$AI,$R6)</f>
        <v>0</v>
      </c>
      <c r="Z6" s="21" cm="1">
        <f t="array" ref="Z6">CreateID($Z$2,$Z:$Z,IFERROR(FIND(Definitions!$AR$4,$O6)&gt;0,FALSE))</f>
        <v>0</v>
      </c>
      <c r="AA6" s="21">
        <f>_xlfn.LET(
_xlpm._comment,$O6,
_xlpm._keyWord,Definitions!$AR$4,
_xlpm._diffLen,LEN(_xlpm._comment)-LEN(SUBSTITUTE(_xlpm._comment,_xlpm._keyWord,"")),
_xlpm._diffLen/LEN(_xlpm._keyWord))</f>
        <v>0</v>
      </c>
      <c r="AB6" s="21" cm="1">
        <f t="array" ref="AB6">CreateID($AB$2,$AB:$AB,IFERROR(FIND(Definitions!$AR$5,$O6)&gt;0,FALSE))</f>
        <v>0</v>
      </c>
      <c r="AC6" s="21">
        <f>_xlfn.LET(
_xlpm._comment,$O6,
_xlpm._keyWord,Definitions!$AR$5,
_xlpm._diffLen,LEN(_xlpm._comment)-LEN(SUBSTITUTE(_xlpm._comment,_xlpm._keyWord,"")),
_xlpm._diffLen/LEN(_xlpm._keyWord))</f>
        <v>0</v>
      </c>
      <c r="AD6" s="21" t="str" cm="1">
        <f t="array" ref="AD6">CreateSearchString($J6)</f>
        <v/>
      </c>
      <c r="AE6" s="21" t="str" cm="1">
        <f t="array" aca="1" ref="AE6" ca="1">_xlfn.LET(
_xlpm._selected,SanitizeInput($J6),
_xlpm._catalogOptions,SanitizeInput($F6)&amp;SanitizeInput($G6)&amp;SanitizeInput($H6),
_xlpm._selectedNotInOptions,FilterElementsFromList(_xlpm._selected,_xlpm._catalogOptions,FALSE,","),
IF(_xlpm._selectedNotInOptions="","",$A6&amp;" "&amp;$B6&amp;": "&amp;SUBSTITUTE(RemoveDelimiter(_xlpm._selectedNotInOptions,","),",",", ")))</f>
        <v/>
      </c>
      <c r="AF6" s="21" cm="1">
        <f t="array" aca="1" ref="AF6" ca="1">CreateID($AF$2,$AF:$AF,$AE6&lt;&gt;"")</f>
        <v>0</v>
      </c>
      <c r="AG6" s="21" t="str" cm="1">
        <f t="array" ref="AG6">_xlfn.LET(
_xlpm._delimiter,","&amp;CHAR(10),
_xlpm._assumptions,ParseAllMitigationsFromComment($A6,"-","A",$O6,Definitions!$AR$4,Definitions!$AS$4,Definitions!$AR$6,_xlpm._delimiter,1),
_xlpm._countermeasures,ParseAllMitigationsFromComment($A6,"-","C",$O6,Definitions!$AR$5,Definitions!$AS$5,Definitions!$AR$6,_xlpm._delimiter,1),
IF(_xlpm._countermeasures="",RemoveDelimiter(_xlpm._assumptions,_xlpm._delimiter),_xlpm._assumptions&amp;RemoveDelimiter(_xlpm._countermeasures,_xlpm._delimiter)))</f>
        <v/>
      </c>
      <c r="AH6" s="21" t="str" cm="1">
        <f t="array" ref="AH6">CreateSearchString(SanitizeInput($J6)&amp;GetValuesIgnoreErrors(SanitizeInput($J6),Countermeasures!$A:$G,"",",",FALSE))</f>
        <v/>
      </c>
      <c r="AI6" s="21" t="str" cm="1">
        <f t="array" aca="1" ref="AI6" ca="1">IF(AND(IFERROR(FIND(","&amp;Countermeasures!$A$30&amp;",",$AH6)&gt;0,FALSE),Countermeasures!$AF$30=TRUE,SimpleLookup(Questions!$A$48,Questionnaire!$A:$C)=Definitions!$A$5),$A6&amp;" "&amp;$B6,"")</f>
        <v/>
      </c>
      <c r="AJ6" s="21" cm="1">
        <f t="array" aca="1" ref="AJ6" ca="1">CreateID($AJ$2,$AJ:$AJ,$AI6&lt;&gt;"")</f>
        <v>0</v>
      </c>
      <c r="AK6" s="21" t="str">
        <f t="shared" ca="1" si="2"/>
        <v/>
      </c>
      <c r="AL6" s="21" cm="1">
        <f t="array" aca="1" ref="AL6" ca="1">CreateID($AL$2,$AL:$AL,$AK6&lt;&gt;"")</f>
        <v>0</v>
      </c>
      <c r="AM6" s="21" t="str">
        <f t="shared" si="3"/>
        <v/>
      </c>
      <c r="AN6" s="21" cm="1">
        <f t="array" ref="AN6">CreateID($AN$2,$AN:$AN,$AM6&lt;&gt;"")</f>
        <v>0</v>
      </c>
    </row>
    <row r="7" spans="1:40" ht="135" x14ac:dyDescent="0.25">
      <c r="A7" s="16" t="str" cm="1">
        <f t="array" ref="A7">IF($R7=0,"",INDEX('Attack Steps'!A:A,$R7))</f>
        <v>AS5</v>
      </c>
      <c r="B7" s="16" t="str" cm="1">
        <f t="array" ref="B7">IF($R7=0,"",INDEX('Attack Steps'!B:B,$R7))</f>
        <v>Eavesdropping on the product's communication</v>
      </c>
      <c r="C7" s="13">
        <f>3</f>
        <v>3</v>
      </c>
      <c r="D7" s="19" t="str" cm="1">
        <f t="array" aca="1" ref="D7" ca="1">_xlfn.LET(
_xlpm._displayLimit,$C7,
_xlpm._risks,$S7,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7" s="16" t="str" cm="1">
        <f t="array" aca="1" ref="E7" ca="1">_xlfn.LET(_xlpm._riskValue,CalculateMaxFromList($T7,0,Risks!$A:$AJ),
INDEX(Definitions!$AE:$AE,MATCH(_xlpm._riskValue,Definitions!$AF:$AF,0)))</f>
        <v>No Risk</v>
      </c>
      <c r="F7" s="16" t="str" cm="1">
        <f t="array" aca="1" ref="F7" ca="1">IF($A7="","",SUBSTITUTE(RemoveDelimiter(SanitizeInput(SimpleLookup($A7,'Attack Steps'!$A:$AE)),","),",",", "))</f>
        <v>C29</v>
      </c>
      <c r="G7" s="16" t="str" cm="1">
        <f t="array" aca="1" ref="G7" ca="1">IF($A7="","",SUBSTITUTE(RemoveDelimiter(SanitizeInput(SimpleLookup($A7,'Attack Steps'!$A:$AF)),","),",",", "))</f>
        <v/>
      </c>
      <c r="H7" s="79" t="str" cm="1">
        <f t="array" aca="1" ref="H7" ca="1">IF($A7="","",_xlfn.LET(
_xlpm._proposedActive,SanitizeInput($G7),
_xlpm._proposedAll,SimpleLookup($A7,'Attack Steps'!$A:$AG),
_xlpm._proposedDiff,FilterElementsFromList(_xlpm._proposedAll,_xlpm._proposedActive,FALSE,","),
SUBSTITUTE(RemoveDelimiter(SanitizeInput(_xlpm._proposedDiff),","),",",", ")))</f>
        <v>A28, A37</v>
      </c>
      <c r="I7" s="16" t="str" cm="1">
        <f t="array" aca="1" ref="I7" ca="1">RemoveDelimiter(GetValuesWithFallback(SanitizeInput($F7)&amp;SanitizeInput($G7)&amp;SanitizeInput($H7),Countermeasures!$A:$B,Assumptions!$A:$B," ",","&amp;CHAR(10),TRUE),","&amp;CHAR(10))</f>
        <v>C29 CR 4.1 – Information confidentiality,
A28 SDR 1.25 - The product does not transmit confidential cryptographic material (such as passwords),
A37 SDR 2.6 - Limited accessibility of short-range wireless communication</v>
      </c>
      <c r="J7" s="13"/>
      <c r="K7" s="16" t="str" cm="1">
        <f t="array" ref="K7">RemoveDelimiter(GetValuesWithFallback(SanitizeInput($J7),Countermeasures!$A:$B,Assumptions!$A:$B," ",","&amp;CHAR(10),TRUE),","&amp;CHAR(10))</f>
        <v/>
      </c>
      <c r="L7" s="13">
        <f>3</f>
        <v>3</v>
      </c>
      <c r="M7" s="19" t="str" cm="1">
        <f t="array" aca="1" ref="M7" ca="1">_xlfn.LET(
_xlpm._displayLimit,$L7,
_xlpm._risks,$V7,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7" s="16" t="str">
        <f ca="1">INDEX(Definitions!$AE:$AE,MATCH($W7,Definitions!$AF:$AF,0))</f>
        <v>No Risk</v>
      </c>
      <c r="O7" s="13"/>
      <c r="P7" s="10" cm="1">
        <f t="array" ref="P7">GenerateShadowID(ROW(),$P$2,$P:$P,0,$A7&lt;&gt;"")</f>
        <v>5</v>
      </c>
      <c r="Q7" s="10" cm="1">
        <f t="array" ref="Q7">CreateTaskID($Q$2,$Q:$Q,Tasks!$B$17,$O7)</f>
        <v>0</v>
      </c>
      <c r="R7" s="10">
        <f>IFERROR(MATCH(ROW()-ROW($R$2),'Attack Steps'!$Q:$Q,0),0)</f>
        <v>7</v>
      </c>
      <c r="S7" s="10" t="str" cm="1">
        <f t="array" aca="1" ref="S7" ca="1">CalculateMaxAndElements($T7,0,"",Risks!$A:$AJ)</f>
        <v>0:</v>
      </c>
      <c r="T7" s="10" t="str" cm="1">
        <f t="array" aca="1" ref="T7" ca="1">InverseLookup($A7,Risks!$AI$2,Risks!$A$2,1,Helper!$B$1,",")</f>
        <v/>
      </c>
      <c r="U7" s="10" t="str">
        <f t="shared" ca="1" si="0"/>
        <v/>
      </c>
      <c r="V7" s="10" t="str" cm="1">
        <f t="array" aca="1" ref="V7" ca="1">CalculateMaxAndElements($T7,0,"",Risks!$A:$BK)</f>
        <v>0:</v>
      </c>
      <c r="W7" s="21">
        <f t="shared" ca="1" si="1"/>
        <v>0</v>
      </c>
      <c r="X7" s="21" t="str" cm="1">
        <f t="array" ref="X7">IF($J7="","",","&amp;SanitizeInput($J7))</f>
        <v/>
      </c>
      <c r="Y7" s="21" t="b" cm="1">
        <f t="array" aca="1" ref="Y7" ca="1">INDEX('Attack Steps'!$AI:$AI,$R7)</f>
        <v>0</v>
      </c>
      <c r="Z7" s="21" cm="1">
        <f t="array" ref="Z7">CreateID($Z$2,$Z:$Z,IFERROR(FIND(Definitions!$AR$4,$O7)&gt;0,FALSE))</f>
        <v>0</v>
      </c>
      <c r="AA7" s="21">
        <f>_xlfn.LET(
_xlpm._comment,$O7,
_xlpm._keyWord,Definitions!$AR$4,
_xlpm._diffLen,LEN(_xlpm._comment)-LEN(SUBSTITUTE(_xlpm._comment,_xlpm._keyWord,"")),
_xlpm._diffLen/LEN(_xlpm._keyWord))</f>
        <v>0</v>
      </c>
      <c r="AB7" s="21" cm="1">
        <f t="array" ref="AB7">CreateID($AB$2,$AB:$AB,IFERROR(FIND(Definitions!$AR$5,$O7)&gt;0,FALSE))</f>
        <v>0</v>
      </c>
      <c r="AC7" s="21">
        <f>_xlfn.LET(
_xlpm._comment,$O7,
_xlpm._keyWord,Definitions!$AR$5,
_xlpm._diffLen,LEN(_xlpm._comment)-LEN(SUBSTITUTE(_xlpm._comment,_xlpm._keyWord,"")),
_xlpm._diffLen/LEN(_xlpm._keyWord))</f>
        <v>0</v>
      </c>
      <c r="AD7" s="21" t="str" cm="1">
        <f t="array" ref="AD7">CreateSearchString($J7)</f>
        <v/>
      </c>
      <c r="AE7" s="21" t="str" cm="1">
        <f t="array" aca="1" ref="AE7" ca="1">_xlfn.LET(
_xlpm._selected,SanitizeInput($J7),
_xlpm._catalogOptions,SanitizeInput($F7)&amp;SanitizeInput($G7)&amp;SanitizeInput($H7),
_xlpm._selectedNotInOptions,FilterElementsFromList(_xlpm._selected,_xlpm._catalogOptions,FALSE,","),
IF(_xlpm._selectedNotInOptions="","",$A7&amp;" "&amp;$B7&amp;": "&amp;SUBSTITUTE(RemoveDelimiter(_xlpm._selectedNotInOptions,","),",",", ")))</f>
        <v/>
      </c>
      <c r="AF7" s="21" cm="1">
        <f t="array" aca="1" ref="AF7" ca="1">CreateID($AF$2,$AF:$AF,$AE7&lt;&gt;"")</f>
        <v>0</v>
      </c>
      <c r="AG7" s="21" t="str" cm="1">
        <f t="array" ref="AG7">_xlfn.LET(
_xlpm._delimiter,","&amp;CHAR(10),
_xlpm._assumptions,ParseAllMitigationsFromComment($A7,"-","A",$O7,Definitions!$AR$4,Definitions!$AS$4,Definitions!$AR$6,_xlpm._delimiter,1),
_xlpm._countermeasures,ParseAllMitigationsFromComment($A7,"-","C",$O7,Definitions!$AR$5,Definitions!$AS$5,Definitions!$AR$6,_xlpm._delimiter,1),
IF(_xlpm._countermeasures="",RemoveDelimiter(_xlpm._assumptions,_xlpm._delimiter),_xlpm._assumptions&amp;RemoveDelimiter(_xlpm._countermeasures,_xlpm._delimiter)))</f>
        <v/>
      </c>
      <c r="AH7" s="21" t="str" cm="1">
        <f t="array" ref="AH7">CreateSearchString(SanitizeInput($J7)&amp;GetValuesIgnoreErrors(SanitizeInput($J7),Countermeasures!$A:$G,"",",",FALSE))</f>
        <v/>
      </c>
      <c r="AI7" s="21" t="str" cm="1">
        <f t="array" aca="1" ref="AI7" ca="1">IF(AND(IFERROR(FIND(","&amp;Countermeasures!$A$30&amp;",",$AH7)&gt;0,FALSE),Countermeasures!$AF$30=TRUE,SimpleLookup(Questions!$A$48,Questionnaire!$A:$C)=Definitions!$A$5),$A7&amp;" "&amp;$B7,"")</f>
        <v/>
      </c>
      <c r="AJ7" s="21" cm="1">
        <f t="array" aca="1" ref="AJ7" ca="1">CreateID($AJ$2,$AJ:$AJ,$AI7&lt;&gt;"")</f>
        <v>0</v>
      </c>
      <c r="AK7" s="21" t="str">
        <f t="shared" ca="1" si="2"/>
        <v/>
      </c>
      <c r="AL7" s="21" cm="1">
        <f t="array" aca="1" ref="AL7" ca="1">CreateID($AL$2,$AL:$AL,$AK7&lt;&gt;"")</f>
        <v>0</v>
      </c>
      <c r="AM7" s="21" t="str">
        <f t="shared" si="3"/>
        <v/>
      </c>
      <c r="AN7" s="21" cm="1">
        <f t="array" ref="AN7">CreateID($AN$2,$AN:$AN,$AM7&lt;&gt;"")</f>
        <v>0</v>
      </c>
    </row>
    <row r="8" spans="1:40" ht="75" x14ac:dyDescent="0.25">
      <c r="A8" s="16" t="str" cm="1">
        <f t="array" ref="A8">IF($R8=0,"",INDEX('Attack Steps'!A:A,$R8))</f>
        <v>AS6</v>
      </c>
      <c r="B8" s="16" t="str" cm="1">
        <f t="array" ref="B8">IF($R8=0,"",INDEX('Attack Steps'!B:B,$R8))</f>
        <v>Spoofing / tampering with the product's outgoing communication</v>
      </c>
      <c r="C8" s="13">
        <f>3</f>
        <v>3</v>
      </c>
      <c r="D8" s="19" t="str" cm="1">
        <f t="array" aca="1" ref="D8" ca="1">_xlfn.LET(
_xlpm._displayLimit,$C8,
_xlpm._risks,$S8,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8" s="16" t="str" cm="1">
        <f t="array" aca="1" ref="E8" ca="1">_xlfn.LET(_xlpm._riskValue,CalculateMaxFromList($T8,0,Risks!$A:$AJ),
INDEX(Definitions!$AE:$AE,MATCH(_xlpm._riskValue,Definitions!$AF:$AF,0)))</f>
        <v>No Risk</v>
      </c>
      <c r="F8" s="16" t="str" cm="1">
        <f t="array" aca="1" ref="F8" ca="1">IF($A8="","",SUBSTITUTE(RemoveDelimiter(SanitizeInput(SimpleLookup($A8,'Attack Steps'!$A:$AE)),","),",",", "))</f>
        <v>CM10</v>
      </c>
      <c r="G8" s="16" t="str" cm="1">
        <f t="array" aca="1" ref="G8" ca="1">IF($A8="","",SUBSTITUTE(RemoveDelimiter(SanitizeInput(SimpleLookup($A8,'Attack Steps'!$A:$AF)),","),",",", "))</f>
        <v/>
      </c>
      <c r="H8" s="79" t="str" cm="1">
        <f t="array" aca="1" ref="H8" ca="1">IF($A8="","",_xlfn.LET(
_xlpm._proposedActive,SanitizeInput($G8),
_xlpm._proposedAll,SimpleLookup($A8,'Attack Steps'!$A:$AG),
_xlpm._proposedDiff,FilterElementsFromList(_xlpm._proposedAll,_xlpm._proposedActive,FALSE,","),
SUBSTITUTE(RemoveDelimiter(SanitizeInput(_xlpm._proposedDiff),","),",",", ")))</f>
        <v>A37</v>
      </c>
      <c r="I8" s="16" t="str" cm="1">
        <f t="array" aca="1" ref="I8" ca="1">RemoveDelimiter(GetValuesWithFallback(SanitizeInput($F8)&amp;SanitizeInput($G8)&amp;SanitizeInput($H8),Countermeasures!$A:$B,Assumptions!$A:$B," ",","&amp;CHAR(10),TRUE),","&amp;CHAR(10))</f>
        <v>CM10 SCR 2.6 - Secure channel with product authentication,
A37 SDR 2.6 - Limited accessibility of short-range wireless communication</v>
      </c>
      <c r="J8" s="13"/>
      <c r="K8" s="16" t="str" cm="1">
        <f t="array" ref="K8">RemoveDelimiter(GetValuesWithFallback(SanitizeInput($J8),Countermeasures!$A:$B,Assumptions!$A:$B," ",","&amp;CHAR(10),TRUE),","&amp;CHAR(10))</f>
        <v/>
      </c>
      <c r="L8" s="13">
        <f>3</f>
        <v>3</v>
      </c>
      <c r="M8" s="19" t="str" cm="1">
        <f t="array" aca="1" ref="M8" ca="1">_xlfn.LET(
_xlpm._displayLimit,$L8,
_xlpm._risks,$V8,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8" s="16" t="str">
        <f ca="1">INDEX(Definitions!$AE:$AE,MATCH($W8,Definitions!$AF:$AF,0))</f>
        <v>No Risk</v>
      </c>
      <c r="O8" s="13"/>
      <c r="P8" s="10" cm="1">
        <f t="array" ref="P8">GenerateShadowID(ROW(),$P$2,$P:$P,0,$A8&lt;&gt;"")</f>
        <v>6</v>
      </c>
      <c r="Q8" s="10" cm="1">
        <f t="array" ref="Q8">CreateTaskID($Q$2,$Q:$Q,Tasks!$B$17,$O8)</f>
        <v>0</v>
      </c>
      <c r="R8" s="10">
        <f>IFERROR(MATCH(ROW()-ROW($R$2),'Attack Steps'!$Q:$Q,0),0)</f>
        <v>8</v>
      </c>
      <c r="S8" s="10" t="str" cm="1">
        <f t="array" aca="1" ref="S8" ca="1">CalculateMaxAndElements($T8,0,"",Risks!$A:$AJ)</f>
        <v>0:</v>
      </c>
      <c r="T8" s="10" t="str" cm="1">
        <f t="array" aca="1" ref="T8" ca="1">InverseLookup($A8,Risks!$AI$2,Risks!$A$2,1,Helper!$B$1,",")</f>
        <v/>
      </c>
      <c r="U8" s="10" t="str">
        <f t="shared" ca="1" si="0"/>
        <v/>
      </c>
      <c r="V8" s="10" t="str" cm="1">
        <f t="array" aca="1" ref="V8" ca="1">CalculateMaxAndElements($T8,0,"",Risks!$A:$BK)</f>
        <v>0:</v>
      </c>
      <c r="W8" s="21">
        <f t="shared" ca="1" si="1"/>
        <v>0</v>
      </c>
      <c r="X8" s="21" t="str" cm="1">
        <f t="array" ref="X8">IF($J8="","",","&amp;SanitizeInput($J8))</f>
        <v/>
      </c>
      <c r="Y8" s="21" t="b" cm="1">
        <f t="array" aca="1" ref="Y8" ca="1">INDEX('Attack Steps'!$AI:$AI,$R8)</f>
        <v>0</v>
      </c>
      <c r="Z8" s="21" cm="1">
        <f t="array" ref="Z8">CreateID($Z$2,$Z:$Z,IFERROR(FIND(Definitions!$AR$4,$O8)&gt;0,FALSE))</f>
        <v>0</v>
      </c>
      <c r="AA8" s="21">
        <f>_xlfn.LET(
_xlpm._comment,$O8,
_xlpm._keyWord,Definitions!$AR$4,
_xlpm._diffLen,LEN(_xlpm._comment)-LEN(SUBSTITUTE(_xlpm._comment,_xlpm._keyWord,"")),
_xlpm._diffLen/LEN(_xlpm._keyWord))</f>
        <v>0</v>
      </c>
      <c r="AB8" s="21" cm="1">
        <f t="array" ref="AB8">CreateID($AB$2,$AB:$AB,IFERROR(FIND(Definitions!$AR$5,$O8)&gt;0,FALSE))</f>
        <v>0</v>
      </c>
      <c r="AC8" s="21">
        <f>_xlfn.LET(
_xlpm._comment,$O8,
_xlpm._keyWord,Definitions!$AR$5,
_xlpm._diffLen,LEN(_xlpm._comment)-LEN(SUBSTITUTE(_xlpm._comment,_xlpm._keyWord,"")),
_xlpm._diffLen/LEN(_xlpm._keyWord))</f>
        <v>0</v>
      </c>
      <c r="AD8" s="21" t="str" cm="1">
        <f t="array" ref="AD8">CreateSearchString($J8)</f>
        <v/>
      </c>
      <c r="AE8" s="61" t="str" cm="1">
        <f t="array" aca="1" ref="AE8" ca="1">_xlfn.LET(
_xlpm._selected,SanitizeInput($J8),
_xlpm._catalogOptions,SanitizeInput($F8)&amp;SanitizeInput($G8)&amp;SanitizeInput($H8),
_xlpm._selectedNotInOptions,FilterElementsFromList(_xlpm._selected,_xlpm._catalogOptions,FALSE,","),
IF(_xlpm._selectedNotInOptions="","",$A8&amp;" "&amp;$B8&amp;": "&amp;SUBSTITUTE(RemoveDelimiter(_xlpm._selectedNotInOptions,","),",",", ")))</f>
        <v/>
      </c>
      <c r="AF8" s="21" cm="1">
        <f t="array" aca="1" ref="AF8" ca="1">CreateID($AF$2,$AF:$AF,$AE8&lt;&gt;"")</f>
        <v>0</v>
      </c>
      <c r="AG8" s="21" t="str" cm="1">
        <f t="array" ref="AG8">_xlfn.LET(
_xlpm._delimiter,","&amp;CHAR(10),
_xlpm._assumptions,ParseAllMitigationsFromComment($A8,"-","A",$O8,Definitions!$AR$4,Definitions!$AS$4,Definitions!$AR$6,_xlpm._delimiter,1),
_xlpm._countermeasures,ParseAllMitigationsFromComment($A8,"-","C",$O8,Definitions!$AR$5,Definitions!$AS$5,Definitions!$AR$6,_xlpm._delimiter,1),
IF(_xlpm._countermeasures="",RemoveDelimiter(_xlpm._assumptions,_xlpm._delimiter),_xlpm._assumptions&amp;RemoveDelimiter(_xlpm._countermeasures,_xlpm._delimiter)))</f>
        <v/>
      </c>
      <c r="AH8" s="21" t="str" cm="1">
        <f t="array" ref="AH8">CreateSearchString(SanitizeInput($J8)&amp;GetValuesIgnoreErrors(SanitizeInput($J8),Countermeasures!$A:$G,"",",",FALSE))</f>
        <v/>
      </c>
      <c r="AI8" s="21" t="str" cm="1">
        <f t="array" aca="1" ref="AI8" ca="1">IF(AND(IFERROR(FIND(","&amp;Countermeasures!$A$30&amp;",",$AH8)&gt;0,FALSE),Countermeasures!$AF$30=TRUE,SimpleLookup(Questions!$A$48,Questionnaire!$A:$C)=Definitions!$A$5),$A8&amp;" "&amp;$B8,"")</f>
        <v/>
      </c>
      <c r="AJ8" s="21" cm="1">
        <f t="array" aca="1" ref="AJ8" ca="1">CreateID($AJ$2,$AJ:$AJ,$AI8&lt;&gt;"")</f>
        <v>0</v>
      </c>
      <c r="AK8" s="21" t="str">
        <f t="shared" ca="1" si="2"/>
        <v/>
      </c>
      <c r="AL8" s="21" cm="1">
        <f t="array" aca="1" ref="AL8" ca="1">CreateID($AL$2,$AL:$AL,$AK8&lt;&gt;"")</f>
        <v>0</v>
      </c>
      <c r="AM8" s="21" t="str">
        <f t="shared" si="3"/>
        <v/>
      </c>
      <c r="AN8" s="21" cm="1">
        <f t="array" ref="AN8">CreateID($AN$2,$AN:$AN,$AM8&lt;&gt;"")</f>
        <v>0</v>
      </c>
    </row>
    <row r="9" spans="1:40" ht="45" x14ac:dyDescent="0.25">
      <c r="A9" s="16" t="str" cm="1">
        <f t="array" ref="A9">IF($R9=0,"",INDEX('Attack Steps'!A:A,$R9))</f>
        <v>AS7</v>
      </c>
      <c r="B9" s="16" t="str" cm="1">
        <f t="array" ref="B9">IF($R9=0,"",INDEX('Attack Steps'!B:B,$R9))</f>
        <v>Spoofing / tampering with the product's incoming communication</v>
      </c>
      <c r="C9" s="13">
        <f>3</f>
        <v>3</v>
      </c>
      <c r="D9" s="19" t="str" cm="1">
        <f t="array" aca="1" ref="D9" ca="1">_xlfn.LET(
_xlpm._displayLimit,$C9,
_xlpm._risks,$S9,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9" s="16" t="str" cm="1">
        <f t="array" aca="1" ref="E9" ca="1">_xlfn.LET(_xlpm._riskValue,CalculateMaxFromList($T9,0,Risks!$A:$AJ),
INDEX(Definitions!$AE:$AE,MATCH(_xlpm._riskValue,Definitions!$AF:$AF,0)))</f>
        <v>No Risk</v>
      </c>
      <c r="F9" s="16" t="str" cm="1">
        <f t="array" aca="1" ref="F9" ca="1">IF($A9="","",SUBSTITUTE(RemoveDelimiter(SanitizeInput(SimpleLookup($A9,'Attack Steps'!$A:$AE)),","),",",", "))</f>
        <v>CM11</v>
      </c>
      <c r="G9" s="16" t="str" cm="1">
        <f t="array" aca="1" ref="G9" ca="1">IF($A9="","",SUBSTITUTE(RemoveDelimiter(SanitizeInput(SimpleLookup($A9,'Attack Steps'!$A:$AF)),","),",",", "))</f>
        <v/>
      </c>
      <c r="H9" s="79" t="str" cm="1">
        <f t="array" aca="1" ref="H9" ca="1">IF($A9="","",_xlfn.LET(
_xlpm._proposedActive,SanitizeInput($G9),
_xlpm._proposedAll,SimpleLookup($A9,'Attack Steps'!$A:$AG),
_xlpm._proposedDiff,FilterElementsFromList(_xlpm._proposedAll,_xlpm._proposedActive,FALSE,","),
SUBSTITUTE(RemoveDelimiter(SanitizeInput(_xlpm._proposedDiff),","),",",", ")))</f>
        <v/>
      </c>
      <c r="I9" s="16" t="str" cm="1">
        <f t="array" aca="1" ref="I9" ca="1">RemoveDelimiter(GetValuesWithFallback(SanitizeInput($F9)&amp;SanitizeInput($G9)&amp;SanitizeInput($H9),Countermeasures!$A:$B,Assumptions!$A:$B," ",","&amp;CHAR(10),TRUE),","&amp;CHAR(10))</f>
        <v>CM11 SCR 2.9 - Secure channel with communication partner authentication</v>
      </c>
      <c r="J9" s="13"/>
      <c r="K9" s="16" t="str" cm="1">
        <f t="array" ref="K9">RemoveDelimiter(GetValuesWithFallback(SanitizeInput($J9),Countermeasures!$A:$B,Assumptions!$A:$B," ",","&amp;CHAR(10),TRUE),","&amp;CHAR(10))</f>
        <v/>
      </c>
      <c r="L9" s="13">
        <f>3</f>
        <v>3</v>
      </c>
      <c r="M9" s="19" t="str" cm="1">
        <f t="array" aca="1" ref="M9" ca="1">_xlfn.LET(
_xlpm._displayLimit,$L9,
_xlpm._risks,$V9,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9" s="16" t="str">
        <f ca="1">INDEX(Definitions!$AE:$AE,MATCH($W9,Definitions!$AF:$AF,0))</f>
        <v>No Risk</v>
      </c>
      <c r="O9" s="13"/>
      <c r="P9" s="10" cm="1">
        <f t="array" ref="P9">GenerateShadowID(ROW(),$P$2,$P:$P,0,$A9&lt;&gt;"")</f>
        <v>7</v>
      </c>
      <c r="Q9" s="10" cm="1">
        <f t="array" ref="Q9">CreateTaskID($Q$2,$Q:$Q,Tasks!$B$17,$O9)</f>
        <v>0</v>
      </c>
      <c r="R9" s="10">
        <f>IFERROR(MATCH(ROW()-ROW($R$2),'Attack Steps'!$Q:$Q,0),0)</f>
        <v>9</v>
      </c>
      <c r="S9" s="10" t="str" cm="1">
        <f t="array" aca="1" ref="S9" ca="1">CalculateMaxAndElements($T9,0,"",Risks!$A:$AJ)</f>
        <v>0:</v>
      </c>
      <c r="T9" s="10" t="str" cm="1">
        <f t="array" aca="1" ref="T9" ca="1">InverseLookup($A9,Risks!$AI$2,Risks!$A$2,1,Helper!$B$1,",")</f>
        <v/>
      </c>
      <c r="U9" s="10" t="str">
        <f t="shared" ca="1" si="0"/>
        <v/>
      </c>
      <c r="V9" s="10" t="str" cm="1">
        <f t="array" aca="1" ref="V9" ca="1">CalculateMaxAndElements($T9,0,"",Risks!$A:$BK)</f>
        <v>0:</v>
      </c>
      <c r="W9" s="21">
        <f t="shared" ca="1" si="1"/>
        <v>0</v>
      </c>
      <c r="X9" s="21" t="str" cm="1">
        <f t="array" ref="X9">IF($J9="","",","&amp;SanitizeInput($J9))</f>
        <v/>
      </c>
      <c r="Y9" s="21" t="b" cm="1">
        <f t="array" aca="1" ref="Y9" ca="1">INDEX('Attack Steps'!$AI:$AI,$R9)</f>
        <v>0</v>
      </c>
      <c r="Z9" s="21" cm="1">
        <f t="array" ref="Z9">CreateID($Z$2,$Z:$Z,IFERROR(FIND(Definitions!$AR$4,$O9)&gt;0,FALSE))</f>
        <v>0</v>
      </c>
      <c r="AA9" s="21">
        <f>_xlfn.LET(
_xlpm._comment,$O9,
_xlpm._keyWord,Definitions!$AR$4,
_xlpm._diffLen,LEN(_xlpm._comment)-LEN(SUBSTITUTE(_xlpm._comment,_xlpm._keyWord,"")),
_xlpm._diffLen/LEN(_xlpm._keyWord))</f>
        <v>0</v>
      </c>
      <c r="AB9" s="21" cm="1">
        <f t="array" ref="AB9">CreateID($AB$2,$AB:$AB,IFERROR(FIND(Definitions!$AR$5,$O9)&gt;0,FALSE))</f>
        <v>0</v>
      </c>
      <c r="AC9" s="21">
        <f>_xlfn.LET(
_xlpm._comment,$O9,
_xlpm._keyWord,Definitions!$AR$5,
_xlpm._diffLen,LEN(_xlpm._comment)-LEN(SUBSTITUTE(_xlpm._comment,_xlpm._keyWord,"")),
_xlpm._diffLen/LEN(_xlpm._keyWord))</f>
        <v>0</v>
      </c>
      <c r="AD9" s="21" t="str" cm="1">
        <f t="array" ref="AD9">CreateSearchString($J9)</f>
        <v/>
      </c>
      <c r="AE9" s="21" t="str" cm="1">
        <f t="array" aca="1" ref="AE9" ca="1">_xlfn.LET(
_xlpm._selected,SanitizeInput($J9),
_xlpm._catalogOptions,SanitizeInput($F9)&amp;SanitizeInput($G9)&amp;SanitizeInput($H9),
_xlpm._selectedNotInOptions,FilterElementsFromList(_xlpm._selected,_xlpm._catalogOptions,FALSE,","),
IF(_xlpm._selectedNotInOptions="","",$A9&amp;" "&amp;$B9&amp;": "&amp;SUBSTITUTE(RemoveDelimiter(_xlpm._selectedNotInOptions,","),",",", ")))</f>
        <v/>
      </c>
      <c r="AF9" s="21" cm="1">
        <f t="array" aca="1" ref="AF9" ca="1">CreateID($AF$2,$AF:$AF,$AE9&lt;&gt;"")</f>
        <v>0</v>
      </c>
      <c r="AG9" s="21" t="str" cm="1">
        <f t="array" ref="AG9">_xlfn.LET(
_xlpm._delimiter,","&amp;CHAR(10),
_xlpm._assumptions,ParseAllMitigationsFromComment($A9,"-","A",$O9,Definitions!$AR$4,Definitions!$AS$4,Definitions!$AR$6,_xlpm._delimiter,1),
_xlpm._countermeasures,ParseAllMitigationsFromComment($A9,"-","C",$O9,Definitions!$AR$5,Definitions!$AS$5,Definitions!$AR$6,_xlpm._delimiter,1),
IF(_xlpm._countermeasures="",RemoveDelimiter(_xlpm._assumptions,_xlpm._delimiter),_xlpm._assumptions&amp;RemoveDelimiter(_xlpm._countermeasures,_xlpm._delimiter)))</f>
        <v/>
      </c>
      <c r="AH9" s="21" t="str" cm="1">
        <f t="array" ref="AH9">CreateSearchString(SanitizeInput($J9)&amp;GetValuesIgnoreErrors(SanitizeInput($J9),Countermeasures!$A:$G,"",",",FALSE))</f>
        <v/>
      </c>
      <c r="AI9" s="21" t="str" cm="1">
        <f t="array" aca="1" ref="AI9" ca="1">IF(AND(IFERROR(FIND(","&amp;Countermeasures!$A$30&amp;",",$AH9)&gt;0,FALSE),Countermeasures!$AF$30=TRUE,SimpleLookup(Questions!$A$48,Questionnaire!$A:$C)=Definitions!$A$5),$A9&amp;" "&amp;$B9,"")</f>
        <v/>
      </c>
      <c r="AJ9" s="21" cm="1">
        <f t="array" aca="1" ref="AJ9" ca="1">CreateID($AJ$2,$AJ:$AJ,$AI9&lt;&gt;"")</f>
        <v>0</v>
      </c>
      <c r="AK9" s="21" t="str">
        <f t="shared" ca="1" si="2"/>
        <v/>
      </c>
      <c r="AL9" s="21" cm="1">
        <f t="array" aca="1" ref="AL9" ca="1">CreateID($AL$2,$AL:$AL,$AK9&lt;&gt;"")</f>
        <v>0</v>
      </c>
      <c r="AM9" s="21" t="str">
        <f t="shared" si="3"/>
        <v/>
      </c>
      <c r="AN9" s="21" cm="1">
        <f t="array" ref="AN9">CreateID($AN$2,$AN:$AN,$AM9&lt;&gt;"")</f>
        <v>0</v>
      </c>
    </row>
    <row r="10" spans="1:40" ht="60" x14ac:dyDescent="0.25">
      <c r="A10" s="16" t="str" cm="1">
        <f t="array" ref="A10">IF($R10=0,"",INDEX('Attack Steps'!A:A,$R10))</f>
        <v>AS8</v>
      </c>
      <c r="B10" s="16" t="str" cm="1">
        <f t="array" ref="B10">IF($R10=0,"",INDEX('Attack Steps'!B:B,$R10))</f>
        <v>Disrupting the product's communication over the wireless network</v>
      </c>
      <c r="C10" s="13">
        <f>3</f>
        <v>3</v>
      </c>
      <c r="D10" s="19" t="str" cm="1">
        <f t="array" aca="1" ref="D10" ca="1">_xlfn.LET(
_xlpm._displayLimit,$C10,
_xlpm._risks,$S10,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0" s="16" t="str" cm="1">
        <f t="array" aca="1" ref="E10" ca="1">_xlfn.LET(_xlpm._riskValue,CalculateMaxFromList($T10,0,Risks!$A:$AJ),
INDEX(Definitions!$AE:$AE,MATCH(_xlpm._riskValue,Definitions!$AF:$AF,0)))</f>
        <v>No Risk</v>
      </c>
      <c r="F10" s="16" t="str" cm="1">
        <f t="array" aca="1" ref="F10" ca="1">IF($A10="","",SUBSTITUTE(RemoveDelimiter(SanitizeInput(SimpleLookup($A10,'Attack Steps'!$A:$AE)),","),",",", "))</f>
        <v/>
      </c>
      <c r="G10" s="16" t="str" cm="1">
        <f t="array" aca="1" ref="G10" ca="1">IF($A10="","",SUBSTITUTE(RemoveDelimiter(SanitizeInput(SimpleLookup($A10,'Attack Steps'!$A:$AF)),","),",",", "))</f>
        <v/>
      </c>
      <c r="H10" s="79" t="str" cm="1">
        <f t="array" aca="1" ref="H10" ca="1">IF($A10="","",_xlfn.LET(
_xlpm._proposedActive,SanitizeInput($G10),
_xlpm._proposedAll,SimpleLookup($A10,'Attack Steps'!$A:$AG),
_xlpm._proposedDiff,FilterElementsFromList(_xlpm._proposedAll,_xlpm._proposedActive,FALSE,","),
SUBSTITUTE(RemoveDelimiter(SanitizeInput(_xlpm._proposedDiff),","),",",", ")))</f>
        <v>A29</v>
      </c>
      <c r="I10" s="16" t="str" cm="1">
        <f t="array" aca="1" ref="I10" ca="1">RemoveDelimiter(GetValuesWithFallback(SanitizeInput($F10)&amp;SanitizeInput($G10)&amp;SanitizeInput($H10),Countermeasures!$A:$B,Assumptions!$A:$B," ",","&amp;CHAR(10),TRUE),","&amp;CHAR(10))</f>
        <v>A29 SDR 1.26 - The customer ensures that a loss of wireless communication with the product is manageable</v>
      </c>
      <c r="J10" s="13"/>
      <c r="K10" s="16" t="str" cm="1">
        <f t="array" ref="K10">RemoveDelimiter(GetValuesWithFallback(SanitizeInput($J10),Countermeasures!$A:$B,Assumptions!$A:$B," ",","&amp;CHAR(10),TRUE),","&amp;CHAR(10))</f>
        <v/>
      </c>
      <c r="L10" s="13">
        <f>3</f>
        <v>3</v>
      </c>
      <c r="M10" s="19" t="str" cm="1">
        <f t="array" aca="1" ref="M10" ca="1">_xlfn.LET(
_xlpm._displayLimit,$L10,
_xlpm._risks,$V10,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0" s="16" t="str">
        <f ca="1">INDEX(Definitions!$AE:$AE,MATCH($W10,Definitions!$AF:$AF,0))</f>
        <v>No Risk</v>
      </c>
      <c r="O10" s="13"/>
      <c r="P10" s="10" cm="1">
        <f t="array" ref="P10">GenerateShadowID(ROW(),$P$2,$P:$P,0,$A10&lt;&gt;"")</f>
        <v>8</v>
      </c>
      <c r="Q10" s="10" cm="1">
        <f t="array" ref="Q10">CreateTaskID($Q$2,$Q:$Q,Tasks!$B$17,$O10)</f>
        <v>0</v>
      </c>
      <c r="R10" s="10">
        <f>IFERROR(MATCH(ROW()-ROW($R$2),'Attack Steps'!$Q:$Q,0),0)</f>
        <v>10</v>
      </c>
      <c r="S10" s="10" t="str" cm="1">
        <f t="array" aca="1" ref="S10" ca="1">CalculateMaxAndElements($T10,0,"",Risks!$A:$AJ)</f>
        <v>0:</v>
      </c>
      <c r="T10" s="10" t="str" cm="1">
        <f t="array" aca="1" ref="T10" ca="1">InverseLookup($A10,Risks!$AI$2,Risks!$A$2,1,Helper!$B$1,",")</f>
        <v/>
      </c>
      <c r="U10" s="10" t="str">
        <f t="shared" ca="1" si="0"/>
        <v/>
      </c>
      <c r="V10" s="10" t="str" cm="1">
        <f t="array" aca="1" ref="V10" ca="1">CalculateMaxAndElements($T10,0,"",Risks!$A:$BK)</f>
        <v>0:</v>
      </c>
      <c r="W10" s="21">
        <f t="shared" ca="1" si="1"/>
        <v>0</v>
      </c>
      <c r="X10" s="21" t="str" cm="1">
        <f t="array" ref="X10">IF($J10="","",","&amp;SanitizeInput($J10))</f>
        <v/>
      </c>
      <c r="Y10" s="21" t="b" cm="1">
        <f t="array" aca="1" ref="Y10" ca="1">INDEX('Attack Steps'!$AI:$AI,$R10)</f>
        <v>0</v>
      </c>
      <c r="Z10" s="21" cm="1">
        <f t="array" ref="Z10">CreateID($Z$2,$Z:$Z,IFERROR(FIND(Definitions!$AR$4,$O10)&gt;0,FALSE))</f>
        <v>0</v>
      </c>
      <c r="AA10" s="21">
        <f>_xlfn.LET(
_xlpm._comment,$O10,
_xlpm._keyWord,Definitions!$AR$4,
_xlpm._diffLen,LEN(_xlpm._comment)-LEN(SUBSTITUTE(_xlpm._comment,_xlpm._keyWord,"")),
_xlpm._diffLen/LEN(_xlpm._keyWord))</f>
        <v>0</v>
      </c>
      <c r="AB10" s="21" cm="1">
        <f t="array" ref="AB10">CreateID($AB$2,$AB:$AB,IFERROR(FIND(Definitions!$AR$5,$O10)&gt;0,FALSE))</f>
        <v>0</v>
      </c>
      <c r="AC10" s="21">
        <f>_xlfn.LET(
_xlpm._comment,$O10,
_xlpm._keyWord,Definitions!$AR$5,
_xlpm._diffLen,LEN(_xlpm._comment)-LEN(SUBSTITUTE(_xlpm._comment,_xlpm._keyWord,"")),
_xlpm._diffLen/LEN(_xlpm._keyWord))</f>
        <v>0</v>
      </c>
      <c r="AD10" s="21" t="str" cm="1">
        <f t="array" ref="AD10">CreateSearchString($J10)</f>
        <v/>
      </c>
      <c r="AE10" s="21" t="str" cm="1">
        <f t="array" aca="1" ref="AE10" ca="1">_xlfn.LET(
_xlpm._selected,SanitizeInput($J10),
_xlpm._catalogOptions,SanitizeInput($F10)&amp;SanitizeInput($G10)&amp;SanitizeInput($H10),
_xlpm._selectedNotInOptions,FilterElementsFromList(_xlpm._selected,_xlpm._catalogOptions,FALSE,","),
IF(_xlpm._selectedNotInOptions="","",$A10&amp;" "&amp;$B10&amp;": "&amp;SUBSTITUTE(RemoveDelimiter(_xlpm._selectedNotInOptions,","),",",", ")))</f>
        <v/>
      </c>
      <c r="AF10" s="21" cm="1">
        <f t="array" aca="1" ref="AF10" ca="1">CreateID($AF$2,$AF:$AF,$AE10&lt;&gt;"")</f>
        <v>0</v>
      </c>
      <c r="AG10" s="21" t="str" cm="1">
        <f t="array" ref="AG10">_xlfn.LET(
_xlpm._delimiter,","&amp;CHAR(10),
_xlpm._assumptions,ParseAllMitigationsFromComment($A10,"-","A",$O10,Definitions!$AR$4,Definitions!$AS$4,Definitions!$AR$6,_xlpm._delimiter,1),
_xlpm._countermeasures,ParseAllMitigationsFromComment($A10,"-","C",$O10,Definitions!$AR$5,Definitions!$AS$5,Definitions!$AR$6,_xlpm._delimiter,1),
IF(_xlpm._countermeasures="",RemoveDelimiter(_xlpm._assumptions,_xlpm._delimiter),_xlpm._assumptions&amp;RemoveDelimiter(_xlpm._countermeasures,_xlpm._delimiter)))</f>
        <v/>
      </c>
      <c r="AH10" s="21" t="str" cm="1">
        <f t="array" ref="AH10">CreateSearchString(SanitizeInput($J10)&amp;GetValuesIgnoreErrors(SanitizeInput($J10),Countermeasures!$A:$G,"",",",FALSE))</f>
        <v/>
      </c>
      <c r="AI10" s="21" t="str" cm="1">
        <f t="array" aca="1" ref="AI10" ca="1">IF(AND(IFERROR(FIND(","&amp;Countermeasures!$A$30&amp;",",$AH10)&gt;0,FALSE),Countermeasures!$AF$30=TRUE,SimpleLookup(Questions!$A$48,Questionnaire!$A:$C)=Definitions!$A$5),$A10&amp;" "&amp;$B10,"")</f>
        <v/>
      </c>
      <c r="AJ10" s="21" cm="1">
        <f t="array" aca="1" ref="AJ10" ca="1">CreateID($AJ$2,$AJ:$AJ,$AI10&lt;&gt;"")</f>
        <v>0</v>
      </c>
      <c r="AK10" s="21" t="str">
        <f t="shared" ca="1" si="2"/>
        <v/>
      </c>
      <c r="AL10" s="21" cm="1">
        <f t="array" aca="1" ref="AL10" ca="1">CreateID($AL$2,$AL:$AL,$AK10&lt;&gt;"")</f>
        <v>0</v>
      </c>
      <c r="AM10" s="21" t="str">
        <f t="shared" si="3"/>
        <v/>
      </c>
      <c r="AN10" s="21" cm="1">
        <f t="array" ref="AN10">CreateID($AN$2,$AN:$AN,$AM10&lt;&gt;"")</f>
        <v>0</v>
      </c>
    </row>
    <row r="11" spans="1:40" ht="30" x14ac:dyDescent="0.25">
      <c r="A11" s="16" t="str" cm="1">
        <f t="array" ref="A11">IF($R11=0,"",INDEX('Attack Steps'!A:A,$R11))</f>
        <v>AS9</v>
      </c>
      <c r="B11" s="16" t="str" cm="1">
        <f t="array" ref="B11">IF($R11=0,"",INDEX('Attack Steps'!B:B,$R11))</f>
        <v>Attacking the product's internal gateway from the Internet</v>
      </c>
      <c r="C11" s="13">
        <f>3</f>
        <v>3</v>
      </c>
      <c r="D11" s="19" t="str" cm="1">
        <f t="array" aca="1" ref="D11" ca="1">_xlfn.LET(
_xlpm._displayLimit,$C11,
_xlpm._risks,$S11,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1" s="16" t="str" cm="1">
        <f t="array" aca="1" ref="E11" ca="1">_xlfn.LET(_xlpm._riskValue,CalculateMaxFromList($T11,0,Risks!$A:$AJ),
INDEX(Definitions!$AE:$AE,MATCH(_xlpm._riskValue,Definitions!$AF:$AF,0)))</f>
        <v>No Risk</v>
      </c>
      <c r="F11" s="16" t="str" cm="1">
        <f t="array" aca="1" ref="F11" ca="1">IF($A11="","",SUBSTITUTE(RemoveDelimiter(SanitizeInput(SimpleLookup($A11,'Attack Steps'!$A:$AE)),","),",",", "))</f>
        <v>CM1</v>
      </c>
      <c r="G11" s="16" t="str" cm="1">
        <f t="array" aca="1" ref="G11" ca="1">IF($A11="","",SUBSTITUTE(RemoveDelimiter(SanitizeInput(SimpleLookup($A11,'Attack Steps'!$A:$AF)),","),",",", "))</f>
        <v/>
      </c>
      <c r="H11" s="79" t="str" cm="1">
        <f t="array" aca="1" ref="H11" ca="1">IF($A11="","",_xlfn.LET(
_xlpm._proposedActive,SanitizeInput($G11),
_xlpm._proposedAll,SimpleLookup($A11,'Attack Steps'!$A:$AG),
_xlpm._proposedDiff,FilterElementsFromList(_xlpm._proposedAll,_xlpm._proposedActive,FALSE,","),
SUBSTITUTE(RemoveDelimiter(SanitizeInput(_xlpm._proposedDiff),","),",",", ")))</f>
        <v/>
      </c>
      <c r="I11" s="16" t="str" cm="1">
        <f t="array" aca="1" ref="I11" ca="1">RemoveDelimiter(GetValuesWithFallback(SanitizeInput($F11)&amp;SanitizeInput($G11)&amp;SanitizeInput($H11),Countermeasures!$A:$B,Assumptions!$A:$B," ",","&amp;CHAR(10),TRUE),","&amp;CHAR(10))</f>
        <v>CM1 SCR 2.1 - Device Firewall</v>
      </c>
      <c r="J11" s="13"/>
      <c r="K11" s="16" t="str" cm="1">
        <f t="array" ref="K11">RemoveDelimiter(GetValuesWithFallback(SanitizeInput($J11),Countermeasures!$A:$B,Assumptions!$A:$B," ",","&amp;CHAR(10),TRUE),","&amp;CHAR(10))</f>
        <v/>
      </c>
      <c r="L11" s="13">
        <f>3</f>
        <v>3</v>
      </c>
      <c r="M11" s="19" t="str" cm="1">
        <f t="array" aca="1" ref="M11" ca="1">_xlfn.LET(
_xlpm._displayLimit,$L11,
_xlpm._risks,$V11,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1" s="16" t="str">
        <f ca="1">INDEX(Definitions!$AE:$AE,MATCH($W11,Definitions!$AF:$AF,0))</f>
        <v>No Risk</v>
      </c>
      <c r="O11" s="13"/>
      <c r="P11" s="10" cm="1">
        <f t="array" ref="P11">GenerateShadowID(ROW(),$P$2,$P:$P,0,$A11&lt;&gt;"")</f>
        <v>9</v>
      </c>
      <c r="Q11" s="10" cm="1">
        <f t="array" ref="Q11">CreateTaskID($Q$2,$Q:$Q,Tasks!$B$17,$O11)</f>
        <v>0</v>
      </c>
      <c r="R11" s="10">
        <f>IFERROR(MATCH(ROW()-ROW($R$2),'Attack Steps'!$Q:$Q,0),0)</f>
        <v>11</v>
      </c>
      <c r="S11" s="10" t="str" cm="1">
        <f t="array" aca="1" ref="S11" ca="1">CalculateMaxAndElements($T11,0,"",Risks!$A:$AJ)</f>
        <v>0:</v>
      </c>
      <c r="T11" s="10" t="str" cm="1">
        <f t="array" aca="1" ref="T11" ca="1">InverseLookup($A11,Risks!$AI$2,Risks!$A$2,1,Helper!$B$1,",")</f>
        <v/>
      </c>
      <c r="U11" s="10" t="str">
        <f t="shared" ca="1" si="0"/>
        <v/>
      </c>
      <c r="V11" s="10" t="str" cm="1">
        <f t="array" aca="1" ref="V11" ca="1">CalculateMaxAndElements($T11,0,"",Risks!$A:$BK)</f>
        <v>0:</v>
      </c>
      <c r="W11" s="21">
        <f t="shared" ca="1" si="1"/>
        <v>0</v>
      </c>
      <c r="X11" s="21" t="str" cm="1">
        <f t="array" ref="X11">IF($J11="","",","&amp;SanitizeInput($J11))</f>
        <v/>
      </c>
      <c r="Y11" s="21" t="b" cm="1">
        <f t="array" aca="1" ref="Y11" ca="1">INDEX('Attack Steps'!$AI:$AI,$R11)</f>
        <v>0</v>
      </c>
      <c r="Z11" s="21" cm="1">
        <f t="array" ref="Z11">CreateID($Z$2,$Z:$Z,IFERROR(FIND(Definitions!$AR$4,$O11)&gt;0,FALSE))</f>
        <v>0</v>
      </c>
      <c r="AA11" s="21">
        <f>_xlfn.LET(
_xlpm._comment,$O11,
_xlpm._keyWord,Definitions!$AR$4,
_xlpm._diffLen,LEN(_xlpm._comment)-LEN(SUBSTITUTE(_xlpm._comment,_xlpm._keyWord,"")),
_xlpm._diffLen/LEN(_xlpm._keyWord))</f>
        <v>0</v>
      </c>
      <c r="AB11" s="21" cm="1">
        <f t="array" ref="AB11">CreateID($AB$2,$AB:$AB,IFERROR(FIND(Definitions!$AR$5,$O11)&gt;0,FALSE))</f>
        <v>0</v>
      </c>
      <c r="AC11" s="21">
        <f>_xlfn.LET(
_xlpm._comment,$O11,
_xlpm._keyWord,Definitions!$AR$5,
_xlpm._diffLen,LEN(_xlpm._comment)-LEN(SUBSTITUTE(_xlpm._comment,_xlpm._keyWord,"")),
_xlpm._diffLen/LEN(_xlpm._keyWord))</f>
        <v>0</v>
      </c>
      <c r="AD11" s="21" t="str" cm="1">
        <f t="array" ref="AD11">CreateSearchString($J11)</f>
        <v/>
      </c>
      <c r="AE11" s="21" t="str" cm="1">
        <f t="array" aca="1" ref="AE11" ca="1">_xlfn.LET(
_xlpm._selected,SanitizeInput($J11),
_xlpm._catalogOptions,SanitizeInput($F11)&amp;SanitizeInput($G11)&amp;SanitizeInput($H11),
_xlpm._selectedNotInOptions,FilterElementsFromList(_xlpm._selected,_xlpm._catalogOptions,FALSE,","),
IF(_xlpm._selectedNotInOptions="","",$A11&amp;" "&amp;$B11&amp;": "&amp;SUBSTITUTE(RemoveDelimiter(_xlpm._selectedNotInOptions,","),",",", ")))</f>
        <v/>
      </c>
      <c r="AF11" s="21" cm="1">
        <f t="array" aca="1" ref="AF11" ca="1">CreateID($AF$2,$AF:$AF,$AE11&lt;&gt;"")</f>
        <v>0</v>
      </c>
      <c r="AG11" s="21" t="str" cm="1">
        <f t="array" ref="AG11">_xlfn.LET(
_xlpm._delimiter,","&amp;CHAR(10),
_xlpm._assumptions,ParseAllMitigationsFromComment($A11,"-","A",$O11,Definitions!$AR$4,Definitions!$AS$4,Definitions!$AR$6,_xlpm._delimiter,1),
_xlpm._countermeasures,ParseAllMitigationsFromComment($A11,"-","C",$O11,Definitions!$AR$5,Definitions!$AS$5,Definitions!$AR$6,_xlpm._delimiter,1),
IF(_xlpm._countermeasures="",RemoveDelimiter(_xlpm._assumptions,_xlpm._delimiter),_xlpm._assumptions&amp;RemoveDelimiter(_xlpm._countermeasures,_xlpm._delimiter)))</f>
        <v/>
      </c>
      <c r="AH11" s="21" t="str" cm="1">
        <f t="array" ref="AH11">CreateSearchString(SanitizeInput($J11)&amp;GetValuesIgnoreErrors(SanitizeInput($J11),Countermeasures!$A:$G,"",",",FALSE))</f>
        <v/>
      </c>
      <c r="AI11" s="21" t="str" cm="1">
        <f t="array" aca="1" ref="AI11" ca="1">IF(AND(IFERROR(FIND(","&amp;Countermeasures!$A$30&amp;",",$AH11)&gt;0,FALSE),Countermeasures!$AF$30=TRUE,SimpleLookup(Questions!$A$48,Questionnaire!$A:$C)=Definitions!$A$5),$A11&amp;" "&amp;$B11,"")</f>
        <v/>
      </c>
      <c r="AJ11" s="21" cm="1">
        <f t="array" aca="1" ref="AJ11" ca="1">CreateID($AJ$2,$AJ:$AJ,$AI11&lt;&gt;"")</f>
        <v>0</v>
      </c>
      <c r="AK11" s="21" t="str">
        <f t="shared" ca="1" si="2"/>
        <v/>
      </c>
      <c r="AL11" s="21" cm="1">
        <f t="array" aca="1" ref="AL11" ca="1">CreateID($AL$2,$AL:$AL,$AK11&lt;&gt;"")</f>
        <v>0</v>
      </c>
      <c r="AM11" s="21" t="str">
        <f t="shared" si="3"/>
        <v/>
      </c>
      <c r="AN11" s="21" cm="1">
        <f t="array" ref="AN11">CreateID($AN$2,$AN:$AN,$AM11&lt;&gt;"")</f>
        <v>0</v>
      </c>
    </row>
    <row r="12" spans="1:40" ht="30" x14ac:dyDescent="0.25">
      <c r="A12" s="16" t="str" cm="1">
        <f t="array" ref="A12">IF($R12=0,"",INDEX('Attack Steps'!A:A,$R12))</f>
        <v>AS10</v>
      </c>
      <c r="B12" s="16" t="str" cm="1">
        <f t="array" ref="B12">IF($R12=0,"",INDEX('Attack Steps'!B:B,$R12))</f>
        <v>Attacking devices in the customer's network</v>
      </c>
      <c r="C12" s="13">
        <f>3</f>
        <v>3</v>
      </c>
      <c r="D12" s="19" t="str" cm="1">
        <f t="array" aca="1" ref="D12" ca="1">_xlfn.LET(
_xlpm._displayLimit,$C12,
_xlpm._risks,$S12,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2" s="16" t="str" cm="1">
        <f t="array" aca="1" ref="E12" ca="1">_xlfn.LET(_xlpm._riskValue,CalculateMaxFromList($T12,0,Risks!$A:$AJ),
INDEX(Definitions!$AE:$AE,MATCH(_xlpm._riskValue,Definitions!$AF:$AF,0)))</f>
        <v>No Risk</v>
      </c>
      <c r="F12" s="16" t="str" cm="1">
        <f t="array" aca="1" ref="F12" ca="1">IF($A12="","",SUBSTITUTE(RemoveDelimiter(SanitizeInput(SimpleLookup($A12,'Attack Steps'!$A:$AE)),","),",",", "))</f>
        <v/>
      </c>
      <c r="G12" s="16" t="str" cm="1">
        <f t="array" aca="1" ref="G12" ca="1">IF($A12="","",SUBSTITUTE(RemoveDelimiter(SanitizeInput(SimpleLookup($A12,'Attack Steps'!$A:$AF)),","),",",", "))</f>
        <v/>
      </c>
      <c r="H12" s="79" t="str" cm="1">
        <f t="array" aca="1" ref="H12" ca="1">IF($A12="","",_xlfn.LET(
_xlpm._proposedActive,SanitizeInput($G12),
_xlpm._proposedAll,SimpleLookup($A12,'Attack Steps'!$A:$AG),
_xlpm._proposedDiff,FilterElementsFromList(_xlpm._proposedAll,_xlpm._proposedActive,FALSE,","),
SUBSTITUTE(RemoveDelimiter(SanitizeInput(_xlpm._proposedDiff),","),",",", ")))</f>
        <v/>
      </c>
      <c r="I12" s="16" t="str" cm="1">
        <f t="array" aca="1" ref="I12" ca="1">RemoveDelimiter(GetValuesWithFallback(SanitizeInput($F12)&amp;SanitizeInput($G12)&amp;SanitizeInput($H12),Countermeasures!$A:$B,Assumptions!$A:$B," ",","&amp;CHAR(10),TRUE),","&amp;CHAR(10))</f>
        <v/>
      </c>
      <c r="J12" s="13"/>
      <c r="K12" s="16" t="str" cm="1">
        <f t="array" ref="K12">RemoveDelimiter(GetValuesWithFallback(SanitizeInput($J12),Countermeasures!$A:$B,Assumptions!$A:$B," ",","&amp;CHAR(10),TRUE),","&amp;CHAR(10))</f>
        <v/>
      </c>
      <c r="L12" s="13">
        <f>3</f>
        <v>3</v>
      </c>
      <c r="M12" s="19" t="str" cm="1">
        <f t="array" aca="1" ref="M12" ca="1">_xlfn.LET(
_xlpm._displayLimit,$L12,
_xlpm._risks,$V12,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2" s="16" t="str">
        <f ca="1">INDEX(Definitions!$AE:$AE,MATCH($W12,Definitions!$AF:$AF,0))</f>
        <v>No Risk</v>
      </c>
      <c r="O12" s="13"/>
      <c r="P12" s="10" cm="1">
        <f t="array" ref="P12">GenerateShadowID(ROW(),$P$2,$P:$P,0,$A12&lt;&gt;"")</f>
        <v>10</v>
      </c>
      <c r="Q12" s="10" cm="1">
        <f t="array" ref="Q12">CreateTaskID($Q$2,$Q:$Q,Tasks!$B$17,$O12)</f>
        <v>0</v>
      </c>
      <c r="R12" s="10">
        <f>IFERROR(MATCH(ROW()-ROW($R$2),'Attack Steps'!$Q:$Q,0),0)</f>
        <v>12</v>
      </c>
      <c r="S12" s="10" t="str" cm="1">
        <f t="array" aca="1" ref="S12" ca="1">CalculateMaxAndElements($T12,0,"",Risks!$A:$AJ)</f>
        <v>0:</v>
      </c>
      <c r="T12" s="10" t="str" cm="1">
        <f t="array" aca="1" ref="T12" ca="1">InverseLookup($A12,Risks!$AI$2,Risks!$A$2,1,Helper!$B$1,",")</f>
        <v/>
      </c>
      <c r="U12" s="10" t="str">
        <f t="shared" ca="1" si="0"/>
        <v/>
      </c>
      <c r="V12" s="10" t="str" cm="1">
        <f t="array" aca="1" ref="V12" ca="1">CalculateMaxAndElements($T12,0,"",Risks!$A:$BK)</f>
        <v>0:</v>
      </c>
      <c r="W12" s="21">
        <f t="shared" ca="1" si="1"/>
        <v>0</v>
      </c>
      <c r="X12" s="21" t="str" cm="1">
        <f t="array" ref="X12">IF($J12="","",","&amp;SanitizeInput($J12))</f>
        <v/>
      </c>
      <c r="Y12" s="21" t="b" cm="1">
        <f t="array" aca="1" ref="Y12" ca="1">INDEX('Attack Steps'!$AI:$AI,$R12)</f>
        <v>0</v>
      </c>
      <c r="Z12" s="21" cm="1">
        <f t="array" ref="Z12">CreateID($Z$2,$Z:$Z,IFERROR(FIND(Definitions!$AR$4,$O12)&gt;0,FALSE))</f>
        <v>0</v>
      </c>
      <c r="AA12" s="21">
        <f>_xlfn.LET(
_xlpm._comment,$O12,
_xlpm._keyWord,Definitions!$AR$4,
_xlpm._diffLen,LEN(_xlpm._comment)-LEN(SUBSTITUTE(_xlpm._comment,_xlpm._keyWord,"")),
_xlpm._diffLen/LEN(_xlpm._keyWord))</f>
        <v>0</v>
      </c>
      <c r="AB12" s="21" cm="1">
        <f t="array" ref="AB12">CreateID($AB$2,$AB:$AB,IFERROR(FIND(Definitions!$AR$5,$O12)&gt;0,FALSE))</f>
        <v>0</v>
      </c>
      <c r="AC12" s="21">
        <f>_xlfn.LET(
_xlpm._comment,$O12,
_xlpm._keyWord,Definitions!$AR$5,
_xlpm._diffLen,LEN(_xlpm._comment)-LEN(SUBSTITUTE(_xlpm._comment,_xlpm._keyWord,"")),
_xlpm._diffLen/LEN(_xlpm._keyWord))</f>
        <v>0</v>
      </c>
      <c r="AD12" s="21" t="str" cm="1">
        <f t="array" ref="AD12">CreateSearchString($J12)</f>
        <v/>
      </c>
      <c r="AE12" s="21" t="str" cm="1">
        <f t="array" aca="1" ref="AE12" ca="1">_xlfn.LET(
_xlpm._selected,SanitizeInput($J12),
_xlpm._catalogOptions,SanitizeInput($F12)&amp;SanitizeInput($G12)&amp;SanitizeInput($H12),
_xlpm._selectedNotInOptions,FilterElementsFromList(_xlpm._selected,_xlpm._catalogOptions,FALSE,","),
IF(_xlpm._selectedNotInOptions="","",$A12&amp;" "&amp;$B12&amp;": "&amp;SUBSTITUTE(RemoveDelimiter(_xlpm._selectedNotInOptions,","),",",", ")))</f>
        <v/>
      </c>
      <c r="AF12" s="21" cm="1">
        <f t="array" aca="1" ref="AF12" ca="1">CreateID($AF$2,$AF:$AF,$AE12&lt;&gt;"")</f>
        <v>0</v>
      </c>
      <c r="AG12" s="21" t="str" cm="1">
        <f t="array" ref="AG12">_xlfn.LET(
_xlpm._delimiter,","&amp;CHAR(10),
_xlpm._assumptions,ParseAllMitigationsFromComment($A12,"-","A",$O12,Definitions!$AR$4,Definitions!$AS$4,Definitions!$AR$6,_xlpm._delimiter,1),
_xlpm._countermeasures,ParseAllMitigationsFromComment($A12,"-","C",$O12,Definitions!$AR$5,Definitions!$AS$5,Definitions!$AR$6,_xlpm._delimiter,1),
IF(_xlpm._countermeasures="",RemoveDelimiter(_xlpm._assumptions,_xlpm._delimiter),_xlpm._assumptions&amp;RemoveDelimiter(_xlpm._countermeasures,_xlpm._delimiter)))</f>
        <v/>
      </c>
      <c r="AH12" s="21" t="str" cm="1">
        <f t="array" ref="AH12">CreateSearchString(SanitizeInput($J12)&amp;GetValuesIgnoreErrors(SanitizeInput($J12),Countermeasures!$A:$G,"",",",FALSE))</f>
        <v/>
      </c>
      <c r="AI12" s="21" t="str" cm="1">
        <f t="array" aca="1" ref="AI12" ca="1">IF(AND(IFERROR(FIND(","&amp;Countermeasures!$A$30&amp;",",$AH12)&gt;0,FALSE),Countermeasures!$AF$30=TRUE,SimpleLookup(Questions!$A$48,Questionnaire!$A:$C)=Definitions!$A$5),$A12&amp;" "&amp;$B12,"")</f>
        <v/>
      </c>
      <c r="AJ12" s="21" cm="1">
        <f t="array" aca="1" ref="AJ12" ca="1">CreateID($AJ$2,$AJ:$AJ,$AI12&lt;&gt;"")</f>
        <v>0</v>
      </c>
      <c r="AK12" s="21" t="str">
        <f t="shared" ca="1" si="2"/>
        <v/>
      </c>
      <c r="AL12" s="21" cm="1">
        <f t="array" aca="1" ref="AL12" ca="1">CreateID($AL$2,$AL:$AL,$AK12&lt;&gt;"")</f>
        <v>0</v>
      </c>
      <c r="AM12" s="21" t="str">
        <f t="shared" si="3"/>
        <v/>
      </c>
      <c r="AN12" s="21" cm="1">
        <f t="array" ref="AN12">CreateID($AN$2,$AN:$AN,$AM12&lt;&gt;"")</f>
        <v>0</v>
      </c>
    </row>
    <row r="13" spans="1:40" ht="30" x14ac:dyDescent="0.25">
      <c r="A13" s="16" t="str" cm="1">
        <f t="array" ref="A13">IF($R13=0,"",INDEX('Attack Steps'!A:A,$R13))</f>
        <v>AS11</v>
      </c>
      <c r="B13" s="16" t="str" cm="1">
        <f t="array" ref="B13">IF($R13=0,"",INDEX('Attack Steps'!B:B,$R13))</f>
        <v>Denial of Service on the customer's network</v>
      </c>
      <c r="C13" s="13">
        <f>3</f>
        <v>3</v>
      </c>
      <c r="D13" s="19" t="str" cm="1">
        <f t="array" aca="1" ref="D13" ca="1">_xlfn.LET(
_xlpm._displayLimit,$C13,
_xlpm._risks,$S13,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3" s="16" t="str" cm="1">
        <f t="array" aca="1" ref="E13" ca="1">_xlfn.LET(_xlpm._riskValue,CalculateMaxFromList($T13,0,Risks!$A:$AJ),
INDEX(Definitions!$AE:$AE,MATCH(_xlpm._riskValue,Definitions!$AF:$AF,0)))</f>
        <v>No Risk</v>
      </c>
      <c r="F13" s="16" t="str" cm="1">
        <f t="array" aca="1" ref="F13" ca="1">IF($A13="","",SUBSTITUTE(RemoveDelimiter(SanitizeInput(SimpleLookup($A13,'Attack Steps'!$A:$AE)),","),",",", "))</f>
        <v/>
      </c>
      <c r="G13" s="16" t="str" cm="1">
        <f t="array" aca="1" ref="G13" ca="1">IF($A13="","",SUBSTITUTE(RemoveDelimiter(SanitizeInput(SimpleLookup($A13,'Attack Steps'!$A:$AF)),","),",",", "))</f>
        <v/>
      </c>
      <c r="H13" s="79" t="str" cm="1">
        <f t="array" aca="1" ref="H13" ca="1">IF($A13="","",_xlfn.LET(
_xlpm._proposedActive,SanitizeInput($G13),
_xlpm._proposedAll,SimpleLookup($A13,'Attack Steps'!$A:$AG),
_xlpm._proposedDiff,FilterElementsFromList(_xlpm._proposedAll,_xlpm._proposedActive,FALSE,","),
SUBSTITUTE(RemoveDelimiter(SanitizeInput(_xlpm._proposedDiff),","),",",", ")))</f>
        <v/>
      </c>
      <c r="I13" s="16" t="str" cm="1">
        <f t="array" aca="1" ref="I13" ca="1">RemoveDelimiter(GetValuesWithFallback(SanitizeInput($F13)&amp;SanitizeInput($G13)&amp;SanitizeInput($H13),Countermeasures!$A:$B,Assumptions!$A:$B," ",","&amp;CHAR(10),TRUE),","&amp;CHAR(10))</f>
        <v/>
      </c>
      <c r="J13" s="13"/>
      <c r="K13" s="16" t="str" cm="1">
        <f t="array" ref="K13">RemoveDelimiter(GetValuesWithFallback(SanitizeInput($J13),Countermeasures!$A:$B,Assumptions!$A:$B," ",","&amp;CHAR(10),TRUE),","&amp;CHAR(10))</f>
        <v/>
      </c>
      <c r="L13" s="13">
        <f>3</f>
        <v>3</v>
      </c>
      <c r="M13" s="19" t="str" cm="1">
        <f t="array" aca="1" ref="M13" ca="1">_xlfn.LET(
_xlpm._displayLimit,$L13,
_xlpm._risks,$V13,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3" s="16" t="str">
        <f ca="1">INDEX(Definitions!$AE:$AE,MATCH($W13,Definitions!$AF:$AF,0))</f>
        <v>No Risk</v>
      </c>
      <c r="O13" s="13"/>
      <c r="P13" s="10" cm="1">
        <f t="array" ref="P13">GenerateShadowID(ROW(),$P$2,$P:$P,0,$A13&lt;&gt;"")</f>
        <v>11</v>
      </c>
      <c r="Q13" s="10" cm="1">
        <f t="array" ref="Q13">CreateTaskID($Q$2,$Q:$Q,Tasks!$B$17,$O13)</f>
        <v>0</v>
      </c>
      <c r="R13" s="10">
        <f>IFERROR(MATCH(ROW()-ROW($R$2),'Attack Steps'!$Q:$Q,0),0)</f>
        <v>13</v>
      </c>
      <c r="S13" s="10" t="str" cm="1">
        <f t="array" aca="1" ref="S13" ca="1">CalculateMaxAndElements($T13,0,"",Risks!$A:$AJ)</f>
        <v>0:</v>
      </c>
      <c r="T13" s="10" t="str" cm="1">
        <f t="array" aca="1" ref="T13" ca="1">InverseLookup($A13,Risks!$AI$2,Risks!$A$2,1,Helper!$B$1,",")</f>
        <v/>
      </c>
      <c r="U13" s="10" t="str">
        <f t="shared" ca="1" si="0"/>
        <v/>
      </c>
      <c r="V13" s="10" t="str" cm="1">
        <f t="array" aca="1" ref="V13" ca="1">CalculateMaxAndElements($T13,0,"",Risks!$A:$BK)</f>
        <v>0:</v>
      </c>
      <c r="W13" s="21">
        <f t="shared" ca="1" si="1"/>
        <v>0</v>
      </c>
      <c r="X13" s="21" t="str" cm="1">
        <f t="array" ref="X13">IF($J13="","",","&amp;SanitizeInput($J13))</f>
        <v/>
      </c>
      <c r="Y13" s="21" t="b" cm="1">
        <f t="array" aca="1" ref="Y13" ca="1">INDEX('Attack Steps'!$AI:$AI,$R13)</f>
        <v>0</v>
      </c>
      <c r="Z13" s="21" cm="1">
        <f t="array" ref="Z13">CreateID($Z$2,$Z:$Z,IFERROR(FIND(Definitions!$AR$4,$O13)&gt;0,FALSE))</f>
        <v>0</v>
      </c>
      <c r="AA13" s="21">
        <f>_xlfn.LET(
_xlpm._comment,$O13,
_xlpm._keyWord,Definitions!$AR$4,
_xlpm._diffLen,LEN(_xlpm._comment)-LEN(SUBSTITUTE(_xlpm._comment,_xlpm._keyWord,"")),
_xlpm._diffLen/LEN(_xlpm._keyWord))</f>
        <v>0</v>
      </c>
      <c r="AB13" s="21" cm="1">
        <f t="array" ref="AB13">CreateID($AB$2,$AB:$AB,IFERROR(FIND(Definitions!$AR$5,$O13)&gt;0,FALSE))</f>
        <v>0</v>
      </c>
      <c r="AC13" s="21">
        <f>_xlfn.LET(
_xlpm._comment,$O13,
_xlpm._keyWord,Definitions!$AR$5,
_xlpm._diffLen,LEN(_xlpm._comment)-LEN(SUBSTITUTE(_xlpm._comment,_xlpm._keyWord,"")),
_xlpm._diffLen/LEN(_xlpm._keyWord))</f>
        <v>0</v>
      </c>
      <c r="AD13" s="21" t="str" cm="1">
        <f t="array" ref="AD13">CreateSearchString($J13)</f>
        <v/>
      </c>
      <c r="AE13" s="21" t="str" cm="1">
        <f t="array" aca="1" ref="AE13" ca="1">_xlfn.LET(
_xlpm._selected,SanitizeInput($J13),
_xlpm._catalogOptions,SanitizeInput($F13)&amp;SanitizeInput($G13)&amp;SanitizeInput($H13),
_xlpm._selectedNotInOptions,FilterElementsFromList(_xlpm._selected,_xlpm._catalogOptions,FALSE,","),
IF(_xlpm._selectedNotInOptions="","",$A13&amp;" "&amp;$B13&amp;": "&amp;SUBSTITUTE(RemoveDelimiter(_xlpm._selectedNotInOptions,","),",",", ")))</f>
        <v/>
      </c>
      <c r="AF13" s="21" cm="1">
        <f t="array" aca="1" ref="AF13" ca="1">CreateID($AF$2,$AF:$AF,$AE13&lt;&gt;"")</f>
        <v>0</v>
      </c>
      <c r="AG13" s="21" t="str" cm="1">
        <f t="array" ref="AG13">_xlfn.LET(
_xlpm._delimiter,","&amp;CHAR(10),
_xlpm._assumptions,ParseAllMitigationsFromComment($A13,"-","A",$O13,Definitions!$AR$4,Definitions!$AS$4,Definitions!$AR$6,_xlpm._delimiter,1),
_xlpm._countermeasures,ParseAllMitigationsFromComment($A13,"-","C",$O13,Definitions!$AR$5,Definitions!$AS$5,Definitions!$AR$6,_xlpm._delimiter,1),
IF(_xlpm._countermeasures="",RemoveDelimiter(_xlpm._assumptions,_xlpm._delimiter),_xlpm._assumptions&amp;RemoveDelimiter(_xlpm._countermeasures,_xlpm._delimiter)))</f>
        <v/>
      </c>
      <c r="AH13" s="21" t="str" cm="1">
        <f t="array" ref="AH13">CreateSearchString(SanitizeInput($J13)&amp;GetValuesIgnoreErrors(SanitizeInput($J13),Countermeasures!$A:$G,"",",",FALSE))</f>
        <v/>
      </c>
      <c r="AI13" s="21" t="str" cm="1">
        <f t="array" aca="1" ref="AI13" ca="1">IF(AND(IFERROR(FIND(","&amp;Countermeasures!$A$30&amp;",",$AH13)&gt;0,FALSE),Countermeasures!$AF$30=TRUE,SimpleLookup(Questions!$A$48,Questionnaire!$A:$C)=Definitions!$A$5),$A13&amp;" "&amp;$B13,"")</f>
        <v/>
      </c>
      <c r="AJ13" s="21" cm="1">
        <f t="array" aca="1" ref="AJ13" ca="1">CreateID($AJ$2,$AJ:$AJ,$AI13&lt;&gt;"")</f>
        <v>0</v>
      </c>
      <c r="AK13" s="21" t="str">
        <f t="shared" ca="1" si="2"/>
        <v/>
      </c>
      <c r="AL13" s="21" cm="1">
        <f t="array" aca="1" ref="AL13" ca="1">CreateID($AL$2,$AL:$AL,$AK13&lt;&gt;"")</f>
        <v>0</v>
      </c>
      <c r="AM13" s="21" t="str">
        <f t="shared" si="3"/>
        <v/>
      </c>
      <c r="AN13" s="21" cm="1">
        <f t="array" ref="AN13">CreateID($AN$2,$AN:$AN,$AM13&lt;&gt;"")</f>
        <v>0</v>
      </c>
    </row>
    <row r="14" spans="1:40" ht="45" x14ac:dyDescent="0.25">
      <c r="A14" s="16" t="str" cm="1">
        <f t="array" ref="A14">IF($R14=0,"",INDEX('Attack Steps'!A:A,$R14))</f>
        <v>AS12</v>
      </c>
      <c r="B14" s="16" t="str" cm="1">
        <f t="array" ref="B14">IF($R14=0,"",INDEX('Attack Steps'!B:B,$R14))</f>
        <v>Compromising an untrusted device that communicates directly with the product</v>
      </c>
      <c r="C14" s="13">
        <f>3</f>
        <v>3</v>
      </c>
      <c r="D14" s="19" t="str" cm="1">
        <f t="array" aca="1" ref="D14" ca="1">_xlfn.LET(
_xlpm._displayLimit,$C14,
_xlpm._risks,$S14,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4" s="16" t="str" cm="1">
        <f t="array" aca="1" ref="E14" ca="1">_xlfn.LET(_xlpm._riskValue,CalculateMaxFromList($T14,0,Risks!$A:$AJ),
INDEX(Definitions!$AE:$AE,MATCH(_xlpm._riskValue,Definitions!$AF:$AF,0)))</f>
        <v>No Risk</v>
      </c>
      <c r="F14" s="16" t="str" cm="1">
        <f t="array" aca="1" ref="F14" ca="1">IF($A14="","",SUBSTITUTE(RemoveDelimiter(SanitizeInput(SimpleLookup($A14,'Attack Steps'!$A:$AE)),","),",",", "))</f>
        <v>C15</v>
      </c>
      <c r="G14" s="16" t="str" cm="1">
        <f t="array" aca="1" ref="G14" ca="1">IF($A14="","",SUBSTITUTE(RemoveDelimiter(SanitizeInput(SimpleLookup($A14,'Attack Steps'!$A:$AF)),","),",",", "))</f>
        <v/>
      </c>
      <c r="H14" s="79" t="str" cm="1">
        <f t="array" aca="1" ref="H14" ca="1">IF($A14="","",_xlfn.LET(
_xlpm._proposedActive,SanitizeInput($G14),
_xlpm._proposedAll,SimpleLookup($A14,'Attack Steps'!$A:$AG),
_xlpm._proposedDiff,FilterElementsFromList(_xlpm._proposedAll,_xlpm._proposedActive,FALSE,","),
SUBSTITUTE(RemoveDelimiter(SanitizeInput(_xlpm._proposedDiff),","),",",", ")))</f>
        <v/>
      </c>
      <c r="I14" s="16" t="str" cm="1">
        <f t="array" aca="1" ref="I14" ca="1">RemoveDelimiter(GetValuesWithFallback(SanitizeInput($F14)&amp;SanitizeInput($G14)&amp;SanitizeInput($H14),Countermeasures!$A:$B,Assumptions!$A:$B," ",","&amp;CHAR(10),TRUE),","&amp;CHAR(10))</f>
        <v>C15 CR 3.5 – Input validation</v>
      </c>
      <c r="J14" s="13"/>
      <c r="K14" s="16" t="str" cm="1">
        <f t="array" ref="K14">RemoveDelimiter(GetValuesWithFallback(SanitizeInput($J14),Countermeasures!$A:$B,Assumptions!$A:$B," ",","&amp;CHAR(10),TRUE),","&amp;CHAR(10))</f>
        <v/>
      </c>
      <c r="L14" s="13">
        <f>3</f>
        <v>3</v>
      </c>
      <c r="M14" s="19" t="str" cm="1">
        <f t="array" aca="1" ref="M14" ca="1">_xlfn.LET(
_xlpm._displayLimit,$L14,
_xlpm._risks,$V14,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4" s="16" t="str">
        <f ca="1">INDEX(Definitions!$AE:$AE,MATCH($W14,Definitions!$AF:$AF,0))</f>
        <v>No Risk</v>
      </c>
      <c r="O14" s="13"/>
      <c r="P14" s="10" cm="1">
        <f t="array" ref="P14">GenerateShadowID(ROW(),$P$2,$P:$P,0,$A14&lt;&gt;"")</f>
        <v>12</v>
      </c>
      <c r="Q14" s="10" cm="1">
        <f t="array" ref="Q14">CreateTaskID($Q$2,$Q:$Q,Tasks!$B$17,$O14)</f>
        <v>0</v>
      </c>
      <c r="R14" s="10">
        <f>IFERROR(MATCH(ROW()-ROW($R$2),'Attack Steps'!$Q:$Q,0),0)</f>
        <v>14</v>
      </c>
      <c r="S14" s="10" t="str" cm="1">
        <f t="array" aca="1" ref="S14" ca="1">CalculateMaxAndElements($T14,0,"",Risks!$A:$AJ)</f>
        <v>0:</v>
      </c>
      <c r="T14" s="10" t="str" cm="1">
        <f t="array" aca="1" ref="T14" ca="1">InverseLookup($A14,Risks!$AI$2,Risks!$A$2,1,Helper!$B$1,",")</f>
        <v/>
      </c>
      <c r="U14" s="10" t="str">
        <f t="shared" ca="1" si="0"/>
        <v/>
      </c>
      <c r="V14" s="10" t="str" cm="1">
        <f t="array" aca="1" ref="V14" ca="1">CalculateMaxAndElements($T14,0,"",Risks!$A:$BK)</f>
        <v>0:</v>
      </c>
      <c r="W14" s="21">
        <f t="shared" ca="1" si="1"/>
        <v>0</v>
      </c>
      <c r="X14" s="21" t="str" cm="1">
        <f t="array" ref="X14">IF($J14="","",","&amp;SanitizeInput($J14))</f>
        <v/>
      </c>
      <c r="Y14" s="21" t="b" cm="1">
        <f t="array" aca="1" ref="Y14" ca="1">INDEX('Attack Steps'!$AI:$AI,$R14)</f>
        <v>0</v>
      </c>
      <c r="Z14" s="21" cm="1">
        <f t="array" ref="Z14">CreateID($Z$2,$Z:$Z,IFERROR(FIND(Definitions!$AR$4,$O14)&gt;0,FALSE))</f>
        <v>0</v>
      </c>
      <c r="AA14" s="21">
        <f>_xlfn.LET(
_xlpm._comment,$O14,
_xlpm._keyWord,Definitions!$AR$4,
_xlpm._diffLen,LEN(_xlpm._comment)-LEN(SUBSTITUTE(_xlpm._comment,_xlpm._keyWord,"")),
_xlpm._diffLen/LEN(_xlpm._keyWord))</f>
        <v>0</v>
      </c>
      <c r="AB14" s="21" cm="1">
        <f t="array" ref="AB14">CreateID($AB$2,$AB:$AB,IFERROR(FIND(Definitions!$AR$5,$O14)&gt;0,FALSE))</f>
        <v>0</v>
      </c>
      <c r="AC14" s="21">
        <f>_xlfn.LET(
_xlpm._comment,$O14,
_xlpm._keyWord,Definitions!$AR$5,
_xlpm._diffLen,LEN(_xlpm._comment)-LEN(SUBSTITUTE(_xlpm._comment,_xlpm._keyWord,"")),
_xlpm._diffLen/LEN(_xlpm._keyWord))</f>
        <v>0</v>
      </c>
      <c r="AD14" s="21" t="str" cm="1">
        <f t="array" ref="AD14">CreateSearchString($J14)</f>
        <v/>
      </c>
      <c r="AE14" s="21" t="str" cm="1">
        <f t="array" aca="1" ref="AE14" ca="1">_xlfn.LET(
_xlpm._selected,SanitizeInput($J14),
_xlpm._catalogOptions,SanitizeInput($F14)&amp;SanitizeInput($G14)&amp;SanitizeInput($H14),
_xlpm._selectedNotInOptions,FilterElementsFromList(_xlpm._selected,_xlpm._catalogOptions,FALSE,","),
IF(_xlpm._selectedNotInOptions="","",$A14&amp;" "&amp;$B14&amp;": "&amp;SUBSTITUTE(RemoveDelimiter(_xlpm._selectedNotInOptions,","),",",", ")))</f>
        <v/>
      </c>
      <c r="AF14" s="21" cm="1">
        <f t="array" aca="1" ref="AF14" ca="1">CreateID($AF$2,$AF:$AF,$AE14&lt;&gt;"")</f>
        <v>0</v>
      </c>
      <c r="AG14" s="21" t="str" cm="1">
        <f t="array" ref="AG14">_xlfn.LET(
_xlpm._delimiter,","&amp;CHAR(10),
_xlpm._assumptions,ParseAllMitigationsFromComment($A14,"-","A",$O14,Definitions!$AR$4,Definitions!$AS$4,Definitions!$AR$6,_xlpm._delimiter,1),
_xlpm._countermeasures,ParseAllMitigationsFromComment($A14,"-","C",$O14,Definitions!$AR$5,Definitions!$AS$5,Definitions!$AR$6,_xlpm._delimiter,1),
IF(_xlpm._countermeasures="",RemoveDelimiter(_xlpm._assumptions,_xlpm._delimiter),_xlpm._assumptions&amp;RemoveDelimiter(_xlpm._countermeasures,_xlpm._delimiter)))</f>
        <v/>
      </c>
      <c r="AH14" s="21" t="str" cm="1">
        <f t="array" ref="AH14">CreateSearchString(SanitizeInput($J14)&amp;GetValuesIgnoreErrors(SanitizeInput($J14),Countermeasures!$A:$G,"",",",FALSE))</f>
        <v/>
      </c>
      <c r="AI14" s="21" t="str" cm="1">
        <f t="array" aca="1" ref="AI14" ca="1">IF(AND(IFERROR(FIND(","&amp;Countermeasures!$A$30&amp;",",$AH14)&gt;0,FALSE),Countermeasures!$AF$30=TRUE,SimpleLookup(Questions!$A$48,Questionnaire!$A:$C)=Definitions!$A$5),$A14&amp;" "&amp;$B14,"")</f>
        <v/>
      </c>
      <c r="AJ14" s="21" cm="1">
        <f t="array" aca="1" ref="AJ14" ca="1">CreateID($AJ$2,$AJ:$AJ,$AI14&lt;&gt;"")</f>
        <v>0</v>
      </c>
      <c r="AK14" s="21" t="str">
        <f t="shared" ca="1" si="2"/>
        <v/>
      </c>
      <c r="AL14" s="21" cm="1">
        <f t="array" aca="1" ref="AL14" ca="1">CreateID($AL$2,$AL:$AL,$AK14&lt;&gt;"")</f>
        <v>0</v>
      </c>
      <c r="AM14" s="21" t="str">
        <f t="shared" si="3"/>
        <v/>
      </c>
      <c r="AN14" s="21" cm="1">
        <f t="array" ref="AN14">CreateID($AN$2,$AN:$AN,$AM14&lt;&gt;"")</f>
        <v>0</v>
      </c>
    </row>
    <row r="15" spans="1:40" ht="45" x14ac:dyDescent="0.25">
      <c r="A15" s="16" t="str" cm="1">
        <f t="array" ref="A15">IF($R15=0,"",INDEX('Attack Steps'!A:A,$R15))</f>
        <v>AS13</v>
      </c>
      <c r="B15" s="16" t="str" cm="1">
        <f t="array" ref="B15">IF($R15=0,"",INDEX('Attack Steps'!B:B,$R15))</f>
        <v>Attacking the product or its communication from an untrusted local network</v>
      </c>
      <c r="C15" s="13">
        <f>3</f>
        <v>3</v>
      </c>
      <c r="D15" s="19" t="str" cm="1">
        <f t="array" aca="1" ref="D15" ca="1">_xlfn.LET(
_xlpm._displayLimit,$C15,
_xlpm._risks,$S15,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5" s="16" t="str" cm="1">
        <f t="array" aca="1" ref="E15" ca="1">_xlfn.LET(_xlpm._riskValue,CalculateMaxFromList($T15,0,Risks!$A:$AJ),
INDEX(Definitions!$AE:$AE,MATCH(_xlpm._riskValue,Definitions!$AF:$AF,0)))</f>
        <v>No Risk</v>
      </c>
      <c r="F15" s="16" t="str" cm="1">
        <f t="array" aca="1" ref="F15" ca="1">IF($A15="","",SUBSTITUTE(RemoveDelimiter(SanitizeInput(SimpleLookup($A15,'Attack Steps'!$A:$AE)),","),",",", "))</f>
        <v>C30</v>
      </c>
      <c r="G15" s="16" t="str" cm="1">
        <f t="array" aca="1" ref="G15" ca="1">IF($A15="","",SUBSTITUTE(RemoveDelimiter(SanitizeInput(SimpleLookup($A15,'Attack Steps'!$A:$AF)),","),",",", "))</f>
        <v/>
      </c>
      <c r="H15" s="79" t="str" cm="1">
        <f t="array" aca="1" ref="H15" ca="1">IF($A15="","",_xlfn.LET(
_xlpm._proposedActive,SanitizeInput($G15),
_xlpm._proposedAll,SimpleLookup($A15,'Attack Steps'!$A:$AG),
_xlpm._proposedDiff,FilterElementsFromList(_xlpm._proposedAll,_xlpm._proposedActive,FALSE,","),
SUBSTITUTE(RemoveDelimiter(SanitizeInput(_xlpm._proposedDiff),","),",",", ")))</f>
        <v/>
      </c>
      <c r="I15" s="16" t="str" cm="1">
        <f t="array" aca="1" ref="I15" ca="1">RemoveDelimiter(GetValuesWithFallback(SanitizeInput($F15)&amp;SanitizeInput($G15)&amp;SanitizeInput($H15),Countermeasures!$A:$B,Assumptions!$A:$B," ",","&amp;CHAR(10),TRUE),","&amp;CHAR(10))</f>
        <v>C30 CR 7.4 – Control system recovery and reconstitution</v>
      </c>
      <c r="J15" s="13"/>
      <c r="K15" s="16" t="str" cm="1">
        <f t="array" ref="K15">RemoveDelimiter(GetValuesWithFallback(SanitizeInput($J15),Countermeasures!$A:$B,Assumptions!$A:$B," ",","&amp;CHAR(10),TRUE),","&amp;CHAR(10))</f>
        <v/>
      </c>
      <c r="L15" s="13">
        <f>3</f>
        <v>3</v>
      </c>
      <c r="M15" s="19" t="str" cm="1">
        <f t="array" aca="1" ref="M15" ca="1">_xlfn.LET(
_xlpm._displayLimit,$L15,
_xlpm._risks,$V15,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5" s="16" t="str">
        <f ca="1">INDEX(Definitions!$AE:$AE,MATCH($W15,Definitions!$AF:$AF,0))</f>
        <v>No Risk</v>
      </c>
      <c r="O15" s="13"/>
      <c r="P15" s="10" cm="1">
        <f t="array" ref="P15">GenerateShadowID(ROW(),$P$2,$P:$P,0,$A15&lt;&gt;"")</f>
        <v>13</v>
      </c>
      <c r="Q15" s="10" cm="1">
        <f t="array" ref="Q15">CreateTaskID($Q$2,$Q:$Q,Tasks!$B$17,$O15)</f>
        <v>0</v>
      </c>
      <c r="R15" s="10">
        <f>IFERROR(MATCH(ROW()-ROW($R$2),'Attack Steps'!$Q:$Q,0),0)</f>
        <v>15</v>
      </c>
      <c r="S15" s="10" t="str" cm="1">
        <f t="array" aca="1" ref="S15" ca="1">CalculateMaxAndElements($T15,0,"",Risks!$A:$AJ)</f>
        <v>0:</v>
      </c>
      <c r="T15" s="10" t="str" cm="1">
        <f t="array" aca="1" ref="T15" ca="1">InverseLookup($A15,Risks!$AI$2,Risks!$A$2,1,Helper!$B$1,",")</f>
        <v/>
      </c>
      <c r="U15" s="10" t="str">
        <f t="shared" ca="1" si="0"/>
        <v/>
      </c>
      <c r="V15" s="10" t="str" cm="1">
        <f t="array" aca="1" ref="V15" ca="1">CalculateMaxAndElements($T15,0,"",Risks!$A:$BK)</f>
        <v>0:</v>
      </c>
      <c r="W15" s="21">
        <f t="shared" ca="1" si="1"/>
        <v>0</v>
      </c>
      <c r="X15" s="21" t="str" cm="1">
        <f t="array" ref="X15">IF($J15="","",","&amp;SanitizeInput($J15))</f>
        <v/>
      </c>
      <c r="Y15" s="21" t="b" cm="1">
        <f t="array" aca="1" ref="Y15" ca="1">INDEX('Attack Steps'!$AI:$AI,$R15)</f>
        <v>0</v>
      </c>
      <c r="Z15" s="21" cm="1">
        <f t="array" ref="Z15">CreateID($Z$2,$Z:$Z,IFERROR(FIND(Definitions!$AR$4,$O15)&gt;0,FALSE))</f>
        <v>0</v>
      </c>
      <c r="AA15" s="21">
        <f>_xlfn.LET(
_xlpm._comment,$O15,
_xlpm._keyWord,Definitions!$AR$4,
_xlpm._diffLen,LEN(_xlpm._comment)-LEN(SUBSTITUTE(_xlpm._comment,_xlpm._keyWord,"")),
_xlpm._diffLen/LEN(_xlpm._keyWord))</f>
        <v>0</v>
      </c>
      <c r="AB15" s="21" cm="1">
        <f t="array" ref="AB15">CreateID($AB$2,$AB:$AB,IFERROR(FIND(Definitions!$AR$5,$O15)&gt;0,FALSE))</f>
        <v>0</v>
      </c>
      <c r="AC15" s="21">
        <f>_xlfn.LET(
_xlpm._comment,$O15,
_xlpm._keyWord,Definitions!$AR$5,
_xlpm._diffLen,LEN(_xlpm._comment)-LEN(SUBSTITUTE(_xlpm._comment,_xlpm._keyWord,"")),
_xlpm._diffLen/LEN(_xlpm._keyWord))</f>
        <v>0</v>
      </c>
      <c r="AD15" s="21" t="str" cm="1">
        <f t="array" ref="AD15">CreateSearchString($J15)</f>
        <v/>
      </c>
      <c r="AE15" s="21" t="str" cm="1">
        <f t="array" aca="1" ref="AE15" ca="1">_xlfn.LET(
_xlpm._selected,SanitizeInput($J15),
_xlpm._catalogOptions,SanitizeInput($F15)&amp;SanitizeInput($G15)&amp;SanitizeInput($H15),
_xlpm._selectedNotInOptions,FilterElementsFromList(_xlpm._selected,_xlpm._catalogOptions,FALSE,","),
IF(_xlpm._selectedNotInOptions="","",$A15&amp;" "&amp;$B15&amp;": "&amp;SUBSTITUTE(RemoveDelimiter(_xlpm._selectedNotInOptions,","),",",", ")))</f>
        <v/>
      </c>
      <c r="AF15" s="21" cm="1">
        <f t="array" aca="1" ref="AF15" ca="1">CreateID($AF$2,$AF:$AF,$AE15&lt;&gt;"")</f>
        <v>0</v>
      </c>
      <c r="AG15" s="21" t="str" cm="1">
        <f t="array" ref="AG15">_xlfn.LET(
_xlpm._delimiter,","&amp;CHAR(10),
_xlpm._assumptions,ParseAllMitigationsFromComment($A15,"-","A",$O15,Definitions!$AR$4,Definitions!$AS$4,Definitions!$AR$6,_xlpm._delimiter,1),
_xlpm._countermeasures,ParseAllMitigationsFromComment($A15,"-","C",$O15,Definitions!$AR$5,Definitions!$AS$5,Definitions!$AR$6,_xlpm._delimiter,1),
IF(_xlpm._countermeasures="",RemoveDelimiter(_xlpm._assumptions,_xlpm._delimiter),_xlpm._assumptions&amp;RemoveDelimiter(_xlpm._countermeasures,_xlpm._delimiter)))</f>
        <v/>
      </c>
      <c r="AH15" s="21" t="str" cm="1">
        <f t="array" ref="AH15">CreateSearchString(SanitizeInput($J15)&amp;GetValuesIgnoreErrors(SanitizeInput($J15),Countermeasures!$A:$G,"",",",FALSE))</f>
        <v/>
      </c>
      <c r="AI15" s="21" t="str" cm="1">
        <f t="array" aca="1" ref="AI15" ca="1">IF(AND(IFERROR(FIND(","&amp;Countermeasures!$A$30&amp;",",$AH15)&gt;0,FALSE),Countermeasures!$AF$30=TRUE,SimpleLookup(Questions!$A$48,Questionnaire!$A:$C)=Definitions!$A$5),$A15&amp;" "&amp;$B15,"")</f>
        <v/>
      </c>
      <c r="AJ15" s="21" cm="1">
        <f t="array" aca="1" ref="AJ15" ca="1">CreateID($AJ$2,$AJ:$AJ,$AI15&lt;&gt;"")</f>
        <v>0</v>
      </c>
      <c r="AK15" s="21" t="str">
        <f t="shared" ca="1" si="2"/>
        <v/>
      </c>
      <c r="AL15" s="21" cm="1">
        <f t="array" aca="1" ref="AL15" ca="1">CreateID($AL$2,$AL:$AL,$AK15&lt;&gt;"")</f>
        <v>0</v>
      </c>
      <c r="AM15" s="21" t="str">
        <f t="shared" si="3"/>
        <v/>
      </c>
      <c r="AN15" s="21" cm="1">
        <f t="array" ref="AN15">CreateID($AN$2,$AN:$AN,$AM15&lt;&gt;"")</f>
        <v>0</v>
      </c>
    </row>
    <row r="16" spans="1:40" ht="45" x14ac:dyDescent="0.25">
      <c r="A16" s="16" t="str" cm="1">
        <f t="array" ref="A16">IF($R16=0,"",INDEX('Attack Steps'!A:A,$R16))</f>
        <v>AS14</v>
      </c>
      <c r="B16" s="16" t="str" cm="1">
        <f t="array" ref="B16">IF($R16=0,"",INDEX('Attack Steps'!B:B,$R16))</f>
        <v>Disrupting the product's communication over the local network</v>
      </c>
      <c r="C16" s="13">
        <f>3</f>
        <v>3</v>
      </c>
      <c r="D16" s="19" t="str" cm="1">
        <f t="array" aca="1" ref="D16" ca="1">_xlfn.LET(
_xlpm._displayLimit,$C16,
_xlpm._risks,$S16,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6" s="16" t="str" cm="1">
        <f t="array" aca="1" ref="E16" ca="1">_xlfn.LET(_xlpm._riskValue,CalculateMaxFromList($T16,0,Risks!$A:$AJ),
INDEX(Definitions!$AE:$AE,MATCH(_xlpm._riskValue,Definitions!$AF:$AF,0)))</f>
        <v>No Risk</v>
      </c>
      <c r="F16" s="16" t="str" cm="1">
        <f t="array" aca="1" ref="F16" ca="1">IF($A16="","",SUBSTITUTE(RemoveDelimiter(SanitizeInput(SimpleLookup($A16,'Attack Steps'!$A:$AE)),","),",",", "))</f>
        <v/>
      </c>
      <c r="G16" s="16" t="str" cm="1">
        <f t="array" aca="1" ref="G16" ca="1">IF($A16="","",SUBSTITUTE(RemoveDelimiter(SanitizeInput(SimpleLookup($A16,'Attack Steps'!$A:$AF)),","),",",", "))</f>
        <v/>
      </c>
      <c r="H16" s="79" t="str" cm="1">
        <f t="array" aca="1" ref="H16" ca="1">IF($A16="","",_xlfn.LET(
_xlpm._proposedActive,SanitizeInput($G16),
_xlpm._proposedAll,SimpleLookup($A16,'Attack Steps'!$A:$AG),
_xlpm._proposedDiff,FilterElementsFromList(_xlpm._proposedAll,_xlpm._proposedActive,FALSE,","),
SUBSTITUTE(RemoveDelimiter(SanitizeInput(_xlpm._proposedDiff),","),",",", ")))</f>
        <v>A44</v>
      </c>
      <c r="I16" s="16" t="str" cm="1">
        <f t="array" aca="1" ref="I16" ca="1">RemoveDelimiter(GetValuesWithFallback(SanitizeInput($F16)&amp;SanitizeInput($G16)&amp;SanitizeInput($H16),Countermeasures!$A:$B,Assumptions!$A:$B," ",","&amp;CHAR(10),TRUE),","&amp;CHAR(10))</f>
        <v>A44 Network monitoring</v>
      </c>
      <c r="J16" s="13"/>
      <c r="K16" s="16" t="str" cm="1">
        <f t="array" ref="K16">RemoveDelimiter(GetValuesWithFallback(SanitizeInput($J16),Countermeasures!$A:$B,Assumptions!$A:$B," ",","&amp;CHAR(10),TRUE),","&amp;CHAR(10))</f>
        <v/>
      </c>
      <c r="L16" s="13">
        <f>3</f>
        <v>3</v>
      </c>
      <c r="M16" s="19" t="str" cm="1">
        <f t="array" aca="1" ref="M16" ca="1">_xlfn.LET(
_xlpm._displayLimit,$L16,
_xlpm._risks,$V16,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6" s="16" t="str">
        <f ca="1">INDEX(Definitions!$AE:$AE,MATCH($W16,Definitions!$AF:$AF,0))</f>
        <v>No Risk</v>
      </c>
      <c r="O16" s="13"/>
      <c r="P16" s="10" cm="1">
        <f t="array" ref="P16">GenerateShadowID(ROW(),$P$2,$P:$P,0,$A16&lt;&gt;"")</f>
        <v>14</v>
      </c>
      <c r="Q16" s="10" cm="1">
        <f t="array" ref="Q16">CreateTaskID($Q$2,$Q:$Q,Tasks!$B$17,$O16)</f>
        <v>0</v>
      </c>
      <c r="R16" s="10">
        <f>IFERROR(MATCH(ROW()-ROW($R$2),'Attack Steps'!$Q:$Q,0),0)</f>
        <v>16</v>
      </c>
      <c r="S16" s="10" t="str" cm="1">
        <f t="array" aca="1" ref="S16" ca="1">CalculateMaxAndElements($T16,0,"",Risks!$A:$AJ)</f>
        <v>0:</v>
      </c>
      <c r="T16" s="10" t="str" cm="1">
        <f t="array" aca="1" ref="T16" ca="1">InverseLookup($A16,Risks!$AI$2,Risks!$A$2,1,Helper!$B$1,",")</f>
        <v/>
      </c>
      <c r="U16" s="10" t="str">
        <f t="shared" ca="1" si="0"/>
        <v/>
      </c>
      <c r="V16" s="10" t="str" cm="1">
        <f t="array" aca="1" ref="V16" ca="1">CalculateMaxAndElements($T16,0,"",Risks!$A:$BK)</f>
        <v>0:</v>
      </c>
      <c r="W16" s="21">
        <f t="shared" ca="1" si="1"/>
        <v>0</v>
      </c>
      <c r="X16" s="21" t="str" cm="1">
        <f t="array" ref="X16">IF($J16="","",","&amp;SanitizeInput($J16))</f>
        <v/>
      </c>
      <c r="Y16" s="21" t="b" cm="1">
        <f t="array" aca="1" ref="Y16" ca="1">INDEX('Attack Steps'!$AI:$AI,$R16)</f>
        <v>0</v>
      </c>
      <c r="Z16" s="21" cm="1">
        <f t="array" ref="Z16">CreateID($Z$2,$Z:$Z,IFERROR(FIND(Definitions!$AR$4,$O16)&gt;0,FALSE))</f>
        <v>0</v>
      </c>
      <c r="AA16" s="21">
        <f>_xlfn.LET(
_xlpm._comment,$O16,
_xlpm._keyWord,Definitions!$AR$4,
_xlpm._diffLen,LEN(_xlpm._comment)-LEN(SUBSTITUTE(_xlpm._comment,_xlpm._keyWord,"")),
_xlpm._diffLen/LEN(_xlpm._keyWord))</f>
        <v>0</v>
      </c>
      <c r="AB16" s="21" cm="1">
        <f t="array" ref="AB16">CreateID($AB$2,$AB:$AB,IFERROR(FIND(Definitions!$AR$5,$O16)&gt;0,FALSE))</f>
        <v>0</v>
      </c>
      <c r="AC16" s="21">
        <f>_xlfn.LET(
_xlpm._comment,$O16,
_xlpm._keyWord,Definitions!$AR$5,
_xlpm._diffLen,LEN(_xlpm._comment)-LEN(SUBSTITUTE(_xlpm._comment,_xlpm._keyWord,"")),
_xlpm._diffLen/LEN(_xlpm._keyWord))</f>
        <v>0</v>
      </c>
      <c r="AD16" s="21" t="str" cm="1">
        <f t="array" ref="AD16">CreateSearchString($J16)</f>
        <v/>
      </c>
      <c r="AE16" s="21" t="str" cm="1">
        <f t="array" aca="1" ref="AE16" ca="1">_xlfn.LET(
_xlpm._selected,SanitizeInput($J16),
_xlpm._catalogOptions,SanitizeInput($F16)&amp;SanitizeInput($G16)&amp;SanitizeInput($H16),
_xlpm._selectedNotInOptions,FilterElementsFromList(_xlpm._selected,_xlpm._catalogOptions,FALSE,","),
IF(_xlpm._selectedNotInOptions="","",$A16&amp;" "&amp;$B16&amp;": "&amp;SUBSTITUTE(RemoveDelimiter(_xlpm._selectedNotInOptions,","),",",", ")))</f>
        <v/>
      </c>
      <c r="AF16" s="21" cm="1">
        <f t="array" aca="1" ref="AF16" ca="1">CreateID($AF$2,$AF:$AF,$AE16&lt;&gt;"")</f>
        <v>0</v>
      </c>
      <c r="AG16" s="21" t="str" cm="1">
        <f t="array" ref="AG16">_xlfn.LET(
_xlpm._delimiter,","&amp;CHAR(10),
_xlpm._assumptions,ParseAllMitigationsFromComment($A16,"-","A",$O16,Definitions!$AR$4,Definitions!$AS$4,Definitions!$AR$6,_xlpm._delimiter,1),
_xlpm._countermeasures,ParseAllMitigationsFromComment($A16,"-","C",$O16,Definitions!$AR$5,Definitions!$AS$5,Definitions!$AR$6,_xlpm._delimiter,1),
IF(_xlpm._countermeasures="",RemoveDelimiter(_xlpm._assumptions,_xlpm._delimiter),_xlpm._assumptions&amp;RemoveDelimiter(_xlpm._countermeasures,_xlpm._delimiter)))</f>
        <v/>
      </c>
      <c r="AH16" s="21" t="str" cm="1">
        <f t="array" ref="AH16">CreateSearchString(SanitizeInput($J16)&amp;GetValuesIgnoreErrors(SanitizeInput($J16),Countermeasures!$A:$G,"",",",FALSE))</f>
        <v/>
      </c>
      <c r="AI16" s="21" t="str" cm="1">
        <f t="array" aca="1" ref="AI16" ca="1">IF(AND(IFERROR(FIND(","&amp;Countermeasures!$A$30&amp;",",$AH16)&gt;0,FALSE),Countermeasures!$AF$30=TRUE,SimpleLookup(Questions!$A$48,Questionnaire!$A:$C)=Definitions!$A$5),$A16&amp;" "&amp;$B16,"")</f>
        <v/>
      </c>
      <c r="AJ16" s="21" cm="1">
        <f t="array" aca="1" ref="AJ16" ca="1">CreateID($AJ$2,$AJ:$AJ,$AI16&lt;&gt;"")</f>
        <v>0</v>
      </c>
      <c r="AK16" s="21" t="str">
        <f t="shared" ca="1" si="2"/>
        <v/>
      </c>
      <c r="AL16" s="21" cm="1">
        <f t="array" aca="1" ref="AL16" ca="1">CreateID($AL$2,$AL:$AL,$AK16&lt;&gt;"")</f>
        <v>0</v>
      </c>
      <c r="AM16" s="21" t="str">
        <f t="shared" si="3"/>
        <v/>
      </c>
      <c r="AN16" s="21" cm="1">
        <f t="array" ref="AN16">CreateID($AN$2,$AN:$AN,$AM16&lt;&gt;"")</f>
        <v>0</v>
      </c>
    </row>
    <row r="17" spans="1:40" ht="30" x14ac:dyDescent="0.25">
      <c r="A17" s="33" t="str" cm="1">
        <f t="array" ref="A17">IF($R17=0,"",INDEX('Attack Steps'!A:A,$R17))</f>
        <v>AS15</v>
      </c>
      <c r="B17" s="16" t="str" cm="1">
        <f t="array" ref="B17">IF($R17=0,"",INDEX('Attack Steps'!B:B,$R17))</f>
        <v>Attacking the product from the Internet or a mobile network</v>
      </c>
      <c r="C17" s="13">
        <f>3</f>
        <v>3</v>
      </c>
      <c r="D17" s="34" t="str" cm="1">
        <f t="array" aca="1" ref="D17" ca="1">_xlfn.LET(
_xlpm._displayLimit,$C17,
_xlpm._risks,$S17,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7" s="33" t="str" cm="1">
        <f t="array" aca="1" ref="E17" ca="1">_xlfn.LET(_xlpm._riskValue,CalculateMaxFromList($T17,0,Risks!$A:$AJ),
INDEX(Definitions!$AE:$AE,MATCH(_xlpm._riskValue,Definitions!$AF:$AF,0)))</f>
        <v>No Risk</v>
      </c>
      <c r="F17" s="33" t="str" cm="1">
        <f t="array" aca="1" ref="F17" ca="1">IF($A17="","",SUBSTITUTE(RemoveDelimiter(SanitizeInput(SimpleLookup($A17,'Attack Steps'!$A:$AE)),","),",",", "))</f>
        <v>CM1</v>
      </c>
      <c r="G17" s="33" t="str" cm="1">
        <f t="array" aca="1" ref="G17" ca="1">IF($A17="","",SUBSTITUTE(RemoveDelimiter(SanitizeInput(SimpleLookup($A17,'Attack Steps'!$A:$AF)),","),",",", "))</f>
        <v/>
      </c>
      <c r="H17" s="80" t="str" cm="1">
        <f t="array" aca="1" ref="H17" ca="1">IF($A17="","",_xlfn.LET(
_xlpm._proposedActive,SanitizeInput($G17),
_xlpm._proposedAll,SimpleLookup($A17,'Attack Steps'!$A:$AG),
_xlpm._proposedDiff,FilterElementsFromList(_xlpm._proposedAll,_xlpm._proposedActive,FALSE,","),
SUBSTITUTE(RemoveDelimiter(SanitizeInput(_xlpm._proposedDiff),","),",",", ")))</f>
        <v/>
      </c>
      <c r="I17" s="33" t="str" cm="1">
        <f t="array" aca="1" ref="I17" ca="1">RemoveDelimiter(GetValuesWithFallback(SanitizeInput($F17)&amp;SanitizeInput($G17)&amp;SanitizeInput($H17),Countermeasures!$A:$B,Assumptions!$A:$B," ",","&amp;CHAR(10),TRUE),","&amp;CHAR(10))</f>
        <v>CM1 SCR 2.1 - Device Firewall</v>
      </c>
      <c r="J17" s="13"/>
      <c r="K17" s="33" t="str" cm="1">
        <f t="array" ref="K17">RemoveDelimiter(GetValuesWithFallback(SanitizeInput($J17),Countermeasures!$A:$B,Assumptions!$A:$B," ",","&amp;CHAR(10),TRUE),","&amp;CHAR(10))</f>
        <v/>
      </c>
      <c r="L17" s="23">
        <f>3</f>
        <v>3</v>
      </c>
      <c r="M17" s="34" t="str" cm="1">
        <f t="array" aca="1" ref="M17" ca="1">_xlfn.LET(
_xlpm._displayLimit,$L17,
_xlpm._risks,$V17,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7" s="33" t="str">
        <f ca="1">INDEX(Definitions!$AE:$AE,MATCH($W17,Definitions!$AF:$AF,0))</f>
        <v>No Risk</v>
      </c>
      <c r="O17" s="13"/>
      <c r="P17" s="10" cm="1">
        <f t="array" ref="P17">GenerateShadowID(ROW(),$P$2,$P:$P,0,$A17&lt;&gt;"")</f>
        <v>15</v>
      </c>
      <c r="Q17" s="21" cm="1">
        <f t="array" ref="Q17">CreateTaskID($Q$2,$Q:$Q,Tasks!$B$17,$O17)</f>
        <v>0</v>
      </c>
      <c r="R17" s="10">
        <f>IFERROR(MATCH(ROW()-ROW($R$2),'Attack Steps'!$Q:$Q,0),0)</f>
        <v>17</v>
      </c>
      <c r="S17" s="21" t="str" cm="1">
        <f t="array" aca="1" ref="S17" ca="1">CalculateMaxAndElements($T17,0,"",Risks!$A:$AJ)</f>
        <v>0:</v>
      </c>
      <c r="T17" s="21" t="str" cm="1">
        <f t="array" aca="1" ref="T17" ca="1">InverseLookup($A17,Risks!$AI$2,Risks!$A$2,1,Helper!$B$1,",")</f>
        <v/>
      </c>
      <c r="U17" s="21" t="str">
        <f t="shared" ref="U17:U22" ca="1" si="4">IF($T17="","",","&amp;$T17)</f>
        <v/>
      </c>
      <c r="V17" s="21" t="str" cm="1">
        <f t="array" aca="1" ref="V17" ca="1">CalculateMaxAndElements($T17,0,"",Risks!$A:$BK)</f>
        <v>0:</v>
      </c>
      <c r="W17" s="21">
        <f t="shared" ref="W17:W22" ca="1" si="5">IF($V17="","",VALUE(LEFT($V17,FIND(":",$V17)-1)))</f>
        <v>0</v>
      </c>
      <c r="X17" s="21" t="str" cm="1">
        <f t="array" ref="X17">IF($J17="","",","&amp;SanitizeInput($J17))</f>
        <v/>
      </c>
      <c r="Y17" s="21" t="b" cm="1">
        <f t="array" aca="1" ref="Y17" ca="1">INDEX('Attack Steps'!$AI:$AI,$R17)</f>
        <v>0</v>
      </c>
      <c r="Z17" s="21" cm="1">
        <f t="array" ref="Z17">CreateID($Z$2,$Z:$Z,IFERROR(FIND(Definitions!$AR$4,$O17)&gt;0,FALSE))</f>
        <v>0</v>
      </c>
      <c r="AA17" s="21">
        <f>_xlfn.LET(
_xlpm._comment,$O17,
_xlpm._keyWord,Definitions!$AR$4,
_xlpm._diffLen,LEN(_xlpm._comment)-LEN(SUBSTITUTE(_xlpm._comment,_xlpm._keyWord,"")),
_xlpm._diffLen/LEN(_xlpm._keyWord))</f>
        <v>0</v>
      </c>
      <c r="AB17" s="21" cm="1">
        <f t="array" ref="AB17">CreateID($AB$2,$AB:$AB,IFERROR(FIND(Definitions!$AR$5,$O17)&gt;0,FALSE))</f>
        <v>0</v>
      </c>
      <c r="AC17" s="21">
        <f>_xlfn.LET(
_xlpm._comment,$O17,
_xlpm._keyWord,Definitions!$AR$5,
_xlpm._diffLen,LEN(_xlpm._comment)-LEN(SUBSTITUTE(_xlpm._comment,_xlpm._keyWord,"")),
_xlpm._diffLen/LEN(_xlpm._keyWord))</f>
        <v>0</v>
      </c>
      <c r="AD17" s="21" t="str" cm="1">
        <f t="array" ref="AD17">CreateSearchString($J17)</f>
        <v/>
      </c>
      <c r="AE17" s="21" t="str" cm="1">
        <f t="array" aca="1" ref="AE17" ca="1">_xlfn.LET(
_xlpm._selected,SanitizeInput($J17),
_xlpm._catalogOptions,SanitizeInput($F17)&amp;SanitizeInput($G17)&amp;SanitizeInput($H17),
_xlpm._selectedNotInOptions,FilterElementsFromList(_xlpm._selected,_xlpm._catalogOptions,FALSE,","),
IF(_xlpm._selectedNotInOptions="","",$A17&amp;" "&amp;$B17&amp;": "&amp;SUBSTITUTE(RemoveDelimiter(_xlpm._selectedNotInOptions,","),",",", ")))</f>
        <v/>
      </c>
      <c r="AF17" s="21" cm="1">
        <f t="array" aca="1" ref="AF17" ca="1">CreateID($AF$2,$AF:$AF,$AE17&lt;&gt;"")</f>
        <v>0</v>
      </c>
      <c r="AG17" s="21" t="str" cm="1">
        <f t="array" ref="AG17">_xlfn.LET(
_xlpm._delimiter,","&amp;CHAR(10),
_xlpm._assumptions,ParseAllMitigationsFromComment($A17,"-","A",$O17,Definitions!$AR$4,Definitions!$AS$4,Definitions!$AR$6,_xlpm._delimiter,1),
_xlpm._countermeasures,ParseAllMitigationsFromComment($A17,"-","C",$O17,Definitions!$AR$5,Definitions!$AS$5,Definitions!$AR$6,_xlpm._delimiter,1),
IF(_xlpm._countermeasures="",RemoveDelimiter(_xlpm._assumptions,_xlpm._delimiter),_xlpm._assumptions&amp;RemoveDelimiter(_xlpm._countermeasures,_xlpm._delimiter)))</f>
        <v/>
      </c>
      <c r="AH17" s="21" t="str" cm="1">
        <f t="array" ref="AH17">CreateSearchString(SanitizeInput($J17)&amp;GetValuesIgnoreErrors(SanitizeInput($J17),Countermeasures!$A:$G,"",",",FALSE))</f>
        <v/>
      </c>
      <c r="AI17" s="21" t="str" cm="1">
        <f t="array" aca="1" ref="AI17" ca="1">IF(AND(IFERROR(FIND(","&amp;Countermeasures!$A$30&amp;",",$AH17)&gt;0,FALSE),Countermeasures!$AF$30=TRUE,SimpleLookup(Questions!$A$48,Questionnaire!$A:$C)=Definitions!$A$5),$A17&amp;" "&amp;$B17,"")</f>
        <v/>
      </c>
      <c r="AJ17" s="21" cm="1">
        <f t="array" aca="1" ref="AJ17" ca="1">CreateID($AJ$2,$AJ:$AJ,$AI17&lt;&gt;"")</f>
        <v>0</v>
      </c>
      <c r="AK17" s="21" t="str">
        <f t="shared" ca="1" si="2"/>
        <v/>
      </c>
      <c r="AL17" s="21" cm="1">
        <f t="array" aca="1" ref="AL17" ca="1">CreateID($AL$2,$AL:$AL,$AK17&lt;&gt;"")</f>
        <v>0</v>
      </c>
      <c r="AM17" s="21" t="str">
        <f t="shared" si="3"/>
        <v/>
      </c>
      <c r="AN17" s="21" cm="1">
        <f t="array" ref="AN17">CreateID($AN$2,$AN:$AN,$AM17&lt;&gt;"")</f>
        <v>0</v>
      </c>
    </row>
    <row r="18" spans="1:40" ht="195" x14ac:dyDescent="0.25">
      <c r="A18" s="33" t="str" cm="1">
        <f t="array" ref="A18">IF($R18=0,"",INDEX('Attack Steps'!A:A,$R18))</f>
        <v>AS16</v>
      </c>
      <c r="B18" s="16" t="str" cm="1">
        <f t="array" ref="B18">IF($R18=0,"",INDEX('Attack Steps'!B:B,$R18))</f>
        <v>Manipulating the product's configuration via its configuration interface</v>
      </c>
      <c r="C18" s="13">
        <f>3</f>
        <v>3</v>
      </c>
      <c r="D18" s="34" t="str" cm="1">
        <f t="array" aca="1" ref="D18" ca="1">_xlfn.LET(
_xlpm._displayLimit,$C18,
_xlpm._risks,$S18,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8" s="33" t="str" cm="1">
        <f t="array" aca="1" ref="E18" ca="1">_xlfn.LET(_xlpm._riskValue,CalculateMaxFromList($T18,0,Risks!$A:$AJ),
INDEX(Definitions!$AE:$AE,MATCH(_xlpm._riskValue,Definitions!$AF:$AF,0)))</f>
        <v>No Risk</v>
      </c>
      <c r="F18" s="33" t="str" cm="1">
        <f t="array" aca="1" ref="F18" ca="1">IF($A18="","",SUBSTITUTE(RemoveDelimiter(SanitizeInput(SimpleLookup($A18,'Attack Steps'!$A:$AE)),","),",",", "))</f>
        <v>CM5, CM6, CM14, CM15, CM24, CM25, CM26, CM27, CM28</v>
      </c>
      <c r="G18" s="33" t="str" cm="1">
        <f t="array" aca="1" ref="G18" ca="1">IF($A18="","",SUBSTITUTE(RemoveDelimiter(SanitizeInput(SimpleLookup($A18,'Attack Steps'!$A:$AF)),","),",",", "))</f>
        <v/>
      </c>
      <c r="H18" s="80" t="str" cm="1">
        <f t="array" aca="1" ref="H18" ca="1">IF($A18="","",_xlfn.LET(
_xlpm._proposedActive,SanitizeInput($G18),
_xlpm._proposedAll,SimpleLookup($A18,'Attack Steps'!$A:$AG),
_xlpm._proposedDiff,FilterElementsFromList(_xlpm._proposedAll,_xlpm._proposedActive,FALSE,","),
SUBSTITUTE(RemoveDelimiter(SanitizeInput(_xlpm._proposedDiff),","),",",", ")))</f>
        <v/>
      </c>
      <c r="I18" s="33" t="str" cm="1">
        <f t="array" aca="1" ref="I18" ca="1">RemoveDelimiter(GetValuesWithFallback(SanitizeInput($F18)&amp;SanitizeInput($G18)&amp;SanitizeInput($H18),Countermeasures!$A:$B,Assumptions!$A:$B," ",","&amp;CHAR(10),TRUE),","&amp;CHAR(10))</f>
        <v>CM5 SCR 2.3 - Password based authentication (human),
CM6 SCR 2.4 - Authentication with certificates (human),
CM14 SCR 2.10 - Password-based authentication (machine),
CM15 SCR 2.16 - Authentication with certificates (machine),
CM24 SSH with universal key,
CM25 SSH with individual key,
CM26 Oauth2,
CM27 LDAP over TLS,
CM28 OpenID Connect</v>
      </c>
      <c r="J18" s="13"/>
      <c r="K18" s="33" t="str" cm="1">
        <f t="array" ref="K18">RemoveDelimiter(GetValuesWithFallback(SanitizeInput($J18),Countermeasures!$A:$B,Assumptions!$A:$B," ",","&amp;CHAR(10),TRUE),","&amp;CHAR(10))</f>
        <v/>
      </c>
      <c r="L18" s="23">
        <f>3</f>
        <v>3</v>
      </c>
      <c r="M18" s="34" t="str" cm="1">
        <f t="array" aca="1" ref="M18" ca="1">_xlfn.LET(
_xlpm._displayLimit,$L18,
_xlpm._risks,$V18,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8" s="33" t="str">
        <f ca="1">INDEX(Definitions!$AE:$AE,MATCH($W18,Definitions!$AF:$AF,0))</f>
        <v>No Risk</v>
      </c>
      <c r="O18" s="13"/>
      <c r="P18" s="10" cm="1">
        <f t="array" ref="P18">GenerateShadowID(ROW(),$P$2,$P:$P,0,$A18&lt;&gt;"")</f>
        <v>16</v>
      </c>
      <c r="Q18" s="21" cm="1">
        <f t="array" ref="Q18">CreateTaskID($Q$2,$Q:$Q,Tasks!$B$17,$O18)</f>
        <v>0</v>
      </c>
      <c r="R18" s="10">
        <f>IFERROR(MATCH(ROW()-ROW($R$2),'Attack Steps'!$Q:$Q,0),0)</f>
        <v>18</v>
      </c>
      <c r="S18" s="21" t="str" cm="1">
        <f t="array" aca="1" ref="S18" ca="1">CalculateMaxAndElements($T18,0,"",Risks!$A:$AJ)</f>
        <v>0:</v>
      </c>
      <c r="T18" s="21" t="str" cm="1">
        <f t="array" aca="1" ref="T18" ca="1">InverseLookup($A18,Risks!$AI$2,Risks!$A$2,1,Helper!$B$1,",")</f>
        <v/>
      </c>
      <c r="U18" s="21" t="str">
        <f t="shared" ca="1" si="4"/>
        <v/>
      </c>
      <c r="V18" s="21" t="str" cm="1">
        <f t="array" aca="1" ref="V18" ca="1">CalculateMaxAndElements($T18,0,"",Risks!$A:$BK)</f>
        <v>0:</v>
      </c>
      <c r="W18" s="21">
        <f t="shared" ca="1" si="5"/>
        <v>0</v>
      </c>
      <c r="X18" s="21" t="str" cm="1">
        <f t="array" ref="X18">IF($J18="","",","&amp;SanitizeInput($J18))</f>
        <v/>
      </c>
      <c r="Y18" s="21" t="b" cm="1">
        <f t="array" aca="1" ref="Y18" ca="1">INDEX('Attack Steps'!$AI:$AI,$R18)</f>
        <v>0</v>
      </c>
      <c r="Z18" s="21" cm="1">
        <f t="array" ref="Z18">CreateID($Z$2,$Z:$Z,IFERROR(FIND(Definitions!$AR$4,$O18)&gt;0,FALSE))</f>
        <v>0</v>
      </c>
      <c r="AA18" s="21">
        <f>_xlfn.LET(
_xlpm._comment,$O18,
_xlpm._keyWord,Definitions!$AR$4,
_xlpm._diffLen,LEN(_xlpm._comment)-LEN(SUBSTITUTE(_xlpm._comment,_xlpm._keyWord,"")),
_xlpm._diffLen/LEN(_xlpm._keyWord))</f>
        <v>0</v>
      </c>
      <c r="AB18" s="21" cm="1">
        <f t="array" ref="AB18">CreateID($AB$2,$AB:$AB,IFERROR(FIND(Definitions!$AR$5,$O18)&gt;0,FALSE))</f>
        <v>0</v>
      </c>
      <c r="AC18" s="21">
        <f>_xlfn.LET(
_xlpm._comment,$O18,
_xlpm._keyWord,Definitions!$AR$5,
_xlpm._diffLen,LEN(_xlpm._comment)-LEN(SUBSTITUTE(_xlpm._comment,_xlpm._keyWord,"")),
_xlpm._diffLen/LEN(_xlpm._keyWord))</f>
        <v>0</v>
      </c>
      <c r="AD18" s="21" t="str" cm="1">
        <f t="array" ref="AD18">CreateSearchString($J18)</f>
        <v/>
      </c>
      <c r="AE18" s="21" t="str" cm="1">
        <f t="array" aca="1" ref="AE18" ca="1">_xlfn.LET(
_xlpm._selected,SanitizeInput($J18),
_xlpm._catalogOptions,SanitizeInput($F18)&amp;SanitizeInput($G18)&amp;SanitizeInput($H18),
_xlpm._selectedNotInOptions,FilterElementsFromList(_xlpm._selected,_xlpm._catalogOptions,FALSE,","),
IF(_xlpm._selectedNotInOptions="","",$A18&amp;" "&amp;$B18&amp;": "&amp;SUBSTITUTE(RemoveDelimiter(_xlpm._selectedNotInOptions,","),",",", ")))</f>
        <v/>
      </c>
      <c r="AF18" s="21" cm="1">
        <f t="array" aca="1" ref="AF18" ca="1">CreateID($AF$2,$AF:$AF,$AE18&lt;&gt;"")</f>
        <v>0</v>
      </c>
      <c r="AG18" s="21" t="str" cm="1">
        <f t="array" ref="AG18">_xlfn.LET(
_xlpm._delimiter,","&amp;CHAR(10),
_xlpm._assumptions,ParseAllMitigationsFromComment($A18,"-","A",$O18,Definitions!$AR$4,Definitions!$AS$4,Definitions!$AR$6,_xlpm._delimiter,1),
_xlpm._countermeasures,ParseAllMitigationsFromComment($A18,"-","C",$O18,Definitions!$AR$5,Definitions!$AS$5,Definitions!$AR$6,_xlpm._delimiter,1),
IF(_xlpm._countermeasures="",RemoveDelimiter(_xlpm._assumptions,_xlpm._delimiter),_xlpm._assumptions&amp;RemoveDelimiter(_xlpm._countermeasures,_xlpm._delimiter)))</f>
        <v/>
      </c>
      <c r="AH18" s="21" t="str" cm="1">
        <f t="array" ref="AH18">CreateSearchString(SanitizeInput($J18)&amp;GetValuesIgnoreErrors(SanitizeInput($J18),Countermeasures!$A:$G,"",",",FALSE))</f>
        <v/>
      </c>
      <c r="AI18" s="21" t="str" cm="1">
        <f t="array" aca="1" ref="AI18" ca="1">IF(AND(IFERROR(FIND(","&amp;Countermeasures!$A$30&amp;",",$AH18)&gt;0,FALSE),Countermeasures!$AF$30=TRUE,SimpleLookup(Questions!$A$48,Questionnaire!$A:$C)=Definitions!$A$5),$A18&amp;" "&amp;$B18,"")</f>
        <v/>
      </c>
      <c r="AJ18" s="21" cm="1">
        <f t="array" aca="1" ref="AJ18" ca="1">CreateID($AJ$2,$AJ:$AJ,$AI18&lt;&gt;"")</f>
        <v>0</v>
      </c>
      <c r="AK18" s="21" t="str">
        <f t="shared" ca="1" si="2"/>
        <v/>
      </c>
      <c r="AL18" s="21" cm="1">
        <f t="array" aca="1" ref="AL18" ca="1">CreateID($AL$2,$AL:$AL,$AK18&lt;&gt;"")</f>
        <v>0</v>
      </c>
      <c r="AM18" s="21" t="str">
        <f t="shared" si="3"/>
        <v/>
      </c>
      <c r="AN18" s="21" cm="1">
        <f t="array" ref="AN18">CreateID($AN$2,$AN:$AN,$AM18&lt;&gt;"")</f>
        <v>0</v>
      </c>
    </row>
    <row r="19" spans="1:40" ht="45" x14ac:dyDescent="0.25">
      <c r="A19" s="33" t="str" cm="1">
        <f t="array" ref="A19">IF($R19=0,"",INDEX('Attack Steps'!A:A,$R19))</f>
        <v>AS17</v>
      </c>
      <c r="B19" s="16" t="str" cm="1">
        <f t="array" ref="B19">IF($R19=0,"",INDEX('Attack Steps'!B:B,$R19))</f>
        <v>Sending manipulated or malicious data to the product (from an untrusted source)</v>
      </c>
      <c r="C19" s="13">
        <f>3</f>
        <v>3</v>
      </c>
      <c r="D19" s="34" t="str" cm="1">
        <f t="array" aca="1" ref="D19" ca="1">_xlfn.LET(
_xlpm._displayLimit,$C19,
_xlpm._risks,$S19,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19" s="33" t="str" cm="1">
        <f t="array" aca="1" ref="E19" ca="1">_xlfn.LET(_xlpm._riskValue,CalculateMaxFromList($T19,0,Risks!$A:$AJ),
INDEX(Definitions!$AE:$AE,MATCH(_xlpm._riskValue,Definitions!$AF:$AF,0)))</f>
        <v>No Risk</v>
      </c>
      <c r="F19" s="33" t="str" cm="1">
        <f t="array" aca="1" ref="F19" ca="1">IF($A19="","",SUBSTITUTE(RemoveDelimiter(SanitizeInput(SimpleLookup($A19,'Attack Steps'!$A:$AE)),","),",",", "))</f>
        <v>C15, CM19</v>
      </c>
      <c r="G19" s="33" t="str" cm="1">
        <f t="array" aca="1" ref="G19" ca="1">IF($A19="","",SUBSTITUTE(RemoveDelimiter(SanitizeInput(SimpleLookup($A19,'Attack Steps'!$A:$AF)),","),",",", "))</f>
        <v/>
      </c>
      <c r="H19" s="80" t="str" cm="1">
        <f t="array" aca="1" ref="H19" ca="1">IF($A19="","",_xlfn.LET(
_xlpm._proposedActive,SanitizeInput($G19),
_xlpm._proposedAll,SimpleLookup($A19,'Attack Steps'!$A:$AG),
_xlpm._proposedDiff,FilterElementsFromList(_xlpm._proposedAll,_xlpm._proposedActive,FALSE,","),
SUBSTITUTE(RemoveDelimiter(SanitizeInput(_xlpm._proposedDiff),","),",",", ")))</f>
        <v/>
      </c>
      <c r="I19" s="33" t="str" cm="1">
        <f t="array" aca="1" ref="I19" ca="1">RemoveDelimiter(GetValuesWithFallback(SanitizeInput($F19)&amp;SanitizeInput($G19)&amp;SanitizeInput($H19),Countermeasures!$A:$B,Assumptions!$A:$B," ",","&amp;CHAR(10),TRUE),","&amp;CHAR(10))</f>
        <v>C15 CR 3.5 – Input validation,
CM19 SDR 2.13 - No processing of external data</v>
      </c>
      <c r="J19" s="13"/>
      <c r="K19" s="33" t="str" cm="1">
        <f t="array" ref="K19">RemoveDelimiter(GetValuesWithFallback(SanitizeInput($J19),Countermeasures!$A:$B,Assumptions!$A:$B," ",","&amp;CHAR(10),TRUE),","&amp;CHAR(10))</f>
        <v/>
      </c>
      <c r="L19" s="23">
        <f>3</f>
        <v>3</v>
      </c>
      <c r="M19" s="34" t="str" cm="1">
        <f t="array" aca="1" ref="M19" ca="1">_xlfn.LET(
_xlpm._displayLimit,$L19,
_xlpm._risks,$V19,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19" s="33" t="str">
        <f ca="1">INDEX(Definitions!$AE:$AE,MATCH($W19,Definitions!$AF:$AF,0))</f>
        <v>No Risk</v>
      </c>
      <c r="O19" s="13"/>
      <c r="P19" s="10" cm="1">
        <f t="array" ref="P19">GenerateShadowID(ROW(),$P$2,$P:$P,0,$A19&lt;&gt;"")</f>
        <v>17</v>
      </c>
      <c r="Q19" s="21" cm="1">
        <f t="array" ref="Q19">CreateTaskID($Q$2,$Q:$Q,Tasks!$B$17,$O19)</f>
        <v>0</v>
      </c>
      <c r="R19" s="10">
        <f>IFERROR(MATCH(ROW()-ROW($R$2),'Attack Steps'!$Q:$Q,0),0)</f>
        <v>19</v>
      </c>
      <c r="S19" s="21" t="str" cm="1">
        <f t="array" aca="1" ref="S19" ca="1">CalculateMaxAndElements($T19,0,"",Risks!$A:$AJ)</f>
        <v>0:</v>
      </c>
      <c r="T19" s="21" t="str" cm="1">
        <f t="array" aca="1" ref="T19" ca="1">InverseLookup($A19,Risks!$AI$2,Risks!$A$2,1,Helper!$B$1,",")</f>
        <v/>
      </c>
      <c r="U19" s="21" t="str">
        <f t="shared" ca="1" si="4"/>
        <v/>
      </c>
      <c r="V19" s="21" t="str" cm="1">
        <f t="array" aca="1" ref="V19" ca="1">CalculateMaxAndElements($T19,0,"",Risks!$A:$BK)</f>
        <v>0:</v>
      </c>
      <c r="W19" s="21">
        <f t="shared" ca="1" si="5"/>
        <v>0</v>
      </c>
      <c r="X19" s="21" t="str" cm="1">
        <f t="array" ref="X19">IF($J19="","",","&amp;SanitizeInput($J19))</f>
        <v/>
      </c>
      <c r="Y19" s="21" t="b" cm="1">
        <f t="array" aca="1" ref="Y19" ca="1">INDEX('Attack Steps'!$AI:$AI,$R19)</f>
        <v>0</v>
      </c>
      <c r="Z19" s="21" cm="1">
        <f t="array" ref="Z19">CreateID($Z$2,$Z:$Z,IFERROR(FIND(Definitions!$AR$4,$O19)&gt;0,FALSE))</f>
        <v>0</v>
      </c>
      <c r="AA19" s="21">
        <f>_xlfn.LET(
_xlpm._comment,$O19,
_xlpm._keyWord,Definitions!$AR$4,
_xlpm._diffLen,LEN(_xlpm._comment)-LEN(SUBSTITUTE(_xlpm._comment,_xlpm._keyWord,"")),
_xlpm._diffLen/LEN(_xlpm._keyWord))</f>
        <v>0</v>
      </c>
      <c r="AB19" s="21" cm="1">
        <f t="array" ref="AB19">CreateID($AB$2,$AB:$AB,IFERROR(FIND(Definitions!$AR$5,$O19)&gt;0,FALSE))</f>
        <v>0</v>
      </c>
      <c r="AC19" s="21">
        <f>_xlfn.LET(
_xlpm._comment,$O19,
_xlpm._keyWord,Definitions!$AR$5,
_xlpm._diffLen,LEN(_xlpm._comment)-LEN(SUBSTITUTE(_xlpm._comment,_xlpm._keyWord,"")),
_xlpm._diffLen/LEN(_xlpm._keyWord))</f>
        <v>0</v>
      </c>
      <c r="AD19" s="21" t="str" cm="1">
        <f t="array" ref="AD19">CreateSearchString($J19)</f>
        <v/>
      </c>
      <c r="AE19" s="21" t="str" cm="1">
        <f t="array" aca="1" ref="AE19" ca="1">_xlfn.LET(
_xlpm._selected,SanitizeInput($J19),
_xlpm._catalogOptions,SanitizeInput($F19)&amp;SanitizeInput($G19)&amp;SanitizeInput($H19),
_xlpm._selectedNotInOptions,FilterElementsFromList(_xlpm._selected,_xlpm._catalogOptions,FALSE,","),
IF(_xlpm._selectedNotInOptions="","",$A19&amp;" "&amp;$B19&amp;": "&amp;SUBSTITUTE(RemoveDelimiter(_xlpm._selectedNotInOptions,","),",",", ")))</f>
        <v/>
      </c>
      <c r="AF19" s="21" cm="1">
        <f t="array" aca="1" ref="AF19" ca="1">CreateID($AF$2,$AF:$AF,$AE19&lt;&gt;"")</f>
        <v>0</v>
      </c>
      <c r="AG19" s="21" t="str" cm="1">
        <f t="array" ref="AG19">_xlfn.LET(
_xlpm._delimiter,","&amp;CHAR(10),
_xlpm._assumptions,ParseAllMitigationsFromComment($A19,"-","A",$O19,Definitions!$AR$4,Definitions!$AS$4,Definitions!$AR$6,_xlpm._delimiter,1),
_xlpm._countermeasures,ParseAllMitigationsFromComment($A19,"-","C",$O19,Definitions!$AR$5,Definitions!$AS$5,Definitions!$AR$6,_xlpm._delimiter,1),
IF(_xlpm._countermeasures="",RemoveDelimiter(_xlpm._assumptions,_xlpm._delimiter),_xlpm._assumptions&amp;RemoveDelimiter(_xlpm._countermeasures,_xlpm._delimiter)))</f>
        <v/>
      </c>
      <c r="AH19" s="21" t="str" cm="1">
        <f t="array" ref="AH19">CreateSearchString(SanitizeInput($J19)&amp;GetValuesIgnoreErrors(SanitizeInput($J19),Countermeasures!$A:$G,"",",",FALSE))</f>
        <v/>
      </c>
      <c r="AI19" s="21" t="str" cm="1">
        <f t="array" aca="1" ref="AI19" ca="1">IF(AND(IFERROR(FIND(","&amp;Countermeasures!$A$30&amp;",",$AH19)&gt;0,FALSE),Countermeasures!$AF$30=TRUE,SimpleLookup(Questions!$A$48,Questionnaire!$A:$C)=Definitions!$A$5),$A19&amp;" "&amp;$B19,"")</f>
        <v/>
      </c>
      <c r="AJ19" s="21" cm="1">
        <f t="array" aca="1" ref="AJ19" ca="1">CreateID($AJ$2,$AJ:$AJ,$AI19&lt;&gt;"")</f>
        <v>0</v>
      </c>
      <c r="AK19" s="21" t="str">
        <f t="shared" ca="1" si="2"/>
        <v/>
      </c>
      <c r="AL19" s="21" cm="1">
        <f t="array" aca="1" ref="AL19" ca="1">CreateID($AL$2,$AL:$AL,$AK19&lt;&gt;"")</f>
        <v>0</v>
      </c>
      <c r="AM19" s="21" t="str">
        <f t="shared" si="3"/>
        <v/>
      </c>
      <c r="AN19" s="21" cm="1">
        <f t="array" ref="AN19">CreateID($AN$2,$AN:$AN,$AM19&lt;&gt;"")</f>
        <v>0</v>
      </c>
    </row>
    <row r="20" spans="1:40" ht="75" x14ac:dyDescent="0.25">
      <c r="A20" s="33" t="str" cm="1">
        <f t="array" ref="A20">IF($R20=0,"",INDEX('Attack Steps'!A:A,$R20))</f>
        <v>AS18</v>
      </c>
      <c r="B20" s="16" t="str" cm="1">
        <f t="array" ref="B20">IF($R20=0,"",INDEX('Attack Steps'!B:B,$R20))</f>
        <v>Abusing the software update functionality to manipulate the product</v>
      </c>
      <c r="C20" s="13">
        <f>3</f>
        <v>3</v>
      </c>
      <c r="D20" s="34" t="str" cm="1">
        <f t="array" aca="1" ref="D20" ca="1">_xlfn.LET(
_xlpm._displayLimit,$C20,
_xlpm._risks,$S20,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0" s="33" t="str" cm="1">
        <f t="array" aca="1" ref="E20" ca="1">_xlfn.LET(_xlpm._riskValue,CalculateMaxFromList($T20,0,Risks!$A:$AJ),
INDEX(Definitions!$AE:$AE,MATCH(_xlpm._riskValue,Definitions!$AF:$AF,0)))</f>
        <v>No Risk</v>
      </c>
      <c r="F20" s="33" t="str" cm="1">
        <f t="array" aca="1" ref="F20" ca="1">IF($A20="","",SUBSTITUTE(RemoveDelimiter(SanitizeInput(SimpleLookup($A20,'Attack Steps'!$A:$AE)),","),",",", "))</f>
        <v>CM12</v>
      </c>
      <c r="G20" s="33" t="str" cm="1">
        <f t="array" aca="1" ref="G20" ca="1">IF($A20="","",SUBSTITUTE(RemoveDelimiter(SanitizeInput(SimpleLookup($A20,'Attack Steps'!$A:$AF)),","),",",", "))</f>
        <v/>
      </c>
      <c r="H20" s="80" t="str" cm="1">
        <f t="array" aca="1" ref="H20" ca="1">IF($A20="","",_xlfn.LET(
_xlpm._proposedActive,SanitizeInput($G20),
_xlpm._proposedAll,SimpleLookup($A20,'Attack Steps'!$A:$AG),
_xlpm._proposedDiff,FilterElementsFromList(_xlpm._proposedAll,_xlpm._proposedActive,FALSE,","),
SUBSTITUTE(RemoveDelimiter(SanitizeInput(_xlpm._proposedDiff),","),",",", ")))</f>
        <v/>
      </c>
      <c r="I20" s="33" t="str" cm="1">
        <f t="array" aca="1" ref="I20" ca="1">RemoveDelimiter(GetValuesWithFallback(SanitizeInput($F20)&amp;SanitizeInput($G20)&amp;SanitizeInput($H20),Countermeasures!$A:$B,Assumptions!$A:$B," ",","&amp;CHAR(10),TRUE),","&amp;CHAR(10))</f>
        <v>CM12 Secure update: RE1 Update authenticity and integrity
EDR 3.10 / HDR 3.10 / NDR 3.10 – Support for updates</v>
      </c>
      <c r="J20" s="13"/>
      <c r="K20" s="33" t="str" cm="1">
        <f t="array" ref="K20">RemoveDelimiter(GetValuesWithFallback(SanitizeInput($J20),Countermeasures!$A:$B,Assumptions!$A:$B," ",","&amp;CHAR(10),TRUE),","&amp;CHAR(10))</f>
        <v/>
      </c>
      <c r="L20" s="23">
        <f>3</f>
        <v>3</v>
      </c>
      <c r="M20" s="34" t="str" cm="1">
        <f t="array" aca="1" ref="M20" ca="1">_xlfn.LET(
_xlpm._displayLimit,$L20,
_xlpm._risks,$V20,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0" s="33" t="str">
        <f ca="1">INDEX(Definitions!$AE:$AE,MATCH($W20,Definitions!$AF:$AF,0))</f>
        <v>No Risk</v>
      </c>
      <c r="O20" s="13"/>
      <c r="P20" s="10" cm="1">
        <f t="array" ref="P20">GenerateShadowID(ROW(),$P$2,$P:$P,0,$A20&lt;&gt;"")</f>
        <v>18</v>
      </c>
      <c r="Q20" s="21" cm="1">
        <f t="array" ref="Q20">CreateTaskID($Q$2,$Q:$Q,Tasks!$B$17,$O20)</f>
        <v>0</v>
      </c>
      <c r="R20" s="10">
        <f>IFERROR(MATCH(ROW()-ROW($R$2),'Attack Steps'!$Q:$Q,0),0)</f>
        <v>20</v>
      </c>
      <c r="S20" s="21" t="str" cm="1">
        <f t="array" aca="1" ref="S20" ca="1">CalculateMaxAndElements($T20,0,"",Risks!$A:$AJ)</f>
        <v>0:</v>
      </c>
      <c r="T20" s="21" t="str" cm="1">
        <f t="array" aca="1" ref="T20" ca="1">InverseLookup($A20,Risks!$AI$2,Risks!$A$2,1,Helper!$B$1,",")</f>
        <v/>
      </c>
      <c r="U20" s="21" t="str">
        <f t="shared" ca="1" si="4"/>
        <v/>
      </c>
      <c r="V20" s="21" t="str" cm="1">
        <f t="array" aca="1" ref="V20" ca="1">CalculateMaxAndElements($T20,0,"",Risks!$A:$BK)</f>
        <v>0:</v>
      </c>
      <c r="W20" s="21">
        <f t="shared" ca="1" si="5"/>
        <v>0</v>
      </c>
      <c r="X20" s="21" t="str" cm="1">
        <f t="array" ref="X20">IF($J20="","",","&amp;SanitizeInput($J20))</f>
        <v/>
      </c>
      <c r="Y20" s="21" t="b" cm="1">
        <f t="array" aca="1" ref="Y20" ca="1">INDEX('Attack Steps'!$AI:$AI,$R20)</f>
        <v>0</v>
      </c>
      <c r="Z20" s="21" cm="1">
        <f t="array" ref="Z20">CreateID($Z$2,$Z:$Z,IFERROR(FIND(Definitions!$AR$4,$O20)&gt;0,FALSE))</f>
        <v>0</v>
      </c>
      <c r="AA20" s="21">
        <f>_xlfn.LET(
_xlpm._comment,$O20,
_xlpm._keyWord,Definitions!$AR$4,
_xlpm._diffLen,LEN(_xlpm._comment)-LEN(SUBSTITUTE(_xlpm._comment,_xlpm._keyWord,"")),
_xlpm._diffLen/LEN(_xlpm._keyWord))</f>
        <v>0</v>
      </c>
      <c r="AB20" s="21" cm="1">
        <f t="array" ref="AB20">CreateID($AB$2,$AB:$AB,IFERROR(FIND(Definitions!$AR$5,$O20)&gt;0,FALSE))</f>
        <v>0</v>
      </c>
      <c r="AC20" s="21">
        <f>_xlfn.LET(
_xlpm._comment,$O20,
_xlpm._keyWord,Definitions!$AR$5,
_xlpm._diffLen,LEN(_xlpm._comment)-LEN(SUBSTITUTE(_xlpm._comment,_xlpm._keyWord,"")),
_xlpm._diffLen/LEN(_xlpm._keyWord))</f>
        <v>0</v>
      </c>
      <c r="AD20" s="21" t="str" cm="1">
        <f t="array" ref="AD20">CreateSearchString($J20)</f>
        <v/>
      </c>
      <c r="AE20" s="21" t="str" cm="1">
        <f t="array" aca="1" ref="AE20" ca="1">_xlfn.LET(
_xlpm._selected,SanitizeInput($J20),
_xlpm._catalogOptions,SanitizeInput($F20)&amp;SanitizeInput($G20)&amp;SanitizeInput($H20),
_xlpm._selectedNotInOptions,FilterElementsFromList(_xlpm._selected,_xlpm._catalogOptions,FALSE,","),
IF(_xlpm._selectedNotInOptions="","",$A20&amp;" "&amp;$B20&amp;": "&amp;SUBSTITUTE(RemoveDelimiter(_xlpm._selectedNotInOptions,","),",",", ")))</f>
        <v/>
      </c>
      <c r="AF20" s="21" cm="1">
        <f t="array" aca="1" ref="AF20" ca="1">CreateID($AF$2,$AF:$AF,$AE20&lt;&gt;"")</f>
        <v>0</v>
      </c>
      <c r="AG20" s="21" t="str" cm="1">
        <f t="array" ref="AG20">_xlfn.LET(
_xlpm._delimiter,","&amp;CHAR(10),
_xlpm._assumptions,ParseAllMitigationsFromComment($A20,"-","A",$O20,Definitions!$AR$4,Definitions!$AS$4,Definitions!$AR$6,_xlpm._delimiter,1),
_xlpm._countermeasures,ParseAllMitigationsFromComment($A20,"-","C",$O20,Definitions!$AR$5,Definitions!$AS$5,Definitions!$AR$6,_xlpm._delimiter,1),
IF(_xlpm._countermeasures="",RemoveDelimiter(_xlpm._assumptions,_xlpm._delimiter),_xlpm._assumptions&amp;RemoveDelimiter(_xlpm._countermeasures,_xlpm._delimiter)))</f>
        <v/>
      </c>
      <c r="AH20" s="21" t="str" cm="1">
        <f t="array" ref="AH20">CreateSearchString(SanitizeInput($J20)&amp;GetValuesIgnoreErrors(SanitizeInput($J20),Countermeasures!$A:$G,"",",",FALSE))</f>
        <v/>
      </c>
      <c r="AI20" s="21" t="str" cm="1">
        <f t="array" aca="1" ref="AI20" ca="1">IF(AND(IFERROR(FIND(","&amp;Countermeasures!$A$30&amp;",",$AH20)&gt;0,FALSE),Countermeasures!$AF$30=TRUE,SimpleLookup(Questions!$A$48,Questionnaire!$A:$C)=Definitions!$A$5),$A20&amp;" "&amp;$B20,"")</f>
        <v/>
      </c>
      <c r="AJ20" s="21" cm="1">
        <f t="array" aca="1" ref="AJ20" ca="1">CreateID($AJ$2,$AJ:$AJ,$AI20&lt;&gt;"")</f>
        <v>0</v>
      </c>
      <c r="AK20" s="21" t="str">
        <f t="shared" ca="1" si="2"/>
        <v/>
      </c>
      <c r="AL20" s="21" cm="1">
        <f t="array" aca="1" ref="AL20" ca="1">CreateID($AL$2,$AL:$AL,$AK20&lt;&gt;"")</f>
        <v>0</v>
      </c>
      <c r="AM20" s="21" t="str">
        <f t="shared" si="3"/>
        <v/>
      </c>
      <c r="AN20" s="21" cm="1">
        <f t="array" ref="AN20">CreateID($AN$2,$AN:$AN,$AM20&lt;&gt;"")</f>
        <v>0</v>
      </c>
    </row>
    <row r="21" spans="1:40" ht="60" x14ac:dyDescent="0.25">
      <c r="A21" s="33" t="str" cm="1">
        <f t="array" ref="A21">IF($R21=0,"",INDEX('Attack Steps'!A:A,$R21))</f>
        <v>AS19</v>
      </c>
      <c r="B21" s="16" t="str" cm="1">
        <f t="array" ref="B21">IF($R21=0,"",INDEX('Attack Steps'!B:B,$R21))</f>
        <v>Spoofing an entity sending a software update or manipulation of the update during transmission</v>
      </c>
      <c r="C21" s="13">
        <f>3</f>
        <v>3</v>
      </c>
      <c r="D21" s="34" t="str" cm="1">
        <f t="array" aca="1" ref="D21" ca="1">_xlfn.LET(
_xlpm._displayLimit,$C21,
_xlpm._risks,$S21,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1" s="33" t="str" cm="1">
        <f t="array" aca="1" ref="E21" ca="1">_xlfn.LET(_xlpm._riskValue,CalculateMaxFromList($T21,0,Risks!$A:$AJ),
INDEX(Definitions!$AE:$AE,MATCH(_xlpm._riskValue,Definitions!$AF:$AF,0)))</f>
        <v>No Risk</v>
      </c>
      <c r="F21" s="33" t="str" cm="1">
        <f t="array" aca="1" ref="F21" ca="1">IF($A21="","",SUBSTITUTE(RemoveDelimiter(SanitizeInput(SimpleLookup($A21,'Attack Steps'!$A:$AE)),","),",",", "))</f>
        <v>CM11</v>
      </c>
      <c r="G21" s="33" t="str" cm="1">
        <f t="array" aca="1" ref="G21" ca="1">IF($A21="","",SUBSTITUTE(RemoveDelimiter(SanitizeInput(SimpleLookup($A21,'Attack Steps'!$A:$AF)),","),",",", "))</f>
        <v/>
      </c>
      <c r="H21" s="80" t="str" cm="1">
        <f t="array" aca="1" ref="H21" ca="1">IF($A21="","",_xlfn.LET(
_xlpm._proposedActive,SanitizeInput($G21),
_xlpm._proposedAll,SimpleLookup($A21,'Attack Steps'!$A:$AG),
_xlpm._proposedDiff,FilterElementsFromList(_xlpm._proposedAll,_xlpm._proposedActive,FALSE,","),
SUBSTITUTE(RemoveDelimiter(SanitizeInput(_xlpm._proposedDiff),","),",",", ")))</f>
        <v/>
      </c>
      <c r="I21" s="33" t="str" cm="1">
        <f t="array" aca="1" ref="I21" ca="1">RemoveDelimiter(GetValuesWithFallback(SanitizeInput($F21)&amp;SanitizeInput($G21)&amp;SanitizeInput($H21),Countermeasures!$A:$B,Assumptions!$A:$B," ",","&amp;CHAR(10),TRUE),","&amp;CHAR(10))</f>
        <v>CM11 SCR 2.9 - Secure channel with communication partner authentication</v>
      </c>
      <c r="J21" s="13"/>
      <c r="K21" s="33" t="str" cm="1">
        <f t="array" ref="K21">RemoveDelimiter(GetValuesWithFallback(SanitizeInput($J21),Countermeasures!$A:$B,Assumptions!$A:$B," ",","&amp;CHAR(10),TRUE),","&amp;CHAR(10))</f>
        <v/>
      </c>
      <c r="L21" s="23">
        <f>3</f>
        <v>3</v>
      </c>
      <c r="M21" s="34" t="str" cm="1">
        <f t="array" aca="1" ref="M21" ca="1">_xlfn.LET(
_xlpm._displayLimit,$L21,
_xlpm._risks,$V21,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1" s="33" t="str">
        <f ca="1">INDEX(Definitions!$AE:$AE,MATCH($W21,Definitions!$AF:$AF,0))</f>
        <v>No Risk</v>
      </c>
      <c r="O21" s="13"/>
      <c r="P21" s="10" cm="1">
        <f t="array" ref="P21">GenerateShadowID(ROW(),$P$2,$P:$P,0,$A21&lt;&gt;"")</f>
        <v>19</v>
      </c>
      <c r="Q21" s="21" cm="1">
        <f t="array" ref="Q21">CreateTaskID($Q$2,$Q:$Q,Tasks!$B$17,$O21)</f>
        <v>0</v>
      </c>
      <c r="R21" s="10">
        <f>IFERROR(MATCH(ROW()-ROW($R$2),'Attack Steps'!$Q:$Q,0),0)</f>
        <v>21</v>
      </c>
      <c r="S21" s="21" t="str" cm="1">
        <f t="array" aca="1" ref="S21" ca="1">CalculateMaxAndElements($T21,0,"",Risks!$A:$AJ)</f>
        <v>0:</v>
      </c>
      <c r="T21" s="21" t="str" cm="1">
        <f t="array" aca="1" ref="T21" ca="1">InverseLookup($A21,Risks!$AI$2,Risks!$A$2,1,Helper!$B$1,",")</f>
        <v/>
      </c>
      <c r="U21" s="21" t="str">
        <f t="shared" ca="1" si="4"/>
        <v/>
      </c>
      <c r="V21" s="21" t="str" cm="1">
        <f t="array" aca="1" ref="V21" ca="1">CalculateMaxAndElements($T21,0,"",Risks!$A:$BK)</f>
        <v>0:</v>
      </c>
      <c r="W21" s="21">
        <f t="shared" ca="1" si="5"/>
        <v>0</v>
      </c>
      <c r="X21" s="21" t="str" cm="1">
        <f t="array" ref="X21">IF($J21="","",","&amp;SanitizeInput($J21))</f>
        <v/>
      </c>
      <c r="Y21" s="21" t="b" cm="1">
        <f t="array" aca="1" ref="Y21" ca="1">INDEX('Attack Steps'!$AI:$AI,$R21)</f>
        <v>0</v>
      </c>
      <c r="Z21" s="21" cm="1">
        <f t="array" ref="Z21">CreateID($Z$2,$Z:$Z,IFERROR(FIND(Definitions!$AR$4,$O21)&gt;0,FALSE))</f>
        <v>0</v>
      </c>
      <c r="AA21" s="21">
        <f>_xlfn.LET(
_xlpm._comment,$O21,
_xlpm._keyWord,Definitions!$AR$4,
_xlpm._diffLen,LEN(_xlpm._comment)-LEN(SUBSTITUTE(_xlpm._comment,_xlpm._keyWord,"")),
_xlpm._diffLen/LEN(_xlpm._keyWord))</f>
        <v>0</v>
      </c>
      <c r="AB21" s="21" cm="1">
        <f t="array" ref="AB21">CreateID($AB$2,$AB:$AB,IFERROR(FIND(Definitions!$AR$5,$O21)&gt;0,FALSE))</f>
        <v>0</v>
      </c>
      <c r="AC21" s="21">
        <f>_xlfn.LET(
_xlpm._comment,$O21,
_xlpm._keyWord,Definitions!$AR$5,
_xlpm._diffLen,LEN(_xlpm._comment)-LEN(SUBSTITUTE(_xlpm._comment,_xlpm._keyWord,"")),
_xlpm._diffLen/LEN(_xlpm._keyWord))</f>
        <v>0</v>
      </c>
      <c r="AD21" s="21" t="str" cm="1">
        <f t="array" ref="AD21">CreateSearchString($J21)</f>
        <v/>
      </c>
      <c r="AE21" s="21" t="str" cm="1">
        <f t="array" aca="1" ref="AE21" ca="1">_xlfn.LET(
_xlpm._selected,SanitizeInput($J21),
_xlpm._catalogOptions,SanitizeInput($F21)&amp;SanitizeInput($G21)&amp;SanitizeInput($H21),
_xlpm._selectedNotInOptions,FilterElementsFromList(_xlpm._selected,_xlpm._catalogOptions,FALSE,","),
IF(_xlpm._selectedNotInOptions="","",$A21&amp;" "&amp;$B21&amp;": "&amp;SUBSTITUTE(RemoveDelimiter(_xlpm._selectedNotInOptions,","),",",", ")))</f>
        <v/>
      </c>
      <c r="AF21" s="21" cm="1">
        <f t="array" aca="1" ref="AF21" ca="1">CreateID($AF$2,$AF:$AF,$AE21&lt;&gt;"")</f>
        <v>0</v>
      </c>
      <c r="AG21" s="21" t="str" cm="1">
        <f t="array" ref="AG21">_xlfn.LET(
_xlpm._delimiter,","&amp;CHAR(10),
_xlpm._assumptions,ParseAllMitigationsFromComment($A21,"-","A",$O21,Definitions!$AR$4,Definitions!$AS$4,Definitions!$AR$6,_xlpm._delimiter,1),
_xlpm._countermeasures,ParseAllMitigationsFromComment($A21,"-","C",$O21,Definitions!$AR$5,Definitions!$AS$5,Definitions!$AR$6,_xlpm._delimiter,1),
IF(_xlpm._countermeasures="",RemoveDelimiter(_xlpm._assumptions,_xlpm._delimiter),_xlpm._assumptions&amp;RemoveDelimiter(_xlpm._countermeasures,_xlpm._delimiter)))</f>
        <v/>
      </c>
      <c r="AH21" s="21" t="str" cm="1">
        <f t="array" ref="AH21">CreateSearchString(SanitizeInput($J21)&amp;GetValuesIgnoreErrors(SanitizeInput($J21),Countermeasures!$A:$G,"",",",FALSE))</f>
        <v/>
      </c>
      <c r="AI21" s="21" t="str" cm="1">
        <f t="array" aca="1" ref="AI21" ca="1">IF(AND(IFERROR(FIND(","&amp;Countermeasures!$A$30&amp;",",$AH21)&gt;0,FALSE),Countermeasures!$AF$30=TRUE,SimpleLookup(Questions!$A$48,Questionnaire!$A:$C)=Definitions!$A$5),$A21&amp;" "&amp;$B21,"")</f>
        <v/>
      </c>
      <c r="AJ21" s="21" cm="1">
        <f t="array" aca="1" ref="AJ21" ca="1">CreateID($AJ$2,$AJ:$AJ,$AI21&lt;&gt;"")</f>
        <v>0</v>
      </c>
      <c r="AK21" s="21" t="str">
        <f t="shared" ca="1" si="2"/>
        <v/>
      </c>
      <c r="AL21" s="21" cm="1">
        <f t="array" aca="1" ref="AL21" ca="1">CreateID($AL$2,$AL:$AL,$AK21&lt;&gt;"")</f>
        <v>0</v>
      </c>
      <c r="AM21" s="21" t="str">
        <f t="shared" si="3"/>
        <v/>
      </c>
      <c r="AN21" s="21" cm="1">
        <f t="array" ref="AN21">CreateID($AN$2,$AN:$AN,$AM21&lt;&gt;"")</f>
        <v>0</v>
      </c>
    </row>
    <row r="22" spans="1:40" ht="30" x14ac:dyDescent="0.25">
      <c r="A22" s="33" t="str" cm="1">
        <f t="array" ref="A22">IF($R22=0,"",INDEX('Attack Steps'!A:A,$R22))</f>
        <v>AS20</v>
      </c>
      <c r="B22" s="16" t="str" cm="1">
        <f t="array" ref="B22">IF($R22=0,"",INDEX('Attack Steps'!B:B,$R22))</f>
        <v>Providing a malicious software update from an untrusted source</v>
      </c>
      <c r="C22" s="13">
        <f>3</f>
        <v>3</v>
      </c>
      <c r="D22" s="34" t="str" cm="1">
        <f t="array" aca="1" ref="D22" ca="1">_xlfn.LET(
_xlpm._displayLimit,$C22,
_xlpm._risks,$S22,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2" s="33" t="str" cm="1">
        <f t="array" aca="1" ref="E22" ca="1">_xlfn.LET(_xlpm._riskValue,CalculateMaxFromList($T22,0,Risks!$A:$AJ),
INDEX(Definitions!$AE:$AE,MATCH(_xlpm._riskValue,Definitions!$AF:$AF,0)))</f>
        <v>No Risk</v>
      </c>
      <c r="F22" s="33" t="str" cm="1">
        <f t="array" aca="1" ref="F22" ca="1">IF($A22="","",SUBSTITUTE(RemoveDelimiter(SanitizeInput(SimpleLookup($A22,'Attack Steps'!$A:$AE)),","),",",", "))</f>
        <v/>
      </c>
      <c r="G22" s="33" t="str" cm="1">
        <f t="array" aca="1" ref="G22" ca="1">IF($A22="","",SUBSTITUTE(RemoveDelimiter(SanitizeInput(SimpleLookup($A22,'Attack Steps'!$A:$AF)),","),",",", "))</f>
        <v/>
      </c>
      <c r="H22" s="80" t="str" cm="1">
        <f t="array" aca="1" ref="H22" ca="1">IF($A22="","",_xlfn.LET(
_xlpm._proposedActive,SanitizeInput($G22),
_xlpm._proposedAll,SimpleLookup($A22,'Attack Steps'!$A:$AG),
_xlpm._proposedDiff,FilterElementsFromList(_xlpm._proposedAll,_xlpm._proposedActive,FALSE,","),
SUBSTITUTE(RemoveDelimiter(SanitizeInput(_xlpm._proposedDiff),","),",",", ")))</f>
        <v/>
      </c>
      <c r="I22" s="33" t="str" cm="1">
        <f t="array" aca="1" ref="I22" ca="1">RemoveDelimiter(GetValuesWithFallback(SanitizeInput($F22)&amp;SanitizeInput($G22)&amp;SanitizeInput($H22),Countermeasures!$A:$B,Assumptions!$A:$B," ",","&amp;CHAR(10),TRUE),","&amp;CHAR(10))</f>
        <v/>
      </c>
      <c r="J22" s="13"/>
      <c r="K22" s="33" t="str" cm="1">
        <f t="array" ref="K22">RemoveDelimiter(GetValuesWithFallback(SanitizeInput($J22),Countermeasures!$A:$B,Assumptions!$A:$B," ",","&amp;CHAR(10),TRUE),","&amp;CHAR(10))</f>
        <v/>
      </c>
      <c r="L22" s="23">
        <f>3</f>
        <v>3</v>
      </c>
      <c r="M22" s="34" t="str" cm="1">
        <f t="array" aca="1" ref="M22" ca="1">_xlfn.LET(
_xlpm._displayLimit,$L22,
_xlpm._risks,$V22,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2" s="33" t="str">
        <f ca="1">INDEX(Definitions!$AE:$AE,MATCH($W22,Definitions!$AF:$AF,0))</f>
        <v>No Risk</v>
      </c>
      <c r="O22" s="13"/>
      <c r="P22" s="10" cm="1">
        <f t="array" ref="P22">GenerateShadowID(ROW(),$P$2,$P:$P,0,$A22&lt;&gt;"")</f>
        <v>20</v>
      </c>
      <c r="Q22" s="21" cm="1">
        <f t="array" ref="Q22">CreateTaskID($Q$2,$Q:$Q,Tasks!$B$17,$O22)</f>
        <v>0</v>
      </c>
      <c r="R22" s="10">
        <f>IFERROR(MATCH(ROW()-ROW($R$2),'Attack Steps'!$Q:$Q,0),0)</f>
        <v>22</v>
      </c>
      <c r="S22" s="21" t="str" cm="1">
        <f t="array" aca="1" ref="S22" ca="1">CalculateMaxAndElements($T22,0,"",Risks!$A:$AJ)</f>
        <v>0:</v>
      </c>
      <c r="T22" s="21" t="str" cm="1">
        <f t="array" aca="1" ref="T22" ca="1">InverseLookup($A22,Risks!$AI$2,Risks!$A$2,1,Helper!$B$1,",")</f>
        <v/>
      </c>
      <c r="U22" s="21" t="str">
        <f t="shared" ca="1" si="4"/>
        <v/>
      </c>
      <c r="V22" s="21" t="str" cm="1">
        <f t="array" aca="1" ref="V22" ca="1">CalculateMaxAndElements($T22,0,"",Risks!$A:$BK)</f>
        <v>0:</v>
      </c>
      <c r="W22" s="21">
        <f t="shared" ca="1" si="5"/>
        <v>0</v>
      </c>
      <c r="X22" s="21" t="str" cm="1">
        <f t="array" ref="X22">IF($J22="","",","&amp;SanitizeInput($J22))</f>
        <v/>
      </c>
      <c r="Y22" s="21" t="b" cm="1">
        <f t="array" aca="1" ref="Y22" ca="1">INDEX('Attack Steps'!$AI:$AI,$R22)</f>
        <v>0</v>
      </c>
      <c r="Z22" s="21" cm="1">
        <f t="array" ref="Z22">CreateID($Z$2,$Z:$Z,IFERROR(FIND(Definitions!$AR$4,$O22)&gt;0,FALSE))</f>
        <v>0</v>
      </c>
      <c r="AA22" s="21">
        <f>_xlfn.LET(
_xlpm._comment,$O22,
_xlpm._keyWord,Definitions!$AR$4,
_xlpm._diffLen,LEN(_xlpm._comment)-LEN(SUBSTITUTE(_xlpm._comment,_xlpm._keyWord,"")),
_xlpm._diffLen/LEN(_xlpm._keyWord))</f>
        <v>0</v>
      </c>
      <c r="AB22" s="21" cm="1">
        <f t="array" ref="AB22">CreateID($AB$2,$AB:$AB,IFERROR(FIND(Definitions!$AR$5,$O22)&gt;0,FALSE))</f>
        <v>0</v>
      </c>
      <c r="AC22" s="21">
        <f>_xlfn.LET(
_xlpm._comment,$O22,
_xlpm._keyWord,Definitions!$AR$5,
_xlpm._diffLen,LEN(_xlpm._comment)-LEN(SUBSTITUTE(_xlpm._comment,_xlpm._keyWord,"")),
_xlpm._diffLen/LEN(_xlpm._keyWord))</f>
        <v>0</v>
      </c>
      <c r="AD22" s="21" t="str" cm="1">
        <f t="array" ref="AD22">CreateSearchString($J22)</f>
        <v/>
      </c>
      <c r="AE22" s="21" t="str" cm="1">
        <f t="array" aca="1" ref="AE22" ca="1">_xlfn.LET(
_xlpm._selected,SanitizeInput($J22),
_xlpm._catalogOptions,SanitizeInput($F22)&amp;SanitizeInput($G22)&amp;SanitizeInput($H22),
_xlpm._selectedNotInOptions,FilterElementsFromList(_xlpm._selected,_xlpm._catalogOptions,FALSE,","),
IF(_xlpm._selectedNotInOptions="","",$A22&amp;" "&amp;$B22&amp;": "&amp;SUBSTITUTE(RemoveDelimiter(_xlpm._selectedNotInOptions,","),",",", ")))</f>
        <v/>
      </c>
      <c r="AF22" s="21" cm="1">
        <f t="array" aca="1" ref="AF22" ca="1">CreateID($AF$2,$AF:$AF,$AE22&lt;&gt;"")</f>
        <v>0</v>
      </c>
      <c r="AG22" s="21" t="str" cm="1">
        <f t="array" ref="AG22">_xlfn.LET(
_xlpm._delimiter,","&amp;CHAR(10),
_xlpm._assumptions,ParseAllMitigationsFromComment($A22,"-","A",$O22,Definitions!$AR$4,Definitions!$AS$4,Definitions!$AR$6,_xlpm._delimiter,1),
_xlpm._countermeasures,ParseAllMitigationsFromComment($A22,"-","C",$O22,Definitions!$AR$5,Definitions!$AS$5,Definitions!$AR$6,_xlpm._delimiter,1),
IF(_xlpm._countermeasures="",RemoveDelimiter(_xlpm._assumptions,_xlpm._delimiter),_xlpm._assumptions&amp;RemoveDelimiter(_xlpm._countermeasures,_xlpm._delimiter)))</f>
        <v/>
      </c>
      <c r="AH22" s="21" t="str" cm="1">
        <f t="array" ref="AH22">CreateSearchString(SanitizeInput($J22)&amp;GetValuesIgnoreErrors(SanitizeInput($J22),Countermeasures!$A:$G,"",",",FALSE))</f>
        <v/>
      </c>
      <c r="AI22" s="21" t="str" cm="1">
        <f t="array" aca="1" ref="AI22" ca="1">IF(AND(IFERROR(FIND(","&amp;Countermeasures!$A$30&amp;",",$AH22)&gt;0,FALSE),Countermeasures!$AF$30=TRUE,SimpleLookup(Questions!$A$48,Questionnaire!$A:$C)=Definitions!$A$5),$A22&amp;" "&amp;$B22,"")</f>
        <v/>
      </c>
      <c r="AJ22" s="21" cm="1">
        <f t="array" aca="1" ref="AJ22" ca="1">CreateID($AJ$2,$AJ:$AJ,$AI22&lt;&gt;"")</f>
        <v>0</v>
      </c>
      <c r="AK22" s="21" t="str">
        <f t="shared" ca="1" si="2"/>
        <v/>
      </c>
      <c r="AL22" s="21" cm="1">
        <f t="array" aca="1" ref="AL22" ca="1">CreateID($AL$2,$AL:$AL,$AK22&lt;&gt;"")</f>
        <v>0</v>
      </c>
      <c r="AM22" s="21" t="str">
        <f t="shared" si="3"/>
        <v/>
      </c>
      <c r="AN22" s="21" cm="1">
        <f t="array" ref="AN22">CreateID($AN$2,$AN:$AN,$AM22&lt;&gt;"")</f>
        <v>0</v>
      </c>
    </row>
    <row r="23" spans="1:40" ht="90" x14ac:dyDescent="0.25">
      <c r="A23" s="33" t="str" cm="1">
        <f t="array" ref="A23">IF($R23=0,"",INDEX('Attack Steps'!A:A,$R23))</f>
        <v>AS21</v>
      </c>
      <c r="B23" s="16" t="str" cm="1">
        <f t="array" ref="B23">IF($R23=0,"",INDEX('Attack Steps'!B:B,$R23))</f>
        <v>Gaining physical access to the product (3rd party)</v>
      </c>
      <c r="C23" s="13">
        <f>3</f>
        <v>3</v>
      </c>
      <c r="D23" s="34" t="str" cm="1">
        <f t="array" aca="1" ref="D23" ca="1">_xlfn.LET(
_xlpm._displayLimit,$C23,
_xlpm._risks,$S23,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3" s="33" t="str" cm="1">
        <f t="array" aca="1" ref="E23" ca="1">_xlfn.LET(_xlpm._riskValue,CalculateMaxFromList($T23,0,Risks!$A:$AJ),
INDEX(Definitions!$AE:$AE,MATCH(_xlpm._riskValue,Definitions!$AF:$AF,0)))</f>
        <v>No Risk</v>
      </c>
      <c r="F23" s="33" t="str" cm="1">
        <f t="array" aca="1" ref="F23" ca="1">IF($A23="","",SUBSTITUTE(RemoveDelimiter(SanitizeInput(SimpleLookup($A23,'Attack Steps'!$A:$AE)),","),",",", "))</f>
        <v/>
      </c>
      <c r="G23" s="33" t="str" cm="1">
        <f t="array" aca="1" ref="G23" ca="1">IF($A23="","",SUBSTITUTE(RemoveDelimiter(SanitizeInput(SimpleLookup($A23,'Attack Steps'!$A:$AF)),","),",",", "))</f>
        <v/>
      </c>
      <c r="H23" s="80" t="str" cm="1">
        <f t="array" aca="1" ref="H23" ca="1">IF($A23="","",_xlfn.LET(
_xlpm._proposedActive,SanitizeInput($G23),
_xlpm._proposedAll,SimpleLookup($A23,'Attack Steps'!$A:$AG),
_xlpm._proposedDiff,FilterElementsFromList(_xlpm._proposedAll,_xlpm._proposedActive,FALSE,","),
SUBSTITUTE(RemoveDelimiter(SanitizeInput(_xlpm._proposedDiff),","),",",", ")))</f>
        <v>A14, A15, A45</v>
      </c>
      <c r="I23" s="33" t="str" cm="1">
        <f t="array" aca="1" ref="I23" ca="1">RemoveDelimiter(GetValuesWithFallback(SanitizeInput($F23)&amp;SanitizeInput($G23)&amp;SanitizeInput($H23),Countermeasures!$A:$B,Assumptions!$A:$B," ",","&amp;CHAR(10),TRUE),","&amp;CHAR(10))</f>
        <v>A14 SDR 1.12 – Product inaccessible,
A15 SDR 1.13 – Area with restricted access,
A45 Physical tampering with the product not plausible</v>
      </c>
      <c r="J23" s="13"/>
      <c r="K23" s="33" t="str" cm="1">
        <f t="array" ref="K23">RemoveDelimiter(GetValuesWithFallback(SanitizeInput($J23),Countermeasures!$A:$B,Assumptions!$A:$B," ",","&amp;CHAR(10),TRUE),","&amp;CHAR(10))</f>
        <v/>
      </c>
      <c r="L23" s="23">
        <f>3</f>
        <v>3</v>
      </c>
      <c r="M23" s="34" t="str" cm="1">
        <f t="array" aca="1" ref="M23" ca="1">_xlfn.LET(
_xlpm._displayLimit,$L23,
_xlpm._risks,$V23,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3" s="33" t="str">
        <f ca="1">INDEX(Definitions!$AE:$AE,MATCH($W23,Definitions!$AF:$AF,0))</f>
        <v>No Risk</v>
      </c>
      <c r="O23" s="13"/>
      <c r="P23" s="10" cm="1">
        <f t="array" ref="P23">GenerateShadowID(ROW(),$P$2,$P:$P,0,$A23&lt;&gt;"")</f>
        <v>21</v>
      </c>
      <c r="Q23" s="21" cm="1">
        <f t="array" ref="Q23">CreateTaskID($Q$2,$Q:$Q,Tasks!$B$17,$O23)</f>
        <v>0</v>
      </c>
      <c r="R23" s="10">
        <f>IFERROR(MATCH(ROW()-ROW($R$2),'Attack Steps'!$Q:$Q,0),0)</f>
        <v>23</v>
      </c>
      <c r="S23" s="21" t="str" cm="1">
        <f t="array" aca="1" ref="S23" ca="1">CalculateMaxAndElements($T23,0,"",Risks!$A:$AJ)</f>
        <v>0:</v>
      </c>
      <c r="T23" s="21" t="str" cm="1">
        <f t="array" aca="1" ref="T23" ca="1">InverseLookup($A23,Risks!$AI$2,Risks!$A$2,1,Helper!$B$1,",")</f>
        <v/>
      </c>
      <c r="U23" s="21" t="str">
        <f ca="1">IF($T23="","",","&amp;$T23)</f>
        <v/>
      </c>
      <c r="V23" s="21" t="str" cm="1">
        <f t="array" aca="1" ref="V23" ca="1">CalculateMaxAndElements($T23,0,"",Risks!$A:$BK)</f>
        <v>0:</v>
      </c>
      <c r="W23" s="21">
        <f ca="1">IF($V23="","",VALUE(LEFT($V23,FIND(":",$V23)-1)))</f>
        <v>0</v>
      </c>
      <c r="X23" s="21" t="str" cm="1">
        <f t="array" ref="X23">IF($J23="","",","&amp;SanitizeInput($J23))</f>
        <v/>
      </c>
      <c r="Y23" s="21" t="b" cm="1">
        <f t="array" aca="1" ref="Y23" ca="1">INDEX('Attack Steps'!$AI:$AI,$R23)</f>
        <v>0</v>
      </c>
      <c r="Z23" s="21" cm="1">
        <f t="array" ref="Z23">CreateID($Z$2,$Z:$Z,IFERROR(FIND(Definitions!$AR$4,$O23)&gt;0,FALSE))</f>
        <v>0</v>
      </c>
      <c r="AA23" s="21">
        <f>_xlfn.LET(
_xlpm._comment,$O23,
_xlpm._keyWord,Definitions!$AR$4,
_xlpm._diffLen,LEN(_xlpm._comment)-LEN(SUBSTITUTE(_xlpm._comment,_xlpm._keyWord,"")),
_xlpm._diffLen/LEN(_xlpm._keyWord))</f>
        <v>0</v>
      </c>
      <c r="AB23" s="21" cm="1">
        <f t="array" ref="AB23">CreateID($AB$2,$AB:$AB,IFERROR(FIND(Definitions!$AR$5,$O23)&gt;0,FALSE))</f>
        <v>0</v>
      </c>
      <c r="AC23" s="21">
        <f>_xlfn.LET(
_xlpm._comment,$O23,
_xlpm._keyWord,Definitions!$AR$5,
_xlpm._diffLen,LEN(_xlpm._comment)-LEN(SUBSTITUTE(_xlpm._comment,_xlpm._keyWord,"")),
_xlpm._diffLen/LEN(_xlpm._keyWord))</f>
        <v>0</v>
      </c>
      <c r="AD23" s="21" t="str" cm="1">
        <f t="array" ref="AD23">CreateSearchString($J23)</f>
        <v/>
      </c>
      <c r="AE23" s="21" t="str" cm="1">
        <f t="array" aca="1" ref="AE23" ca="1">_xlfn.LET(
_xlpm._selected,SanitizeInput($J23),
_xlpm._catalogOptions,SanitizeInput($F23)&amp;SanitizeInput($G23)&amp;SanitizeInput($H23),
_xlpm._selectedNotInOptions,FilterElementsFromList(_xlpm._selected,_xlpm._catalogOptions,FALSE,","),
IF(_xlpm._selectedNotInOptions="","",$A23&amp;" "&amp;$B23&amp;": "&amp;SUBSTITUTE(RemoveDelimiter(_xlpm._selectedNotInOptions,","),",",", ")))</f>
        <v/>
      </c>
      <c r="AF23" s="21" cm="1">
        <f t="array" aca="1" ref="AF23" ca="1">CreateID($AF$2,$AF:$AF,$AE23&lt;&gt;"")</f>
        <v>0</v>
      </c>
      <c r="AG23" s="61" t="str" cm="1">
        <f t="array" ref="AG23">_xlfn.LET(
_xlpm._delimiter,","&amp;CHAR(10),
_xlpm._assumptions,ParseAllMitigationsFromComment($A23,"-","A",$O23,Definitions!$AR$4,Definitions!$AS$4,Definitions!$AR$6,_xlpm._delimiter,1),
_xlpm._countermeasures,ParseAllMitigationsFromComment($A23,"-","C",$O23,Definitions!$AR$5,Definitions!$AS$5,Definitions!$AR$6,_xlpm._delimiter,1),
IF(_xlpm._countermeasures="",RemoveDelimiter(_xlpm._assumptions,_xlpm._delimiter),_xlpm._assumptions&amp;RemoveDelimiter(_xlpm._countermeasures,_xlpm._delimiter)))</f>
        <v/>
      </c>
      <c r="AH23" s="61" t="str" cm="1">
        <f t="array" ref="AH23">CreateSearchString(SanitizeInput($J23)&amp;GetValuesIgnoreErrors(SanitizeInput($J23),Countermeasures!$A:$G,"",",",FALSE))</f>
        <v/>
      </c>
      <c r="AI23" s="21" t="str" cm="1">
        <f t="array" aca="1" ref="AI23" ca="1">IF(AND(IFERROR(FIND(","&amp;Countermeasures!$A$30&amp;",",$AH23)&gt;0,FALSE),Countermeasures!$AF$30=TRUE,SimpleLookup(Questions!$A$48,Questionnaire!$A:$C)=Definitions!$A$5),$A23&amp;" "&amp;$B23,"")</f>
        <v/>
      </c>
      <c r="AJ23" s="21" cm="1">
        <f t="array" aca="1" ref="AJ23" ca="1">CreateID($AJ$2,$AJ:$AJ,$AI23&lt;&gt;"")</f>
        <v>0</v>
      </c>
      <c r="AK23" s="21" t="str">
        <f t="shared" ca="1" si="2"/>
        <v/>
      </c>
      <c r="AL23" s="21" cm="1">
        <f t="array" aca="1" ref="AL23" ca="1">CreateID($AL$2,$AL:$AL,$AK23&lt;&gt;"")</f>
        <v>0</v>
      </c>
      <c r="AM23" s="21" t="str">
        <f t="shared" si="3"/>
        <v/>
      </c>
      <c r="AN23" s="21" cm="1">
        <f t="array" ref="AN23">CreateID($AN$2,$AN:$AN,$AM23&lt;&gt;"")</f>
        <v>0</v>
      </c>
    </row>
    <row r="24" spans="1:40" ht="90" x14ac:dyDescent="0.25">
      <c r="A24" s="33" t="str" cm="1">
        <f t="array" ref="A24">IF($R24=0,"",INDEX('Attack Steps'!A:A,$R24))</f>
        <v>AS22</v>
      </c>
      <c r="B24" s="16" t="str" cm="1">
        <f t="array" ref="B24">IF($R24=0,"",INDEX('Attack Steps'!B:B,$R24))</f>
        <v>Gaining physical access to the product (customer)</v>
      </c>
      <c r="C24" s="13">
        <f>3</f>
        <v>3</v>
      </c>
      <c r="D24" s="34" t="str" cm="1">
        <f t="array" aca="1" ref="D24" ca="1">_xlfn.LET(
_xlpm._displayLimit,$C24,
_xlpm._risks,$S24,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4" s="33" t="str" cm="1">
        <f t="array" aca="1" ref="E24" ca="1">_xlfn.LET(_xlpm._riskValue,CalculateMaxFromList($T24,0,Risks!$A:$AJ),
INDEX(Definitions!$AE:$AE,MATCH(_xlpm._riskValue,Definitions!$AF:$AF,0)))</f>
        <v>No Risk</v>
      </c>
      <c r="F24" s="33" t="str" cm="1">
        <f t="array" aca="1" ref="F24" ca="1">IF($A24="","",SUBSTITUTE(RemoveDelimiter(SanitizeInput(SimpleLookup($A24,'Attack Steps'!$A:$AE)),","),",",", "))</f>
        <v>C3</v>
      </c>
      <c r="G24" s="33" t="str" cm="1">
        <f t="array" aca="1" ref="G24" ca="1">IF($A24="","",SUBSTITUTE(RemoveDelimiter(SanitizeInput(SimpleLookup($A24,'Attack Steps'!$A:$AF)),","),",",", "))</f>
        <v>A21</v>
      </c>
      <c r="H24" s="80" t="str" cm="1">
        <f t="array" aca="1" ref="H24" ca="1">IF($A24="","",_xlfn.LET(
_xlpm._proposedActive,SanitizeInput($G24),
_xlpm._proposedAll,SimpleLookup($A24,'Attack Steps'!$A:$AG),
_xlpm._proposedDiff,FilterElementsFromList(_xlpm._proposedAll,_xlpm._proposedActive,FALSE,","),
SUBSTITUTE(RemoveDelimiter(SanitizeInput(_xlpm._proposedDiff),","),",",", ")))</f>
        <v>A39</v>
      </c>
      <c r="I24" s="33" t="str" cm="1">
        <f t="array" aca="1" ref="I24" ca="1">RemoveDelimiter(GetValuesWithFallback(SanitizeInput($F24)&amp;SanitizeInput($G24)&amp;SanitizeInput($H24),Countermeasures!$A:$B,Assumptions!$A:$B," ",","&amp;CHAR(10),TRUE),","&amp;CHAR(10))</f>
        <v>C3 CCSC 3: Least privilege,
A21 SDR 2.7 - Scope for customer-based attacks,
A39 SDR 2.11 - The customer is trusted not to extract &lt;OEM name&gt; IP</v>
      </c>
      <c r="J24" s="13"/>
      <c r="K24" s="33" t="str" cm="1">
        <f t="array" ref="K24">RemoveDelimiter(GetValuesWithFallback(SanitizeInput($J24),Countermeasures!$A:$B,Assumptions!$A:$B," ",","&amp;CHAR(10),TRUE),","&amp;CHAR(10))</f>
        <v/>
      </c>
      <c r="L24" s="23">
        <f>3</f>
        <v>3</v>
      </c>
      <c r="M24" s="34" t="str" cm="1">
        <f t="array" aca="1" ref="M24" ca="1">_xlfn.LET(
_xlpm._displayLimit,$L24,
_xlpm._risks,$V24,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4" s="33" t="str">
        <f ca="1">INDEX(Definitions!$AE:$AE,MATCH($W24,Definitions!$AF:$AF,0))</f>
        <v>No Risk</v>
      </c>
      <c r="O24" s="13"/>
      <c r="P24" s="10" cm="1">
        <f t="array" ref="P24">GenerateShadowID(ROW(),$P$2,$P:$P,0,$A24&lt;&gt;"")</f>
        <v>22</v>
      </c>
      <c r="Q24" s="21" cm="1">
        <f t="array" ref="Q24">CreateTaskID($Q$2,$Q:$Q,Tasks!$B$17,$O24)</f>
        <v>0</v>
      </c>
      <c r="R24" s="21">
        <f>IFERROR(MATCH(ROW()-ROW($R$2),'Attack Steps'!$Q:$Q,0),0)</f>
        <v>24</v>
      </c>
      <c r="S24" s="21" t="str" cm="1">
        <f t="array" aca="1" ref="S24" ca="1">CalculateMaxAndElements($T24,0,"",Risks!$A:$AJ)</f>
        <v>0:</v>
      </c>
      <c r="T24" s="21" t="str" cm="1">
        <f t="array" aca="1" ref="T24" ca="1">InverseLookup($A24,Risks!$AI$2,Risks!$A$2,1,Helper!$B$1,",")</f>
        <v/>
      </c>
      <c r="U24" s="21" t="str">
        <f t="shared" ref="U24:U30" ca="1" si="6">IF($T24="","",","&amp;$T24)</f>
        <v/>
      </c>
      <c r="V24" s="21" t="str" cm="1">
        <f t="array" aca="1" ref="V24" ca="1">CalculateMaxAndElements($T24,0,"",Risks!$A:$BK)</f>
        <v>0:</v>
      </c>
      <c r="W24" s="21">
        <f t="shared" ref="W24:W30" ca="1" si="7">IF($V24="","",VALUE(LEFT($V24,FIND(":",$V24)-1)))</f>
        <v>0</v>
      </c>
      <c r="X24" s="21" t="str" cm="1">
        <f t="array" ref="X24">IF($J24="","",","&amp;SanitizeInput($J24))</f>
        <v/>
      </c>
      <c r="Y24" s="21" t="b" cm="1">
        <f t="array" aca="1" ref="Y24" ca="1">INDEX('Attack Steps'!$AI:$AI,$R24)</f>
        <v>0</v>
      </c>
      <c r="Z24" s="21" cm="1">
        <f t="array" ref="Z24">CreateID($Z$2,$Z:$Z,IFERROR(FIND(Definitions!$AR$4,$O24)&gt;0,FALSE))</f>
        <v>0</v>
      </c>
      <c r="AA24" s="21">
        <f>_xlfn.LET(
_xlpm._comment,$O24,
_xlpm._keyWord,Definitions!$AR$4,
_xlpm._diffLen,LEN(_xlpm._comment)-LEN(SUBSTITUTE(_xlpm._comment,_xlpm._keyWord,"")),
_xlpm._diffLen/LEN(_xlpm._keyWord))</f>
        <v>0</v>
      </c>
      <c r="AB24" s="21" cm="1">
        <f t="array" ref="AB24">CreateID($AB$2,$AB:$AB,IFERROR(FIND(Definitions!$AR$5,$O24)&gt;0,FALSE))</f>
        <v>0</v>
      </c>
      <c r="AC24" s="21">
        <f>_xlfn.LET(
_xlpm._comment,$O24,
_xlpm._keyWord,Definitions!$AR$5,
_xlpm._diffLen,LEN(_xlpm._comment)-LEN(SUBSTITUTE(_xlpm._comment,_xlpm._keyWord,"")),
_xlpm._diffLen/LEN(_xlpm._keyWord))</f>
        <v>0</v>
      </c>
      <c r="AD24" s="21" t="str" cm="1">
        <f t="array" ref="AD24">CreateSearchString($J24)</f>
        <v/>
      </c>
      <c r="AE24" s="21" t="str" cm="1">
        <f t="array" aca="1" ref="AE24" ca="1">_xlfn.LET(
_xlpm._selected,SanitizeInput($J24),
_xlpm._catalogOptions,SanitizeInput($F24)&amp;SanitizeInput($G24)&amp;SanitizeInput($H24),
_xlpm._selectedNotInOptions,FilterElementsFromList(_xlpm._selected,_xlpm._catalogOptions,FALSE,","),
IF(_xlpm._selectedNotInOptions="","",$A24&amp;" "&amp;$B24&amp;": "&amp;SUBSTITUTE(RemoveDelimiter(_xlpm._selectedNotInOptions,","),",",", ")))</f>
        <v/>
      </c>
      <c r="AF24" s="21" cm="1">
        <f t="array" aca="1" ref="AF24" ca="1">CreateID($AF$2,$AF:$AF,$AE24&lt;&gt;"")</f>
        <v>0</v>
      </c>
      <c r="AG24" s="21" t="str" cm="1">
        <f t="array" ref="AG24">_xlfn.LET(
_xlpm._delimiter,","&amp;CHAR(10),
_xlpm._assumptions,ParseAllMitigationsFromComment($A24,"-","A",$O24,Definitions!$AR$4,Definitions!$AS$4,Definitions!$AR$6,_xlpm._delimiter,1),
_xlpm._countermeasures,ParseAllMitigationsFromComment($A24,"-","C",$O24,Definitions!$AR$5,Definitions!$AS$5,Definitions!$AR$6,_xlpm._delimiter,1),
IF(_xlpm._countermeasures="",RemoveDelimiter(_xlpm._assumptions,_xlpm._delimiter),_xlpm._assumptions&amp;RemoveDelimiter(_xlpm._countermeasures,_xlpm._delimiter)))</f>
        <v/>
      </c>
      <c r="AH24" s="21" t="str" cm="1">
        <f t="array" ref="AH24">CreateSearchString(SanitizeInput($J24)&amp;GetValuesIgnoreErrors(SanitizeInput($J24),Countermeasures!$A:$G,"",",",FALSE))</f>
        <v/>
      </c>
      <c r="AI24" s="21" t="str" cm="1">
        <f t="array" aca="1" ref="AI24" ca="1">IF(AND(IFERROR(FIND(","&amp;Countermeasures!$A$30&amp;",",$AH24)&gt;0,FALSE),Countermeasures!$AF$30=TRUE,SimpleLookup(Questions!$A$48,Questionnaire!$A:$C)=Definitions!$A$5),$A24&amp;" "&amp;$B24,"")</f>
        <v/>
      </c>
      <c r="AJ24" s="21" cm="1">
        <f t="array" aca="1" ref="AJ24" ca="1">CreateID($AJ$2,$AJ:$AJ,$AI24&lt;&gt;"")</f>
        <v>0</v>
      </c>
      <c r="AK24" s="21" t="str">
        <f t="shared" ca="1" si="2"/>
        <v/>
      </c>
      <c r="AL24" s="21" cm="1">
        <f t="array" aca="1" ref="AL24" ca="1">CreateID($AL$2,$AL:$AL,$AK24&lt;&gt;"")</f>
        <v>0</v>
      </c>
      <c r="AM24" s="21" t="str">
        <f t="shared" si="3"/>
        <v/>
      </c>
      <c r="AN24" s="21" cm="1">
        <f t="array" ref="AN24">CreateID($AN$2,$AN:$AN,$AM24&lt;&gt;"")</f>
        <v>0</v>
      </c>
    </row>
    <row r="25" spans="1:40" ht="90" x14ac:dyDescent="0.25">
      <c r="A25" s="33" t="str" cm="1">
        <f t="array" ref="A25">IF($R25=0,"",INDEX('Attack Steps'!A:A,$R25))</f>
        <v>AS23</v>
      </c>
      <c r="B25" s="16" t="str" cm="1">
        <f t="array" ref="B25">IF($R25=0,"",INDEX('Attack Steps'!B:B,$R25))</f>
        <v>Compromising the product with direct access to its persistent memory</v>
      </c>
      <c r="C25" s="13">
        <f>3</f>
        <v>3</v>
      </c>
      <c r="D25" s="34" t="str" cm="1">
        <f t="array" aca="1" ref="D25" ca="1">_xlfn.LET(
_xlpm._displayLimit,$C25,
_xlpm._risks,$S25,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5" s="33" t="str" cm="1">
        <f t="array" aca="1" ref="E25" ca="1">_xlfn.LET(_xlpm._riskValue,CalculateMaxFromList($T25,0,Risks!$A:$AJ),
INDEX(Definitions!$AE:$AE,MATCH(_xlpm._riskValue,Definitions!$AF:$AF,0)))</f>
        <v>No Risk</v>
      </c>
      <c r="F25" s="33" t="str" cm="1">
        <f t="array" aca="1" ref="F25" ca="1">IF($A25="","",SUBSTITUTE(RemoveDelimiter(SanitizeInput(SimpleLookup($A25,'Attack Steps'!$A:$AE)),","),",",", "))</f>
        <v>C30, C35, CM7</v>
      </c>
      <c r="G25" s="33" t="str" cm="1">
        <f t="array" aca="1" ref="G25" ca="1">IF($A25="","",SUBSTITUTE(RemoveDelimiter(SanitizeInput(SimpleLookup($A25,'Attack Steps'!$A:$AF)),","),",",", "))</f>
        <v/>
      </c>
      <c r="H25" s="80" t="str" cm="1">
        <f t="array" aca="1" ref="H25" ca="1">IF($A25="","",_xlfn.LET(
_xlpm._proposedActive,SanitizeInput($G25),
_xlpm._proposedAll,SimpleLookup($A25,'Attack Steps'!$A:$AG),
_xlpm._proposedDiff,FilterElementsFromList(_xlpm._proposedAll,_xlpm._proposedActive,FALSE,","),
SUBSTITUTE(RemoveDelimiter(SanitizeInput(_xlpm._proposedDiff),","),",",", ")))</f>
        <v/>
      </c>
      <c r="I25" s="33" t="str" cm="1">
        <f t="array" aca="1" ref="I25" ca="1">RemoveDelimiter(GetValuesWithFallback(SanitizeInput($F25)&amp;SanitizeInput($G25)&amp;SanitizeInput($H25),Countermeasures!$A:$B,Assumptions!$A:$B," ",","&amp;CHAR(10),TRUE),","&amp;CHAR(10))</f>
        <v>C30 CR 7.4 – Control system recovery and reconstitution,
C35 EDR 3.14 / HDR 3.14 / NDR 3.14 – Integrity of the boot process,
CM7 SCR 2.5 - Secure boot</v>
      </c>
      <c r="J25" s="13"/>
      <c r="K25" s="33" t="str" cm="1">
        <f t="array" ref="K25">RemoveDelimiter(GetValuesWithFallback(SanitizeInput($J25),Countermeasures!$A:$B,Assumptions!$A:$B," ",","&amp;CHAR(10),TRUE),","&amp;CHAR(10))</f>
        <v/>
      </c>
      <c r="L25" s="23">
        <f>3</f>
        <v>3</v>
      </c>
      <c r="M25" s="34" t="str" cm="1">
        <f t="array" aca="1" ref="M25" ca="1">_xlfn.LET(
_xlpm._displayLimit,$L25,
_xlpm._risks,$V25,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5" s="33" t="str">
        <f ca="1">INDEX(Definitions!$AE:$AE,MATCH($W25,Definitions!$AF:$AF,0))</f>
        <v>No Risk</v>
      </c>
      <c r="O25" s="13"/>
      <c r="P25" s="10" cm="1">
        <f t="array" ref="P25">GenerateShadowID(ROW(),$P$2,$P:$P,0,$A25&lt;&gt;"")</f>
        <v>23</v>
      </c>
      <c r="Q25" s="21" cm="1">
        <f t="array" ref="Q25">CreateTaskID($Q$2,$Q:$Q,Tasks!$B$17,$O25)</f>
        <v>0</v>
      </c>
      <c r="R25" s="21">
        <f>IFERROR(MATCH(ROW()-ROW($R$2),'Attack Steps'!$Q:$Q,0),0)</f>
        <v>25</v>
      </c>
      <c r="S25" s="21" t="str" cm="1">
        <f t="array" aca="1" ref="S25" ca="1">CalculateMaxAndElements($T25,0,"",Risks!$A:$AJ)</f>
        <v>0:</v>
      </c>
      <c r="T25" s="21" t="str" cm="1">
        <f t="array" aca="1" ref="T25" ca="1">InverseLookup($A25,Risks!$AI$2,Risks!$A$2,1,Helper!$B$1,",")</f>
        <v/>
      </c>
      <c r="U25" s="21" t="str">
        <f t="shared" ca="1" si="6"/>
        <v/>
      </c>
      <c r="V25" s="21" t="str" cm="1">
        <f t="array" aca="1" ref="V25" ca="1">CalculateMaxAndElements($T25,0,"",Risks!$A:$BK)</f>
        <v>0:</v>
      </c>
      <c r="W25" s="21">
        <f t="shared" ca="1" si="7"/>
        <v>0</v>
      </c>
      <c r="X25" s="21" t="str" cm="1">
        <f t="array" ref="X25">IF($J25="","",","&amp;SanitizeInput($J25))</f>
        <v/>
      </c>
      <c r="Y25" s="21" t="b" cm="1">
        <f t="array" aca="1" ref="Y25" ca="1">INDEX('Attack Steps'!$AI:$AI,$R25)</f>
        <v>0</v>
      </c>
      <c r="Z25" s="21" cm="1">
        <f t="array" ref="Z25">CreateID($Z$2,$Z:$Z,IFERROR(FIND(Definitions!$AR$4,$O25)&gt;0,FALSE))</f>
        <v>0</v>
      </c>
      <c r="AA25" s="21">
        <f>_xlfn.LET(
_xlpm._comment,$O25,
_xlpm._keyWord,Definitions!$AR$4,
_xlpm._diffLen,LEN(_xlpm._comment)-LEN(SUBSTITUTE(_xlpm._comment,_xlpm._keyWord,"")),
_xlpm._diffLen/LEN(_xlpm._keyWord))</f>
        <v>0</v>
      </c>
      <c r="AB25" s="21" cm="1">
        <f t="array" ref="AB25">CreateID($AB$2,$AB:$AB,IFERROR(FIND(Definitions!$AR$5,$O25)&gt;0,FALSE))</f>
        <v>0</v>
      </c>
      <c r="AC25" s="21">
        <f>_xlfn.LET(
_xlpm._comment,$O25,
_xlpm._keyWord,Definitions!$AR$5,
_xlpm._diffLen,LEN(_xlpm._comment)-LEN(SUBSTITUTE(_xlpm._comment,_xlpm._keyWord,"")),
_xlpm._diffLen/LEN(_xlpm._keyWord))</f>
        <v>0</v>
      </c>
      <c r="AD25" s="21" t="str" cm="1">
        <f t="array" ref="AD25">CreateSearchString($J25)</f>
        <v/>
      </c>
      <c r="AE25" s="21" t="str" cm="1">
        <f t="array" aca="1" ref="AE25" ca="1">_xlfn.LET(
_xlpm._selected,SanitizeInput($J25),
_xlpm._catalogOptions,SanitizeInput($F25)&amp;SanitizeInput($G25)&amp;SanitizeInput($H25),
_xlpm._selectedNotInOptions,FilterElementsFromList(_xlpm._selected,_xlpm._catalogOptions,FALSE,","),
IF(_xlpm._selectedNotInOptions="","",$A25&amp;" "&amp;$B25&amp;": "&amp;SUBSTITUTE(RemoveDelimiter(_xlpm._selectedNotInOptions,","),",",", ")))</f>
        <v/>
      </c>
      <c r="AF25" s="21" cm="1">
        <f t="array" aca="1" ref="AF25" ca="1">CreateID($AF$2,$AF:$AF,$AE25&lt;&gt;"")</f>
        <v>0</v>
      </c>
      <c r="AG25" s="21" t="str" cm="1">
        <f t="array" ref="AG25">_xlfn.LET(
_xlpm._delimiter,","&amp;CHAR(10),
_xlpm._assumptions,ParseAllMitigationsFromComment($A25,"-","A",$O25,Definitions!$AR$4,Definitions!$AS$4,Definitions!$AR$6,_xlpm._delimiter,1),
_xlpm._countermeasures,ParseAllMitigationsFromComment($A25,"-","C",$O25,Definitions!$AR$5,Definitions!$AS$5,Definitions!$AR$6,_xlpm._delimiter,1),
IF(_xlpm._countermeasures="",RemoveDelimiter(_xlpm._assumptions,_xlpm._delimiter),_xlpm._assumptions&amp;RemoveDelimiter(_xlpm._countermeasures,_xlpm._delimiter)))</f>
        <v/>
      </c>
      <c r="AH25" s="21" t="str" cm="1">
        <f t="array" ref="AH25">CreateSearchString(SanitizeInput($J25)&amp;GetValuesIgnoreErrors(SanitizeInput($J25),Countermeasures!$A:$G,"",",",FALSE))</f>
        <v/>
      </c>
      <c r="AI25" s="21" t="str" cm="1">
        <f t="array" aca="1" ref="AI25" ca="1">IF(AND(IFERROR(FIND(","&amp;Countermeasures!$A$30&amp;",",$AH25)&gt;0,FALSE),Countermeasures!$AF$30=TRUE,SimpleLookup(Questions!$A$48,Questionnaire!$A:$C)=Definitions!$A$5),$A25&amp;" "&amp;$B25,"")</f>
        <v/>
      </c>
      <c r="AJ25" s="21" cm="1">
        <f t="array" aca="1" ref="AJ25" ca="1">CreateID($AJ$2,$AJ:$AJ,$AI25&lt;&gt;"")</f>
        <v>0</v>
      </c>
      <c r="AK25" s="21" t="str">
        <f t="shared" ca="1" si="2"/>
        <v/>
      </c>
      <c r="AL25" s="21" cm="1">
        <f t="array" aca="1" ref="AL25" ca="1">CreateID($AL$2,$AL:$AL,$AK25&lt;&gt;"")</f>
        <v>0</v>
      </c>
      <c r="AM25" s="21" t="str">
        <f t="shared" si="3"/>
        <v/>
      </c>
      <c r="AN25" s="21" cm="1">
        <f t="array" ref="AN25">CreateID($AN$2,$AN:$AN,$AM25&lt;&gt;"")</f>
        <v>0</v>
      </c>
    </row>
    <row r="26" spans="1:40" ht="30" x14ac:dyDescent="0.25">
      <c r="A26" s="33" t="str" cm="1">
        <f t="array" ref="A26">IF($R26=0,"",INDEX('Attack Steps'!A:A,$R26))</f>
        <v>AS24</v>
      </c>
      <c r="B26" s="16" t="str" cm="1">
        <f t="array" ref="B26">IF($R26=0,"",INDEX('Attack Steps'!B:B,$R26))</f>
        <v>Data extraction from the product's persistent memory</v>
      </c>
      <c r="C26" s="13">
        <f>3</f>
        <v>3</v>
      </c>
      <c r="D26" s="34" t="str" cm="1">
        <f t="array" aca="1" ref="D26" ca="1">_xlfn.LET(
_xlpm._displayLimit,$C26,
_xlpm._risks,$S26,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6" s="33" t="str" cm="1">
        <f t="array" aca="1" ref="E26" ca="1">_xlfn.LET(_xlpm._riskValue,CalculateMaxFromList($T26,0,Risks!$A:$AJ),
INDEX(Definitions!$AE:$AE,MATCH(_xlpm._riskValue,Definitions!$AF:$AF,0)))</f>
        <v>No Risk</v>
      </c>
      <c r="F26" s="33" t="str" cm="1">
        <f t="array" aca="1" ref="F26" ca="1">IF($A26="","",SUBSTITUTE(RemoveDelimiter(SanitizeInput(SimpleLookup($A26,'Attack Steps'!$A:$AE)),","),",",", "))</f>
        <v>CM4</v>
      </c>
      <c r="G26" s="33" t="str" cm="1">
        <f t="array" aca="1" ref="G26" ca="1">IF($A26="","",SUBSTITUTE(RemoveDelimiter(SanitizeInput(SimpleLookup($A26,'Attack Steps'!$A:$AF)),","),",",", "))</f>
        <v/>
      </c>
      <c r="H26" s="80" t="str" cm="1">
        <f t="array" aca="1" ref="H26" ca="1">IF($A26="","",_xlfn.LET(
_xlpm._proposedActive,SanitizeInput($G26),
_xlpm._proposedAll,SimpleLookup($A26,'Attack Steps'!$A:$AG),
_xlpm._proposedDiff,FilterElementsFromList(_xlpm._proposedAll,_xlpm._proposedActive,FALSE,","),
SUBSTITUTE(RemoveDelimiter(SanitizeInput(_xlpm._proposedDiff),","),",",", ")))</f>
        <v/>
      </c>
      <c r="I26" s="33" t="str" cm="1">
        <f t="array" aca="1" ref="I26" ca="1">RemoveDelimiter(GetValuesWithFallback(SanitizeInput($F26)&amp;SanitizeInput($G26)&amp;SanitizeInput($H26),Countermeasures!$A:$B,Assumptions!$A:$B," ",","&amp;CHAR(10),TRUE),","&amp;CHAR(10))</f>
        <v>CM4 SCR 2.2 - Hardware based Storage Encryption</v>
      </c>
      <c r="J26" s="13"/>
      <c r="K26" s="33" t="str" cm="1">
        <f t="array" ref="K26">RemoveDelimiter(GetValuesWithFallback(SanitizeInput($J26),Countermeasures!$A:$B,Assumptions!$A:$B," ",","&amp;CHAR(10),TRUE),","&amp;CHAR(10))</f>
        <v/>
      </c>
      <c r="L26" s="23">
        <f>3</f>
        <v>3</v>
      </c>
      <c r="M26" s="34" t="str" cm="1">
        <f t="array" aca="1" ref="M26" ca="1">_xlfn.LET(
_xlpm._displayLimit,$L26,
_xlpm._risks,$V26,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6" s="33" t="str">
        <f ca="1">INDEX(Definitions!$AE:$AE,MATCH($W26,Definitions!$AF:$AF,0))</f>
        <v>No Risk</v>
      </c>
      <c r="O26" s="13"/>
      <c r="P26" s="10" cm="1">
        <f t="array" ref="P26">GenerateShadowID(ROW(),$P$2,$P:$P,0,$A26&lt;&gt;"")</f>
        <v>24</v>
      </c>
      <c r="Q26" s="21" cm="1">
        <f t="array" ref="Q26">CreateTaskID($Q$2,$Q:$Q,Tasks!$B$17,$O26)</f>
        <v>0</v>
      </c>
      <c r="R26" s="21">
        <f>IFERROR(MATCH(ROW()-ROW($R$2),'Attack Steps'!$Q:$Q,0),0)</f>
        <v>26</v>
      </c>
      <c r="S26" s="21" t="str" cm="1">
        <f t="array" aca="1" ref="S26" ca="1">CalculateMaxAndElements($T26,0,"",Risks!$A:$AJ)</f>
        <v>0:</v>
      </c>
      <c r="T26" s="21" t="str" cm="1">
        <f t="array" aca="1" ref="T26" ca="1">InverseLookup($A26,Risks!$AI$2,Risks!$A$2,1,Helper!$B$1,",")</f>
        <v/>
      </c>
      <c r="U26" s="21" t="str">
        <f t="shared" ca="1" si="6"/>
        <v/>
      </c>
      <c r="V26" s="21" t="str" cm="1">
        <f t="array" aca="1" ref="V26" ca="1">CalculateMaxAndElements($T26,0,"",Risks!$A:$BK)</f>
        <v>0:</v>
      </c>
      <c r="W26" s="21">
        <f t="shared" ca="1" si="7"/>
        <v>0</v>
      </c>
      <c r="X26" s="21" t="str" cm="1">
        <f t="array" ref="X26">IF($J26="","",","&amp;SanitizeInput($J26))</f>
        <v/>
      </c>
      <c r="Y26" s="21" t="b" cm="1">
        <f t="array" aca="1" ref="Y26" ca="1">INDEX('Attack Steps'!$AI:$AI,$R26)</f>
        <v>0</v>
      </c>
      <c r="Z26" s="21" cm="1">
        <f t="array" ref="Z26">CreateID($Z$2,$Z:$Z,IFERROR(FIND(Definitions!$AR$4,$O26)&gt;0,FALSE))</f>
        <v>0</v>
      </c>
      <c r="AA26" s="21">
        <f>_xlfn.LET(
_xlpm._comment,$O26,
_xlpm._keyWord,Definitions!$AR$4,
_xlpm._diffLen,LEN(_xlpm._comment)-LEN(SUBSTITUTE(_xlpm._comment,_xlpm._keyWord,"")),
_xlpm._diffLen/LEN(_xlpm._keyWord))</f>
        <v>0</v>
      </c>
      <c r="AB26" s="21" cm="1">
        <f t="array" ref="AB26">CreateID($AB$2,$AB:$AB,IFERROR(FIND(Definitions!$AR$5,$O26)&gt;0,FALSE))</f>
        <v>0</v>
      </c>
      <c r="AC26" s="21">
        <f>_xlfn.LET(
_xlpm._comment,$O26,
_xlpm._keyWord,Definitions!$AR$5,
_xlpm._diffLen,LEN(_xlpm._comment)-LEN(SUBSTITUTE(_xlpm._comment,_xlpm._keyWord,"")),
_xlpm._diffLen/LEN(_xlpm._keyWord))</f>
        <v>0</v>
      </c>
      <c r="AD26" s="21" t="str" cm="1">
        <f t="array" ref="AD26">CreateSearchString($J26)</f>
        <v/>
      </c>
      <c r="AE26" s="21" t="str" cm="1">
        <f t="array" aca="1" ref="AE26" ca="1">_xlfn.LET(
_xlpm._selected,SanitizeInput($J26),
_xlpm._catalogOptions,SanitizeInput($F26)&amp;SanitizeInput($G26)&amp;SanitizeInput($H26),
_xlpm._selectedNotInOptions,FilterElementsFromList(_xlpm._selected,_xlpm._catalogOptions,FALSE,","),
IF(_xlpm._selectedNotInOptions="","",$A26&amp;" "&amp;$B26&amp;": "&amp;SUBSTITUTE(RemoveDelimiter(_xlpm._selectedNotInOptions,","),",",", ")))</f>
        <v/>
      </c>
      <c r="AF26" s="21" cm="1">
        <f t="array" aca="1" ref="AF26" ca="1">CreateID($AF$2,$AF:$AF,$AE26&lt;&gt;"")</f>
        <v>0</v>
      </c>
      <c r="AG26" s="21" t="str" cm="1">
        <f t="array" ref="AG26">_xlfn.LET(
_xlpm._delimiter,","&amp;CHAR(10),
_xlpm._assumptions,ParseAllMitigationsFromComment($A26,"-","A",$O26,Definitions!$AR$4,Definitions!$AS$4,Definitions!$AR$6,_xlpm._delimiter,1),
_xlpm._countermeasures,ParseAllMitigationsFromComment($A26,"-","C",$O26,Definitions!$AR$5,Definitions!$AS$5,Definitions!$AR$6,_xlpm._delimiter,1),
IF(_xlpm._countermeasures="",RemoveDelimiter(_xlpm._assumptions,_xlpm._delimiter),_xlpm._assumptions&amp;RemoveDelimiter(_xlpm._countermeasures,_xlpm._delimiter)))</f>
        <v/>
      </c>
      <c r="AH26" s="21" t="str" cm="1">
        <f t="array" ref="AH26">CreateSearchString(SanitizeInput($J26)&amp;GetValuesIgnoreErrors(SanitizeInput($J26),Countermeasures!$A:$G,"",",",FALSE))</f>
        <v/>
      </c>
      <c r="AI26" s="21" t="str" cm="1">
        <f t="array" aca="1" ref="AI26" ca="1">IF(AND(IFERROR(FIND(","&amp;Countermeasures!$A$30&amp;",",$AH26)&gt;0,FALSE),Countermeasures!$AF$30=TRUE,SimpleLookup(Questions!$A$48,Questionnaire!$A:$C)=Definitions!$A$5),$A26&amp;" "&amp;$B26,"")</f>
        <v/>
      </c>
      <c r="AJ26" s="21" cm="1">
        <f t="array" aca="1" ref="AJ26" ca="1">CreateID($AJ$2,$AJ:$AJ,$AI26&lt;&gt;"")</f>
        <v>0</v>
      </c>
      <c r="AK26" s="21" t="str">
        <f t="shared" ca="1" si="2"/>
        <v/>
      </c>
      <c r="AL26" s="21" cm="1">
        <f t="array" aca="1" ref="AL26" ca="1">CreateID($AL$2,$AL:$AL,$AK26&lt;&gt;"")</f>
        <v>0</v>
      </c>
      <c r="AM26" s="21" t="str">
        <f t="shared" si="3"/>
        <v/>
      </c>
      <c r="AN26" s="21" cm="1">
        <f t="array" ref="AN26">CreateID($AN$2,$AN:$AN,$AM26&lt;&gt;"")</f>
        <v>0</v>
      </c>
    </row>
    <row r="27" spans="1:40" ht="150" x14ac:dyDescent="0.25">
      <c r="A27" s="33" t="str" cm="1">
        <f t="array" ref="A27">IF($R27=0,"",INDEX('Attack Steps'!A:A,$R27))</f>
        <v>AS25</v>
      </c>
      <c r="B27" s="16" t="str" cm="1">
        <f t="array" ref="B27">IF($R27=0,"",INDEX('Attack Steps'!B:B,$R27))</f>
        <v>Accessing the product's debug interfaces remotely</v>
      </c>
      <c r="C27" s="13">
        <f>3</f>
        <v>3</v>
      </c>
      <c r="D27" s="34" t="str" cm="1">
        <f t="array" aca="1" ref="D27" ca="1">_xlfn.LET(
_xlpm._displayLimit,$C27,
_xlpm._risks,$S27,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7" s="33" t="str" cm="1">
        <f t="array" aca="1" ref="E27" ca="1">_xlfn.LET(_xlpm._riskValue,CalculateMaxFromList($T27,0,Risks!$A:$AJ),
INDEX(Definitions!$AE:$AE,MATCH(_xlpm._riskValue,Definitions!$AF:$AF,0)))</f>
        <v>No Risk</v>
      </c>
      <c r="F27" s="33" t="str" cm="1">
        <f t="array" aca="1" ref="F27" ca="1">IF($A27="","",SUBSTITUTE(RemoveDelimiter(SanitizeInput(SimpleLookup($A27,'Attack Steps'!$A:$AE)),","),",",", "))</f>
        <v>C30, CM8, CM16, CM17</v>
      </c>
      <c r="G27" s="33" t="str" cm="1">
        <f t="array" aca="1" ref="G27" ca="1">IF($A27="","",SUBSTITUTE(RemoveDelimiter(SanitizeInput(SimpleLookup($A27,'Attack Steps'!$A:$AF)),","),",",", "))</f>
        <v/>
      </c>
      <c r="H27" s="80" t="str" cm="1">
        <f t="array" aca="1" ref="H27" ca="1">IF($A27="","",_xlfn.LET(
_xlpm._proposedActive,SanitizeInput($G27),
_xlpm._proposedAll,SimpleLookup($A27,'Attack Steps'!$A:$AG),
_xlpm._proposedDiff,FilterElementsFromList(_xlpm._proposedAll,_xlpm._proposedActive,FALSE,","),
SUBSTITUTE(RemoveDelimiter(SanitizeInput(_xlpm._proposedDiff),","),",",", ")))</f>
        <v/>
      </c>
      <c r="I27" s="33" t="str" cm="1">
        <f t="array" aca="1" ref="I27" ca="1">RemoveDelimiter(GetValuesWithFallback(SanitizeInput($F27)&amp;SanitizeInput($G27)&amp;SanitizeInput($H27),Countermeasures!$A:$B,Assumptions!$A:$B," ",","&amp;CHAR(10),TRUE),","&amp;CHAR(10))</f>
        <v>C30 CR 7.4 – Control system recovery and reconstitution,
CM8 SCR 2.7 - Close debug interfaces,
CM16 SCR 2.14 - Password-based authentication at debug interfaces,
CM17 SCR 2.13 - Public key-based authentication at debug interfaces</v>
      </c>
      <c r="J27" s="13"/>
      <c r="K27" s="33" t="str" cm="1">
        <f t="array" ref="K27">RemoveDelimiter(GetValuesWithFallback(SanitizeInput($J27),Countermeasures!$A:$B,Assumptions!$A:$B," ",","&amp;CHAR(10),TRUE),","&amp;CHAR(10))</f>
        <v/>
      </c>
      <c r="L27" s="23">
        <f>3</f>
        <v>3</v>
      </c>
      <c r="M27" s="34" t="str" cm="1">
        <f t="array" aca="1" ref="M27" ca="1">_xlfn.LET(
_xlpm._displayLimit,$L27,
_xlpm._risks,$V27,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7" s="33" t="str">
        <f ca="1">INDEX(Definitions!$AE:$AE,MATCH($W27,Definitions!$AF:$AF,0))</f>
        <v>No Risk</v>
      </c>
      <c r="O27" s="13"/>
      <c r="P27" s="10" cm="1">
        <f t="array" ref="P27">GenerateShadowID(ROW(),$P$2,$P:$P,0,$A27&lt;&gt;"")</f>
        <v>25</v>
      </c>
      <c r="Q27" s="21" cm="1">
        <f t="array" ref="Q27">CreateTaskID($Q$2,$Q:$Q,Tasks!$B$17,$O27)</f>
        <v>0</v>
      </c>
      <c r="R27" s="21">
        <f>IFERROR(MATCH(ROW()-ROW($R$2),'Attack Steps'!$Q:$Q,0),0)</f>
        <v>27</v>
      </c>
      <c r="S27" s="21" t="str" cm="1">
        <f t="array" aca="1" ref="S27" ca="1">CalculateMaxAndElements($T27,0,"",Risks!$A:$AJ)</f>
        <v>0:</v>
      </c>
      <c r="T27" s="21" t="str" cm="1">
        <f t="array" aca="1" ref="T27" ca="1">InverseLookup($A27,Risks!$AI$2,Risks!$A$2,1,Helper!$B$1,",")</f>
        <v/>
      </c>
      <c r="U27" s="21" t="str">
        <f t="shared" ca="1" si="6"/>
        <v/>
      </c>
      <c r="V27" s="21" t="str" cm="1">
        <f t="array" aca="1" ref="V27" ca="1">CalculateMaxAndElements($T27,0,"",Risks!$A:$BK)</f>
        <v>0:</v>
      </c>
      <c r="W27" s="21">
        <f t="shared" ca="1" si="7"/>
        <v>0</v>
      </c>
      <c r="X27" s="21" t="str" cm="1">
        <f t="array" ref="X27">IF($J27="","",","&amp;SanitizeInput($J27))</f>
        <v/>
      </c>
      <c r="Y27" s="21" t="b" cm="1">
        <f t="array" aca="1" ref="Y27" ca="1">INDEX('Attack Steps'!$AI:$AI,$R27)</f>
        <v>0</v>
      </c>
      <c r="Z27" s="21" cm="1">
        <f t="array" ref="Z27">CreateID($Z$2,$Z:$Z,IFERROR(FIND(Definitions!$AR$4,$O27)&gt;0,FALSE))</f>
        <v>0</v>
      </c>
      <c r="AA27" s="21">
        <f>_xlfn.LET(
_xlpm._comment,$O27,
_xlpm._keyWord,Definitions!$AR$4,
_xlpm._diffLen,LEN(_xlpm._comment)-LEN(SUBSTITUTE(_xlpm._comment,_xlpm._keyWord,"")),
_xlpm._diffLen/LEN(_xlpm._keyWord))</f>
        <v>0</v>
      </c>
      <c r="AB27" s="21" cm="1">
        <f t="array" ref="AB27">CreateID($AB$2,$AB:$AB,IFERROR(FIND(Definitions!$AR$5,$O27)&gt;0,FALSE))</f>
        <v>0</v>
      </c>
      <c r="AC27" s="21">
        <f>_xlfn.LET(
_xlpm._comment,$O27,
_xlpm._keyWord,Definitions!$AR$5,
_xlpm._diffLen,LEN(_xlpm._comment)-LEN(SUBSTITUTE(_xlpm._comment,_xlpm._keyWord,"")),
_xlpm._diffLen/LEN(_xlpm._keyWord))</f>
        <v>0</v>
      </c>
      <c r="AD27" s="21" t="str" cm="1">
        <f t="array" ref="AD27">CreateSearchString($J27)</f>
        <v/>
      </c>
      <c r="AE27" s="21" t="str" cm="1">
        <f t="array" aca="1" ref="AE27" ca="1">_xlfn.LET(
_xlpm._selected,SanitizeInput($J27),
_xlpm._catalogOptions,SanitizeInput($F27)&amp;SanitizeInput($G27)&amp;SanitizeInput($H27),
_xlpm._selectedNotInOptions,FilterElementsFromList(_xlpm._selected,_xlpm._catalogOptions,FALSE,","),
IF(_xlpm._selectedNotInOptions="","",$A27&amp;" "&amp;$B27&amp;": "&amp;SUBSTITUTE(RemoveDelimiter(_xlpm._selectedNotInOptions,","),",",", ")))</f>
        <v/>
      </c>
      <c r="AF27" s="21" cm="1">
        <f t="array" aca="1" ref="AF27" ca="1">CreateID($AF$2,$AF:$AF,$AE27&lt;&gt;"")</f>
        <v>0</v>
      </c>
      <c r="AG27" s="21" t="str" cm="1">
        <f t="array" ref="AG27">_xlfn.LET(
_xlpm._delimiter,","&amp;CHAR(10),
_xlpm._assumptions,ParseAllMitigationsFromComment($A27,"-","A",$O27,Definitions!$AR$4,Definitions!$AS$4,Definitions!$AR$6,_xlpm._delimiter,1),
_xlpm._countermeasures,ParseAllMitigationsFromComment($A27,"-","C",$O27,Definitions!$AR$5,Definitions!$AS$5,Definitions!$AR$6,_xlpm._delimiter,1),
IF(_xlpm._countermeasures="",RemoveDelimiter(_xlpm._assumptions,_xlpm._delimiter),_xlpm._assumptions&amp;RemoveDelimiter(_xlpm._countermeasures,_xlpm._delimiter)))</f>
        <v/>
      </c>
      <c r="AH27" s="21" t="str" cm="1">
        <f t="array" ref="AH27">CreateSearchString(SanitizeInput($J27)&amp;GetValuesIgnoreErrors(SanitizeInput($J27),Countermeasures!$A:$G,"",",",FALSE))</f>
        <v/>
      </c>
      <c r="AI27" s="21" t="str" cm="1">
        <f t="array" aca="1" ref="AI27" ca="1">IF(AND(IFERROR(FIND(","&amp;Countermeasures!$A$30&amp;",",$AH27)&gt;0,FALSE),Countermeasures!$AF$30=TRUE,SimpleLookup(Questions!$A$48,Questionnaire!$A:$C)=Definitions!$A$5),$A27&amp;" "&amp;$B27,"")</f>
        <v/>
      </c>
      <c r="AJ27" s="21" cm="1">
        <f t="array" aca="1" ref="AJ27" ca="1">CreateID($AJ$2,$AJ:$AJ,$AI27&lt;&gt;"")</f>
        <v>0</v>
      </c>
      <c r="AK27" s="21" t="str">
        <f t="shared" ca="1" si="2"/>
        <v/>
      </c>
      <c r="AL27" s="21" cm="1">
        <f t="array" aca="1" ref="AL27" ca="1">CreateID($AL$2,$AL:$AL,$AK27&lt;&gt;"")</f>
        <v>0</v>
      </c>
      <c r="AM27" s="21" t="str">
        <f t="shared" si="3"/>
        <v/>
      </c>
      <c r="AN27" s="21" cm="1">
        <f t="array" ref="AN27">CreateID($AN$2,$AN:$AN,$AM27&lt;&gt;"")</f>
        <v>0</v>
      </c>
    </row>
    <row r="28" spans="1:40" ht="120" x14ac:dyDescent="0.25">
      <c r="A28" s="33" t="str" cm="1">
        <f t="array" ref="A28">IF($R28=0,"",INDEX('Attack Steps'!A:A,$R28))</f>
        <v>AS26</v>
      </c>
      <c r="B28" s="16" t="str" cm="1">
        <f t="array" ref="B28">IF($R28=0,"",INDEX('Attack Steps'!B:B,$R28))</f>
        <v>Accessing the product's physical debug interfaces</v>
      </c>
      <c r="C28" s="13">
        <f>3</f>
        <v>3</v>
      </c>
      <c r="D28" s="34" t="str" cm="1">
        <f t="array" aca="1" ref="D28" ca="1">_xlfn.LET(
_xlpm._displayLimit,$C28,
_xlpm._risks,$S28,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8" s="33" t="str" cm="1">
        <f t="array" aca="1" ref="E28" ca="1">_xlfn.LET(_xlpm._riskValue,CalculateMaxFromList($T28,0,Risks!$A:$AJ),
INDEX(Definitions!$AE:$AE,MATCH(_xlpm._riskValue,Definitions!$AF:$AF,0)))</f>
        <v>No Risk</v>
      </c>
      <c r="F28" s="33" t="str" cm="1">
        <f t="array" aca="1" ref="F28" ca="1">IF($A28="","",SUBSTITUTE(RemoveDelimiter(SanitizeInput(SimpleLookup($A28,'Attack Steps'!$A:$AE)),","),",",", "))</f>
        <v>CM8, CM16, CM17</v>
      </c>
      <c r="G28" s="33" t="str" cm="1">
        <f t="array" aca="1" ref="G28" ca="1">IF($A28="","",SUBSTITUTE(RemoveDelimiter(SanitizeInput(SimpleLookup($A28,'Attack Steps'!$A:$AF)),","),",",", "))</f>
        <v/>
      </c>
      <c r="H28" s="80" t="str" cm="1">
        <f t="array" aca="1" ref="H28" ca="1">IF($A28="","",_xlfn.LET(
_xlpm._proposedActive,SanitizeInput($G28),
_xlpm._proposedAll,SimpleLookup($A28,'Attack Steps'!$A:$AG),
_xlpm._proposedDiff,FilterElementsFromList(_xlpm._proposedAll,_xlpm._proposedActive,FALSE,","),
SUBSTITUTE(RemoveDelimiter(SanitizeInput(_xlpm._proposedDiff),","),",",", ")))</f>
        <v/>
      </c>
      <c r="I28" s="33" t="str" cm="1">
        <f t="array" aca="1" ref="I28" ca="1">RemoveDelimiter(GetValuesWithFallback(SanitizeInput($F28)&amp;SanitizeInput($G28)&amp;SanitizeInput($H28),Countermeasures!$A:$B,Assumptions!$A:$B," ",","&amp;CHAR(10),TRUE),","&amp;CHAR(10))</f>
        <v>CM8 SCR 2.7 - Close debug interfaces,
CM16 SCR 2.14 - Password-based authentication at debug interfaces,
CM17 SCR 2.13 - Public key-based authentication at debug interfaces</v>
      </c>
      <c r="J28" s="13"/>
      <c r="K28" s="33" t="str" cm="1">
        <f t="array" ref="K28">RemoveDelimiter(GetValuesWithFallback(SanitizeInput($J28),Countermeasures!$A:$B,Assumptions!$A:$B," ",","&amp;CHAR(10),TRUE),","&amp;CHAR(10))</f>
        <v/>
      </c>
      <c r="L28" s="23">
        <f>3</f>
        <v>3</v>
      </c>
      <c r="M28" s="34" t="str" cm="1">
        <f t="array" aca="1" ref="M28" ca="1">_xlfn.LET(
_xlpm._displayLimit,$L28,
_xlpm._risks,$V28,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8" s="33" t="str">
        <f ca="1">INDEX(Definitions!$AE:$AE,MATCH($W28,Definitions!$AF:$AF,0))</f>
        <v>No Risk</v>
      </c>
      <c r="O28" s="13"/>
      <c r="P28" s="10" cm="1">
        <f t="array" ref="P28">GenerateShadowID(ROW(),$P$2,$P:$P,0,$A28&lt;&gt;"")</f>
        <v>26</v>
      </c>
      <c r="Q28" s="21" cm="1">
        <f t="array" ref="Q28">CreateTaskID($Q$2,$Q:$Q,Tasks!$B$17,$O28)</f>
        <v>0</v>
      </c>
      <c r="R28" s="21">
        <f>IFERROR(MATCH(ROW()-ROW($R$2),'Attack Steps'!$Q:$Q,0),0)</f>
        <v>28</v>
      </c>
      <c r="S28" s="21" t="str" cm="1">
        <f t="array" aca="1" ref="S28" ca="1">CalculateMaxAndElements($T28,0,"",Risks!$A:$AJ)</f>
        <v>0:</v>
      </c>
      <c r="T28" s="21" t="str" cm="1">
        <f t="array" aca="1" ref="T28" ca="1">InverseLookup($A28,Risks!$AI$2,Risks!$A$2,1,Helper!$B$1,",")</f>
        <v/>
      </c>
      <c r="U28" s="21" t="str">
        <f t="shared" ca="1" si="6"/>
        <v/>
      </c>
      <c r="V28" s="21" t="str" cm="1">
        <f t="array" aca="1" ref="V28" ca="1">CalculateMaxAndElements($T28,0,"",Risks!$A:$BK)</f>
        <v>0:</v>
      </c>
      <c r="W28" s="21">
        <f t="shared" ca="1" si="7"/>
        <v>0</v>
      </c>
      <c r="X28" s="21" t="str" cm="1">
        <f t="array" ref="X28">IF($J28="","",","&amp;SanitizeInput($J28))</f>
        <v/>
      </c>
      <c r="Y28" s="21" t="b" cm="1">
        <f t="array" aca="1" ref="Y28" ca="1">INDEX('Attack Steps'!$AI:$AI,$R28)</f>
        <v>0</v>
      </c>
      <c r="Z28" s="21" cm="1">
        <f t="array" ref="Z28">CreateID($Z$2,$Z:$Z,IFERROR(FIND(Definitions!$AR$4,$O28)&gt;0,FALSE))</f>
        <v>0</v>
      </c>
      <c r="AA28" s="21">
        <f>_xlfn.LET(
_xlpm._comment,$O28,
_xlpm._keyWord,Definitions!$AR$4,
_xlpm._diffLen,LEN(_xlpm._comment)-LEN(SUBSTITUTE(_xlpm._comment,_xlpm._keyWord,"")),
_xlpm._diffLen/LEN(_xlpm._keyWord))</f>
        <v>0</v>
      </c>
      <c r="AB28" s="21" cm="1">
        <f t="array" ref="AB28">CreateID($AB$2,$AB:$AB,IFERROR(FIND(Definitions!$AR$5,$O28)&gt;0,FALSE))</f>
        <v>0</v>
      </c>
      <c r="AC28" s="21">
        <f>_xlfn.LET(
_xlpm._comment,$O28,
_xlpm._keyWord,Definitions!$AR$5,
_xlpm._diffLen,LEN(_xlpm._comment)-LEN(SUBSTITUTE(_xlpm._comment,_xlpm._keyWord,"")),
_xlpm._diffLen/LEN(_xlpm._keyWord))</f>
        <v>0</v>
      </c>
      <c r="AD28" s="21" t="str" cm="1">
        <f t="array" ref="AD28">CreateSearchString($J28)</f>
        <v/>
      </c>
      <c r="AE28" s="21" t="str" cm="1">
        <f t="array" aca="1" ref="AE28" ca="1">_xlfn.LET(
_xlpm._selected,SanitizeInput($J28),
_xlpm._catalogOptions,SanitizeInput($F28)&amp;SanitizeInput($G28)&amp;SanitizeInput($H28),
_xlpm._selectedNotInOptions,FilterElementsFromList(_xlpm._selected,_xlpm._catalogOptions,FALSE,","),
IF(_xlpm._selectedNotInOptions="","",$A28&amp;" "&amp;$B28&amp;": "&amp;SUBSTITUTE(RemoveDelimiter(_xlpm._selectedNotInOptions,","),",",", ")))</f>
        <v/>
      </c>
      <c r="AF28" s="21" cm="1">
        <f t="array" aca="1" ref="AF28" ca="1">CreateID($AF$2,$AF:$AF,$AE28&lt;&gt;"")</f>
        <v>0</v>
      </c>
      <c r="AG28" s="21" t="str" cm="1">
        <f t="array" ref="AG28">_xlfn.LET(
_xlpm._delimiter,","&amp;CHAR(10),
_xlpm._assumptions,ParseAllMitigationsFromComment($A28,"-","A",$O28,Definitions!$AR$4,Definitions!$AS$4,Definitions!$AR$6,_xlpm._delimiter,1),
_xlpm._countermeasures,ParseAllMitigationsFromComment($A28,"-","C",$O28,Definitions!$AR$5,Definitions!$AS$5,Definitions!$AR$6,_xlpm._delimiter,1),
IF(_xlpm._countermeasures="",RemoveDelimiter(_xlpm._assumptions,_xlpm._delimiter),_xlpm._assumptions&amp;RemoveDelimiter(_xlpm._countermeasures,_xlpm._delimiter)))</f>
        <v/>
      </c>
      <c r="AH28" s="21" t="str" cm="1">
        <f t="array" ref="AH28">CreateSearchString(SanitizeInput($J28)&amp;GetValuesIgnoreErrors(SanitizeInput($J28),Countermeasures!$A:$G,"",",",FALSE))</f>
        <v/>
      </c>
      <c r="AI28" s="21" t="str" cm="1">
        <f t="array" aca="1" ref="AI28" ca="1">IF(AND(IFERROR(FIND(","&amp;Countermeasures!$A$30&amp;",",$AH28)&gt;0,FALSE),Countermeasures!$AF$30=TRUE,SimpleLookup(Questions!$A$48,Questionnaire!$A:$C)=Definitions!$A$5),$A28&amp;" "&amp;$B28,"")</f>
        <v/>
      </c>
      <c r="AJ28" s="21" cm="1">
        <f t="array" aca="1" ref="AJ28" ca="1">CreateID($AJ$2,$AJ:$AJ,$AI28&lt;&gt;"")</f>
        <v>0</v>
      </c>
      <c r="AK28" s="21" t="str">
        <f t="shared" ca="1" si="2"/>
        <v/>
      </c>
      <c r="AL28" s="21" cm="1">
        <f t="array" aca="1" ref="AL28" ca="1">CreateID($AL$2,$AL:$AL,$AK28&lt;&gt;"")</f>
        <v>0</v>
      </c>
      <c r="AM28" s="21" t="str">
        <f t="shared" si="3"/>
        <v/>
      </c>
      <c r="AN28" s="21" cm="1">
        <f t="array" ref="AN28">CreateID($AN$2,$AN:$AN,$AM28&lt;&gt;"")</f>
        <v>0</v>
      </c>
    </row>
    <row r="29" spans="1:40" ht="45" x14ac:dyDescent="0.25">
      <c r="A29" s="33" t="str" cm="1">
        <f t="array" ref="A29">IF($R29=0,"",INDEX('Attack Steps'!A:A,$R29))</f>
        <v>AS27</v>
      </c>
      <c r="B29" s="16" t="str" cm="1">
        <f t="array" ref="B29">IF($R29=0,"",INDEX('Attack Steps'!B:B,$R29))</f>
        <v>Getting physical access to the product's linked communication media (e.g., field buses)</v>
      </c>
      <c r="C29" s="13">
        <f>3</f>
        <v>3</v>
      </c>
      <c r="D29" s="34" t="str" cm="1">
        <f t="array" aca="1" ref="D29" ca="1">_xlfn.LET(
_xlpm._displayLimit,$C29,
_xlpm._risks,$S29,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29" s="33" t="str" cm="1">
        <f t="array" aca="1" ref="E29" ca="1">_xlfn.LET(_xlpm._riskValue,CalculateMaxFromList($T29,0,Risks!$A:$AJ),
INDEX(Definitions!$AE:$AE,MATCH(_xlpm._riskValue,Definitions!$AF:$AF,0)))</f>
        <v>No Risk</v>
      </c>
      <c r="F29" s="33" t="str" cm="1">
        <f t="array" aca="1" ref="F29" ca="1">IF($A29="","",SUBSTITUTE(RemoveDelimiter(SanitizeInput(SimpleLookup($A29,'Attack Steps'!$A:$AE)),","),",",", "))</f>
        <v/>
      </c>
      <c r="G29" s="33" t="str" cm="1">
        <f t="array" aca="1" ref="G29" ca="1">IF($A29="","",SUBSTITUTE(RemoveDelimiter(SanitizeInput(SimpleLookup($A29,'Attack Steps'!$A:$AF)),","),",",", "))</f>
        <v/>
      </c>
      <c r="H29" s="80" t="str" cm="1">
        <f t="array" aca="1" ref="H29" ca="1">IF($A29="","",_xlfn.LET(
_xlpm._proposedActive,SanitizeInput($G29),
_xlpm._proposedAll,SimpleLookup($A29,'Attack Steps'!$A:$AG),
_xlpm._proposedDiff,FilterElementsFromList(_xlpm._proposedAll,_xlpm._proposedActive,FALSE,","),
SUBSTITUTE(RemoveDelimiter(SanitizeInput(_xlpm._proposedDiff),","),",",", ")))</f>
        <v>A16</v>
      </c>
      <c r="I29" s="33" t="str" cm="1">
        <f t="array" aca="1" ref="I29" ca="1">RemoveDelimiter(GetValuesWithFallback(SanitizeInput($F29)&amp;SanitizeInput($G29)&amp;SanitizeInput($H29),Countermeasures!$A:$B,Assumptions!$A:$B," ",","&amp;CHAR(10),TRUE),","&amp;CHAR(10))</f>
        <v>A16 SDR 1.14 – Communication media located in restricted access area</v>
      </c>
      <c r="J29" s="13"/>
      <c r="K29" s="33" t="str" cm="1">
        <f t="array" ref="K29">RemoveDelimiter(GetValuesWithFallback(SanitizeInput($J29),Countermeasures!$A:$B,Assumptions!$A:$B," ",","&amp;CHAR(10),TRUE),","&amp;CHAR(10))</f>
        <v/>
      </c>
      <c r="L29" s="23">
        <f>3</f>
        <v>3</v>
      </c>
      <c r="M29" s="34" t="str" cm="1">
        <f t="array" aca="1" ref="M29" ca="1">_xlfn.LET(
_xlpm._displayLimit,$L29,
_xlpm._risks,$V29,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29" s="33" t="str">
        <f ca="1">INDEX(Definitions!$AE:$AE,MATCH($W29,Definitions!$AF:$AF,0))</f>
        <v>No Risk</v>
      </c>
      <c r="O29" s="13"/>
      <c r="P29" s="10" cm="1">
        <f t="array" ref="P29">GenerateShadowID(ROW(),$P$2,$P:$P,0,$A29&lt;&gt;"")</f>
        <v>27</v>
      </c>
      <c r="Q29" s="21" cm="1">
        <f t="array" ref="Q29">CreateTaskID($Q$2,$Q:$Q,Tasks!$B$17,$O29)</f>
        <v>0</v>
      </c>
      <c r="R29" s="21">
        <f>IFERROR(MATCH(ROW()-ROW($R$2),'Attack Steps'!$Q:$Q,0),0)</f>
        <v>29</v>
      </c>
      <c r="S29" s="21" t="str" cm="1">
        <f t="array" aca="1" ref="S29" ca="1">CalculateMaxAndElements($T29,0,"",Risks!$A:$AJ)</f>
        <v>0:</v>
      </c>
      <c r="T29" s="21" t="str" cm="1">
        <f t="array" aca="1" ref="T29" ca="1">InverseLookup($A29,Risks!$AI$2,Risks!$A$2,1,Helper!$B$1,",")</f>
        <v/>
      </c>
      <c r="U29" s="21" t="str">
        <f t="shared" ca="1" si="6"/>
        <v/>
      </c>
      <c r="V29" s="21" t="str" cm="1">
        <f t="array" aca="1" ref="V29" ca="1">CalculateMaxAndElements($T29,0,"",Risks!$A:$BK)</f>
        <v>0:</v>
      </c>
      <c r="W29" s="21">
        <f t="shared" ca="1" si="7"/>
        <v>0</v>
      </c>
      <c r="X29" s="21" t="str" cm="1">
        <f t="array" ref="X29">IF($J29="","",","&amp;SanitizeInput($J29))</f>
        <v/>
      </c>
      <c r="Y29" s="21" t="b" cm="1">
        <f t="array" aca="1" ref="Y29" ca="1">INDEX('Attack Steps'!$AI:$AI,$R29)</f>
        <v>0</v>
      </c>
      <c r="Z29" s="21" cm="1">
        <f t="array" ref="Z29">CreateID($Z$2,$Z:$Z,IFERROR(FIND(Definitions!$AR$4,$O29)&gt;0,FALSE))</f>
        <v>0</v>
      </c>
      <c r="AA29" s="21">
        <f>_xlfn.LET(
_xlpm._comment,$O29,
_xlpm._keyWord,Definitions!$AR$4,
_xlpm._diffLen,LEN(_xlpm._comment)-LEN(SUBSTITUTE(_xlpm._comment,_xlpm._keyWord,"")),
_xlpm._diffLen/LEN(_xlpm._keyWord))</f>
        <v>0</v>
      </c>
      <c r="AB29" s="21" cm="1">
        <f t="array" ref="AB29">CreateID($AB$2,$AB:$AB,IFERROR(FIND(Definitions!$AR$5,$O29)&gt;0,FALSE))</f>
        <v>0</v>
      </c>
      <c r="AC29" s="21">
        <f>_xlfn.LET(
_xlpm._comment,$O29,
_xlpm._keyWord,Definitions!$AR$5,
_xlpm._diffLen,LEN(_xlpm._comment)-LEN(SUBSTITUTE(_xlpm._comment,_xlpm._keyWord,"")),
_xlpm._diffLen/LEN(_xlpm._keyWord))</f>
        <v>0</v>
      </c>
      <c r="AD29" s="21" t="str" cm="1">
        <f t="array" ref="AD29">CreateSearchString($J29)</f>
        <v/>
      </c>
      <c r="AE29" s="21" t="str" cm="1">
        <f t="array" aca="1" ref="AE29" ca="1">_xlfn.LET(
_xlpm._selected,SanitizeInput($J29),
_xlpm._catalogOptions,SanitizeInput($F29)&amp;SanitizeInput($G29)&amp;SanitizeInput($H29),
_xlpm._selectedNotInOptions,FilterElementsFromList(_xlpm._selected,_xlpm._catalogOptions,FALSE,","),
IF(_xlpm._selectedNotInOptions="","",$A29&amp;" "&amp;$B29&amp;": "&amp;SUBSTITUTE(RemoveDelimiter(_xlpm._selectedNotInOptions,","),",",", ")))</f>
        <v/>
      </c>
      <c r="AF29" s="21" cm="1">
        <f t="array" aca="1" ref="AF29" ca="1">CreateID($AF$2,$AF:$AF,$AE29&lt;&gt;"")</f>
        <v>0</v>
      </c>
      <c r="AG29" s="21" t="str" cm="1">
        <f t="array" ref="AG29">_xlfn.LET(
_xlpm._delimiter,","&amp;CHAR(10),
_xlpm._assumptions,ParseAllMitigationsFromComment($A29,"-","A",$O29,Definitions!$AR$4,Definitions!$AS$4,Definitions!$AR$6,_xlpm._delimiter,1),
_xlpm._countermeasures,ParseAllMitigationsFromComment($A29,"-","C",$O29,Definitions!$AR$5,Definitions!$AS$5,Definitions!$AR$6,_xlpm._delimiter,1),
IF(_xlpm._countermeasures="",RemoveDelimiter(_xlpm._assumptions,_xlpm._delimiter),_xlpm._assumptions&amp;RemoveDelimiter(_xlpm._countermeasures,_xlpm._delimiter)))</f>
        <v/>
      </c>
      <c r="AH29" s="21" t="str" cm="1">
        <f t="array" ref="AH29">CreateSearchString(SanitizeInput($J29)&amp;GetValuesIgnoreErrors(SanitizeInput($J29),Countermeasures!$A:$G,"",",",FALSE))</f>
        <v/>
      </c>
      <c r="AI29" s="21" t="str" cm="1">
        <f t="array" aca="1" ref="AI29" ca="1">IF(AND(IFERROR(FIND(","&amp;Countermeasures!$A$30&amp;",",$AH29)&gt;0,FALSE),Countermeasures!$AF$30=TRUE,SimpleLookup(Questions!$A$48,Questionnaire!$A:$C)=Definitions!$A$5),$A29&amp;" "&amp;$B29,"")</f>
        <v/>
      </c>
      <c r="AJ29" s="21" cm="1">
        <f t="array" aca="1" ref="AJ29" ca="1">CreateID($AJ$2,$AJ:$AJ,$AI29&lt;&gt;"")</f>
        <v>0</v>
      </c>
      <c r="AK29" s="21" t="str">
        <f t="shared" ca="1" si="2"/>
        <v/>
      </c>
      <c r="AL29" s="21" cm="1">
        <f t="array" aca="1" ref="AL29" ca="1">CreateID($AL$2,$AL:$AL,$AK29&lt;&gt;"")</f>
        <v>0</v>
      </c>
      <c r="AM29" s="21" t="str">
        <f t="shared" si="3"/>
        <v/>
      </c>
      <c r="AN29" s="21" cm="1">
        <f t="array" ref="AN29">CreateID($AN$2,$AN:$AN,$AM29&lt;&gt;"")</f>
        <v>0</v>
      </c>
    </row>
    <row r="30" spans="1:40" ht="30" x14ac:dyDescent="0.25">
      <c r="A30" s="33" t="str" cm="1">
        <f t="array" ref="A30">IF($R30=0,"",INDEX('Attack Steps'!A:A,$R30))</f>
        <v>AS28</v>
      </c>
      <c r="B30" s="16" t="str" cm="1">
        <f t="array" ref="B30">IF($R30=0,"",INDEX('Attack Steps'!B:B,$R30))</f>
        <v>Getting access to a trusted entity</v>
      </c>
      <c r="C30" s="13">
        <f>3</f>
        <v>3</v>
      </c>
      <c r="D30" s="34" t="str" cm="1">
        <f t="array" aca="1" ref="D30" ca="1">_xlfn.LET(
_xlpm._displayLimit,$C30,
_xlpm._risks,$S30,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0" s="33" t="str" cm="1">
        <f t="array" aca="1" ref="E30" ca="1">_xlfn.LET(_xlpm._riskValue,CalculateMaxFromList($T30,0,Risks!$A:$AJ),
INDEX(Definitions!$AE:$AE,MATCH(_xlpm._riskValue,Definitions!$AF:$AF,0)))</f>
        <v>No Risk</v>
      </c>
      <c r="F30" s="33" t="str" cm="1">
        <f t="array" aca="1" ref="F30" ca="1">IF($A30="","",SUBSTITUTE(RemoveDelimiter(SanitizeInput(SimpleLookup($A30,'Attack Steps'!$A:$AE)),","),",",", "))</f>
        <v/>
      </c>
      <c r="G30" s="33" t="str" cm="1">
        <f t="array" aca="1" ref="G30" ca="1">IF($A30="","",SUBSTITUTE(RemoveDelimiter(SanitizeInput(SimpleLookup($A30,'Attack Steps'!$A:$AF)),","),",",", "))</f>
        <v/>
      </c>
      <c r="H30" s="80" t="str" cm="1">
        <f t="array" aca="1" ref="H30" ca="1">IF($A30="","",_xlfn.LET(
_xlpm._proposedActive,SanitizeInput($G30),
_xlpm._proposedAll,SimpleLookup($A30,'Attack Steps'!$A:$AG),
_xlpm._proposedDiff,FilterElementsFromList(_xlpm._proposedAll,_xlpm._proposedActive,FALSE,","),
SUBSTITUTE(RemoveDelimiter(SanitizeInput(_xlpm._proposedDiff),","),",",", ")))</f>
        <v>A13</v>
      </c>
      <c r="I30" s="33" t="str" cm="1">
        <f t="array" aca="1" ref="I30" ca="1">RemoveDelimiter(GetValuesWithFallback(SanitizeInput($F30)&amp;SanitizeInput($G30)&amp;SanitizeInput($H30),Countermeasures!$A:$B,Assumptions!$A:$B," ",","&amp;CHAR(10),TRUE),","&amp;CHAR(10))</f>
        <v>A13 SDR 1.11 – Trustworthy communication partner</v>
      </c>
      <c r="J30" s="13"/>
      <c r="K30" s="33" t="str" cm="1">
        <f t="array" ref="K30">RemoveDelimiter(GetValuesWithFallback(SanitizeInput($J30),Countermeasures!$A:$B,Assumptions!$A:$B," ",","&amp;CHAR(10),TRUE),","&amp;CHAR(10))</f>
        <v/>
      </c>
      <c r="L30" s="23">
        <f>3</f>
        <v>3</v>
      </c>
      <c r="M30" s="34" t="str" cm="1">
        <f t="array" aca="1" ref="M30" ca="1">_xlfn.LET(
_xlpm._displayLimit,$L30,
_xlpm._risks,$V30,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0" s="33" t="str">
        <f ca="1">INDEX(Definitions!$AE:$AE,MATCH($W30,Definitions!$AF:$AF,0))</f>
        <v>No Risk</v>
      </c>
      <c r="O30" s="13"/>
      <c r="P30" s="10" cm="1">
        <f t="array" ref="P30">GenerateShadowID(ROW(),$P$2,$P:$P,0,$A30&lt;&gt;"")</f>
        <v>28</v>
      </c>
      <c r="Q30" s="21" cm="1">
        <f t="array" ref="Q30">CreateTaskID($Q$2,$Q:$Q,Tasks!$B$17,$O30)</f>
        <v>0</v>
      </c>
      <c r="R30" s="21">
        <f>IFERROR(MATCH(ROW()-ROW($R$2),'Attack Steps'!$Q:$Q,0),0)</f>
        <v>30</v>
      </c>
      <c r="S30" s="21" t="str" cm="1">
        <f t="array" aca="1" ref="S30" ca="1">CalculateMaxAndElements($T30,0,"",Risks!$A:$AJ)</f>
        <v>0:</v>
      </c>
      <c r="T30" s="21" t="str" cm="1">
        <f t="array" aca="1" ref="T30" ca="1">InverseLookup($A30,Risks!$AI$2,Risks!$A$2,1,Helper!$B$1,",")</f>
        <v/>
      </c>
      <c r="U30" s="21" t="str">
        <f t="shared" ca="1" si="6"/>
        <v/>
      </c>
      <c r="V30" s="21" t="str" cm="1">
        <f t="array" aca="1" ref="V30" ca="1">CalculateMaxAndElements($T30,0,"",Risks!$A:$BK)</f>
        <v>0:</v>
      </c>
      <c r="W30" s="21">
        <f t="shared" ca="1" si="7"/>
        <v>0</v>
      </c>
      <c r="X30" s="21" t="str" cm="1">
        <f t="array" ref="X30">IF($J30="","",","&amp;SanitizeInput($J30))</f>
        <v/>
      </c>
      <c r="Y30" s="21" t="b" cm="1">
        <f t="array" aca="1" ref="Y30" ca="1">INDEX('Attack Steps'!$AI:$AI,$R30)</f>
        <v>0</v>
      </c>
      <c r="Z30" s="21" cm="1">
        <f t="array" ref="Z30">CreateID($Z$2,$Z:$Z,IFERROR(FIND(Definitions!$AR$4,$O30)&gt;0,FALSE))</f>
        <v>0</v>
      </c>
      <c r="AA30" s="21">
        <f>_xlfn.LET(
_xlpm._comment,$O30,
_xlpm._keyWord,Definitions!$AR$4,
_xlpm._diffLen,LEN(_xlpm._comment)-LEN(SUBSTITUTE(_xlpm._comment,_xlpm._keyWord,"")),
_xlpm._diffLen/LEN(_xlpm._keyWord))</f>
        <v>0</v>
      </c>
      <c r="AB30" s="21" cm="1">
        <f t="array" ref="AB30">CreateID($AB$2,$AB:$AB,IFERROR(FIND(Definitions!$AR$5,$O30)&gt;0,FALSE))</f>
        <v>0</v>
      </c>
      <c r="AC30" s="21">
        <f>_xlfn.LET(
_xlpm._comment,$O30,
_xlpm._keyWord,Definitions!$AR$5,
_xlpm._diffLen,LEN(_xlpm._comment)-LEN(SUBSTITUTE(_xlpm._comment,_xlpm._keyWord,"")),
_xlpm._diffLen/LEN(_xlpm._keyWord))</f>
        <v>0</v>
      </c>
      <c r="AD30" s="21" t="str" cm="1">
        <f t="array" ref="AD30">CreateSearchString($J30)</f>
        <v/>
      </c>
      <c r="AE30" s="21" t="str" cm="1">
        <f t="array" aca="1" ref="AE30" ca="1">_xlfn.LET(
_xlpm._selected,SanitizeInput($J30),
_xlpm._catalogOptions,SanitizeInput($F30)&amp;SanitizeInput($G30)&amp;SanitizeInput($H30),
_xlpm._selectedNotInOptions,FilterElementsFromList(_xlpm._selected,_xlpm._catalogOptions,FALSE,","),
IF(_xlpm._selectedNotInOptions="","",$A30&amp;" "&amp;$B30&amp;": "&amp;SUBSTITUTE(RemoveDelimiter(_xlpm._selectedNotInOptions,","),",",", ")))</f>
        <v/>
      </c>
      <c r="AF30" s="21" cm="1">
        <f t="array" aca="1" ref="AF30" ca="1">CreateID($AF$2,$AF:$AF,$AE30&lt;&gt;"")</f>
        <v>0</v>
      </c>
      <c r="AG30" s="21" t="str" cm="1">
        <f t="array" ref="AG30">_xlfn.LET(
_xlpm._delimiter,","&amp;CHAR(10),
_xlpm._assumptions,ParseAllMitigationsFromComment($A30,"-","A",$O30,Definitions!$AR$4,Definitions!$AS$4,Definitions!$AR$6,_xlpm._delimiter,1),
_xlpm._countermeasures,ParseAllMitigationsFromComment($A30,"-","C",$O30,Definitions!$AR$5,Definitions!$AS$5,Definitions!$AR$6,_xlpm._delimiter,1),
IF(_xlpm._countermeasures="",RemoveDelimiter(_xlpm._assumptions,_xlpm._delimiter),_xlpm._assumptions&amp;RemoveDelimiter(_xlpm._countermeasures,_xlpm._delimiter)))</f>
        <v/>
      </c>
      <c r="AH30" s="21" t="str" cm="1">
        <f t="array" ref="AH30">CreateSearchString(SanitizeInput($J30)&amp;GetValuesIgnoreErrors(SanitizeInput($J30),Countermeasures!$A:$G,"",",",FALSE))</f>
        <v/>
      </c>
      <c r="AI30" s="21" t="str" cm="1">
        <f t="array" aca="1" ref="AI30" ca="1">IF(AND(IFERROR(FIND(","&amp;Countermeasures!$A$30&amp;",",$AH30)&gt;0,FALSE),Countermeasures!$AF$30=TRUE,SimpleLookup(Questions!$A$48,Questionnaire!$A:$C)=Definitions!$A$5),$A30&amp;" "&amp;$B30,"")</f>
        <v/>
      </c>
      <c r="AJ30" s="21" cm="1">
        <f t="array" aca="1" ref="AJ30" ca="1">CreateID($AJ$2,$AJ:$AJ,$AI30&lt;&gt;"")</f>
        <v>0</v>
      </c>
      <c r="AK30" s="21" t="str">
        <f t="shared" ca="1" si="2"/>
        <v/>
      </c>
      <c r="AL30" s="21" cm="1">
        <f t="array" aca="1" ref="AL30" ca="1">CreateID($AL$2,$AL:$AL,$AK30&lt;&gt;"")</f>
        <v>0</v>
      </c>
      <c r="AM30" s="21" t="str">
        <f t="shared" si="3"/>
        <v/>
      </c>
      <c r="AN30" s="21" cm="1">
        <f t="array" ref="AN30">CreateID($AN$2,$AN:$AN,$AM30&lt;&gt;"")</f>
        <v>0</v>
      </c>
    </row>
    <row r="31" spans="1:40" ht="60" x14ac:dyDescent="0.25">
      <c r="A31" s="33" t="str" cm="1">
        <f t="array" ref="A31">IF($R31=0,"",INDEX('Attack Steps'!A:A,$R31))</f>
        <v>AS29</v>
      </c>
      <c r="B31" s="16" t="str" cm="1">
        <f t="array" ref="B31">IF($R31=0,"",INDEX('Attack Steps'!B:B,$R31))</f>
        <v>Brute-forcing the authentication mechanism over IP</v>
      </c>
      <c r="C31" s="13">
        <f>3</f>
        <v>3</v>
      </c>
      <c r="D31" s="34" t="str" cm="1">
        <f t="array" aca="1" ref="D31" ca="1">_xlfn.LET(
_xlpm._displayLimit,$C31,
_xlpm._risks,$S31,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1" s="33" t="str" cm="1">
        <f t="array" aca="1" ref="E31" ca="1">_xlfn.LET(_xlpm._riskValue,CalculateMaxFromList($T31,0,Risks!$A:$AJ),
INDEX(Definitions!$AE:$AE,MATCH(_xlpm._riskValue,Definitions!$AF:$AF,0)))</f>
        <v>No Risk</v>
      </c>
      <c r="F31" s="33" t="str" cm="1">
        <f t="array" aca="1" ref="F31" ca="1">IF($A31="","",SUBSTITUTE(RemoveDelimiter(SanitizeInput(SimpleLookup($A31,'Attack Steps'!$A:$AE)),","),",",", "))</f>
        <v>C32</v>
      </c>
      <c r="G31" s="33" t="str" cm="1">
        <f t="array" aca="1" ref="G31" ca="1">IF($A31="","",SUBSTITUTE(RemoveDelimiter(SanitizeInput(SimpleLookup($A31,'Attack Steps'!$A:$AF)),","),",",", "))</f>
        <v/>
      </c>
      <c r="H31" s="80" t="str" cm="1">
        <f t="array" aca="1" ref="H31" ca="1">IF($A31="","",_xlfn.LET(
_xlpm._proposedActive,SanitizeInput($G31),
_xlpm._proposedAll,SimpleLookup($A31,'Attack Steps'!$A:$AG),
_xlpm._proposedDiff,FilterElementsFromList(_xlpm._proposedAll,_xlpm._proposedActive,FALSE,","),
SUBSTITUTE(RemoveDelimiter(SanitizeInput(_xlpm._proposedDiff),","),",",", ")))</f>
        <v>A22</v>
      </c>
      <c r="I31" s="33" t="str" cm="1">
        <f t="array" aca="1" ref="I31" ca="1">RemoveDelimiter(GetValuesWithFallback(SanitizeInput($F31)&amp;SanitizeInput($G31)&amp;SanitizeInput($H31),Countermeasures!$A:$B,Assumptions!$A:$B," ",","&amp;CHAR(10),TRUE),","&amp;CHAR(10))</f>
        <v>C32 CR 1.11 - Unsuccessful login attempts,
A22 SDR 2.8 - No authentication over the IP stack possible</v>
      </c>
      <c r="J31" s="13"/>
      <c r="K31" s="33" t="str" cm="1">
        <f t="array" ref="K31">RemoveDelimiter(GetValuesWithFallback(SanitizeInput($J31),Countermeasures!$A:$B,Assumptions!$A:$B," ",","&amp;CHAR(10),TRUE),","&amp;CHAR(10))</f>
        <v/>
      </c>
      <c r="L31" s="23">
        <f>3</f>
        <v>3</v>
      </c>
      <c r="M31" s="34" t="str" cm="1">
        <f t="array" aca="1" ref="M31" ca="1">_xlfn.LET(
_xlpm._displayLimit,$L31,
_xlpm._risks,$V31,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1" s="33" t="str">
        <f ca="1">INDEX(Definitions!$AE:$AE,MATCH($W31,Definitions!$AF:$AF,0))</f>
        <v>No Risk</v>
      </c>
      <c r="O31" s="13"/>
      <c r="P31" s="10" cm="1">
        <f t="array" ref="P31">GenerateShadowID(ROW(),$P$2,$P:$P,0,$A31&lt;&gt;"")</f>
        <v>29</v>
      </c>
      <c r="Q31" s="21" cm="1">
        <f t="array" ref="Q31">CreateTaskID($Q$2,$Q:$Q,Tasks!$B$17,$O31)</f>
        <v>0</v>
      </c>
      <c r="R31" s="21">
        <f>IFERROR(MATCH(ROW()-ROW($R$2),'Attack Steps'!$Q:$Q,0),0)</f>
        <v>31</v>
      </c>
      <c r="S31" s="21" t="str" cm="1">
        <f t="array" aca="1" ref="S31" ca="1">CalculateMaxAndElements($T31,0,"",Risks!$A:$AJ)</f>
        <v>0:</v>
      </c>
      <c r="T31" s="21" t="str" cm="1">
        <f t="array" aca="1" ref="T31" ca="1">InverseLookup($A31,Risks!$AI$2,Risks!$A$2,1,Helper!$B$1,",")</f>
        <v/>
      </c>
      <c r="U31" s="21" t="str">
        <f t="shared" ref="U31:U36" ca="1" si="8">IF($T31="","",","&amp;$T31)</f>
        <v/>
      </c>
      <c r="V31" s="21" t="str" cm="1">
        <f t="array" aca="1" ref="V31" ca="1">CalculateMaxAndElements($T31,0,"",Risks!$A:$BK)</f>
        <v>0:</v>
      </c>
      <c r="W31" s="21">
        <f t="shared" ref="W31:W36" ca="1" si="9">IF($V31="","",VALUE(LEFT($V31,FIND(":",$V31)-1)))</f>
        <v>0</v>
      </c>
      <c r="X31" s="21" t="str" cm="1">
        <f t="array" ref="X31">IF($J31="","",","&amp;SanitizeInput($J31))</f>
        <v/>
      </c>
      <c r="Y31" s="21" t="b" cm="1">
        <f t="array" aca="1" ref="Y31" ca="1">INDEX('Attack Steps'!$AI:$AI,$R31)</f>
        <v>0</v>
      </c>
      <c r="Z31" s="21" cm="1">
        <f t="array" ref="Z31">CreateID($Z$2,$Z:$Z,IFERROR(FIND(Definitions!$AR$4,$O31)&gt;0,FALSE))</f>
        <v>0</v>
      </c>
      <c r="AA31" s="21">
        <f>_xlfn.LET(
_xlpm._comment,$O31,
_xlpm._keyWord,Definitions!$AR$4,
_xlpm._diffLen,LEN(_xlpm._comment)-LEN(SUBSTITUTE(_xlpm._comment,_xlpm._keyWord,"")),
_xlpm._diffLen/LEN(_xlpm._keyWord))</f>
        <v>0</v>
      </c>
      <c r="AB31" s="21" cm="1">
        <f t="array" ref="AB31">CreateID($AB$2,$AB:$AB,IFERROR(FIND(Definitions!$AR$5,$O31)&gt;0,FALSE))</f>
        <v>0</v>
      </c>
      <c r="AC31" s="21">
        <f>_xlfn.LET(
_xlpm._comment,$O31,
_xlpm._keyWord,Definitions!$AR$5,
_xlpm._diffLen,LEN(_xlpm._comment)-LEN(SUBSTITUTE(_xlpm._comment,_xlpm._keyWord,"")),
_xlpm._diffLen/LEN(_xlpm._keyWord))</f>
        <v>0</v>
      </c>
      <c r="AD31" s="21" t="str" cm="1">
        <f t="array" ref="AD31">CreateSearchString($J31)</f>
        <v/>
      </c>
      <c r="AE31" s="21" t="str" cm="1">
        <f t="array" aca="1" ref="AE31" ca="1">_xlfn.LET(
_xlpm._selected,SanitizeInput($J31),
_xlpm._catalogOptions,SanitizeInput($F31)&amp;SanitizeInput($G31)&amp;SanitizeInput($H31),
_xlpm._selectedNotInOptions,FilterElementsFromList(_xlpm._selected,_xlpm._catalogOptions,FALSE,","),
IF(_xlpm._selectedNotInOptions="","",$A31&amp;" "&amp;$B31&amp;": "&amp;SUBSTITUTE(RemoveDelimiter(_xlpm._selectedNotInOptions,","),",",", ")))</f>
        <v/>
      </c>
      <c r="AF31" s="21" cm="1">
        <f t="array" aca="1" ref="AF31" ca="1">CreateID($AF$2,$AF:$AF,$AE31&lt;&gt;"")</f>
        <v>0</v>
      </c>
      <c r="AG31" s="21" t="str" cm="1">
        <f t="array" ref="AG31">_xlfn.LET(
_xlpm._delimiter,","&amp;CHAR(10),
_xlpm._assumptions,ParseAllMitigationsFromComment($A31,"-","A",$O31,Definitions!$AR$4,Definitions!$AS$4,Definitions!$AR$6,_xlpm._delimiter,1),
_xlpm._countermeasures,ParseAllMitigationsFromComment($A31,"-","C",$O31,Definitions!$AR$5,Definitions!$AS$5,Definitions!$AR$6,_xlpm._delimiter,1),
IF(_xlpm._countermeasures="",RemoveDelimiter(_xlpm._assumptions,_xlpm._delimiter),_xlpm._assumptions&amp;RemoveDelimiter(_xlpm._countermeasures,_xlpm._delimiter)))</f>
        <v/>
      </c>
      <c r="AH31" s="21" t="str" cm="1">
        <f t="array" ref="AH31">CreateSearchString(SanitizeInput($J31)&amp;GetValuesIgnoreErrors(SanitizeInput($J31),Countermeasures!$A:$G,"",",",FALSE))</f>
        <v/>
      </c>
      <c r="AI31" s="21" t="str" cm="1">
        <f t="array" aca="1" ref="AI31" ca="1">IF(AND(IFERROR(FIND(","&amp;Countermeasures!$A$30&amp;",",$AH31)&gt;0,FALSE),Countermeasures!$AF$30=TRUE,SimpleLookup(Questions!$A$48,Questionnaire!$A:$C)=Definitions!$A$5),$A31&amp;" "&amp;$B31,"")</f>
        <v/>
      </c>
      <c r="AJ31" s="21" cm="1">
        <f t="array" aca="1" ref="AJ31" ca="1">CreateID($AJ$2,$AJ:$AJ,$AI31&lt;&gt;"")</f>
        <v>0</v>
      </c>
      <c r="AK31" s="21" t="str">
        <f t="shared" ca="1" si="2"/>
        <v/>
      </c>
      <c r="AL31" s="21" cm="1">
        <f t="array" aca="1" ref="AL31" ca="1">CreateID($AL$2,$AL:$AL,$AK31&lt;&gt;"")</f>
        <v>0</v>
      </c>
      <c r="AM31" s="21" t="str">
        <f t="shared" si="3"/>
        <v/>
      </c>
      <c r="AN31" s="21" cm="1">
        <f t="array" ref="AN31">CreateID($AN$2,$AN:$AN,$AM31&lt;&gt;"")</f>
        <v>0</v>
      </c>
    </row>
    <row r="32" spans="1:40" ht="60" x14ac:dyDescent="0.25">
      <c r="A32" s="33" t="str" cm="1">
        <f t="array" ref="A32">IF($R32=0,"",INDEX('Attack Steps'!A:A,$R32))</f>
        <v>AS30</v>
      </c>
      <c r="B32" s="16" t="str" cm="1">
        <f t="array" ref="B32">IF($R32=0,"",INDEX('Attack Steps'!B:B,$R32))</f>
        <v>Extracting information from a decommissioned or second-hand device's persistent memory</v>
      </c>
      <c r="C32" s="13">
        <f>3</f>
        <v>3</v>
      </c>
      <c r="D32" s="34" t="str" cm="1">
        <f t="array" aca="1" ref="D32" ca="1">_xlfn.LET(
_xlpm._displayLimit,$C32,
_xlpm._risks,$S32,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2" s="33" t="str" cm="1">
        <f t="array" aca="1" ref="E32" ca="1">_xlfn.LET(_xlpm._riskValue,CalculateMaxFromList($T32,0,Risks!$A:$AJ),
INDEX(Definitions!$AE:$AE,MATCH(_xlpm._riskValue,Definitions!$AF:$AF,0)))</f>
        <v>No Risk</v>
      </c>
      <c r="F32" s="33" t="str" cm="1">
        <f t="array" aca="1" ref="F32" ca="1">IF($A32="","",SUBSTITUTE(RemoveDelimiter(SanitizeInput(SimpleLookup($A32,'Attack Steps'!$A:$AE)),","),",",", "))</f>
        <v>C17, CM4</v>
      </c>
      <c r="G32" s="33" t="str" cm="1">
        <f t="array" aca="1" ref="G32" ca="1">IF($A32="","",SUBSTITUTE(RemoveDelimiter(SanitizeInput(SimpleLookup($A32,'Attack Steps'!$A:$AF)),","),",",", "))</f>
        <v/>
      </c>
      <c r="H32" s="80" t="str" cm="1">
        <f t="array" aca="1" ref="H32" ca="1">IF($A32="","",_xlfn.LET(
_xlpm._proposedActive,SanitizeInput($G32),
_xlpm._proposedAll,SimpleLookup($A32,'Attack Steps'!$A:$AG),
_xlpm._proposedDiff,FilterElementsFromList(_xlpm._proposedAll,_xlpm._proposedActive,FALSE,","),
SUBSTITUTE(RemoveDelimiter(SanitizeInput(_xlpm._proposedDiff),","),",",", ")))</f>
        <v/>
      </c>
      <c r="I32" s="33" t="str" cm="1">
        <f t="array" aca="1" ref="I32" ca="1">RemoveDelimiter(GetValuesWithFallback(SanitizeInput($F32)&amp;SanitizeInput($G32)&amp;SanitizeInput($H32),Countermeasures!$A:$B,Assumptions!$A:$B," ",","&amp;CHAR(10),TRUE),","&amp;CHAR(10))</f>
        <v>C17 CR 4.2 – Information persistence,
CM4 SCR 2.2 - Hardware based Storage Encryption</v>
      </c>
      <c r="J32" s="13"/>
      <c r="K32" s="33" t="str" cm="1">
        <f t="array" ref="K32">RemoveDelimiter(GetValuesWithFallback(SanitizeInput($J32),Countermeasures!$A:$B,Assumptions!$A:$B," ",","&amp;CHAR(10),TRUE),","&amp;CHAR(10))</f>
        <v/>
      </c>
      <c r="L32" s="23">
        <f>3</f>
        <v>3</v>
      </c>
      <c r="M32" s="34" t="str" cm="1">
        <f t="array" aca="1" ref="M32" ca="1">_xlfn.LET(
_xlpm._displayLimit,$L32,
_xlpm._risks,$V32,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2" s="33" t="str">
        <f ca="1">INDEX(Definitions!$AE:$AE,MATCH($W32,Definitions!$AF:$AF,0))</f>
        <v>No Risk</v>
      </c>
      <c r="O32" s="13"/>
      <c r="P32" s="10" cm="1">
        <f t="array" ref="P32">GenerateShadowID(ROW(),$P$2,$P:$P,0,$A32&lt;&gt;"")</f>
        <v>30</v>
      </c>
      <c r="Q32" s="21" cm="1">
        <f t="array" ref="Q32">CreateTaskID($Q$2,$Q:$Q,Tasks!$B$17,$O32)</f>
        <v>0</v>
      </c>
      <c r="R32" s="21">
        <f>IFERROR(MATCH(ROW()-ROW($R$2),'Attack Steps'!$Q:$Q,0),0)</f>
        <v>32</v>
      </c>
      <c r="S32" s="21" t="str" cm="1">
        <f t="array" aca="1" ref="S32" ca="1">CalculateMaxAndElements($T32,0,"",Risks!$A:$AJ)</f>
        <v>0:</v>
      </c>
      <c r="T32" s="21" t="str" cm="1">
        <f t="array" aca="1" ref="T32" ca="1">InverseLookup($A32,Risks!$AI$2,Risks!$A$2,1,Helper!$B$1,",")</f>
        <v/>
      </c>
      <c r="U32" s="21" t="str">
        <f t="shared" ca="1" si="8"/>
        <v/>
      </c>
      <c r="V32" s="21" t="str" cm="1">
        <f t="array" aca="1" ref="V32" ca="1">CalculateMaxAndElements($T32,0,"",Risks!$A:$BK)</f>
        <v>0:</v>
      </c>
      <c r="W32" s="21">
        <f t="shared" ca="1" si="9"/>
        <v>0</v>
      </c>
      <c r="X32" s="21" t="str" cm="1">
        <f t="array" ref="X32">IF($J32="","",","&amp;SanitizeInput($J32))</f>
        <v/>
      </c>
      <c r="Y32" s="21" t="b" cm="1">
        <f t="array" aca="1" ref="Y32" ca="1">INDEX('Attack Steps'!$AI:$AI,$R32)</f>
        <v>0</v>
      </c>
      <c r="Z32" s="21" cm="1">
        <f t="array" ref="Z32">CreateID($Z$2,$Z:$Z,IFERROR(FIND(Definitions!$AR$4,$O32)&gt;0,FALSE))</f>
        <v>0</v>
      </c>
      <c r="AA32" s="21">
        <f>_xlfn.LET(
_xlpm._comment,$O32,
_xlpm._keyWord,Definitions!$AR$4,
_xlpm._diffLen,LEN(_xlpm._comment)-LEN(SUBSTITUTE(_xlpm._comment,_xlpm._keyWord,"")),
_xlpm._diffLen/LEN(_xlpm._keyWord))</f>
        <v>0</v>
      </c>
      <c r="AB32" s="21" cm="1">
        <f t="array" ref="AB32">CreateID($AB$2,$AB:$AB,IFERROR(FIND(Definitions!$AR$5,$O32)&gt;0,FALSE))</f>
        <v>0</v>
      </c>
      <c r="AC32" s="21">
        <f>_xlfn.LET(
_xlpm._comment,$O32,
_xlpm._keyWord,Definitions!$AR$5,
_xlpm._diffLen,LEN(_xlpm._comment)-LEN(SUBSTITUTE(_xlpm._comment,_xlpm._keyWord,"")),
_xlpm._diffLen/LEN(_xlpm._keyWord))</f>
        <v>0</v>
      </c>
      <c r="AD32" s="21" t="str" cm="1">
        <f t="array" ref="AD32">CreateSearchString($J32)</f>
        <v/>
      </c>
      <c r="AE32" s="21" t="str" cm="1">
        <f t="array" aca="1" ref="AE32" ca="1">_xlfn.LET(
_xlpm._selected,SanitizeInput($J32),
_xlpm._catalogOptions,SanitizeInput($F32)&amp;SanitizeInput($G32)&amp;SanitizeInput($H32),
_xlpm._selectedNotInOptions,FilterElementsFromList(_xlpm._selected,_xlpm._catalogOptions,FALSE,","),
IF(_xlpm._selectedNotInOptions="","",$A32&amp;" "&amp;$B32&amp;": "&amp;SUBSTITUTE(RemoveDelimiter(_xlpm._selectedNotInOptions,","),",",", ")))</f>
        <v/>
      </c>
      <c r="AF32" s="21" cm="1">
        <f t="array" aca="1" ref="AF32" ca="1">CreateID($AF$2,$AF:$AF,$AE32&lt;&gt;"")</f>
        <v>0</v>
      </c>
      <c r="AG32" s="21" t="str" cm="1">
        <f t="array" ref="AG32">_xlfn.LET(
_xlpm._delimiter,","&amp;CHAR(10),
_xlpm._assumptions,ParseAllMitigationsFromComment($A32,"-","A",$O32,Definitions!$AR$4,Definitions!$AS$4,Definitions!$AR$6,_xlpm._delimiter,1),
_xlpm._countermeasures,ParseAllMitigationsFromComment($A32,"-","C",$O32,Definitions!$AR$5,Definitions!$AS$5,Definitions!$AR$6,_xlpm._delimiter,1),
IF(_xlpm._countermeasures="",RemoveDelimiter(_xlpm._assumptions,_xlpm._delimiter),_xlpm._assumptions&amp;RemoveDelimiter(_xlpm._countermeasures,_xlpm._delimiter)))</f>
        <v/>
      </c>
      <c r="AH32" s="21" t="str" cm="1">
        <f t="array" ref="AH32">CreateSearchString(SanitizeInput($J32)&amp;GetValuesIgnoreErrors(SanitizeInput($J32),Countermeasures!$A:$G,"",",",FALSE))</f>
        <v/>
      </c>
      <c r="AI32" s="21" t="str" cm="1">
        <f t="array" aca="1" ref="AI32" ca="1">IF(AND(IFERROR(FIND(","&amp;Countermeasures!$A$30&amp;",",$AH32)&gt;0,FALSE),Countermeasures!$AF$30=TRUE,SimpleLookup(Questions!$A$48,Questionnaire!$A:$C)=Definitions!$A$5),$A32&amp;" "&amp;$B32,"")</f>
        <v/>
      </c>
      <c r="AJ32" s="21" cm="1">
        <f t="array" aca="1" ref="AJ32" ca="1">CreateID($AJ$2,$AJ:$AJ,$AI32&lt;&gt;"")</f>
        <v>0</v>
      </c>
      <c r="AK32" s="21" t="str">
        <f t="shared" ca="1" si="2"/>
        <v/>
      </c>
      <c r="AL32" s="21" cm="1">
        <f t="array" aca="1" ref="AL32" ca="1">CreateID($AL$2,$AL:$AL,$AK32&lt;&gt;"")</f>
        <v>0</v>
      </c>
      <c r="AM32" s="21" t="str">
        <f t="shared" si="3"/>
        <v/>
      </c>
      <c r="AN32" s="21" cm="1">
        <f t="array" ref="AN32">CreateID($AN$2,$AN:$AN,$AM32&lt;&gt;"")</f>
        <v>0</v>
      </c>
    </row>
    <row r="33" spans="1:40" ht="60" x14ac:dyDescent="0.25">
      <c r="A33" s="33" t="str" cm="1">
        <f t="array" ref="A33">IF($R33=0,"",INDEX('Attack Steps'!A:A,$R33))</f>
        <v>AS31</v>
      </c>
      <c r="B33" s="16" t="str" cm="1">
        <f t="array" ref="B33">IF($R33=0,"",INDEX('Attack Steps'!B:B,$R33))</f>
        <v>Attacking a customer network from another customer network via the product's internal gateway</v>
      </c>
      <c r="C33" s="13">
        <f>3</f>
        <v>3</v>
      </c>
      <c r="D33" s="34" t="str" cm="1">
        <f t="array" aca="1" ref="D33" ca="1">_xlfn.LET(
_xlpm._displayLimit,$C33,
_xlpm._risks,$S33,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3" s="33" t="str" cm="1">
        <f t="array" aca="1" ref="E33" ca="1">_xlfn.LET(_xlpm._riskValue,CalculateMaxFromList($T33,0,Risks!$A:$AJ),
INDEX(Definitions!$AE:$AE,MATCH(_xlpm._riskValue,Definitions!$AF:$AF,0)))</f>
        <v>No Risk</v>
      </c>
      <c r="F33" s="33" t="str" cm="1">
        <f t="array" aca="1" ref="F33" ca="1">IF($A33="","",SUBSTITUTE(RemoveDelimiter(SanitizeInput(SimpleLookup($A33,'Attack Steps'!$A:$AE)),","),",",", "))</f>
        <v>CM1</v>
      </c>
      <c r="G33" s="33" t="str" cm="1">
        <f t="array" aca="1" ref="G33" ca="1">IF($A33="","",SUBSTITUTE(RemoveDelimiter(SanitizeInput(SimpleLookup($A33,'Attack Steps'!$A:$AF)),","),",",", "))</f>
        <v/>
      </c>
      <c r="H33" s="80" t="str" cm="1">
        <f t="array" aca="1" ref="H33" ca="1">IF($A33="","",_xlfn.LET(
_xlpm._proposedActive,SanitizeInput($G33),
_xlpm._proposedAll,SimpleLookup($A33,'Attack Steps'!$A:$AG),
_xlpm._proposedDiff,FilterElementsFromList(_xlpm._proposedAll,_xlpm._proposedActive,FALSE,","),
SUBSTITUTE(RemoveDelimiter(SanitizeInput(_xlpm._proposedDiff),","),",",", ")))</f>
        <v/>
      </c>
      <c r="I33" s="33" t="str" cm="1">
        <f t="array" aca="1" ref="I33" ca="1">RemoveDelimiter(GetValuesWithFallback(SanitizeInput($F33)&amp;SanitizeInput($G33)&amp;SanitizeInput($H33),Countermeasures!$A:$B,Assumptions!$A:$B," ",","&amp;CHAR(10),TRUE),","&amp;CHAR(10))</f>
        <v>CM1 SCR 2.1 - Device Firewall</v>
      </c>
      <c r="J33" s="13"/>
      <c r="K33" s="33" t="str" cm="1">
        <f t="array" ref="K33">RemoveDelimiter(GetValuesWithFallback(SanitizeInput($J33),Countermeasures!$A:$B,Assumptions!$A:$B," ",","&amp;CHAR(10),TRUE),","&amp;CHAR(10))</f>
        <v/>
      </c>
      <c r="L33" s="23">
        <f>3</f>
        <v>3</v>
      </c>
      <c r="M33" s="34" t="str" cm="1">
        <f t="array" aca="1" ref="M33" ca="1">_xlfn.LET(
_xlpm._displayLimit,$L33,
_xlpm._risks,$V33,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3" s="33" t="str">
        <f ca="1">INDEX(Definitions!$AE:$AE,MATCH($W33,Definitions!$AF:$AF,0))</f>
        <v>No Risk</v>
      </c>
      <c r="O33" s="13"/>
      <c r="P33" s="10" cm="1">
        <f t="array" ref="P33">GenerateShadowID(ROW(),$P$2,$P:$P,0,$A33&lt;&gt;"")</f>
        <v>31</v>
      </c>
      <c r="Q33" s="21" cm="1">
        <f t="array" ref="Q33">CreateTaskID($Q$2,$Q:$Q,Tasks!$B$17,$O33)</f>
        <v>0</v>
      </c>
      <c r="R33" s="21">
        <f>IFERROR(MATCH(ROW()-ROW($R$2),'Attack Steps'!$Q:$Q,0),0)</f>
        <v>33</v>
      </c>
      <c r="S33" s="21" t="str" cm="1">
        <f t="array" aca="1" ref="S33" ca="1">CalculateMaxAndElements($T33,0,"",Risks!$A:$AJ)</f>
        <v>0:</v>
      </c>
      <c r="T33" s="21" t="str" cm="1">
        <f t="array" aca="1" ref="T33" ca="1">InverseLookup($A33,Risks!$AI$2,Risks!$A$2,1,Helper!$B$1,",")</f>
        <v/>
      </c>
      <c r="U33" s="21" t="str">
        <f t="shared" ca="1" si="8"/>
        <v/>
      </c>
      <c r="V33" s="21" t="str" cm="1">
        <f t="array" aca="1" ref="V33" ca="1">CalculateMaxAndElements($T33,0,"",Risks!$A:$BK)</f>
        <v>0:</v>
      </c>
      <c r="W33" s="21">
        <f t="shared" ca="1" si="9"/>
        <v>0</v>
      </c>
      <c r="X33" s="21" t="str" cm="1">
        <f t="array" ref="X33">IF($J33="","",","&amp;SanitizeInput($J33))</f>
        <v/>
      </c>
      <c r="Y33" s="21" t="b" cm="1">
        <f t="array" aca="1" ref="Y33" ca="1">INDEX('Attack Steps'!$AI:$AI,$R33)</f>
        <v>0</v>
      </c>
      <c r="Z33" s="21" cm="1">
        <f t="array" ref="Z33">CreateID($Z$2,$Z:$Z,IFERROR(FIND(Definitions!$AR$4,$O33)&gt;0,FALSE))</f>
        <v>0</v>
      </c>
      <c r="AA33" s="21">
        <f>_xlfn.LET(
_xlpm._comment,$O33,
_xlpm._keyWord,Definitions!$AR$4,
_xlpm._diffLen,LEN(_xlpm._comment)-LEN(SUBSTITUTE(_xlpm._comment,_xlpm._keyWord,"")),
_xlpm._diffLen/LEN(_xlpm._keyWord))</f>
        <v>0</v>
      </c>
      <c r="AB33" s="21" cm="1">
        <f t="array" ref="AB33">CreateID($AB$2,$AB:$AB,IFERROR(FIND(Definitions!$AR$5,$O33)&gt;0,FALSE))</f>
        <v>0</v>
      </c>
      <c r="AC33" s="21">
        <f>_xlfn.LET(
_xlpm._comment,$O33,
_xlpm._keyWord,Definitions!$AR$5,
_xlpm._diffLen,LEN(_xlpm._comment)-LEN(SUBSTITUTE(_xlpm._comment,_xlpm._keyWord,"")),
_xlpm._diffLen/LEN(_xlpm._keyWord))</f>
        <v>0</v>
      </c>
      <c r="AD33" s="21" t="str" cm="1">
        <f t="array" ref="AD33">CreateSearchString($J33)</f>
        <v/>
      </c>
      <c r="AE33" s="21" t="str" cm="1">
        <f t="array" aca="1" ref="AE33" ca="1">_xlfn.LET(
_xlpm._selected,SanitizeInput($J33),
_xlpm._catalogOptions,SanitizeInput($F33)&amp;SanitizeInput($G33)&amp;SanitizeInput($H33),
_xlpm._selectedNotInOptions,FilterElementsFromList(_xlpm._selected,_xlpm._catalogOptions,FALSE,","),
IF(_xlpm._selectedNotInOptions="","",$A33&amp;" "&amp;$B33&amp;": "&amp;SUBSTITUTE(RemoveDelimiter(_xlpm._selectedNotInOptions,","),",",", ")))</f>
        <v/>
      </c>
      <c r="AF33" s="21" cm="1">
        <f t="array" aca="1" ref="AF33" ca="1">CreateID($AF$2,$AF:$AF,$AE33&lt;&gt;"")</f>
        <v>0</v>
      </c>
      <c r="AG33" s="21" t="str" cm="1">
        <f t="array" ref="AG33">_xlfn.LET(
_xlpm._delimiter,","&amp;CHAR(10),
_xlpm._assumptions,ParseAllMitigationsFromComment($A33,"-","A",$O33,Definitions!$AR$4,Definitions!$AS$4,Definitions!$AR$6,_xlpm._delimiter,1),
_xlpm._countermeasures,ParseAllMitigationsFromComment($A33,"-","C",$O33,Definitions!$AR$5,Definitions!$AS$5,Definitions!$AR$6,_xlpm._delimiter,1),
IF(_xlpm._countermeasures="",RemoveDelimiter(_xlpm._assumptions,_xlpm._delimiter),_xlpm._assumptions&amp;RemoveDelimiter(_xlpm._countermeasures,_xlpm._delimiter)))</f>
        <v/>
      </c>
      <c r="AH33" s="21" t="str" cm="1">
        <f t="array" ref="AH33">CreateSearchString(SanitizeInput($J33)&amp;GetValuesIgnoreErrors(SanitizeInput($J33),Countermeasures!$A:$G,"",",",FALSE))</f>
        <v/>
      </c>
      <c r="AI33" s="21" t="str" cm="1">
        <f t="array" aca="1" ref="AI33" ca="1">IF(AND(IFERROR(FIND(","&amp;Countermeasures!$A$30&amp;",",$AH33)&gt;0,FALSE),Countermeasures!$AF$30=TRUE,SimpleLookup(Questions!$A$48,Questionnaire!$A:$C)=Definitions!$A$5),$A33&amp;" "&amp;$B33,"")</f>
        <v/>
      </c>
      <c r="AJ33" s="21" cm="1">
        <f t="array" aca="1" ref="AJ33" ca="1">CreateID($AJ$2,$AJ:$AJ,$AI33&lt;&gt;"")</f>
        <v>0</v>
      </c>
      <c r="AK33" s="21" t="str">
        <f t="shared" ca="1" si="2"/>
        <v/>
      </c>
      <c r="AL33" s="21" cm="1">
        <f t="array" aca="1" ref="AL33" ca="1">CreateID($AL$2,$AL:$AL,$AK33&lt;&gt;"")</f>
        <v>0</v>
      </c>
      <c r="AM33" s="21" t="str">
        <f t="shared" si="3"/>
        <v/>
      </c>
      <c r="AN33" s="21" cm="1">
        <f t="array" ref="AN33">CreateID($AN$2,$AN:$AN,$AM33&lt;&gt;"")</f>
        <v>0</v>
      </c>
    </row>
    <row r="34" spans="1:40" ht="30" x14ac:dyDescent="0.25">
      <c r="A34" s="33" t="str" cm="1">
        <f t="array" ref="A34">IF($R34=0,"",INDEX('Attack Steps'!A:A,$R34))</f>
        <v>AS32</v>
      </c>
      <c r="B34" s="16" t="str" cm="1">
        <f t="array" ref="B34">IF($R34=0,"",INDEX('Attack Steps'!B:B,$R34))</f>
        <v>Extracting or misusing &lt;OEM name&gt; IP</v>
      </c>
      <c r="C34" s="13">
        <f>3</f>
        <v>3</v>
      </c>
      <c r="D34" s="34" t="str" cm="1">
        <f t="array" aca="1" ref="D34" ca="1">_xlfn.LET(
_xlpm._displayLimit,$C34,
_xlpm._risks,$S34,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4" s="33" t="str" cm="1">
        <f t="array" aca="1" ref="E34" ca="1">_xlfn.LET(_xlpm._riskValue,CalculateMaxFromList($T34,0,Risks!$A:$AJ),
INDEX(Definitions!$AE:$AE,MATCH(_xlpm._riskValue,Definitions!$AF:$AF,0)))</f>
        <v>No Risk</v>
      </c>
      <c r="F34" s="33" t="str" cm="1">
        <f t="array" aca="1" ref="F34" ca="1">IF($A34="","",SUBSTITUTE(RemoveDelimiter(SanitizeInput(SimpleLookup($A34,'Attack Steps'!$A:$AE)),","),",",", "))</f>
        <v>CM3, CM18</v>
      </c>
      <c r="G34" s="33" t="str" cm="1">
        <f t="array" aca="1" ref="G34" ca="1">IF($A34="","",SUBSTITUTE(RemoveDelimiter(SanitizeInput(SimpleLookup($A34,'Attack Steps'!$A:$AF)),","),",",", "))</f>
        <v/>
      </c>
      <c r="H34" s="80" t="str" cm="1">
        <f t="array" aca="1" ref="H34" ca="1">IF($A34="","",_xlfn.LET(
_xlpm._proposedActive,SanitizeInput($G34),
_xlpm._proposedAll,SimpleLookup($A34,'Attack Steps'!$A:$AG),
_xlpm._proposedDiff,FilterElementsFromList(_xlpm._proposedAll,_xlpm._proposedActive,FALSE,","),
SUBSTITUTE(RemoveDelimiter(SanitizeInput(_xlpm._proposedDiff),","),",",", ")))</f>
        <v/>
      </c>
      <c r="I34" s="33" t="str" cm="1">
        <f t="array" aca="1" ref="I34" ca="1">RemoveDelimiter(GetValuesWithFallback(SanitizeInput($F34)&amp;SanitizeInput($G34)&amp;SanitizeInput($H34),Countermeasures!$A:$B,Assumptions!$A:$B," ",","&amp;CHAR(10),TRUE),","&amp;CHAR(10))</f>
        <v>CM3 SCR 2.8 - Obfuscation,
CM18 SCR 2.15 - Patents</v>
      </c>
      <c r="J34" s="13"/>
      <c r="K34" s="33" t="str" cm="1">
        <f t="array" ref="K34">RemoveDelimiter(GetValuesWithFallback(SanitizeInput($J34),Countermeasures!$A:$B,Assumptions!$A:$B," ",","&amp;CHAR(10),TRUE),","&amp;CHAR(10))</f>
        <v/>
      </c>
      <c r="L34" s="23">
        <f>3</f>
        <v>3</v>
      </c>
      <c r="M34" s="34" t="str" cm="1">
        <f t="array" aca="1" ref="M34" ca="1">_xlfn.LET(
_xlpm._displayLimit,$L34,
_xlpm._risks,$V34,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4" s="33" t="str">
        <f ca="1">INDEX(Definitions!$AE:$AE,MATCH($W34,Definitions!$AF:$AF,0))</f>
        <v>No Risk</v>
      </c>
      <c r="O34" s="13"/>
      <c r="P34" s="10" cm="1">
        <f t="array" ref="P34">GenerateShadowID(ROW(),$P$2,$P:$P,0,$A34&lt;&gt;"")</f>
        <v>32</v>
      </c>
      <c r="Q34" s="21" cm="1">
        <f t="array" ref="Q34">CreateTaskID($Q$2,$Q:$Q,Tasks!$B$17,$O34)</f>
        <v>0</v>
      </c>
      <c r="R34" s="21">
        <f>IFERROR(MATCH(ROW()-ROW($R$2),'Attack Steps'!$Q:$Q,0),0)</f>
        <v>34</v>
      </c>
      <c r="S34" s="21" t="str" cm="1">
        <f t="array" aca="1" ref="S34" ca="1">CalculateMaxAndElements($T34,0,"",Risks!$A:$AJ)</f>
        <v>0:</v>
      </c>
      <c r="T34" s="21" t="str" cm="1">
        <f t="array" aca="1" ref="T34" ca="1">InverseLookup($A34,Risks!$AI$2,Risks!$A$2,1,Helper!$B$1,",")</f>
        <v/>
      </c>
      <c r="U34" s="21" t="str">
        <f t="shared" ca="1" si="8"/>
        <v/>
      </c>
      <c r="V34" s="21" t="str" cm="1">
        <f t="array" aca="1" ref="V34" ca="1">CalculateMaxAndElements($T34,0,"",Risks!$A:$BK)</f>
        <v>0:</v>
      </c>
      <c r="W34" s="21">
        <f t="shared" ca="1" si="9"/>
        <v>0</v>
      </c>
      <c r="X34" s="21" t="str" cm="1">
        <f t="array" ref="X34">IF($J34="","",","&amp;SanitizeInput($J34))</f>
        <v/>
      </c>
      <c r="Y34" s="21" t="b" cm="1">
        <f t="array" aca="1" ref="Y34" ca="1">INDEX('Attack Steps'!$AI:$AI,$R34)</f>
        <v>0</v>
      </c>
      <c r="Z34" s="21" cm="1">
        <f t="array" ref="Z34">CreateID($Z$2,$Z:$Z,IFERROR(FIND(Definitions!$AR$4,$O34)&gt;0,FALSE))</f>
        <v>0</v>
      </c>
      <c r="AA34" s="21">
        <f>_xlfn.LET(
_xlpm._comment,$O34,
_xlpm._keyWord,Definitions!$AR$4,
_xlpm._diffLen,LEN(_xlpm._comment)-LEN(SUBSTITUTE(_xlpm._comment,_xlpm._keyWord,"")),
_xlpm._diffLen/LEN(_xlpm._keyWord))</f>
        <v>0</v>
      </c>
      <c r="AB34" s="21" cm="1">
        <f t="array" ref="AB34">CreateID($AB$2,$AB:$AB,IFERROR(FIND(Definitions!$AR$5,$O34)&gt;0,FALSE))</f>
        <v>0</v>
      </c>
      <c r="AC34" s="21">
        <f>_xlfn.LET(
_xlpm._comment,$O34,
_xlpm._keyWord,Definitions!$AR$5,
_xlpm._diffLen,LEN(_xlpm._comment)-LEN(SUBSTITUTE(_xlpm._comment,_xlpm._keyWord,"")),
_xlpm._diffLen/LEN(_xlpm._keyWord))</f>
        <v>0</v>
      </c>
      <c r="AD34" s="21" t="str" cm="1">
        <f t="array" ref="AD34">CreateSearchString($J34)</f>
        <v/>
      </c>
      <c r="AE34" s="21" t="str" cm="1">
        <f t="array" aca="1" ref="AE34" ca="1">_xlfn.LET(
_xlpm._selected,SanitizeInput($J34),
_xlpm._catalogOptions,SanitizeInput($F34)&amp;SanitizeInput($G34)&amp;SanitizeInput($H34),
_xlpm._selectedNotInOptions,FilterElementsFromList(_xlpm._selected,_xlpm._catalogOptions,FALSE,","),
IF(_xlpm._selectedNotInOptions="","",$A34&amp;" "&amp;$B34&amp;": "&amp;SUBSTITUTE(RemoveDelimiter(_xlpm._selectedNotInOptions,","),",",", ")))</f>
        <v/>
      </c>
      <c r="AF34" s="21" cm="1">
        <f t="array" aca="1" ref="AF34" ca="1">CreateID($AF$2,$AF:$AF,$AE34&lt;&gt;"")</f>
        <v>0</v>
      </c>
      <c r="AG34" s="21" t="str" cm="1">
        <f t="array" ref="AG34">_xlfn.LET(
_xlpm._delimiter,","&amp;CHAR(10),
_xlpm._assumptions,ParseAllMitigationsFromComment($A34,"-","A",$O34,Definitions!$AR$4,Definitions!$AS$4,Definitions!$AR$6,_xlpm._delimiter,1),
_xlpm._countermeasures,ParseAllMitigationsFromComment($A34,"-","C",$O34,Definitions!$AR$5,Definitions!$AS$5,Definitions!$AR$6,_xlpm._delimiter,1),
IF(_xlpm._countermeasures="",RemoveDelimiter(_xlpm._assumptions,_xlpm._delimiter),_xlpm._assumptions&amp;RemoveDelimiter(_xlpm._countermeasures,_xlpm._delimiter)))</f>
        <v/>
      </c>
      <c r="AH34" s="21" t="str" cm="1">
        <f t="array" ref="AH34">CreateSearchString(SanitizeInput($J34)&amp;GetValuesIgnoreErrors(SanitizeInput($J34),Countermeasures!$A:$G,"",",",FALSE))</f>
        <v/>
      </c>
      <c r="AI34" s="21" t="str" cm="1">
        <f t="array" aca="1" ref="AI34" ca="1">IF(AND(IFERROR(FIND(","&amp;Countermeasures!$A$30&amp;",",$AH34)&gt;0,FALSE),Countermeasures!$AF$30=TRUE,SimpleLookup(Questions!$A$48,Questionnaire!$A:$C)=Definitions!$A$5),$A34&amp;" "&amp;$B34,"")</f>
        <v/>
      </c>
      <c r="AJ34" s="21" cm="1">
        <f t="array" aca="1" ref="AJ34" ca="1">CreateID($AJ$2,$AJ:$AJ,$AI34&lt;&gt;"")</f>
        <v>0</v>
      </c>
      <c r="AK34" s="21" t="str">
        <f t="shared" ca="1" si="2"/>
        <v/>
      </c>
      <c r="AL34" s="21" cm="1">
        <f t="array" aca="1" ref="AL34" ca="1">CreateID($AL$2,$AL:$AL,$AK34&lt;&gt;"")</f>
        <v>0</v>
      </c>
      <c r="AM34" s="21" t="str">
        <f t="shared" si="3"/>
        <v/>
      </c>
      <c r="AN34" s="21" cm="1">
        <f t="array" ref="AN34">CreateID($AN$2,$AN:$AN,$AM34&lt;&gt;"")</f>
        <v>0</v>
      </c>
    </row>
    <row r="35" spans="1:40" ht="60" x14ac:dyDescent="0.25">
      <c r="A35" s="33" t="str" cm="1">
        <f t="array" ref="A35">IF($R35=0,"",INDEX('Attack Steps'!A:A,$R35))</f>
        <v>AS33</v>
      </c>
      <c r="B35" s="16" t="str" cm="1">
        <f t="array" ref="B35">IF($R35=0,"",INDEX('Attack Steps'!B:B,$R35))</f>
        <v>Disclosure of data by an untrusted entity receiving data from the product</v>
      </c>
      <c r="C35" s="23">
        <f>3</f>
        <v>3</v>
      </c>
      <c r="D35" s="34" t="str" cm="1">
        <f t="array" aca="1" ref="D35" ca="1">_xlfn.LET(
_xlpm._displayLimit,$C35,
_xlpm._risks,$S35,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5" s="33" t="str" cm="1">
        <f t="array" aca="1" ref="E35" ca="1">_xlfn.LET(_xlpm._riskValue,CalculateMaxFromList($T35,0,Risks!$A:$AJ),
INDEX(Definitions!$AE:$AE,MATCH(_xlpm._riskValue,Definitions!$AF:$AF,0)))</f>
        <v>No Risk</v>
      </c>
      <c r="F35" s="33" t="str" cm="1">
        <f t="array" aca="1" ref="F35" ca="1">IF($A35="","",SUBSTITUTE(RemoveDelimiter(SanitizeInput(SimpleLookup($A35,'Attack Steps'!$A:$AE)),","),",",", "))</f>
        <v/>
      </c>
      <c r="G35" s="33" t="str" cm="1">
        <f t="array" aca="1" ref="G35" ca="1">IF($A35="","",SUBSTITUTE(RemoveDelimiter(SanitizeInput(SimpleLookup($A35,'Attack Steps'!$A:$AF)),","),",",", "))</f>
        <v/>
      </c>
      <c r="H35" s="80" t="str" cm="1">
        <f t="array" aca="1" ref="H35" ca="1">IF($A35="","",_xlfn.LET(
_xlpm._proposedActive,SanitizeInput($G35),
_xlpm._proposedAll,SimpleLookup($A35,'Attack Steps'!$A:$AG),
_xlpm._proposedDiff,FilterElementsFromList(_xlpm._proposedAll,_xlpm._proposedActive,FALSE,","),
SUBSTITUTE(RemoveDelimiter(SanitizeInput(_xlpm._proposedDiff),","),",",", ")))</f>
        <v>A25</v>
      </c>
      <c r="I35" s="33" t="str" cm="1">
        <f t="array" aca="1" ref="I35" ca="1">RemoveDelimiter(GetValuesWithFallback(SanitizeInput($F35)&amp;SanitizeInput($G35)&amp;SanitizeInput($H35),Countermeasures!$A:$B,Assumptions!$A:$B," ",","&amp;CHAR(10),TRUE),","&amp;CHAR(10))</f>
        <v>A25 SDR 1.22 - The product does not communicate any confidential data to an external communication partner</v>
      </c>
      <c r="J35" s="13"/>
      <c r="K35" s="33" t="str" cm="1">
        <f t="array" ref="K35">RemoveDelimiter(GetValuesWithFallback(SanitizeInput($J35),Countermeasures!$A:$B,Assumptions!$A:$B," ",","&amp;CHAR(10),TRUE),","&amp;CHAR(10))</f>
        <v/>
      </c>
      <c r="L35" s="23">
        <f>3</f>
        <v>3</v>
      </c>
      <c r="M35" s="34" t="str" cm="1">
        <f t="array" aca="1" ref="M35" ca="1">_xlfn.LET(
_xlpm._displayLimit,$L35,
_xlpm._risks,$V35,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5" s="33" t="str">
        <f ca="1">INDEX(Definitions!$AE:$AE,MATCH($W35,Definitions!$AF:$AF,0))</f>
        <v>No Risk</v>
      </c>
      <c r="O35" s="13"/>
      <c r="P35" s="10" cm="1">
        <f t="array" ref="P35">GenerateShadowID(ROW(),$P$2,$P:$P,0,$A35&lt;&gt;"")</f>
        <v>33</v>
      </c>
      <c r="Q35" s="21" cm="1">
        <f t="array" ref="Q35">CreateTaskID($Q$2,$Q:$Q,Tasks!$B$17,$O35)</f>
        <v>0</v>
      </c>
      <c r="R35" s="21">
        <f>IFERROR(MATCH(ROW()-ROW($R$2),'Attack Steps'!$Q:$Q,0),0)</f>
        <v>35</v>
      </c>
      <c r="S35" s="21" t="str" cm="1">
        <f t="array" aca="1" ref="S35" ca="1">CalculateMaxAndElements($T35,0,"",Risks!$A:$AJ)</f>
        <v>0:</v>
      </c>
      <c r="T35" s="21" t="str" cm="1">
        <f t="array" aca="1" ref="T35" ca="1">InverseLookup($A35,Risks!$AI$2,Risks!$A$2,1,Helper!$B$1,",")</f>
        <v/>
      </c>
      <c r="U35" s="21" t="str">
        <f t="shared" ca="1" si="8"/>
        <v/>
      </c>
      <c r="V35" s="21" t="str" cm="1">
        <f t="array" aca="1" ref="V35" ca="1">CalculateMaxAndElements($T35,0,"",Risks!$A:$BK)</f>
        <v>0:</v>
      </c>
      <c r="W35" s="21">
        <f t="shared" ca="1" si="9"/>
        <v>0</v>
      </c>
      <c r="X35" s="21" t="str" cm="1">
        <f t="array" ref="X35">IF($J35="","",","&amp;SanitizeInput($J35))</f>
        <v/>
      </c>
      <c r="Y35" s="21" t="b" cm="1">
        <f t="array" aca="1" ref="Y35" ca="1">INDEX('Attack Steps'!$AI:$AI,$R35)</f>
        <v>0</v>
      </c>
      <c r="Z35" s="21" cm="1">
        <f t="array" ref="Z35">CreateID($Z$2,$Z:$Z,IFERROR(FIND(Definitions!$AR$4,$O35)&gt;0,FALSE))</f>
        <v>0</v>
      </c>
      <c r="AA35" s="21">
        <f>_xlfn.LET(
_xlpm._comment,$O35,
_xlpm._keyWord,Definitions!$AR$4,
_xlpm._diffLen,LEN(_xlpm._comment)-LEN(SUBSTITUTE(_xlpm._comment,_xlpm._keyWord,"")),
_xlpm._diffLen/LEN(_xlpm._keyWord))</f>
        <v>0</v>
      </c>
      <c r="AB35" s="21" cm="1">
        <f t="array" ref="AB35">CreateID($AB$2,$AB:$AB,IFERROR(FIND(Definitions!$AR$5,$O35)&gt;0,FALSE))</f>
        <v>0</v>
      </c>
      <c r="AC35" s="21">
        <f>_xlfn.LET(
_xlpm._comment,$O35,
_xlpm._keyWord,Definitions!$AR$5,
_xlpm._diffLen,LEN(_xlpm._comment)-LEN(SUBSTITUTE(_xlpm._comment,_xlpm._keyWord,"")),
_xlpm._diffLen/LEN(_xlpm._keyWord))</f>
        <v>0</v>
      </c>
      <c r="AD35" s="21" t="str" cm="1">
        <f t="array" ref="AD35">CreateSearchString($J35)</f>
        <v/>
      </c>
      <c r="AE35" s="21" t="str" cm="1">
        <f t="array" aca="1" ref="AE35" ca="1">_xlfn.LET(
_xlpm._selected,SanitizeInput($J35),
_xlpm._catalogOptions,SanitizeInput($F35)&amp;SanitizeInput($G35)&amp;SanitizeInput($H35),
_xlpm._selectedNotInOptions,FilterElementsFromList(_xlpm._selected,_xlpm._catalogOptions,FALSE,","),
IF(_xlpm._selectedNotInOptions="","",$A35&amp;" "&amp;$B35&amp;": "&amp;SUBSTITUTE(RemoveDelimiter(_xlpm._selectedNotInOptions,","),",",", ")))</f>
        <v/>
      </c>
      <c r="AF35" s="21" cm="1">
        <f t="array" aca="1" ref="AF35" ca="1">CreateID($AF$2,$AF:$AF,$AE35&lt;&gt;"")</f>
        <v>0</v>
      </c>
      <c r="AG35" s="21" t="str" cm="1">
        <f t="array" ref="AG35">_xlfn.LET(
_xlpm._delimiter,","&amp;CHAR(10),
_xlpm._assumptions,ParseAllMitigationsFromComment($A35,"-","A",$O35,Definitions!$AR$4,Definitions!$AS$4,Definitions!$AR$6,_xlpm._delimiter,1),
_xlpm._countermeasures,ParseAllMitigationsFromComment($A35,"-","C",$O35,Definitions!$AR$5,Definitions!$AS$5,Definitions!$AR$6,_xlpm._delimiter,1),
IF(_xlpm._countermeasures="",RemoveDelimiter(_xlpm._assumptions,_xlpm._delimiter),_xlpm._assumptions&amp;RemoveDelimiter(_xlpm._countermeasures,_xlpm._delimiter)))</f>
        <v/>
      </c>
      <c r="AH35" s="21" t="str" cm="1">
        <f t="array" ref="AH35">CreateSearchString(SanitizeInput($J35)&amp;GetValuesIgnoreErrors(SanitizeInput($J35),Countermeasures!$A:$G,"",",",FALSE))</f>
        <v/>
      </c>
      <c r="AI35" s="21" t="str" cm="1">
        <f t="array" aca="1" ref="AI35" ca="1">IF(AND(IFERROR(FIND(","&amp;Countermeasures!$A$30&amp;",",$AH35)&gt;0,FALSE),Countermeasures!$AF$30=TRUE,SimpleLookup(Questions!$A$48,Questionnaire!$A:$C)=Definitions!$A$5),$A35&amp;" "&amp;$B35,"")</f>
        <v/>
      </c>
      <c r="AJ35" s="21" cm="1">
        <f t="array" aca="1" ref="AJ35" ca="1">CreateID($AJ$2,$AJ:$AJ,$AI35&lt;&gt;"")</f>
        <v>0</v>
      </c>
      <c r="AK35" s="21" t="str">
        <f t="shared" ca="1" si="2"/>
        <v/>
      </c>
      <c r="AL35" s="21" cm="1">
        <f t="array" aca="1" ref="AL35" ca="1">CreateID($AL$2,$AL:$AL,$AK35&lt;&gt;"")</f>
        <v>0</v>
      </c>
      <c r="AM35" s="21" t="str">
        <f t="shared" si="3"/>
        <v/>
      </c>
      <c r="AN35" s="21" cm="1">
        <f t="array" ref="AN35">CreateID($AN$2,$AN:$AN,$AM35&lt;&gt;"")</f>
        <v>0</v>
      </c>
    </row>
    <row r="36" spans="1:40" ht="120" x14ac:dyDescent="0.25">
      <c r="A36" s="33" t="str" cm="1">
        <f t="array" ref="A36">IF($R36=0,"",INDEX('Attack Steps'!A:A,$R36))</f>
        <v>AS34</v>
      </c>
      <c r="B36" s="16" t="str" cm="1">
        <f t="array" ref="B36">IF($R36=0,"",INDEX('Attack Steps'!B:B,$R36))</f>
        <v>Attacking the product's outgoing communication to an external communication partner over the Internet or a mobile network</v>
      </c>
      <c r="C36" s="23">
        <f>3</f>
        <v>3</v>
      </c>
      <c r="D36" s="34" t="str" cm="1">
        <f t="array" aca="1" ref="D36" ca="1">_xlfn.LET(
_xlpm._displayLimit,$C36,
_xlpm._risks,$S36,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6" s="33" t="str" cm="1">
        <f t="array" aca="1" ref="E36" ca="1">_xlfn.LET(_xlpm._riskValue,CalculateMaxFromList($T36,0,Risks!$A:$AJ),
INDEX(Definitions!$AE:$AE,MATCH(_xlpm._riskValue,Definitions!$AF:$AF,0)))</f>
        <v>No Risk</v>
      </c>
      <c r="F36" s="33" t="str" cm="1">
        <f t="array" aca="1" ref="F36" ca="1">IF($A36="","",SUBSTITUTE(RemoveDelimiter(SanitizeInput(SimpleLookup($A36,'Attack Steps'!$A:$AE)),","),",",", "))</f>
        <v>CM11</v>
      </c>
      <c r="G36" s="33" t="str" cm="1">
        <f t="array" aca="1" ref="G36" ca="1">IF($A36="","",SUBSTITUTE(RemoveDelimiter(SanitizeInput(SimpleLookup($A36,'Attack Steps'!$A:$AF)),","),",",", "))</f>
        <v/>
      </c>
      <c r="H36" s="80" t="str" cm="1">
        <f t="array" aca="1" ref="H36" ca="1">IF($A36="","",_xlfn.LET(
_xlpm._proposedActive,SanitizeInput($G36),
_xlpm._proposedAll,SimpleLookup($A36,'Attack Steps'!$A:$AG),
_xlpm._proposedDiff,FilterElementsFromList(_xlpm._proposedAll,_xlpm._proposedActive,FALSE,","),
SUBSTITUTE(RemoveDelimiter(SanitizeInput(_xlpm._proposedDiff),","),",",", ")))</f>
        <v>A26</v>
      </c>
      <c r="I36" s="33" t="str" cm="1">
        <f t="array" aca="1" ref="I36" ca="1">RemoveDelimiter(GetValuesWithFallback(SanitizeInput($F36)&amp;SanitizeInput($G36)&amp;SanitizeInput($H36),Countermeasures!$A:$B,Assumptions!$A:$B," ",","&amp;CHAR(10),TRUE),","&amp;CHAR(10))</f>
        <v>CM11 SCR 2.9 - Secure channel with communication partner authentication,
A26 SDR 1.23 - The product does not send any sensitive data to external communication partners over the Internet or a mobile network</v>
      </c>
      <c r="J36" s="13"/>
      <c r="K36" s="33" t="str" cm="1">
        <f t="array" ref="K36">RemoveDelimiter(GetValuesWithFallback(SanitizeInput($J36),Countermeasures!$A:$B,Assumptions!$A:$B," ",","&amp;CHAR(10),TRUE),","&amp;CHAR(10))</f>
        <v/>
      </c>
      <c r="L36" s="23">
        <f>3</f>
        <v>3</v>
      </c>
      <c r="M36" s="34" t="str" cm="1">
        <f t="array" aca="1" ref="M36" ca="1">_xlfn.LET(
_xlpm._displayLimit,$L36,
_xlpm._risks,$V36,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6" s="33" t="str">
        <f ca="1">INDEX(Definitions!$AE:$AE,MATCH($W36,Definitions!$AF:$AF,0))</f>
        <v>No Risk</v>
      </c>
      <c r="O36" s="13"/>
      <c r="P36" s="10" cm="1">
        <f t="array" ref="P36">GenerateShadowID(ROW(),$P$2,$P:$P,0,$A36&lt;&gt;"")</f>
        <v>34</v>
      </c>
      <c r="Q36" s="21" cm="1">
        <f t="array" ref="Q36">CreateTaskID($Q$2,$Q:$Q,Tasks!$B$17,$O36)</f>
        <v>0</v>
      </c>
      <c r="R36" s="21">
        <f>IFERROR(MATCH(ROW()-ROW($R$2),'Attack Steps'!$Q:$Q,0),0)</f>
        <v>36</v>
      </c>
      <c r="S36" s="21" t="str" cm="1">
        <f t="array" aca="1" ref="S36" ca="1">CalculateMaxAndElements($T36,0,"",Risks!$A:$AJ)</f>
        <v>0:</v>
      </c>
      <c r="T36" s="21" t="str" cm="1">
        <f t="array" aca="1" ref="T36" ca="1">InverseLookup($A36,Risks!$AI$2,Risks!$A$2,1,Helper!$B$1,",")</f>
        <v/>
      </c>
      <c r="U36" s="21" t="str">
        <f t="shared" ca="1" si="8"/>
        <v/>
      </c>
      <c r="V36" s="21" t="str" cm="1">
        <f t="array" aca="1" ref="V36" ca="1">CalculateMaxAndElements($T36,0,"",Risks!$A:$BK)</f>
        <v>0:</v>
      </c>
      <c r="W36" s="21">
        <f t="shared" ca="1" si="9"/>
        <v>0</v>
      </c>
      <c r="X36" s="21" t="str" cm="1">
        <f t="array" ref="X36">IF($J36="","",","&amp;SanitizeInput($J36))</f>
        <v/>
      </c>
      <c r="Y36" s="21" t="b" cm="1">
        <f t="array" aca="1" ref="Y36" ca="1">INDEX('Attack Steps'!$AI:$AI,$R36)</f>
        <v>0</v>
      </c>
      <c r="Z36" s="21" cm="1">
        <f t="array" ref="Z36">CreateID($Z$2,$Z:$Z,IFERROR(FIND(Definitions!$AR$4,$O36)&gt;0,FALSE))</f>
        <v>0</v>
      </c>
      <c r="AA36" s="21">
        <f>_xlfn.LET(
_xlpm._comment,$O36,
_xlpm._keyWord,Definitions!$AR$4,
_xlpm._diffLen,LEN(_xlpm._comment)-LEN(SUBSTITUTE(_xlpm._comment,_xlpm._keyWord,"")),
_xlpm._diffLen/LEN(_xlpm._keyWord))</f>
        <v>0</v>
      </c>
      <c r="AB36" s="21" cm="1">
        <f t="array" ref="AB36">CreateID($AB$2,$AB:$AB,IFERROR(FIND(Definitions!$AR$5,$O36)&gt;0,FALSE))</f>
        <v>0</v>
      </c>
      <c r="AC36" s="21">
        <f>_xlfn.LET(
_xlpm._comment,$O36,
_xlpm._keyWord,Definitions!$AR$5,
_xlpm._diffLen,LEN(_xlpm._comment)-LEN(SUBSTITUTE(_xlpm._comment,_xlpm._keyWord,"")),
_xlpm._diffLen/LEN(_xlpm._keyWord))</f>
        <v>0</v>
      </c>
      <c r="AD36" s="21" t="str" cm="1">
        <f t="array" ref="AD36">CreateSearchString($J36)</f>
        <v/>
      </c>
      <c r="AE36" s="21" t="str" cm="1">
        <f t="array" aca="1" ref="AE36" ca="1">_xlfn.LET(
_xlpm._selected,SanitizeInput($J36),
_xlpm._catalogOptions,SanitizeInput($F36)&amp;SanitizeInput($G36)&amp;SanitizeInput($H36),
_xlpm._selectedNotInOptions,FilterElementsFromList(_xlpm._selected,_xlpm._catalogOptions,FALSE,","),
IF(_xlpm._selectedNotInOptions="","",$A36&amp;" "&amp;$B36&amp;": "&amp;SUBSTITUTE(RemoveDelimiter(_xlpm._selectedNotInOptions,","),",",", ")))</f>
        <v/>
      </c>
      <c r="AF36" s="21" cm="1">
        <f t="array" aca="1" ref="AF36" ca="1">CreateID($AF$2,$AF:$AF,$AE36&lt;&gt;"")</f>
        <v>0</v>
      </c>
      <c r="AG36" s="21" t="str" cm="1">
        <f t="array" ref="AG36">_xlfn.LET(
_xlpm._delimiter,","&amp;CHAR(10),
_xlpm._assumptions,ParseAllMitigationsFromComment($A36,"-","A",$O36,Definitions!$AR$4,Definitions!$AS$4,Definitions!$AR$6,_xlpm._delimiter,1),
_xlpm._countermeasures,ParseAllMitigationsFromComment($A36,"-","C",$O36,Definitions!$AR$5,Definitions!$AS$5,Definitions!$AR$6,_xlpm._delimiter,1),
IF(_xlpm._countermeasures="",RemoveDelimiter(_xlpm._assumptions,_xlpm._delimiter),_xlpm._assumptions&amp;RemoveDelimiter(_xlpm._countermeasures,_xlpm._delimiter)))</f>
        <v/>
      </c>
      <c r="AH36" s="21" t="str" cm="1">
        <f t="array" ref="AH36">CreateSearchString(SanitizeInput($J36)&amp;GetValuesIgnoreErrors(SanitizeInput($J36),Countermeasures!$A:$G,"",",",FALSE))</f>
        <v/>
      </c>
      <c r="AI36" s="21" t="str" cm="1">
        <f t="array" aca="1" ref="AI36" ca="1">IF(AND(IFERROR(FIND(","&amp;Countermeasures!$A$30&amp;",",$AH36)&gt;0,FALSE),Countermeasures!$AF$30=TRUE,SimpleLookup(Questions!$A$48,Questionnaire!$A:$C)=Definitions!$A$5),$A36&amp;" "&amp;$B36,"")</f>
        <v/>
      </c>
      <c r="AJ36" s="21" cm="1">
        <f t="array" aca="1" ref="AJ36" ca="1">CreateID($AJ$2,$AJ:$AJ,$AI36&lt;&gt;"")</f>
        <v>0</v>
      </c>
      <c r="AK36" s="21" t="str">
        <f t="shared" ca="1" si="2"/>
        <v/>
      </c>
      <c r="AL36" s="21" cm="1">
        <f t="array" aca="1" ref="AL36" ca="1">CreateID($AL$2,$AL:$AL,$AK36&lt;&gt;"")</f>
        <v>0</v>
      </c>
      <c r="AM36" s="21" t="str">
        <f t="shared" si="3"/>
        <v/>
      </c>
      <c r="AN36" s="21" cm="1">
        <f t="array" ref="AN36">CreateID($AN$2,$AN:$AN,$AM36&lt;&gt;"")</f>
        <v>0</v>
      </c>
    </row>
    <row r="37" spans="1:40" ht="75" x14ac:dyDescent="0.25">
      <c r="A37" s="33" t="str" cm="1">
        <f t="array" ref="A37">IF($R37=0,"",INDEX('Attack Steps'!A:A,$R37))</f>
        <v>AS35</v>
      </c>
      <c r="B37" s="16" t="str" cm="1">
        <f t="array" ref="B37">IF($R37=0,"",INDEX('Attack Steps'!B:B,$R37))</f>
        <v>Disrupting the product's communication with an external entity (with communication over the Internet or a mobile network)</v>
      </c>
      <c r="C37" s="23">
        <f>3</f>
        <v>3</v>
      </c>
      <c r="D37" s="34" t="str" cm="1">
        <f t="array" aca="1" ref="D37" ca="1">_xlfn.LET(
_xlpm._displayLimit,$C37,
_xlpm._risks,$S37,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7" s="33" t="str" cm="1">
        <f t="array" aca="1" ref="E37" ca="1">_xlfn.LET(_xlpm._riskValue,CalculateMaxFromList($T37,0,Risks!$A:$AJ),
INDEX(Definitions!$AE:$AE,MATCH(_xlpm._riskValue,Definitions!$AF:$AF,0)))</f>
        <v>No Risk</v>
      </c>
      <c r="F37" s="33" t="str" cm="1">
        <f t="array" aca="1" ref="F37" ca="1">IF($A37="","",SUBSTITUTE(RemoveDelimiter(SanitizeInput(SimpleLookup($A37,'Attack Steps'!$A:$AE)),","),",",", "))</f>
        <v/>
      </c>
      <c r="G37" s="33" t="str" cm="1">
        <f t="array" aca="1" ref="G37" ca="1">IF($A37="","",SUBSTITUTE(RemoveDelimiter(SanitizeInput(SimpleLookup($A37,'Attack Steps'!$A:$AF)),","),",",", "))</f>
        <v/>
      </c>
      <c r="H37" s="80" t="str" cm="1">
        <f t="array" aca="1" ref="H37" ca="1">IF($A37="","",_xlfn.LET(
_xlpm._proposedActive,SanitizeInput($G37),
_xlpm._proposedAll,SimpleLookup($A37,'Attack Steps'!$A:$AG),
_xlpm._proposedDiff,FilterElementsFromList(_xlpm._proposedAll,_xlpm._proposedActive,FALSE,","),
SUBSTITUTE(RemoveDelimiter(SanitizeInput(_xlpm._proposedDiff),","),",",", ")))</f>
        <v>A41</v>
      </c>
      <c r="I37" s="33" t="str" cm="1">
        <f t="array" aca="1" ref="I37" ca="1">RemoveDelimiter(GetValuesWithFallback(SanitizeInput($F37)&amp;SanitizeInput($G37)&amp;SanitizeInput($H37),Countermeasures!$A:$B,Assumptions!$A:$B," ",","&amp;CHAR(10),TRUE),","&amp;CHAR(10))</f>
        <v>A41 SDR 1.29 - Loss of external connectivity (Internet, mobile network) only leads to quality-related issues</v>
      </c>
      <c r="J37" s="13"/>
      <c r="K37" s="33" t="str" cm="1">
        <f t="array" ref="K37">RemoveDelimiter(GetValuesWithFallback(SanitizeInput($J37),Countermeasures!$A:$B,Assumptions!$A:$B," ",","&amp;CHAR(10),TRUE),","&amp;CHAR(10))</f>
        <v/>
      </c>
      <c r="L37" s="23">
        <f>3</f>
        <v>3</v>
      </c>
      <c r="M37" s="34" t="str" cm="1">
        <f t="array" aca="1" ref="M37" ca="1">_xlfn.LET(
_xlpm._displayLimit,$L37,
_xlpm._risks,$V37,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7" s="33" t="str">
        <f ca="1">INDEX(Definitions!$AE:$AE,MATCH($W37,Definitions!$AF:$AF,0))</f>
        <v>No Risk</v>
      </c>
      <c r="O37" s="13"/>
      <c r="P37" s="10" cm="1">
        <f t="array" ref="P37">GenerateShadowID(ROW(),$P$2,$P:$P,0,$A37&lt;&gt;"")</f>
        <v>35</v>
      </c>
      <c r="Q37" s="21" cm="1">
        <f t="array" ref="Q37">CreateTaskID($Q$2,$Q:$Q,Tasks!$B$17,$O37)</f>
        <v>0</v>
      </c>
      <c r="R37" s="21">
        <f>IFERROR(MATCH(ROW()-ROW($R$2),'Attack Steps'!$Q:$Q,0),0)</f>
        <v>37</v>
      </c>
      <c r="S37" s="21" t="str" cm="1">
        <f t="array" aca="1" ref="S37" ca="1">CalculateMaxAndElements($T37,0,"",Risks!$A:$AJ)</f>
        <v>0:</v>
      </c>
      <c r="T37" s="21" t="str" cm="1">
        <f t="array" aca="1" ref="T37" ca="1">InverseLookup($A37,Risks!$AI$2,Risks!$A$2,1,Helper!$B$1,",")</f>
        <v/>
      </c>
      <c r="U37" s="21" t="str">
        <f t="shared" ref="U37:U42" ca="1" si="10">IF($T37="","",","&amp;$T37)</f>
        <v/>
      </c>
      <c r="V37" s="21" t="str" cm="1">
        <f t="array" aca="1" ref="V37" ca="1">CalculateMaxAndElements($T37,0,"",Risks!$A:$BK)</f>
        <v>0:</v>
      </c>
      <c r="W37" s="21">
        <f t="shared" ref="W37:W42" ca="1" si="11">IF($V37="","",VALUE(LEFT($V37,FIND(":",$V37)-1)))</f>
        <v>0</v>
      </c>
      <c r="X37" s="21" t="str" cm="1">
        <f t="array" ref="X37">IF($J37="","",","&amp;SanitizeInput($J37))</f>
        <v/>
      </c>
      <c r="Y37" s="21" t="b" cm="1">
        <f t="array" aca="1" ref="Y37" ca="1">INDEX('Attack Steps'!$AI:$AI,$R37)</f>
        <v>0</v>
      </c>
      <c r="Z37" s="21" cm="1">
        <f t="array" ref="Z37">CreateID($Z$2,$Z:$Z,IFERROR(FIND(Definitions!$AR$4,$O37)&gt;0,FALSE))</f>
        <v>0</v>
      </c>
      <c r="AA37" s="21">
        <f>_xlfn.LET(
_xlpm._comment,$O37,
_xlpm._keyWord,Definitions!$AR$4,
_xlpm._diffLen,LEN(_xlpm._comment)-LEN(SUBSTITUTE(_xlpm._comment,_xlpm._keyWord,"")),
_xlpm._diffLen/LEN(_xlpm._keyWord))</f>
        <v>0</v>
      </c>
      <c r="AB37" s="21" cm="1">
        <f t="array" ref="AB37">CreateID($AB$2,$AB:$AB,IFERROR(FIND(Definitions!$AR$5,$O37)&gt;0,FALSE))</f>
        <v>0</v>
      </c>
      <c r="AC37" s="21">
        <f>_xlfn.LET(
_xlpm._comment,$O37,
_xlpm._keyWord,Definitions!$AR$5,
_xlpm._diffLen,LEN(_xlpm._comment)-LEN(SUBSTITUTE(_xlpm._comment,_xlpm._keyWord,"")),
_xlpm._diffLen/LEN(_xlpm._keyWord))</f>
        <v>0</v>
      </c>
      <c r="AD37" s="21" t="str" cm="1">
        <f t="array" ref="AD37">CreateSearchString($J37)</f>
        <v/>
      </c>
      <c r="AE37" s="21" t="str" cm="1">
        <f t="array" aca="1" ref="AE37" ca="1">_xlfn.LET(
_xlpm._selected,SanitizeInput($J37),
_xlpm._catalogOptions,SanitizeInput($F37)&amp;SanitizeInput($G37)&amp;SanitizeInput($H37),
_xlpm._selectedNotInOptions,FilterElementsFromList(_xlpm._selected,_xlpm._catalogOptions,FALSE,","),
IF(_xlpm._selectedNotInOptions="","",$A37&amp;" "&amp;$B37&amp;": "&amp;SUBSTITUTE(RemoveDelimiter(_xlpm._selectedNotInOptions,","),",",", ")))</f>
        <v/>
      </c>
      <c r="AF37" s="21" cm="1">
        <f t="array" aca="1" ref="AF37" ca="1">CreateID($AF$2,$AF:$AF,$AE37&lt;&gt;"")</f>
        <v>0</v>
      </c>
      <c r="AG37" s="21" t="str" cm="1">
        <f t="array" ref="AG37">_xlfn.LET(
_xlpm._delimiter,","&amp;CHAR(10),
_xlpm._assumptions,ParseAllMitigationsFromComment($A37,"-","A",$O37,Definitions!$AR$4,Definitions!$AS$4,Definitions!$AR$6,_xlpm._delimiter,1),
_xlpm._countermeasures,ParseAllMitigationsFromComment($A37,"-","C",$O37,Definitions!$AR$5,Definitions!$AS$5,Definitions!$AR$6,_xlpm._delimiter,1),
IF(_xlpm._countermeasures="",RemoveDelimiter(_xlpm._assumptions,_xlpm._delimiter),_xlpm._assumptions&amp;RemoveDelimiter(_xlpm._countermeasures,_xlpm._delimiter)))</f>
        <v/>
      </c>
      <c r="AH37" s="21" t="str" cm="1">
        <f t="array" ref="AH37">CreateSearchString(SanitizeInput($J37)&amp;GetValuesIgnoreErrors(SanitizeInput($J37),Countermeasures!$A:$G,"",",",FALSE))</f>
        <v/>
      </c>
      <c r="AI37" s="21" t="str" cm="1">
        <f t="array" aca="1" ref="AI37" ca="1">IF(AND(IFERROR(FIND(","&amp;Countermeasures!$A$30&amp;",",$AH37)&gt;0,FALSE),Countermeasures!$AF$30=TRUE,SimpleLookup(Questions!$A$48,Questionnaire!$A:$C)=Definitions!$A$5),$A37&amp;" "&amp;$B37,"")</f>
        <v/>
      </c>
      <c r="AJ37" s="21" cm="1">
        <f t="array" aca="1" ref="AJ37" ca="1">CreateID($AJ$2,$AJ:$AJ,$AI37&lt;&gt;"")</f>
        <v>0</v>
      </c>
      <c r="AK37" s="21" t="str">
        <f t="shared" ca="1" si="2"/>
        <v/>
      </c>
      <c r="AL37" s="21" cm="1">
        <f t="array" aca="1" ref="AL37" ca="1">CreateID($AL$2,$AL:$AL,$AK37&lt;&gt;"")</f>
        <v>0</v>
      </c>
      <c r="AM37" s="21" t="str">
        <f t="shared" si="3"/>
        <v/>
      </c>
      <c r="AN37" s="21" cm="1">
        <f t="array" ref="AN37">CreateID($AN$2,$AN:$AN,$AM37&lt;&gt;"")</f>
        <v>0</v>
      </c>
    </row>
    <row r="38" spans="1:40" ht="150" x14ac:dyDescent="0.25">
      <c r="A38" s="33" t="str" cm="1">
        <f t="array" ref="A38">IF($R38=0,"",INDEX('Attack Steps'!A:A,$R38))</f>
        <v>AS36</v>
      </c>
      <c r="B38" s="16" t="str" cm="1">
        <f t="array" ref="B38">IF($R38=0,"",INDEX('Attack Steps'!B:B,$R38))</f>
        <v>Attacking the product's incoming communication from the Internet or a mobile network</v>
      </c>
      <c r="C38" s="23">
        <f>3</f>
        <v>3</v>
      </c>
      <c r="D38" s="34" t="str" cm="1">
        <f t="array" aca="1" ref="D38" ca="1">_xlfn.LET(
_xlpm._displayLimit,$C38,
_xlpm._risks,$S38,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8" s="33" t="str" cm="1">
        <f t="array" aca="1" ref="E38" ca="1">_xlfn.LET(_xlpm._riskValue,CalculateMaxFromList($T38,0,Risks!$A:$AJ),
INDEX(Definitions!$AE:$AE,MATCH(_xlpm._riskValue,Definitions!$AF:$AF,0)))</f>
        <v>No Risk</v>
      </c>
      <c r="F38" s="33" t="str" cm="1">
        <f t="array" aca="1" ref="F38" ca="1">IF($A38="","",SUBSTITUTE(RemoveDelimiter(SanitizeInput(SimpleLookup($A38,'Attack Steps'!$A:$AE)),","),",",", "))</f>
        <v>CM11</v>
      </c>
      <c r="G38" s="33" t="str" cm="1">
        <f t="array" aca="1" ref="G38" ca="1">IF($A38="","",SUBSTITUTE(RemoveDelimiter(SanitizeInput(SimpleLookup($A38,'Attack Steps'!$A:$AF)),","),",",", "))</f>
        <v/>
      </c>
      <c r="H38" s="80" t="str" cm="1">
        <f t="array" aca="1" ref="H38" ca="1">IF($A38="","",_xlfn.LET(
_xlpm._proposedActive,SanitizeInput($G38),
_xlpm._proposedAll,SimpleLookup($A38,'Attack Steps'!$A:$AG),
_xlpm._proposedDiff,FilterElementsFromList(_xlpm._proposedAll,_xlpm._proposedActive,FALSE,","),
SUBSTITUTE(RemoveDelimiter(SanitizeInput(_xlpm._proposedDiff),","),",",", ")))</f>
        <v>A27</v>
      </c>
      <c r="I38" s="33" t="str" cm="1">
        <f t="array" aca="1" ref="I38" ca="1">RemoveDelimiter(GetValuesWithFallback(SanitizeInput($F38)&amp;SanitizeInput($G38)&amp;SanitizeInput($H38),Countermeasures!$A:$B,Assumptions!$A:$B," ",","&amp;CHAR(10),TRUE),","&amp;CHAR(10))</f>
        <v>CM11 SCR 2.9 - Secure channel with communication partner authentication,
A27 SDR 1.24 - The product does not receive any sensitive data (except updates / configuration / debug communication) from external communication partners over the Internet or a mobile network</v>
      </c>
      <c r="J38" s="13"/>
      <c r="K38" s="33" t="str" cm="1">
        <f t="array" ref="K38">RemoveDelimiter(GetValuesWithFallback(SanitizeInput($J38),Countermeasures!$A:$B,Assumptions!$A:$B," ",","&amp;CHAR(10),TRUE),","&amp;CHAR(10))</f>
        <v/>
      </c>
      <c r="L38" s="23">
        <f>3</f>
        <v>3</v>
      </c>
      <c r="M38" s="34" t="str" cm="1">
        <f t="array" aca="1" ref="M38" ca="1">_xlfn.LET(
_xlpm._displayLimit,$L38,
_xlpm._risks,$V38,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8" s="33" t="str">
        <f ca="1">INDEX(Definitions!$AE:$AE,MATCH($W38,Definitions!$AF:$AF,0))</f>
        <v>No Risk</v>
      </c>
      <c r="O38" s="13"/>
      <c r="P38" s="10" cm="1">
        <f t="array" ref="P38">GenerateShadowID(ROW(),$P$2,$P:$P,0,$A38&lt;&gt;"")</f>
        <v>36</v>
      </c>
      <c r="Q38" s="21" cm="1">
        <f t="array" ref="Q38">CreateTaskID($Q$2,$Q:$Q,Tasks!$B$17,$O38)</f>
        <v>0</v>
      </c>
      <c r="R38" s="21">
        <f>IFERROR(MATCH(ROW()-ROW($R$2),'Attack Steps'!$Q:$Q,0),0)</f>
        <v>38</v>
      </c>
      <c r="S38" s="21" t="str" cm="1">
        <f t="array" aca="1" ref="S38" ca="1">CalculateMaxAndElements($T38,0,"",Risks!$A:$AJ)</f>
        <v>0:</v>
      </c>
      <c r="T38" s="21" t="str" cm="1">
        <f t="array" aca="1" ref="T38" ca="1">InverseLookup($A38,Risks!$AI$2,Risks!$A$2,1,Helper!$B$1,",")</f>
        <v/>
      </c>
      <c r="U38" s="21" t="str">
        <f t="shared" ca="1" si="10"/>
        <v/>
      </c>
      <c r="V38" s="21" t="str" cm="1">
        <f t="array" aca="1" ref="V38" ca="1">CalculateMaxAndElements($T38,0,"",Risks!$A:$BK)</f>
        <v>0:</v>
      </c>
      <c r="W38" s="21">
        <f t="shared" ca="1" si="11"/>
        <v>0</v>
      </c>
      <c r="X38" s="21" t="str" cm="1">
        <f t="array" ref="X38">IF($J38="","",","&amp;SanitizeInput($J38))</f>
        <v/>
      </c>
      <c r="Y38" s="21" t="b" cm="1">
        <f t="array" aca="1" ref="Y38" ca="1">INDEX('Attack Steps'!$AI:$AI,$R38)</f>
        <v>0</v>
      </c>
      <c r="Z38" s="21" cm="1">
        <f t="array" ref="Z38">CreateID($Z$2,$Z:$Z,IFERROR(FIND(Definitions!$AR$4,$O38)&gt;0,FALSE))</f>
        <v>0</v>
      </c>
      <c r="AA38" s="21">
        <f>_xlfn.LET(
_xlpm._comment,$O38,
_xlpm._keyWord,Definitions!$AR$4,
_xlpm._diffLen,LEN(_xlpm._comment)-LEN(SUBSTITUTE(_xlpm._comment,_xlpm._keyWord,"")),
_xlpm._diffLen/LEN(_xlpm._keyWord))</f>
        <v>0</v>
      </c>
      <c r="AB38" s="21" cm="1">
        <f t="array" ref="AB38">CreateID($AB$2,$AB:$AB,IFERROR(FIND(Definitions!$AR$5,$O38)&gt;0,FALSE))</f>
        <v>0</v>
      </c>
      <c r="AC38" s="21">
        <f>_xlfn.LET(
_xlpm._comment,$O38,
_xlpm._keyWord,Definitions!$AR$5,
_xlpm._diffLen,LEN(_xlpm._comment)-LEN(SUBSTITUTE(_xlpm._comment,_xlpm._keyWord,"")),
_xlpm._diffLen/LEN(_xlpm._keyWord))</f>
        <v>0</v>
      </c>
      <c r="AD38" s="21" t="str" cm="1">
        <f t="array" ref="AD38">CreateSearchString($J38)</f>
        <v/>
      </c>
      <c r="AE38" s="21" t="str" cm="1">
        <f t="array" aca="1" ref="AE38" ca="1">_xlfn.LET(
_xlpm._selected,SanitizeInput($J38),
_xlpm._catalogOptions,SanitizeInput($F38)&amp;SanitizeInput($G38)&amp;SanitizeInput($H38),
_xlpm._selectedNotInOptions,FilterElementsFromList(_xlpm._selected,_xlpm._catalogOptions,FALSE,","),
IF(_xlpm._selectedNotInOptions="","",$A38&amp;" "&amp;$B38&amp;": "&amp;SUBSTITUTE(RemoveDelimiter(_xlpm._selectedNotInOptions,","),",",", ")))</f>
        <v/>
      </c>
      <c r="AF38" s="21" cm="1">
        <f t="array" aca="1" ref="AF38" ca="1">CreateID($AF$2,$AF:$AF,$AE38&lt;&gt;"")</f>
        <v>0</v>
      </c>
      <c r="AG38" s="21" t="str" cm="1">
        <f t="array" ref="AG38">_xlfn.LET(
_xlpm._delimiter,","&amp;CHAR(10),
_xlpm._assumptions,ParseAllMitigationsFromComment($A38,"-","A",$O38,Definitions!$AR$4,Definitions!$AS$4,Definitions!$AR$6,_xlpm._delimiter,1),
_xlpm._countermeasures,ParseAllMitigationsFromComment($A38,"-","C",$O38,Definitions!$AR$5,Definitions!$AS$5,Definitions!$AR$6,_xlpm._delimiter,1),
IF(_xlpm._countermeasures="",RemoveDelimiter(_xlpm._assumptions,_xlpm._delimiter),_xlpm._assumptions&amp;RemoveDelimiter(_xlpm._countermeasures,_xlpm._delimiter)))</f>
        <v/>
      </c>
      <c r="AH38" s="21" t="str" cm="1">
        <f t="array" ref="AH38">CreateSearchString(SanitizeInput($J38)&amp;GetValuesIgnoreErrors(SanitizeInput($J38),Countermeasures!$A:$G,"",",",FALSE))</f>
        <v/>
      </c>
      <c r="AI38" s="21" t="str" cm="1">
        <f t="array" aca="1" ref="AI38" ca="1">IF(AND(IFERROR(FIND(","&amp;Countermeasures!$A$30&amp;",",$AH38)&gt;0,FALSE),Countermeasures!$AF$30=TRUE,SimpleLookup(Questions!$A$48,Questionnaire!$A:$C)=Definitions!$A$5),$A38&amp;" "&amp;$B38,"")</f>
        <v/>
      </c>
      <c r="AJ38" s="21" cm="1">
        <f t="array" aca="1" ref="AJ38" ca="1">CreateID($AJ$2,$AJ:$AJ,$AI38&lt;&gt;"")</f>
        <v>0</v>
      </c>
      <c r="AK38" s="21" t="str">
        <f t="shared" ca="1" si="2"/>
        <v/>
      </c>
      <c r="AL38" s="21" cm="1">
        <f t="array" aca="1" ref="AL38" ca="1">CreateID($AL$2,$AL:$AL,$AK38&lt;&gt;"")</f>
        <v>0</v>
      </c>
      <c r="AM38" s="21" t="str">
        <f t="shared" si="3"/>
        <v/>
      </c>
      <c r="AN38" s="21" cm="1">
        <f t="array" ref="AN38">CreateID($AN$2,$AN:$AN,$AM38&lt;&gt;"")</f>
        <v>0</v>
      </c>
    </row>
    <row r="39" spans="1:40" ht="60" x14ac:dyDescent="0.25">
      <c r="A39" s="33" t="str" cm="1">
        <f t="array" ref="A39">IF($R39=0,"",INDEX('Attack Steps'!A:A,$R39))</f>
        <v>AS37</v>
      </c>
      <c r="B39" s="16" t="str" cm="1">
        <f t="array" ref="B39">IF($R39=0,"",INDEX('Attack Steps'!B:B,$R39))</f>
        <v>The product is manipulated during production and consequently behaves maliciously</v>
      </c>
      <c r="C39" s="23">
        <f>3</f>
        <v>3</v>
      </c>
      <c r="D39" s="34" t="str" cm="1">
        <f t="array" aca="1" ref="D39" ca="1">_xlfn.LET(
_xlpm._displayLimit,$C39,
_xlpm._risks,$S39,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39" s="33" t="str" cm="1">
        <f t="array" aca="1" ref="E39" ca="1">_xlfn.LET(_xlpm._riskValue,CalculateMaxFromList($T39,0,Risks!$A:$AJ),
INDEX(Definitions!$AE:$AE,MATCH(_xlpm._riskValue,Definitions!$AF:$AF,0)))</f>
        <v>No Risk</v>
      </c>
      <c r="F39" s="33" t="str" cm="1">
        <f t="array" aca="1" ref="F39" ca="1">IF($A39="","",SUBSTITUTE(RemoveDelimiter(SanitizeInput(SimpleLookup($A39,'Attack Steps'!$A:$AE)),","),",",", "))</f>
        <v/>
      </c>
      <c r="G39" s="33" t="str" cm="1">
        <f t="array" aca="1" ref="G39" ca="1">IF($A39="","",SUBSTITUTE(RemoveDelimiter(SanitizeInput(SimpleLookup($A39,'Attack Steps'!$A:$AF)),","),",",", "))</f>
        <v/>
      </c>
      <c r="H39" s="80" t="str" cm="1">
        <f t="array" aca="1" ref="H39" ca="1">IF($A39="","",_xlfn.LET(
_xlpm._proposedActive,SanitizeInput($G39),
_xlpm._proposedAll,SimpleLookup($A39,'Attack Steps'!$A:$AG),
_xlpm._proposedDiff,FilterElementsFromList(_xlpm._proposedAll,_xlpm._proposedActive,FALSE,","),
SUBSTITUTE(RemoveDelimiter(SanitizeInput(_xlpm._proposedDiff),","),",",", ")))</f>
        <v>A17</v>
      </c>
      <c r="I39" s="33" t="str" cm="1">
        <f t="array" aca="1" ref="I39" ca="1">RemoveDelimiter(GetValuesWithFallback(SanitizeInput($F39)&amp;SanitizeInput($G39)&amp;SanitizeInput($H39),Countermeasures!$A:$B,Assumptions!$A:$B," ",","&amp;CHAR(10),TRUE),","&amp;CHAR(10))</f>
        <v>A17 SDR 2.4 – Secure production</v>
      </c>
      <c r="J39" s="13"/>
      <c r="K39" s="33" t="str" cm="1">
        <f t="array" ref="K39">RemoveDelimiter(GetValuesWithFallback(SanitizeInput($J39),Countermeasures!$A:$B,Assumptions!$A:$B," ",","&amp;CHAR(10),TRUE),","&amp;CHAR(10))</f>
        <v/>
      </c>
      <c r="L39" s="23">
        <f>3</f>
        <v>3</v>
      </c>
      <c r="M39" s="34" t="str" cm="1">
        <f t="array" aca="1" ref="M39" ca="1">_xlfn.LET(
_xlpm._displayLimit,$L39,
_xlpm._risks,$V39,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39" s="33" t="str">
        <f ca="1">INDEX(Definitions!$AE:$AE,MATCH($W39,Definitions!$AF:$AF,0))</f>
        <v>No Risk</v>
      </c>
      <c r="O39" s="13"/>
      <c r="P39" s="10" cm="1">
        <f t="array" ref="P39">GenerateShadowID(ROW(),$P$2,$P:$P,0,$A39&lt;&gt;"")</f>
        <v>37</v>
      </c>
      <c r="Q39" s="21" cm="1">
        <f t="array" ref="Q39">CreateTaskID($Q$2,$Q:$Q,Tasks!$B$17,$O39)</f>
        <v>0</v>
      </c>
      <c r="R39" s="21">
        <f>IFERROR(MATCH(ROW()-ROW($R$2),'Attack Steps'!$Q:$Q,0),0)</f>
        <v>39</v>
      </c>
      <c r="S39" s="21" t="str" cm="1">
        <f t="array" aca="1" ref="S39" ca="1">CalculateMaxAndElements($T39,0,"",Risks!$A:$AJ)</f>
        <v>0:</v>
      </c>
      <c r="T39" s="21" t="str" cm="1">
        <f t="array" aca="1" ref="T39" ca="1">InverseLookup($A39,Risks!$AI$2,Risks!$A$2,1,Helper!$B$1,",")</f>
        <v/>
      </c>
      <c r="U39" s="21" t="str">
        <f t="shared" ca="1" si="10"/>
        <v/>
      </c>
      <c r="V39" s="21" t="str" cm="1">
        <f t="array" aca="1" ref="V39" ca="1">CalculateMaxAndElements($T39,0,"",Risks!$A:$BK)</f>
        <v>0:</v>
      </c>
      <c r="W39" s="21">
        <f t="shared" ca="1" si="11"/>
        <v>0</v>
      </c>
      <c r="X39" s="21" t="str" cm="1">
        <f t="array" ref="X39">IF($J39="","",","&amp;SanitizeInput($J39))</f>
        <v/>
      </c>
      <c r="Y39" s="21" t="b" cm="1">
        <f t="array" aca="1" ref="Y39" ca="1">INDEX('Attack Steps'!$AI:$AI,$R39)</f>
        <v>0</v>
      </c>
      <c r="Z39" s="21" cm="1">
        <f t="array" ref="Z39">CreateID($Z$2,$Z:$Z,IFERROR(FIND(Definitions!$AR$4,$O39)&gt;0,FALSE))</f>
        <v>0</v>
      </c>
      <c r="AA39" s="21">
        <f>_xlfn.LET(
_xlpm._comment,$O39,
_xlpm._keyWord,Definitions!$AR$4,
_xlpm._diffLen,LEN(_xlpm._comment)-LEN(SUBSTITUTE(_xlpm._comment,_xlpm._keyWord,"")),
_xlpm._diffLen/LEN(_xlpm._keyWord))</f>
        <v>0</v>
      </c>
      <c r="AB39" s="21" cm="1">
        <f t="array" ref="AB39">CreateID($AB$2,$AB:$AB,IFERROR(FIND(Definitions!$AR$5,$O39)&gt;0,FALSE))</f>
        <v>0</v>
      </c>
      <c r="AC39" s="21">
        <f>_xlfn.LET(
_xlpm._comment,$O39,
_xlpm._keyWord,Definitions!$AR$5,
_xlpm._diffLen,LEN(_xlpm._comment)-LEN(SUBSTITUTE(_xlpm._comment,_xlpm._keyWord,"")),
_xlpm._diffLen/LEN(_xlpm._keyWord))</f>
        <v>0</v>
      </c>
      <c r="AD39" s="21" t="str" cm="1">
        <f t="array" ref="AD39">CreateSearchString($J39)</f>
        <v/>
      </c>
      <c r="AE39" s="21" t="str" cm="1">
        <f t="array" aca="1" ref="AE39" ca="1">_xlfn.LET(
_xlpm._selected,SanitizeInput($J39),
_xlpm._catalogOptions,SanitizeInput($F39)&amp;SanitizeInput($G39)&amp;SanitizeInput($H39),
_xlpm._selectedNotInOptions,FilterElementsFromList(_xlpm._selected,_xlpm._catalogOptions,FALSE,","),
IF(_xlpm._selectedNotInOptions="","",$A39&amp;" "&amp;$B39&amp;": "&amp;SUBSTITUTE(RemoveDelimiter(_xlpm._selectedNotInOptions,","),",",", ")))</f>
        <v/>
      </c>
      <c r="AF39" s="21" cm="1">
        <f t="array" aca="1" ref="AF39" ca="1">CreateID($AF$2,$AF:$AF,$AE39&lt;&gt;"")</f>
        <v>0</v>
      </c>
      <c r="AG39" s="21" t="str" cm="1">
        <f t="array" ref="AG39">_xlfn.LET(
_xlpm._delimiter,","&amp;CHAR(10),
_xlpm._assumptions,ParseAllMitigationsFromComment($A39,"-","A",$O39,Definitions!$AR$4,Definitions!$AS$4,Definitions!$AR$6,_xlpm._delimiter,1),
_xlpm._countermeasures,ParseAllMitigationsFromComment($A39,"-","C",$O39,Definitions!$AR$5,Definitions!$AS$5,Definitions!$AR$6,_xlpm._delimiter,1),
IF(_xlpm._countermeasures="",RemoveDelimiter(_xlpm._assumptions,_xlpm._delimiter),_xlpm._assumptions&amp;RemoveDelimiter(_xlpm._countermeasures,_xlpm._delimiter)))</f>
        <v/>
      </c>
      <c r="AH39" s="21" t="str" cm="1">
        <f t="array" ref="AH39">CreateSearchString(SanitizeInput($J39)&amp;GetValuesIgnoreErrors(SanitizeInput($J39),Countermeasures!$A:$G,"",",",FALSE))</f>
        <v/>
      </c>
      <c r="AI39" s="21" t="str" cm="1">
        <f t="array" aca="1" ref="AI39" ca="1">IF(AND(IFERROR(FIND(","&amp;Countermeasures!$A$30&amp;",",$AH39)&gt;0,FALSE),Countermeasures!$AF$30=TRUE,SimpleLookup(Questions!$A$48,Questionnaire!$A:$C)=Definitions!$A$5),$A39&amp;" "&amp;$B39,"")</f>
        <v/>
      </c>
      <c r="AJ39" s="21" cm="1">
        <f t="array" aca="1" ref="AJ39" ca="1">CreateID($AJ$2,$AJ:$AJ,$AI39&lt;&gt;"")</f>
        <v>0</v>
      </c>
      <c r="AK39" s="21" t="str">
        <f t="shared" ca="1" si="2"/>
        <v/>
      </c>
      <c r="AL39" s="21" cm="1">
        <f t="array" aca="1" ref="AL39" ca="1">CreateID($AL$2,$AL:$AL,$AK39&lt;&gt;"")</f>
        <v>0</v>
      </c>
      <c r="AM39" s="21" t="str">
        <f t="shared" si="3"/>
        <v/>
      </c>
      <c r="AN39" s="21" cm="1">
        <f t="array" ref="AN39">CreateID($AN$2,$AN:$AN,$AM39&lt;&gt;"")</f>
        <v>0</v>
      </c>
    </row>
    <row r="40" spans="1:40" ht="60" x14ac:dyDescent="0.25">
      <c r="A40" s="33" t="str" cm="1">
        <f t="array" ref="A40">IF($R40=0,"",INDEX('Attack Steps'!A:A,$R40))</f>
        <v>AS38</v>
      </c>
      <c r="B40" s="16" t="str" cm="1">
        <f t="array" ref="B40">IF($R40=0,"",INDEX('Attack Steps'!B:B,$R40))</f>
        <v>Manipulated parts from the supply chain are integrated into the product, leading to the product behaving maliciously</v>
      </c>
      <c r="C40" s="23">
        <f>3</f>
        <v>3</v>
      </c>
      <c r="D40" s="34" t="str" cm="1">
        <f t="array" aca="1" ref="D40" ca="1">_xlfn.LET(
_xlpm._displayLimit,$C40,
_xlpm._risks,$S40,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0" s="33" t="str" cm="1">
        <f t="array" aca="1" ref="E40" ca="1">_xlfn.LET(_xlpm._riskValue,CalculateMaxFromList($T40,0,Risks!$A:$AJ),
INDEX(Definitions!$AE:$AE,MATCH(_xlpm._riskValue,Definitions!$AF:$AF,0)))</f>
        <v>No Risk</v>
      </c>
      <c r="F40" s="33" t="str" cm="1">
        <f t="array" aca="1" ref="F40" ca="1">IF($A40="","",SUBSTITUTE(RemoveDelimiter(SanitizeInput(SimpleLookup($A40,'Attack Steps'!$A:$AE)),","),",",", "))</f>
        <v/>
      </c>
      <c r="G40" s="33" t="str" cm="1">
        <f t="array" aca="1" ref="G40" ca="1">IF($A40="","",SUBSTITUTE(RemoveDelimiter(SanitizeInput(SimpleLookup($A40,'Attack Steps'!$A:$AF)),","),",",", "))</f>
        <v/>
      </c>
      <c r="H40" s="80" t="str" cm="1">
        <f t="array" aca="1" ref="H40" ca="1">IF($A40="","",_xlfn.LET(
_xlpm._proposedActive,SanitizeInput($G40),
_xlpm._proposedAll,SimpleLookup($A40,'Attack Steps'!$A:$AG),
_xlpm._proposedDiff,FilterElementsFromList(_xlpm._proposedAll,_xlpm._proposedActive,FALSE,","),
SUBSTITUTE(RemoveDelimiter(SanitizeInput(_xlpm._proposedDiff),","),",",", ")))</f>
        <v>A18</v>
      </c>
      <c r="I40" s="33" t="str" cm="1">
        <f t="array" aca="1" ref="I40" ca="1">RemoveDelimiter(GetValuesWithFallback(SanitizeInput($F40)&amp;SanitizeInput($G40)&amp;SanitizeInput($H40),Countermeasures!$A:$B,Assumptions!$A:$B," ",","&amp;CHAR(10),TRUE),","&amp;CHAR(10))</f>
        <v>A18 SDR 2.5 – Secure supply chain</v>
      </c>
      <c r="J40" s="13"/>
      <c r="K40" s="33" t="str" cm="1">
        <f t="array" ref="K40">RemoveDelimiter(GetValuesWithFallback(SanitizeInput($J40),Countermeasures!$A:$B,Assumptions!$A:$B," ",","&amp;CHAR(10),TRUE),","&amp;CHAR(10))</f>
        <v/>
      </c>
      <c r="L40" s="23">
        <f>3</f>
        <v>3</v>
      </c>
      <c r="M40" s="34" t="str" cm="1">
        <f t="array" aca="1" ref="M40" ca="1">_xlfn.LET(
_xlpm._displayLimit,$L40,
_xlpm._risks,$V40,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0" s="33" t="str">
        <f ca="1">INDEX(Definitions!$AE:$AE,MATCH($W40,Definitions!$AF:$AF,0))</f>
        <v>No Risk</v>
      </c>
      <c r="O40" s="13"/>
      <c r="P40" s="10" cm="1">
        <f t="array" ref="P40">GenerateShadowID(ROW(),$P$2,$P:$P,0,$A40&lt;&gt;"")</f>
        <v>38</v>
      </c>
      <c r="Q40" s="21" cm="1">
        <f t="array" ref="Q40">CreateTaskID($Q$2,$Q:$Q,Tasks!$B$17,$O40)</f>
        <v>0</v>
      </c>
      <c r="R40" s="21">
        <f>IFERROR(MATCH(ROW()-ROW($R$2),'Attack Steps'!$Q:$Q,0),0)</f>
        <v>40</v>
      </c>
      <c r="S40" s="21" t="str" cm="1">
        <f t="array" aca="1" ref="S40" ca="1">CalculateMaxAndElements($T40,0,"",Risks!$A:$AJ)</f>
        <v>0:</v>
      </c>
      <c r="T40" s="21" t="str" cm="1">
        <f t="array" aca="1" ref="T40" ca="1">InverseLookup($A40,Risks!$AI$2,Risks!$A$2,1,Helper!$B$1,",")</f>
        <v/>
      </c>
      <c r="U40" s="21" t="str">
        <f t="shared" ca="1" si="10"/>
        <v/>
      </c>
      <c r="V40" s="21" t="str" cm="1">
        <f t="array" aca="1" ref="V40" ca="1">CalculateMaxAndElements($T40,0,"",Risks!$A:$BK)</f>
        <v>0:</v>
      </c>
      <c r="W40" s="21">
        <f t="shared" ca="1" si="11"/>
        <v>0</v>
      </c>
      <c r="X40" s="21" t="str" cm="1">
        <f t="array" ref="X40">IF($J40="","",","&amp;SanitizeInput($J40))</f>
        <v/>
      </c>
      <c r="Y40" s="21" t="b" cm="1">
        <f t="array" aca="1" ref="Y40" ca="1">INDEX('Attack Steps'!$AI:$AI,$R40)</f>
        <v>0</v>
      </c>
      <c r="Z40" s="21" cm="1">
        <f t="array" ref="Z40">CreateID($Z$2,$Z:$Z,IFERROR(FIND(Definitions!$AR$4,$O40)&gt;0,FALSE))</f>
        <v>0</v>
      </c>
      <c r="AA40" s="21">
        <f>_xlfn.LET(
_xlpm._comment,$O40,
_xlpm._keyWord,Definitions!$AR$4,
_xlpm._diffLen,LEN(_xlpm._comment)-LEN(SUBSTITUTE(_xlpm._comment,_xlpm._keyWord,"")),
_xlpm._diffLen/LEN(_xlpm._keyWord))</f>
        <v>0</v>
      </c>
      <c r="AB40" s="21" cm="1">
        <f t="array" ref="AB40">CreateID($AB$2,$AB:$AB,IFERROR(FIND(Definitions!$AR$5,$O40)&gt;0,FALSE))</f>
        <v>0</v>
      </c>
      <c r="AC40" s="21">
        <f>_xlfn.LET(
_xlpm._comment,$O40,
_xlpm._keyWord,Definitions!$AR$5,
_xlpm._diffLen,LEN(_xlpm._comment)-LEN(SUBSTITUTE(_xlpm._comment,_xlpm._keyWord,"")),
_xlpm._diffLen/LEN(_xlpm._keyWord))</f>
        <v>0</v>
      </c>
      <c r="AD40" s="21" t="str" cm="1">
        <f t="array" ref="AD40">CreateSearchString($J40)</f>
        <v/>
      </c>
      <c r="AE40" s="21" t="str" cm="1">
        <f t="array" aca="1" ref="AE40" ca="1">_xlfn.LET(
_xlpm._selected,SanitizeInput($J40),
_xlpm._catalogOptions,SanitizeInput($F40)&amp;SanitizeInput($G40)&amp;SanitizeInput($H40),
_xlpm._selectedNotInOptions,FilterElementsFromList(_xlpm._selected,_xlpm._catalogOptions,FALSE,","),
IF(_xlpm._selectedNotInOptions="","",$A40&amp;" "&amp;$B40&amp;": "&amp;SUBSTITUTE(RemoveDelimiter(_xlpm._selectedNotInOptions,","),",",", ")))</f>
        <v/>
      </c>
      <c r="AF40" s="21" cm="1">
        <f t="array" aca="1" ref="AF40" ca="1">CreateID($AF$2,$AF:$AF,$AE40&lt;&gt;"")</f>
        <v>0</v>
      </c>
      <c r="AG40" s="21" t="str" cm="1">
        <f t="array" ref="AG40">_xlfn.LET(
_xlpm._delimiter,","&amp;CHAR(10),
_xlpm._assumptions,ParseAllMitigationsFromComment($A40,"-","A",$O40,Definitions!$AR$4,Definitions!$AS$4,Definitions!$AR$6,_xlpm._delimiter,1),
_xlpm._countermeasures,ParseAllMitigationsFromComment($A40,"-","C",$O40,Definitions!$AR$5,Definitions!$AS$5,Definitions!$AR$6,_xlpm._delimiter,1),
IF(_xlpm._countermeasures="",RemoveDelimiter(_xlpm._assumptions,_xlpm._delimiter),_xlpm._assumptions&amp;RemoveDelimiter(_xlpm._countermeasures,_xlpm._delimiter)))</f>
        <v/>
      </c>
      <c r="AH40" s="21" t="str" cm="1">
        <f t="array" ref="AH40">CreateSearchString(SanitizeInput($J40)&amp;GetValuesIgnoreErrors(SanitizeInput($J40),Countermeasures!$A:$G,"",",",FALSE))</f>
        <v/>
      </c>
      <c r="AI40" s="21" t="str" cm="1">
        <f t="array" aca="1" ref="AI40" ca="1">IF(AND(IFERROR(FIND(","&amp;Countermeasures!$A$30&amp;",",$AH40)&gt;0,FALSE),Countermeasures!$AF$30=TRUE,SimpleLookup(Questions!$A$48,Questionnaire!$A:$C)=Definitions!$A$5),$A40&amp;" "&amp;$B40,"")</f>
        <v/>
      </c>
      <c r="AJ40" s="21" cm="1">
        <f t="array" aca="1" ref="AJ40" ca="1">CreateID($AJ$2,$AJ:$AJ,$AI40&lt;&gt;"")</f>
        <v>0</v>
      </c>
      <c r="AK40" s="21" t="str">
        <f t="shared" ca="1" si="2"/>
        <v/>
      </c>
      <c r="AL40" s="21" cm="1">
        <f t="array" aca="1" ref="AL40" ca="1">CreateID($AL$2,$AL:$AL,$AK40&lt;&gt;"")</f>
        <v>0</v>
      </c>
      <c r="AM40" s="21" t="str">
        <f t="shared" si="3"/>
        <v/>
      </c>
      <c r="AN40" s="21" cm="1">
        <f t="array" ref="AN40">CreateID($AN$2,$AN:$AN,$AM40&lt;&gt;"")</f>
        <v>0</v>
      </c>
    </row>
    <row r="41" spans="1:40" ht="60" x14ac:dyDescent="0.25">
      <c r="A41" s="33" t="str" cm="1">
        <f t="array" ref="A41">IF($R41=0,"",INDEX('Attack Steps'!A:A,$R41))</f>
        <v>AS39</v>
      </c>
      <c r="B41" s="16" t="str" cm="1">
        <f t="array" ref="B41">IF($R41=0,"",INDEX('Attack Steps'!B:B,$R41))</f>
        <v>Data extraction from the product's volatile memory</v>
      </c>
      <c r="C41" s="23">
        <f>3</f>
        <v>3</v>
      </c>
      <c r="D41" s="34" t="str" cm="1">
        <f t="array" aca="1" ref="D41" ca="1">_xlfn.LET(
_xlpm._displayLimit,$C41,
_xlpm._risks,$S41,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1" s="33" t="str" cm="1">
        <f t="array" aca="1" ref="E41" ca="1">_xlfn.LET(_xlpm._riskValue,CalculateMaxFromList($T41,0,Risks!$A:$AJ),
INDEX(Definitions!$AE:$AE,MATCH(_xlpm._riskValue,Definitions!$AF:$AF,0)))</f>
        <v>No Risk</v>
      </c>
      <c r="F41" s="33" t="str" cm="1">
        <f t="array" aca="1" ref="F41" ca="1">IF($A41="","",SUBSTITUTE(RemoveDelimiter(SanitizeInput(SimpleLookup($A41,'Attack Steps'!$A:$AE)),","),",",", "))</f>
        <v>CM21, CM22</v>
      </c>
      <c r="G41" s="33" t="str" cm="1">
        <f t="array" aca="1" ref="G41" ca="1">IF($A41="","",SUBSTITUTE(RemoveDelimiter(SanitizeInput(SimpleLookup($A41,'Attack Steps'!$A:$AF)),","),",",", "))</f>
        <v/>
      </c>
      <c r="H41" s="80" t="str" cm="1">
        <f t="array" aca="1" ref="H41" ca="1">IF($A41="","",_xlfn.LET(
_xlpm._proposedActive,SanitizeInput($G41),
_xlpm._proposedAll,SimpleLookup($A41,'Attack Steps'!$A:$AG),
_xlpm._proposedDiff,FilterElementsFromList(_xlpm._proposedAll,_xlpm._proposedActive,FALSE,","),
SUBSTITUTE(RemoveDelimiter(SanitizeInput(_xlpm._proposedDiff),","),",",", ")))</f>
        <v/>
      </c>
      <c r="I41" s="33" t="str" cm="1">
        <f t="array" aca="1" ref="I41" ca="1">RemoveDelimiter(GetValuesWithFallback(SanitizeInput($F41)&amp;SanitizeInput($G41)&amp;SanitizeInput($H41),Countermeasures!$A:$B,Assumptions!$A:$B," ",","&amp;CHAR(10),TRUE),","&amp;CHAR(10))</f>
        <v>CM21 SCR 2.12 - Trusted Execution Environment (TEE),
CM22 Isolation using virtualization or containers</v>
      </c>
      <c r="J41" s="13"/>
      <c r="K41" s="33" t="str" cm="1">
        <f t="array" ref="K41">RemoveDelimiter(GetValuesWithFallback(SanitizeInput($J41),Countermeasures!$A:$B,Assumptions!$A:$B," ",","&amp;CHAR(10),TRUE),","&amp;CHAR(10))</f>
        <v/>
      </c>
      <c r="L41" s="23">
        <f>3</f>
        <v>3</v>
      </c>
      <c r="M41" s="34" t="str" cm="1">
        <f t="array" aca="1" ref="M41" ca="1">_xlfn.LET(
_xlpm._displayLimit,$L41,
_xlpm._risks,$V41,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1" s="33" t="str">
        <f ca="1">INDEX(Definitions!$AE:$AE,MATCH($W41,Definitions!$AF:$AF,0))</f>
        <v>No Risk</v>
      </c>
      <c r="O41" s="13"/>
      <c r="P41" s="10" cm="1">
        <f t="array" ref="P41">GenerateShadowID(ROW(),$P$2,$P:$P,0,$A41&lt;&gt;"")</f>
        <v>39</v>
      </c>
      <c r="Q41" s="21" cm="1">
        <f t="array" ref="Q41">CreateTaskID($Q$2,$Q:$Q,Tasks!$B$17,$O41)</f>
        <v>0</v>
      </c>
      <c r="R41" s="21">
        <f>IFERROR(MATCH(ROW()-ROW($R$2),'Attack Steps'!$Q:$Q,0),0)</f>
        <v>41</v>
      </c>
      <c r="S41" s="21" t="str" cm="1">
        <f t="array" aca="1" ref="S41" ca="1">CalculateMaxAndElements($T41,0,"",Risks!$A:$AJ)</f>
        <v>0:</v>
      </c>
      <c r="T41" s="21" t="str" cm="1">
        <f t="array" aca="1" ref="T41" ca="1">InverseLookup($A41,Risks!$AI$2,Risks!$A$2,1,Helper!$B$1,",")</f>
        <v/>
      </c>
      <c r="U41" s="21" t="str">
        <f t="shared" ca="1" si="10"/>
        <v/>
      </c>
      <c r="V41" s="21" t="str" cm="1">
        <f t="array" aca="1" ref="V41" ca="1">CalculateMaxAndElements($T41,0,"",Risks!$A:$BK)</f>
        <v>0:</v>
      </c>
      <c r="W41" s="21">
        <f t="shared" ca="1" si="11"/>
        <v>0</v>
      </c>
      <c r="X41" s="21" t="str" cm="1">
        <f t="array" ref="X41">IF($J41="","",","&amp;SanitizeInput($J41))</f>
        <v/>
      </c>
      <c r="Y41" s="21" t="b" cm="1">
        <f t="array" aca="1" ref="Y41" ca="1">INDEX('Attack Steps'!$AI:$AI,$R41)</f>
        <v>0</v>
      </c>
      <c r="Z41" s="21" cm="1">
        <f t="array" ref="Z41">CreateID($Z$2,$Z:$Z,IFERROR(FIND(Definitions!$AR$4,$O41)&gt;0,FALSE))</f>
        <v>0</v>
      </c>
      <c r="AA41" s="21">
        <f>_xlfn.LET(
_xlpm._comment,$O41,
_xlpm._keyWord,Definitions!$AR$4,
_xlpm._diffLen,LEN(_xlpm._comment)-LEN(SUBSTITUTE(_xlpm._comment,_xlpm._keyWord,"")),
_xlpm._diffLen/LEN(_xlpm._keyWord))</f>
        <v>0</v>
      </c>
      <c r="AB41" s="21" cm="1">
        <f t="array" ref="AB41">CreateID($AB$2,$AB:$AB,IFERROR(FIND(Definitions!$AR$5,$O41)&gt;0,FALSE))</f>
        <v>0</v>
      </c>
      <c r="AC41" s="21">
        <f>_xlfn.LET(
_xlpm._comment,$O41,
_xlpm._keyWord,Definitions!$AR$5,
_xlpm._diffLen,LEN(_xlpm._comment)-LEN(SUBSTITUTE(_xlpm._comment,_xlpm._keyWord,"")),
_xlpm._diffLen/LEN(_xlpm._keyWord))</f>
        <v>0</v>
      </c>
      <c r="AD41" s="21" t="str" cm="1">
        <f t="array" ref="AD41">CreateSearchString($J41)</f>
        <v/>
      </c>
      <c r="AE41" s="21" t="str" cm="1">
        <f t="array" aca="1" ref="AE41" ca="1">_xlfn.LET(
_xlpm._selected,SanitizeInput($J41),
_xlpm._catalogOptions,SanitizeInput($F41)&amp;SanitizeInput($G41)&amp;SanitizeInput($H41),
_xlpm._selectedNotInOptions,FilterElementsFromList(_xlpm._selected,_xlpm._catalogOptions,FALSE,","),
IF(_xlpm._selectedNotInOptions="","",$A41&amp;" "&amp;$B41&amp;": "&amp;SUBSTITUTE(RemoveDelimiter(_xlpm._selectedNotInOptions,","),",",", ")))</f>
        <v/>
      </c>
      <c r="AF41" s="21" cm="1">
        <f t="array" aca="1" ref="AF41" ca="1">CreateID($AF$2,$AF:$AF,$AE41&lt;&gt;"")</f>
        <v>0</v>
      </c>
      <c r="AG41" s="21" t="str" cm="1">
        <f t="array" ref="AG41">_xlfn.LET(
_xlpm._delimiter,","&amp;CHAR(10),
_xlpm._assumptions,ParseAllMitigationsFromComment($A41,"-","A",$O41,Definitions!$AR$4,Definitions!$AS$4,Definitions!$AR$6,_xlpm._delimiter,1),
_xlpm._countermeasures,ParseAllMitigationsFromComment($A41,"-","C",$O41,Definitions!$AR$5,Definitions!$AS$5,Definitions!$AR$6,_xlpm._delimiter,1),
IF(_xlpm._countermeasures="",RemoveDelimiter(_xlpm._assumptions,_xlpm._delimiter),_xlpm._assumptions&amp;RemoveDelimiter(_xlpm._countermeasures,_xlpm._delimiter)))</f>
        <v/>
      </c>
      <c r="AH41" s="21" t="str" cm="1">
        <f t="array" ref="AH41">CreateSearchString(SanitizeInput($J41)&amp;GetValuesIgnoreErrors(SanitizeInput($J41),Countermeasures!$A:$G,"",",",FALSE))</f>
        <v/>
      </c>
      <c r="AI41" s="21" t="str" cm="1">
        <f t="array" aca="1" ref="AI41" ca="1">IF(AND(IFERROR(FIND(","&amp;Countermeasures!$A$30&amp;",",$AH41)&gt;0,FALSE),Countermeasures!$AF$30=TRUE,SimpleLookup(Questions!$A$48,Questionnaire!$A:$C)=Definitions!$A$5),$A41&amp;" "&amp;$B41,"")</f>
        <v/>
      </c>
      <c r="AJ41" s="21" cm="1">
        <f t="array" aca="1" ref="AJ41" ca="1">CreateID($AJ$2,$AJ:$AJ,$AI41&lt;&gt;"")</f>
        <v>0</v>
      </c>
      <c r="AK41" s="21" t="str">
        <f t="shared" ca="1" si="2"/>
        <v/>
      </c>
      <c r="AL41" s="21" cm="1">
        <f t="array" aca="1" ref="AL41" ca="1">CreateID($AL$2,$AL:$AL,$AK41&lt;&gt;"")</f>
        <v>0</v>
      </c>
      <c r="AM41" s="21" t="str">
        <f t="shared" si="3"/>
        <v/>
      </c>
      <c r="AN41" s="21" cm="1">
        <f t="array" ref="AN41">CreateID($AN$2,$AN:$AN,$AM41&lt;&gt;"")</f>
        <v>0</v>
      </c>
    </row>
    <row r="42" spans="1:40" ht="45" x14ac:dyDescent="0.25">
      <c r="A42" s="33" t="str" cm="1">
        <f t="array" ref="A42">IF($R42=0,"",INDEX('Attack Steps'!A:A,$R42))</f>
        <v>AS40</v>
      </c>
      <c r="B42" s="16" t="str" cm="1">
        <f t="array" ref="B42">IF($R42=0,"",INDEX('Attack Steps'!B:B,$R42))</f>
        <v>Abusing the lack of a software update functionality to exploit an unpatched vulnerability</v>
      </c>
      <c r="C42" s="23">
        <f>3</f>
        <v>3</v>
      </c>
      <c r="D42" s="34" t="str" cm="1">
        <f t="array" aca="1" ref="D42" ca="1">_xlfn.LET(
_xlpm._displayLimit,$C42,
_xlpm._risks,$S42,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2" s="33" t="str" cm="1">
        <f t="array" aca="1" ref="E42" ca="1">_xlfn.LET(_xlpm._riskValue,CalculateMaxFromList($T42,0,Risks!$A:$AJ),
INDEX(Definitions!$AE:$AE,MATCH(_xlpm._riskValue,Definitions!$AF:$AF,0)))</f>
        <v>No Risk</v>
      </c>
      <c r="F42" s="33" t="str" cm="1">
        <f t="array" aca="1" ref="F42" ca="1">IF($A42="","",SUBSTITUTE(RemoveDelimiter(SanitizeInput(SimpleLookup($A42,'Attack Steps'!$A:$AE)),","),",",", "))</f>
        <v>C27, CM23</v>
      </c>
      <c r="G42" s="33" t="str" cm="1">
        <f t="array" aca="1" ref="G42" ca="1">IF($A42="","",SUBSTITUTE(RemoveDelimiter(SanitizeInput(SimpleLookup($A42,'Attack Steps'!$A:$AF)),","),",",", "))</f>
        <v/>
      </c>
      <c r="H42" s="80" t="str" cm="1">
        <f t="array" aca="1" ref="H42" ca="1">IF($A42="","",_xlfn.LET(
_xlpm._proposedActive,SanitizeInput($G42),
_xlpm._proposedAll,SimpleLookup($A42,'Attack Steps'!$A:$AG),
_xlpm._proposedDiff,FilterElementsFromList(_xlpm._proposedAll,_xlpm._proposedActive,FALSE,","),
SUBSTITUTE(RemoveDelimiter(SanitizeInput(_xlpm._proposedDiff),","),",",", ")))</f>
        <v/>
      </c>
      <c r="I42" s="33" t="str" cm="1">
        <f t="array" aca="1" ref="I42" ca="1">RemoveDelimiter(GetValuesWithFallback(SanitizeInput($F42)&amp;SanitizeInput($G42)&amp;SanitizeInput($H42),Countermeasures!$A:$B,Assumptions!$A:$B," ",","&amp;CHAR(10),TRUE),","&amp;CHAR(10))</f>
        <v>C27 EDR 3.10 / HDR 3.10 / NDR 3.10 – Support for updates,
CM23 Hardware exchange</v>
      </c>
      <c r="J42" s="13"/>
      <c r="K42" s="33" t="str" cm="1">
        <f t="array" ref="K42">RemoveDelimiter(GetValuesWithFallback(SanitizeInput($J42),Countermeasures!$A:$B,Assumptions!$A:$B," ",","&amp;CHAR(10),TRUE),","&amp;CHAR(10))</f>
        <v/>
      </c>
      <c r="L42" s="23">
        <f>3</f>
        <v>3</v>
      </c>
      <c r="M42" s="34" t="str" cm="1">
        <f t="array" aca="1" ref="M42" ca="1">_xlfn.LET(
_xlpm._displayLimit,$L42,
_xlpm._risks,$V42,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2" s="33" t="str">
        <f ca="1">INDEX(Definitions!$AE:$AE,MATCH($W42,Definitions!$AF:$AF,0))</f>
        <v>No Risk</v>
      </c>
      <c r="O42" s="13"/>
      <c r="P42" s="10" cm="1">
        <f t="array" ref="P42">GenerateShadowID(ROW(),$P$2,$P:$P,0,$A42&lt;&gt;"")</f>
        <v>40</v>
      </c>
      <c r="Q42" s="21" cm="1">
        <f t="array" ref="Q42">CreateTaskID($Q$2,$Q:$Q,Tasks!$B$17,$O42)</f>
        <v>0</v>
      </c>
      <c r="R42" s="21">
        <f>IFERROR(MATCH(ROW()-ROW($R$2),'Attack Steps'!$Q:$Q,0),0)</f>
        <v>42</v>
      </c>
      <c r="S42" s="21" t="str" cm="1">
        <f t="array" aca="1" ref="S42" ca="1">CalculateMaxAndElements($T42,0,"",Risks!$A:$AJ)</f>
        <v>0:</v>
      </c>
      <c r="T42" s="21" t="str" cm="1">
        <f t="array" aca="1" ref="T42" ca="1">InverseLookup($A42,Risks!$AI$2,Risks!$A$2,1,Helper!$B$1,",")</f>
        <v/>
      </c>
      <c r="U42" s="21" t="str">
        <f t="shared" ca="1" si="10"/>
        <v/>
      </c>
      <c r="V42" s="21" t="str" cm="1">
        <f t="array" aca="1" ref="V42" ca="1">CalculateMaxAndElements($T42,0,"",Risks!$A:$BK)</f>
        <v>0:</v>
      </c>
      <c r="W42" s="21">
        <f t="shared" ca="1" si="11"/>
        <v>0</v>
      </c>
      <c r="X42" s="21" t="str" cm="1">
        <f t="array" ref="X42">IF($J42="","",","&amp;SanitizeInput($J42))</f>
        <v/>
      </c>
      <c r="Y42" s="21" t="b" cm="1">
        <f t="array" aca="1" ref="Y42" ca="1">INDEX('Attack Steps'!$AI:$AI,$R42)</f>
        <v>0</v>
      </c>
      <c r="Z42" s="21" cm="1">
        <f t="array" ref="Z42">CreateID($Z$2,$Z:$Z,IFERROR(FIND(Definitions!$AR$4,$O42)&gt;0,FALSE))</f>
        <v>0</v>
      </c>
      <c r="AA42" s="21">
        <f>_xlfn.LET(
_xlpm._comment,$O42,
_xlpm._keyWord,Definitions!$AR$4,
_xlpm._diffLen,LEN(_xlpm._comment)-LEN(SUBSTITUTE(_xlpm._comment,_xlpm._keyWord,"")),
_xlpm._diffLen/LEN(_xlpm._keyWord))</f>
        <v>0</v>
      </c>
      <c r="AB42" s="21" cm="1">
        <f t="array" ref="AB42">CreateID($AB$2,$AB:$AB,IFERROR(FIND(Definitions!$AR$5,$O42)&gt;0,FALSE))</f>
        <v>0</v>
      </c>
      <c r="AC42" s="21">
        <f>_xlfn.LET(
_xlpm._comment,$O42,
_xlpm._keyWord,Definitions!$AR$5,
_xlpm._diffLen,LEN(_xlpm._comment)-LEN(SUBSTITUTE(_xlpm._comment,_xlpm._keyWord,"")),
_xlpm._diffLen/LEN(_xlpm._keyWord))</f>
        <v>0</v>
      </c>
      <c r="AD42" s="21" t="str" cm="1">
        <f t="array" ref="AD42">CreateSearchString($J42)</f>
        <v/>
      </c>
      <c r="AE42" s="21" t="str" cm="1">
        <f t="array" aca="1" ref="AE42" ca="1">_xlfn.LET(
_xlpm._selected,SanitizeInput($J42),
_xlpm._catalogOptions,SanitizeInput($F42)&amp;SanitizeInput($G42)&amp;SanitizeInput($H42),
_xlpm._selectedNotInOptions,FilterElementsFromList(_xlpm._selected,_xlpm._catalogOptions,FALSE,","),
IF(_xlpm._selectedNotInOptions="","",$A42&amp;" "&amp;$B42&amp;": "&amp;SUBSTITUTE(RemoveDelimiter(_xlpm._selectedNotInOptions,","),",",", ")))</f>
        <v/>
      </c>
      <c r="AF42" s="21" cm="1">
        <f t="array" aca="1" ref="AF42" ca="1">CreateID($AF$2,$AF:$AF,$AE42&lt;&gt;"")</f>
        <v>0</v>
      </c>
      <c r="AG42" s="21" t="str" cm="1">
        <f t="array" ref="AG42">_xlfn.LET(
_xlpm._delimiter,","&amp;CHAR(10),
_xlpm._assumptions,ParseAllMitigationsFromComment($A42,"-","A",$O42,Definitions!$AR$4,Definitions!$AS$4,Definitions!$AR$6,_xlpm._delimiter,1),
_xlpm._countermeasures,ParseAllMitigationsFromComment($A42,"-","C",$O42,Definitions!$AR$5,Definitions!$AS$5,Definitions!$AR$6,_xlpm._delimiter,1),
IF(_xlpm._countermeasures="",RemoveDelimiter(_xlpm._assumptions,_xlpm._delimiter),_xlpm._assumptions&amp;RemoveDelimiter(_xlpm._countermeasures,_xlpm._delimiter)))</f>
        <v/>
      </c>
      <c r="AH42" s="21" t="str" cm="1">
        <f t="array" ref="AH42">CreateSearchString(SanitizeInput($J42)&amp;GetValuesIgnoreErrors(SanitizeInput($J42),Countermeasures!$A:$G,"",",",FALSE))</f>
        <v/>
      </c>
      <c r="AI42" s="21" t="str" cm="1">
        <f t="array" aca="1" ref="AI42" ca="1">IF(AND(IFERROR(FIND(","&amp;Countermeasures!$A$30&amp;",",$AH42)&gt;0,FALSE),Countermeasures!$AF$30=TRUE,SimpleLookup(Questions!$A$48,Questionnaire!$A:$C)=Definitions!$A$5),$A42&amp;" "&amp;$B42,"")</f>
        <v/>
      </c>
      <c r="AJ42" s="21" cm="1">
        <f t="array" aca="1" ref="AJ42" ca="1">CreateID($AJ$2,$AJ:$AJ,$AI42&lt;&gt;"")</f>
        <v>0</v>
      </c>
      <c r="AK42" s="21" t="str">
        <f ca="1">IF(AND($Y42=FALSE,$J42&lt;&gt;""),$A42&amp;" "&amp;$B42,"")</f>
        <v/>
      </c>
      <c r="AL42" s="21" cm="1">
        <f t="array" aca="1" ref="AL42" ca="1">CreateID($AL$2,$AL:$AL,$AK42&lt;&gt;"")</f>
        <v>0</v>
      </c>
      <c r="AM42" s="21" t="str">
        <f t="shared" si="3"/>
        <v/>
      </c>
      <c r="AN42" s="21" cm="1">
        <f t="array" ref="AN42">CreateID($AN$2,$AN:$AN,$AM42&lt;&gt;"")</f>
        <v>0</v>
      </c>
    </row>
    <row r="43" spans="1:40" ht="45" x14ac:dyDescent="0.25">
      <c r="A43" s="33" t="str" cm="1">
        <f t="array" ref="A43">IF($R43=0,"",INDEX('Attack Steps'!A:A,$R43))</f>
        <v>AS41</v>
      </c>
      <c r="B43" s="16" t="str" cm="1">
        <f t="array" ref="B43">IF($R43=0,"",INDEX('Attack Steps'!B:B,$R43))</f>
        <v>Extracting information from a decommissioned or second-hand device's RAM</v>
      </c>
      <c r="C43" s="23">
        <f>3</f>
        <v>3</v>
      </c>
      <c r="D43" s="34" t="str" cm="1">
        <f t="array" aca="1" ref="D43" ca="1">_xlfn.LET(
_xlpm._displayLimit,$C43,
_xlpm._risks,$S43,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E43" s="33" t="str" cm="1">
        <f t="array" aca="1" ref="E43" ca="1">_xlfn.LET(_xlpm._riskValue,CalculateMaxFromList($T43,0,Risks!$A:$AJ),
INDEX(Definitions!$AE:$AE,MATCH(_xlpm._riskValue,Definitions!$AF:$AF,0)))</f>
        <v>No Risk</v>
      </c>
      <c r="F43" s="33" t="str" cm="1">
        <f t="array" aca="1" ref="F43" ca="1">IF($A43="","",SUBSTITUTE(RemoveDelimiter(SanitizeInput(SimpleLookup($A43,'Attack Steps'!$A:$AE)),","),",",", "))</f>
        <v>C17</v>
      </c>
      <c r="G43" s="33" t="str" cm="1">
        <f t="array" aca="1" ref="G43" ca="1">IF($A43="","",SUBSTITUTE(RemoveDelimiter(SanitizeInput(SimpleLookup($A43,'Attack Steps'!$A:$AF)),","),",",", "))</f>
        <v/>
      </c>
      <c r="H43" s="80" t="str" cm="1">
        <f t="array" aca="1" ref="H43" ca="1">IF($A43="","",_xlfn.LET(
_xlpm._proposedActive,SanitizeInput($G43),
_xlpm._proposedAll,SimpleLookup($A43,'Attack Steps'!$A:$AG),
_xlpm._proposedDiff,FilterElementsFromList(_xlpm._proposedAll,_xlpm._proposedActive,FALSE,","),
SUBSTITUTE(RemoveDelimiter(SanitizeInput(_xlpm._proposedDiff),","),",",", ")))</f>
        <v/>
      </c>
      <c r="I43" s="33" t="str" cm="1">
        <f t="array" aca="1" ref="I43" ca="1">RemoveDelimiter(GetValuesWithFallback(SanitizeInput($F43)&amp;SanitizeInput($G43)&amp;SanitizeInput($H43),Countermeasures!$A:$B,Assumptions!$A:$B," ",","&amp;CHAR(10),TRUE),","&amp;CHAR(10))</f>
        <v>C17 CR 4.2 – Information persistence</v>
      </c>
      <c r="J43" s="13"/>
      <c r="K43" s="33" t="str" cm="1">
        <f t="array" ref="K43">RemoveDelimiter(GetValuesWithFallback(SanitizeInput($J43),Countermeasures!$A:$B,Assumptions!$A:$B," ",","&amp;CHAR(10),TRUE),","&amp;CHAR(10))</f>
        <v/>
      </c>
      <c r="L43" s="23">
        <f>3</f>
        <v>3</v>
      </c>
      <c r="M43" s="34" t="str" cm="1">
        <f t="array" aca="1" ref="M43" ca="1">_xlfn.LET(
_xlpm._displayLimit,$L43,
_xlpm._risks,$V43,
_xlpm._delimiter,CHAR(10)&amp;REPT(_xlfn.UNICHAR(9552),50)&amp;CHAR(10),
_xlpm._attackPaths,RemoveDelimiter(GetValues(RIGHT(_xlpm._risks,LEN(_xlpm._risks)-FIND(":",_xlpm._risks)),Risks!$A:$B," ",_xlpm._delimiter,TRUE),_xlpm._delimiter),
IF(_xlpm._displayLimit="",
_xlpm._attackPaths,
IFERROR(RemoveDelimiter(LEFT(_xlpm._attackPaths,FIND(CHAR(1),SUBSTITUTE(_xlpm._attackPaths,_xlpm._delimiter,CHAR(1),_xlpm._displayLimit))),CHAR(10)),_xlpm._attackPaths)))</f>
        <v/>
      </c>
      <c r="N43" s="33" t="str">
        <f ca="1">INDEX(Definitions!$AE:$AE,MATCH($W43,Definitions!$AF:$AF,0))</f>
        <v>No Risk</v>
      </c>
      <c r="O43" s="13"/>
      <c r="P43" s="10" cm="1">
        <f t="array" ref="P43">GenerateShadowID(ROW(),$P$2,$P:$P,0,$A43&lt;&gt;"")</f>
        <v>41</v>
      </c>
      <c r="Q43" s="21" cm="1">
        <f t="array" ref="Q43">CreateTaskID($Q$2,$Q:$Q,Tasks!$B$17,$O43)</f>
        <v>0</v>
      </c>
      <c r="R43" s="21">
        <f>IFERROR(MATCH(ROW()-ROW($R$2),'Attack Steps'!$Q:$Q,0),0)</f>
        <v>43</v>
      </c>
      <c r="S43" s="21" t="str" cm="1">
        <f t="array" aca="1" ref="S43" ca="1">CalculateMaxAndElements($T43,0,"",Risks!$A:$AJ)</f>
        <v>0:</v>
      </c>
      <c r="T43" s="21" t="str" cm="1">
        <f t="array" aca="1" ref="T43" ca="1">InverseLookup($A43,Risks!$AI$2,Risks!$A$2,1,Helper!$B$1,",")</f>
        <v/>
      </c>
      <c r="U43" s="21" t="str">
        <f ca="1">IF($T43="","",","&amp;$T43)</f>
        <v/>
      </c>
      <c r="V43" s="21" t="str" cm="1">
        <f t="array" aca="1" ref="V43" ca="1">CalculateMaxAndElements($T43,0,"",Risks!$A:$BK)</f>
        <v>0:</v>
      </c>
      <c r="W43" s="21">
        <f ca="1">IF($V43="","",VALUE(LEFT($V43,FIND(":",$V43)-1)))</f>
        <v>0</v>
      </c>
      <c r="X43" s="21" t="str" cm="1">
        <f t="array" ref="X43">IF($J43="","",","&amp;SanitizeInput($J43))</f>
        <v/>
      </c>
      <c r="Y43" s="21" t="b" cm="1">
        <f t="array" aca="1" ref="Y43" ca="1">INDEX('Attack Steps'!$AI:$AI,$R43)</f>
        <v>0</v>
      </c>
      <c r="Z43" s="21" cm="1">
        <f t="array" ref="Z43">CreateID($Z$2,$Z:$Z,IFERROR(FIND(Definitions!$AR$4,$O43)&gt;0,FALSE))</f>
        <v>0</v>
      </c>
      <c r="AA43" s="21">
        <f>_xlfn.LET(
_xlpm._comment,$O43,
_xlpm._keyWord,Definitions!$AR$4,
_xlpm._diffLen,LEN(_xlpm._comment)-LEN(SUBSTITUTE(_xlpm._comment,_xlpm._keyWord,"")),
_xlpm._diffLen/LEN(_xlpm._keyWord))</f>
        <v>0</v>
      </c>
      <c r="AB43" s="21" cm="1">
        <f t="array" ref="AB43">CreateID($AB$2,$AB:$AB,IFERROR(FIND(Definitions!$AR$5,$O43)&gt;0,FALSE))</f>
        <v>0</v>
      </c>
      <c r="AC43" s="21">
        <f>_xlfn.LET(
_xlpm._comment,$O43,
_xlpm._keyWord,Definitions!$AR$5,
_xlpm._diffLen,LEN(_xlpm._comment)-LEN(SUBSTITUTE(_xlpm._comment,_xlpm._keyWord,"")),
_xlpm._diffLen/LEN(_xlpm._keyWord))</f>
        <v>0</v>
      </c>
      <c r="AD43" s="21" t="str" cm="1">
        <f t="array" ref="AD43">CreateSearchString($J43)</f>
        <v/>
      </c>
      <c r="AE43" s="21" t="str" cm="1">
        <f t="array" aca="1" ref="AE43" ca="1">_xlfn.LET(
_xlpm._selected,SanitizeInput($J43),
_xlpm._catalogOptions,SanitizeInput($F43)&amp;SanitizeInput($G43)&amp;SanitizeInput($H43),
_xlpm._selectedNotInOptions,FilterElementsFromList(_xlpm._selected,_xlpm._catalogOptions,FALSE,","),
IF(_xlpm._selectedNotInOptions="","",$A43&amp;" "&amp;$B43&amp;": "&amp;SUBSTITUTE(RemoveDelimiter(_xlpm._selectedNotInOptions,","),",",", ")))</f>
        <v/>
      </c>
      <c r="AF43" s="21" cm="1">
        <f t="array" aca="1" ref="AF43" ca="1">CreateID($AF$2,$AF:$AF,$AE43&lt;&gt;"")</f>
        <v>0</v>
      </c>
      <c r="AG43" s="21" t="str" cm="1">
        <f t="array" ref="AG43">_xlfn.LET(
_xlpm._delimiter,","&amp;CHAR(10),
_xlpm._assumptions,ParseAllMitigationsFromComment($A43,"-","A",$O43,Definitions!$AR$4,Definitions!$AS$4,Definitions!$AR$6,_xlpm._delimiter,1),
_xlpm._countermeasures,ParseAllMitigationsFromComment($A43,"-","C",$O43,Definitions!$AR$5,Definitions!$AS$5,Definitions!$AR$6,_xlpm._delimiter,1),
IF(_xlpm._countermeasures="",RemoveDelimiter(_xlpm._assumptions,_xlpm._delimiter),_xlpm._assumptions&amp;RemoveDelimiter(_xlpm._countermeasures,_xlpm._delimiter)))</f>
        <v/>
      </c>
      <c r="AH43" s="21" t="str" cm="1">
        <f t="array" ref="AH43">CreateSearchString(SanitizeInput($J43)&amp;GetValuesIgnoreErrors(SanitizeInput($J43),Countermeasures!$A:$G,"",",",FALSE))</f>
        <v/>
      </c>
      <c r="AI43" s="21" t="str" cm="1">
        <f t="array" aca="1" ref="AI43" ca="1">IF(AND(IFERROR(FIND(","&amp;Countermeasures!$A$30&amp;",",$AH43)&gt;0,FALSE),Countermeasures!$AF$30=TRUE,SimpleLookup(Questions!$A$48,Questionnaire!$A:$C)=Definitions!$A$5),$A43&amp;" "&amp;$B43,"")</f>
        <v/>
      </c>
      <c r="AJ43" s="21" cm="1">
        <f t="array" aca="1" ref="AJ43" ca="1">CreateID($AJ$2,$AJ:$AJ,$AI43&lt;&gt;"")</f>
        <v>0</v>
      </c>
      <c r="AK43" s="21" t="str">
        <f ca="1">IF(AND($Y43=FALSE,$J43&lt;&gt;""),$A43&amp;" "&amp;$B43,"")</f>
        <v/>
      </c>
      <c r="AL43" s="21" cm="1">
        <f t="array" aca="1" ref="AL43" ca="1">CreateID($AL$2,$AL:$AL,$AK43&lt;&gt;"")</f>
        <v>0</v>
      </c>
      <c r="AM43" s="21" t="str">
        <f>IF(IFERROR(FIND("ERROR:",$K43)&gt;0,FALSE),$A43&amp;" "&amp;$B43,"")</f>
        <v/>
      </c>
      <c r="AN43" s="21" cm="1">
        <f t="array" ref="AN43">CreateID($AN$2,$AN:$AN,$AM43&lt;&gt;"")</f>
        <v>0</v>
      </c>
    </row>
    <row r="44" spans="1:40" x14ac:dyDescent="0.25">
      <c r="E44" s="28"/>
      <c r="N44" s="28"/>
    </row>
    <row r="45" spans="1:40" x14ac:dyDescent="0.25">
      <c r="E45" s="28"/>
      <c r="N45" s="28"/>
    </row>
    <row r="46" spans="1:40" x14ac:dyDescent="0.25">
      <c r="N46" s="28"/>
    </row>
    <row r="47" spans="1:40" x14ac:dyDescent="0.25">
      <c r="N47" s="28"/>
    </row>
    <row r="48" spans="1:40" x14ac:dyDescent="0.25">
      <c r="N48" s="28"/>
    </row>
  </sheetData>
  <phoneticPr fontId="4" type="noConversion"/>
  <conditionalFormatting sqref="A1:O1048576">
    <cfRule type="expression" dxfId="35" priority="384">
      <formula>AND(ROW($Y1)&gt;ROW($Y$2),$Y1=FALSE)</formula>
    </cfRule>
  </conditionalFormatting>
  <conditionalFormatting sqref="J1:J1048576">
    <cfRule type="expression" dxfId="28" priority="385">
      <formula>AND(ROW($J1)&gt;ROW($J$2),$AE1&lt;&gt;"")</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386" id="{C2876023-A483-4585-BEEF-8BFE45FC4AC7}">
            <xm:f>AND(ROW($Y1)&gt;ROW($Y$2),AND($A1="",ROW($A1)-ROW($A$2)&lt;Helper!$B$5))</xm:f>
            <x14:dxf>
              <fill>
                <patternFill>
                  <bgColor theme="9" tint="0.59996337778862885"/>
                </patternFill>
              </fill>
            </x14:dxf>
          </x14:cfRule>
          <xm:sqref>A1:O1048576</xm:sqref>
        </x14:conditionalFormatting>
        <x14:conditionalFormatting xmlns:xm="http://schemas.microsoft.com/office/excel/2006/main">
          <x14:cfRule type="expression" priority="3" id="{495D0B99-8BD4-44F5-9A36-C1D266A52FDC}">
            <xm:f>E1=Definitions!$AE$4</xm:f>
            <x14:dxf>
              <font>
                <color theme="3" tint="-0.499984740745262"/>
              </font>
              <fill>
                <patternFill>
                  <bgColor theme="3" tint="0.59996337778862885"/>
                </patternFill>
              </fill>
            </x14:dxf>
          </x14:cfRule>
          <x14:cfRule type="expression" priority="11" id="{48EE8EA1-2EFA-4C73-AF87-9E1174864B45}">
            <xm:f>E1=Definitions!$AE$5</xm:f>
            <x14:dxf>
              <font>
                <color theme="1"/>
              </font>
              <fill>
                <patternFill>
                  <bgColor rgb="FF99FFCC"/>
                </patternFill>
              </fill>
            </x14:dxf>
          </x14:cfRule>
          <x14:cfRule type="expression" priority="12" id="{B10DD826-8AF6-4E05-8699-FBDF9B612114}">
            <xm:f>E1=Definitions!$AE$6</xm:f>
            <x14:dxf>
              <font>
                <color theme="1"/>
              </font>
              <fill>
                <patternFill>
                  <bgColor rgb="FFCCFF33"/>
                </patternFill>
              </fill>
            </x14:dxf>
          </x14:cfRule>
          <x14:cfRule type="expression" priority="13" id="{63DFA6B4-701D-4754-AE99-E27E51C8E015}">
            <xm:f>E1=Definitions!$AE$7</xm:f>
            <x14:dxf>
              <font>
                <color theme="1"/>
              </font>
              <fill>
                <patternFill>
                  <bgColor rgb="FFFFCC00"/>
                </patternFill>
              </fill>
            </x14:dxf>
          </x14:cfRule>
          <x14:cfRule type="expression" priority="14" id="{397940E9-0293-428F-ACEC-AF17BADEC8B3}">
            <xm:f>E1=Definitions!$AE$8</xm:f>
            <x14:dxf>
              <font>
                <color theme="1"/>
              </font>
              <fill>
                <patternFill>
                  <bgColor rgb="FFFF3300"/>
                </patternFill>
              </fill>
            </x14:dxf>
          </x14:cfRule>
          <xm:sqref>E1:E1048576 N1:N1048576</xm:sqref>
        </x14:conditionalFormatting>
        <x14:conditionalFormatting xmlns:xm="http://schemas.microsoft.com/office/excel/2006/main">
          <x14:cfRule type="expression" priority="2" id="{91319E02-2B1C-498A-980D-CD250107BA76}">
            <xm:f>IFERROR(FIND(Tasks!$B$17,O1)&gt;0,FALSE)</xm:f>
            <x14:dxf>
              <font>
                <b/>
                <i val="0"/>
                <color rgb="FF99FFCC"/>
              </font>
            </x14:dxf>
          </x14:cfRule>
          <xm:sqref>O1:O1048576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78B33-4B77-4B88-AFA4-727EEA5E1AC7}">
  <sheetPr>
    <tabColor theme="1" tint="0.14999847407452621"/>
  </sheetPr>
  <dimension ref="A1:AW5"/>
  <sheetViews>
    <sheetView workbookViewId="0">
      <pane xSplit="4" ySplit="4" topLeftCell="F5" activePane="bottomRight" state="frozen"/>
      <selection pane="topRight" activeCell="E1" sqref="E1"/>
      <selection pane="bottomLeft" activeCell="A5" sqref="A5"/>
      <selection pane="bottomRight" activeCell="A5" sqref="A5"/>
    </sheetView>
  </sheetViews>
  <sheetFormatPr defaultColWidth="9.140625" defaultRowHeight="15" outlineLevelRow="1" outlineLevelCol="1" x14ac:dyDescent="0.25"/>
  <cols>
    <col min="1" max="1" width="19.5703125" style="9" customWidth="1" outlineLevel="1"/>
    <col min="2" max="2" width="5.7109375" style="115" customWidth="1" outlineLevel="1"/>
    <col min="3" max="3" width="15.7109375" style="4" customWidth="1"/>
    <col min="4" max="4" width="60.7109375" style="4" customWidth="1"/>
    <col min="5" max="5" width="60.7109375" style="4" hidden="1" customWidth="1" outlineLevel="1"/>
    <col min="6" max="6" width="15.7109375" style="4" customWidth="1" collapsed="1"/>
    <col min="7" max="7" width="35.7109375" style="4" hidden="1" customWidth="1" outlineLevel="1"/>
    <col min="8" max="8" width="15.7109375" style="4" customWidth="1" collapsed="1"/>
    <col min="9" max="9" width="15.7109375" style="4" customWidth="1"/>
    <col min="10" max="10" width="45.7109375" style="4" customWidth="1"/>
    <col min="11" max="11" width="60.7109375" style="4" customWidth="1" outlineLevel="1"/>
    <col min="12" max="12" width="15.7109375" style="4" customWidth="1"/>
    <col min="13" max="13" width="35.7109375" style="4" customWidth="1" outlineLevel="1"/>
    <col min="14" max="15" width="15.7109375" style="4" customWidth="1"/>
    <col min="16" max="17" width="15.7109375" style="4" customWidth="1" outlineLevel="1"/>
    <col min="18" max="18" width="15.7109375" style="4" customWidth="1"/>
    <col min="19" max="19" width="60.7109375" style="4" customWidth="1"/>
    <col min="20" max="20" width="45.7109375" style="4" customWidth="1"/>
    <col min="21" max="21" width="12.5703125" style="2" hidden="1" customWidth="1"/>
    <col min="22" max="25" width="9.140625" style="2" hidden="1" customWidth="1"/>
    <col min="26" max="26" width="21.5703125" style="2" hidden="1" customWidth="1"/>
    <col min="27" max="27" width="10.85546875" style="2" hidden="1" customWidth="1"/>
    <col min="28" max="28" width="27.5703125" style="2" hidden="1" customWidth="1"/>
    <col min="29" max="29" width="25.5703125" style="2" hidden="1" customWidth="1"/>
    <col min="30" max="30" width="26.7109375" style="2" hidden="1" customWidth="1"/>
    <col min="31" max="31" width="24.7109375" style="2" hidden="1" customWidth="1"/>
    <col min="32" max="32" width="41.28515625" style="2" hidden="1" customWidth="1"/>
    <col min="33" max="33" width="17.42578125" style="2" hidden="1" customWidth="1"/>
    <col min="34" max="35" width="37" style="2" hidden="1" customWidth="1"/>
    <col min="36" max="37" width="38" style="2" hidden="1" customWidth="1"/>
    <col min="38" max="38" width="41.42578125" style="2" hidden="1" customWidth="1"/>
    <col min="39" max="39" width="40.5703125" style="2" hidden="1" customWidth="1"/>
    <col min="40" max="40" width="41.7109375" style="2" hidden="1" customWidth="1"/>
    <col min="41" max="41" width="40.85546875" style="2" hidden="1" customWidth="1"/>
    <col min="42" max="42" width="34.140625" style="2" hidden="1" customWidth="1"/>
    <col min="43" max="43" width="19.140625" style="2" hidden="1" customWidth="1"/>
    <col min="44" max="44" width="24.5703125" style="2" hidden="1" customWidth="1"/>
    <col min="45" max="45" width="22.42578125" style="2" hidden="1" customWidth="1"/>
    <col min="46" max="46" width="15.5703125" style="2" hidden="1" customWidth="1"/>
    <col min="47" max="47" width="25.140625" style="2" hidden="1" customWidth="1"/>
    <col min="48" max="48" width="20.7109375" style="2" hidden="1" customWidth="1"/>
    <col min="49" max="49" width="22.140625" style="2" hidden="1" customWidth="1"/>
    <col min="50" max="16384" width="9.140625" style="2"/>
  </cols>
  <sheetData>
    <row r="1" spans="1:49" s="115" customFormat="1" outlineLevel="1" x14ac:dyDescent="0.25">
      <c r="A1" s="115"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HYPERLINK("#'"&amp;Helper!$G$2&amp;"'!"&amp;CHAR(CODE("A")+COLUMN(_xlpm._columnNameHeader)-1)&amp;_xlpm._entryOffset,Definitions!$AY$4)))(Helper!$G$14,A$4,README!$E:$E,README!$I$36,README!$B$36)</f>
        <v>◈</v>
      </c>
      <c r="C1" s="115"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HYPERLINK("#'"&amp;Helper!$G$2&amp;"'!"&amp;CHAR(CODE("A")+COLUMN(_xlpm._columnNameHeader)-1)&amp;_xlpm._entryOffset,Definitions!$AY$4)))(Helper!$G$14,$C$2,README!$E:$E,README!$I$36,README!$B$36)</f>
        <v>◈</v>
      </c>
    </row>
    <row r="2" spans="1:49" outlineLevel="1" x14ac:dyDescent="0.25">
      <c r="A2" s="85" t="s">
        <v>977</v>
      </c>
      <c r="C2" s="7" t="s">
        <v>268</v>
      </c>
      <c r="D2" s="49" t="str" cm="1">
        <f t="array" aca="1" ref="D2" ca="1">RemoveDelimiter(FilterElementsFromList(Helper!$B$2,Helper!$B$3,FALSE,", "),", ")</f>
        <v/>
      </c>
    </row>
    <row r="3" spans="1:49" s="115" customFormat="1" outlineLevel="1" x14ac:dyDescent="0.25">
      <c r="A3" s="118" t="str">
        <f>_xlfn.UNICHAR(11206)</f>
        <v>⯆</v>
      </c>
      <c r="C3" s="114" t="str" cm="1">
        <f t="array" aca="1" ref="C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HYPERLINK("#'"&amp;Helper!$G$2&amp;"'!"&amp;CHAR(CODE("A")+COLUMN(_xlpm._columnNameHeader)-1)&amp;_xlpm._entryOffset,Definitions!$AY$4)))(Helper!$G$14,C$4,README!$E:$E,README!$I$36,README!$B$36)</f>
        <v>◈</v>
      </c>
      <c r="D3" s="114" t="str" cm="1">
        <f t="array" aca="1" ref="D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HYPERLINK("#'"&amp;Helper!$G$2&amp;"'!"&amp;CHAR(CODE("A")+COLUMN(_xlpm._columnNameHeader)-1)&amp;_xlpm._entryOffset,Definitions!$AY$4)))(Helper!$G$14,D$4,README!$E:$E,README!$I$36,README!$B$36)</f>
        <v>◈</v>
      </c>
      <c r="E3" s="114" t="str" cm="1">
        <f t="array" aca="1" ref="E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HYPERLINK("#'"&amp;Helper!$G$2&amp;"'!"&amp;CHAR(CODE("A")+COLUMN(_xlpm._columnNameHeader)-1)&amp;_xlpm._entryOffset,Definitions!$AY$4)))(Helper!$G$14,E$4,README!$E:$E,README!$I$36,README!$B$36)</f>
        <v>◈</v>
      </c>
      <c r="F3" s="114" t="str" cm="1">
        <f t="array" aca="1" ref="F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HYPERLINK("#'"&amp;Helper!$G$2&amp;"'!"&amp;CHAR(CODE("A")+COLUMN(_xlpm._columnNameHeader)-1)&amp;_xlpm._entryOffset,Definitions!$AY$4)))(Helper!$G$14,F$4,README!$E:$E,README!$I$36,README!$B$36)</f>
        <v>◈</v>
      </c>
      <c r="G3" s="114" t="str" cm="1">
        <f t="array" aca="1" ref="G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HYPERLINK("#'"&amp;Helper!$G$2&amp;"'!"&amp;CHAR(CODE("A")+COLUMN(_xlpm._columnNameHeader)-1)&amp;_xlpm._entryOffset,Definitions!$AY$4)))(Helper!$G$14,G$4,README!$E:$E,README!$I$36,README!$B$36)</f>
        <v>◈</v>
      </c>
      <c r="H3" s="114" t="str" cm="1">
        <f t="array" aca="1" ref="H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HYPERLINK("#'"&amp;Helper!$G$2&amp;"'!"&amp;CHAR(CODE("A")+COLUMN(_xlpm._columnNameHeader)-1)&amp;_xlpm._entryOffset,Definitions!$AY$4)))(Helper!$G$14,H$4,README!$E:$E,README!$I$36,README!$B$36)</f>
        <v>◈</v>
      </c>
      <c r="I3" s="114" t="str" cm="1">
        <f t="array" aca="1" ref="I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HYPERLINK("#'"&amp;Helper!$G$2&amp;"'!"&amp;CHAR(CODE("A")+COLUMN(_xlpm._columnNameHeader)-1)&amp;_xlpm._entryOffset,Definitions!$AY$4)))(Helper!$G$14,I$4,README!$E:$E,README!$I$36,README!$B$36)</f>
        <v>◈</v>
      </c>
      <c r="J3" s="114" t="str" cm="1">
        <f t="array" aca="1" ref="J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HYPERLINK("#'"&amp;Helper!$G$2&amp;"'!"&amp;CHAR(CODE("A")+COLUMN(_xlpm._columnNameHeader)-1)&amp;_xlpm._entryOffset,Definitions!$AY$4)))(Helper!$G$14,J$4,README!$E:$E,README!$I$36,README!$B$36)</f>
        <v>◈</v>
      </c>
      <c r="K3" s="114" t="str" cm="1">
        <f t="array" aca="1" ref="K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HYPERLINK("#'"&amp;Helper!$G$2&amp;"'!"&amp;CHAR(CODE("A")+COLUMN(_xlpm._columnNameHeader)-1)&amp;_xlpm._entryOffset,Definitions!$AY$4)))(Helper!$G$14,K$4,README!$E:$E,README!$I$36,README!$B$36)</f>
        <v>◈</v>
      </c>
      <c r="L3" s="114" t="str" cm="1">
        <f t="array" aca="1" ref="L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HYPERLINK("#'"&amp;Helper!$G$2&amp;"'!"&amp;CHAR(CODE("A")+COLUMN(_xlpm._columnNameHeader)-1)&amp;_xlpm._entryOffset,Definitions!$AY$4)))(Helper!$G$14,L$4,README!$E:$E,README!$I$36,README!$B$36)</f>
        <v>◈</v>
      </c>
      <c r="M3" s="114" t="str" cm="1">
        <f t="array" aca="1" ref="M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HYPERLINK("#'"&amp;Helper!$G$2&amp;"'!"&amp;CHAR(CODE("A")+COLUMN(_xlpm._columnNameHeader)-1)&amp;_xlpm._entryOffset,Definitions!$AY$4)))(Helper!$G$14,M$4,README!$E:$E,README!$I$36,README!$B$36)</f>
        <v>◈</v>
      </c>
      <c r="N3" s="114" t="str" cm="1">
        <f t="array" aca="1" ref="N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HYPERLINK("#'"&amp;Helper!$G$2&amp;"'!"&amp;CHAR(CODE("A")+COLUMN(_xlpm._columnNameHeader)-1)&amp;_xlpm._entryOffset,Definitions!$AY$4)))(Helper!$G$14,N$4,README!$E:$E,README!$I$36,README!$B$36)</f>
        <v>◈</v>
      </c>
      <c r="O3" s="114" t="str" cm="1">
        <f t="array" aca="1" ref="O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HYPERLINK("#'"&amp;Helper!$G$2&amp;"'!"&amp;CHAR(CODE("A")+COLUMN(_xlpm._columnNameHeader)-1)&amp;_xlpm._entryOffset,Definitions!$AY$4)))(Helper!$G$14,O$4,README!$E:$E,README!$I$36,README!$B$36)</f>
        <v>◈</v>
      </c>
      <c r="P3" s="114" t="str" cm="1">
        <f t="array" aca="1" ref="P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HYPERLINK("#'"&amp;Helper!$G$2&amp;"'!"&amp;CHAR(CODE("A")+COLUMN(_xlpm._columnNameHeader)-1)&amp;_xlpm._entryOffset,Definitions!$AY$4)))(Helper!$G$14,P$4,README!$E:$E,README!$I$36,README!$B$36)</f>
        <v>◈</v>
      </c>
      <c r="Q3" s="114" t="str" cm="1">
        <f t="array" aca="1" ref="Q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HYPERLINK("#'"&amp;Helper!$G$2&amp;"'!"&amp;CHAR(CODE("A")+COLUMN(_xlpm._columnNameHeader)-1)&amp;_xlpm._entryOffset,Definitions!$AY$4)))(Helper!$G$14,Q$4,README!$E:$E,README!$I$36,README!$B$36)</f>
        <v>◈</v>
      </c>
      <c r="R3" s="114" t="str" cm="1">
        <f t="array" aca="1" ref="R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HYPERLINK("#'"&amp;Helper!$G$2&amp;"'!"&amp;CHAR(CODE("A")+COLUMN(_xlpm._columnNameHeader)-1)&amp;_xlpm._entryOffset,Definitions!$AY$4)))(Helper!$G$14,R$4,README!$E:$E,README!$I$36,README!$B$36)</f>
        <v>◈</v>
      </c>
      <c r="S3" s="114" t="str" cm="1">
        <f t="array" aca="1" ref="S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HYPERLINK("#'"&amp;Helper!$G$2&amp;"'!"&amp;CHAR(CODE("A")+COLUMN(_xlpm._columnNameHeader)-1)&amp;_xlpm._entryOffset,Definitions!$AY$4)))(Helper!$G$14,S$4,README!$E:$E,README!$I$36,README!$B$36)</f>
        <v>◈</v>
      </c>
      <c r="T3" s="114" t="str" cm="1">
        <f t="array" aca="1" ref="T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HYPERLINK("#'"&amp;Helper!$G$2&amp;"'!"&amp;CHAR(CODE("A")+COLUMN(_xlpm._columnNameHeader)-1)&amp;_xlpm._entryOffset,Definitions!$AY$4)))(Helper!$G$14,T$4,README!$E:$E,README!$I$36,README!$B$36)</f>
        <v>◈</v>
      </c>
    </row>
    <row r="4" spans="1:49" ht="30" x14ac:dyDescent="0.25">
      <c r="A4" s="83" t="s">
        <v>978</v>
      </c>
      <c r="C4" s="13" t="s">
        <v>176</v>
      </c>
      <c r="D4" s="16" t="s">
        <v>105</v>
      </c>
      <c r="E4" s="16" t="s">
        <v>157</v>
      </c>
      <c r="F4" s="16" t="s">
        <v>187</v>
      </c>
      <c r="G4" s="16" t="s">
        <v>575</v>
      </c>
      <c r="H4" s="16" t="s">
        <v>188</v>
      </c>
      <c r="I4" s="16" t="s">
        <v>189</v>
      </c>
      <c r="J4" s="16" t="s">
        <v>278</v>
      </c>
      <c r="K4" s="16" t="s">
        <v>468</v>
      </c>
      <c r="L4" s="16" t="s">
        <v>447</v>
      </c>
      <c r="M4" s="16" t="s">
        <v>574</v>
      </c>
      <c r="N4" s="16" t="s">
        <v>446</v>
      </c>
      <c r="O4" s="16" t="s">
        <v>566</v>
      </c>
      <c r="P4" s="16" t="s">
        <v>475</v>
      </c>
      <c r="Q4" s="13" t="s">
        <v>476</v>
      </c>
      <c r="R4" s="16" t="s">
        <v>477</v>
      </c>
      <c r="S4" s="13" t="s">
        <v>478</v>
      </c>
      <c r="T4" s="13" t="s">
        <v>3</v>
      </c>
      <c r="U4" s="10" t="s">
        <v>54</v>
      </c>
      <c r="V4" s="10" t="s">
        <v>230</v>
      </c>
      <c r="W4" s="10" t="s">
        <v>104</v>
      </c>
      <c r="X4" s="10" t="s">
        <v>264</v>
      </c>
      <c r="Y4" s="10" t="s">
        <v>281</v>
      </c>
      <c r="Z4" s="10" t="s">
        <v>285</v>
      </c>
      <c r="AA4" s="10" t="s">
        <v>479</v>
      </c>
      <c r="AB4" s="10" t="s">
        <v>537</v>
      </c>
      <c r="AC4" s="10" t="s">
        <v>536</v>
      </c>
      <c r="AD4" s="10" t="s">
        <v>567</v>
      </c>
      <c r="AE4" s="10" t="s">
        <v>568</v>
      </c>
      <c r="AF4" s="10" t="s">
        <v>648</v>
      </c>
      <c r="AG4" s="10" t="s">
        <v>650</v>
      </c>
      <c r="AH4" s="10" t="s">
        <v>691</v>
      </c>
      <c r="AI4" s="10" t="s">
        <v>692</v>
      </c>
      <c r="AJ4" s="10" t="s">
        <v>693</v>
      </c>
      <c r="AK4" s="10" t="s">
        <v>694</v>
      </c>
      <c r="AL4" s="10" t="s">
        <v>695</v>
      </c>
      <c r="AM4" s="10" t="s">
        <v>696</v>
      </c>
      <c r="AN4" s="10" t="s">
        <v>697</v>
      </c>
      <c r="AO4" s="10" t="s">
        <v>698</v>
      </c>
      <c r="AP4" s="10" t="s">
        <v>1288</v>
      </c>
      <c r="AQ4" s="10" t="s">
        <v>1289</v>
      </c>
      <c r="AR4" s="10" t="s">
        <v>1293</v>
      </c>
      <c r="AS4" s="10" t="s">
        <v>1294</v>
      </c>
      <c r="AT4" s="10" t="s">
        <v>1324</v>
      </c>
      <c r="AU4" s="10" t="s">
        <v>1337</v>
      </c>
      <c r="AV4" s="10" t="s">
        <v>1338</v>
      </c>
      <c r="AW4" s="10" t="s">
        <v>1431</v>
      </c>
    </row>
    <row r="5" spans="1:49" x14ac:dyDescent="0.25">
      <c r="A5" s="84" t="str" cm="1">
        <f t="array" aca="1" ref="A5" ca="1">_xlfn._xlws.FILTER(Table8[R ID],Table8[R ID]&lt;&gt;"","")</f>
        <v/>
      </c>
      <c r="C5" s="13"/>
      <c r="D5" s="16" t="str" cm="1">
        <f t="array" ref="D5">IF($C5="","",IF($W5=-1,"ERROR: Unknown ID: "&amp;$C5,INDEX(Risks!B:B,$W5)))</f>
        <v/>
      </c>
      <c r="E5" s="36" t="str" cm="1">
        <f t="array" aca="1" ref="E5" ca="1">IF($W5=-1,"",INDEX(Risks!C:C,$W5))</f>
        <v/>
      </c>
      <c r="F5" s="16" t="str" cm="1">
        <f t="array" aca="1" ref="F5" ca="1">IF($W5=-1,"",INDEX(Risks!D:D,$W5))</f>
        <v/>
      </c>
      <c r="G5" s="19" t="str" cm="1">
        <f t="array" ref="G5">IF($C5="","",_xlfn.LET(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_xlpm._factorFunction($C5,Risks!$A:W,Definitions!$Y:$Y,Definitions!$AB:$AB,1)&amp;CHAR(10)&amp;
_xlpm._factorFunction($C5,Risks!$A:X,Definitions!$Y:$Y,Definitions!$AB:$AB,2)&amp;CHAR(10)&amp;
_xlpm._factorFunction($C5,Risks!$A:Y,Definitions!$Y:$Y,Definitions!$AB:$AB,3)&amp;CHAR(10)&amp;
_xlpm._factorFunction($C5,Risks!$A:Z,Definitions!$Y:$Y,Definitions!$AB:$AB,4)&amp;CHAR(10)&amp;
_xlpm._factorFunction($C5,Risks!$A:AA,Definitions!$Y:$Y,Definitions!$AB:$AB,5)))</f>
        <v/>
      </c>
      <c r="H5" s="16" t="str" cm="1">
        <f t="array" aca="1" ref="H5" ca="1">IF($W5=-1,"",INDEX(Risks!F:F,$W5))</f>
        <v/>
      </c>
      <c r="I5" s="16" t="str" cm="1">
        <f t="array" aca="1" ref="I5" ca="1">IF($W5=-1,"",INDEX(Risks!G:G,$W5))</f>
        <v/>
      </c>
      <c r="J5" s="16" t="str" cm="1">
        <f t="array" aca="1" ref="J5" ca="1">_xlfn.LET(
_xlpm._assignedMitigations,IF($C5="","",IFERROR(RemoveDelimiter(GetValuesWithFallback($AW5,Countermeasures!$A:$B,Assumptions!$A:$B," ",","&amp;CHAR(10),TRUE),","&amp;CHAR(10)),"Error: Unknown risk ID "&amp;$C5)),
_xlpm._inlineMitigations,$AQ5,
_xlpm._assignedMitigations&amp;
IF(OR(_xlpm._assignedMitigations="",_xlpm._inlineMitigations=""),"",","&amp;CHAR(10))&amp;
_xlpm._inlineMitigations)</f>
        <v/>
      </c>
      <c r="K5" s="36" t="str" cm="1">
        <f t="array" aca="1" ref="K5" ca="1">IF($W5=-1,"",RemoveDelimiter(GetValues(INDEX(Risks!O:O,$W5),'DS Overview'!$A:$B," ",","&amp;CHAR(10),TRUE),","&amp;CHAR(10)))</f>
        <v/>
      </c>
      <c r="L5" s="16" t="str" cm="1">
        <f t="array" ref="L5">IF($C5="","",SimpleLookup($C5,Risks!$A:$V))</f>
        <v/>
      </c>
      <c r="M5" s="19" t="str" cm="1">
        <f t="array" aca="1" ref="M5" ca="1">_xlfn.LET(
_xlpm._calculatedRAP,IFERROR(SimpleLookup($C5,Risks!$A:$BG),""),
_xlpm._inlineRAP,IFERROR(SimpleLookup($C5,Risks!$A:$BH),""),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IF(_xlpm._calculatedValue&gt;=_xlpm._inlineValue,$AP5,
_xlpm._mitigationSheetName&amp;" sheet "&amp;_xlfn.UNICHAR(8702)&amp;" Comment column:"&amp;CHAR(10)&amp;$AQ5)))</f>
        <v/>
      </c>
      <c r="N5" s="16" t="str" cm="1">
        <f t="array" ref="N5">IF($C5="","",SimpleLookup($C5,Risks!$A:$BI))</f>
        <v/>
      </c>
      <c r="O5" s="16" t="str" cm="1">
        <f t="array" ref="O5">IF($C5="","",SimpleLookup($C5,Risks!$A:$BJ))</f>
        <v/>
      </c>
      <c r="P5" s="16" t="str">
        <f>IF($C5="","",IF($AA5&lt;=Definitions!$AF$6,Definitions!$M$4,""))</f>
        <v/>
      </c>
      <c r="Q5" s="13"/>
      <c r="R5" s="16" t="str">
        <f>IF($Q5="",$P5,$Q5)</f>
        <v/>
      </c>
      <c r="S5" s="13"/>
      <c r="T5" s="13"/>
      <c r="U5" s="10" cm="1">
        <f t="array" ref="U5">GenerateShadowID(ROW(),$U$4,$U:$U,0,C5&lt;&gt;"")</f>
        <v>0</v>
      </c>
      <c r="V5" s="10" cm="1">
        <f t="array" ref="V5">CreateTaskID($V$4,$V:$V,Tasks!$B$17,$T5)</f>
        <v>0</v>
      </c>
      <c r="W5" s="10">
        <f ca="1">IFERROR(MATCH($C5,Risks!$A:$A,0),-1)</f>
        <v>-1</v>
      </c>
      <c r="X5" s="10" t="str" cm="1">
        <f t="array" ref="X5">IF(ROW()=ROW($X$4)+1,"",INDEX($X:$X,ROW()-1))&amp;IF($C5="","",$C5&amp;",")</f>
        <v/>
      </c>
      <c r="Y5" s="10" t="str" cm="1">
        <f t="array" aca="1" ref="Y5" ca="1">IF($W5=-1,"",INDEX(Risks!K:K,$W5))</f>
        <v/>
      </c>
      <c r="Z5" s="21" t="str" cm="1">
        <f t="array" aca="1" ref="Z5" ca="1">GetValues($Y5,'Attack Steps'!$A:$AE,"","",FALSE)</f>
        <v/>
      </c>
      <c r="AA5" s="21" cm="1">
        <f t="array" ref="AA5">IF($O5="",0,SimpleLookup($O5,Definitions!$AE:$AF))</f>
        <v>0</v>
      </c>
      <c r="AB5" s="21" t="str">
        <f t="shared" ref="AB5" si="0">IF(AND($Q5&lt;&gt;"",$S5=""),$C5&amp;" "&amp;$D5,"")</f>
        <v/>
      </c>
      <c r="AC5" s="21" cm="1">
        <f t="array" ref="AC5">CreateID($AC$4,$AC:$AC,AND($C5&lt;&gt;"",$AB5&lt;&gt;""))</f>
        <v>0</v>
      </c>
      <c r="AD5" s="21" t="str">
        <f t="shared" ref="AD5" si="1">IF(AND($P5="",$Q5=""),$C5&amp;" "&amp;$D5,"")</f>
        <v xml:space="preserve"> </v>
      </c>
      <c r="AE5" s="21" cm="1">
        <f t="array" ref="AE5">CreateID($AE$4,$AE:$AE,AND($C5&lt;&gt;"",$AD5&lt;&gt;""))</f>
        <v>0</v>
      </c>
      <c r="AF5" s="21" t="str" cm="1">
        <f t="array" ref="AF5">_xlfn.LET(
_xlpm._letters,IF(AND($R5&lt;&gt;"",$R5&lt;&gt;Definitions!$M$4),SimpleLookup(SimpleLookup($C5,Risks!$A:$L),'Attack Steps'!$A:$O),""),
IF(_xlpm._letters="","",","&amp;SanitizeInput(_xlpm._letters)))</f>
        <v/>
      </c>
      <c r="AG5" s="21" t="str">
        <f t="shared" ref="AG5" si="2">IF($AF5="","",$C5&amp;" ["&amp;$R5&amp;"]: "&amp;$S5)</f>
        <v/>
      </c>
      <c r="AH5" s="21" cm="1">
        <f t="array" ref="AH5">CreateID($AH$4,$AH:$AH,IFERROR(FIND(Definitions!$AR$4,$S5)&gt;0,FALSE))</f>
        <v>0</v>
      </c>
      <c r="AI5" s="21">
        <f>_xlfn.LET(
_xlpm._comment,$S5,
_xlpm._keyWord,Definitions!$AR$4,
_xlpm._diffLen,LEN(_xlpm._comment)-LEN(SUBSTITUTE(_xlpm._comment,_xlpm._keyWord,"")),
_xlpm._diffLen/LEN(_xlpm._keyWord))</f>
        <v>0</v>
      </c>
      <c r="AJ5" s="21" cm="1">
        <f t="array" ref="AJ5">CreateID($AJ$4,$AJ:$AJ,IFERROR(FIND(Definitions!$AR$4,$T5)&gt;0,FALSE))</f>
        <v>0</v>
      </c>
      <c r="AK5" s="21">
        <f>_xlfn.LET(
_xlpm._comment,$T5,
_xlpm._keyWord,Definitions!$AR$4,
_xlpm._diffLen,LEN(_xlpm._comment)-LEN(SUBSTITUTE(_xlpm._comment,_xlpm._keyWord,"")),
_xlpm._diffLen/LEN(_xlpm._keyWord))</f>
        <v>0</v>
      </c>
      <c r="AL5" s="21" cm="1">
        <f t="array" ref="AL5">CreateID($AL$4,$AL:$AL,IFERROR(FIND(Definitions!$AR$5,$S5)&gt;0,FALSE))</f>
        <v>0</v>
      </c>
      <c r="AM5" s="21">
        <f>_xlfn.LET(
_xlpm._comment,$S5,
_xlpm._keyWord,Definitions!$AR$5,
_xlpm._diffLen,LEN(_xlpm._comment)-LEN(SUBSTITUTE(_xlpm._comment,_xlpm._keyWord,"")),
_xlpm._diffLen/LEN(_xlpm._keyWord))</f>
        <v>0</v>
      </c>
      <c r="AN5" s="21" cm="1">
        <f t="array" ref="AN5">CreateID($AN$4,$AN:$AN,IFERROR(FIND(Definitions!$AR$5,$T5)&gt;0,FALSE))</f>
        <v>0</v>
      </c>
      <c r="AO5" s="21">
        <f>_xlfn.LET(
_xlpm._comment,$T5,
_xlpm._keyWord,Definitions!$AR$5,
_xlpm._diffLen,LEN(_xlpm._comment)-LEN(SUBSTITUTE(_xlpm._comment,_xlpm._keyWord,"")),
_xlpm._diffLen/LEN(_xlpm._keyWord))</f>
        <v>0</v>
      </c>
      <c r="AP5" s="21" t="str" cm="1">
        <f t="array" ref="AP5">IF($C5="","",_xlfn.LET(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_xlpm._factorFunction($C5,Risks!$A:AV,Definitions!$Y:$Y,Definitions!$AB:$AB,1)&amp;CHAR(10)&amp;
_xlpm._factorFunction($C5,Risks!$A:AW,Definitions!$Y:$Y,Definitions!$AB:$AB,2)&amp;CHAR(10)&amp;
_xlpm._factorFunction($C5,Risks!$A:AX,Definitions!$Y:$Y,Definitions!$AB:$AB,3)&amp;CHAR(10)&amp;
_xlpm._factorFunction($C5,Risks!$A:AY,Definitions!$Y:$Y,Definitions!$AB:$AB,4)&amp;CHAR(10)&amp;
_xlpm._factorFunction($C5,Risks!$A:AZ,Definitions!$Y:$Y,Definitions!$AB:$AB,5)))</f>
        <v/>
      </c>
      <c r="AQ5" s="21" t="str" cm="1">
        <f t="array" aca="1" ref="AQ5" ca="1">RemoveDelimiter(GetValues($Y5,Mitigation!$A:$AG,"",","&amp;CHAR(10),FALSE),","&amp;CHAR(10))</f>
        <v/>
      </c>
      <c r="AR5" s="21" t="str" cm="1">
        <f t="array" ref="AR5">IF($C5="","",IF(ISERROR(SimpleLookup($C5,Risks!$A:$A)),$C5,""))</f>
        <v/>
      </c>
      <c r="AS5" s="21" cm="1">
        <f t="array" ref="AS5">CreateID($AS$4,$AS:$AS,$AR5&lt;&gt;"")</f>
        <v>0</v>
      </c>
      <c r="AT5" s="21" t="str" cm="1">
        <f t="array" ref="AT5">CreateSearchString($C5)</f>
        <v/>
      </c>
      <c r="AU5" s="21" t="str">
        <f>IF($C5="","",IF(MATCH($C5,$C:$C,0)=ROW($C5),"",$C5))</f>
        <v/>
      </c>
      <c r="AV5" s="21" cm="1">
        <f t="array" ref="AV5">CreateID($AV$4,$AV:$AV,$AU5&lt;&gt;"")</f>
        <v>0</v>
      </c>
      <c r="AW5" s="21" t="str" cm="1">
        <f t="array" ref="AW5">IF($C5="","",
_xlfn.LET(_xlpm._ids,SanitizeInput(SimpleLookup($C5,Risks!$A:$AK)),
_xlpm._assumptionIDs,SortList(_xlpm._ids,Assumptions!$A:$T,Helper!$B$6,"",",",TRUE),
_xlpm._countermeasureIDs,SortList(_xlpm._ids,Countermeasures!$A:$T,Helper!$B$4,"",",",TRUE),
_xlpm._sortedIDs,_xlpm._assumptionIDs&amp;_xlpm._countermeasureIDs,
_xlpm._sortedIDs))</f>
        <v/>
      </c>
    </row>
  </sheetData>
  <phoneticPr fontId="4" type="noConversion"/>
  <conditionalFormatting sqref="S1:S1048576">
    <cfRule type="expression" dxfId="20" priority="1">
      <formula>AND($Q1&lt;&gt;"",$S1="")</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8" id="{6B91967B-8E03-43E6-9490-9119562478F0}">
            <xm:f>I1=Definitions!$AE$4</xm:f>
            <x14:dxf>
              <font>
                <color theme="3" tint="-0.499984740745262"/>
              </font>
              <fill>
                <patternFill>
                  <bgColor theme="3" tint="0.59996337778862885"/>
                </patternFill>
              </fill>
            </x14:dxf>
          </x14:cfRule>
          <x14:cfRule type="expression" priority="63" id="{79B33989-057A-4F2A-898C-264DCDEFAADB}">
            <xm:f>I1=Definitions!$AE$5</xm:f>
            <x14:dxf>
              <font>
                <color theme="1"/>
              </font>
              <fill>
                <patternFill>
                  <bgColor rgb="FF99FFCC"/>
                </patternFill>
              </fill>
            </x14:dxf>
          </x14:cfRule>
          <x14:cfRule type="expression" priority="64" id="{B5141C71-1516-4611-8E9B-A008F17AC73E}">
            <xm:f>I1=Definitions!$AE$6</xm:f>
            <x14:dxf>
              <font>
                <color theme="1"/>
              </font>
              <fill>
                <patternFill>
                  <bgColor rgb="FFCCFF33"/>
                </patternFill>
              </fill>
            </x14:dxf>
          </x14:cfRule>
          <x14:cfRule type="expression" priority="65" id="{306B264A-12C3-4D6A-9C0A-80435AABD679}">
            <xm:f>I1=Definitions!$AE$7</xm:f>
            <x14:dxf>
              <font>
                <color theme="1"/>
              </font>
              <fill>
                <patternFill>
                  <bgColor rgb="FFFFCC00"/>
                </patternFill>
              </fill>
            </x14:dxf>
          </x14:cfRule>
          <x14:cfRule type="expression" priority="66" id="{EF0BC30A-7BA9-41B8-9616-B2C56D2EFA79}">
            <xm:f>I1=Definitions!$AE$8</xm:f>
            <x14:dxf>
              <font>
                <color theme="1"/>
              </font>
              <fill>
                <patternFill>
                  <bgColor rgb="FFFF3300"/>
                </patternFill>
              </fill>
            </x14:dxf>
          </x14:cfRule>
          <xm:sqref>I1:I1048576 O1:O1048576</xm:sqref>
        </x14:conditionalFormatting>
        <x14:conditionalFormatting xmlns:xm="http://schemas.microsoft.com/office/excel/2006/main">
          <x14:cfRule type="expression" priority="2" id="{57F4CE5D-3888-4206-863A-15B9DE3458E2}">
            <xm:f>AND($O1&lt;&gt;"",$Q1="",$P1&lt;&gt;Definitions!$M$4)</xm:f>
            <x14:dxf>
              <border>
                <left style="thin">
                  <color rgb="FFFFB9B9"/>
                </left>
                <right style="thin">
                  <color rgb="FFFFB9B9"/>
                </right>
                <top style="thin">
                  <color rgb="FFFFB9B9"/>
                </top>
                <bottom style="thin">
                  <color rgb="FFFFB9B9"/>
                </bottom>
                <vertical/>
                <horizontal/>
              </border>
            </x14:dxf>
          </x14:cfRule>
          <xm:sqref>Q1:Q1048576</xm:sqref>
        </x14:conditionalFormatting>
        <x14:conditionalFormatting xmlns:xm="http://schemas.microsoft.com/office/excel/2006/main">
          <x14:cfRule type="expression" priority="3" id="{A7E543C0-735C-4605-9572-C17142E3E578}">
            <xm:f>IFERROR(FIND(Tasks!$B$17,T1)&gt;0,FALSE)</xm:f>
            <x14:dxf>
              <font>
                <b/>
                <i val="0"/>
                <color rgb="FF99FFCC"/>
              </font>
            </x14:dxf>
          </x14:cfRule>
          <xm:sqref>T1:T1048576</xm:sqref>
        </x14:conditionalFormatting>
      </x14:conditionalFormattings>
    </ext>
    <ext xmlns:x14="http://schemas.microsoft.com/office/spreadsheetml/2009/9/main" uri="{CCE6A557-97BC-4b89-ADB6-D9C93CAAB3DF}">
      <x14:dataValidations xmlns:xm="http://schemas.microsoft.com/office/excel/2006/main" disablePrompts="1" count="1">
        <x14:dataValidation type="list" allowBlank="1" showInputMessage="1" showErrorMessage="1" xr:uid="{65525919-FB69-4A1A-BB93-4FB37766C94C}">
          <x14:formula1>
            <xm:f>Definitions!$M$4:$M$7</xm:f>
          </x14:formula1>
          <xm:sqref>Q5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82E1A-DCF8-4A09-9231-B07CAD3B9BAB}">
  <sheetPr>
    <tabColor theme="9" tint="-0.499984740745262"/>
  </sheetPr>
  <dimension ref="A1:AJ101"/>
  <sheetViews>
    <sheetView workbookViewId="0">
      <pane xSplit="2" ySplit="17" topLeftCell="C18" activePane="bottomRight" state="frozen"/>
      <selection activeCell="A16" sqref="A16"/>
      <selection pane="topRight" activeCell="C16" sqref="C16"/>
      <selection pane="bottomLeft" activeCell="A17" sqref="A17"/>
      <selection pane="bottomRight" activeCell="E18" sqref="E18"/>
    </sheetView>
  </sheetViews>
  <sheetFormatPr defaultColWidth="9.140625" defaultRowHeight="15" outlineLevelCol="1" x14ac:dyDescent="0.25"/>
  <cols>
    <col min="1" max="1" width="12.7109375" style="4" customWidth="1"/>
    <col min="2" max="2" width="30.7109375" style="4" customWidth="1"/>
    <col min="3" max="3" width="15.7109375" style="4" customWidth="1"/>
    <col min="4" max="4" width="75.7109375" style="4" customWidth="1"/>
    <col min="5" max="6" width="10.7109375" style="4" customWidth="1" outlineLevel="1"/>
    <col min="7" max="7" width="17.85546875" style="4" customWidth="1" outlineLevel="1"/>
    <col min="8" max="8" width="60.7109375" style="4" customWidth="1"/>
    <col min="9" max="9" width="14.140625" style="2" hidden="1" customWidth="1"/>
    <col min="10" max="10" width="19.5703125" style="2" hidden="1" customWidth="1"/>
    <col min="11" max="11" width="20.5703125" style="2" hidden="1" customWidth="1"/>
    <col min="12" max="12" width="36.85546875" style="2" hidden="1" customWidth="1"/>
    <col min="13" max="13" width="29.42578125" style="2" hidden="1" customWidth="1"/>
    <col min="14" max="14" width="35.140625" style="2" hidden="1" customWidth="1"/>
    <col min="15" max="15" width="22.7109375" style="2" hidden="1" customWidth="1"/>
    <col min="16" max="16" width="31.140625" style="2" hidden="1" customWidth="1"/>
    <col min="17" max="17" width="29.28515625" style="2" hidden="1" customWidth="1"/>
    <col min="18" max="18" width="37" style="2" hidden="1" customWidth="1"/>
    <col min="19" max="19" width="32.7109375" style="2" hidden="1" customWidth="1"/>
    <col min="20" max="20" width="27" style="2" hidden="1" customWidth="1"/>
    <col min="21" max="21" width="19.85546875" style="2" hidden="1" customWidth="1"/>
    <col min="22" max="22" width="26.140625" style="2" hidden="1" customWidth="1"/>
    <col min="23" max="23" width="22.5703125" style="2" hidden="1" customWidth="1"/>
    <col min="24" max="24" width="14.140625" style="2" hidden="1" customWidth="1"/>
    <col min="25" max="25" width="19.5703125" style="2" hidden="1" customWidth="1"/>
    <col min="26" max="26" width="18.42578125" style="2" hidden="1" customWidth="1"/>
    <col min="27" max="27" width="31.7109375" style="2" hidden="1" customWidth="1"/>
    <col min="28" max="28" width="25.28515625" style="2" hidden="1" customWidth="1"/>
    <col min="29" max="29" width="35" style="2" hidden="1" customWidth="1"/>
    <col min="30" max="30" width="22.140625" style="2" hidden="1" customWidth="1"/>
    <col min="31" max="31" width="19.85546875" style="2" hidden="1" customWidth="1"/>
    <col min="32" max="32" width="26.28515625" style="2" hidden="1" customWidth="1"/>
    <col min="33" max="33" width="68.42578125" style="2" hidden="1" customWidth="1"/>
    <col min="34" max="34" width="9.5703125" style="2" hidden="1" customWidth="1"/>
    <col min="35" max="35" width="24.28515625" style="2" hidden="1" customWidth="1"/>
    <col min="36" max="36" width="22.140625" style="2" hidden="1" customWidth="1"/>
    <col min="37" max="16384" width="9.140625" style="2"/>
  </cols>
  <sheetData>
    <row r="1" spans="1:18" s="12" customFormat="1" ht="18.75" hidden="1" x14ac:dyDescent="0.3">
      <c r="B1" s="58" t="s">
        <v>686</v>
      </c>
    </row>
    <row r="2" spans="1:18" s="12" customFormat="1" hidden="1" x14ac:dyDescent="0.25">
      <c r="B2" s="11" t="s">
        <v>233</v>
      </c>
      <c r="C2" s="11" t="s">
        <v>667</v>
      </c>
      <c r="D2" s="11" t="s">
        <v>671</v>
      </c>
      <c r="E2" s="11"/>
      <c r="F2" s="12" t="s">
        <v>231</v>
      </c>
      <c r="I2" s="12" t="s">
        <v>235</v>
      </c>
      <c r="J2" s="12" t="s">
        <v>238</v>
      </c>
      <c r="K2" s="12" t="s">
        <v>546</v>
      </c>
      <c r="L2" s="12" t="s">
        <v>668</v>
      </c>
      <c r="M2" s="12" t="s">
        <v>672</v>
      </c>
      <c r="N2" s="12" t="s">
        <v>673</v>
      </c>
      <c r="O2" s="12" t="s">
        <v>242</v>
      </c>
      <c r="P2" s="12" t="s">
        <v>248</v>
      </c>
      <c r="Q2" s="12" t="s">
        <v>683</v>
      </c>
    </row>
    <row r="3" spans="1:18" s="12" customFormat="1" hidden="1" x14ac:dyDescent="0.25">
      <c r="B3" s="12" t="str" cm="1">
        <f t="array" aca="1" ref="B3" ca="1">CELL("address",Questionnaire!$G$3)</f>
        <v>'[2025-07-30_QuBA_libre.xlsx]Questionnaire'!$G$3</v>
      </c>
      <c r="C3" s="12" t="str" cm="1">
        <f t="array" aca="1" ref="C3" ca="1">CELL("address",Questionnaire!$V$3)</f>
        <v>'[2025-07-30_QuBA_libre.xlsx]Questionnaire'!$V$3</v>
      </c>
      <c r="D3" s="12" t="str" cm="1">
        <f t="array" aca="1" ref="D3" ca="1">CELL("address",Questionnaire!$W$3)</f>
        <v>'[2025-07-30_QuBA_libre.xlsx]Questionnaire'!$W$3</v>
      </c>
      <c r="F3" s="12" t="str" cm="1">
        <f t="array" aca="1" ref="F3" ca="1">CELL("address",Questionnaire!$A$3)</f>
        <v>'[2025-07-30_QuBA_libre.xlsx]Questionnaire'!$A$3</v>
      </c>
      <c r="I3" s="12" t="str">
        <f ca="1">IF(B3="","",_xlfn.LET(
_xlpm._in,B3,
_xlpm._start,FIND("]",_xlpm._in)+1,
SUBSTITUTE(MID(_xlpm._in,_xlpm._start,FIND("!",_xlpm._in)-_xlpm._start),"'","")))</f>
        <v>Questionnaire</v>
      </c>
      <c r="J3" s="12" t="str">
        <f t="shared" ref="J3:K7" ca="1" si="0">IF($I3="","",_xlfn.LET(
_xlpm._in,B3,
_xlpm._start,FIND("$",_xlpm._in)+1,
MID(_xlpm._in,_xlpm._start,FIND("$",SUBSTITUTE(_xlpm._in,"$","§",1))-_xlpm._start)))</f>
        <v>G</v>
      </c>
      <c r="K3" s="12" t="str">
        <f t="shared" ca="1" si="0"/>
        <v>V</v>
      </c>
      <c r="L3" s="12">
        <f ca="1">IF($I3="","",MAX(INDIRECT("'"&amp;$I3&amp;"'!"&amp;$K3&amp;":"&amp;$K3)))</f>
        <v>0</v>
      </c>
      <c r="M3" s="12" t="str">
        <f ca="1">IF($I3="","",_xlfn.LET(
_xlpm._in,D3,
_xlpm._start,FIND("$",_xlpm._in)+1,
MID(_xlpm._in,_xlpm._start,FIND("$",SUBSTITUTE(_xlpm._in,"$","§",1))-_xlpm._start)))</f>
        <v>W</v>
      </c>
      <c r="N3" s="12">
        <f ca="1">IF($I3="","",SUM(INDIRECT("'"&amp;$I3&amp;"'!"&amp;$M3&amp;":"&amp;$M3)))</f>
        <v>0</v>
      </c>
      <c r="O3" s="12" cm="1">
        <f t="array" aca="1" ref="O3" ca="1">CreateID($O$2,$O:$O,AND($N3&lt;&gt;0,$N3&lt;&gt;""))</f>
        <v>0</v>
      </c>
      <c r="P3" s="12" t="str">
        <f ca="1">IF($B3="","",RIGHT($B3,LEN($B3)-FIND("$",SUBSTITUTE($B3,"$","§",1))))</f>
        <v>3</v>
      </c>
      <c r="Q3" s="12" t="str">
        <f ca="1">IF($I3="","",_xlfn.LET(
_xlpm._in,F3,
_xlpm._start,FIND("$",_xlpm._in)+1,
MID(_xlpm._in,_xlpm._start,FIND("$",SUBSTITUTE(_xlpm._in,"$","§",1))-_xlpm._start)))</f>
        <v>A</v>
      </c>
    </row>
    <row r="4" spans="1:18" s="12" customFormat="1" hidden="1" x14ac:dyDescent="0.25">
      <c r="B4" s="12" t="str" cm="1">
        <f t="array" aca="1" ref="B4" ca="1">CELL("address",Mitigation!$O$2)</f>
        <v>'[2025-07-30_QuBA_libre.xlsx]Mitigation'!$O$2</v>
      </c>
      <c r="C4" s="12" t="str" cm="1">
        <f t="array" aca="1" ref="C4" ca="1">CELL("address",Mitigation!$Z$2)</f>
        <v>'[2025-07-30_QuBA_libre.xlsx]Mitigation'!$Z$2</v>
      </c>
      <c r="D4" s="12" t="str" cm="1">
        <f t="array" aca="1" ref="D4" ca="1">CELL("address",Mitigation!$AA$2)</f>
        <v>'[2025-07-30_QuBA_libre.xlsx]Mitigation'!$AA$2</v>
      </c>
      <c r="F4" s="12" t="str" cm="1">
        <f t="array" aca="1" ref="F4" ca="1">CELL("address",Mitigation!$A$2)</f>
        <v>'[2025-07-30_QuBA_libre.xlsx]Mitigation'!$A$2</v>
      </c>
      <c r="I4" s="12" t="str">
        <f ca="1">IF(B4="","",_xlfn.LET(
_xlpm._in,B4,
_xlpm._start,FIND("]",_xlpm._in)+1,
SUBSTITUTE(MID(_xlpm._in,_xlpm._start,FIND("!",_xlpm._in)-_xlpm._start),"'","")))</f>
        <v>Mitigation</v>
      </c>
      <c r="J4" s="57" t="str">
        <f t="shared" ca="1" si="0"/>
        <v>O</v>
      </c>
      <c r="K4" s="57" t="str">
        <f t="shared" ca="1" si="0"/>
        <v>Z</v>
      </c>
      <c r="L4" s="12">
        <f ca="1">IF($I4="","",MAX(INDIRECT("'"&amp;$I4&amp;"'!"&amp;$K4&amp;":"&amp;$K4)))</f>
        <v>0</v>
      </c>
      <c r="M4" s="57" t="str">
        <f ca="1">IF($I4="","",_xlfn.LET(
_xlpm._in,D4,
_xlpm._start,FIND("$",_xlpm._in)+1,
MID(_xlpm._in,_xlpm._start,FIND("$",SUBSTITUTE(_xlpm._in,"$","§",1))-_xlpm._start)))</f>
        <v>AA</v>
      </c>
      <c r="N4" s="57">
        <f ca="1">IF($I4="","",SUM(INDIRECT("'"&amp;$I4&amp;"'!"&amp;$M4&amp;":"&amp;$M4)))</f>
        <v>0</v>
      </c>
      <c r="O4" s="57" cm="1">
        <f t="array" aca="1" ref="O4" ca="1">CreateID($O$2,$O:$O,AND($N4&lt;&gt;0,$N4&lt;&gt;""))</f>
        <v>0</v>
      </c>
      <c r="P4" s="12" t="str">
        <f ca="1">IF($B4="","",RIGHT($B4,LEN($B4)-FIND("$",SUBSTITUTE($B4,"$","§",1))))</f>
        <v>2</v>
      </c>
      <c r="Q4" s="57" t="str">
        <f ca="1">IF($I4="","",_xlfn.LET(
_xlpm._in,F4,
_xlpm._start,FIND("$",_xlpm._in)+1,
MID(_xlpm._in,_xlpm._start,FIND("$",SUBSTITUTE(_xlpm._in,"$","§",1))-_xlpm._start)))</f>
        <v>A</v>
      </c>
      <c r="R4" s="57"/>
    </row>
    <row r="5" spans="1:18" s="12" customFormat="1" hidden="1" x14ac:dyDescent="0.25">
      <c r="B5" s="12" t="str" cm="1">
        <f t="array" aca="1" ref="B5" ca="1">CELL("address",'Risk Treatment'!$S$4)</f>
        <v>'[2025-07-30_QuBA_libre.xlsx]Risk Treatment'!$S$4</v>
      </c>
      <c r="C5" s="12" t="str" cm="1">
        <f t="array" aca="1" ref="C5" ca="1">CELL("address",'Risk Treatment'!$AH$4)</f>
        <v>'[2025-07-30_QuBA_libre.xlsx]Risk Treatment'!$AH$4</v>
      </c>
      <c r="D5" s="12" t="str" cm="1">
        <f t="array" aca="1" ref="D5" ca="1">CELL("address",'Risk Treatment'!$AI$4)</f>
        <v>'[2025-07-30_QuBA_libre.xlsx]Risk Treatment'!$AI$4</v>
      </c>
      <c r="F5" s="12" t="str" cm="1">
        <f t="array" aca="1" ref="F5" ca="1">CELL("address",'Risk Treatment'!$A$4)</f>
        <v>'[2025-07-30_QuBA_libre.xlsx]Risk Treatment'!$A$4</v>
      </c>
      <c r="I5" s="12" t="str">
        <f ca="1">IF(B5="","",_xlfn.LET(
_xlpm._in,B5,
_xlpm._start,FIND("]",_xlpm._in)+1,
SUBSTITUTE(MID(_xlpm._in,_xlpm._start,FIND("!",_xlpm._in)-_xlpm._start),"'","")))</f>
        <v>Risk Treatment</v>
      </c>
      <c r="J5" s="12" t="str">
        <f t="shared" ca="1" si="0"/>
        <v>S</v>
      </c>
      <c r="K5" s="12" t="str">
        <f t="shared" ca="1" si="0"/>
        <v>AH</v>
      </c>
      <c r="L5" s="12">
        <f ca="1">IF($I5="","",MAX(INDIRECT("'"&amp;$I5&amp;"'!"&amp;$K5&amp;":"&amp;$K5)))</f>
        <v>0</v>
      </c>
      <c r="M5" s="12" t="str">
        <f ca="1">IF($I5="","",_xlfn.LET(
_xlpm._in,D5,
_xlpm._start,FIND("$",_xlpm._in)+1,
MID(_xlpm._in,_xlpm._start,FIND("$",SUBSTITUTE(_xlpm._in,"$","§",1))-_xlpm._start)))</f>
        <v>AI</v>
      </c>
      <c r="N5" s="12">
        <f ca="1">IF($I5="","",SUM(INDIRECT("'"&amp;$I5&amp;"'!"&amp;$M5&amp;":"&amp;$M5)))</f>
        <v>0</v>
      </c>
      <c r="O5" s="12" cm="1">
        <f t="array" aca="1" ref="O5" ca="1">CreateID($O$2,$O:$O,AND($N5&lt;&gt;0,$N5&lt;&gt;""))</f>
        <v>0</v>
      </c>
      <c r="P5" s="12" t="str">
        <f ca="1">IF($B5="","",RIGHT($B5,LEN($B5)-FIND("$",SUBSTITUTE($B5,"$","§",1))))</f>
        <v>4</v>
      </c>
      <c r="Q5" s="12" t="str">
        <f ca="1">IF($I5="","",_xlfn.LET(
_xlpm._in,F5,
_xlpm._start,FIND("$",_xlpm._in)+1,
MID(_xlpm._in,_xlpm._start,FIND("$",SUBSTITUTE(_xlpm._in,"$","§",1))-_xlpm._start)))</f>
        <v>A</v>
      </c>
    </row>
    <row r="6" spans="1:18" s="12" customFormat="1" hidden="1" x14ac:dyDescent="0.25">
      <c r="B6" s="12" t="str" cm="1">
        <f t="array" aca="1" ref="B6" ca="1">CELL("address",'Risk Treatment'!$T$4)</f>
        <v>'[2025-07-30_QuBA_libre.xlsx]Risk Treatment'!$T$4</v>
      </c>
      <c r="C6" s="12" t="str" cm="1">
        <f t="array" aca="1" ref="C6" ca="1">CELL("address",'Risk Treatment'!$AJ$4)</f>
        <v>'[2025-07-30_QuBA_libre.xlsx]Risk Treatment'!$AJ$4</v>
      </c>
      <c r="D6" s="12" t="str" cm="1">
        <f t="array" aca="1" ref="D6" ca="1">CELL("address",'Risk Treatment'!$AK$4)</f>
        <v>'[2025-07-30_QuBA_libre.xlsx]Risk Treatment'!$AK$4</v>
      </c>
      <c r="F6" s="12" t="str" cm="1">
        <f t="array" aca="1" ref="F6" ca="1">CELL("address",'Risk Treatment'!$A$4)</f>
        <v>'[2025-07-30_QuBA_libre.xlsx]Risk Treatment'!$A$4</v>
      </c>
      <c r="I6" s="12" t="str">
        <f ca="1">IF(B6="","",_xlfn.LET(
_xlpm._in,B6,
_xlpm._start,FIND("]",_xlpm._in)+1,
SUBSTITUTE(MID(_xlpm._in,_xlpm._start,FIND("!",_xlpm._in)-_xlpm._start),"'","")))</f>
        <v>Risk Treatment</v>
      </c>
      <c r="J6" s="57" t="str">
        <f t="shared" ca="1" si="0"/>
        <v>T</v>
      </c>
      <c r="K6" s="57" t="str">
        <f t="shared" ca="1" si="0"/>
        <v>AJ</v>
      </c>
      <c r="L6" s="12">
        <f ca="1">IF($I6="","",MAX(INDIRECT("'"&amp;$I6&amp;"'!"&amp;$K6&amp;":"&amp;$K6)))</f>
        <v>0</v>
      </c>
      <c r="M6" s="57" t="str">
        <f ca="1">IF($I6="","",_xlfn.LET(
_xlpm._in,D6,
_xlpm._start,FIND("$",_xlpm._in)+1,
MID(_xlpm._in,_xlpm._start,FIND("$",SUBSTITUTE(_xlpm._in,"$","§",1))-_xlpm._start)))</f>
        <v>AK</v>
      </c>
      <c r="N6" s="57">
        <f ca="1">IF($I6="","",SUM(INDIRECT("'"&amp;$I6&amp;"'!"&amp;$M6&amp;":"&amp;$M6)))</f>
        <v>0</v>
      </c>
      <c r="O6" s="57" cm="1">
        <f t="array" aca="1" ref="O6" ca="1">CreateID($O$2,$O:$O,AND($N6&lt;&gt;0,$N6&lt;&gt;""))</f>
        <v>0</v>
      </c>
      <c r="P6" s="12" t="str">
        <f ca="1">IF($B6="","",RIGHT($B6,LEN($B6)-FIND("$",SUBSTITUTE($B6,"$","§",1))))</f>
        <v>4</v>
      </c>
      <c r="Q6" s="57" t="str">
        <f ca="1">IF($I6="","",_xlfn.LET(
_xlpm._in,F6,
_xlpm._start,FIND("$",_xlpm._in)+1,
MID(_xlpm._in,_xlpm._start,FIND("$",SUBSTITUTE(_xlpm._in,"$","§",1))-_xlpm._start)))</f>
        <v>A</v>
      </c>
      <c r="R6" s="57"/>
    </row>
    <row r="7" spans="1:18" s="12" customFormat="1" hidden="1" x14ac:dyDescent="0.25">
      <c r="I7" s="12" t="str">
        <f>IF(B7="","",_xlfn.LET(
_xlpm._in,B7,
_xlpm._start,FIND("]",_xlpm._in)+1,
SUBSTITUTE(MID(_xlpm._in,_xlpm._start,FIND("!",_xlpm._in)-_xlpm._start),"'","")))</f>
        <v/>
      </c>
      <c r="J7" s="57" t="str">
        <f t="shared" si="0"/>
        <v/>
      </c>
      <c r="K7" s="57" t="str">
        <f t="shared" si="0"/>
        <v/>
      </c>
      <c r="L7" s="12" t="str">
        <f ca="1">IF($I7="","",MAX(INDIRECT("'"&amp;$I7&amp;"'!"&amp;$K7&amp;":"&amp;$K7)))</f>
        <v/>
      </c>
      <c r="M7" s="57" t="str">
        <f>IF($I7="","",_xlfn.LET(
_xlpm._in,D7,
_xlpm._start,FIND("$",_xlpm._in)+1,
MID(_xlpm._in,_xlpm._start,FIND("$",SUBSTITUTE(_xlpm._in,"$","§",1))-_xlpm._start)))</f>
        <v/>
      </c>
      <c r="N7" s="57" t="str">
        <f ca="1">IF($I7="","",SUM(INDIRECT("'"&amp;$I7&amp;"'!"&amp;$M7&amp;":"&amp;$M7)))</f>
        <v/>
      </c>
      <c r="O7" s="57" cm="1">
        <f t="array" aca="1" ref="O7" ca="1">CreateID($O$2,$O:$O,AND($N7&lt;&gt;0,$N7&lt;&gt;""))</f>
        <v>0</v>
      </c>
      <c r="P7" s="12" t="str">
        <f>IF($B7="","",RIGHT($B7,LEN($B7)-FIND("$",SUBSTITUTE($B7,"$","§",1))))</f>
        <v/>
      </c>
      <c r="Q7" s="57" t="str">
        <f>IF($I7="","",_xlfn.LET(
_xlpm._in,F7,
_xlpm._start,FIND("$",_xlpm._in)+1,
MID(_xlpm._in,_xlpm._start,FIND("$",SUBSTITUTE(_xlpm._in,"$","§",1))-_xlpm._start)))</f>
        <v/>
      </c>
      <c r="R7" s="57"/>
    </row>
    <row r="8" spans="1:18" s="12" customFormat="1" ht="18.75" hidden="1" x14ac:dyDescent="0.3">
      <c r="B8" s="58" t="s">
        <v>687</v>
      </c>
    </row>
    <row r="9" spans="1:18" s="12" customFormat="1" hidden="1" x14ac:dyDescent="0.25">
      <c r="B9" s="11" t="s">
        <v>233</v>
      </c>
      <c r="C9" s="11" t="s">
        <v>667</v>
      </c>
      <c r="D9" s="11" t="s">
        <v>671</v>
      </c>
      <c r="E9" s="11"/>
      <c r="F9" s="11" t="s">
        <v>231</v>
      </c>
      <c r="G9" s="11"/>
      <c r="I9" s="12" t="s">
        <v>235</v>
      </c>
      <c r="J9" s="12" t="s">
        <v>238</v>
      </c>
      <c r="K9" s="12" t="s">
        <v>546</v>
      </c>
      <c r="L9" s="12" t="s">
        <v>668</v>
      </c>
      <c r="M9" s="12" t="s">
        <v>672</v>
      </c>
      <c r="N9" s="12" t="s">
        <v>673</v>
      </c>
      <c r="O9" s="12" t="s">
        <v>242</v>
      </c>
      <c r="P9" s="12" t="s">
        <v>248</v>
      </c>
      <c r="Q9" s="12" t="s">
        <v>683</v>
      </c>
    </row>
    <row r="10" spans="1:18" s="12" customFormat="1" hidden="1" x14ac:dyDescent="0.25">
      <c r="B10" s="12" t="str" cm="1">
        <f t="array" aca="1" ref="B10" ca="1">CELL("address",Questionnaire!$G$3)</f>
        <v>'[2025-07-30_QuBA_libre.xlsx]Questionnaire'!$G$3</v>
      </c>
      <c r="C10" s="12" t="str" cm="1">
        <f t="array" aca="1" ref="C10" ca="1">CELL("address",Questionnaire!$X$3)</f>
        <v>'[2025-07-30_QuBA_libre.xlsx]Questionnaire'!$X$3</v>
      </c>
      <c r="D10" s="12" t="str" cm="1">
        <f t="array" aca="1" ref="D10" ca="1">CELL("address",Questionnaire!$Y$3)</f>
        <v>'[2025-07-30_QuBA_libre.xlsx]Questionnaire'!$Y$3</v>
      </c>
      <c r="F10" s="12" t="str" cm="1">
        <f t="array" aca="1" ref="F10" ca="1">CELL("address",Questionnaire!$A$3)</f>
        <v>'[2025-07-30_QuBA_libre.xlsx]Questionnaire'!$A$3</v>
      </c>
      <c r="I10" s="12" t="str">
        <f ca="1">IF(B10="","",_xlfn.LET(
_xlpm._in,B10,
_xlpm._start,FIND("]",_xlpm._in)+1,
SUBSTITUTE(MID(_xlpm._in,_xlpm._start,FIND("!",_xlpm._in)-_xlpm._start),"'","")))</f>
        <v>Questionnaire</v>
      </c>
      <c r="J10" s="12" t="str">
        <f t="shared" ref="J10:K14" ca="1" si="1">IF($I10="","",_xlfn.LET(
_xlpm._in,B10,
_xlpm._start,FIND("$",_xlpm._in)+1,
MID(_xlpm._in,_xlpm._start,FIND("$",SUBSTITUTE(_xlpm._in,"$","§",1))-_xlpm._start)))</f>
        <v>G</v>
      </c>
      <c r="K10" s="12" t="str">
        <f t="shared" ca="1" si="1"/>
        <v>X</v>
      </c>
      <c r="L10" s="12">
        <f ca="1">IF($I10="","",MAX(INDIRECT("'"&amp;$I10&amp;"'!"&amp;$K10&amp;":"&amp;$K10)))</f>
        <v>0</v>
      </c>
      <c r="M10" s="12" t="str">
        <f ca="1">IF($I10="","",_xlfn.LET(
_xlpm._in,D10,
_xlpm._start,FIND("$",_xlpm._in)+1,
MID(_xlpm._in,_xlpm._start,FIND("$",SUBSTITUTE(_xlpm._in,"$","§",1))-_xlpm._start)))</f>
        <v>Y</v>
      </c>
      <c r="N10" s="12">
        <f ca="1">IF($I10="","",SUM(INDIRECT("'"&amp;$I10&amp;"'!"&amp;$M10&amp;":"&amp;$M10)))</f>
        <v>0</v>
      </c>
      <c r="O10" s="12" cm="1">
        <f t="array" aca="1" ref="O10" ca="1">CreateID($O$9,$O:$O,AND($N10&lt;&gt;0,$N10&lt;&gt;""))</f>
        <v>0</v>
      </c>
      <c r="P10" s="12" t="str">
        <f ca="1">IF($B10="","",RIGHT($B10,LEN($B10)-FIND("$",SUBSTITUTE($B10,"$","§",1))))</f>
        <v>3</v>
      </c>
      <c r="Q10" s="12" t="str">
        <f ca="1">IF($I10="","",_xlfn.LET(
_xlpm._in,F10,
_xlpm._start,FIND("$",_xlpm._in)+1,
MID(_xlpm._in,_xlpm._start,FIND("$",SUBSTITUTE(_xlpm._in,"$","§",1))-_xlpm._start)))</f>
        <v>A</v>
      </c>
    </row>
    <row r="11" spans="1:18" s="12" customFormat="1" hidden="1" x14ac:dyDescent="0.25">
      <c r="B11" s="12" t="str" cm="1">
        <f t="array" aca="1" ref="B11" ca="1">CELL("address",Mitigation!$O$2)</f>
        <v>'[2025-07-30_QuBA_libre.xlsx]Mitigation'!$O$2</v>
      </c>
      <c r="C11" s="12" t="str" cm="1">
        <f t="array" aca="1" ref="C11" ca="1">CELL("address",Mitigation!$AB$2)</f>
        <v>'[2025-07-30_QuBA_libre.xlsx]Mitigation'!$AB$2</v>
      </c>
      <c r="D11" s="12" t="str" cm="1">
        <f t="array" aca="1" ref="D11" ca="1">CELL("address",Mitigation!$AC$2)</f>
        <v>'[2025-07-30_QuBA_libre.xlsx]Mitigation'!$AC$2</v>
      </c>
      <c r="F11" s="12" t="str" cm="1">
        <f t="array" aca="1" ref="F11" ca="1">CELL("address",Mitigation!$A$2)</f>
        <v>'[2025-07-30_QuBA_libre.xlsx]Mitigation'!$A$2</v>
      </c>
      <c r="I11" s="12" t="str">
        <f ca="1">IF(B11="","",_xlfn.LET(
_xlpm._in,B11,
_xlpm._start,FIND("]",_xlpm._in)+1,
SUBSTITUTE(MID(_xlpm._in,_xlpm._start,FIND("!",_xlpm._in)-_xlpm._start),"'","")))</f>
        <v>Mitigation</v>
      </c>
      <c r="J11" s="12" t="str">
        <f t="shared" ca="1" si="1"/>
        <v>O</v>
      </c>
      <c r="K11" s="12" t="str">
        <f t="shared" ca="1" si="1"/>
        <v>AB</v>
      </c>
      <c r="L11" s="12">
        <f ca="1">IF($I11="","",MAX(INDIRECT("'"&amp;$I11&amp;"'!"&amp;$K11&amp;":"&amp;$K11)))</f>
        <v>0</v>
      </c>
      <c r="M11" s="12" t="str">
        <f ca="1">IF($I11="","",_xlfn.LET(
_xlpm._in,D11,
_xlpm._start,FIND("$",_xlpm._in)+1,
MID(_xlpm._in,_xlpm._start,FIND("$",SUBSTITUTE(_xlpm._in,"$","§",1))-_xlpm._start)))</f>
        <v>AC</v>
      </c>
      <c r="N11" s="12">
        <f ca="1">IF($I11="","",SUM(INDIRECT("'"&amp;$I11&amp;"'!"&amp;$M11&amp;":"&amp;$M11)))</f>
        <v>0</v>
      </c>
      <c r="O11" s="12" cm="1">
        <f t="array" aca="1" ref="O11" ca="1">CreateID($O$9,$O:$O,AND($N11&lt;&gt;0,$N11&lt;&gt;""))</f>
        <v>0</v>
      </c>
      <c r="P11" s="12" t="str">
        <f ca="1">IF($B11="","",RIGHT($B11,LEN($B11)-FIND("$",SUBSTITUTE($B11,"$","§",1))))</f>
        <v>2</v>
      </c>
      <c r="Q11" s="12" t="str">
        <f ca="1">IF($I11="","",_xlfn.LET(
_xlpm._in,F11,
_xlpm._start,FIND("$",_xlpm._in)+1,
MID(_xlpm._in,_xlpm._start,FIND("$",SUBSTITUTE(_xlpm._in,"$","§",1))-_xlpm._start)))</f>
        <v>A</v>
      </c>
    </row>
    <row r="12" spans="1:18" s="12" customFormat="1" hidden="1" x14ac:dyDescent="0.25">
      <c r="B12" s="12" t="str" cm="1">
        <f t="array" aca="1" ref="B12" ca="1">CELL("address",'Risk Treatment'!$S$4)</f>
        <v>'[2025-07-30_QuBA_libre.xlsx]Risk Treatment'!$S$4</v>
      </c>
      <c r="C12" s="12" t="str" cm="1">
        <f t="array" aca="1" ref="C12" ca="1">CELL("address",'Risk Treatment'!$AL$4)</f>
        <v>'[2025-07-30_QuBA_libre.xlsx]Risk Treatment'!$AL$4</v>
      </c>
      <c r="D12" s="12" t="str" cm="1">
        <f t="array" aca="1" ref="D12" ca="1">CELL("address",'Risk Treatment'!$AM$4)</f>
        <v>'[2025-07-30_QuBA_libre.xlsx]Risk Treatment'!$AM$4</v>
      </c>
      <c r="F12" s="12" t="str" cm="1">
        <f t="array" aca="1" ref="F12" ca="1">CELL("address",'Risk Treatment'!$A$4)</f>
        <v>'[2025-07-30_QuBA_libre.xlsx]Risk Treatment'!$A$4</v>
      </c>
      <c r="I12" s="12" t="str">
        <f ca="1">IF(B12="","",_xlfn.LET(
_xlpm._in,B12,
_xlpm._start,FIND("]",_xlpm._in)+1,
SUBSTITUTE(MID(_xlpm._in,_xlpm._start,FIND("!",_xlpm._in)-_xlpm._start),"'","")))</f>
        <v>Risk Treatment</v>
      </c>
      <c r="J12" s="12" t="str">
        <f t="shared" ca="1" si="1"/>
        <v>S</v>
      </c>
      <c r="K12" s="12" t="str">
        <f t="shared" ca="1" si="1"/>
        <v>AL</v>
      </c>
      <c r="L12" s="12">
        <f ca="1">IF($I12="","",MAX(INDIRECT("'"&amp;$I12&amp;"'!"&amp;$K12&amp;":"&amp;$K12)))</f>
        <v>0</v>
      </c>
      <c r="M12" s="12" t="str">
        <f ca="1">IF($I12="","",_xlfn.LET(
_xlpm._in,D12,
_xlpm._start,FIND("$",_xlpm._in)+1,
MID(_xlpm._in,_xlpm._start,FIND("$",SUBSTITUTE(_xlpm._in,"$","§",1))-_xlpm._start)))</f>
        <v>AM</v>
      </c>
      <c r="N12" s="12">
        <f ca="1">IF($I12="","",SUM(INDIRECT("'"&amp;$I12&amp;"'!"&amp;$M12&amp;":"&amp;$M12)))</f>
        <v>0</v>
      </c>
      <c r="O12" s="12" cm="1">
        <f t="array" aca="1" ref="O12" ca="1">CreateID($O$9,$O:$O,AND($N12&lt;&gt;0,$N12&lt;&gt;""))</f>
        <v>0</v>
      </c>
      <c r="P12" s="12" t="str">
        <f ca="1">IF($B12="","",RIGHT($B12,LEN($B12)-FIND("$",SUBSTITUTE($B12,"$","§",1))))</f>
        <v>4</v>
      </c>
      <c r="Q12" s="12" t="str">
        <f ca="1">IF($I12="","",_xlfn.LET(
_xlpm._in,F12,
_xlpm._start,FIND("$",_xlpm._in)+1,
MID(_xlpm._in,_xlpm._start,FIND("$",SUBSTITUTE(_xlpm._in,"$","§",1))-_xlpm._start)))</f>
        <v>A</v>
      </c>
    </row>
    <row r="13" spans="1:18" s="12" customFormat="1" hidden="1" x14ac:dyDescent="0.25">
      <c r="B13" s="12" t="str" cm="1">
        <f t="array" aca="1" ref="B13" ca="1">CELL("address",'Risk Treatment'!$T$4)</f>
        <v>'[2025-07-30_QuBA_libre.xlsx]Risk Treatment'!$T$4</v>
      </c>
      <c r="C13" s="12" t="str" cm="1">
        <f t="array" aca="1" ref="C13" ca="1">CELL("address",'Risk Treatment'!$AN$4)</f>
        <v>'[2025-07-30_QuBA_libre.xlsx]Risk Treatment'!$AN$4</v>
      </c>
      <c r="D13" s="12" t="str" cm="1">
        <f t="array" aca="1" ref="D13" ca="1">CELL("address",'Risk Treatment'!$AO$4)</f>
        <v>'[2025-07-30_QuBA_libre.xlsx]Risk Treatment'!$AO$4</v>
      </c>
      <c r="F13" s="12" t="str" cm="1">
        <f t="array" aca="1" ref="F13" ca="1">CELL("address",'Risk Treatment'!$A$4)</f>
        <v>'[2025-07-30_QuBA_libre.xlsx]Risk Treatment'!$A$4</v>
      </c>
      <c r="I13" s="12" t="str">
        <f ca="1">IF(B13="","",_xlfn.LET(
_xlpm._in,B13,
_xlpm._start,FIND("]",_xlpm._in)+1,
SUBSTITUTE(MID(_xlpm._in,_xlpm._start,FIND("!",_xlpm._in)-_xlpm._start),"'","")))</f>
        <v>Risk Treatment</v>
      </c>
      <c r="J13" s="12" t="str">
        <f t="shared" ca="1" si="1"/>
        <v>T</v>
      </c>
      <c r="K13" s="12" t="str">
        <f t="shared" ca="1" si="1"/>
        <v>AN</v>
      </c>
      <c r="L13" s="12">
        <f ca="1">IF($I13="","",MAX(INDIRECT("'"&amp;$I13&amp;"'!"&amp;$K13&amp;":"&amp;$K13)))</f>
        <v>0</v>
      </c>
      <c r="M13" s="12" t="str">
        <f ca="1">IF($I13="","",_xlfn.LET(
_xlpm._in,D13,
_xlpm._start,FIND("$",_xlpm._in)+1,
MID(_xlpm._in,_xlpm._start,FIND("$",SUBSTITUTE(_xlpm._in,"$","§",1))-_xlpm._start)))</f>
        <v>AO</v>
      </c>
      <c r="N13" s="12">
        <f ca="1">IF($I13="","",SUM(INDIRECT("'"&amp;$I13&amp;"'!"&amp;$M13&amp;":"&amp;$M13)))</f>
        <v>0</v>
      </c>
      <c r="O13" s="12" cm="1">
        <f t="array" aca="1" ref="O13" ca="1">CreateID($O$9,$O:$O,AND($N13&lt;&gt;0,$N13&lt;&gt;""))</f>
        <v>0</v>
      </c>
      <c r="P13" s="12" t="str">
        <f ca="1">IF($B13="","",RIGHT($B13,LEN($B13)-FIND("$",SUBSTITUTE($B13,"$","§",1))))</f>
        <v>4</v>
      </c>
      <c r="Q13" s="12" t="str">
        <f ca="1">IF($I13="","",_xlfn.LET(
_xlpm._in,F13,
_xlpm._start,FIND("$",_xlpm._in)+1,
MID(_xlpm._in,_xlpm._start,FIND("$",SUBSTITUTE(_xlpm._in,"$","§",1))-_xlpm._start)))</f>
        <v>A</v>
      </c>
    </row>
    <row r="14" spans="1:18" s="12" customFormat="1" hidden="1" x14ac:dyDescent="0.25">
      <c r="I14" s="12" t="str">
        <f>IF(B14="","",_xlfn.LET(
_xlpm._in,B14,
_xlpm._start,FIND("]",_xlpm._in)+1,
SUBSTITUTE(MID(_xlpm._in,_xlpm._start,FIND("!",_xlpm._in)-_xlpm._start),"'","")))</f>
        <v/>
      </c>
      <c r="J14" s="12" t="str">
        <f t="shared" si="1"/>
        <v/>
      </c>
      <c r="K14" s="12" t="str">
        <f t="shared" si="1"/>
        <v/>
      </c>
      <c r="L14" s="12" t="str">
        <f ca="1">IF($I14="","",MAX(INDIRECT("'"&amp;$I14&amp;"'!"&amp;$K14&amp;":"&amp;$K14)))</f>
        <v/>
      </c>
      <c r="M14" s="12" t="str">
        <f>IF($I14="","",_xlfn.LET(
_xlpm._in,D14,
_xlpm._start,FIND("$",_xlpm._in)+1,
MID(_xlpm._in,_xlpm._start,FIND("$",SUBSTITUTE(_xlpm._in,"$","§",1))-_xlpm._start)))</f>
        <v/>
      </c>
      <c r="N14" s="12" t="str">
        <f ca="1">IF($I14="","",SUM(INDIRECT("'"&amp;$I14&amp;"'!"&amp;$M14&amp;":"&amp;$M14)))</f>
        <v/>
      </c>
      <c r="O14" s="12" cm="1">
        <f t="array" aca="1" ref="O14" ca="1">CreateID($O$9,$O:$O,AND($N14&lt;&gt;0,$N14&lt;&gt;""))</f>
        <v>0</v>
      </c>
      <c r="P14" s="12" t="str">
        <f>IF($B14="","",RIGHT($B14,LEN($B14)-FIND("$",SUBSTITUTE($B14,"$","§",1))))</f>
        <v/>
      </c>
      <c r="Q14" s="12" t="str">
        <f>IF($I14="","",_xlfn.LET(
_xlpm._in,F14,
_xlpm._start,FIND("$",_xlpm._in)+1,
MID(_xlpm._in,_xlpm._start,FIND("$",SUBSTITUTE(_xlpm._in,"$","§",1))-_xlpm._start)))</f>
        <v/>
      </c>
    </row>
    <row r="15" spans="1:18" s="12" customFormat="1" hidden="1" x14ac:dyDescent="0.25"/>
    <row r="16" spans="1:18" s="115" customFormat="1" x14ac:dyDescent="0.25">
      <c r="A16" s="115" t="str" cm="1">
        <f t="array" aca="1" ref="A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HYPERLINK("#'"&amp;Helper!$G$2&amp;"'!"&amp;CHAR(CODE("A")+COLUMN(_xlpm._columnNameHeader)-1)&amp;_xlpm._entryOffset,Definitions!$AY$4)))(Helper!$G$15,A$17,README!$E:$E,README!$I$36,README!$B$36)</f>
        <v>◈</v>
      </c>
      <c r="B16" s="115" t="str" cm="1">
        <f t="array" aca="1" ref="B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HYPERLINK("#'"&amp;Helper!$G$2&amp;"'!"&amp;CHAR(CODE("A")+COLUMN(_xlpm._columnNameHeader)-1)&amp;_xlpm._entryOffset,Definitions!$AY$4)))(Helper!$G$15,B$17,README!$E:$E,README!$I$36,README!$B$36)</f>
        <v>◈</v>
      </c>
      <c r="C16" s="115" t="str" cm="1">
        <f t="array" aca="1" ref="C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HYPERLINK("#'"&amp;Helper!$G$2&amp;"'!"&amp;CHAR(CODE("A")+COLUMN(_xlpm._columnNameHeader)-1)&amp;_xlpm._entryOffset,Definitions!$AY$4)))(Helper!$G$15,C$17,README!$E:$E,README!$I$36,README!$B$36)</f>
        <v>◈</v>
      </c>
      <c r="D16" s="115" t="str" cm="1">
        <f t="array" aca="1" ref="D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HYPERLINK("#'"&amp;Helper!$G$2&amp;"'!"&amp;CHAR(CODE("A")+COLUMN(_xlpm._columnNameHeader)-1)&amp;_xlpm._entryOffset,Definitions!$AY$4)))(Helper!$G$15,D$17,README!$E:$E,README!$I$36,README!$B$36)</f>
        <v>◈</v>
      </c>
      <c r="E16" s="115" t="str" cm="1">
        <f t="array" aca="1" ref="E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HYPERLINK("#'"&amp;Helper!$G$2&amp;"'!"&amp;CHAR(CODE("A")+COLUMN(_xlpm._columnNameHeader)-1)&amp;_xlpm._entryOffset,Definitions!$AY$4)))(Helper!$G$15,E$17,README!$E:$E,README!$I$36,README!$B$36)</f>
        <v>◈</v>
      </c>
      <c r="F16" s="115" t="str" cm="1">
        <f t="array" aca="1" ref="F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HYPERLINK("#'"&amp;Helper!$G$2&amp;"'!"&amp;CHAR(CODE("A")+COLUMN(_xlpm._columnNameHeader)-1)&amp;_xlpm._entryOffset,Definitions!$AY$4)))(Helper!$G$15,F$17,README!$E:$E,README!$I$36,README!$B$36)</f>
        <v>◈</v>
      </c>
      <c r="G16" s="115" t="str" cm="1">
        <f t="array" aca="1" ref="G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HYPERLINK("#'"&amp;Helper!$G$2&amp;"'!"&amp;CHAR(CODE("A")+COLUMN(_xlpm._columnNameHeader)-1)&amp;_xlpm._entryOffset,Definitions!$AY$4)))(Helper!$G$15,G$17,README!$E:$E,README!$I$36,README!$B$36)</f>
        <v>◈</v>
      </c>
      <c r="H16" s="115" t="str" cm="1">
        <f t="array" aca="1" ref="H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HYPERLINK("#'"&amp;Helper!$G$2&amp;"'!"&amp;CHAR(CODE("A")+COLUMN(_xlpm._columnNameHeader)-1)&amp;_xlpm._entryOffset,Definitions!$AY$4)))(Helper!$G$15,H$17,README!$E:$E,README!$I$36,README!$B$36)</f>
        <v>◈</v>
      </c>
    </row>
    <row r="17" spans="1:36" x14ac:dyDescent="0.25">
      <c r="A17" s="16" t="s">
        <v>53</v>
      </c>
      <c r="B17" s="16" t="s">
        <v>217</v>
      </c>
      <c r="C17" s="16" t="s">
        <v>370</v>
      </c>
      <c r="D17" s="16" t="s">
        <v>713</v>
      </c>
      <c r="E17" s="13" t="s">
        <v>714</v>
      </c>
      <c r="F17" s="16" t="s">
        <v>701</v>
      </c>
      <c r="G17" s="16" t="s">
        <v>1715</v>
      </c>
      <c r="H17" s="16" t="s">
        <v>3</v>
      </c>
      <c r="I17" s="10" t="s">
        <v>54</v>
      </c>
      <c r="J17" s="10" t="s">
        <v>483</v>
      </c>
      <c r="K17" s="10" t="s">
        <v>104</v>
      </c>
      <c r="L17" s="10" t="s">
        <v>674</v>
      </c>
      <c r="M17" s="10" t="s">
        <v>676</v>
      </c>
      <c r="N17" s="10" t="s">
        <v>677</v>
      </c>
      <c r="O17" s="10" t="s">
        <v>678</v>
      </c>
      <c r="P17" s="10" t="s">
        <v>679</v>
      </c>
      <c r="Q17" s="10" t="s">
        <v>680</v>
      </c>
      <c r="R17" s="10" t="s">
        <v>1014</v>
      </c>
      <c r="S17" s="10" t="s">
        <v>681</v>
      </c>
      <c r="T17" s="10" t="s">
        <v>685</v>
      </c>
      <c r="U17" s="10" t="s">
        <v>682</v>
      </c>
      <c r="V17" s="10" t="s">
        <v>684</v>
      </c>
      <c r="W17" s="10" t="s">
        <v>700</v>
      </c>
      <c r="X17" s="10" t="s">
        <v>235</v>
      </c>
      <c r="Y17" s="10" t="s">
        <v>699</v>
      </c>
      <c r="Z17" s="10" t="s">
        <v>716</v>
      </c>
      <c r="AA17" s="10" t="s">
        <v>710</v>
      </c>
      <c r="AB17" s="10" t="s">
        <v>709</v>
      </c>
      <c r="AC17" s="10" t="s">
        <v>711</v>
      </c>
      <c r="AD17" s="10" t="s">
        <v>712</v>
      </c>
      <c r="AE17" s="10" t="s">
        <v>715</v>
      </c>
      <c r="AF17" s="10" t="s">
        <v>717</v>
      </c>
      <c r="AG17" s="10" t="s">
        <v>725</v>
      </c>
      <c r="AH17" s="10" t="s">
        <v>1476</v>
      </c>
      <c r="AI17" s="10" t="s">
        <v>617</v>
      </c>
      <c r="AJ17" s="10" t="s">
        <v>618</v>
      </c>
    </row>
    <row r="18" spans="1:36" ht="90" x14ac:dyDescent="0.25">
      <c r="A18" s="16" t="str">
        <f ca="1">_xlfn.LET(
_xlpm._isAssumption,$J18,
_xlpm._row,$K18,
_xlpm._numActiveAssumptions,Helper!$B$8,
_xlpm._numActiveCountermeasures,Helper!$B$9,
_xlpm._numAdditionalAssumptions,Helper!$B$10,
_xlpm._numAdditionalCountermeasures,Helper!$B$11,
IF(_xlpm._isAssumption,
IF(_xlpm._row&gt;_xlpm._numActiveAssumptions,
$V18&amp;"-A"&amp;$Q18,
INDEX(Assumptions!A:A,MATCH(_xlpm._row,Assumptions!$AG:$AG,0))),
IF(_xlpm._row&gt;_xlpm._numActiveCountermeasures+_xlpm._numAdditionalCountermeasures,"",
IF(_xlpm._row&gt;_xlpm._numActiveCountermeasures,
$V18&amp;"-C"&amp;$Q18,
INDEX(Countermeasures!$A:$A,MATCH(_xlpm._row,Countermeasures!$AI:$AI,0))))))</f>
        <v>A21</v>
      </c>
      <c r="B18" s="16" t="str" cm="1">
        <f t="array" aca="1" ref="B18" ca="1">IF($A18="","",
_xlfn.LET(
_xlpm._isAssumption,$J18,
_xlpm._isAdditionalElement,$L18,
IF(_xlpm._isAdditionalElement,
IF(_xlpm._isAssumption,
ParseElementsFromComment($U18,Definitions!$AR$4,Definitions!$AS$4,Definitions!$AR$6,$Q18),
ParseElementsFromComment($U18,Definitions!$AR$5,Definitions!$AS$5,Definitions!$AR$6,$Q18)),
 _xlfn.LET(_xlpm._value,IF($A18="","",IF($J18,SimpleLookup($A18,Assumptions!$A:$B),SimpleLookup($A18,Countermeasures!$A:$B))),IF(_xlpm._value="","",_xlpm._value)))))</f>
        <v>SDR 2.7 - Scope for customer-based attacks</v>
      </c>
      <c r="C18" s="16" t="str" cm="1">
        <f t="array" aca="1" ref="C18" ca="1">IF($A18="","",IF($J18,IFERROR(SimpleLookup($A18,Assumptions!$A:$E),""),Definitions!$AO$4))</f>
        <v>&lt;OEM name&gt;</v>
      </c>
      <c r="D18" s="36" t="str">
        <f t="shared" ref="D18:D49" ca="1" si="2">_xlfn.LET(
_xlpm._dividerTop,REPT(_xlfn.UNICHAR(9552),63)&amp;CHAR(10),
_xlpm._dividerHeader,CHAR(10)&amp;REPT(CHAR(150),84)&amp;CHAR(10),
_xlpm._relatedQuestions,IF($AA18="","",_xlpm._dividerTop&amp;"Comments of related questions / answers:"&amp;_xlpm._dividerHeader&amp;$AA18),
_xlpm._assignedToAttackSteps,IF($AB18="","",_xlpm._dividerTop&amp;"Assigned to attack steps:"&amp;_xlpm._dividerHeader&amp;$AB18),
_xlpm._definedInContextOfElement,IF($AC18="","",_xlpm._dividerTop&amp;"Defined in the context of:"&amp;_xlpm._dividerHeader&amp;$AC18),
_xlpm._dependantCountermeasures,IF($AD18="","",_xlpm._dividerTop&amp;"Dependency of countermeasures:"&amp;_xlpm._dividerHeader&amp;$AD18),
_xlpm._defaultElementText,IF($AF18="","",_xlpm._dividerTop&amp;"Default "&amp;IF($J18,"assumption","countermeasure")&amp;":"&amp;_xlpm._dividerHeader&amp;$AF18),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f>
        <v>═══════════════════════════════════════════════════════════════
Default assumption:
––––––––––––––––––––––––––––––––––––––––––––––––––––––––––––––––––––––––––––––––––––
If the customer conducts attacks, then only selected damages are in scope of the analysis.</v>
      </c>
      <c r="E18" s="13"/>
      <c r="F18" s="59" t="str">
        <f t="shared" ref="F18:F49" ca="1" si="3">IF(AND($E18&lt;&gt;"",$AE18=""),"Error: Unknown ID: "&amp;$E18,
IF($A18="","",HYPERLINK("#"&amp;IF($AE18="",$Z18,$AE18),"click me")))</f>
        <v>click me</v>
      </c>
      <c r="G18" s="122" t="str" cm="1">
        <f t="array" aca="1" ref="G18" ca="1">_xlfn.LET(_xlpm._val,IFERROR(SimpleLookup($A18,Countermeasures!$A:$R),IFERROR(SimpleLookup($A18,Assumptions!$A:$R),"")),IF(_xlpm._val="","",_xlpm._val))</f>
        <v/>
      </c>
      <c r="H18" s="16" t="str" cm="1">
        <f t="array" aca="1" ref="H18" ca="1">_xlfn.LET(_xlpm._value,IF($A18="","",IFERROR(IF($J18,SimpleLookup($A18,Assumptions!$A:$S),SimpleLookup($A18,Countermeasures!$A:$S)),"")),
IF(_xlpm._value="","",_xlpm._value))</f>
        <v>Removes damage scenarios not plausible when the customer acts as an attacker.
Note that safety-related aspects are not covered in this assumption, as people might wish to circumvent safety measures to "optimize" processes.</v>
      </c>
      <c r="I18" s="10" cm="1">
        <f t="array" aca="1" ref="I18" ca="1">IF(ROW()=ROW($I$17)+1,0,INDEX($I:$I,ROW()-1))+IF($A18="",0,1)</f>
        <v>1</v>
      </c>
      <c r="J18" s="10" t="b">
        <f ca="1">_xlfn.LET(_xlpm._row,ROW()-ROW($K$17),
_xlpm._numActiveAssumptions,Helper!$B$8,
_xlpm._numAdditionalAssumptions,SUM(Table24['# Elements]),
_xlpm._row&lt;=_xlpm._numActiveAssumptions+_xlpm._numAdditionalAssumptions)</f>
        <v>1</v>
      </c>
      <c r="K18" s="10">
        <f ca="1">_xlfn.LET(_xlpm._row,ROW()-ROW($K$17),
_xlpm._numActiveAssumptions,Helper!$B$8,
_xlpm._numAdditionalAssumptions,Helper!$B$10,
_xlpm._isAssumption,$J18,
_xlpm._elementID,IF(_xlpm._isAssumption,_xlpm._row,_xlpm._row-_xlpm._numActiveAssumptions-_xlpm._numAdditionalAssumptions),
_xlpm._elementID)</f>
        <v>1</v>
      </c>
      <c r="L18"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18" s="14" cm="1">
        <f t="array" aca="1" ref="M18" ca="1">IF($L18,
IF(ROW()=ROW($M$17)+1,1,INDEX($M:$M,ROW()-1)+IF(INDEX($T:$T,ROW()-1),1,0)),
1)</f>
        <v>1</v>
      </c>
      <c r="N18" s="14" t="str" cm="1">
        <f t="array" aca="1" ref="N18" ca="1">IF($L18=TRUE,
_xlfn.LET(
_xlpm._isAssumption,$J18,
_xlpm._indexRange,IF(_xlpm._isAssumption,Table24['# Elements],Table25['# Elements]),
_xlpm._lookupRow,$W18,
INDEX(_xlpm._indexRange,_xlpm._lookupRow)),
"")</f>
        <v/>
      </c>
      <c r="O18" s="20" t="str" cm="1">
        <f t="array" aca="1" ref="O18" ca="1">IF($N18="","",_xlfn.LET(
_xlpm._prevRow,ROW()-1,
IF(OR(INDEX($N:$N,_xlpm._prevRow)&lt;&gt;$N18,INDEX($M:$M,_xlpm._prevRow)&lt;&gt;$M18),
1,
INDEX($O:$O,_xlpm._prevRow)+IF(INDEX($S:$S,_xlpm._prevRow),1,0))))</f>
        <v/>
      </c>
      <c r="P18" s="20" t="str" cm="1">
        <f t="array" aca="1" ref="P18" ca="1">IF($O18="","",_xlfn.LET(
_xlpm._isAssumption,$J18,
_xlpm._sheetRow,$W18,
_xlpm._sheetName,$X18,
_xlpm._elementIDRange,IF(_xlpm._isAssumption,Table24[Element ID Column],Table25[Element ID Column]),
_xlpm._numberOfElementsRange,IF(_xlpm._isAssumption,Table24[Number of Elements Column],Table25[Number of Elements Column]),
SimpleLookup($O18,INDIRECT("'"&amp;_xlpm._sheetName&amp;"'!"&amp;INDEX(_xlpm._elementIDRange,_xlpm._sheetRow)&amp;":"&amp;INDEX(_xlpm._numberOfElementsRange,_xlpm._sheetRow)))))</f>
        <v/>
      </c>
      <c r="Q18" s="20" t="str" cm="1">
        <f t="array" aca="1" ref="Q18" ca="1">IF($O18="","",IF(OR(INDEX($O:$O,ROW()-1)&lt;&gt;$O18,INDEX($M:$M,ROW()-1)&lt;&gt;$M18),1,INDEX($Q:$Q,ROW()-1)+1))</f>
        <v/>
      </c>
      <c r="R18" s="20">
        <f t="shared" ref="R18:R49" ca="1" si="4">COUNTIFS(
OFFSET($L$17,1,0,ROW()-ROW($L$17),1),TRUE,
OFFSET($M$17,1,0,ROW()-ROW($M$17),1),$M18,
OFFSET($J$17,1,0,ROW()-ROW($J$17),1),$J18)</f>
        <v>0</v>
      </c>
      <c r="S18" s="20" t="str">
        <f t="shared" ref="S18:S49" ca="1" si="5">IF($L18,$P18=$Q18,"")</f>
        <v/>
      </c>
      <c r="T18" s="20" t="b">
        <f ca="1">_xlfn.LET(
_xlpm._isAssumption,$J18,
_xlpm._numberOfElementsRange,IF(_xlpm._isAssumption,Table24['# Elements],Table25['# Elements]),
_xlpm._sheetRow,$W18,
IF($L18,AND($S18,$R18=$N18),FALSE))</f>
        <v>0</v>
      </c>
      <c r="U18" s="20" t="str" cm="1">
        <f t="array" aca="1" ref="U18" ca="1">IF($L18,
_xlfn.LET(
_xlpm._elementID,$O18,
_xlpm._isAssumption,$J18,
_xlpm._sheetRow,$W18,
_xlpm._sheetName,$X18,
_xlpm._elementRow,$Y18,
_xlpm._resultColumnLetter,IF(_xlpm._isAssumption,INDEX(Table24[Comment Column],_xlpm._sheetRow),INDEX(Table25[Comment Column],_xlpm._sheetRow)),
INDEX(INDIRECT("'"&amp;_xlpm._sheetName&amp;"'!"&amp;_xlpm._resultColumnLetter&amp;":"&amp;_xlpm._resultColumnLetter),_xlpm._elementRow)),
"")</f>
        <v/>
      </c>
      <c r="V18" s="20" t="str" cm="1">
        <f t="array" aca="1" ref="V18" ca="1">IF($L18,
_xlfn.LET(
_xlpm._elementID,$O18,
_xlpm._isAssumption,$J18,
_xlpm._sheetRow,$W18,
_xlpm._sheetName,$X18,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18" s="20" t="str">
        <f ca="1">IF($L18=TRUE,
_xlfn.LET(
_xlpm._isAssumption,$J18,
_xlpm._searchRange,IF(_xlpm._isAssumption,Table24[Task Sheet Shadow ID],Table25[Task Sheet Shadow ID]),
MATCH($M18,_xlpm._searchRange,0)),
"")</f>
        <v/>
      </c>
      <c r="X18" s="20" t="str" cm="1">
        <f t="array" aca="1" ref="X18" ca="1">IF($L18,
_xlfn.LET(
_xlpm._isAssumption,$J18,
_xlpm._sheetRow,$W18,
IF(_xlpm._isAssumption,INDEX(Table24[Sheet Name],_xlpm._sheetRow),INDEX(Table25[Sheet Name],_xlpm._sheetRow))),
"")</f>
        <v/>
      </c>
      <c r="Y18" s="20" t="str" cm="1">
        <f t="array" aca="1" ref="Y18" ca="1">IF($L18,
_xlfn.LET(
_xlpm._elementID,$O18,
_xlpm._isAssumption,$J18,
_xlpm._sheetRow,$W18,
_xlpm._sheetName,$X18,
_xlpm._elementIDColumnLetter,IF(_xlpm._isAssumption,INDEX(Table24[Element ID Column],_xlpm._sheetRow),INDEX(Table25[Element ID Column],_xlpm._sheetRow)),
MATCH(_xlpm._elementID,INDIRECT("'"&amp;_xlpm._sheetName&amp;"'!"&amp;_xlpm._elementIDColumnLetter&amp;":"&amp;_xlpm._elementIDColumnLetter),0)),
"")</f>
        <v/>
      </c>
      <c r="Z18" s="20" t="str" cm="1">
        <f t="array" aca="1" ref="Z18" ca="1">IF($A18="","",_xlfn.LET(
_xlpm._isAssumption,$J18,
_xlpm._isAdditionalElement,$L18,
_xlpm._sheetRow,$W18,
_xlpm._sheetName,$X18,
_xlpm._columnLetter,INDEX(IF(_xlpm._isAdditionalElement,Table24[Comment Column],Table25[Comment Column]),_xlpm._sheetRow),
_xlpm._sheetReference,IF(_xlpm._isAssumption,IF(_xlpm._isAdditionalElement,
CELL("address",INDEX(INDIRECT("'"&amp;_xlpm._sheetName&amp;"'!"&amp;_xlpm._columnLetter&amp;":"&amp;_xlpm._columnLetter),$Y18)),
CELL("address",INDEX(Assumptions!$A:$A,MATCH($A18,Assumptions!$A:$A,0),1))),
IF(_xlpm._isAdditionalElement,
CELL("address",INDEX(INDIRECT("'"&amp;_xlpm._sheetName&amp;"'!"&amp;_xlpm._columnLetter&amp;":"&amp;_xlpm._columnLetter),$Y18)),
CELL("address",INDEX(Countermeasures!$A:$A,MATCH($A18,Countermeasures!$A:$A,0),1)))),
_xlpm._start,FIND("]",_xlpm._sheetReference),
"'"&amp;SUBSTITUTE(SUBSTITUTE(RIGHT(_xlpm._sheetReference,LEN(_xlpm._sheetReference)-_xlpm._start),"'",""),"!","'!")))</f>
        <v>'Assumptions'!$A$24</v>
      </c>
      <c r="AA18" s="20" t="str" cm="1">
        <f t="array" aca="1" ref="AA18" ca="1">IF(NOT($L18),
_xlfn.LET(_xlpm._value,IF($A18="","",IF($J18,SimpleLookup($A18,Assumptions!$A:$AK),SimpleLookup($A18,Countermeasures!$A:$AN))),
IF(_xlpm._value="","",_xlpm._value)),
"")</f>
        <v/>
      </c>
      <c r="AB18" s="20" t="str" cm="1">
        <f t="array" aca="1" ref="AB18" ca="1">LookupNames(InverseLookup($A18,Mitigation!$AD$2,Mitigation!$A$2,1,Helper!$B$5,","),'Attack Steps'!$A:$B)</f>
        <v/>
      </c>
      <c r="AC18" s="20" t="str" cm="1">
        <f t="array" aca="1" ref="AC18" ca="1">IF($L18,
_xlfn.LET(
_xlpm._in,$A18,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18" s="20" t="str" cm="1">
        <f t="array" aca="1" ref="AD18" ca="1">_xlfn.LET(
_xlpm._countermeasures,InverseLookup($A18,Countermeasures!$AG$2,Countermeasures!$A$2,1,Helper!$B$4,","),
LookupNames(_xlpm._countermeasures,Countermeasures!$A:$B))</f>
        <v/>
      </c>
      <c r="AE18" s="20" t="str" cm="1">
        <f t="array" aca="1" ref="AE18" ca="1">IF($E18="","",_xlfn.LET(
_xlpm._id,$E18,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18" s="20" t="str" cm="1">
        <f t="array" aca="1" ref="AF18" ca="1">IF(OR($A18="",$L18),"",_xlfn.LET(
_xlpm._answers,IF($J18,SimpleLookup($A18,Assumptions!$A:$F),SimpleLookup($A18,Countermeasures!$A:$D)),
IF(_xlpm._answers="*",IF($J18,SimpleLookup($A18,Assumptions!$A:$C),SimpleLookup($A18,Countermeasures!$A:$C)),"")))</f>
        <v>If the customer conducts attacks, then only selected damages are in scope of the analysis.</v>
      </c>
      <c r="AG18" s="20" t="str" cm="1">
        <f t="array" aca="1" ref="AG18" ca="1">IF(NOT($L18),"",_xlfn.LET(
_xlpm._mappedInMitigation,IFERROR(VLOOKUP($V18,'Attack Steps'!$A:$O,COLUMNS('Attack Steps'!$A:$O),FALSE),""),
CreateSearchString(_xlpm._mappedInMitigation)))</f>
        <v/>
      </c>
      <c r="AH18" s="20" t="b">
        <f ca="1">ROW()-ROW($AH$17)=Helper!$B$15</f>
        <v>0</v>
      </c>
      <c r="AI18" s="20" t="str">
        <f t="shared" ref="AI18:AI49" ca="1" si="6">IF(IFERROR(MATCH(TRUE,$AH:$AH,0)&gt;0,FALSE),"",IF(OFFSET($AH18,1,0)="","Please enlarge the table!",""))</f>
        <v/>
      </c>
      <c r="AJ18" s="20" cm="1">
        <f t="array" aca="1" ref="AJ18" ca="1">CreateID($AJ$17,$AJ:$AJ,$AI18&lt;&gt;"")</f>
        <v>0</v>
      </c>
    </row>
    <row r="19" spans="1:36" ht="60.75" x14ac:dyDescent="0.25">
      <c r="A19" s="16" t="str">
        <f ca="1">_xlfn.LET(
_xlpm._isAssumption,$J19,
_xlpm._row,$K19,
_xlpm._numActiveAssumptions,Helper!$B$8,
_xlpm._numActiveCountermeasures,Helper!$B$9,
_xlpm._numAdditionalAssumptions,Helper!$B$10,
_xlpm._numAdditionalCountermeasures,Helper!$B$11,
IF(_xlpm._isAssumption,
IF(_xlpm._row&gt;_xlpm._numActiveAssumptions,
$V19&amp;"-A"&amp;$Q19,
INDEX(Assumptions!A:A,MATCH(_xlpm._row,Assumptions!$AG:$AG,0))),
IF(_xlpm._row&gt;_xlpm._numActiveCountermeasures+_xlpm._numAdditionalCountermeasures,"",
IF(_xlpm._row&gt;_xlpm._numActiveCountermeasures,
$V19&amp;"-C"&amp;$Q19,
INDEX(Countermeasures!$A:$A,MATCH(_xlpm._row,Countermeasures!$AI:$AI,0))))))</f>
        <v>A30</v>
      </c>
      <c r="B19" s="16" t="str" cm="1">
        <f t="array" aca="1" ref="B19" ca="1">IF($A19="","",
_xlfn.LET(
_xlpm._isAssumption,$J19,
_xlpm._isAdditionalElement,$L19,
IF(_xlpm._isAdditionalElement,
IF(_xlpm._isAssumption,
ParseElementsFromComment($U19,Definitions!$AR$4,Definitions!$AS$4,Definitions!$AR$6,$Q19),
ParseElementsFromComment($U19,Definitions!$AR$5,Definitions!$AS$5,Definitions!$AR$6,$Q19)),
 _xlfn.LET(_xlpm._value,IF($A19="","",IF($J19,SimpleLookup($A19,Assumptions!$A:$B),SimpleLookup($A19,Countermeasures!$A:$B))),IF(_xlpm._value="","",_xlpm._value)))))</f>
        <v>SDR 1.19 - Physical destruction</v>
      </c>
      <c r="C19" s="16" t="str" cm="1">
        <f t="array" aca="1" ref="C19" ca="1">IF($A19="","",IF($J19,IFERROR(SimpleLookup($A19,Assumptions!$A:$E),""),Definitions!$AO$4))</f>
        <v>Other (see comment)</v>
      </c>
      <c r="D19" s="36" t="str">
        <f t="shared" ca="1" si="2"/>
        <v>═══════════════════════════════════════════════════════════════
Default assumption:
––––––––––––––––––––––––––––––––––––––––––––––––––––––––––––––––––––––––––––––––––––
Vandalism or other forms of physical destruction of the product are not in scope of this analysis.</v>
      </c>
      <c r="E19" s="13"/>
      <c r="F19" s="59" t="str">
        <f t="shared" ca="1" si="3"/>
        <v>click me</v>
      </c>
      <c r="G19" s="122" t="str" cm="1">
        <f t="array" aca="1" ref="G19" ca="1">_xlfn.LET(_xlpm._val,IFERROR(SimpleLookup($A19,Countermeasures!$A:$R),IFERROR(SimpleLookup($A19,Assumptions!$A:$R),"")),IF(_xlpm._val="","",_xlpm._val))</f>
        <v/>
      </c>
      <c r="H19" s="16" t="str" cm="1">
        <f t="array" aca="1" ref="H19" ca="1">_xlfn.LET(_xlpm._value,IF($A19="","",IFERROR(IF($J19,SimpleLookup($A19,Assumptions!$A:$S),SimpleLookup($A19,Countermeasures!$A:$S)),"")),
IF(_xlpm._value="","",_xlpm._value))</f>
        <v>Scope definition - physical vandalism cannot be managed by the product's cybersecurity, but must be handled by compensating countermeasures, such as physical access control or monitoring.</v>
      </c>
      <c r="I19" s="10" cm="1">
        <f t="array" aca="1" ref="I19" ca="1">IF(ROW()=ROW($I$17)+1,0,INDEX($I:$I,ROW()-1))+IF($A19="",0,1)</f>
        <v>2</v>
      </c>
      <c r="J19" s="10" t="b">
        <f ca="1">_xlfn.LET(_xlpm._row,ROW()-ROW($K$17),
_xlpm._numActiveAssumptions,Helper!$B$8,
_xlpm._numAdditionalAssumptions,SUM(Table24['# Elements]),
_xlpm._row&lt;=_xlpm._numActiveAssumptions+_xlpm._numAdditionalAssumptions)</f>
        <v>1</v>
      </c>
      <c r="K19" s="10">
        <f ca="1">_xlfn.LET(_xlpm._row,ROW()-ROW($K$17),
_xlpm._numActiveAssumptions,Helper!$B$8,
_xlpm._numAdditionalAssumptions,Helper!$B$10,
_xlpm._isAssumption,$J19,
_xlpm._elementID,IF(_xlpm._isAssumption,_xlpm._row,_xlpm._row-_xlpm._numActiveAssumptions-_xlpm._numAdditionalAssumptions),
_xlpm._elementID)</f>
        <v>2</v>
      </c>
      <c r="L19"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19" s="14" cm="1">
        <f t="array" aca="1" ref="M19" ca="1">IF($L19,
IF(ROW()=ROW($M$17)+1,1,INDEX($M:$M,ROW()-1)+IF(INDEX($T:$T,ROW()-1),1,0)),
1)</f>
        <v>1</v>
      </c>
      <c r="N19" s="14" t="str" cm="1">
        <f t="array" aca="1" ref="N19" ca="1">IF($L19=TRUE,
_xlfn.LET(
_xlpm._isAssumption,$J19,
_xlpm._indexRange,IF(_xlpm._isAssumption,Table24['# Elements],Table25['# Elements]),
_xlpm._lookupRow,$W19,
INDEX(_xlpm._indexRange,_xlpm._lookupRow)),
"")</f>
        <v/>
      </c>
      <c r="O19" s="20" t="str" cm="1">
        <f t="array" aca="1" ref="O19" ca="1">IF($N19="","",_xlfn.LET(
_xlpm._prevRow,ROW()-1,
IF(OR(INDEX($N:$N,_xlpm._prevRow)&lt;&gt;$N19,INDEX($M:$M,_xlpm._prevRow)&lt;&gt;$M19),
1,
INDEX($O:$O,_xlpm._prevRow)+IF(INDEX($S:$S,_xlpm._prevRow),1,0))))</f>
        <v/>
      </c>
      <c r="P19" s="20" t="str" cm="1">
        <f t="array" aca="1" ref="P19" ca="1">IF($O19="","",_xlfn.LET(
_xlpm._isAssumption,$J19,
_xlpm._sheetRow,$W19,
_xlpm._sheetName,$X19,
_xlpm._elementIDRange,IF(_xlpm._isAssumption,Table24[Element ID Column],Table25[Element ID Column]),
_xlpm._numberOfElementsRange,IF(_xlpm._isAssumption,Table24[Number of Elements Column],Table25[Number of Elements Column]),
SimpleLookup($O19,INDIRECT("'"&amp;_xlpm._sheetName&amp;"'!"&amp;INDEX(_xlpm._elementIDRange,_xlpm._sheetRow)&amp;":"&amp;INDEX(_xlpm._numberOfElementsRange,_xlpm._sheetRow)))))</f>
        <v/>
      </c>
      <c r="Q19" s="20" t="str" cm="1">
        <f t="array" aca="1" ref="Q19" ca="1">IF($O19="","",IF(OR(INDEX($O:$O,ROW()-1)&lt;&gt;$O19,INDEX($M:$M,ROW()-1)&lt;&gt;$M19),1,INDEX($Q:$Q,ROW()-1)+1))</f>
        <v/>
      </c>
      <c r="R19" s="20">
        <f t="shared" ca="1" si="4"/>
        <v>0</v>
      </c>
      <c r="S19" s="20" t="str">
        <f t="shared" ca="1" si="5"/>
        <v/>
      </c>
      <c r="T19" s="20" t="b">
        <f ca="1">_xlfn.LET(
_xlpm._isAssumption,$J19,
_xlpm._numberOfElementsRange,IF(_xlpm._isAssumption,Table24['# Elements],Table25['# Elements]),
_xlpm._sheetRow,$W19,
IF($L19,AND($S19,$R19=$N19),FALSE))</f>
        <v>0</v>
      </c>
      <c r="U19" s="20" t="str" cm="1">
        <f t="array" aca="1" ref="U19" ca="1">IF($L19,
_xlfn.LET(
_xlpm._elementID,$O19,
_xlpm._isAssumption,$J19,
_xlpm._sheetRow,$W19,
_xlpm._sheetName,$X19,
_xlpm._elementRow,$Y19,
_xlpm._resultColumnLetter,IF(_xlpm._isAssumption,INDEX(Table24[Comment Column],_xlpm._sheetRow),INDEX(Table25[Comment Column],_xlpm._sheetRow)),
INDEX(INDIRECT("'"&amp;_xlpm._sheetName&amp;"'!"&amp;_xlpm._resultColumnLetter&amp;":"&amp;_xlpm._resultColumnLetter),_xlpm._elementRow)),
"")</f>
        <v/>
      </c>
      <c r="V19" s="20" t="str" cm="1">
        <f t="array" aca="1" ref="V19" ca="1">IF($L19,
_xlfn.LET(
_xlpm._elementID,$O19,
_xlpm._isAssumption,$J19,
_xlpm._sheetRow,$W19,
_xlpm._sheetName,$X19,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19" s="20" t="str">
        <f ca="1">IF($L19=TRUE,
_xlfn.LET(
_xlpm._isAssumption,$J19,
_xlpm._searchRange,IF(_xlpm._isAssumption,Table24[Task Sheet Shadow ID],Table25[Task Sheet Shadow ID]),
MATCH($M19,_xlpm._searchRange,0)),
"")</f>
        <v/>
      </c>
      <c r="X19" s="20" t="str" cm="1">
        <f t="array" aca="1" ref="X19" ca="1">IF($L19,
_xlfn.LET(
_xlpm._isAssumption,$J19,
_xlpm._sheetRow,$W19,
IF(_xlpm._isAssumption,INDEX(Table24[Sheet Name],_xlpm._sheetRow),INDEX(Table25[Sheet Name],_xlpm._sheetRow))),
"")</f>
        <v/>
      </c>
      <c r="Y19" s="20" t="str" cm="1">
        <f t="array" aca="1" ref="Y19" ca="1">IF($L19,
_xlfn.LET(
_xlpm._elementID,$O19,
_xlpm._isAssumption,$J19,
_xlpm._sheetRow,$W19,
_xlpm._sheetName,$X19,
_xlpm._elementIDColumnLetter,IF(_xlpm._isAssumption,INDEX(Table24[Element ID Column],_xlpm._sheetRow),INDEX(Table25[Element ID Column],_xlpm._sheetRow)),
MATCH(_xlpm._elementID,INDIRECT("'"&amp;_xlpm._sheetName&amp;"'!"&amp;_xlpm._elementIDColumnLetter&amp;":"&amp;_xlpm._elementIDColumnLetter),0)),
"")</f>
        <v/>
      </c>
      <c r="Z19" s="20" t="str" cm="1">
        <f t="array" aca="1" ref="Z19" ca="1">IF($A19="","",_xlfn.LET(
_xlpm._isAssumption,$J19,
_xlpm._isAdditionalElement,$L19,
_xlpm._sheetRow,$W19,
_xlpm._sheetName,$X19,
_xlpm._columnLetter,INDEX(IF(_xlpm._isAdditionalElement,Table24[Comment Column],Table25[Comment Column]),_xlpm._sheetRow),
_xlpm._sheetReference,IF(_xlpm._isAssumption,IF(_xlpm._isAdditionalElement,
CELL("address",INDEX(INDIRECT("'"&amp;_xlpm._sheetName&amp;"'!"&amp;_xlpm._columnLetter&amp;":"&amp;_xlpm._columnLetter),$Y19)),
CELL("address",INDEX(Assumptions!$A:$A,MATCH($A19,Assumptions!$A:$A,0),1))),
IF(_xlpm._isAdditionalElement,
CELL("address",INDEX(INDIRECT("'"&amp;_xlpm._sheetName&amp;"'!"&amp;_xlpm._columnLetter&amp;":"&amp;_xlpm._columnLetter),$Y19)),
CELL("address",INDEX(Countermeasures!$A:$A,MATCH($A19,Countermeasures!$A:$A,0),1)))),
_xlpm._start,FIND("]",_xlpm._sheetReference),
"'"&amp;SUBSTITUTE(SUBSTITUTE(RIGHT(_xlpm._sheetReference,LEN(_xlpm._sheetReference)-_xlpm._start),"'",""),"!","'!")))</f>
        <v>'Assumptions'!$A$33</v>
      </c>
      <c r="AA19" s="20" t="str" cm="1">
        <f t="array" aca="1" ref="AA19" ca="1">IF(NOT($L19),
_xlfn.LET(_xlpm._value,IF($A19="","",IF($J19,SimpleLookup($A19,Assumptions!$A:$AK),SimpleLookup($A19,Countermeasures!$A:$AN))),
IF(_xlpm._value="","",_xlpm._value)),
"")</f>
        <v/>
      </c>
      <c r="AB19" s="20" t="str" cm="1">
        <f t="array" aca="1" ref="AB19" ca="1">LookupNames(InverseLookup($A19,Mitigation!$AD$2,Mitigation!$A$2,1,Helper!$B$5,","),'Attack Steps'!$A:$B)</f>
        <v/>
      </c>
      <c r="AC19" s="20" t="str" cm="1">
        <f t="array" aca="1" ref="AC19" ca="1">IF($L19,
_xlfn.LET(
_xlpm._in,$A19,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19" s="20" t="str" cm="1">
        <f t="array" aca="1" ref="AD19" ca="1">_xlfn.LET(
_xlpm._countermeasures,InverseLookup($A19,Countermeasures!$AG$2,Countermeasures!$A$2,1,Helper!$B$4,","),
LookupNames(_xlpm._countermeasures,Countermeasures!$A:$B))</f>
        <v/>
      </c>
      <c r="AE19" s="20" t="str" cm="1">
        <f t="array" aca="1" ref="AE19" ca="1">IF($E19="","",_xlfn.LET(
_xlpm._id,$E19,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19" s="20" t="str" cm="1">
        <f t="array" aca="1" ref="AF19" ca="1">IF(OR($A19="",$L19),"",_xlfn.LET(
_xlpm._answers,IF($J19,SimpleLookup($A19,Assumptions!$A:$F),SimpleLookup($A19,Countermeasures!$A:$D)),
IF(_xlpm._answers="*",IF($J19,SimpleLookup($A19,Assumptions!$A:$C),SimpleLookup($A19,Countermeasures!$A:$C)),"")))</f>
        <v>Vandalism or other forms of physical destruction of the product are not in scope of this analysis.</v>
      </c>
      <c r="AG19" s="20" t="str" cm="1">
        <f t="array" aca="1" ref="AG19" ca="1">IF(NOT($L19),"",_xlfn.LET(
_xlpm._mappedInMitigation,IFERROR(VLOOKUP($V19,'Attack Steps'!$A:$O,COLUMNS('Attack Steps'!$A:$O),FALSE),""),
CreateSearchString(_xlpm._mappedInMitigation)))</f>
        <v/>
      </c>
      <c r="AH19" s="20" t="b">
        <f ca="1">ROW()-ROW($AH$17)=Helper!$B$15</f>
        <v>0</v>
      </c>
      <c r="AI19" s="20" t="str">
        <f t="shared" ca="1" si="6"/>
        <v/>
      </c>
      <c r="AJ19" s="20" cm="1">
        <f t="array" aca="1" ref="AJ19" ca="1">CreateID($AJ$17,$AJ:$AJ,$AI19&lt;&gt;"")</f>
        <v>0</v>
      </c>
    </row>
    <row r="20" spans="1:36" ht="48.75" x14ac:dyDescent="0.25">
      <c r="A20" s="16" t="str">
        <f ca="1">_xlfn.LET(
_xlpm._isAssumption,$J20,
_xlpm._row,$K20,
_xlpm._numActiveAssumptions,Helper!$B$8,
_xlpm._numActiveCountermeasures,Helper!$B$9,
_xlpm._numAdditionalAssumptions,Helper!$B$10,
_xlpm._numAdditionalCountermeasures,Helper!$B$11,
IF(_xlpm._isAssumption,
IF(_xlpm._row&gt;_xlpm._numActiveAssumptions,
$V20&amp;"-A"&amp;$Q20,
INDEX(Assumptions!A:A,MATCH(_xlpm._row,Assumptions!$AG:$AG,0))),
IF(_xlpm._row&gt;_xlpm._numActiveCountermeasures+_xlpm._numAdditionalCountermeasures,"",
IF(_xlpm._row&gt;_xlpm._numActiveCountermeasures,
$V20&amp;"-C"&amp;$Q20,
INDEX(Countermeasures!$A:$A,MATCH(_xlpm._row,Countermeasures!$AI:$AI,0))))))</f>
        <v>A31</v>
      </c>
      <c r="B20" s="16" t="str" cm="1">
        <f t="array" aca="1" ref="B20" ca="1">IF($A20="","",
_xlfn.LET(
_xlpm._isAssumption,$J20,
_xlpm._isAdditionalElement,$L20,
IF(_xlpm._isAdditionalElement,
IF(_xlpm._isAssumption,
ParseElementsFromComment($U20,Definitions!$AR$4,Definitions!$AS$4,Definitions!$AR$6,$Q20),
ParseElementsFromComment($U20,Definitions!$AR$5,Definitions!$AS$5,Definitions!$AR$6,$Q20)),
 _xlfn.LET(_xlpm._value,IF($A20="","",IF($J20,SimpleLookup($A20,Assumptions!$A:$B),SimpleLookup($A20,Countermeasures!$A:$B))),IF(_xlpm._value="","",_xlpm._value)))))</f>
        <v>SDR 1.5 - The product's availability is not relevant for safety</v>
      </c>
      <c r="C20" s="16" t="str" cm="1">
        <f t="array" aca="1" ref="C20" ca="1">IF($A20="","",IF($J20,IFERROR(SimpleLookup($A20,Assumptions!$A:$E),""),Definitions!$AO$4))</f>
        <v>Customer</v>
      </c>
      <c r="D20" s="36" t="str">
        <f t="shared" ca="1" si="2"/>
        <v xml:space="preserve">═══════════════════════════════════════════════════════════════
Comments of related questions / answers:
––––––––––––––––––––––––––––––––––––––––––––––––––––––––––––––––––––––––––––––––––––
QI6 </v>
      </c>
      <c r="E20" s="13"/>
      <c r="F20" s="59" t="str">
        <f t="shared" ca="1" si="3"/>
        <v>click me</v>
      </c>
      <c r="G20" s="122" t="str" cm="1">
        <f t="array" aca="1" ref="G20" ca="1">_xlfn.LET(_xlpm._val,IFERROR(SimpleLookup($A20,Countermeasures!$A:$R),IFERROR(SimpleLookup($A20,Assumptions!$A:$R),"")),IF(_xlpm._val="","",_xlpm._val))</f>
        <v/>
      </c>
      <c r="H20" s="16" t="str" cm="1">
        <f t="array" aca="1" ref="H20" ca="1">_xlfn.LET(_xlpm._value,IF($A20="","",IFERROR(IF($J20,SimpleLookup($A20,Assumptions!$A:$S),SimpleLookup($A20,Countermeasures!$A:$S)),"")),
IF(_xlpm._value="","",_xlpm._value))</f>
        <v/>
      </c>
      <c r="I20" s="10" cm="1">
        <f t="array" aca="1" ref="I20" ca="1">IF(ROW()=ROW($I$17)+1,0,INDEX($I:$I,ROW()-1))+IF($A20="",0,1)</f>
        <v>3</v>
      </c>
      <c r="J20" s="10" t="b">
        <f ca="1">_xlfn.LET(_xlpm._row,ROW()-ROW($K$17),
_xlpm._numActiveAssumptions,Helper!$B$8,
_xlpm._numAdditionalAssumptions,SUM(Table24['# Elements]),
_xlpm._row&lt;=_xlpm._numActiveAssumptions+_xlpm._numAdditionalAssumptions)</f>
        <v>1</v>
      </c>
      <c r="K20" s="10">
        <f ca="1">_xlfn.LET(_xlpm._row,ROW()-ROW($K$17),
_xlpm._numActiveAssumptions,Helper!$B$8,
_xlpm._numAdditionalAssumptions,Helper!$B$10,
_xlpm._isAssumption,$J20,
_xlpm._elementID,IF(_xlpm._isAssumption,_xlpm._row,_xlpm._row-_xlpm._numActiveAssumptions-_xlpm._numAdditionalAssumptions),
_xlpm._elementID)</f>
        <v>3</v>
      </c>
      <c r="L20"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20" s="14" cm="1">
        <f t="array" aca="1" ref="M20" ca="1">IF($L20,
IF(ROW()=ROW($M$17)+1,1,INDEX($M:$M,ROW()-1)+IF(INDEX($T:$T,ROW()-1),1,0)),
1)</f>
        <v>1</v>
      </c>
      <c r="N20" s="14" t="str" cm="1">
        <f t="array" aca="1" ref="N20" ca="1">IF($L20=TRUE,
_xlfn.LET(
_xlpm._isAssumption,$J20,
_xlpm._indexRange,IF(_xlpm._isAssumption,Table24['# Elements],Table25['# Elements]),
_xlpm._lookupRow,$W20,
INDEX(_xlpm._indexRange,_xlpm._lookupRow)),
"")</f>
        <v/>
      </c>
      <c r="O20" s="20" t="str" cm="1">
        <f t="array" aca="1" ref="O20" ca="1">IF($N20="","",_xlfn.LET(
_xlpm._prevRow,ROW()-1,
IF(OR(INDEX($N:$N,_xlpm._prevRow)&lt;&gt;$N20,INDEX($M:$M,_xlpm._prevRow)&lt;&gt;$M20),
1,
INDEX($O:$O,_xlpm._prevRow)+IF(INDEX($S:$S,_xlpm._prevRow),1,0))))</f>
        <v/>
      </c>
      <c r="P20" s="20" t="str" cm="1">
        <f t="array" aca="1" ref="P20" ca="1">IF($O20="","",_xlfn.LET(
_xlpm._isAssumption,$J20,
_xlpm._sheetRow,$W20,
_xlpm._sheetName,$X20,
_xlpm._elementIDRange,IF(_xlpm._isAssumption,Table24[Element ID Column],Table25[Element ID Column]),
_xlpm._numberOfElementsRange,IF(_xlpm._isAssumption,Table24[Number of Elements Column],Table25[Number of Elements Column]),
SimpleLookup($O20,INDIRECT("'"&amp;_xlpm._sheetName&amp;"'!"&amp;INDEX(_xlpm._elementIDRange,_xlpm._sheetRow)&amp;":"&amp;INDEX(_xlpm._numberOfElementsRange,_xlpm._sheetRow)))))</f>
        <v/>
      </c>
      <c r="Q20" s="20" t="str" cm="1">
        <f t="array" aca="1" ref="Q20" ca="1">IF($O20="","",IF(OR(INDEX($O:$O,ROW()-1)&lt;&gt;$O20,INDEX($M:$M,ROW()-1)&lt;&gt;$M20),1,INDEX($Q:$Q,ROW()-1)+1))</f>
        <v/>
      </c>
      <c r="R20" s="20">
        <f t="shared" ca="1" si="4"/>
        <v>0</v>
      </c>
      <c r="S20" s="20" t="str">
        <f t="shared" ca="1" si="5"/>
        <v/>
      </c>
      <c r="T20" s="20" t="b">
        <f ca="1">_xlfn.LET(
_xlpm._isAssumption,$J20,
_xlpm._numberOfElementsRange,IF(_xlpm._isAssumption,Table24['# Elements],Table25['# Elements]),
_xlpm._sheetRow,$W20,
IF($L20,AND($S20,$R20=$N20),FALSE))</f>
        <v>0</v>
      </c>
      <c r="U20" s="20" t="str" cm="1">
        <f t="array" aca="1" ref="U20" ca="1">IF($L20,
_xlfn.LET(
_xlpm._elementID,$O20,
_xlpm._isAssumption,$J20,
_xlpm._sheetRow,$W20,
_xlpm._sheetName,$X20,
_xlpm._elementRow,$Y20,
_xlpm._resultColumnLetter,IF(_xlpm._isAssumption,INDEX(Table24[Comment Column],_xlpm._sheetRow),INDEX(Table25[Comment Column],_xlpm._sheetRow)),
INDEX(INDIRECT("'"&amp;_xlpm._sheetName&amp;"'!"&amp;_xlpm._resultColumnLetter&amp;":"&amp;_xlpm._resultColumnLetter),_xlpm._elementRow)),
"")</f>
        <v/>
      </c>
      <c r="V20" s="20" t="str" cm="1">
        <f t="array" aca="1" ref="V20" ca="1">IF($L20,
_xlfn.LET(
_xlpm._elementID,$O20,
_xlpm._isAssumption,$J20,
_xlpm._sheetRow,$W20,
_xlpm._sheetName,$X20,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20" s="20" t="str">
        <f ca="1">IF($L20=TRUE,
_xlfn.LET(
_xlpm._isAssumption,$J20,
_xlpm._searchRange,IF(_xlpm._isAssumption,Table24[Task Sheet Shadow ID],Table25[Task Sheet Shadow ID]),
MATCH($M20,_xlpm._searchRange,0)),
"")</f>
        <v/>
      </c>
      <c r="X20" s="20" t="str" cm="1">
        <f t="array" aca="1" ref="X20" ca="1">IF($L20,
_xlfn.LET(
_xlpm._isAssumption,$J20,
_xlpm._sheetRow,$W20,
IF(_xlpm._isAssumption,INDEX(Table24[Sheet Name],_xlpm._sheetRow),INDEX(Table25[Sheet Name],_xlpm._sheetRow))),
"")</f>
        <v/>
      </c>
      <c r="Y20" s="20" t="str" cm="1">
        <f t="array" aca="1" ref="Y20" ca="1">IF($L20,
_xlfn.LET(
_xlpm._elementID,$O20,
_xlpm._isAssumption,$J20,
_xlpm._sheetRow,$W20,
_xlpm._sheetName,$X20,
_xlpm._elementIDColumnLetter,IF(_xlpm._isAssumption,INDEX(Table24[Element ID Column],_xlpm._sheetRow),INDEX(Table25[Element ID Column],_xlpm._sheetRow)),
MATCH(_xlpm._elementID,INDIRECT("'"&amp;_xlpm._sheetName&amp;"'!"&amp;_xlpm._elementIDColumnLetter&amp;":"&amp;_xlpm._elementIDColumnLetter),0)),
"")</f>
        <v/>
      </c>
      <c r="Z20" s="20" t="str" cm="1">
        <f t="array" aca="1" ref="Z20" ca="1">IF($A20="","",_xlfn.LET(
_xlpm._isAssumption,$J20,
_xlpm._isAdditionalElement,$L20,
_xlpm._sheetRow,$W20,
_xlpm._sheetName,$X20,
_xlpm._columnLetter,INDEX(IF(_xlpm._isAdditionalElement,Table24[Comment Column],Table25[Comment Column]),_xlpm._sheetRow),
_xlpm._sheetReference,IF(_xlpm._isAssumption,IF(_xlpm._isAdditionalElement,
CELL("address",INDEX(INDIRECT("'"&amp;_xlpm._sheetName&amp;"'!"&amp;_xlpm._columnLetter&amp;":"&amp;_xlpm._columnLetter),$Y20)),
CELL("address",INDEX(Assumptions!$A:$A,MATCH($A20,Assumptions!$A:$A,0),1))),
IF(_xlpm._isAdditionalElement,
CELL("address",INDEX(INDIRECT("'"&amp;_xlpm._sheetName&amp;"'!"&amp;_xlpm._columnLetter&amp;":"&amp;_xlpm._columnLetter),$Y20)),
CELL("address",INDEX(Countermeasures!$A:$A,MATCH($A20,Countermeasures!$A:$A,0),1)))),
_xlpm._start,FIND("]",_xlpm._sheetReference),
"'"&amp;SUBSTITUTE(SUBSTITUTE(RIGHT(_xlpm._sheetReference,LEN(_xlpm._sheetReference)-_xlpm._start),"'",""),"!","'!")))</f>
        <v>'Assumptions'!$A$34</v>
      </c>
      <c r="AA20" s="20" t="str" cm="1">
        <f t="array" aca="1" ref="AA20" ca="1">IF(NOT($L20),
_xlfn.LET(_xlpm._value,IF($A20="","",IF($J20,SimpleLookup($A20,Assumptions!$A:$AK),SimpleLookup($A20,Countermeasures!$A:$AN))),
IF(_xlpm._value="","",_xlpm._value)),
"")</f>
        <v xml:space="preserve">QI6 </v>
      </c>
      <c r="AB20" s="20" t="str" cm="1">
        <f t="array" aca="1" ref="AB20" ca="1">LookupNames(InverseLookup($A20,Mitigation!$AD$2,Mitigation!$A$2,1,Helper!$B$5,","),'Attack Steps'!$A:$B)</f>
        <v/>
      </c>
      <c r="AC20" s="20" t="str" cm="1">
        <f t="array" aca="1" ref="AC20" ca="1">IF($L20,
_xlfn.LET(
_xlpm._in,$A20,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20" s="20" t="str" cm="1">
        <f t="array" aca="1" ref="AD20" ca="1">_xlfn.LET(
_xlpm._countermeasures,InverseLookup($A20,Countermeasures!$AG$2,Countermeasures!$A$2,1,Helper!$B$4,","),
LookupNames(_xlpm._countermeasures,Countermeasures!$A:$B))</f>
        <v/>
      </c>
      <c r="AE20" s="20" t="str" cm="1">
        <f t="array" aca="1" ref="AE20" ca="1">IF($E20="","",_xlfn.LET(
_xlpm._id,$E20,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20" s="20" t="str" cm="1">
        <f t="array" aca="1" ref="AF20" ca="1">IF(OR($A20="",$L20),"",_xlfn.LET(
_xlpm._answers,IF($J20,SimpleLookup($A20,Assumptions!$A:$F),SimpleLookup($A20,Countermeasures!$A:$D)),
IF(_xlpm._answers="*",IF($J20,SimpleLookup($A20,Assumptions!$A:$C),SimpleLookup($A20,Countermeasures!$A:$C)),"")))</f>
        <v/>
      </c>
      <c r="AG20" s="20" t="str" cm="1">
        <f t="array" aca="1" ref="AG20" ca="1">IF(NOT($L20),"",_xlfn.LET(
_xlpm._mappedInMitigation,IFERROR(VLOOKUP($V20,'Attack Steps'!$A:$O,COLUMNS('Attack Steps'!$A:$O),FALSE),""),
CreateSearchString(_xlpm._mappedInMitigation)))</f>
        <v/>
      </c>
      <c r="AH20" s="20" t="b">
        <f ca="1">ROW()-ROW($AH$17)=Helper!$B$15</f>
        <v>0</v>
      </c>
      <c r="AI20" s="20" t="str">
        <f t="shared" ca="1" si="6"/>
        <v/>
      </c>
      <c r="AJ20" s="20" cm="1">
        <f t="array" aca="1" ref="AJ20" ca="1">CreateID($AJ$17,$AJ:$AJ,$AI20&lt;&gt;"")</f>
        <v>0</v>
      </c>
    </row>
    <row r="21" spans="1:36" ht="72.75" x14ac:dyDescent="0.25">
      <c r="A21" s="16" t="str">
        <f ca="1">_xlfn.LET(
_xlpm._isAssumption,$J21,
_xlpm._row,$K21,
_xlpm._numActiveAssumptions,Helper!$B$8,
_xlpm._numActiveCountermeasures,Helper!$B$9,
_xlpm._numAdditionalAssumptions,Helper!$B$10,
_xlpm._numAdditionalCountermeasures,Helper!$B$11,
IF(_xlpm._isAssumption,
IF(_xlpm._row&gt;_xlpm._numActiveAssumptions,
$V21&amp;"-A"&amp;$Q21,
INDEX(Assumptions!A:A,MATCH(_xlpm._row,Assumptions!$AG:$AG,0))),
IF(_xlpm._row&gt;_xlpm._numActiveCountermeasures+_xlpm._numAdditionalCountermeasures,"",
IF(_xlpm._row&gt;_xlpm._numActiveCountermeasures,
$V21&amp;"-C"&amp;$Q21,
INDEX(Countermeasures!$A:$A,MATCH(_xlpm._row,Countermeasures!$AI:$AI,0))))))</f>
        <v>A34</v>
      </c>
      <c r="B21" s="16" t="str" cm="1">
        <f t="array" aca="1" ref="B21" ca="1">IF($A21="","",
_xlfn.LET(
_xlpm._isAssumption,$J21,
_xlpm._isAdditionalElement,$L21,
IF(_xlpm._isAdditionalElement,
IF(_xlpm._isAssumption,
ParseElementsFromComment($U21,Definitions!$AR$4,Definitions!$AS$4,Definitions!$AR$6,$Q21),
ParseElementsFromComment($U21,Definitions!$AR$5,Definitions!$AS$5,Definitions!$AR$6,$Q21)),
 _xlfn.LET(_xlpm._value,IF($A21="","",IF($J21,SimpleLookup($A21,Assumptions!$A:$B),SimpleLookup($A21,Countermeasures!$A:$B))),IF(_xlpm._value="","",_xlpm._value)))))</f>
        <v>SDR 2.10 - The product is delivered with a secure by default configuration</v>
      </c>
      <c r="C21" s="16" t="str" cm="1">
        <f t="array" aca="1" ref="C21" ca="1">IF($A21="","",IF($J21,IFERROR(SimpleLookup($A21,Assumptions!$A:$E),""),Definitions!$AO$4))</f>
        <v>&lt;OEM name&gt;</v>
      </c>
      <c r="D21" s="36" t="str">
        <f t="shared" ca="1" si="2"/>
        <v>═══════════════════════════════════════════════════════════════
Default assumption:
––––––––––––––––––––––––––––––––––––––––––––––––––––––––––––––––––––––––––––––––––––
The product's configuration is secure by default. If user generated passwords are required, then the user is prompted to change the password on first use. The secure defaults are restored by a factory reset, if applicable.</v>
      </c>
      <c r="E21" s="13"/>
      <c r="F21" s="59" t="str">
        <f t="shared" ca="1" si="3"/>
        <v>click me</v>
      </c>
      <c r="G21" s="122" t="str" cm="1">
        <f t="array" aca="1" ref="G21" ca="1">_xlfn.LET(_xlpm._val,IFERROR(SimpleLookup($A21,Countermeasures!$A:$R),IFERROR(SimpleLookup($A21,Assumptions!$A:$R),"")),IF(_xlpm._val="","",_xlpm._val))</f>
        <v/>
      </c>
      <c r="H21" s="16" t="str" cm="1">
        <f t="array" aca="1" ref="H21" ca="1">_xlfn.LET(_xlpm._value,IF($A21="","",IFERROR(IF($J21,SimpleLookup($A21,Assumptions!$A:$S),SimpleLookup($A21,Countermeasures!$A:$S)),"")),
IF(_xlpm._value="","",_xlpm._value))</f>
        <v/>
      </c>
      <c r="I21" s="10" cm="1">
        <f t="array" aca="1" ref="I21" ca="1">IF(ROW()=ROW($I$17)+1,0,INDEX($I:$I,ROW()-1))+IF($A21="",0,1)</f>
        <v>4</v>
      </c>
      <c r="J21" s="10" t="b">
        <f ca="1">_xlfn.LET(_xlpm._row,ROW()-ROW($K$17),
_xlpm._numActiveAssumptions,Helper!$B$8,
_xlpm._numAdditionalAssumptions,SUM(Table24['# Elements]),
_xlpm._row&lt;=_xlpm._numActiveAssumptions+_xlpm._numAdditionalAssumptions)</f>
        <v>1</v>
      </c>
      <c r="K21" s="10">
        <f ca="1">_xlfn.LET(_xlpm._row,ROW()-ROW($K$17),
_xlpm._numActiveAssumptions,Helper!$B$8,
_xlpm._numAdditionalAssumptions,Helper!$B$10,
_xlpm._isAssumption,$J21,
_xlpm._elementID,IF(_xlpm._isAssumption,_xlpm._row,_xlpm._row-_xlpm._numActiveAssumptions-_xlpm._numAdditionalAssumptions),
_xlpm._elementID)</f>
        <v>4</v>
      </c>
      <c r="L21"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21" s="14" cm="1">
        <f t="array" aca="1" ref="M21" ca="1">IF($L21,
IF(ROW()=ROW($M$17)+1,1,INDEX($M:$M,ROW()-1)+IF(INDEX($T:$T,ROW()-1),1,0)),
1)</f>
        <v>1</v>
      </c>
      <c r="N21" s="14" t="str" cm="1">
        <f t="array" aca="1" ref="N21" ca="1">IF($L21=TRUE,
_xlfn.LET(
_xlpm._isAssumption,$J21,
_xlpm._indexRange,IF(_xlpm._isAssumption,Table24['# Elements],Table25['# Elements]),
_xlpm._lookupRow,$W21,
INDEX(_xlpm._indexRange,_xlpm._lookupRow)),
"")</f>
        <v/>
      </c>
      <c r="O21" s="20" t="str" cm="1">
        <f t="array" aca="1" ref="O21" ca="1">IF($N21="","",_xlfn.LET(
_xlpm._prevRow,ROW()-1,
IF(OR(INDEX($N:$N,_xlpm._prevRow)&lt;&gt;$N21,INDEX($M:$M,_xlpm._prevRow)&lt;&gt;$M21),
1,
INDEX($O:$O,_xlpm._prevRow)+IF(INDEX($S:$S,_xlpm._prevRow),1,0))))</f>
        <v/>
      </c>
      <c r="P21" s="20" t="str" cm="1">
        <f t="array" aca="1" ref="P21" ca="1">IF($O21="","",_xlfn.LET(
_xlpm._isAssumption,$J21,
_xlpm._sheetRow,$W21,
_xlpm._sheetName,$X21,
_xlpm._elementIDRange,IF(_xlpm._isAssumption,Table24[Element ID Column],Table25[Element ID Column]),
_xlpm._numberOfElementsRange,IF(_xlpm._isAssumption,Table24[Number of Elements Column],Table25[Number of Elements Column]),
SimpleLookup($O21,INDIRECT("'"&amp;_xlpm._sheetName&amp;"'!"&amp;INDEX(_xlpm._elementIDRange,_xlpm._sheetRow)&amp;":"&amp;INDEX(_xlpm._numberOfElementsRange,_xlpm._sheetRow)))))</f>
        <v/>
      </c>
      <c r="Q21" s="20" t="str" cm="1">
        <f t="array" aca="1" ref="Q21" ca="1">IF($O21="","",IF(OR(INDEX($O:$O,ROW()-1)&lt;&gt;$O21,INDEX($M:$M,ROW()-1)&lt;&gt;$M21),1,INDEX($Q:$Q,ROW()-1)+1))</f>
        <v/>
      </c>
      <c r="R21" s="20">
        <f t="shared" ca="1" si="4"/>
        <v>0</v>
      </c>
      <c r="S21" s="20" t="str">
        <f t="shared" ca="1" si="5"/>
        <v/>
      </c>
      <c r="T21" s="20" t="b">
        <f ca="1">_xlfn.LET(
_xlpm._isAssumption,$J21,
_xlpm._numberOfElementsRange,IF(_xlpm._isAssumption,Table24['# Elements],Table25['# Elements]),
_xlpm._sheetRow,$W21,
IF($L21,AND($S21,$R21=$N21),FALSE))</f>
        <v>0</v>
      </c>
      <c r="U21" s="20" t="str" cm="1">
        <f t="array" aca="1" ref="U21" ca="1">IF($L21,
_xlfn.LET(
_xlpm._elementID,$O21,
_xlpm._isAssumption,$J21,
_xlpm._sheetRow,$W21,
_xlpm._sheetName,$X21,
_xlpm._elementRow,$Y21,
_xlpm._resultColumnLetter,IF(_xlpm._isAssumption,INDEX(Table24[Comment Column],_xlpm._sheetRow),INDEX(Table25[Comment Column],_xlpm._sheetRow)),
INDEX(INDIRECT("'"&amp;_xlpm._sheetName&amp;"'!"&amp;_xlpm._resultColumnLetter&amp;":"&amp;_xlpm._resultColumnLetter),_xlpm._elementRow)),
"")</f>
        <v/>
      </c>
      <c r="V21" s="20" t="str" cm="1">
        <f t="array" aca="1" ref="V21" ca="1">IF($L21,
_xlfn.LET(
_xlpm._elementID,$O21,
_xlpm._isAssumption,$J21,
_xlpm._sheetRow,$W21,
_xlpm._sheetName,$X21,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21" s="20" t="str">
        <f ca="1">IF($L21=TRUE,
_xlfn.LET(
_xlpm._isAssumption,$J21,
_xlpm._searchRange,IF(_xlpm._isAssumption,Table24[Task Sheet Shadow ID],Table25[Task Sheet Shadow ID]),
MATCH($M21,_xlpm._searchRange,0)),
"")</f>
        <v/>
      </c>
      <c r="X21" s="20" t="str" cm="1">
        <f t="array" aca="1" ref="X21" ca="1">IF($L21,
_xlfn.LET(
_xlpm._isAssumption,$J21,
_xlpm._sheetRow,$W21,
IF(_xlpm._isAssumption,INDEX(Table24[Sheet Name],_xlpm._sheetRow),INDEX(Table25[Sheet Name],_xlpm._sheetRow))),
"")</f>
        <v/>
      </c>
      <c r="Y21" s="20" t="str" cm="1">
        <f t="array" aca="1" ref="Y21" ca="1">IF($L21,
_xlfn.LET(
_xlpm._elementID,$O21,
_xlpm._isAssumption,$J21,
_xlpm._sheetRow,$W21,
_xlpm._sheetName,$X21,
_xlpm._elementIDColumnLetter,IF(_xlpm._isAssumption,INDEX(Table24[Element ID Column],_xlpm._sheetRow),INDEX(Table25[Element ID Column],_xlpm._sheetRow)),
MATCH(_xlpm._elementID,INDIRECT("'"&amp;_xlpm._sheetName&amp;"'!"&amp;_xlpm._elementIDColumnLetter&amp;":"&amp;_xlpm._elementIDColumnLetter),0)),
"")</f>
        <v/>
      </c>
      <c r="Z21" s="20" t="str" cm="1">
        <f t="array" aca="1" ref="Z21" ca="1">IF($A21="","",_xlfn.LET(
_xlpm._isAssumption,$J21,
_xlpm._isAdditionalElement,$L21,
_xlpm._sheetRow,$W21,
_xlpm._sheetName,$X21,
_xlpm._columnLetter,INDEX(IF(_xlpm._isAdditionalElement,Table24[Comment Column],Table25[Comment Column]),_xlpm._sheetRow),
_xlpm._sheetReference,IF(_xlpm._isAssumption,IF(_xlpm._isAdditionalElement,
CELL("address",INDEX(INDIRECT("'"&amp;_xlpm._sheetName&amp;"'!"&amp;_xlpm._columnLetter&amp;":"&amp;_xlpm._columnLetter),$Y21)),
CELL("address",INDEX(Assumptions!$A:$A,MATCH($A21,Assumptions!$A:$A,0),1))),
IF(_xlpm._isAdditionalElement,
CELL("address",INDEX(INDIRECT("'"&amp;_xlpm._sheetName&amp;"'!"&amp;_xlpm._columnLetter&amp;":"&amp;_xlpm._columnLetter),$Y21)),
CELL("address",INDEX(Countermeasures!$A:$A,MATCH($A21,Countermeasures!$A:$A,0),1)))),
_xlpm._start,FIND("]",_xlpm._sheetReference),
"'"&amp;SUBSTITUTE(SUBSTITUTE(RIGHT(_xlpm._sheetReference,LEN(_xlpm._sheetReference)-_xlpm._start),"'",""),"!","'!")))</f>
        <v>'Assumptions'!$A$37</v>
      </c>
      <c r="AA21" s="20" t="str" cm="1">
        <f t="array" aca="1" ref="AA21" ca="1">IF(NOT($L21),
_xlfn.LET(_xlpm._value,IF($A21="","",IF($J21,SimpleLookup($A21,Assumptions!$A:$AK),SimpleLookup($A21,Countermeasures!$A:$AN))),
IF(_xlpm._value="","",_xlpm._value)),
"")</f>
        <v/>
      </c>
      <c r="AB21" s="20" t="str" cm="1">
        <f t="array" aca="1" ref="AB21" ca="1">LookupNames(InverseLookup($A21,Mitigation!$AD$2,Mitigation!$A$2,1,Helper!$B$5,","),'Attack Steps'!$A:$B)</f>
        <v/>
      </c>
      <c r="AC21" s="20" t="str" cm="1">
        <f t="array" aca="1" ref="AC21" ca="1">IF($L21,
_xlfn.LET(
_xlpm._in,$A21,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21" s="20" t="str" cm="1">
        <f t="array" aca="1" ref="AD21" ca="1">_xlfn.LET(
_xlpm._countermeasures,InverseLookup($A21,Countermeasures!$AG$2,Countermeasures!$A$2,1,Helper!$B$4,","),
LookupNames(_xlpm._countermeasures,Countermeasures!$A:$B))</f>
        <v/>
      </c>
      <c r="AE21" s="20" t="str" cm="1">
        <f t="array" aca="1" ref="AE21" ca="1">IF($E21="","",_xlfn.LET(
_xlpm._id,$E21,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21" s="20" t="str" cm="1">
        <f t="array" aca="1" ref="AF21" ca="1">IF(OR($A21="",$L21),"",_xlfn.LET(
_xlpm._answers,IF($J21,SimpleLookup($A21,Assumptions!$A:$F),SimpleLookup($A21,Countermeasures!$A:$D)),
IF(_xlpm._answers="*",IF($J21,SimpleLookup($A21,Assumptions!$A:$C),SimpleLookup($A21,Countermeasures!$A:$C)),"")))</f>
        <v>The product's configuration is secure by default. If user generated passwords are required, then the user is prompted to change the password on first use. The secure defaults are restored by a factory reset, if applicable.</v>
      </c>
      <c r="AG21" s="20" t="str" cm="1">
        <f t="array" aca="1" ref="AG21" ca="1">IF(NOT($L21),"",_xlfn.LET(
_xlpm._mappedInMitigation,IFERROR(VLOOKUP($V21,'Attack Steps'!$A:$O,COLUMNS('Attack Steps'!$A:$O),FALSE),""),
CreateSearchString(_xlpm._mappedInMitigation)))</f>
        <v/>
      </c>
      <c r="AH21" s="20" t="b">
        <f ca="1">ROW()-ROW($AH$17)=Helper!$B$15</f>
        <v>0</v>
      </c>
      <c r="AI21" s="20" t="str">
        <f t="shared" ca="1" si="6"/>
        <v/>
      </c>
      <c r="AJ21" s="20" cm="1">
        <f t="array" aca="1" ref="AJ21" ca="1">CreateID($AJ$17,$AJ:$AJ,$AI21&lt;&gt;"")</f>
        <v>0</v>
      </c>
    </row>
    <row r="22" spans="1:36" ht="75" x14ac:dyDescent="0.25">
      <c r="A22" s="16" t="str">
        <f ca="1">_xlfn.LET(
_xlpm._isAssumption,$J22,
_xlpm._row,$K22,
_xlpm._numActiveAssumptions,Helper!$B$8,
_xlpm._numActiveCountermeasures,Helper!$B$9,
_xlpm._numAdditionalAssumptions,Helper!$B$10,
_xlpm._numAdditionalCountermeasures,Helper!$B$11,
IF(_xlpm._isAssumption,
IF(_xlpm._row&gt;_xlpm._numActiveAssumptions,
$V22&amp;"-A"&amp;$Q22,
INDEX(Assumptions!A:A,MATCH(_xlpm._row,Assumptions!$AG:$AG,0))),
IF(_xlpm._row&gt;_xlpm._numActiveCountermeasures+_xlpm._numAdditionalCountermeasures,"",
IF(_xlpm._row&gt;_xlpm._numActiveCountermeasures,
$V22&amp;"-C"&amp;$Q22,
INDEX(Countermeasures!$A:$A,MATCH(_xlpm._row,Countermeasures!$AI:$AI,0))))))</f>
        <v>A38</v>
      </c>
      <c r="B22" s="16" t="str" cm="1">
        <f t="array" aca="1" ref="B22" ca="1">IF($A22="","",
_xlfn.LET(
_xlpm._isAssumption,$J22,
_xlpm._isAdditionalElement,$L22,
IF(_xlpm._isAdditionalElement,
IF(_xlpm._isAssumption,
ParseElementsFromComment($U22,Definitions!$AR$4,Definitions!$AS$4,Definitions!$AR$6,$Q22),
ParseElementsFromComment($U22,Definitions!$AR$5,Definitions!$AS$5,Definitions!$AR$6,$Q22)),
 _xlfn.LET(_xlpm._value,IF($A22="","",IF($J22,SimpleLookup($A22,Assumptions!$A:$B),SimpleLookup($A22,Countermeasures!$A:$B))),IF(_xlpm._value="","",_xlpm._value)))))</f>
        <v>SDR 1.20 - Least privilege for provided credentials</v>
      </c>
      <c r="C22" s="16" t="str" cm="1">
        <f t="array" aca="1" ref="C22" ca="1">IF($A22="","",IF($J22,IFERROR(SimpleLookup($A22,Assumptions!$A:$E),""),Definitions!$AO$4))</f>
        <v>Customer</v>
      </c>
      <c r="D22" s="36" t="str">
        <f t="shared" ca="1" si="2"/>
        <v xml:space="preserve">═══════════════════════════════════════════════════════════════
Comments of related questions / answers:
––––––––––––––––––––––––––––––––––––––––––––––––––––––––––––––––––––––––––––––––––––
QI5 </v>
      </c>
      <c r="E22" s="13"/>
      <c r="F22" s="59" t="str">
        <f t="shared" ca="1" si="3"/>
        <v>click me</v>
      </c>
      <c r="G22" s="122" t="str" cm="1">
        <f t="array" aca="1" ref="G22" ca="1">_xlfn.LET(_xlpm._val,IFERROR(SimpleLookup($A22,Countermeasures!$A:$R),IFERROR(SimpleLookup($A22,Assumptions!$A:$R),"")),IF(_xlpm._val="","",_xlpm._val))</f>
        <v/>
      </c>
      <c r="H22" s="16" t="str" cm="1">
        <f t="array" aca="1" ref="H22" ca="1">_xlfn.LET(_xlpm._value,IF($A22="","",IFERROR(IF($J22,SimpleLookup($A22,Assumptions!$A:$S),SimpleLookup($A22,Countermeasures!$A:$S)),"")),
IF(_xlpm._value="","",_xlpm._value))</f>
        <v>Note that the effects of this are modeled in countermeasure C3, as the product must offer the functionality to apply the principle of least privilege.
Note that a device with no credentials fulfills this requirement.</v>
      </c>
      <c r="I22" s="10" cm="1">
        <f t="array" aca="1" ref="I22" ca="1">IF(ROW()=ROW($I$17)+1,0,INDEX($I:$I,ROW()-1))+IF($A22="",0,1)</f>
        <v>5</v>
      </c>
      <c r="J22" s="10" t="b">
        <f ca="1">_xlfn.LET(_xlpm._row,ROW()-ROW($K$17),
_xlpm._numActiveAssumptions,Helper!$B$8,
_xlpm._numAdditionalAssumptions,SUM(Table24['# Elements]),
_xlpm._row&lt;=_xlpm._numActiveAssumptions+_xlpm._numAdditionalAssumptions)</f>
        <v>1</v>
      </c>
      <c r="K22" s="10">
        <f ca="1">_xlfn.LET(_xlpm._row,ROW()-ROW($K$17),
_xlpm._numActiveAssumptions,Helper!$B$8,
_xlpm._numAdditionalAssumptions,Helper!$B$10,
_xlpm._isAssumption,$J22,
_xlpm._elementID,IF(_xlpm._isAssumption,_xlpm._row,_xlpm._row-_xlpm._numActiveAssumptions-_xlpm._numAdditionalAssumptions),
_xlpm._elementID)</f>
        <v>5</v>
      </c>
      <c r="L22"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22" s="14" cm="1">
        <f t="array" aca="1" ref="M22" ca="1">IF($L22,
IF(ROW()=ROW($M$17)+1,1,INDEX($M:$M,ROW()-1)+IF(INDEX($T:$T,ROW()-1),1,0)),
1)</f>
        <v>1</v>
      </c>
      <c r="N22" s="14" t="str" cm="1">
        <f t="array" aca="1" ref="N22" ca="1">IF($L22=TRUE,
_xlfn.LET(
_xlpm._isAssumption,$J22,
_xlpm._indexRange,IF(_xlpm._isAssumption,Table24['# Elements],Table25['# Elements]),
_xlpm._lookupRow,$W22,
INDEX(_xlpm._indexRange,_xlpm._lookupRow)),
"")</f>
        <v/>
      </c>
      <c r="O22" s="20" t="str" cm="1">
        <f t="array" aca="1" ref="O22" ca="1">IF($N22="","",_xlfn.LET(
_xlpm._prevRow,ROW()-1,
IF(OR(INDEX($N:$N,_xlpm._prevRow)&lt;&gt;$N22,INDEX($M:$M,_xlpm._prevRow)&lt;&gt;$M22),
1,
INDEX($O:$O,_xlpm._prevRow)+IF(INDEX($S:$S,_xlpm._prevRow),1,0))))</f>
        <v/>
      </c>
      <c r="P22" s="20" t="str" cm="1">
        <f t="array" aca="1" ref="P22" ca="1">IF($O22="","",_xlfn.LET(
_xlpm._isAssumption,$J22,
_xlpm._sheetRow,$W22,
_xlpm._sheetName,$X22,
_xlpm._elementIDRange,IF(_xlpm._isAssumption,Table24[Element ID Column],Table25[Element ID Column]),
_xlpm._numberOfElementsRange,IF(_xlpm._isAssumption,Table24[Number of Elements Column],Table25[Number of Elements Column]),
SimpleLookup($O22,INDIRECT("'"&amp;_xlpm._sheetName&amp;"'!"&amp;INDEX(_xlpm._elementIDRange,_xlpm._sheetRow)&amp;":"&amp;INDEX(_xlpm._numberOfElementsRange,_xlpm._sheetRow)))))</f>
        <v/>
      </c>
      <c r="Q22" s="20" t="str" cm="1">
        <f t="array" aca="1" ref="Q22" ca="1">IF($O22="","",IF(OR(INDEX($O:$O,ROW()-1)&lt;&gt;$O22,INDEX($M:$M,ROW()-1)&lt;&gt;$M22),1,INDEX($Q:$Q,ROW()-1)+1))</f>
        <v/>
      </c>
      <c r="R22" s="20">
        <f t="shared" ca="1" si="4"/>
        <v>0</v>
      </c>
      <c r="S22" s="20" t="str">
        <f t="shared" ca="1" si="5"/>
        <v/>
      </c>
      <c r="T22" s="20" t="b">
        <f ca="1">_xlfn.LET(
_xlpm._isAssumption,$J22,
_xlpm._numberOfElementsRange,IF(_xlpm._isAssumption,Table24['# Elements],Table25['# Elements]),
_xlpm._sheetRow,$W22,
IF($L22,AND($S22,$R22=$N22),FALSE))</f>
        <v>0</v>
      </c>
      <c r="U22" s="20" t="str" cm="1">
        <f t="array" aca="1" ref="U22" ca="1">IF($L22,
_xlfn.LET(
_xlpm._elementID,$O22,
_xlpm._isAssumption,$J22,
_xlpm._sheetRow,$W22,
_xlpm._sheetName,$X22,
_xlpm._elementRow,$Y22,
_xlpm._resultColumnLetter,IF(_xlpm._isAssumption,INDEX(Table24[Comment Column],_xlpm._sheetRow),INDEX(Table25[Comment Column],_xlpm._sheetRow)),
INDEX(INDIRECT("'"&amp;_xlpm._sheetName&amp;"'!"&amp;_xlpm._resultColumnLetter&amp;":"&amp;_xlpm._resultColumnLetter),_xlpm._elementRow)),
"")</f>
        <v/>
      </c>
      <c r="V22" s="20" t="str" cm="1">
        <f t="array" aca="1" ref="V22" ca="1">IF($L22,
_xlfn.LET(
_xlpm._elementID,$O22,
_xlpm._isAssumption,$J22,
_xlpm._sheetRow,$W22,
_xlpm._sheetName,$X22,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22" s="20" t="str">
        <f ca="1">IF($L22=TRUE,
_xlfn.LET(
_xlpm._isAssumption,$J22,
_xlpm._searchRange,IF(_xlpm._isAssumption,Table24[Task Sheet Shadow ID],Table25[Task Sheet Shadow ID]),
MATCH($M22,_xlpm._searchRange,0)),
"")</f>
        <v/>
      </c>
      <c r="X22" s="20" t="str" cm="1">
        <f t="array" aca="1" ref="X22" ca="1">IF($L22,
_xlfn.LET(
_xlpm._isAssumption,$J22,
_xlpm._sheetRow,$W22,
IF(_xlpm._isAssumption,INDEX(Table24[Sheet Name],_xlpm._sheetRow),INDEX(Table25[Sheet Name],_xlpm._sheetRow))),
"")</f>
        <v/>
      </c>
      <c r="Y22" s="20" t="str" cm="1">
        <f t="array" aca="1" ref="Y22" ca="1">IF($L22,
_xlfn.LET(
_xlpm._elementID,$O22,
_xlpm._isAssumption,$J22,
_xlpm._sheetRow,$W22,
_xlpm._sheetName,$X22,
_xlpm._elementIDColumnLetter,IF(_xlpm._isAssumption,INDEX(Table24[Element ID Column],_xlpm._sheetRow),INDEX(Table25[Element ID Column],_xlpm._sheetRow)),
MATCH(_xlpm._elementID,INDIRECT("'"&amp;_xlpm._sheetName&amp;"'!"&amp;_xlpm._elementIDColumnLetter&amp;":"&amp;_xlpm._elementIDColumnLetter),0)),
"")</f>
        <v/>
      </c>
      <c r="Z22" s="20" t="str" cm="1">
        <f t="array" aca="1" ref="Z22" ca="1">IF($A22="","",_xlfn.LET(
_xlpm._isAssumption,$J22,
_xlpm._isAdditionalElement,$L22,
_xlpm._sheetRow,$W22,
_xlpm._sheetName,$X22,
_xlpm._columnLetter,INDEX(IF(_xlpm._isAdditionalElement,Table24[Comment Column],Table25[Comment Column]),_xlpm._sheetRow),
_xlpm._sheetReference,IF(_xlpm._isAssumption,IF(_xlpm._isAdditionalElement,
CELL("address",INDEX(INDIRECT("'"&amp;_xlpm._sheetName&amp;"'!"&amp;_xlpm._columnLetter&amp;":"&amp;_xlpm._columnLetter),$Y22)),
CELL("address",INDEX(Assumptions!$A:$A,MATCH($A22,Assumptions!$A:$A,0),1))),
IF(_xlpm._isAdditionalElement,
CELL("address",INDEX(INDIRECT("'"&amp;_xlpm._sheetName&amp;"'!"&amp;_xlpm._columnLetter&amp;":"&amp;_xlpm._columnLetter),$Y22)),
CELL("address",INDEX(Countermeasures!$A:$A,MATCH($A22,Countermeasures!$A:$A,0),1)))),
_xlpm._start,FIND("]",_xlpm._sheetReference),
"'"&amp;SUBSTITUTE(SUBSTITUTE(RIGHT(_xlpm._sheetReference,LEN(_xlpm._sheetReference)-_xlpm._start),"'",""),"!","'!")))</f>
        <v>'Assumptions'!$A$41</v>
      </c>
      <c r="AA22" s="20" t="str" cm="1">
        <f t="array" aca="1" ref="AA22" ca="1">IF(NOT($L22),
_xlfn.LET(_xlpm._value,IF($A22="","",IF($J22,SimpleLookup($A22,Assumptions!$A:$AK),SimpleLookup($A22,Countermeasures!$A:$AN))),
IF(_xlpm._value="","",_xlpm._value)),
"")</f>
        <v xml:space="preserve">QI5 </v>
      </c>
      <c r="AB22" s="20" t="str" cm="1">
        <f t="array" aca="1" ref="AB22" ca="1">LookupNames(InverseLookup($A22,Mitigation!$AD$2,Mitigation!$A$2,1,Helper!$B$5,","),'Attack Steps'!$A:$B)</f>
        <v/>
      </c>
      <c r="AC22" s="20" t="str" cm="1">
        <f t="array" aca="1" ref="AC22" ca="1">IF($L22,
_xlfn.LET(
_xlpm._in,$A22,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22" s="20" t="str" cm="1">
        <f t="array" aca="1" ref="AD22" ca="1">_xlfn.LET(
_xlpm._countermeasures,InverseLookup($A22,Countermeasures!$AG$2,Countermeasures!$A$2,1,Helper!$B$4,","),
LookupNames(_xlpm._countermeasures,Countermeasures!$A:$B))</f>
        <v/>
      </c>
      <c r="AE22" s="20" t="str" cm="1">
        <f t="array" aca="1" ref="AE22" ca="1">IF($E22="","",_xlfn.LET(
_xlpm._id,$E22,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22" s="20" t="str" cm="1">
        <f t="array" aca="1" ref="AF22" ca="1">IF(OR($A22="",$L22),"",_xlfn.LET(
_xlpm._answers,IF($J22,SimpleLookup($A22,Assumptions!$A:$F),SimpleLookup($A22,Countermeasures!$A:$D)),
IF(_xlpm._answers="*",IF($J22,SimpleLookup($A22,Assumptions!$A:$C),SimpleLookup($A22,Countermeasures!$A:$C)),"")))</f>
        <v/>
      </c>
      <c r="AG22" s="20" t="str" cm="1">
        <f t="array" aca="1" ref="AG22" ca="1">IF(NOT($L22),"",_xlfn.LET(
_xlpm._mappedInMitigation,IFERROR(VLOOKUP($V22,'Attack Steps'!$A:$O,COLUMNS('Attack Steps'!$A:$O),FALSE),""),
CreateSearchString(_xlpm._mappedInMitigation)))</f>
        <v/>
      </c>
      <c r="AH22" s="20" t="b">
        <f ca="1">ROW()-ROW($AH$17)=Helper!$B$15</f>
        <v>0</v>
      </c>
      <c r="AI22" s="20" t="str">
        <f t="shared" ca="1" si="6"/>
        <v/>
      </c>
      <c r="AJ22" s="20" cm="1">
        <f t="array" aca="1" ref="AJ22" ca="1">CreateID($AJ$17,$AJ:$AJ,$AI22&lt;&gt;"")</f>
        <v>0</v>
      </c>
    </row>
    <row r="23" spans="1:36" ht="48.75" x14ac:dyDescent="0.25">
      <c r="A23" s="16" t="str">
        <f ca="1">_xlfn.LET(
_xlpm._isAssumption,$J23,
_xlpm._row,$K23,
_xlpm._numActiveAssumptions,Helper!$B$8,
_xlpm._numActiveCountermeasures,Helper!$B$9,
_xlpm._numAdditionalAssumptions,Helper!$B$10,
_xlpm._numAdditionalCountermeasures,Helper!$B$11,
IF(_xlpm._isAssumption,
IF(_xlpm._row&gt;_xlpm._numActiveAssumptions,
$V23&amp;"-A"&amp;$Q23,
INDEX(Assumptions!A:A,MATCH(_xlpm._row,Assumptions!$AG:$AG,0))),
IF(_xlpm._row&gt;_xlpm._numActiveCountermeasures+_xlpm._numAdditionalCountermeasures,"",
IF(_xlpm._row&gt;_xlpm._numActiveCountermeasures,
$V23&amp;"-C"&amp;$Q23,
INDEX(Countermeasures!$A:$A,MATCH(_xlpm._row,Countermeasures!$AI:$AI,0))))))</f>
        <v>A43</v>
      </c>
      <c r="B23" s="16" t="str" cm="1">
        <f t="array" aca="1" ref="B23" ca="1">IF($A23="","",
_xlfn.LET(
_xlpm._isAssumption,$J23,
_xlpm._isAdditionalElement,$L23,
IF(_xlpm._isAdditionalElement,
IF(_xlpm._isAssumption,
ParseElementsFromComment($U23,Definitions!$AR$4,Definitions!$AS$4,Definitions!$AR$6,$Q23),
ParseElementsFromComment($U23,Definitions!$AR$5,Definitions!$AS$5,Definitions!$AR$6,$Q23)),
 _xlfn.LET(_xlpm._value,IF($A23="","",IF($J23,SimpleLookup($A23,Assumptions!$A:$B),SimpleLookup($A23,Countermeasures!$A:$B))),IF(_xlpm._value="","",_xlpm._value)))))</f>
        <v>SDR 1.17 - Sensing capabilities</v>
      </c>
      <c r="C23" s="16" t="str" cm="1">
        <f t="array" aca="1" ref="C23" ca="1">IF($A23="","",IF($J23,IFERROR(SimpleLookup($A23,Assumptions!$A:$E),""),Definitions!$AO$4))</f>
        <v>&lt;OEM name&gt;</v>
      </c>
      <c r="D23" s="36" t="str">
        <f t="shared" ca="1" si="2"/>
        <v>═══════════════════════════════════════════════════════════════
Default assumption:
––––––––––––––––––––––––––––––––––––––––––––––––––––––––––––––––––––––––––––––––––––
The customer buying the product can understand the sensing capabilities of the product.</v>
      </c>
      <c r="E23" s="13"/>
      <c r="F23" s="59" t="str">
        <f t="shared" ca="1" si="3"/>
        <v>click me</v>
      </c>
      <c r="G23" s="122" t="str" cm="1">
        <f t="array" aca="1" ref="G23" ca="1">_xlfn.LET(_xlpm._val,IFERROR(SimpleLookup($A23,Countermeasures!$A:$R),IFERROR(SimpleLookup($A23,Assumptions!$A:$R),"")),IF(_xlpm._val="","",_xlpm._val))</f>
        <v/>
      </c>
      <c r="H23" s="16" t="str" cm="1">
        <f t="array" aca="1" ref="H23" ca="1">_xlfn.LET(_xlpm._value,IF($A23="","",IFERROR(IF($J23,SimpleLookup($A23,Assumptions!$A:$S),SimpleLookup($A23,Countermeasures!$A:$S)),"")),
IF(_xlpm._value="","",_xlpm._value))</f>
        <v/>
      </c>
      <c r="I23" s="10" cm="1">
        <f t="array" aca="1" ref="I23" ca="1">IF(ROW()=ROW($I$17)+1,0,INDEX($I:$I,ROW()-1))+IF($A23="",0,1)</f>
        <v>6</v>
      </c>
      <c r="J23" s="10" t="b">
        <f ca="1">_xlfn.LET(_xlpm._row,ROW()-ROW($K$17),
_xlpm._numActiveAssumptions,Helper!$B$8,
_xlpm._numAdditionalAssumptions,SUM(Table24['# Elements]),
_xlpm._row&lt;=_xlpm._numActiveAssumptions+_xlpm._numAdditionalAssumptions)</f>
        <v>1</v>
      </c>
      <c r="K23" s="10">
        <f ca="1">_xlfn.LET(_xlpm._row,ROW()-ROW($K$17),
_xlpm._numActiveAssumptions,Helper!$B$8,
_xlpm._numAdditionalAssumptions,Helper!$B$10,
_xlpm._isAssumption,$J23,
_xlpm._elementID,IF(_xlpm._isAssumption,_xlpm._row,_xlpm._row-_xlpm._numActiveAssumptions-_xlpm._numAdditionalAssumptions),
_xlpm._elementID)</f>
        <v>6</v>
      </c>
      <c r="L23"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23" s="14" cm="1">
        <f t="array" aca="1" ref="M23" ca="1">IF($L23,
IF(ROW()=ROW($M$17)+1,1,INDEX($M:$M,ROW()-1)+IF(INDEX($T:$T,ROW()-1),1,0)),
1)</f>
        <v>1</v>
      </c>
      <c r="N23" s="14" t="str" cm="1">
        <f t="array" aca="1" ref="N23" ca="1">IF($L23=TRUE,
_xlfn.LET(
_xlpm._isAssumption,$J23,
_xlpm._indexRange,IF(_xlpm._isAssumption,Table24['# Elements],Table25['# Elements]),
_xlpm._lookupRow,$W23,
INDEX(_xlpm._indexRange,_xlpm._lookupRow)),
"")</f>
        <v/>
      </c>
      <c r="O23" s="20" t="str" cm="1">
        <f t="array" aca="1" ref="O23" ca="1">IF($N23="","",_xlfn.LET(
_xlpm._prevRow,ROW()-1,
IF(OR(INDEX($N:$N,_xlpm._prevRow)&lt;&gt;$N23,INDEX($M:$M,_xlpm._prevRow)&lt;&gt;$M23),
1,
INDEX($O:$O,_xlpm._prevRow)+IF(INDEX($S:$S,_xlpm._prevRow),1,0))))</f>
        <v/>
      </c>
      <c r="P23" s="20" t="str" cm="1">
        <f t="array" aca="1" ref="P23" ca="1">IF($O23="","",_xlfn.LET(
_xlpm._isAssumption,$J23,
_xlpm._sheetRow,$W23,
_xlpm._sheetName,$X23,
_xlpm._elementIDRange,IF(_xlpm._isAssumption,Table24[Element ID Column],Table25[Element ID Column]),
_xlpm._numberOfElementsRange,IF(_xlpm._isAssumption,Table24[Number of Elements Column],Table25[Number of Elements Column]),
SimpleLookup($O23,INDIRECT("'"&amp;_xlpm._sheetName&amp;"'!"&amp;INDEX(_xlpm._elementIDRange,_xlpm._sheetRow)&amp;":"&amp;INDEX(_xlpm._numberOfElementsRange,_xlpm._sheetRow)))))</f>
        <v/>
      </c>
      <c r="Q23" s="20" t="str" cm="1">
        <f t="array" aca="1" ref="Q23" ca="1">IF($O23="","",IF(OR(INDEX($O:$O,ROW()-1)&lt;&gt;$O23,INDEX($M:$M,ROW()-1)&lt;&gt;$M23),1,INDEX($Q:$Q,ROW()-1)+1))</f>
        <v/>
      </c>
      <c r="R23" s="20">
        <f t="shared" ca="1" si="4"/>
        <v>0</v>
      </c>
      <c r="S23" s="20" t="str">
        <f t="shared" ca="1" si="5"/>
        <v/>
      </c>
      <c r="T23" s="20" t="b">
        <f ca="1">_xlfn.LET(
_xlpm._isAssumption,$J23,
_xlpm._numberOfElementsRange,IF(_xlpm._isAssumption,Table24['# Elements],Table25['# Elements]),
_xlpm._sheetRow,$W23,
IF($L23,AND($S23,$R23=$N23),FALSE))</f>
        <v>0</v>
      </c>
      <c r="U23" s="20" t="str" cm="1">
        <f t="array" aca="1" ref="U23" ca="1">IF($L23,
_xlfn.LET(
_xlpm._elementID,$O23,
_xlpm._isAssumption,$J23,
_xlpm._sheetRow,$W23,
_xlpm._sheetName,$X23,
_xlpm._elementRow,$Y23,
_xlpm._resultColumnLetter,IF(_xlpm._isAssumption,INDEX(Table24[Comment Column],_xlpm._sheetRow),INDEX(Table25[Comment Column],_xlpm._sheetRow)),
INDEX(INDIRECT("'"&amp;_xlpm._sheetName&amp;"'!"&amp;_xlpm._resultColumnLetter&amp;":"&amp;_xlpm._resultColumnLetter),_xlpm._elementRow)),
"")</f>
        <v/>
      </c>
      <c r="V23" s="20" t="str" cm="1">
        <f t="array" aca="1" ref="V23" ca="1">IF($L23,
_xlfn.LET(
_xlpm._elementID,$O23,
_xlpm._isAssumption,$J23,
_xlpm._sheetRow,$W23,
_xlpm._sheetName,$X23,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23" s="20" t="str">
        <f ca="1">IF($L23=TRUE,
_xlfn.LET(
_xlpm._isAssumption,$J23,
_xlpm._searchRange,IF(_xlpm._isAssumption,Table24[Task Sheet Shadow ID],Table25[Task Sheet Shadow ID]),
MATCH($M23,_xlpm._searchRange,0)),
"")</f>
        <v/>
      </c>
      <c r="X23" s="20" t="str" cm="1">
        <f t="array" aca="1" ref="X23" ca="1">IF($L23,
_xlfn.LET(
_xlpm._isAssumption,$J23,
_xlpm._sheetRow,$W23,
IF(_xlpm._isAssumption,INDEX(Table24[Sheet Name],_xlpm._sheetRow),INDEX(Table25[Sheet Name],_xlpm._sheetRow))),
"")</f>
        <v/>
      </c>
      <c r="Y23" s="20" t="str" cm="1">
        <f t="array" aca="1" ref="Y23" ca="1">IF($L23,
_xlfn.LET(
_xlpm._elementID,$O23,
_xlpm._isAssumption,$J23,
_xlpm._sheetRow,$W23,
_xlpm._sheetName,$X23,
_xlpm._elementIDColumnLetter,IF(_xlpm._isAssumption,INDEX(Table24[Element ID Column],_xlpm._sheetRow),INDEX(Table25[Element ID Column],_xlpm._sheetRow)),
MATCH(_xlpm._elementID,INDIRECT("'"&amp;_xlpm._sheetName&amp;"'!"&amp;_xlpm._elementIDColumnLetter&amp;":"&amp;_xlpm._elementIDColumnLetter),0)),
"")</f>
        <v/>
      </c>
      <c r="Z23" s="20" t="str" cm="1">
        <f t="array" aca="1" ref="Z23" ca="1">IF($A23="","",_xlfn.LET(
_xlpm._isAssumption,$J23,
_xlpm._isAdditionalElement,$L23,
_xlpm._sheetRow,$W23,
_xlpm._sheetName,$X23,
_xlpm._columnLetter,INDEX(IF(_xlpm._isAdditionalElement,Table24[Comment Column],Table25[Comment Column]),_xlpm._sheetRow),
_xlpm._sheetReference,IF(_xlpm._isAssumption,IF(_xlpm._isAdditionalElement,
CELL("address",INDEX(INDIRECT("'"&amp;_xlpm._sheetName&amp;"'!"&amp;_xlpm._columnLetter&amp;":"&amp;_xlpm._columnLetter),$Y23)),
CELL("address",INDEX(Assumptions!$A:$A,MATCH($A23,Assumptions!$A:$A,0),1))),
IF(_xlpm._isAdditionalElement,
CELL("address",INDEX(INDIRECT("'"&amp;_xlpm._sheetName&amp;"'!"&amp;_xlpm._columnLetter&amp;":"&amp;_xlpm._columnLetter),$Y23)),
CELL("address",INDEX(Countermeasures!$A:$A,MATCH($A23,Countermeasures!$A:$A,0),1)))),
_xlpm._start,FIND("]",_xlpm._sheetReference),
"'"&amp;SUBSTITUTE(SUBSTITUTE(RIGHT(_xlpm._sheetReference,LEN(_xlpm._sheetReference)-_xlpm._start),"'",""),"!","'!")))</f>
        <v>'Assumptions'!$A$45</v>
      </c>
      <c r="AA23" s="20" t="str" cm="1">
        <f t="array" aca="1" ref="AA23" ca="1">IF(NOT($L23),
_xlfn.LET(_xlpm._value,IF($A23="","",IF($J23,SimpleLookup($A23,Assumptions!$A:$AK),SimpleLookup($A23,Countermeasures!$A:$AN))),
IF(_xlpm._value="","",_xlpm._value)),
"")</f>
        <v/>
      </c>
      <c r="AB23" s="20" t="str" cm="1">
        <f t="array" aca="1" ref="AB23" ca="1">LookupNames(InverseLookup($A23,Mitigation!$AD$2,Mitigation!$A$2,1,Helper!$B$5,","),'Attack Steps'!$A:$B)</f>
        <v/>
      </c>
      <c r="AC23" s="20" t="str" cm="1">
        <f t="array" aca="1" ref="AC23" ca="1">IF($L23,
_xlfn.LET(
_xlpm._in,$A23,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23" s="20" t="str" cm="1">
        <f t="array" aca="1" ref="AD23" ca="1">_xlfn.LET(
_xlpm._countermeasures,InverseLookup($A23,Countermeasures!$AG$2,Countermeasures!$A$2,1,Helper!$B$4,","),
LookupNames(_xlpm._countermeasures,Countermeasures!$A:$B))</f>
        <v/>
      </c>
      <c r="AE23" s="20" t="str" cm="1">
        <f t="array" aca="1" ref="AE23" ca="1">IF($E23="","",_xlfn.LET(
_xlpm._id,$E23,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23" s="20" t="str" cm="1">
        <f t="array" aca="1" ref="AF23" ca="1">IF(OR($A23="",$L23),"",_xlfn.LET(
_xlpm._answers,IF($J23,SimpleLookup($A23,Assumptions!$A:$F),SimpleLookup($A23,Countermeasures!$A:$D)),
IF(_xlpm._answers="*",IF($J23,SimpleLookup($A23,Assumptions!$A:$C),SimpleLookup($A23,Countermeasures!$A:$C)),"")))</f>
        <v>The customer buying the product can understand the sensing capabilities of the product.</v>
      </c>
      <c r="AG23" s="20" t="str" cm="1">
        <f t="array" aca="1" ref="AG23" ca="1">IF(NOT($L23),"",_xlfn.LET(
_xlpm._mappedInMitigation,IFERROR(VLOOKUP($V23,'Attack Steps'!$A:$O,COLUMNS('Attack Steps'!$A:$O),FALSE),""),
CreateSearchString(_xlpm._mappedInMitigation)))</f>
        <v/>
      </c>
      <c r="AH23" s="20" t="b">
        <f ca="1">ROW()-ROW($AH$17)=Helper!$B$15</f>
        <v>0</v>
      </c>
      <c r="AI23" s="20" t="str">
        <f t="shared" ca="1" si="6"/>
        <v/>
      </c>
      <c r="AJ23" s="20" cm="1">
        <f t="array" aca="1" ref="AJ23" ca="1">CreateID($AJ$17,$AJ:$AJ,$AI23&lt;&gt;"")</f>
        <v>0</v>
      </c>
    </row>
    <row r="24" spans="1:36" ht="48.75" x14ac:dyDescent="0.25">
      <c r="A24" s="16" t="str">
        <f ca="1">_xlfn.LET(
_xlpm._isAssumption,$J24,
_xlpm._row,$K24,
_xlpm._numActiveAssumptions,Helper!$B$8,
_xlpm._numActiveCountermeasures,Helper!$B$9,
_xlpm._numAdditionalAssumptions,Helper!$B$10,
_xlpm._numAdditionalCountermeasures,Helper!$B$11,
IF(_xlpm._isAssumption,
IF(_xlpm._row&gt;_xlpm._numActiveAssumptions,
$V24&amp;"-A"&amp;$Q24,
INDEX(Assumptions!A:A,MATCH(_xlpm._row,Assumptions!$AG:$AG,0))),
IF(_xlpm._row&gt;_xlpm._numActiveCountermeasures+_xlpm._numAdditionalCountermeasures,"",
IF(_xlpm._row&gt;_xlpm._numActiveCountermeasures,
$V24&amp;"-C"&amp;$Q24,
INDEX(Countermeasures!$A:$A,MATCH(_xlpm._row,Countermeasures!$AI:$AI,0))))))</f>
        <v>C0</v>
      </c>
      <c r="B24" s="16" t="str" cm="1">
        <f t="array" aca="1" ref="B24" ca="1">IF($A24="","",
_xlfn.LET(
_xlpm._isAssumption,$J24,
_xlpm._isAdditionalElement,$L24,
IF(_xlpm._isAdditionalElement,
IF(_xlpm._isAssumption,
ParseElementsFromComment($U24,Definitions!$AR$4,Definitions!$AS$4,Definitions!$AR$6,$Q24),
ParseElementsFromComment($U24,Definitions!$AR$5,Definitions!$AS$5,Definitions!$AR$6,$Q24)),
 _xlfn.LET(_xlpm._value,IF($A24="","",IF($J24,SimpleLookup($A24,Assumptions!$A:$B),SimpleLookup($A24,Countermeasures!$A:$B))),IF(_xlpm._value="","",_xlpm._value)))))</f>
        <v>CR 7.8 - Control system component inventory</v>
      </c>
      <c r="C24" s="16" t="str" cm="1">
        <f t="array" aca="1" ref="C24" ca="1">IF($A24="","",IF($J24,IFERROR(SimpleLookup($A24,Assumptions!$A:$E),""),Definitions!$AO$4))</f>
        <v>&lt;OEM name&gt;</v>
      </c>
      <c r="D24" s="36" t="str">
        <f t="shared" ca="1" si="2"/>
        <v>═══════════════════════════════════════════════════════════════
Default countermeasure:
––––––––––––––––––––––––––––––––––––––––––––––––––––––––––––––––––––––––––––––––––––
See IEC 62443</v>
      </c>
      <c r="E24" s="13"/>
      <c r="F24" s="59" t="str">
        <f t="shared" ca="1" si="3"/>
        <v>click me</v>
      </c>
      <c r="G24" s="122" t="str" cm="1">
        <f t="array" aca="1" ref="G24" ca="1">_xlfn.LET(_xlpm._val,IFERROR(SimpleLookup($A24,Countermeasures!$A:$R),IFERROR(SimpleLookup($A24,Assumptions!$A:$R),"")),IF(_xlpm._val="","",_xlpm._val))</f>
        <v/>
      </c>
      <c r="H24" s="16" t="str" cm="1">
        <f t="array" aca="1" ref="H24" ca="1">_xlfn.LET(_xlpm._value,IF($A24="","",IFERROR(IF($J24,SimpleLookup($A24,Assumptions!$A:$S),SimpleLookup($A24,Countermeasures!$A:$S)),"")),
IF(_xlpm._value="","",_xlpm._value))</f>
        <v/>
      </c>
      <c r="I24" s="10" cm="1">
        <f t="array" aca="1" ref="I24" ca="1">IF(ROW()=ROW($I$17)+1,0,INDEX($I:$I,ROW()-1))+IF($A24="",0,1)</f>
        <v>7</v>
      </c>
      <c r="J24" s="10" t="b">
        <f ca="1">_xlfn.LET(_xlpm._row,ROW()-ROW($K$17),
_xlpm._numActiveAssumptions,Helper!$B$8,
_xlpm._numAdditionalAssumptions,SUM(Table24['# Elements]),
_xlpm._row&lt;=_xlpm._numActiveAssumptions+_xlpm._numAdditionalAssumptions)</f>
        <v>0</v>
      </c>
      <c r="K24" s="10">
        <f ca="1">_xlfn.LET(_xlpm._row,ROW()-ROW($K$17),
_xlpm._numActiveAssumptions,Helper!$B$8,
_xlpm._numAdditionalAssumptions,Helper!$B$10,
_xlpm._isAssumption,$J24,
_xlpm._elementID,IF(_xlpm._isAssumption,_xlpm._row,_xlpm._row-_xlpm._numActiveAssumptions-_xlpm._numAdditionalAssumptions),
_xlpm._elementID)</f>
        <v>1</v>
      </c>
      <c r="L24"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24" s="14" cm="1">
        <f t="array" aca="1" ref="M24" ca="1">IF($L24,
IF(ROW()=ROW($M$17)+1,1,INDEX($M:$M,ROW()-1)+IF(INDEX($T:$T,ROW()-1),1,0)),
1)</f>
        <v>1</v>
      </c>
      <c r="N24" s="14" t="str" cm="1">
        <f t="array" aca="1" ref="N24" ca="1">IF($L24=TRUE,
_xlfn.LET(
_xlpm._isAssumption,$J24,
_xlpm._indexRange,IF(_xlpm._isAssumption,Table24['# Elements],Table25['# Elements]),
_xlpm._lookupRow,$W24,
INDEX(_xlpm._indexRange,_xlpm._lookupRow)),
"")</f>
        <v/>
      </c>
      <c r="O24" s="20" t="str" cm="1">
        <f t="array" aca="1" ref="O24" ca="1">IF($N24="","",_xlfn.LET(
_xlpm._prevRow,ROW()-1,
IF(OR(INDEX($N:$N,_xlpm._prevRow)&lt;&gt;$N24,INDEX($M:$M,_xlpm._prevRow)&lt;&gt;$M24),
1,
INDEX($O:$O,_xlpm._prevRow)+IF(INDEX($S:$S,_xlpm._prevRow),1,0))))</f>
        <v/>
      </c>
      <c r="P24" s="20" t="str" cm="1">
        <f t="array" aca="1" ref="P24" ca="1">IF($O24="","",_xlfn.LET(
_xlpm._isAssumption,$J24,
_xlpm._sheetRow,$W24,
_xlpm._sheetName,$X24,
_xlpm._elementIDRange,IF(_xlpm._isAssumption,Table24[Element ID Column],Table25[Element ID Column]),
_xlpm._numberOfElementsRange,IF(_xlpm._isAssumption,Table24[Number of Elements Column],Table25[Number of Elements Column]),
SimpleLookup($O24,INDIRECT("'"&amp;_xlpm._sheetName&amp;"'!"&amp;INDEX(_xlpm._elementIDRange,_xlpm._sheetRow)&amp;":"&amp;INDEX(_xlpm._numberOfElementsRange,_xlpm._sheetRow)))))</f>
        <v/>
      </c>
      <c r="Q24" s="20" t="str" cm="1">
        <f t="array" aca="1" ref="Q24" ca="1">IF($O24="","",IF(OR(INDEX($O:$O,ROW()-1)&lt;&gt;$O24,INDEX($M:$M,ROW()-1)&lt;&gt;$M24),1,INDEX($Q:$Q,ROW()-1)+1))</f>
        <v/>
      </c>
      <c r="R24" s="20">
        <f t="shared" ca="1" si="4"/>
        <v>0</v>
      </c>
      <c r="S24" s="20" t="str">
        <f t="shared" ca="1" si="5"/>
        <v/>
      </c>
      <c r="T24" s="20" t="b">
        <f ca="1">_xlfn.LET(
_xlpm._isAssumption,$J24,
_xlpm._numberOfElementsRange,IF(_xlpm._isAssumption,Table24['# Elements],Table25['# Elements]),
_xlpm._sheetRow,$W24,
IF($L24,AND($S24,$R24=$N24),FALSE))</f>
        <v>0</v>
      </c>
      <c r="U24" s="20" t="str" cm="1">
        <f t="array" aca="1" ref="U24" ca="1">IF($L24,
_xlfn.LET(
_xlpm._elementID,$O24,
_xlpm._isAssumption,$J24,
_xlpm._sheetRow,$W24,
_xlpm._sheetName,$X24,
_xlpm._elementRow,$Y24,
_xlpm._resultColumnLetter,IF(_xlpm._isAssumption,INDEX(Table24[Comment Column],_xlpm._sheetRow),INDEX(Table25[Comment Column],_xlpm._sheetRow)),
INDEX(INDIRECT("'"&amp;_xlpm._sheetName&amp;"'!"&amp;_xlpm._resultColumnLetter&amp;":"&amp;_xlpm._resultColumnLetter),_xlpm._elementRow)),
"")</f>
        <v/>
      </c>
      <c r="V24" s="20" t="str" cm="1">
        <f t="array" aca="1" ref="V24" ca="1">IF($L24,
_xlfn.LET(
_xlpm._elementID,$O24,
_xlpm._isAssumption,$J24,
_xlpm._sheetRow,$W24,
_xlpm._sheetName,$X24,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24" s="20" t="str">
        <f ca="1">IF($L24=TRUE,
_xlfn.LET(
_xlpm._isAssumption,$J24,
_xlpm._searchRange,IF(_xlpm._isAssumption,Table24[Task Sheet Shadow ID],Table25[Task Sheet Shadow ID]),
MATCH($M24,_xlpm._searchRange,0)),
"")</f>
        <v/>
      </c>
      <c r="X24" s="20" t="str" cm="1">
        <f t="array" aca="1" ref="X24" ca="1">IF($L24,
_xlfn.LET(
_xlpm._isAssumption,$J24,
_xlpm._sheetRow,$W24,
IF(_xlpm._isAssumption,INDEX(Table24[Sheet Name],_xlpm._sheetRow),INDEX(Table25[Sheet Name],_xlpm._sheetRow))),
"")</f>
        <v/>
      </c>
      <c r="Y24" s="20" t="str" cm="1">
        <f t="array" aca="1" ref="Y24" ca="1">IF($L24,
_xlfn.LET(
_xlpm._elementID,$O24,
_xlpm._isAssumption,$J24,
_xlpm._sheetRow,$W24,
_xlpm._sheetName,$X24,
_xlpm._elementIDColumnLetter,IF(_xlpm._isAssumption,INDEX(Table24[Element ID Column],_xlpm._sheetRow),INDEX(Table25[Element ID Column],_xlpm._sheetRow)),
MATCH(_xlpm._elementID,INDIRECT("'"&amp;_xlpm._sheetName&amp;"'!"&amp;_xlpm._elementIDColumnLetter&amp;":"&amp;_xlpm._elementIDColumnLetter),0)),
"")</f>
        <v/>
      </c>
      <c r="Z24" s="20" t="str" cm="1">
        <f t="array" aca="1" ref="Z24" ca="1">IF($A24="","",_xlfn.LET(
_xlpm._isAssumption,$J24,
_xlpm._isAdditionalElement,$L24,
_xlpm._sheetRow,$W24,
_xlpm._sheetName,$X24,
_xlpm._columnLetter,INDEX(IF(_xlpm._isAdditionalElement,Table24[Comment Column],Table25[Comment Column]),_xlpm._sheetRow),
_xlpm._sheetReference,IF(_xlpm._isAssumption,IF(_xlpm._isAdditionalElement,
CELL("address",INDEX(INDIRECT("'"&amp;_xlpm._sheetName&amp;"'!"&amp;_xlpm._columnLetter&amp;":"&amp;_xlpm._columnLetter),$Y24)),
CELL("address",INDEX(Assumptions!$A:$A,MATCH($A24,Assumptions!$A:$A,0),1))),
IF(_xlpm._isAdditionalElement,
CELL("address",INDEX(INDIRECT("'"&amp;_xlpm._sheetName&amp;"'!"&amp;_xlpm._columnLetter&amp;":"&amp;_xlpm._columnLetter),$Y24)),
CELL("address",INDEX(Countermeasures!$A:$A,MATCH($A24,Countermeasures!$A:$A,0),1)))),
_xlpm._start,FIND("]",_xlpm._sheetReference),
"'"&amp;SUBSTITUTE(SUBSTITUTE(RIGHT(_xlpm._sheetReference,LEN(_xlpm._sheetReference)-_xlpm._start),"'",""),"!","'!")))</f>
        <v>'Countermeasures'!$A$3</v>
      </c>
      <c r="AA24" s="20" t="str" cm="1">
        <f t="array" aca="1" ref="AA24" ca="1">IF(NOT($L24),
_xlfn.LET(_xlpm._value,IF($A24="","",IF($J24,SimpleLookup($A24,Assumptions!$A:$AK),SimpleLookup($A24,Countermeasures!$A:$AN))),
IF(_xlpm._value="","",_xlpm._value)),
"")</f>
        <v/>
      </c>
      <c r="AB24" s="20" t="str" cm="1">
        <f t="array" aca="1" ref="AB24" ca="1">LookupNames(InverseLookup($A24,Mitigation!$AD$2,Mitigation!$A$2,1,Helper!$B$5,","),'Attack Steps'!$A:$B)</f>
        <v/>
      </c>
      <c r="AC24" s="20" t="str" cm="1">
        <f t="array" aca="1" ref="AC24" ca="1">IF($L24,
_xlfn.LET(
_xlpm._in,$A24,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24" s="20" t="str" cm="1">
        <f t="array" aca="1" ref="AD24" ca="1">_xlfn.LET(
_xlpm._countermeasures,InverseLookup($A24,Countermeasures!$AG$2,Countermeasures!$A$2,1,Helper!$B$4,","),
LookupNames(_xlpm._countermeasures,Countermeasures!$A:$B))</f>
        <v/>
      </c>
      <c r="AE24" s="20" t="str" cm="1">
        <f t="array" aca="1" ref="AE24" ca="1">IF($E24="","",_xlfn.LET(
_xlpm._id,$E24,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24" s="20" t="str" cm="1">
        <f t="array" aca="1" ref="AF24" ca="1">IF(OR($A24="",$L24),"",_xlfn.LET(
_xlpm._answers,IF($J24,SimpleLookup($A24,Assumptions!$A:$F),SimpleLookup($A24,Countermeasures!$A:$D)),
IF(_xlpm._answers="*",IF($J24,SimpleLookup($A24,Assumptions!$A:$C),SimpleLookup($A24,Countermeasures!$A:$C)),"")))</f>
        <v>See IEC 62443</v>
      </c>
      <c r="AG24" s="20" t="str" cm="1">
        <f t="array" aca="1" ref="AG24" ca="1">IF(NOT($L24),"",_xlfn.LET(
_xlpm._mappedInMitigation,IFERROR(VLOOKUP($V24,'Attack Steps'!$A:$O,COLUMNS('Attack Steps'!$A:$O),FALSE),""),
CreateSearchString(_xlpm._mappedInMitigation)))</f>
        <v/>
      </c>
      <c r="AH24" s="20" t="b">
        <f ca="1">ROW()-ROW($AH$17)=Helper!$B$15</f>
        <v>0</v>
      </c>
      <c r="AI24" s="20" t="str">
        <f t="shared" ca="1" si="6"/>
        <v/>
      </c>
      <c r="AJ24" s="20" cm="1">
        <f t="array" aca="1" ref="AJ24" ca="1">CreateID($AJ$17,$AJ:$AJ,$AI24&lt;&gt;"")</f>
        <v>0</v>
      </c>
    </row>
    <row r="25" spans="1:36" ht="48.75" x14ac:dyDescent="0.25">
      <c r="A25" s="16" t="str">
        <f ca="1">_xlfn.LET(
_xlpm._isAssumption,$J25,
_xlpm._row,$K25,
_xlpm._numActiveAssumptions,Helper!$B$8,
_xlpm._numActiveCountermeasures,Helper!$B$9,
_xlpm._numAdditionalAssumptions,Helper!$B$10,
_xlpm._numAdditionalCountermeasures,Helper!$B$11,
IF(_xlpm._isAssumption,
IF(_xlpm._row&gt;_xlpm._numActiveAssumptions,
$V25&amp;"-A"&amp;$Q25,
INDEX(Assumptions!A:A,MATCH(_xlpm._row,Assumptions!$AG:$AG,0))),
IF(_xlpm._row&gt;_xlpm._numActiveCountermeasures+_xlpm._numAdditionalCountermeasures,"",
IF(_xlpm._row&gt;_xlpm._numActiveCountermeasures,
$V25&amp;"-C"&amp;$Q25,
INDEX(Countermeasures!$A:$A,MATCH(_xlpm._row,Countermeasures!$AI:$AI,0))))))</f>
        <v>C13</v>
      </c>
      <c r="B25" s="16" t="str" cm="1">
        <f t="array" aca="1" ref="B25" ca="1">IF($A25="","",
_xlfn.LET(
_xlpm._isAssumption,$J25,
_xlpm._isAdditionalElement,$L25,
IF(_xlpm._isAdditionalElement,
IF(_xlpm._isAssumption,
ParseElementsFromComment($U25,Definitions!$AR$4,Definitions!$AS$4,Definitions!$AR$6,$Q25),
ParseElementsFromComment($U25,Definitions!$AR$5,Definitions!$AS$5,Definitions!$AR$6,$Q25)),
 _xlfn.LET(_xlpm._value,IF($A25="","",IF($J25,SimpleLookup($A25,Assumptions!$A:$B),SimpleLookup($A25,Countermeasures!$A:$B))),IF(_xlpm._value="","",_xlpm._value)))))</f>
        <v>CR 3.3 – Security functionality verification</v>
      </c>
      <c r="C25" s="16" t="str" cm="1">
        <f t="array" aca="1" ref="C25" ca="1">IF($A25="","",IF($J25,IFERROR(SimpleLookup($A25,Assumptions!$A:$E),""),Definitions!$AO$4))</f>
        <v>&lt;OEM name&gt;</v>
      </c>
      <c r="D25" s="36" t="str">
        <f t="shared" ca="1" si="2"/>
        <v>═══════════════════════════════════════════════════════════════
Default countermeasure:
––––––––––––––––––––––––––––––––––––––––––––––––––––––––––––––––––––––––––––––––––––
See IEC 62443</v>
      </c>
      <c r="E25" s="13"/>
      <c r="F25" s="59" t="str">
        <f t="shared" ca="1" si="3"/>
        <v>click me</v>
      </c>
      <c r="G25" s="122" t="str" cm="1">
        <f t="array" aca="1" ref="G25" ca="1">_xlfn.LET(_xlpm._val,IFERROR(SimpleLookup($A25,Countermeasures!$A:$R),IFERROR(SimpleLookup($A25,Assumptions!$A:$R),"")),IF(_xlpm._val="","",_xlpm._val))</f>
        <v/>
      </c>
      <c r="H25" s="16" t="str" cm="1">
        <f t="array" aca="1" ref="H25" ca="1">_xlfn.LET(_xlpm._value,IF($A25="","",IFERROR(IF($J25,SimpleLookup($A25,Assumptions!$A:$S),SimpleLookup($A25,Countermeasures!$A:$S)),"")),
IF(_xlpm._value="","",_xlpm._value))</f>
        <v/>
      </c>
      <c r="I25" s="10" cm="1">
        <f t="array" aca="1" ref="I25" ca="1">IF(ROW()=ROW($I$17)+1,0,INDEX($I:$I,ROW()-1))+IF($A25="",0,1)</f>
        <v>8</v>
      </c>
      <c r="J25" s="10" t="b">
        <f ca="1">_xlfn.LET(_xlpm._row,ROW()-ROW($K$17),
_xlpm._numActiveAssumptions,Helper!$B$8,
_xlpm._numAdditionalAssumptions,SUM(Table24['# Elements]),
_xlpm._row&lt;=_xlpm._numActiveAssumptions+_xlpm._numAdditionalAssumptions)</f>
        <v>0</v>
      </c>
      <c r="K25" s="10">
        <f ca="1">_xlfn.LET(_xlpm._row,ROW()-ROW($K$17),
_xlpm._numActiveAssumptions,Helper!$B$8,
_xlpm._numAdditionalAssumptions,Helper!$B$10,
_xlpm._isAssumption,$J25,
_xlpm._elementID,IF(_xlpm._isAssumption,_xlpm._row,_xlpm._row-_xlpm._numActiveAssumptions-_xlpm._numAdditionalAssumptions),
_xlpm._elementID)</f>
        <v>2</v>
      </c>
      <c r="L25"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25" s="14" cm="1">
        <f t="array" aca="1" ref="M25" ca="1">IF($L25,
IF(ROW()=ROW($M$17)+1,1,INDEX($M:$M,ROW()-1)+IF(INDEX($T:$T,ROW()-1),1,0)),
1)</f>
        <v>1</v>
      </c>
      <c r="N25" s="14" t="str" cm="1">
        <f t="array" aca="1" ref="N25" ca="1">IF($L25=TRUE,
_xlfn.LET(
_xlpm._isAssumption,$J25,
_xlpm._indexRange,IF(_xlpm._isAssumption,Table24['# Elements],Table25['# Elements]),
_xlpm._lookupRow,$W25,
INDEX(_xlpm._indexRange,_xlpm._lookupRow)),
"")</f>
        <v/>
      </c>
      <c r="O25" s="20" t="str" cm="1">
        <f t="array" aca="1" ref="O25" ca="1">IF($N25="","",_xlfn.LET(
_xlpm._prevRow,ROW()-1,
IF(OR(INDEX($N:$N,_xlpm._prevRow)&lt;&gt;$N25,INDEX($M:$M,_xlpm._prevRow)&lt;&gt;$M25),
1,
INDEX($O:$O,_xlpm._prevRow)+IF(INDEX($S:$S,_xlpm._prevRow),1,0))))</f>
        <v/>
      </c>
      <c r="P25" s="20" t="str" cm="1">
        <f t="array" aca="1" ref="P25" ca="1">IF($O25="","",_xlfn.LET(
_xlpm._isAssumption,$J25,
_xlpm._sheetRow,$W25,
_xlpm._sheetName,$X25,
_xlpm._elementIDRange,IF(_xlpm._isAssumption,Table24[Element ID Column],Table25[Element ID Column]),
_xlpm._numberOfElementsRange,IF(_xlpm._isAssumption,Table24[Number of Elements Column],Table25[Number of Elements Column]),
SimpleLookup($O25,INDIRECT("'"&amp;_xlpm._sheetName&amp;"'!"&amp;INDEX(_xlpm._elementIDRange,_xlpm._sheetRow)&amp;":"&amp;INDEX(_xlpm._numberOfElementsRange,_xlpm._sheetRow)))))</f>
        <v/>
      </c>
      <c r="Q25" s="20" t="str" cm="1">
        <f t="array" aca="1" ref="Q25" ca="1">IF($O25="","",IF(OR(INDEX($O:$O,ROW()-1)&lt;&gt;$O25,INDEX($M:$M,ROW()-1)&lt;&gt;$M25),1,INDEX($Q:$Q,ROW()-1)+1))</f>
        <v/>
      </c>
      <c r="R25" s="20">
        <f t="shared" ca="1" si="4"/>
        <v>0</v>
      </c>
      <c r="S25" s="20" t="str">
        <f t="shared" ca="1" si="5"/>
        <v/>
      </c>
      <c r="T25" s="20" t="b">
        <f ca="1">_xlfn.LET(
_xlpm._isAssumption,$J25,
_xlpm._numberOfElementsRange,IF(_xlpm._isAssumption,Table24['# Elements],Table25['# Elements]),
_xlpm._sheetRow,$W25,
IF($L25,AND($S25,$R25=$N25),FALSE))</f>
        <v>0</v>
      </c>
      <c r="U25" s="20" t="str" cm="1">
        <f t="array" aca="1" ref="U25" ca="1">IF($L25,
_xlfn.LET(
_xlpm._elementID,$O25,
_xlpm._isAssumption,$J25,
_xlpm._sheetRow,$W25,
_xlpm._sheetName,$X25,
_xlpm._elementRow,$Y25,
_xlpm._resultColumnLetter,IF(_xlpm._isAssumption,INDEX(Table24[Comment Column],_xlpm._sheetRow),INDEX(Table25[Comment Column],_xlpm._sheetRow)),
INDEX(INDIRECT("'"&amp;_xlpm._sheetName&amp;"'!"&amp;_xlpm._resultColumnLetter&amp;":"&amp;_xlpm._resultColumnLetter),_xlpm._elementRow)),
"")</f>
        <v/>
      </c>
      <c r="V25" s="20" t="str" cm="1">
        <f t="array" aca="1" ref="V25" ca="1">IF($L25,
_xlfn.LET(
_xlpm._elementID,$O25,
_xlpm._isAssumption,$J25,
_xlpm._sheetRow,$W25,
_xlpm._sheetName,$X25,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25" s="20" t="str">
        <f ca="1">IF($L25=TRUE,
_xlfn.LET(
_xlpm._isAssumption,$J25,
_xlpm._searchRange,IF(_xlpm._isAssumption,Table24[Task Sheet Shadow ID],Table25[Task Sheet Shadow ID]),
MATCH($M25,_xlpm._searchRange,0)),
"")</f>
        <v/>
      </c>
      <c r="X25" s="20" t="str" cm="1">
        <f t="array" aca="1" ref="X25" ca="1">IF($L25,
_xlfn.LET(
_xlpm._isAssumption,$J25,
_xlpm._sheetRow,$W25,
IF(_xlpm._isAssumption,INDEX(Table24[Sheet Name],_xlpm._sheetRow),INDEX(Table25[Sheet Name],_xlpm._sheetRow))),
"")</f>
        <v/>
      </c>
      <c r="Y25" s="20" t="str" cm="1">
        <f t="array" aca="1" ref="Y25" ca="1">IF($L25,
_xlfn.LET(
_xlpm._elementID,$O25,
_xlpm._isAssumption,$J25,
_xlpm._sheetRow,$W25,
_xlpm._sheetName,$X25,
_xlpm._elementIDColumnLetter,IF(_xlpm._isAssumption,INDEX(Table24[Element ID Column],_xlpm._sheetRow),INDEX(Table25[Element ID Column],_xlpm._sheetRow)),
MATCH(_xlpm._elementID,INDIRECT("'"&amp;_xlpm._sheetName&amp;"'!"&amp;_xlpm._elementIDColumnLetter&amp;":"&amp;_xlpm._elementIDColumnLetter),0)),
"")</f>
        <v/>
      </c>
      <c r="Z25" s="20" t="str" cm="1">
        <f t="array" aca="1" ref="Z25" ca="1">IF($A25="","",_xlfn.LET(
_xlpm._isAssumption,$J25,
_xlpm._isAdditionalElement,$L25,
_xlpm._sheetRow,$W25,
_xlpm._sheetName,$X25,
_xlpm._columnLetter,INDEX(IF(_xlpm._isAdditionalElement,Table24[Comment Column],Table25[Comment Column]),_xlpm._sheetRow),
_xlpm._sheetReference,IF(_xlpm._isAssumption,IF(_xlpm._isAdditionalElement,
CELL("address",INDEX(INDIRECT("'"&amp;_xlpm._sheetName&amp;"'!"&amp;_xlpm._columnLetter&amp;":"&amp;_xlpm._columnLetter),$Y25)),
CELL("address",INDEX(Assumptions!$A:$A,MATCH($A25,Assumptions!$A:$A,0),1))),
IF(_xlpm._isAdditionalElement,
CELL("address",INDEX(INDIRECT("'"&amp;_xlpm._sheetName&amp;"'!"&amp;_xlpm._columnLetter&amp;":"&amp;_xlpm._columnLetter),$Y25)),
CELL("address",INDEX(Countermeasures!$A:$A,MATCH($A25,Countermeasures!$A:$A,0),1)))),
_xlpm._start,FIND("]",_xlpm._sheetReference),
"'"&amp;SUBSTITUTE(SUBSTITUTE(RIGHT(_xlpm._sheetReference,LEN(_xlpm._sheetReference)-_xlpm._start),"'",""),"!","'!")))</f>
        <v>'Countermeasures'!$A$16</v>
      </c>
      <c r="AA25" s="20" t="str" cm="1">
        <f t="array" aca="1" ref="AA25" ca="1">IF(NOT($L25),
_xlfn.LET(_xlpm._value,IF($A25="","",IF($J25,SimpleLookup($A25,Assumptions!$A:$AK),SimpleLookup($A25,Countermeasures!$A:$AN))),
IF(_xlpm._value="","",_xlpm._value)),
"")</f>
        <v/>
      </c>
      <c r="AB25" s="20" t="str" cm="1">
        <f t="array" aca="1" ref="AB25" ca="1">LookupNames(InverseLookup($A25,Mitigation!$AD$2,Mitigation!$A$2,1,Helper!$B$5,","),'Attack Steps'!$A:$B)</f>
        <v/>
      </c>
      <c r="AC25" s="20" t="str" cm="1">
        <f t="array" aca="1" ref="AC25" ca="1">IF($L25,
_xlfn.LET(
_xlpm._in,$A25,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25" s="20" t="str" cm="1">
        <f t="array" aca="1" ref="AD25" ca="1">_xlfn.LET(
_xlpm._countermeasures,InverseLookup($A25,Countermeasures!$AG$2,Countermeasures!$A$2,1,Helper!$B$4,","),
LookupNames(_xlpm._countermeasures,Countermeasures!$A:$B))</f>
        <v/>
      </c>
      <c r="AE25" s="20" t="str" cm="1">
        <f t="array" aca="1" ref="AE25" ca="1">IF($E25="","",_xlfn.LET(
_xlpm._id,$E25,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25" s="20" t="str" cm="1">
        <f t="array" aca="1" ref="AF25" ca="1">IF(OR($A25="",$L25),"",_xlfn.LET(
_xlpm._answers,IF($J25,SimpleLookup($A25,Assumptions!$A:$F),SimpleLookup($A25,Countermeasures!$A:$D)),
IF(_xlpm._answers="*",IF($J25,SimpleLookup($A25,Assumptions!$A:$C),SimpleLookup($A25,Countermeasures!$A:$C)),"")))</f>
        <v>See IEC 62443</v>
      </c>
      <c r="AG25" s="20" t="str" cm="1">
        <f t="array" aca="1" ref="AG25" ca="1">IF(NOT($L25),"",_xlfn.LET(
_xlpm._mappedInMitigation,IFERROR(VLOOKUP($V25,'Attack Steps'!$A:$O,COLUMNS('Attack Steps'!$A:$O),FALSE),""),
CreateSearchString(_xlpm._mappedInMitigation)))</f>
        <v/>
      </c>
      <c r="AH25" s="20" t="b">
        <f ca="1">ROW()-ROW($AH$17)=Helper!$B$15</f>
        <v>0</v>
      </c>
      <c r="AI25" s="20" t="str">
        <f t="shared" ca="1" si="6"/>
        <v/>
      </c>
      <c r="AJ25" s="20" cm="1">
        <f t="array" aca="1" ref="AJ25" ca="1">CreateID($AJ$17,$AJ:$AJ,$AI25&lt;&gt;"")</f>
        <v>0</v>
      </c>
    </row>
    <row r="26" spans="1:36" ht="90" x14ac:dyDescent="0.25">
      <c r="A26" s="16" t="str">
        <f ca="1">_xlfn.LET(
_xlpm._isAssumption,$J26,
_xlpm._row,$K26,
_xlpm._numActiveAssumptions,Helper!$B$8,
_xlpm._numActiveCountermeasures,Helper!$B$9,
_xlpm._numAdditionalAssumptions,Helper!$B$10,
_xlpm._numAdditionalCountermeasures,Helper!$B$11,
IF(_xlpm._isAssumption,
IF(_xlpm._row&gt;_xlpm._numActiveAssumptions,
$V26&amp;"-A"&amp;$Q26,
INDEX(Assumptions!A:A,MATCH(_xlpm._row,Assumptions!$AG:$AG,0))),
IF(_xlpm._row&gt;_xlpm._numActiveCountermeasures+_xlpm._numAdditionalCountermeasures,"",
IF(_xlpm._row&gt;_xlpm._numActiveCountermeasures,
$V26&amp;"-C"&amp;$Q26,
INDEX(Countermeasures!$A:$A,MATCH(_xlpm._row,Countermeasures!$AI:$AI,0))))))</f>
        <v>C15</v>
      </c>
      <c r="B26" s="16" t="str" cm="1">
        <f t="array" aca="1" ref="B26" ca="1">IF($A26="","",
_xlfn.LET(
_xlpm._isAssumption,$J26,
_xlpm._isAdditionalElement,$L26,
IF(_xlpm._isAdditionalElement,
IF(_xlpm._isAssumption,
ParseElementsFromComment($U26,Definitions!$AR$4,Definitions!$AS$4,Definitions!$AR$6,$Q26),
ParseElementsFromComment($U26,Definitions!$AR$5,Definitions!$AS$5,Definitions!$AR$6,$Q26)),
 _xlfn.LET(_xlpm._value,IF($A26="","",IF($J26,SimpleLookup($A26,Assumptions!$A:$B),SimpleLookup($A26,Countermeasures!$A:$B))),IF(_xlpm._value="","",_xlpm._value)))))</f>
        <v>CR 3.5 – Input validation</v>
      </c>
      <c r="C26" s="16" t="str" cm="1">
        <f t="array" aca="1" ref="C26" ca="1">IF($A26="","",IF($J26,IFERROR(SimpleLookup($A26,Assumptions!$A:$E),""),Definitions!$AO$4))</f>
        <v>&lt;OEM name&gt;</v>
      </c>
      <c r="D26" s="36" t="str">
        <f t="shared" ca="1" si="2"/>
        <v>═══════════════════════════════════════════════════════════════
Default countermeasure:
––––––––––––––––––––––––––––––––––––––––––––––––––––––––––––––––––––––––––––––––––––
See IEC 62443</v>
      </c>
      <c r="E26" s="13"/>
      <c r="F26" s="59" t="str">
        <f t="shared" ca="1" si="3"/>
        <v>click me</v>
      </c>
      <c r="G26" s="122" t="str" cm="1">
        <f t="array" aca="1" ref="G26" ca="1">_xlfn.LET(_xlpm._val,IFERROR(SimpleLookup($A26,Countermeasures!$A:$R),IFERROR(SimpleLookup($A26,Assumptions!$A:$R),"")),IF(_xlpm._val="","",_xlpm._val))</f>
        <v/>
      </c>
      <c r="H26" s="16" t="str" cm="1">
        <f t="array" aca="1" ref="H26" ca="1">_xlfn.LET(_xlpm._value,IF($A26="","",IFERROR(IF($J26,SimpleLookup($A26,Assumptions!$A:$S),SimpleLookup($A26,Countermeasures!$A:$S)),"")),
IF(_xlpm._value="","",_xlpm._value))</f>
        <v xml:space="preserve"> &lt;= one week: The attacker needs a few days to find inputs that circumvent the input validation
Expert: The attacker needs to understand that input validation is operational and how to circumvent it
Sensitive: The attacker needs to understand how the product validates its inputs</v>
      </c>
      <c r="I26" s="10" cm="1">
        <f t="array" aca="1" ref="I26" ca="1">IF(ROW()=ROW($I$17)+1,0,INDEX($I:$I,ROW()-1))+IF($A26="",0,1)</f>
        <v>9</v>
      </c>
      <c r="J26" s="10" t="b">
        <f ca="1">_xlfn.LET(_xlpm._row,ROW()-ROW($K$17),
_xlpm._numActiveAssumptions,Helper!$B$8,
_xlpm._numAdditionalAssumptions,SUM(Table24['# Elements]),
_xlpm._row&lt;=_xlpm._numActiveAssumptions+_xlpm._numAdditionalAssumptions)</f>
        <v>0</v>
      </c>
      <c r="K26" s="10">
        <f ca="1">_xlfn.LET(_xlpm._row,ROW()-ROW($K$17),
_xlpm._numActiveAssumptions,Helper!$B$8,
_xlpm._numAdditionalAssumptions,Helper!$B$10,
_xlpm._isAssumption,$J26,
_xlpm._elementID,IF(_xlpm._isAssumption,_xlpm._row,_xlpm._row-_xlpm._numActiveAssumptions-_xlpm._numAdditionalAssumptions),
_xlpm._elementID)</f>
        <v>3</v>
      </c>
      <c r="L26"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26" s="14" cm="1">
        <f t="array" aca="1" ref="M26" ca="1">IF($L26,
IF(ROW()=ROW($M$17)+1,1,INDEX($M:$M,ROW()-1)+IF(INDEX($T:$T,ROW()-1),1,0)),
1)</f>
        <v>1</v>
      </c>
      <c r="N26" s="14" t="str" cm="1">
        <f t="array" aca="1" ref="N26" ca="1">IF($L26=TRUE,
_xlfn.LET(
_xlpm._isAssumption,$J26,
_xlpm._indexRange,IF(_xlpm._isAssumption,Table24['# Elements],Table25['# Elements]),
_xlpm._lookupRow,$W26,
INDEX(_xlpm._indexRange,_xlpm._lookupRow)),
"")</f>
        <v/>
      </c>
      <c r="O26" s="20" t="str" cm="1">
        <f t="array" aca="1" ref="O26" ca="1">IF($N26="","",_xlfn.LET(
_xlpm._prevRow,ROW()-1,
IF(OR(INDEX($N:$N,_xlpm._prevRow)&lt;&gt;$N26,INDEX($M:$M,_xlpm._prevRow)&lt;&gt;$M26),
1,
INDEX($O:$O,_xlpm._prevRow)+IF(INDEX($S:$S,_xlpm._prevRow),1,0))))</f>
        <v/>
      </c>
      <c r="P26" s="20" t="str" cm="1">
        <f t="array" aca="1" ref="P26" ca="1">IF($O26="","",_xlfn.LET(
_xlpm._isAssumption,$J26,
_xlpm._sheetRow,$W26,
_xlpm._sheetName,$X26,
_xlpm._elementIDRange,IF(_xlpm._isAssumption,Table24[Element ID Column],Table25[Element ID Column]),
_xlpm._numberOfElementsRange,IF(_xlpm._isAssumption,Table24[Number of Elements Column],Table25[Number of Elements Column]),
SimpleLookup($O26,INDIRECT("'"&amp;_xlpm._sheetName&amp;"'!"&amp;INDEX(_xlpm._elementIDRange,_xlpm._sheetRow)&amp;":"&amp;INDEX(_xlpm._numberOfElementsRange,_xlpm._sheetRow)))))</f>
        <v/>
      </c>
      <c r="Q26" s="20" t="str" cm="1">
        <f t="array" aca="1" ref="Q26" ca="1">IF($O26="","",IF(OR(INDEX($O:$O,ROW()-1)&lt;&gt;$O26,INDEX($M:$M,ROW()-1)&lt;&gt;$M26),1,INDEX($Q:$Q,ROW()-1)+1))</f>
        <v/>
      </c>
      <c r="R26" s="20">
        <f t="shared" ca="1" si="4"/>
        <v>0</v>
      </c>
      <c r="S26" s="20" t="str">
        <f t="shared" ca="1" si="5"/>
        <v/>
      </c>
      <c r="T26" s="20" t="b">
        <f ca="1">_xlfn.LET(
_xlpm._isAssumption,$J26,
_xlpm._numberOfElementsRange,IF(_xlpm._isAssumption,Table24['# Elements],Table25['# Elements]),
_xlpm._sheetRow,$W26,
IF($L26,AND($S26,$R26=$N26),FALSE))</f>
        <v>0</v>
      </c>
      <c r="U26" s="20" t="str" cm="1">
        <f t="array" aca="1" ref="U26" ca="1">IF($L26,
_xlfn.LET(
_xlpm._elementID,$O26,
_xlpm._isAssumption,$J26,
_xlpm._sheetRow,$W26,
_xlpm._sheetName,$X26,
_xlpm._elementRow,$Y26,
_xlpm._resultColumnLetter,IF(_xlpm._isAssumption,INDEX(Table24[Comment Column],_xlpm._sheetRow),INDEX(Table25[Comment Column],_xlpm._sheetRow)),
INDEX(INDIRECT("'"&amp;_xlpm._sheetName&amp;"'!"&amp;_xlpm._resultColumnLetter&amp;":"&amp;_xlpm._resultColumnLetter),_xlpm._elementRow)),
"")</f>
        <v/>
      </c>
      <c r="V26" s="20" t="str" cm="1">
        <f t="array" aca="1" ref="V26" ca="1">IF($L26,
_xlfn.LET(
_xlpm._elementID,$O26,
_xlpm._isAssumption,$J26,
_xlpm._sheetRow,$W26,
_xlpm._sheetName,$X26,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26" s="20" t="str">
        <f ca="1">IF($L26=TRUE,
_xlfn.LET(
_xlpm._isAssumption,$J26,
_xlpm._searchRange,IF(_xlpm._isAssumption,Table24[Task Sheet Shadow ID],Table25[Task Sheet Shadow ID]),
MATCH($M26,_xlpm._searchRange,0)),
"")</f>
        <v/>
      </c>
      <c r="X26" s="20" t="str" cm="1">
        <f t="array" aca="1" ref="X26" ca="1">IF($L26,
_xlfn.LET(
_xlpm._isAssumption,$J26,
_xlpm._sheetRow,$W26,
IF(_xlpm._isAssumption,INDEX(Table24[Sheet Name],_xlpm._sheetRow),INDEX(Table25[Sheet Name],_xlpm._sheetRow))),
"")</f>
        <v/>
      </c>
      <c r="Y26" s="20" t="str" cm="1">
        <f t="array" aca="1" ref="Y26" ca="1">IF($L26,
_xlfn.LET(
_xlpm._elementID,$O26,
_xlpm._isAssumption,$J26,
_xlpm._sheetRow,$W26,
_xlpm._sheetName,$X26,
_xlpm._elementIDColumnLetter,IF(_xlpm._isAssumption,INDEX(Table24[Element ID Column],_xlpm._sheetRow),INDEX(Table25[Element ID Column],_xlpm._sheetRow)),
MATCH(_xlpm._elementID,INDIRECT("'"&amp;_xlpm._sheetName&amp;"'!"&amp;_xlpm._elementIDColumnLetter&amp;":"&amp;_xlpm._elementIDColumnLetter),0)),
"")</f>
        <v/>
      </c>
      <c r="Z26" s="20" t="str" cm="1">
        <f t="array" aca="1" ref="Z26" ca="1">IF($A26="","",_xlfn.LET(
_xlpm._isAssumption,$J26,
_xlpm._isAdditionalElement,$L26,
_xlpm._sheetRow,$W26,
_xlpm._sheetName,$X26,
_xlpm._columnLetter,INDEX(IF(_xlpm._isAdditionalElement,Table24[Comment Column],Table25[Comment Column]),_xlpm._sheetRow),
_xlpm._sheetReference,IF(_xlpm._isAssumption,IF(_xlpm._isAdditionalElement,
CELL("address",INDEX(INDIRECT("'"&amp;_xlpm._sheetName&amp;"'!"&amp;_xlpm._columnLetter&amp;":"&amp;_xlpm._columnLetter),$Y26)),
CELL("address",INDEX(Assumptions!$A:$A,MATCH($A26,Assumptions!$A:$A,0),1))),
IF(_xlpm._isAdditionalElement,
CELL("address",INDEX(INDIRECT("'"&amp;_xlpm._sheetName&amp;"'!"&amp;_xlpm._columnLetter&amp;":"&amp;_xlpm._columnLetter),$Y26)),
CELL("address",INDEX(Countermeasures!$A:$A,MATCH($A26,Countermeasures!$A:$A,0),1)))),
_xlpm._start,FIND("]",_xlpm._sheetReference),
"'"&amp;SUBSTITUTE(SUBSTITUTE(RIGHT(_xlpm._sheetReference,LEN(_xlpm._sheetReference)-_xlpm._start),"'",""),"!","'!")))</f>
        <v>'Countermeasures'!$A$18</v>
      </c>
      <c r="AA26" s="20" t="str" cm="1">
        <f t="array" aca="1" ref="AA26" ca="1">IF(NOT($L26),
_xlfn.LET(_xlpm._value,IF($A26="","",IF($J26,SimpleLookup($A26,Assumptions!$A:$AK),SimpleLookup($A26,Countermeasures!$A:$AN))),
IF(_xlpm._value="","",_xlpm._value)),
"")</f>
        <v/>
      </c>
      <c r="AB26" s="20" t="str" cm="1">
        <f t="array" aca="1" ref="AB26" ca="1">LookupNames(InverseLookup($A26,Mitigation!$AD$2,Mitigation!$A$2,1,Helper!$B$5,","),'Attack Steps'!$A:$B)</f>
        <v/>
      </c>
      <c r="AC26" s="20" t="str" cm="1">
        <f t="array" aca="1" ref="AC26" ca="1">IF($L26,
_xlfn.LET(
_xlpm._in,$A26,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26" s="20" t="str" cm="1">
        <f t="array" aca="1" ref="AD26" ca="1">_xlfn.LET(
_xlpm._countermeasures,InverseLookup($A26,Countermeasures!$AG$2,Countermeasures!$A$2,1,Helper!$B$4,","),
LookupNames(_xlpm._countermeasures,Countermeasures!$A:$B))</f>
        <v/>
      </c>
      <c r="AE26" s="20" t="str" cm="1">
        <f t="array" aca="1" ref="AE26" ca="1">IF($E26="","",_xlfn.LET(
_xlpm._id,$E26,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26" s="20" t="str" cm="1">
        <f t="array" aca="1" ref="AF26" ca="1">IF(OR($A26="",$L26),"",_xlfn.LET(
_xlpm._answers,IF($J26,SimpleLookup($A26,Assumptions!$A:$F),SimpleLookup($A26,Countermeasures!$A:$D)),
IF(_xlpm._answers="*",IF($J26,SimpleLookup($A26,Assumptions!$A:$C),SimpleLookup($A26,Countermeasures!$A:$C)),"")))</f>
        <v>See IEC 62443</v>
      </c>
      <c r="AG26" s="20" t="str" cm="1">
        <f t="array" aca="1" ref="AG26" ca="1">IF(NOT($L26),"",_xlfn.LET(
_xlpm._mappedInMitigation,IFERROR(VLOOKUP($V26,'Attack Steps'!$A:$O,COLUMNS('Attack Steps'!$A:$O),FALSE),""),
CreateSearchString(_xlpm._mappedInMitigation)))</f>
        <v/>
      </c>
      <c r="AH26" s="20" t="b">
        <f ca="1">ROW()-ROW($AH$17)=Helper!$B$15</f>
        <v>0</v>
      </c>
      <c r="AI26" s="20" t="str">
        <f t="shared" ca="1" si="6"/>
        <v/>
      </c>
      <c r="AJ26" s="20" cm="1">
        <f t="array" aca="1" ref="AJ26" ca="1">CreateID($AJ$17,$AJ:$AJ,$AI26&lt;&gt;"")</f>
        <v>0</v>
      </c>
    </row>
    <row r="27" spans="1:36" ht="48.75" x14ac:dyDescent="0.25">
      <c r="A27" s="16" t="str">
        <f ca="1">_xlfn.LET(
_xlpm._isAssumption,$J27,
_xlpm._row,$K27,
_xlpm._numActiveAssumptions,Helper!$B$8,
_xlpm._numActiveCountermeasures,Helper!$B$9,
_xlpm._numAdditionalAssumptions,Helper!$B$10,
_xlpm._numAdditionalCountermeasures,Helper!$B$11,
IF(_xlpm._isAssumption,
IF(_xlpm._row&gt;_xlpm._numActiveAssumptions,
$V27&amp;"-A"&amp;$Q27,
INDEX(Assumptions!A:A,MATCH(_xlpm._row,Assumptions!$AG:$AG,0))),
IF(_xlpm._row&gt;_xlpm._numActiveCountermeasures+_xlpm._numAdditionalCountermeasures,"",
IF(_xlpm._row&gt;_xlpm._numActiveCountermeasures,
$V27&amp;"-C"&amp;$Q27,
INDEX(Countermeasures!$A:$A,MATCH(_xlpm._row,Countermeasures!$AI:$AI,0))))))</f>
        <v>C24</v>
      </c>
      <c r="B27" s="16" t="str" cm="1">
        <f t="array" aca="1" ref="B27" ca="1">IF($A27="","",
_xlfn.LET(
_xlpm._isAssumption,$J27,
_xlpm._isAdditionalElement,$L27,
IF(_xlpm._isAdditionalElement,
IF(_xlpm._isAssumption,
ParseElementsFromComment($U27,Definitions!$AR$4,Definitions!$AS$4,Definitions!$AR$6,$Q27),
ParseElementsFromComment($U27,Definitions!$AR$5,Definitions!$AS$5,Definitions!$AR$6,$Q27)),
 _xlfn.LET(_xlpm._value,IF($A27="","",IF($J27,SimpleLookup($A27,Assumptions!$A:$B),SimpleLookup($A27,Countermeasures!$A:$B))),IF(_xlpm._value="","",_xlpm._value)))))</f>
        <v>CR 7.7 – Least functionality</v>
      </c>
      <c r="C27" s="16" t="str" cm="1">
        <f t="array" aca="1" ref="C27" ca="1">IF($A27="","",IF($J27,IFERROR(SimpleLookup($A27,Assumptions!$A:$E),""),Definitions!$AO$4))</f>
        <v>&lt;OEM name&gt;</v>
      </c>
      <c r="D27" s="36" t="str">
        <f t="shared" ca="1" si="2"/>
        <v>═══════════════════════════════════════════════════════════════
Default countermeasure:
––––––––––––––––––––––––––––––––––––––––––––––––––––––––––––––––––––––––––––––––––––
See IEC 62443</v>
      </c>
      <c r="E27" s="13"/>
      <c r="F27" s="59" t="str">
        <f t="shared" ca="1" si="3"/>
        <v>click me</v>
      </c>
      <c r="G27" s="122" t="str" cm="1">
        <f t="array" aca="1" ref="G27" ca="1">_xlfn.LET(_xlpm._val,IFERROR(SimpleLookup($A27,Countermeasures!$A:$R),IFERROR(SimpleLookup($A27,Assumptions!$A:$R),"")),IF(_xlpm._val="","",_xlpm._val))</f>
        <v/>
      </c>
      <c r="H27" s="16" t="str" cm="1">
        <f t="array" aca="1" ref="H27" ca="1">_xlfn.LET(_xlpm._value,IF($A27="","",IFERROR(IF($J27,SimpleLookup($A27,Assumptions!$A:$S),SimpleLookup($A27,Countermeasures!$A:$S)),"")),
IF(_xlpm._value="","",_xlpm._value))</f>
        <v/>
      </c>
      <c r="I27" s="10" cm="1">
        <f t="array" aca="1" ref="I27" ca="1">IF(ROW()=ROW($I$17)+1,0,INDEX($I:$I,ROW()-1))+IF($A27="",0,1)</f>
        <v>10</v>
      </c>
      <c r="J27" s="10" t="b">
        <f ca="1">_xlfn.LET(_xlpm._row,ROW()-ROW($K$17),
_xlpm._numActiveAssumptions,Helper!$B$8,
_xlpm._numAdditionalAssumptions,SUM(Table24['# Elements]),
_xlpm._row&lt;=_xlpm._numActiveAssumptions+_xlpm._numAdditionalAssumptions)</f>
        <v>0</v>
      </c>
      <c r="K27" s="10">
        <f ca="1">_xlfn.LET(_xlpm._row,ROW()-ROW($K$17),
_xlpm._numActiveAssumptions,Helper!$B$8,
_xlpm._numAdditionalAssumptions,Helper!$B$10,
_xlpm._isAssumption,$J27,
_xlpm._elementID,IF(_xlpm._isAssumption,_xlpm._row,_xlpm._row-_xlpm._numActiveAssumptions-_xlpm._numAdditionalAssumptions),
_xlpm._elementID)</f>
        <v>4</v>
      </c>
      <c r="L27"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27" s="14" cm="1">
        <f t="array" aca="1" ref="M27" ca="1">IF($L27,
IF(ROW()=ROW($M$17)+1,1,INDEX($M:$M,ROW()-1)+IF(INDEX($T:$T,ROW()-1),1,0)),
1)</f>
        <v>1</v>
      </c>
      <c r="N27" s="14" t="str" cm="1">
        <f t="array" aca="1" ref="N27" ca="1">IF($L27=TRUE,
_xlfn.LET(
_xlpm._isAssumption,$J27,
_xlpm._indexRange,IF(_xlpm._isAssumption,Table24['# Elements],Table25['# Elements]),
_xlpm._lookupRow,$W27,
INDEX(_xlpm._indexRange,_xlpm._lookupRow)),
"")</f>
        <v/>
      </c>
      <c r="O27" s="20" t="str" cm="1">
        <f t="array" aca="1" ref="O27" ca="1">IF($N27="","",_xlfn.LET(
_xlpm._prevRow,ROW()-1,
IF(OR(INDEX($N:$N,_xlpm._prevRow)&lt;&gt;$N27,INDEX($M:$M,_xlpm._prevRow)&lt;&gt;$M27),
1,
INDEX($O:$O,_xlpm._prevRow)+IF(INDEX($S:$S,_xlpm._prevRow),1,0))))</f>
        <v/>
      </c>
      <c r="P27" s="20" t="str" cm="1">
        <f t="array" aca="1" ref="P27" ca="1">IF($O27="","",_xlfn.LET(
_xlpm._isAssumption,$J27,
_xlpm._sheetRow,$W27,
_xlpm._sheetName,$X27,
_xlpm._elementIDRange,IF(_xlpm._isAssumption,Table24[Element ID Column],Table25[Element ID Column]),
_xlpm._numberOfElementsRange,IF(_xlpm._isAssumption,Table24[Number of Elements Column],Table25[Number of Elements Column]),
SimpleLookup($O27,INDIRECT("'"&amp;_xlpm._sheetName&amp;"'!"&amp;INDEX(_xlpm._elementIDRange,_xlpm._sheetRow)&amp;":"&amp;INDEX(_xlpm._numberOfElementsRange,_xlpm._sheetRow)))))</f>
        <v/>
      </c>
      <c r="Q27" s="20" t="str" cm="1">
        <f t="array" aca="1" ref="Q27" ca="1">IF($O27="","",IF(OR(INDEX($O:$O,ROW()-1)&lt;&gt;$O27,INDEX($M:$M,ROW()-1)&lt;&gt;$M27),1,INDEX($Q:$Q,ROW()-1)+1))</f>
        <v/>
      </c>
      <c r="R27" s="20">
        <f t="shared" ca="1" si="4"/>
        <v>0</v>
      </c>
      <c r="S27" s="20" t="str">
        <f t="shared" ca="1" si="5"/>
        <v/>
      </c>
      <c r="T27" s="20" t="b">
        <f ca="1">_xlfn.LET(
_xlpm._isAssumption,$J27,
_xlpm._numberOfElementsRange,IF(_xlpm._isAssumption,Table24['# Elements],Table25['# Elements]),
_xlpm._sheetRow,$W27,
IF($L27,AND($S27,$R27=$N27),FALSE))</f>
        <v>0</v>
      </c>
      <c r="U27" s="20" t="str" cm="1">
        <f t="array" aca="1" ref="U27" ca="1">IF($L27,
_xlfn.LET(
_xlpm._elementID,$O27,
_xlpm._isAssumption,$J27,
_xlpm._sheetRow,$W27,
_xlpm._sheetName,$X27,
_xlpm._elementRow,$Y27,
_xlpm._resultColumnLetter,IF(_xlpm._isAssumption,INDEX(Table24[Comment Column],_xlpm._sheetRow),INDEX(Table25[Comment Column],_xlpm._sheetRow)),
INDEX(INDIRECT("'"&amp;_xlpm._sheetName&amp;"'!"&amp;_xlpm._resultColumnLetter&amp;":"&amp;_xlpm._resultColumnLetter),_xlpm._elementRow)),
"")</f>
        <v/>
      </c>
      <c r="V27" s="20" t="str" cm="1">
        <f t="array" aca="1" ref="V27" ca="1">IF($L27,
_xlfn.LET(
_xlpm._elementID,$O27,
_xlpm._isAssumption,$J27,
_xlpm._sheetRow,$W27,
_xlpm._sheetName,$X27,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27" s="20" t="str">
        <f ca="1">IF($L27=TRUE,
_xlfn.LET(
_xlpm._isAssumption,$J27,
_xlpm._searchRange,IF(_xlpm._isAssumption,Table24[Task Sheet Shadow ID],Table25[Task Sheet Shadow ID]),
MATCH($M27,_xlpm._searchRange,0)),
"")</f>
        <v/>
      </c>
      <c r="X27" s="20" t="str" cm="1">
        <f t="array" aca="1" ref="X27" ca="1">IF($L27,
_xlfn.LET(
_xlpm._isAssumption,$J27,
_xlpm._sheetRow,$W27,
IF(_xlpm._isAssumption,INDEX(Table24[Sheet Name],_xlpm._sheetRow),INDEX(Table25[Sheet Name],_xlpm._sheetRow))),
"")</f>
        <v/>
      </c>
      <c r="Y27" s="20" t="str" cm="1">
        <f t="array" aca="1" ref="Y27" ca="1">IF($L27,
_xlfn.LET(
_xlpm._elementID,$O27,
_xlpm._isAssumption,$J27,
_xlpm._sheetRow,$W27,
_xlpm._sheetName,$X27,
_xlpm._elementIDColumnLetter,IF(_xlpm._isAssumption,INDEX(Table24[Element ID Column],_xlpm._sheetRow),INDEX(Table25[Element ID Column],_xlpm._sheetRow)),
MATCH(_xlpm._elementID,INDIRECT("'"&amp;_xlpm._sheetName&amp;"'!"&amp;_xlpm._elementIDColumnLetter&amp;":"&amp;_xlpm._elementIDColumnLetter),0)),
"")</f>
        <v/>
      </c>
      <c r="Z27" s="20" t="str" cm="1">
        <f t="array" aca="1" ref="Z27" ca="1">IF($A27="","",_xlfn.LET(
_xlpm._isAssumption,$J27,
_xlpm._isAdditionalElement,$L27,
_xlpm._sheetRow,$W27,
_xlpm._sheetName,$X27,
_xlpm._columnLetter,INDEX(IF(_xlpm._isAdditionalElement,Table24[Comment Column],Table25[Comment Column]),_xlpm._sheetRow),
_xlpm._sheetReference,IF(_xlpm._isAssumption,IF(_xlpm._isAdditionalElement,
CELL("address",INDEX(INDIRECT("'"&amp;_xlpm._sheetName&amp;"'!"&amp;_xlpm._columnLetter&amp;":"&amp;_xlpm._columnLetter),$Y27)),
CELL("address",INDEX(Assumptions!$A:$A,MATCH($A27,Assumptions!$A:$A,0),1))),
IF(_xlpm._isAdditionalElement,
CELL("address",INDEX(INDIRECT("'"&amp;_xlpm._sheetName&amp;"'!"&amp;_xlpm._columnLetter&amp;":"&amp;_xlpm._columnLetter),$Y27)),
CELL("address",INDEX(Countermeasures!$A:$A,MATCH($A27,Countermeasures!$A:$A,0),1)))),
_xlpm._start,FIND("]",_xlpm._sheetReference),
"'"&amp;SUBSTITUTE(SUBSTITUTE(RIGHT(_xlpm._sheetReference,LEN(_xlpm._sheetReference)-_xlpm._start),"'",""),"!","'!")))</f>
        <v>'Countermeasures'!$A$27</v>
      </c>
      <c r="AA27" s="20" t="str" cm="1">
        <f t="array" aca="1" ref="AA27" ca="1">IF(NOT($L27),
_xlfn.LET(_xlpm._value,IF($A27="","",IF($J27,SimpleLookup($A27,Assumptions!$A:$AK),SimpleLookup($A27,Countermeasures!$A:$AN))),
IF(_xlpm._value="","",_xlpm._value)),
"")</f>
        <v/>
      </c>
      <c r="AB27" s="20" t="str" cm="1">
        <f t="array" aca="1" ref="AB27" ca="1">LookupNames(InverseLookup($A27,Mitigation!$AD$2,Mitigation!$A$2,1,Helper!$B$5,","),'Attack Steps'!$A:$B)</f>
        <v/>
      </c>
      <c r="AC27" s="20" t="str" cm="1">
        <f t="array" aca="1" ref="AC27" ca="1">IF($L27,
_xlfn.LET(
_xlpm._in,$A27,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27" s="20" t="str" cm="1">
        <f t="array" aca="1" ref="AD27" ca="1">_xlfn.LET(
_xlpm._countermeasures,InverseLookup($A27,Countermeasures!$AG$2,Countermeasures!$A$2,1,Helper!$B$4,","),
LookupNames(_xlpm._countermeasures,Countermeasures!$A:$B))</f>
        <v/>
      </c>
      <c r="AE27" s="20" t="str" cm="1">
        <f t="array" aca="1" ref="AE27" ca="1">IF($E27="","",_xlfn.LET(
_xlpm._id,$E27,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27" s="20" t="str" cm="1">
        <f t="array" aca="1" ref="AF27" ca="1">IF(OR($A27="",$L27),"",_xlfn.LET(
_xlpm._answers,IF($J27,SimpleLookup($A27,Assumptions!$A:$F),SimpleLookup($A27,Countermeasures!$A:$D)),
IF(_xlpm._answers="*",IF($J27,SimpleLookup($A27,Assumptions!$A:$C),SimpleLookup($A27,Countermeasures!$A:$C)),"")))</f>
        <v>See IEC 62443</v>
      </c>
      <c r="AG27" s="20" t="str" cm="1">
        <f t="array" aca="1" ref="AG27" ca="1">IF(NOT($L27),"",_xlfn.LET(
_xlpm._mappedInMitigation,IFERROR(VLOOKUP($V27,'Attack Steps'!$A:$O,COLUMNS('Attack Steps'!$A:$O),FALSE),""),
CreateSearchString(_xlpm._mappedInMitigation)))</f>
        <v/>
      </c>
      <c r="AH27" s="20" t="b">
        <f ca="1">ROW()-ROW($AH$17)=Helper!$B$15</f>
        <v>0</v>
      </c>
      <c r="AI27" s="20" t="str">
        <f t="shared" ca="1" si="6"/>
        <v/>
      </c>
      <c r="AJ27" s="20" cm="1">
        <f t="array" aca="1" ref="AJ27" ca="1">CreateID($AJ$17,$AJ:$AJ,$AI27&lt;&gt;"")</f>
        <v>0</v>
      </c>
    </row>
    <row r="28" spans="1:36" ht="48.75" x14ac:dyDescent="0.25">
      <c r="A28" s="16" t="str">
        <f ca="1">_xlfn.LET(
_xlpm._isAssumption,$J28,
_xlpm._row,$K28,
_xlpm._numActiveAssumptions,Helper!$B$8,
_xlpm._numActiveCountermeasures,Helper!$B$9,
_xlpm._numAdditionalAssumptions,Helper!$B$10,
_xlpm._numAdditionalCountermeasures,Helper!$B$11,
IF(_xlpm._isAssumption,
IF(_xlpm._row&gt;_xlpm._numActiveAssumptions,
$V28&amp;"-A"&amp;$Q28,
INDEX(Assumptions!A:A,MATCH(_xlpm._row,Assumptions!$AG:$AG,0))),
IF(_xlpm._row&gt;_xlpm._numActiveCountermeasures+_xlpm._numAdditionalCountermeasures,"",
IF(_xlpm._row&gt;_xlpm._numActiveCountermeasures,
$V28&amp;"-C"&amp;$Q28,
INDEX(Countermeasures!$A:$A,MATCH(_xlpm._row,Countermeasures!$AI:$AI,0))))))</f>
        <v>C33</v>
      </c>
      <c r="B28" s="16" t="str" cm="1">
        <f t="array" aca="1" ref="B28" ca="1">IF($A28="","",
_xlfn.LET(
_xlpm._isAssumption,$J28,
_xlpm._isAdditionalElement,$L28,
IF(_xlpm._isAdditionalElement,
IF(_xlpm._isAssumption,
ParseElementsFromComment($U28,Definitions!$AR$4,Definitions!$AS$4,Definitions!$AR$6,$Q28),
ParseElementsFromComment($U28,Definitions!$AR$5,Definitions!$AS$5,Definitions!$AR$6,$Q28)),
 _xlfn.LET(_xlpm._value,IF($A28="","",IF($J28,SimpleLookup($A28,Assumptions!$A:$B),SimpleLookup($A28,Countermeasures!$A:$B))),IF(_xlpm._value="","",_xlpm._value)))))</f>
        <v>SCR 1.1 - Processed personal data</v>
      </c>
      <c r="C28" s="16" t="str" cm="1">
        <f t="array" aca="1" ref="C28" ca="1">IF($A28="","",IF($J28,IFERROR(SimpleLookup($A28,Assumptions!$A:$E),""),Definitions!$AO$4))</f>
        <v>&lt;OEM name&gt;</v>
      </c>
      <c r="D28" s="36" t="str">
        <f t="shared" ca="1" si="2"/>
        <v>═══════════════════════════════════════════════════════════════
Default countermeasure:
––––––––––––––––––––––––––––––––––––––––––––––––––––––––––––––––––––––––––––––––––––
See ETSI EN 303 645 V2.1.1 (2020-06), Provision 6-1, 6-2, and 6-3</v>
      </c>
      <c r="E28" s="13"/>
      <c r="F28" s="59" t="str">
        <f t="shared" ca="1" si="3"/>
        <v>click me</v>
      </c>
      <c r="G28" s="122" t="str" cm="1">
        <f t="array" aca="1" ref="G28" ca="1">_xlfn.LET(_xlpm._val,IFERROR(SimpleLookup($A28,Countermeasures!$A:$R),IFERROR(SimpleLookup($A28,Assumptions!$A:$R),"")),IF(_xlpm._val="","",_xlpm._val))</f>
        <v/>
      </c>
      <c r="H28" s="16" t="str" cm="1">
        <f t="array" aca="1" ref="H28" ca="1">_xlfn.LET(_xlpm._value,IF($A28="","",IFERROR(IF($J28,SimpleLookup($A28,Assumptions!$A:$S),SimpleLookup($A28,Countermeasures!$A:$S)),"")),
IF(_xlpm._value="","",_xlpm._value))</f>
        <v/>
      </c>
      <c r="I28" s="10" cm="1">
        <f t="array" aca="1" ref="I28" ca="1">IF(ROW()=ROW($I$17)+1,0,INDEX($I:$I,ROW()-1))+IF($A28="",0,1)</f>
        <v>11</v>
      </c>
      <c r="J28" s="10" t="b">
        <f ca="1">_xlfn.LET(_xlpm._row,ROW()-ROW($K$17),
_xlpm._numActiveAssumptions,Helper!$B$8,
_xlpm._numAdditionalAssumptions,SUM(Table24['# Elements]),
_xlpm._row&lt;=_xlpm._numActiveAssumptions+_xlpm._numAdditionalAssumptions)</f>
        <v>0</v>
      </c>
      <c r="K28" s="10">
        <f ca="1">_xlfn.LET(_xlpm._row,ROW()-ROW($K$17),
_xlpm._numActiveAssumptions,Helper!$B$8,
_xlpm._numAdditionalAssumptions,Helper!$B$10,
_xlpm._isAssumption,$J28,
_xlpm._elementID,IF(_xlpm._isAssumption,_xlpm._row,_xlpm._row-_xlpm._numActiveAssumptions-_xlpm._numAdditionalAssumptions),
_xlpm._elementID)</f>
        <v>5</v>
      </c>
      <c r="L28"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28" s="14" cm="1">
        <f t="array" aca="1" ref="M28" ca="1">IF($L28,
IF(ROW()=ROW($M$17)+1,1,INDEX($M:$M,ROW()-1)+IF(INDEX($T:$T,ROW()-1),1,0)),
1)</f>
        <v>1</v>
      </c>
      <c r="N28" s="14" t="str" cm="1">
        <f t="array" aca="1" ref="N28" ca="1">IF($L28=TRUE,
_xlfn.LET(
_xlpm._isAssumption,$J28,
_xlpm._indexRange,IF(_xlpm._isAssumption,Table24['# Elements],Table25['# Elements]),
_xlpm._lookupRow,$W28,
INDEX(_xlpm._indexRange,_xlpm._lookupRow)),
"")</f>
        <v/>
      </c>
      <c r="O28" s="20" t="str" cm="1">
        <f t="array" aca="1" ref="O28" ca="1">IF($N28="","",_xlfn.LET(
_xlpm._prevRow,ROW()-1,
IF(OR(INDEX($N:$N,_xlpm._prevRow)&lt;&gt;$N28,INDEX($M:$M,_xlpm._prevRow)&lt;&gt;$M28),
1,
INDEX($O:$O,_xlpm._prevRow)+IF(INDEX($S:$S,_xlpm._prevRow),1,0))))</f>
        <v/>
      </c>
      <c r="P28" s="20" t="str" cm="1">
        <f t="array" aca="1" ref="P28" ca="1">IF($O28="","",_xlfn.LET(
_xlpm._isAssumption,$J28,
_xlpm._sheetRow,$W28,
_xlpm._sheetName,$X28,
_xlpm._elementIDRange,IF(_xlpm._isAssumption,Table24[Element ID Column],Table25[Element ID Column]),
_xlpm._numberOfElementsRange,IF(_xlpm._isAssumption,Table24[Number of Elements Column],Table25[Number of Elements Column]),
SimpleLookup($O28,INDIRECT("'"&amp;_xlpm._sheetName&amp;"'!"&amp;INDEX(_xlpm._elementIDRange,_xlpm._sheetRow)&amp;":"&amp;INDEX(_xlpm._numberOfElementsRange,_xlpm._sheetRow)))))</f>
        <v/>
      </c>
      <c r="Q28" s="20" t="str" cm="1">
        <f t="array" aca="1" ref="Q28" ca="1">IF($O28="","",IF(OR(INDEX($O:$O,ROW()-1)&lt;&gt;$O28,INDEX($M:$M,ROW()-1)&lt;&gt;$M28),1,INDEX($Q:$Q,ROW()-1)+1))</f>
        <v/>
      </c>
      <c r="R28" s="20">
        <f t="shared" ca="1" si="4"/>
        <v>0</v>
      </c>
      <c r="S28" s="20" t="str">
        <f t="shared" ca="1" si="5"/>
        <v/>
      </c>
      <c r="T28" s="20" t="b">
        <f ca="1">_xlfn.LET(
_xlpm._isAssumption,$J28,
_xlpm._numberOfElementsRange,IF(_xlpm._isAssumption,Table24['# Elements],Table25['# Elements]),
_xlpm._sheetRow,$W28,
IF($L28,AND($S28,$R28=$N28),FALSE))</f>
        <v>0</v>
      </c>
      <c r="U28" s="20" t="str" cm="1">
        <f t="array" aca="1" ref="U28" ca="1">IF($L28,
_xlfn.LET(
_xlpm._elementID,$O28,
_xlpm._isAssumption,$J28,
_xlpm._sheetRow,$W28,
_xlpm._sheetName,$X28,
_xlpm._elementRow,$Y28,
_xlpm._resultColumnLetter,IF(_xlpm._isAssumption,INDEX(Table24[Comment Column],_xlpm._sheetRow),INDEX(Table25[Comment Column],_xlpm._sheetRow)),
INDEX(INDIRECT("'"&amp;_xlpm._sheetName&amp;"'!"&amp;_xlpm._resultColumnLetter&amp;":"&amp;_xlpm._resultColumnLetter),_xlpm._elementRow)),
"")</f>
        <v/>
      </c>
      <c r="V28" s="20" t="str" cm="1">
        <f t="array" aca="1" ref="V28" ca="1">IF($L28,
_xlfn.LET(
_xlpm._elementID,$O28,
_xlpm._isAssumption,$J28,
_xlpm._sheetRow,$W28,
_xlpm._sheetName,$X28,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28" s="20" t="str">
        <f ca="1">IF($L28=TRUE,
_xlfn.LET(
_xlpm._isAssumption,$J28,
_xlpm._searchRange,IF(_xlpm._isAssumption,Table24[Task Sheet Shadow ID],Table25[Task Sheet Shadow ID]),
MATCH($M28,_xlpm._searchRange,0)),
"")</f>
        <v/>
      </c>
      <c r="X28" s="20" t="str" cm="1">
        <f t="array" aca="1" ref="X28" ca="1">IF($L28,
_xlfn.LET(
_xlpm._isAssumption,$J28,
_xlpm._sheetRow,$W28,
IF(_xlpm._isAssumption,INDEX(Table24[Sheet Name],_xlpm._sheetRow),INDEX(Table25[Sheet Name],_xlpm._sheetRow))),
"")</f>
        <v/>
      </c>
      <c r="Y28" s="20" t="str" cm="1">
        <f t="array" aca="1" ref="Y28" ca="1">IF($L28,
_xlfn.LET(
_xlpm._elementID,$O28,
_xlpm._isAssumption,$J28,
_xlpm._sheetRow,$W28,
_xlpm._sheetName,$X28,
_xlpm._elementIDColumnLetter,IF(_xlpm._isAssumption,INDEX(Table24[Element ID Column],_xlpm._sheetRow),INDEX(Table25[Element ID Column],_xlpm._sheetRow)),
MATCH(_xlpm._elementID,INDIRECT("'"&amp;_xlpm._sheetName&amp;"'!"&amp;_xlpm._elementIDColumnLetter&amp;":"&amp;_xlpm._elementIDColumnLetter),0)),
"")</f>
        <v/>
      </c>
      <c r="Z28" s="20" t="str" cm="1">
        <f t="array" aca="1" ref="Z28" ca="1">IF($A28="","",_xlfn.LET(
_xlpm._isAssumption,$J28,
_xlpm._isAdditionalElement,$L28,
_xlpm._sheetRow,$W28,
_xlpm._sheetName,$X28,
_xlpm._columnLetter,INDEX(IF(_xlpm._isAdditionalElement,Table24[Comment Column],Table25[Comment Column]),_xlpm._sheetRow),
_xlpm._sheetReference,IF(_xlpm._isAssumption,IF(_xlpm._isAdditionalElement,
CELL("address",INDEX(INDIRECT("'"&amp;_xlpm._sheetName&amp;"'!"&amp;_xlpm._columnLetter&amp;":"&amp;_xlpm._columnLetter),$Y28)),
CELL("address",INDEX(Assumptions!$A:$A,MATCH($A28,Assumptions!$A:$A,0),1))),
IF(_xlpm._isAdditionalElement,
CELL("address",INDEX(INDIRECT("'"&amp;_xlpm._sheetName&amp;"'!"&amp;_xlpm._columnLetter&amp;":"&amp;_xlpm._columnLetter),$Y28)),
CELL("address",INDEX(Countermeasures!$A:$A,MATCH($A28,Countermeasures!$A:$A,0),1)))),
_xlpm._start,FIND("]",_xlpm._sheetReference),
"'"&amp;SUBSTITUTE(SUBSTITUTE(RIGHT(_xlpm._sheetReference,LEN(_xlpm._sheetReference)-_xlpm._start),"'",""),"!","'!")))</f>
        <v>'Countermeasures'!$A$37</v>
      </c>
      <c r="AA28" s="20" t="str" cm="1">
        <f t="array" aca="1" ref="AA28" ca="1">IF(NOT($L28),
_xlfn.LET(_xlpm._value,IF($A28="","",IF($J28,SimpleLookup($A28,Assumptions!$A:$AK),SimpleLookup($A28,Countermeasures!$A:$AN))),
IF(_xlpm._value="","",_xlpm._value)),
"")</f>
        <v/>
      </c>
      <c r="AB28" s="20" t="str" cm="1">
        <f t="array" aca="1" ref="AB28" ca="1">LookupNames(InverseLookup($A28,Mitigation!$AD$2,Mitigation!$A$2,1,Helper!$B$5,","),'Attack Steps'!$A:$B)</f>
        <v/>
      </c>
      <c r="AC28" s="20" t="str" cm="1">
        <f t="array" aca="1" ref="AC28" ca="1">IF($L28,
_xlfn.LET(
_xlpm._in,$A28,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28" s="20" t="str" cm="1">
        <f t="array" aca="1" ref="AD28" ca="1">_xlfn.LET(
_xlpm._countermeasures,InverseLookup($A28,Countermeasures!$AG$2,Countermeasures!$A$2,1,Helper!$B$4,","),
LookupNames(_xlpm._countermeasures,Countermeasures!$A:$B))</f>
        <v/>
      </c>
      <c r="AE28" s="20" t="str" cm="1">
        <f t="array" aca="1" ref="AE28" ca="1">IF($E28="","",_xlfn.LET(
_xlpm._id,$E28,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28" s="20" t="str" cm="1">
        <f t="array" aca="1" ref="AF28" ca="1">IF(OR($A28="",$L28),"",_xlfn.LET(
_xlpm._answers,IF($J28,SimpleLookup($A28,Assumptions!$A:$F),SimpleLookup($A28,Countermeasures!$A:$D)),
IF(_xlpm._answers="*",IF($J28,SimpleLookup($A28,Assumptions!$A:$C),SimpleLookup($A28,Countermeasures!$A:$C)),"")))</f>
        <v>See ETSI EN 303 645 V2.1.1 (2020-06), Provision 6-1, 6-2, and 6-3</v>
      </c>
      <c r="AG28" s="20" t="str" cm="1">
        <f t="array" aca="1" ref="AG28" ca="1">IF(NOT($L28),"",_xlfn.LET(
_xlpm._mappedInMitigation,IFERROR(VLOOKUP($V28,'Attack Steps'!$A:$O,COLUMNS('Attack Steps'!$A:$O),FALSE),""),
CreateSearchString(_xlpm._mappedInMitigation)))</f>
        <v/>
      </c>
      <c r="AH28" s="20" t="b">
        <f ca="1">ROW()-ROW($AH$17)=Helper!$B$15</f>
        <v>0</v>
      </c>
      <c r="AI28" s="20" t="str">
        <f t="shared" ca="1" si="6"/>
        <v/>
      </c>
      <c r="AJ28" s="20" cm="1">
        <f t="array" aca="1" ref="AJ28" ca="1">CreateID($AJ$17,$AJ:$AJ,$AI28&lt;&gt;"")</f>
        <v>0</v>
      </c>
    </row>
    <row r="29" spans="1:36" ht="48.75" x14ac:dyDescent="0.25">
      <c r="A29" s="16" t="str">
        <f ca="1">_xlfn.LET(
_xlpm._isAssumption,$J29,
_xlpm._row,$K29,
_xlpm._numActiveAssumptions,Helper!$B$8,
_xlpm._numActiveCountermeasures,Helper!$B$9,
_xlpm._numAdditionalAssumptions,Helper!$B$10,
_xlpm._numAdditionalCountermeasures,Helper!$B$11,
IF(_xlpm._isAssumption,
IF(_xlpm._row&gt;_xlpm._numActiveAssumptions,
$V29&amp;"-A"&amp;$Q29,
INDEX(Assumptions!A:A,MATCH(_xlpm._row,Assumptions!$AG:$AG,0))),
IF(_xlpm._row&gt;_xlpm._numActiveCountermeasures+_xlpm._numAdditionalCountermeasures,"",
IF(_xlpm._row&gt;_xlpm._numActiveCountermeasures,
$V29&amp;"-C"&amp;$Q29,
INDEX(Countermeasures!$A:$A,MATCH(_xlpm._row,Countermeasures!$AI:$AI,0))))))</f>
        <v>C34</v>
      </c>
      <c r="B29" s="16" t="str" cm="1">
        <f t="array" aca="1" ref="B29" ca="1">IF($A29="","",
_xlfn.LET(
_xlpm._isAssumption,$J29,
_xlpm._isAdditionalElement,$L29,
IF(_xlpm._isAdditionalElement,
IF(_xlpm._isAssumption,
ParseElementsFromComment($U29,Definitions!$AR$4,Definitions!$AS$4,Definitions!$AR$6,$Q29),
ParseElementsFromComment($U29,Definitions!$AR$5,Definitions!$AS$5,Definitions!$AR$6,$Q29)),
 _xlfn.LET(_xlpm._value,IF($A29="","",IF($J29,SimpleLookup($A29,Assumptions!$A:$B),SimpleLookup($A29,Countermeasures!$A:$B))),IF(_xlpm._value="","",_xlpm._value)))))</f>
        <v>SCR 1.2 - Telemetry data</v>
      </c>
      <c r="C29" s="16" t="str" cm="1">
        <f t="array" aca="1" ref="C29" ca="1">IF($A29="","",IF($J29,IFERROR(SimpleLookup($A29,Assumptions!$A:$E),""),Definitions!$AO$4))</f>
        <v>&lt;OEM name&gt;</v>
      </c>
      <c r="D29" s="36" t="str">
        <f t="shared" ca="1" si="2"/>
        <v>═══════════════════════════════════════════════════════════════
Default countermeasure:
––––––––––––––––––––––––––––––––––––––––––––––––––––––––––––––––––––––––––––––––––––
See ETSI EN 303 645 V2.1.1 (2020-06), Provision 6-4, and 6-5</v>
      </c>
      <c r="E29" s="13"/>
      <c r="F29" s="59" t="str">
        <f t="shared" ca="1" si="3"/>
        <v>click me</v>
      </c>
      <c r="G29" s="122" t="str" cm="1">
        <f t="array" aca="1" ref="G29" ca="1">_xlfn.LET(_xlpm._val,IFERROR(SimpleLookup($A29,Countermeasures!$A:$R),IFERROR(SimpleLookup($A29,Assumptions!$A:$R),"")),IF(_xlpm._val="","",_xlpm._val))</f>
        <v/>
      </c>
      <c r="H29" s="16" t="str" cm="1">
        <f t="array" aca="1" ref="H29" ca="1">_xlfn.LET(_xlpm._value,IF($A29="","",IFERROR(IF($J29,SimpleLookup($A29,Assumptions!$A:$S),SimpleLookup($A29,Countermeasures!$A:$S)),"")),
IF(_xlpm._value="","",_xlpm._value))</f>
        <v/>
      </c>
      <c r="I29" s="10" cm="1">
        <f t="array" aca="1" ref="I29" ca="1">IF(ROW()=ROW($I$17)+1,0,INDEX($I:$I,ROW()-1))+IF($A29="",0,1)</f>
        <v>12</v>
      </c>
      <c r="J29" s="10" t="b">
        <f ca="1">_xlfn.LET(_xlpm._row,ROW()-ROW($K$17),
_xlpm._numActiveAssumptions,Helper!$B$8,
_xlpm._numAdditionalAssumptions,SUM(Table24['# Elements]),
_xlpm._row&lt;=_xlpm._numActiveAssumptions+_xlpm._numAdditionalAssumptions)</f>
        <v>0</v>
      </c>
      <c r="K29" s="10">
        <f ca="1">_xlfn.LET(_xlpm._row,ROW()-ROW($K$17),
_xlpm._numActiveAssumptions,Helper!$B$8,
_xlpm._numAdditionalAssumptions,Helper!$B$10,
_xlpm._isAssumption,$J29,
_xlpm._elementID,IF(_xlpm._isAssumption,_xlpm._row,_xlpm._row-_xlpm._numActiveAssumptions-_xlpm._numAdditionalAssumptions),
_xlpm._elementID)</f>
        <v>6</v>
      </c>
      <c r="L29"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29" s="14" cm="1">
        <f t="array" aca="1" ref="M29" ca="1">IF($L29,
IF(ROW()=ROW($M$17)+1,1,INDEX($M:$M,ROW()-1)+IF(INDEX($T:$T,ROW()-1),1,0)),
1)</f>
        <v>1</v>
      </c>
      <c r="N29" s="14" t="str" cm="1">
        <f t="array" aca="1" ref="N29" ca="1">IF($L29=TRUE,
_xlfn.LET(
_xlpm._isAssumption,$J29,
_xlpm._indexRange,IF(_xlpm._isAssumption,Table24['# Elements],Table25['# Elements]),
_xlpm._lookupRow,$W29,
INDEX(_xlpm._indexRange,_xlpm._lookupRow)),
"")</f>
        <v/>
      </c>
      <c r="O29" s="20" t="str" cm="1">
        <f t="array" aca="1" ref="O29" ca="1">IF($N29="","",_xlfn.LET(
_xlpm._prevRow,ROW()-1,
IF(OR(INDEX($N:$N,_xlpm._prevRow)&lt;&gt;$N29,INDEX($M:$M,_xlpm._prevRow)&lt;&gt;$M29),
1,
INDEX($O:$O,_xlpm._prevRow)+IF(INDEX($S:$S,_xlpm._prevRow),1,0))))</f>
        <v/>
      </c>
      <c r="P29" s="20" t="str" cm="1">
        <f t="array" aca="1" ref="P29" ca="1">IF($O29="","",_xlfn.LET(
_xlpm._isAssumption,$J29,
_xlpm._sheetRow,$W29,
_xlpm._sheetName,$X29,
_xlpm._elementIDRange,IF(_xlpm._isAssumption,Table24[Element ID Column],Table25[Element ID Column]),
_xlpm._numberOfElementsRange,IF(_xlpm._isAssumption,Table24[Number of Elements Column],Table25[Number of Elements Column]),
SimpleLookup($O29,INDIRECT("'"&amp;_xlpm._sheetName&amp;"'!"&amp;INDEX(_xlpm._elementIDRange,_xlpm._sheetRow)&amp;":"&amp;INDEX(_xlpm._numberOfElementsRange,_xlpm._sheetRow)))))</f>
        <v/>
      </c>
      <c r="Q29" s="20" t="str" cm="1">
        <f t="array" aca="1" ref="Q29" ca="1">IF($O29="","",IF(OR(INDEX($O:$O,ROW()-1)&lt;&gt;$O29,INDEX($M:$M,ROW()-1)&lt;&gt;$M29),1,INDEX($Q:$Q,ROW()-1)+1))</f>
        <v/>
      </c>
      <c r="R29" s="20">
        <f t="shared" ca="1" si="4"/>
        <v>0</v>
      </c>
      <c r="S29" s="20" t="str">
        <f t="shared" ca="1" si="5"/>
        <v/>
      </c>
      <c r="T29" s="20" t="b">
        <f ca="1">_xlfn.LET(
_xlpm._isAssumption,$J29,
_xlpm._numberOfElementsRange,IF(_xlpm._isAssumption,Table24['# Elements],Table25['# Elements]),
_xlpm._sheetRow,$W29,
IF($L29,AND($S29,$R29=$N29),FALSE))</f>
        <v>0</v>
      </c>
      <c r="U29" s="20" t="str" cm="1">
        <f t="array" aca="1" ref="U29" ca="1">IF($L29,
_xlfn.LET(
_xlpm._elementID,$O29,
_xlpm._isAssumption,$J29,
_xlpm._sheetRow,$W29,
_xlpm._sheetName,$X29,
_xlpm._elementRow,$Y29,
_xlpm._resultColumnLetter,IF(_xlpm._isAssumption,INDEX(Table24[Comment Column],_xlpm._sheetRow),INDEX(Table25[Comment Column],_xlpm._sheetRow)),
INDEX(INDIRECT("'"&amp;_xlpm._sheetName&amp;"'!"&amp;_xlpm._resultColumnLetter&amp;":"&amp;_xlpm._resultColumnLetter),_xlpm._elementRow)),
"")</f>
        <v/>
      </c>
      <c r="V29" s="20" t="str" cm="1">
        <f t="array" aca="1" ref="V29" ca="1">IF($L29,
_xlfn.LET(
_xlpm._elementID,$O29,
_xlpm._isAssumption,$J29,
_xlpm._sheetRow,$W29,
_xlpm._sheetName,$X29,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29" s="20" t="str">
        <f ca="1">IF($L29=TRUE,
_xlfn.LET(
_xlpm._isAssumption,$J29,
_xlpm._searchRange,IF(_xlpm._isAssumption,Table24[Task Sheet Shadow ID],Table25[Task Sheet Shadow ID]),
MATCH($M29,_xlpm._searchRange,0)),
"")</f>
        <v/>
      </c>
      <c r="X29" s="20" t="str" cm="1">
        <f t="array" aca="1" ref="X29" ca="1">IF($L29,
_xlfn.LET(
_xlpm._isAssumption,$J29,
_xlpm._sheetRow,$W29,
IF(_xlpm._isAssumption,INDEX(Table24[Sheet Name],_xlpm._sheetRow),INDEX(Table25[Sheet Name],_xlpm._sheetRow))),
"")</f>
        <v/>
      </c>
      <c r="Y29" s="20" t="str" cm="1">
        <f t="array" aca="1" ref="Y29" ca="1">IF($L29,
_xlfn.LET(
_xlpm._elementID,$O29,
_xlpm._isAssumption,$J29,
_xlpm._sheetRow,$W29,
_xlpm._sheetName,$X29,
_xlpm._elementIDColumnLetter,IF(_xlpm._isAssumption,INDEX(Table24[Element ID Column],_xlpm._sheetRow),INDEX(Table25[Element ID Column],_xlpm._sheetRow)),
MATCH(_xlpm._elementID,INDIRECT("'"&amp;_xlpm._sheetName&amp;"'!"&amp;_xlpm._elementIDColumnLetter&amp;":"&amp;_xlpm._elementIDColumnLetter),0)),
"")</f>
        <v/>
      </c>
      <c r="Z29" s="20" t="str" cm="1">
        <f t="array" aca="1" ref="Z29" ca="1">IF($A29="","",_xlfn.LET(
_xlpm._isAssumption,$J29,
_xlpm._isAdditionalElement,$L29,
_xlpm._sheetRow,$W29,
_xlpm._sheetName,$X29,
_xlpm._columnLetter,INDEX(IF(_xlpm._isAdditionalElement,Table24[Comment Column],Table25[Comment Column]),_xlpm._sheetRow),
_xlpm._sheetReference,IF(_xlpm._isAssumption,IF(_xlpm._isAdditionalElement,
CELL("address",INDEX(INDIRECT("'"&amp;_xlpm._sheetName&amp;"'!"&amp;_xlpm._columnLetter&amp;":"&amp;_xlpm._columnLetter),$Y29)),
CELL("address",INDEX(Assumptions!$A:$A,MATCH($A29,Assumptions!$A:$A,0),1))),
IF(_xlpm._isAdditionalElement,
CELL("address",INDEX(INDIRECT("'"&amp;_xlpm._sheetName&amp;"'!"&amp;_xlpm._columnLetter&amp;":"&amp;_xlpm._columnLetter),$Y29)),
CELL("address",INDEX(Countermeasures!$A:$A,MATCH($A29,Countermeasures!$A:$A,0),1)))),
_xlpm._start,FIND("]",_xlpm._sheetReference),
"'"&amp;SUBSTITUTE(SUBSTITUTE(RIGHT(_xlpm._sheetReference,LEN(_xlpm._sheetReference)-_xlpm._start),"'",""),"!","'!")))</f>
        <v>'Countermeasures'!$A$38</v>
      </c>
      <c r="AA29" s="20" t="str" cm="1">
        <f t="array" aca="1" ref="AA29" ca="1">IF(NOT($L29),
_xlfn.LET(_xlpm._value,IF($A29="","",IF($J29,SimpleLookup($A29,Assumptions!$A:$AK),SimpleLookup($A29,Countermeasures!$A:$AN))),
IF(_xlpm._value="","",_xlpm._value)),
"")</f>
        <v/>
      </c>
      <c r="AB29" s="20" t="str" cm="1">
        <f t="array" aca="1" ref="AB29" ca="1">LookupNames(InverseLookup($A29,Mitigation!$AD$2,Mitigation!$A$2,1,Helper!$B$5,","),'Attack Steps'!$A:$B)</f>
        <v/>
      </c>
      <c r="AC29" s="20" t="str" cm="1">
        <f t="array" aca="1" ref="AC29" ca="1">IF($L29,
_xlfn.LET(
_xlpm._in,$A29,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29" s="20" t="str" cm="1">
        <f t="array" aca="1" ref="AD29" ca="1">_xlfn.LET(
_xlpm._countermeasures,InverseLookup($A29,Countermeasures!$AG$2,Countermeasures!$A$2,1,Helper!$B$4,","),
LookupNames(_xlpm._countermeasures,Countermeasures!$A:$B))</f>
        <v/>
      </c>
      <c r="AE29" s="20" t="str" cm="1">
        <f t="array" aca="1" ref="AE29" ca="1">IF($E29="","",_xlfn.LET(
_xlpm._id,$E29,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29" s="20" t="str" cm="1">
        <f t="array" aca="1" ref="AF29" ca="1">IF(OR($A29="",$L29),"",_xlfn.LET(
_xlpm._answers,IF($J29,SimpleLookup($A29,Assumptions!$A:$F),SimpleLookup($A29,Countermeasures!$A:$D)),
IF(_xlpm._answers="*",IF($J29,SimpleLookup($A29,Assumptions!$A:$C),SimpleLookup($A29,Countermeasures!$A:$C)),"")))</f>
        <v>See ETSI EN 303 645 V2.1.1 (2020-06), Provision 6-4, and 6-5</v>
      </c>
      <c r="AG29" s="20" t="str" cm="1">
        <f t="array" aca="1" ref="AG29" ca="1">IF(NOT($L29),"",_xlfn.LET(
_xlpm._mappedInMitigation,IFERROR(VLOOKUP($V29,'Attack Steps'!$A:$O,COLUMNS('Attack Steps'!$A:$O),FALSE),""),
CreateSearchString(_xlpm._mappedInMitigation)))</f>
        <v/>
      </c>
      <c r="AH29" s="20" t="b">
        <f ca="1">ROW()-ROW($AH$17)=Helper!$B$15</f>
        <v>1</v>
      </c>
      <c r="AI29" s="20" t="str">
        <f t="shared" ca="1" si="6"/>
        <v/>
      </c>
      <c r="AJ29" s="20" cm="1">
        <f t="array" aca="1" ref="AJ29" ca="1">CreateID($AJ$17,$AJ:$AJ,$AI29&lt;&gt;"")</f>
        <v>0</v>
      </c>
    </row>
    <row r="30" spans="1:36" x14ac:dyDescent="0.25">
      <c r="A30" s="16" t="str">
        <f ca="1">_xlfn.LET(
_xlpm._isAssumption,$J30,
_xlpm._row,$K30,
_xlpm._numActiveAssumptions,Helper!$B$8,
_xlpm._numActiveCountermeasures,Helper!$B$9,
_xlpm._numAdditionalAssumptions,Helper!$B$10,
_xlpm._numAdditionalCountermeasures,Helper!$B$11,
IF(_xlpm._isAssumption,
IF(_xlpm._row&gt;_xlpm._numActiveAssumptions,
$V30&amp;"-A"&amp;$Q30,
INDEX(Assumptions!A:A,MATCH(_xlpm._row,Assumptions!$AG:$AG,0))),
IF(_xlpm._row&gt;_xlpm._numActiveCountermeasures+_xlpm._numAdditionalCountermeasures,"",
IF(_xlpm._row&gt;_xlpm._numActiveCountermeasures,
$V30&amp;"-C"&amp;$Q30,
INDEX(Countermeasures!$A:$A,MATCH(_xlpm._row,Countermeasures!$AI:$AI,0))))))</f>
        <v/>
      </c>
      <c r="B30" s="16" t="str" cm="1">
        <f t="array" aca="1" ref="B30" ca="1">IF($A30="","",
_xlfn.LET(
_xlpm._isAssumption,$J30,
_xlpm._isAdditionalElement,$L30,
IF(_xlpm._isAdditionalElement,
IF(_xlpm._isAssumption,
ParseElementsFromComment($U30,Definitions!$AR$4,Definitions!$AS$4,Definitions!$AR$6,$Q30),
ParseElementsFromComment($U30,Definitions!$AR$5,Definitions!$AS$5,Definitions!$AR$6,$Q30)),
 _xlfn.LET(_xlpm._value,IF($A30="","",IF($J30,SimpleLookup($A30,Assumptions!$A:$B),SimpleLookup($A30,Countermeasures!$A:$B))),IF(_xlpm._value="","",_xlpm._value)))))</f>
        <v/>
      </c>
      <c r="C30" s="16" t="str" cm="1">
        <f t="array" aca="1" ref="C30" ca="1">IF($A30="","",IF($J30,IFERROR(SimpleLookup($A30,Assumptions!$A:$E),""),Definitions!$AO$4))</f>
        <v/>
      </c>
      <c r="D30" s="36" t="str">
        <f t="shared" ca="1" si="2"/>
        <v/>
      </c>
      <c r="E30" s="13"/>
      <c r="F30" s="59" t="str">
        <f t="shared" ca="1" si="3"/>
        <v/>
      </c>
      <c r="G30" s="122" t="str" cm="1">
        <f t="array" aca="1" ref="G30" ca="1">_xlfn.LET(_xlpm._val,IFERROR(SimpleLookup($A30,Countermeasures!$A:$R),IFERROR(SimpleLookup($A30,Assumptions!$A:$R),"")),IF(_xlpm._val="","",_xlpm._val))</f>
        <v/>
      </c>
      <c r="H30" s="16" t="str" cm="1">
        <f t="array" aca="1" ref="H30" ca="1">_xlfn.LET(_xlpm._value,IF($A30="","",IFERROR(IF($J30,SimpleLookup($A30,Assumptions!$A:$S),SimpleLookup($A30,Countermeasures!$A:$S)),"")),
IF(_xlpm._value="","",_xlpm._value))</f>
        <v/>
      </c>
      <c r="I30" s="10" cm="1">
        <f t="array" aca="1" ref="I30" ca="1">IF(ROW()=ROW($I$17)+1,0,INDEX($I:$I,ROW()-1))+IF($A30="",0,1)</f>
        <v>12</v>
      </c>
      <c r="J30" s="10" t="b">
        <f ca="1">_xlfn.LET(_xlpm._row,ROW()-ROW($K$17),
_xlpm._numActiveAssumptions,Helper!$B$8,
_xlpm._numAdditionalAssumptions,SUM(Table24['# Elements]),
_xlpm._row&lt;=_xlpm._numActiveAssumptions+_xlpm._numAdditionalAssumptions)</f>
        <v>0</v>
      </c>
      <c r="K30" s="10">
        <f ca="1">_xlfn.LET(_xlpm._row,ROW()-ROW($K$17),
_xlpm._numActiveAssumptions,Helper!$B$8,
_xlpm._numAdditionalAssumptions,Helper!$B$10,
_xlpm._isAssumption,$J30,
_xlpm._elementID,IF(_xlpm._isAssumption,_xlpm._row,_xlpm._row-_xlpm._numActiveAssumptions-_xlpm._numAdditionalAssumptions),
_xlpm._elementID)</f>
        <v>7</v>
      </c>
      <c r="L30"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30" s="14" cm="1">
        <f t="array" aca="1" ref="M30" ca="1">IF($L30,
IF(ROW()=ROW($M$17)+1,1,INDEX($M:$M,ROW()-1)+IF(INDEX($T:$T,ROW()-1),1,0)),
1)</f>
        <v>1</v>
      </c>
      <c r="N30" s="14" t="str" cm="1">
        <f t="array" aca="1" ref="N30" ca="1">IF($L30=TRUE,
_xlfn.LET(
_xlpm._isAssumption,$J30,
_xlpm._indexRange,IF(_xlpm._isAssumption,Table24['# Elements],Table25['# Elements]),
_xlpm._lookupRow,$W30,
INDEX(_xlpm._indexRange,_xlpm._lookupRow)),
"")</f>
        <v/>
      </c>
      <c r="O30" s="20" t="str" cm="1">
        <f t="array" aca="1" ref="O30" ca="1">IF($N30="","",_xlfn.LET(
_xlpm._prevRow,ROW()-1,
IF(OR(INDEX($N:$N,_xlpm._prevRow)&lt;&gt;$N30,INDEX($M:$M,_xlpm._prevRow)&lt;&gt;$M30),
1,
INDEX($O:$O,_xlpm._prevRow)+IF(INDEX($S:$S,_xlpm._prevRow),1,0))))</f>
        <v/>
      </c>
      <c r="P30" s="20" t="str" cm="1">
        <f t="array" aca="1" ref="P30" ca="1">IF($O30="","",_xlfn.LET(
_xlpm._isAssumption,$J30,
_xlpm._sheetRow,$W30,
_xlpm._sheetName,$X30,
_xlpm._elementIDRange,IF(_xlpm._isAssumption,Table24[Element ID Column],Table25[Element ID Column]),
_xlpm._numberOfElementsRange,IF(_xlpm._isAssumption,Table24[Number of Elements Column],Table25[Number of Elements Column]),
SimpleLookup($O30,INDIRECT("'"&amp;_xlpm._sheetName&amp;"'!"&amp;INDEX(_xlpm._elementIDRange,_xlpm._sheetRow)&amp;":"&amp;INDEX(_xlpm._numberOfElementsRange,_xlpm._sheetRow)))))</f>
        <v/>
      </c>
      <c r="Q30" s="20" t="str" cm="1">
        <f t="array" aca="1" ref="Q30" ca="1">IF($O30="","",IF(OR(INDEX($O:$O,ROW()-1)&lt;&gt;$O30,INDEX($M:$M,ROW()-1)&lt;&gt;$M30),1,INDEX($Q:$Q,ROW()-1)+1))</f>
        <v/>
      </c>
      <c r="R30" s="20">
        <f t="shared" ca="1" si="4"/>
        <v>0</v>
      </c>
      <c r="S30" s="20" t="str">
        <f t="shared" ca="1" si="5"/>
        <v/>
      </c>
      <c r="T30" s="20" t="b">
        <f ca="1">_xlfn.LET(
_xlpm._isAssumption,$J30,
_xlpm._numberOfElementsRange,IF(_xlpm._isAssumption,Table24['# Elements],Table25['# Elements]),
_xlpm._sheetRow,$W30,
IF($L30,AND($S30,$R30=$N30),FALSE))</f>
        <v>0</v>
      </c>
      <c r="U30" s="20" t="str" cm="1">
        <f t="array" aca="1" ref="U30" ca="1">IF($L30,
_xlfn.LET(
_xlpm._elementID,$O30,
_xlpm._isAssumption,$J30,
_xlpm._sheetRow,$W30,
_xlpm._sheetName,$X30,
_xlpm._elementRow,$Y30,
_xlpm._resultColumnLetter,IF(_xlpm._isAssumption,INDEX(Table24[Comment Column],_xlpm._sheetRow),INDEX(Table25[Comment Column],_xlpm._sheetRow)),
INDEX(INDIRECT("'"&amp;_xlpm._sheetName&amp;"'!"&amp;_xlpm._resultColumnLetter&amp;":"&amp;_xlpm._resultColumnLetter),_xlpm._elementRow)),
"")</f>
        <v/>
      </c>
      <c r="V30" s="20" t="str" cm="1">
        <f t="array" aca="1" ref="V30" ca="1">IF($L30,
_xlfn.LET(
_xlpm._elementID,$O30,
_xlpm._isAssumption,$J30,
_xlpm._sheetRow,$W30,
_xlpm._sheetName,$X30,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30" s="20" t="str">
        <f ca="1">IF($L30=TRUE,
_xlfn.LET(
_xlpm._isAssumption,$J30,
_xlpm._searchRange,IF(_xlpm._isAssumption,Table24[Task Sheet Shadow ID],Table25[Task Sheet Shadow ID]),
MATCH($M30,_xlpm._searchRange,0)),
"")</f>
        <v/>
      </c>
      <c r="X30" s="20" t="str" cm="1">
        <f t="array" aca="1" ref="X30" ca="1">IF($L30,
_xlfn.LET(
_xlpm._isAssumption,$J30,
_xlpm._sheetRow,$W30,
IF(_xlpm._isAssumption,INDEX(Table24[Sheet Name],_xlpm._sheetRow),INDEX(Table25[Sheet Name],_xlpm._sheetRow))),
"")</f>
        <v/>
      </c>
      <c r="Y30" s="20" t="str" cm="1">
        <f t="array" aca="1" ref="Y30" ca="1">IF($L30,
_xlfn.LET(
_xlpm._elementID,$O30,
_xlpm._isAssumption,$J30,
_xlpm._sheetRow,$W30,
_xlpm._sheetName,$X30,
_xlpm._elementIDColumnLetter,IF(_xlpm._isAssumption,INDEX(Table24[Element ID Column],_xlpm._sheetRow),INDEX(Table25[Element ID Column],_xlpm._sheetRow)),
MATCH(_xlpm._elementID,INDIRECT("'"&amp;_xlpm._sheetName&amp;"'!"&amp;_xlpm._elementIDColumnLetter&amp;":"&amp;_xlpm._elementIDColumnLetter),0)),
"")</f>
        <v/>
      </c>
      <c r="Z30" s="20" t="str" cm="1">
        <f t="array" aca="1" ref="Z30" ca="1">IF($A30="","",_xlfn.LET(
_xlpm._isAssumption,$J30,
_xlpm._isAdditionalElement,$L30,
_xlpm._sheetRow,$W30,
_xlpm._sheetName,$X30,
_xlpm._columnLetter,INDEX(IF(_xlpm._isAdditionalElement,Table24[Comment Column],Table25[Comment Column]),_xlpm._sheetRow),
_xlpm._sheetReference,IF(_xlpm._isAssumption,IF(_xlpm._isAdditionalElement,
CELL("address",INDEX(INDIRECT("'"&amp;_xlpm._sheetName&amp;"'!"&amp;_xlpm._columnLetter&amp;":"&amp;_xlpm._columnLetter),$Y30)),
CELL("address",INDEX(Assumptions!$A:$A,MATCH($A30,Assumptions!$A:$A,0),1))),
IF(_xlpm._isAdditionalElement,
CELL("address",INDEX(INDIRECT("'"&amp;_xlpm._sheetName&amp;"'!"&amp;_xlpm._columnLetter&amp;":"&amp;_xlpm._columnLetter),$Y30)),
CELL("address",INDEX(Countermeasures!$A:$A,MATCH($A30,Countermeasures!$A:$A,0),1)))),
_xlpm._start,FIND("]",_xlpm._sheetReference),
"'"&amp;SUBSTITUTE(SUBSTITUTE(RIGHT(_xlpm._sheetReference,LEN(_xlpm._sheetReference)-_xlpm._start),"'",""),"!","'!")))</f>
        <v/>
      </c>
      <c r="AA30" s="20" t="str" cm="1">
        <f t="array" aca="1" ref="AA30" ca="1">IF(NOT($L30),
_xlfn.LET(_xlpm._value,IF($A30="","",IF($J30,SimpleLookup($A30,Assumptions!$A:$AK),SimpleLookup($A30,Countermeasures!$A:$AN))),
IF(_xlpm._value="","",_xlpm._value)),
"")</f>
        <v/>
      </c>
      <c r="AB30" s="20" t="str" cm="1">
        <f t="array" aca="1" ref="AB30" ca="1">LookupNames(InverseLookup($A30,Mitigation!$AD$2,Mitigation!$A$2,1,Helper!$B$5,","),'Attack Steps'!$A:$B)</f>
        <v/>
      </c>
      <c r="AC30" s="20" t="str" cm="1">
        <f t="array" aca="1" ref="AC30" ca="1">IF($L30,
_xlfn.LET(
_xlpm._in,$A30,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30" s="20" t="str" cm="1">
        <f t="array" aca="1" ref="AD30" ca="1">_xlfn.LET(
_xlpm._countermeasures,InverseLookup($A30,Countermeasures!$AG$2,Countermeasures!$A$2,1,Helper!$B$4,","),
LookupNames(_xlpm._countermeasures,Countermeasures!$A:$B))</f>
        <v/>
      </c>
      <c r="AE30" s="20" t="str" cm="1">
        <f t="array" aca="1" ref="AE30" ca="1">IF($E30="","",_xlfn.LET(
_xlpm._id,$E30,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30" s="20" t="str" cm="1">
        <f t="array" aca="1" ref="AF30" ca="1">IF(OR($A30="",$L30),"",_xlfn.LET(
_xlpm._answers,IF($J30,SimpleLookup($A30,Assumptions!$A:$F),SimpleLookup($A30,Countermeasures!$A:$D)),
IF(_xlpm._answers="*",IF($J30,SimpleLookup($A30,Assumptions!$A:$C),SimpleLookup($A30,Countermeasures!$A:$C)),"")))</f>
        <v/>
      </c>
      <c r="AG30" s="20" t="str" cm="1">
        <f t="array" aca="1" ref="AG30" ca="1">IF(NOT($L30),"",_xlfn.LET(
_xlpm._mappedInMitigation,IFERROR(VLOOKUP($V30,'Attack Steps'!$A:$O,COLUMNS('Attack Steps'!$A:$O),FALSE),""),
CreateSearchString(_xlpm._mappedInMitigation)))</f>
        <v/>
      </c>
      <c r="AH30" s="20" t="b">
        <f ca="1">ROW()-ROW($AH$17)=Helper!$B$15</f>
        <v>0</v>
      </c>
      <c r="AI30" s="20" t="str">
        <f t="shared" ca="1" si="6"/>
        <v/>
      </c>
      <c r="AJ30" s="20" cm="1">
        <f t="array" aca="1" ref="AJ30" ca="1">CreateID($AJ$17,$AJ:$AJ,$AI30&lt;&gt;"")</f>
        <v>0</v>
      </c>
    </row>
    <row r="31" spans="1:36" x14ac:dyDescent="0.25">
      <c r="A31" s="16" t="str">
        <f ca="1">_xlfn.LET(
_xlpm._isAssumption,$J31,
_xlpm._row,$K31,
_xlpm._numActiveAssumptions,Helper!$B$8,
_xlpm._numActiveCountermeasures,Helper!$B$9,
_xlpm._numAdditionalAssumptions,Helper!$B$10,
_xlpm._numAdditionalCountermeasures,Helper!$B$11,
IF(_xlpm._isAssumption,
IF(_xlpm._row&gt;_xlpm._numActiveAssumptions,
$V31&amp;"-A"&amp;$Q31,
INDEX(Assumptions!A:A,MATCH(_xlpm._row,Assumptions!$AG:$AG,0))),
IF(_xlpm._row&gt;_xlpm._numActiveCountermeasures+_xlpm._numAdditionalCountermeasures,"",
IF(_xlpm._row&gt;_xlpm._numActiveCountermeasures,
$V31&amp;"-C"&amp;$Q31,
INDEX(Countermeasures!$A:$A,MATCH(_xlpm._row,Countermeasures!$AI:$AI,0))))))</f>
        <v/>
      </c>
      <c r="B31" s="16" t="str" cm="1">
        <f t="array" aca="1" ref="B31" ca="1">IF($A31="","",
_xlfn.LET(
_xlpm._isAssumption,$J31,
_xlpm._isAdditionalElement,$L31,
IF(_xlpm._isAdditionalElement,
IF(_xlpm._isAssumption,
ParseElementsFromComment($U31,Definitions!$AR$4,Definitions!$AS$4,Definitions!$AR$6,$Q31),
ParseElementsFromComment($U31,Definitions!$AR$5,Definitions!$AS$5,Definitions!$AR$6,$Q31)),
 _xlfn.LET(_xlpm._value,IF($A31="","",IF($J31,SimpleLookup($A31,Assumptions!$A:$B),SimpleLookup($A31,Countermeasures!$A:$B))),IF(_xlpm._value="","",_xlpm._value)))))</f>
        <v/>
      </c>
      <c r="C31" s="16" t="str" cm="1">
        <f t="array" aca="1" ref="C31" ca="1">IF($A31="","",IF($J31,IFERROR(SimpleLookup($A31,Assumptions!$A:$E),""),Definitions!$AO$4))</f>
        <v/>
      </c>
      <c r="D31" s="36" t="str">
        <f t="shared" ca="1" si="2"/>
        <v/>
      </c>
      <c r="E31" s="13"/>
      <c r="F31" s="59" t="str">
        <f t="shared" ca="1" si="3"/>
        <v/>
      </c>
      <c r="G31" s="122" t="str" cm="1">
        <f t="array" aca="1" ref="G31" ca="1">_xlfn.LET(_xlpm._val,IFERROR(SimpleLookup($A31,Countermeasures!$A:$R),IFERROR(SimpleLookup($A31,Assumptions!$A:$R),"")),IF(_xlpm._val="","",_xlpm._val))</f>
        <v/>
      </c>
      <c r="H31" s="16" t="str" cm="1">
        <f t="array" aca="1" ref="H31" ca="1">_xlfn.LET(_xlpm._value,IF($A31="","",IFERROR(IF($J31,SimpleLookup($A31,Assumptions!$A:$S),SimpleLookup($A31,Countermeasures!$A:$S)),"")),
IF(_xlpm._value="","",_xlpm._value))</f>
        <v/>
      </c>
      <c r="I31" s="10" cm="1">
        <f t="array" aca="1" ref="I31" ca="1">IF(ROW()=ROW($I$17)+1,0,INDEX($I:$I,ROW()-1))+IF($A31="",0,1)</f>
        <v>12</v>
      </c>
      <c r="J31" s="10" t="b">
        <f ca="1">_xlfn.LET(_xlpm._row,ROW()-ROW($K$17),
_xlpm._numActiveAssumptions,Helper!$B$8,
_xlpm._numAdditionalAssumptions,SUM(Table24['# Elements]),
_xlpm._row&lt;=_xlpm._numActiveAssumptions+_xlpm._numAdditionalAssumptions)</f>
        <v>0</v>
      </c>
      <c r="K31" s="10">
        <f ca="1">_xlfn.LET(_xlpm._row,ROW()-ROW($K$17),
_xlpm._numActiveAssumptions,Helper!$B$8,
_xlpm._numAdditionalAssumptions,Helper!$B$10,
_xlpm._isAssumption,$J31,
_xlpm._elementID,IF(_xlpm._isAssumption,_xlpm._row,_xlpm._row-_xlpm._numActiveAssumptions-_xlpm._numAdditionalAssumptions),
_xlpm._elementID)</f>
        <v>8</v>
      </c>
      <c r="L31"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31" s="14" cm="1">
        <f t="array" aca="1" ref="M31" ca="1">IF($L31,
IF(ROW()=ROW($M$17)+1,1,INDEX($M:$M,ROW()-1)+IF(INDEX($T:$T,ROW()-1),1,0)),
1)</f>
        <v>1</v>
      </c>
      <c r="N31" s="14" t="str" cm="1">
        <f t="array" aca="1" ref="N31" ca="1">IF($L31=TRUE,
_xlfn.LET(
_xlpm._isAssumption,$J31,
_xlpm._indexRange,IF(_xlpm._isAssumption,Table24['# Elements],Table25['# Elements]),
_xlpm._lookupRow,$W31,
INDEX(_xlpm._indexRange,_xlpm._lookupRow)),
"")</f>
        <v/>
      </c>
      <c r="O31" s="20" t="str" cm="1">
        <f t="array" aca="1" ref="O31" ca="1">IF($N31="","",_xlfn.LET(
_xlpm._prevRow,ROW()-1,
IF(OR(INDEX($N:$N,_xlpm._prevRow)&lt;&gt;$N31,INDEX($M:$M,_xlpm._prevRow)&lt;&gt;$M31),
1,
INDEX($O:$O,_xlpm._prevRow)+IF(INDEX($S:$S,_xlpm._prevRow),1,0))))</f>
        <v/>
      </c>
      <c r="P31" s="20" t="str" cm="1">
        <f t="array" aca="1" ref="P31" ca="1">IF($O31="","",_xlfn.LET(
_xlpm._isAssumption,$J31,
_xlpm._sheetRow,$W31,
_xlpm._sheetName,$X31,
_xlpm._elementIDRange,IF(_xlpm._isAssumption,Table24[Element ID Column],Table25[Element ID Column]),
_xlpm._numberOfElementsRange,IF(_xlpm._isAssumption,Table24[Number of Elements Column],Table25[Number of Elements Column]),
SimpleLookup($O31,INDIRECT("'"&amp;_xlpm._sheetName&amp;"'!"&amp;INDEX(_xlpm._elementIDRange,_xlpm._sheetRow)&amp;":"&amp;INDEX(_xlpm._numberOfElementsRange,_xlpm._sheetRow)))))</f>
        <v/>
      </c>
      <c r="Q31" s="20" t="str" cm="1">
        <f t="array" aca="1" ref="Q31" ca="1">IF($O31="","",IF(OR(INDEX($O:$O,ROW()-1)&lt;&gt;$O31,INDEX($M:$M,ROW()-1)&lt;&gt;$M31),1,INDEX($Q:$Q,ROW()-1)+1))</f>
        <v/>
      </c>
      <c r="R31" s="20">
        <f t="shared" ca="1" si="4"/>
        <v>0</v>
      </c>
      <c r="S31" s="20" t="str">
        <f t="shared" ca="1" si="5"/>
        <v/>
      </c>
      <c r="T31" s="20" t="b">
        <f ca="1">_xlfn.LET(
_xlpm._isAssumption,$J31,
_xlpm._numberOfElementsRange,IF(_xlpm._isAssumption,Table24['# Elements],Table25['# Elements]),
_xlpm._sheetRow,$W31,
IF($L31,AND($S31,$R31=$N31),FALSE))</f>
        <v>0</v>
      </c>
      <c r="U31" s="20" t="str" cm="1">
        <f t="array" aca="1" ref="U31" ca="1">IF($L31,
_xlfn.LET(
_xlpm._elementID,$O31,
_xlpm._isAssumption,$J31,
_xlpm._sheetRow,$W31,
_xlpm._sheetName,$X31,
_xlpm._elementRow,$Y31,
_xlpm._resultColumnLetter,IF(_xlpm._isAssumption,INDEX(Table24[Comment Column],_xlpm._sheetRow),INDEX(Table25[Comment Column],_xlpm._sheetRow)),
INDEX(INDIRECT("'"&amp;_xlpm._sheetName&amp;"'!"&amp;_xlpm._resultColumnLetter&amp;":"&amp;_xlpm._resultColumnLetter),_xlpm._elementRow)),
"")</f>
        <v/>
      </c>
      <c r="V31" s="20" t="str" cm="1">
        <f t="array" aca="1" ref="V31" ca="1">IF($L31,
_xlfn.LET(
_xlpm._elementID,$O31,
_xlpm._isAssumption,$J31,
_xlpm._sheetRow,$W31,
_xlpm._sheetName,$X31,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31" s="20" t="str">
        <f ca="1">IF($L31=TRUE,
_xlfn.LET(
_xlpm._isAssumption,$J31,
_xlpm._searchRange,IF(_xlpm._isAssumption,Table24[Task Sheet Shadow ID],Table25[Task Sheet Shadow ID]),
MATCH($M31,_xlpm._searchRange,0)),
"")</f>
        <v/>
      </c>
      <c r="X31" s="20" t="str" cm="1">
        <f t="array" aca="1" ref="X31" ca="1">IF($L31,
_xlfn.LET(
_xlpm._isAssumption,$J31,
_xlpm._sheetRow,$W31,
IF(_xlpm._isAssumption,INDEX(Table24[Sheet Name],_xlpm._sheetRow),INDEX(Table25[Sheet Name],_xlpm._sheetRow))),
"")</f>
        <v/>
      </c>
      <c r="Y31" s="20" t="str" cm="1">
        <f t="array" aca="1" ref="Y31" ca="1">IF($L31,
_xlfn.LET(
_xlpm._elementID,$O31,
_xlpm._isAssumption,$J31,
_xlpm._sheetRow,$W31,
_xlpm._sheetName,$X31,
_xlpm._elementIDColumnLetter,IF(_xlpm._isAssumption,INDEX(Table24[Element ID Column],_xlpm._sheetRow),INDEX(Table25[Element ID Column],_xlpm._sheetRow)),
MATCH(_xlpm._elementID,INDIRECT("'"&amp;_xlpm._sheetName&amp;"'!"&amp;_xlpm._elementIDColumnLetter&amp;":"&amp;_xlpm._elementIDColumnLetter),0)),
"")</f>
        <v/>
      </c>
      <c r="Z31" s="20" t="str" cm="1">
        <f t="array" aca="1" ref="Z31" ca="1">IF($A31="","",_xlfn.LET(
_xlpm._isAssumption,$J31,
_xlpm._isAdditionalElement,$L31,
_xlpm._sheetRow,$W31,
_xlpm._sheetName,$X31,
_xlpm._columnLetter,INDEX(IF(_xlpm._isAdditionalElement,Table24[Comment Column],Table25[Comment Column]),_xlpm._sheetRow),
_xlpm._sheetReference,IF(_xlpm._isAssumption,IF(_xlpm._isAdditionalElement,
CELL("address",INDEX(INDIRECT("'"&amp;_xlpm._sheetName&amp;"'!"&amp;_xlpm._columnLetter&amp;":"&amp;_xlpm._columnLetter),$Y31)),
CELL("address",INDEX(Assumptions!$A:$A,MATCH($A31,Assumptions!$A:$A,0),1))),
IF(_xlpm._isAdditionalElement,
CELL("address",INDEX(INDIRECT("'"&amp;_xlpm._sheetName&amp;"'!"&amp;_xlpm._columnLetter&amp;":"&amp;_xlpm._columnLetter),$Y31)),
CELL("address",INDEX(Countermeasures!$A:$A,MATCH($A31,Countermeasures!$A:$A,0),1)))),
_xlpm._start,FIND("]",_xlpm._sheetReference),
"'"&amp;SUBSTITUTE(SUBSTITUTE(RIGHT(_xlpm._sheetReference,LEN(_xlpm._sheetReference)-_xlpm._start),"'",""),"!","'!")))</f>
        <v/>
      </c>
      <c r="AA31" s="20" t="str" cm="1">
        <f t="array" aca="1" ref="AA31" ca="1">IF(NOT($L31),
_xlfn.LET(_xlpm._value,IF($A31="","",IF($J31,SimpleLookup($A31,Assumptions!$A:$AK),SimpleLookup($A31,Countermeasures!$A:$AN))),
IF(_xlpm._value="","",_xlpm._value)),
"")</f>
        <v/>
      </c>
      <c r="AB31" s="20" t="str" cm="1">
        <f t="array" aca="1" ref="AB31" ca="1">LookupNames(InverseLookup($A31,Mitigation!$AD$2,Mitigation!$A$2,1,Helper!$B$5,","),'Attack Steps'!$A:$B)</f>
        <v/>
      </c>
      <c r="AC31" s="20" t="str" cm="1">
        <f t="array" aca="1" ref="AC31" ca="1">IF($L31,
_xlfn.LET(
_xlpm._in,$A31,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31" s="20" t="str" cm="1">
        <f t="array" aca="1" ref="AD31" ca="1">_xlfn.LET(
_xlpm._countermeasures,InverseLookup($A31,Countermeasures!$AG$2,Countermeasures!$A$2,1,Helper!$B$4,","),
LookupNames(_xlpm._countermeasures,Countermeasures!$A:$B))</f>
        <v/>
      </c>
      <c r="AE31" s="20" t="str" cm="1">
        <f t="array" aca="1" ref="AE31" ca="1">IF($E31="","",_xlfn.LET(
_xlpm._id,$E31,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31" s="20" t="str" cm="1">
        <f t="array" aca="1" ref="AF31" ca="1">IF(OR($A31="",$L31),"",_xlfn.LET(
_xlpm._answers,IF($J31,SimpleLookup($A31,Assumptions!$A:$F),SimpleLookup($A31,Countermeasures!$A:$D)),
IF(_xlpm._answers="*",IF($J31,SimpleLookup($A31,Assumptions!$A:$C),SimpleLookup($A31,Countermeasures!$A:$C)),"")))</f>
        <v/>
      </c>
      <c r="AG31" s="20" t="str" cm="1">
        <f t="array" aca="1" ref="AG31" ca="1">IF(NOT($L31),"",_xlfn.LET(
_xlpm._mappedInMitigation,IFERROR(VLOOKUP($V31,'Attack Steps'!$A:$O,COLUMNS('Attack Steps'!$A:$O),FALSE),""),
CreateSearchString(_xlpm._mappedInMitigation)))</f>
        <v/>
      </c>
      <c r="AH31" s="20" t="b">
        <f ca="1">ROW()-ROW($AH$17)=Helper!$B$15</f>
        <v>0</v>
      </c>
      <c r="AI31" s="20" t="str">
        <f t="shared" ca="1" si="6"/>
        <v/>
      </c>
      <c r="AJ31" s="20" cm="1">
        <f t="array" aca="1" ref="AJ31" ca="1">CreateID($AJ$17,$AJ:$AJ,$AI31&lt;&gt;"")</f>
        <v>0</v>
      </c>
    </row>
    <row r="32" spans="1:36" x14ac:dyDescent="0.25">
      <c r="A32" s="16" t="str">
        <f ca="1">_xlfn.LET(
_xlpm._isAssumption,$J32,
_xlpm._row,$K32,
_xlpm._numActiveAssumptions,Helper!$B$8,
_xlpm._numActiveCountermeasures,Helper!$B$9,
_xlpm._numAdditionalAssumptions,Helper!$B$10,
_xlpm._numAdditionalCountermeasures,Helper!$B$11,
IF(_xlpm._isAssumption,
IF(_xlpm._row&gt;_xlpm._numActiveAssumptions,
$V32&amp;"-A"&amp;$Q32,
INDEX(Assumptions!A:A,MATCH(_xlpm._row,Assumptions!$AG:$AG,0))),
IF(_xlpm._row&gt;_xlpm._numActiveCountermeasures+_xlpm._numAdditionalCountermeasures,"",
IF(_xlpm._row&gt;_xlpm._numActiveCountermeasures,
$V32&amp;"-C"&amp;$Q32,
INDEX(Countermeasures!$A:$A,MATCH(_xlpm._row,Countermeasures!$AI:$AI,0))))))</f>
        <v/>
      </c>
      <c r="B32" s="16" t="str" cm="1">
        <f t="array" aca="1" ref="B32" ca="1">IF($A32="","",
_xlfn.LET(
_xlpm._isAssumption,$J32,
_xlpm._isAdditionalElement,$L32,
IF(_xlpm._isAdditionalElement,
IF(_xlpm._isAssumption,
ParseElementsFromComment($U32,Definitions!$AR$4,Definitions!$AS$4,Definitions!$AR$6,$Q32),
ParseElementsFromComment($U32,Definitions!$AR$5,Definitions!$AS$5,Definitions!$AR$6,$Q32)),
 _xlfn.LET(_xlpm._value,IF($A32="","",IF($J32,SimpleLookup($A32,Assumptions!$A:$B),SimpleLookup($A32,Countermeasures!$A:$B))),IF(_xlpm._value="","",_xlpm._value)))))</f>
        <v/>
      </c>
      <c r="C32" s="16" t="str" cm="1">
        <f t="array" aca="1" ref="C32" ca="1">IF($A32="","",IF($J32,IFERROR(SimpleLookup($A32,Assumptions!$A:$E),""),Definitions!$AO$4))</f>
        <v/>
      </c>
      <c r="D32" s="36" t="str">
        <f t="shared" ca="1" si="2"/>
        <v/>
      </c>
      <c r="E32" s="13"/>
      <c r="F32" s="59" t="str">
        <f t="shared" ca="1" si="3"/>
        <v/>
      </c>
      <c r="G32" s="122" t="str" cm="1">
        <f t="array" aca="1" ref="G32" ca="1">_xlfn.LET(_xlpm._val,IFERROR(SimpleLookup($A32,Countermeasures!$A:$R),IFERROR(SimpleLookup($A32,Assumptions!$A:$R),"")),IF(_xlpm._val="","",_xlpm._val))</f>
        <v/>
      </c>
      <c r="H32" s="16" t="str" cm="1">
        <f t="array" aca="1" ref="H32" ca="1">_xlfn.LET(_xlpm._value,IF($A32="","",IFERROR(IF($J32,SimpleLookup($A32,Assumptions!$A:$S),SimpleLookup($A32,Countermeasures!$A:$S)),"")),
IF(_xlpm._value="","",_xlpm._value))</f>
        <v/>
      </c>
      <c r="I32" s="10" cm="1">
        <f t="array" aca="1" ref="I32" ca="1">IF(ROW()=ROW($I$17)+1,0,INDEX($I:$I,ROW()-1))+IF($A32="",0,1)</f>
        <v>12</v>
      </c>
      <c r="J32" s="10" t="b">
        <f ca="1">_xlfn.LET(_xlpm._row,ROW()-ROW($K$17),
_xlpm._numActiveAssumptions,Helper!$B$8,
_xlpm._numAdditionalAssumptions,SUM(Table24['# Elements]),
_xlpm._row&lt;=_xlpm._numActiveAssumptions+_xlpm._numAdditionalAssumptions)</f>
        <v>0</v>
      </c>
      <c r="K32" s="10">
        <f ca="1">_xlfn.LET(_xlpm._row,ROW()-ROW($K$17),
_xlpm._numActiveAssumptions,Helper!$B$8,
_xlpm._numAdditionalAssumptions,Helper!$B$10,
_xlpm._isAssumption,$J32,
_xlpm._elementID,IF(_xlpm._isAssumption,_xlpm._row,_xlpm._row-_xlpm._numActiveAssumptions-_xlpm._numAdditionalAssumptions),
_xlpm._elementID)</f>
        <v>9</v>
      </c>
      <c r="L32"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32" s="14" cm="1">
        <f t="array" aca="1" ref="M32" ca="1">IF($L32,
IF(ROW()=ROW($M$17)+1,1,INDEX($M:$M,ROW()-1)+IF(INDEX($T:$T,ROW()-1),1,0)),
1)</f>
        <v>1</v>
      </c>
      <c r="N32" s="14" t="str" cm="1">
        <f t="array" aca="1" ref="N32" ca="1">IF($L32=TRUE,
_xlfn.LET(
_xlpm._isAssumption,$J32,
_xlpm._indexRange,IF(_xlpm._isAssumption,Table24['# Elements],Table25['# Elements]),
_xlpm._lookupRow,$W32,
INDEX(_xlpm._indexRange,_xlpm._lookupRow)),
"")</f>
        <v/>
      </c>
      <c r="O32" s="20" t="str" cm="1">
        <f t="array" aca="1" ref="O32" ca="1">IF($N32="","",_xlfn.LET(
_xlpm._prevRow,ROW()-1,
IF(OR(INDEX($N:$N,_xlpm._prevRow)&lt;&gt;$N32,INDEX($M:$M,_xlpm._prevRow)&lt;&gt;$M32),
1,
INDEX($O:$O,_xlpm._prevRow)+IF(INDEX($S:$S,_xlpm._prevRow),1,0))))</f>
        <v/>
      </c>
      <c r="P32" s="20" t="str" cm="1">
        <f t="array" aca="1" ref="P32" ca="1">IF($O32="","",_xlfn.LET(
_xlpm._isAssumption,$J32,
_xlpm._sheetRow,$W32,
_xlpm._sheetName,$X32,
_xlpm._elementIDRange,IF(_xlpm._isAssumption,Table24[Element ID Column],Table25[Element ID Column]),
_xlpm._numberOfElementsRange,IF(_xlpm._isAssumption,Table24[Number of Elements Column],Table25[Number of Elements Column]),
SimpleLookup($O32,INDIRECT("'"&amp;_xlpm._sheetName&amp;"'!"&amp;INDEX(_xlpm._elementIDRange,_xlpm._sheetRow)&amp;":"&amp;INDEX(_xlpm._numberOfElementsRange,_xlpm._sheetRow)))))</f>
        <v/>
      </c>
      <c r="Q32" s="20" t="str" cm="1">
        <f t="array" aca="1" ref="Q32" ca="1">IF($O32="","",IF(OR(INDEX($O:$O,ROW()-1)&lt;&gt;$O32,INDEX($M:$M,ROW()-1)&lt;&gt;$M32),1,INDEX($Q:$Q,ROW()-1)+1))</f>
        <v/>
      </c>
      <c r="R32" s="20">
        <f t="shared" ca="1" si="4"/>
        <v>0</v>
      </c>
      <c r="S32" s="20" t="str">
        <f t="shared" ca="1" si="5"/>
        <v/>
      </c>
      <c r="T32" s="20" t="b">
        <f ca="1">_xlfn.LET(
_xlpm._isAssumption,$J32,
_xlpm._numberOfElementsRange,IF(_xlpm._isAssumption,Table24['# Elements],Table25['# Elements]),
_xlpm._sheetRow,$W32,
IF($L32,AND($S32,$R32=$N32),FALSE))</f>
        <v>0</v>
      </c>
      <c r="U32" s="20" t="str" cm="1">
        <f t="array" aca="1" ref="U32" ca="1">IF($L32,
_xlfn.LET(
_xlpm._elementID,$O32,
_xlpm._isAssumption,$J32,
_xlpm._sheetRow,$W32,
_xlpm._sheetName,$X32,
_xlpm._elementRow,$Y32,
_xlpm._resultColumnLetter,IF(_xlpm._isAssumption,INDEX(Table24[Comment Column],_xlpm._sheetRow),INDEX(Table25[Comment Column],_xlpm._sheetRow)),
INDEX(INDIRECT("'"&amp;_xlpm._sheetName&amp;"'!"&amp;_xlpm._resultColumnLetter&amp;":"&amp;_xlpm._resultColumnLetter),_xlpm._elementRow)),
"")</f>
        <v/>
      </c>
      <c r="V32" s="20" t="str" cm="1">
        <f t="array" aca="1" ref="V32" ca="1">IF($L32,
_xlfn.LET(
_xlpm._elementID,$O32,
_xlpm._isAssumption,$J32,
_xlpm._sheetRow,$W32,
_xlpm._sheetName,$X32,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32" s="20" t="str">
        <f ca="1">IF($L32=TRUE,
_xlfn.LET(
_xlpm._isAssumption,$J32,
_xlpm._searchRange,IF(_xlpm._isAssumption,Table24[Task Sheet Shadow ID],Table25[Task Sheet Shadow ID]),
MATCH($M32,_xlpm._searchRange,0)),
"")</f>
        <v/>
      </c>
      <c r="X32" s="20" t="str" cm="1">
        <f t="array" aca="1" ref="X32" ca="1">IF($L32,
_xlfn.LET(
_xlpm._isAssumption,$J32,
_xlpm._sheetRow,$W32,
IF(_xlpm._isAssumption,INDEX(Table24[Sheet Name],_xlpm._sheetRow),INDEX(Table25[Sheet Name],_xlpm._sheetRow))),
"")</f>
        <v/>
      </c>
      <c r="Y32" s="20" t="str" cm="1">
        <f t="array" aca="1" ref="Y32" ca="1">IF($L32,
_xlfn.LET(
_xlpm._elementID,$O32,
_xlpm._isAssumption,$J32,
_xlpm._sheetRow,$W32,
_xlpm._sheetName,$X32,
_xlpm._elementIDColumnLetter,IF(_xlpm._isAssumption,INDEX(Table24[Element ID Column],_xlpm._sheetRow),INDEX(Table25[Element ID Column],_xlpm._sheetRow)),
MATCH(_xlpm._elementID,INDIRECT("'"&amp;_xlpm._sheetName&amp;"'!"&amp;_xlpm._elementIDColumnLetter&amp;":"&amp;_xlpm._elementIDColumnLetter),0)),
"")</f>
        <v/>
      </c>
      <c r="Z32" s="20" t="str" cm="1">
        <f t="array" aca="1" ref="Z32" ca="1">IF($A32="","",_xlfn.LET(
_xlpm._isAssumption,$J32,
_xlpm._isAdditionalElement,$L32,
_xlpm._sheetRow,$W32,
_xlpm._sheetName,$X32,
_xlpm._columnLetter,INDEX(IF(_xlpm._isAdditionalElement,Table24[Comment Column],Table25[Comment Column]),_xlpm._sheetRow),
_xlpm._sheetReference,IF(_xlpm._isAssumption,IF(_xlpm._isAdditionalElement,
CELL("address",INDEX(INDIRECT("'"&amp;_xlpm._sheetName&amp;"'!"&amp;_xlpm._columnLetter&amp;":"&amp;_xlpm._columnLetter),$Y32)),
CELL("address",INDEX(Assumptions!$A:$A,MATCH($A32,Assumptions!$A:$A,0),1))),
IF(_xlpm._isAdditionalElement,
CELL("address",INDEX(INDIRECT("'"&amp;_xlpm._sheetName&amp;"'!"&amp;_xlpm._columnLetter&amp;":"&amp;_xlpm._columnLetter),$Y32)),
CELL("address",INDEX(Countermeasures!$A:$A,MATCH($A32,Countermeasures!$A:$A,0),1)))),
_xlpm._start,FIND("]",_xlpm._sheetReference),
"'"&amp;SUBSTITUTE(SUBSTITUTE(RIGHT(_xlpm._sheetReference,LEN(_xlpm._sheetReference)-_xlpm._start),"'",""),"!","'!")))</f>
        <v/>
      </c>
      <c r="AA32" s="20" t="str" cm="1">
        <f t="array" aca="1" ref="AA32" ca="1">IF(NOT($L32),
_xlfn.LET(_xlpm._value,IF($A32="","",IF($J32,SimpleLookup($A32,Assumptions!$A:$AK),SimpleLookup($A32,Countermeasures!$A:$AN))),
IF(_xlpm._value="","",_xlpm._value)),
"")</f>
        <v/>
      </c>
      <c r="AB32" s="20" t="str" cm="1">
        <f t="array" aca="1" ref="AB32" ca="1">LookupNames(InverseLookup($A32,Mitigation!$AD$2,Mitigation!$A$2,1,Helper!$B$5,","),'Attack Steps'!$A:$B)</f>
        <v/>
      </c>
      <c r="AC32" s="20" t="str" cm="1">
        <f t="array" aca="1" ref="AC32" ca="1">IF($L32,
_xlfn.LET(
_xlpm._in,$A32,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32" s="20" t="str" cm="1">
        <f t="array" aca="1" ref="AD32" ca="1">_xlfn.LET(
_xlpm._countermeasures,InverseLookup($A32,Countermeasures!$AG$2,Countermeasures!$A$2,1,Helper!$B$4,","),
LookupNames(_xlpm._countermeasures,Countermeasures!$A:$B))</f>
        <v/>
      </c>
      <c r="AE32" s="20" t="str" cm="1">
        <f t="array" aca="1" ref="AE32" ca="1">IF($E32="","",_xlfn.LET(
_xlpm._id,$E32,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32" s="20" t="str" cm="1">
        <f t="array" aca="1" ref="AF32" ca="1">IF(OR($A32="",$L32),"",_xlfn.LET(
_xlpm._answers,IF($J32,SimpleLookup($A32,Assumptions!$A:$F),SimpleLookup($A32,Countermeasures!$A:$D)),
IF(_xlpm._answers="*",IF($J32,SimpleLookup($A32,Assumptions!$A:$C),SimpleLookup($A32,Countermeasures!$A:$C)),"")))</f>
        <v/>
      </c>
      <c r="AG32" s="20" t="str" cm="1">
        <f t="array" aca="1" ref="AG32" ca="1">IF(NOT($L32),"",_xlfn.LET(
_xlpm._mappedInMitigation,IFERROR(VLOOKUP($V32,'Attack Steps'!$A:$O,COLUMNS('Attack Steps'!$A:$O),FALSE),""),
CreateSearchString(_xlpm._mappedInMitigation)))</f>
        <v/>
      </c>
      <c r="AH32" s="20" t="b">
        <f ca="1">ROW()-ROW($AH$17)=Helper!$B$15</f>
        <v>0</v>
      </c>
      <c r="AI32" s="20" t="str">
        <f t="shared" ca="1" si="6"/>
        <v/>
      </c>
      <c r="AJ32" s="20" cm="1">
        <f t="array" aca="1" ref="AJ32" ca="1">CreateID($AJ$17,$AJ:$AJ,$AI32&lt;&gt;"")</f>
        <v>0</v>
      </c>
    </row>
    <row r="33" spans="1:36" x14ac:dyDescent="0.25">
      <c r="A33" s="16" t="str">
        <f ca="1">_xlfn.LET(
_xlpm._isAssumption,$J33,
_xlpm._row,$K33,
_xlpm._numActiveAssumptions,Helper!$B$8,
_xlpm._numActiveCountermeasures,Helper!$B$9,
_xlpm._numAdditionalAssumptions,Helper!$B$10,
_xlpm._numAdditionalCountermeasures,Helper!$B$11,
IF(_xlpm._isAssumption,
IF(_xlpm._row&gt;_xlpm._numActiveAssumptions,
$V33&amp;"-A"&amp;$Q33,
INDEX(Assumptions!A:A,MATCH(_xlpm._row,Assumptions!$AG:$AG,0))),
IF(_xlpm._row&gt;_xlpm._numActiveCountermeasures+_xlpm._numAdditionalCountermeasures,"",
IF(_xlpm._row&gt;_xlpm._numActiveCountermeasures,
$V33&amp;"-C"&amp;$Q33,
INDEX(Countermeasures!$A:$A,MATCH(_xlpm._row,Countermeasures!$AI:$AI,0))))))</f>
        <v/>
      </c>
      <c r="B33" s="16" t="str" cm="1">
        <f t="array" aca="1" ref="B33" ca="1">IF($A33="","",
_xlfn.LET(
_xlpm._isAssumption,$J33,
_xlpm._isAdditionalElement,$L33,
IF(_xlpm._isAdditionalElement,
IF(_xlpm._isAssumption,
ParseElementsFromComment($U33,Definitions!$AR$4,Definitions!$AS$4,Definitions!$AR$6,$Q33),
ParseElementsFromComment($U33,Definitions!$AR$5,Definitions!$AS$5,Definitions!$AR$6,$Q33)),
 _xlfn.LET(_xlpm._value,IF($A33="","",IF($J33,SimpleLookup($A33,Assumptions!$A:$B),SimpleLookup($A33,Countermeasures!$A:$B))),IF(_xlpm._value="","",_xlpm._value)))))</f>
        <v/>
      </c>
      <c r="C33" s="16" t="str" cm="1">
        <f t="array" aca="1" ref="C33" ca="1">IF($A33="","",IF($J33,IFERROR(SimpleLookup($A33,Assumptions!$A:$E),""),Definitions!$AO$4))</f>
        <v/>
      </c>
      <c r="D33" s="36" t="str">
        <f t="shared" ca="1" si="2"/>
        <v/>
      </c>
      <c r="E33" s="13"/>
      <c r="F33" s="59" t="str">
        <f t="shared" ca="1" si="3"/>
        <v/>
      </c>
      <c r="G33" s="122" t="str" cm="1">
        <f t="array" aca="1" ref="G33" ca="1">_xlfn.LET(_xlpm._val,IFERROR(SimpleLookup($A33,Countermeasures!$A:$R),IFERROR(SimpleLookup($A33,Assumptions!$A:$R),"")),IF(_xlpm._val="","",_xlpm._val))</f>
        <v/>
      </c>
      <c r="H33" s="16" t="str" cm="1">
        <f t="array" aca="1" ref="H33" ca="1">_xlfn.LET(_xlpm._value,IF($A33="","",IFERROR(IF($J33,SimpleLookup($A33,Assumptions!$A:$S),SimpleLookup($A33,Countermeasures!$A:$S)),"")),
IF(_xlpm._value="","",_xlpm._value))</f>
        <v/>
      </c>
      <c r="I33" s="10" cm="1">
        <f t="array" aca="1" ref="I33" ca="1">IF(ROW()=ROW($I$17)+1,0,INDEX($I:$I,ROW()-1))+IF($A33="",0,1)</f>
        <v>12</v>
      </c>
      <c r="J33" s="10" t="b">
        <f ca="1">_xlfn.LET(_xlpm._row,ROW()-ROW($K$17),
_xlpm._numActiveAssumptions,Helper!$B$8,
_xlpm._numAdditionalAssumptions,SUM(Table24['# Elements]),
_xlpm._row&lt;=_xlpm._numActiveAssumptions+_xlpm._numAdditionalAssumptions)</f>
        <v>0</v>
      </c>
      <c r="K33" s="10">
        <f ca="1">_xlfn.LET(_xlpm._row,ROW()-ROW($K$17),
_xlpm._numActiveAssumptions,Helper!$B$8,
_xlpm._numAdditionalAssumptions,Helper!$B$10,
_xlpm._isAssumption,$J33,
_xlpm._elementID,IF(_xlpm._isAssumption,_xlpm._row,_xlpm._row-_xlpm._numActiveAssumptions-_xlpm._numAdditionalAssumptions),
_xlpm._elementID)</f>
        <v>10</v>
      </c>
      <c r="L33"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33" s="14" cm="1">
        <f t="array" aca="1" ref="M33" ca="1">IF($L33,
IF(ROW()=ROW($M$17)+1,1,INDEX($M:$M,ROW()-1)+IF(INDEX($T:$T,ROW()-1),1,0)),
1)</f>
        <v>1</v>
      </c>
      <c r="N33" s="14" t="str" cm="1">
        <f t="array" aca="1" ref="N33" ca="1">IF($L33=TRUE,
_xlfn.LET(
_xlpm._isAssumption,$J33,
_xlpm._indexRange,IF(_xlpm._isAssumption,Table24['# Elements],Table25['# Elements]),
_xlpm._lookupRow,$W33,
INDEX(_xlpm._indexRange,_xlpm._lookupRow)),
"")</f>
        <v/>
      </c>
      <c r="O33" s="20" t="str" cm="1">
        <f t="array" aca="1" ref="O33" ca="1">IF($N33="","",_xlfn.LET(
_xlpm._prevRow,ROW()-1,
IF(OR(INDEX($N:$N,_xlpm._prevRow)&lt;&gt;$N33,INDEX($M:$M,_xlpm._prevRow)&lt;&gt;$M33),
1,
INDEX($O:$O,_xlpm._prevRow)+IF(INDEX($S:$S,_xlpm._prevRow),1,0))))</f>
        <v/>
      </c>
      <c r="P33" s="20" t="str" cm="1">
        <f t="array" aca="1" ref="P33" ca="1">IF($O33="","",_xlfn.LET(
_xlpm._isAssumption,$J33,
_xlpm._sheetRow,$W33,
_xlpm._sheetName,$X33,
_xlpm._elementIDRange,IF(_xlpm._isAssumption,Table24[Element ID Column],Table25[Element ID Column]),
_xlpm._numberOfElementsRange,IF(_xlpm._isAssumption,Table24[Number of Elements Column],Table25[Number of Elements Column]),
SimpleLookup($O33,INDIRECT("'"&amp;_xlpm._sheetName&amp;"'!"&amp;INDEX(_xlpm._elementIDRange,_xlpm._sheetRow)&amp;":"&amp;INDEX(_xlpm._numberOfElementsRange,_xlpm._sheetRow)))))</f>
        <v/>
      </c>
      <c r="Q33" s="20" t="str" cm="1">
        <f t="array" aca="1" ref="Q33" ca="1">IF($O33="","",IF(OR(INDEX($O:$O,ROW()-1)&lt;&gt;$O33,INDEX($M:$M,ROW()-1)&lt;&gt;$M33),1,INDEX($Q:$Q,ROW()-1)+1))</f>
        <v/>
      </c>
      <c r="R33" s="20">
        <f t="shared" ca="1" si="4"/>
        <v>0</v>
      </c>
      <c r="S33" s="20" t="str">
        <f t="shared" ca="1" si="5"/>
        <v/>
      </c>
      <c r="T33" s="20" t="b">
        <f ca="1">_xlfn.LET(
_xlpm._isAssumption,$J33,
_xlpm._numberOfElementsRange,IF(_xlpm._isAssumption,Table24['# Elements],Table25['# Elements]),
_xlpm._sheetRow,$W33,
IF($L33,AND($S33,$R33=$N33),FALSE))</f>
        <v>0</v>
      </c>
      <c r="U33" s="20" t="str" cm="1">
        <f t="array" aca="1" ref="U33" ca="1">IF($L33,
_xlfn.LET(
_xlpm._elementID,$O33,
_xlpm._isAssumption,$J33,
_xlpm._sheetRow,$W33,
_xlpm._sheetName,$X33,
_xlpm._elementRow,$Y33,
_xlpm._resultColumnLetter,IF(_xlpm._isAssumption,INDEX(Table24[Comment Column],_xlpm._sheetRow),INDEX(Table25[Comment Column],_xlpm._sheetRow)),
INDEX(INDIRECT("'"&amp;_xlpm._sheetName&amp;"'!"&amp;_xlpm._resultColumnLetter&amp;":"&amp;_xlpm._resultColumnLetter),_xlpm._elementRow)),
"")</f>
        <v/>
      </c>
      <c r="V33" s="20" t="str" cm="1">
        <f t="array" aca="1" ref="V33" ca="1">IF($L33,
_xlfn.LET(
_xlpm._elementID,$O33,
_xlpm._isAssumption,$J33,
_xlpm._sheetRow,$W33,
_xlpm._sheetName,$X33,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33" s="20" t="str">
        <f ca="1">IF($L33=TRUE,
_xlfn.LET(
_xlpm._isAssumption,$J33,
_xlpm._searchRange,IF(_xlpm._isAssumption,Table24[Task Sheet Shadow ID],Table25[Task Sheet Shadow ID]),
MATCH($M33,_xlpm._searchRange,0)),
"")</f>
        <v/>
      </c>
      <c r="X33" s="20" t="str" cm="1">
        <f t="array" aca="1" ref="X33" ca="1">IF($L33,
_xlfn.LET(
_xlpm._isAssumption,$J33,
_xlpm._sheetRow,$W33,
IF(_xlpm._isAssumption,INDEX(Table24[Sheet Name],_xlpm._sheetRow),INDEX(Table25[Sheet Name],_xlpm._sheetRow))),
"")</f>
        <v/>
      </c>
      <c r="Y33" s="20" t="str" cm="1">
        <f t="array" aca="1" ref="Y33" ca="1">IF($L33,
_xlfn.LET(
_xlpm._elementID,$O33,
_xlpm._isAssumption,$J33,
_xlpm._sheetRow,$W33,
_xlpm._sheetName,$X33,
_xlpm._elementIDColumnLetter,IF(_xlpm._isAssumption,INDEX(Table24[Element ID Column],_xlpm._sheetRow),INDEX(Table25[Element ID Column],_xlpm._sheetRow)),
MATCH(_xlpm._elementID,INDIRECT("'"&amp;_xlpm._sheetName&amp;"'!"&amp;_xlpm._elementIDColumnLetter&amp;":"&amp;_xlpm._elementIDColumnLetter),0)),
"")</f>
        <v/>
      </c>
      <c r="Z33" s="20" t="str" cm="1">
        <f t="array" aca="1" ref="Z33" ca="1">IF($A33="","",_xlfn.LET(
_xlpm._isAssumption,$J33,
_xlpm._isAdditionalElement,$L33,
_xlpm._sheetRow,$W33,
_xlpm._sheetName,$X33,
_xlpm._columnLetter,INDEX(IF(_xlpm._isAdditionalElement,Table24[Comment Column],Table25[Comment Column]),_xlpm._sheetRow),
_xlpm._sheetReference,IF(_xlpm._isAssumption,IF(_xlpm._isAdditionalElement,
CELL("address",INDEX(INDIRECT("'"&amp;_xlpm._sheetName&amp;"'!"&amp;_xlpm._columnLetter&amp;":"&amp;_xlpm._columnLetter),$Y33)),
CELL("address",INDEX(Assumptions!$A:$A,MATCH($A33,Assumptions!$A:$A,0),1))),
IF(_xlpm._isAdditionalElement,
CELL("address",INDEX(INDIRECT("'"&amp;_xlpm._sheetName&amp;"'!"&amp;_xlpm._columnLetter&amp;":"&amp;_xlpm._columnLetter),$Y33)),
CELL("address",INDEX(Countermeasures!$A:$A,MATCH($A33,Countermeasures!$A:$A,0),1)))),
_xlpm._start,FIND("]",_xlpm._sheetReference),
"'"&amp;SUBSTITUTE(SUBSTITUTE(RIGHT(_xlpm._sheetReference,LEN(_xlpm._sheetReference)-_xlpm._start),"'",""),"!","'!")))</f>
        <v/>
      </c>
      <c r="AA33" s="20" t="str" cm="1">
        <f t="array" aca="1" ref="AA33" ca="1">IF(NOT($L33),
_xlfn.LET(_xlpm._value,IF($A33="","",IF($J33,SimpleLookup($A33,Assumptions!$A:$AK),SimpleLookup($A33,Countermeasures!$A:$AN))),
IF(_xlpm._value="","",_xlpm._value)),
"")</f>
        <v/>
      </c>
      <c r="AB33" s="20" t="str" cm="1">
        <f t="array" aca="1" ref="AB33" ca="1">LookupNames(InverseLookup($A33,Mitigation!$AD$2,Mitigation!$A$2,1,Helper!$B$5,","),'Attack Steps'!$A:$B)</f>
        <v/>
      </c>
      <c r="AC33" s="20" t="str" cm="1">
        <f t="array" aca="1" ref="AC33" ca="1">IF($L33,
_xlfn.LET(
_xlpm._in,$A33,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33" s="20" t="str" cm="1">
        <f t="array" aca="1" ref="AD33" ca="1">_xlfn.LET(
_xlpm._countermeasures,InverseLookup($A33,Countermeasures!$AG$2,Countermeasures!$A$2,1,Helper!$B$4,","),
LookupNames(_xlpm._countermeasures,Countermeasures!$A:$B))</f>
        <v/>
      </c>
      <c r="AE33" s="20" t="str" cm="1">
        <f t="array" aca="1" ref="AE33" ca="1">IF($E33="","",_xlfn.LET(
_xlpm._id,$E33,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33" s="20" t="str" cm="1">
        <f t="array" aca="1" ref="AF33" ca="1">IF(OR($A33="",$L33),"",_xlfn.LET(
_xlpm._answers,IF($J33,SimpleLookup($A33,Assumptions!$A:$F),SimpleLookup($A33,Countermeasures!$A:$D)),
IF(_xlpm._answers="*",IF($J33,SimpleLookup($A33,Assumptions!$A:$C),SimpleLookup($A33,Countermeasures!$A:$C)),"")))</f>
        <v/>
      </c>
      <c r="AG33" s="20" t="str" cm="1">
        <f t="array" aca="1" ref="AG33" ca="1">IF(NOT($L33),"",_xlfn.LET(
_xlpm._mappedInMitigation,IFERROR(VLOOKUP($V33,'Attack Steps'!$A:$O,COLUMNS('Attack Steps'!$A:$O),FALSE),""),
CreateSearchString(_xlpm._mappedInMitigation)))</f>
        <v/>
      </c>
      <c r="AH33" s="20" t="b">
        <f ca="1">ROW()-ROW($AH$17)=Helper!$B$15</f>
        <v>0</v>
      </c>
      <c r="AI33" s="20" t="str">
        <f t="shared" ca="1" si="6"/>
        <v/>
      </c>
      <c r="AJ33" s="20" cm="1">
        <f t="array" aca="1" ref="AJ33" ca="1">CreateID($AJ$17,$AJ:$AJ,$AI33&lt;&gt;"")</f>
        <v>0</v>
      </c>
    </row>
    <row r="34" spans="1:36" x14ac:dyDescent="0.25">
      <c r="A34" s="16" t="str">
        <f ca="1">_xlfn.LET(
_xlpm._isAssumption,$J34,
_xlpm._row,$K34,
_xlpm._numActiveAssumptions,Helper!$B$8,
_xlpm._numActiveCountermeasures,Helper!$B$9,
_xlpm._numAdditionalAssumptions,Helper!$B$10,
_xlpm._numAdditionalCountermeasures,Helper!$B$11,
IF(_xlpm._isAssumption,
IF(_xlpm._row&gt;_xlpm._numActiveAssumptions,
$V34&amp;"-A"&amp;$Q34,
INDEX(Assumptions!A:A,MATCH(_xlpm._row,Assumptions!$AG:$AG,0))),
IF(_xlpm._row&gt;_xlpm._numActiveCountermeasures+_xlpm._numAdditionalCountermeasures,"",
IF(_xlpm._row&gt;_xlpm._numActiveCountermeasures,
$V34&amp;"-C"&amp;$Q34,
INDEX(Countermeasures!$A:$A,MATCH(_xlpm._row,Countermeasures!$AI:$AI,0))))))</f>
        <v/>
      </c>
      <c r="B34" s="16" t="str" cm="1">
        <f t="array" aca="1" ref="B34" ca="1">IF($A34="","",
_xlfn.LET(
_xlpm._isAssumption,$J34,
_xlpm._isAdditionalElement,$L34,
IF(_xlpm._isAdditionalElement,
IF(_xlpm._isAssumption,
ParseElementsFromComment($U34,Definitions!$AR$4,Definitions!$AS$4,Definitions!$AR$6,$Q34),
ParseElementsFromComment($U34,Definitions!$AR$5,Definitions!$AS$5,Definitions!$AR$6,$Q34)),
 _xlfn.LET(_xlpm._value,IF($A34="","",IF($J34,SimpleLookup($A34,Assumptions!$A:$B),SimpleLookup($A34,Countermeasures!$A:$B))),IF(_xlpm._value="","",_xlpm._value)))))</f>
        <v/>
      </c>
      <c r="C34" s="16" t="str" cm="1">
        <f t="array" aca="1" ref="C34" ca="1">IF($A34="","",IF($J34,IFERROR(SimpleLookup($A34,Assumptions!$A:$E),""),Definitions!$AO$4))</f>
        <v/>
      </c>
      <c r="D34" s="36" t="str">
        <f t="shared" ca="1" si="2"/>
        <v/>
      </c>
      <c r="E34" s="13"/>
      <c r="F34" s="59" t="str">
        <f t="shared" ca="1" si="3"/>
        <v/>
      </c>
      <c r="G34" s="122" t="str" cm="1">
        <f t="array" aca="1" ref="G34" ca="1">_xlfn.LET(_xlpm._val,IFERROR(SimpleLookup($A34,Countermeasures!$A:$R),IFERROR(SimpleLookup($A34,Assumptions!$A:$R),"")),IF(_xlpm._val="","",_xlpm._val))</f>
        <v/>
      </c>
      <c r="H34" s="16" t="str" cm="1">
        <f t="array" aca="1" ref="H34" ca="1">_xlfn.LET(_xlpm._value,IF($A34="","",IFERROR(IF($J34,SimpleLookup($A34,Assumptions!$A:$S),SimpleLookup($A34,Countermeasures!$A:$S)),"")),
IF(_xlpm._value="","",_xlpm._value))</f>
        <v/>
      </c>
      <c r="I34" s="10" cm="1">
        <f t="array" aca="1" ref="I34" ca="1">IF(ROW()=ROW($I$17)+1,0,INDEX($I:$I,ROW()-1))+IF($A34="",0,1)</f>
        <v>12</v>
      </c>
      <c r="J34" s="10" t="b">
        <f ca="1">_xlfn.LET(_xlpm._row,ROW()-ROW($K$17),
_xlpm._numActiveAssumptions,Helper!$B$8,
_xlpm._numAdditionalAssumptions,SUM(Table24['# Elements]),
_xlpm._row&lt;=_xlpm._numActiveAssumptions+_xlpm._numAdditionalAssumptions)</f>
        <v>0</v>
      </c>
      <c r="K34" s="10">
        <f ca="1">_xlfn.LET(_xlpm._row,ROW()-ROW($K$17),
_xlpm._numActiveAssumptions,Helper!$B$8,
_xlpm._numAdditionalAssumptions,Helper!$B$10,
_xlpm._isAssumption,$J34,
_xlpm._elementID,IF(_xlpm._isAssumption,_xlpm._row,_xlpm._row-_xlpm._numActiveAssumptions-_xlpm._numAdditionalAssumptions),
_xlpm._elementID)</f>
        <v>11</v>
      </c>
      <c r="L34" s="14"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34" s="14" cm="1">
        <f t="array" aca="1" ref="M34" ca="1">IF($L34,
IF(ROW()=ROW($M$17)+1,1,INDEX($M:$M,ROW()-1)+IF(INDEX($T:$T,ROW()-1),1,0)),
1)</f>
        <v>1</v>
      </c>
      <c r="N34" s="14" t="str" cm="1">
        <f t="array" aca="1" ref="N34" ca="1">IF($L34=TRUE,
_xlfn.LET(
_xlpm._isAssumption,$J34,
_xlpm._indexRange,IF(_xlpm._isAssumption,Table24['# Elements],Table25['# Elements]),
_xlpm._lookupRow,$W34,
INDEX(_xlpm._indexRange,_xlpm._lookupRow)),
"")</f>
        <v/>
      </c>
      <c r="O34" s="20" t="str" cm="1">
        <f t="array" aca="1" ref="O34" ca="1">IF($N34="","",_xlfn.LET(
_xlpm._prevRow,ROW()-1,
IF(OR(INDEX($N:$N,_xlpm._prevRow)&lt;&gt;$N34,INDEX($M:$M,_xlpm._prevRow)&lt;&gt;$M34),
1,
INDEX($O:$O,_xlpm._prevRow)+IF(INDEX($S:$S,_xlpm._prevRow),1,0))))</f>
        <v/>
      </c>
      <c r="P34" s="20" t="str" cm="1">
        <f t="array" aca="1" ref="P34" ca="1">IF($O34="","",_xlfn.LET(
_xlpm._isAssumption,$J34,
_xlpm._sheetRow,$W34,
_xlpm._sheetName,$X34,
_xlpm._elementIDRange,IF(_xlpm._isAssumption,Table24[Element ID Column],Table25[Element ID Column]),
_xlpm._numberOfElementsRange,IF(_xlpm._isAssumption,Table24[Number of Elements Column],Table25[Number of Elements Column]),
SimpleLookup($O34,INDIRECT("'"&amp;_xlpm._sheetName&amp;"'!"&amp;INDEX(_xlpm._elementIDRange,_xlpm._sheetRow)&amp;":"&amp;INDEX(_xlpm._numberOfElementsRange,_xlpm._sheetRow)))))</f>
        <v/>
      </c>
      <c r="Q34" s="20" t="str" cm="1">
        <f t="array" aca="1" ref="Q34" ca="1">IF($O34="","",IF(OR(INDEX($O:$O,ROW()-1)&lt;&gt;$O34,INDEX($M:$M,ROW()-1)&lt;&gt;$M34),1,INDEX($Q:$Q,ROW()-1)+1))</f>
        <v/>
      </c>
      <c r="R34" s="20">
        <f t="shared" ca="1" si="4"/>
        <v>0</v>
      </c>
      <c r="S34" s="20" t="str">
        <f t="shared" ca="1" si="5"/>
        <v/>
      </c>
      <c r="T34" s="20" t="b">
        <f ca="1">_xlfn.LET(
_xlpm._isAssumption,$J34,
_xlpm._numberOfElementsRange,IF(_xlpm._isAssumption,Table24['# Elements],Table25['# Elements]),
_xlpm._sheetRow,$W34,
IF($L34,AND($S34,$R34=$N34),FALSE))</f>
        <v>0</v>
      </c>
      <c r="U34" s="20" t="str" cm="1">
        <f t="array" aca="1" ref="U34" ca="1">IF($L34,
_xlfn.LET(
_xlpm._elementID,$O34,
_xlpm._isAssumption,$J34,
_xlpm._sheetRow,$W34,
_xlpm._sheetName,$X34,
_xlpm._elementRow,$Y34,
_xlpm._resultColumnLetter,IF(_xlpm._isAssumption,INDEX(Table24[Comment Column],_xlpm._sheetRow),INDEX(Table25[Comment Column],_xlpm._sheetRow)),
INDEX(INDIRECT("'"&amp;_xlpm._sheetName&amp;"'!"&amp;_xlpm._resultColumnLetter&amp;":"&amp;_xlpm._resultColumnLetter),_xlpm._elementRow)),
"")</f>
        <v/>
      </c>
      <c r="V34" s="20" t="str" cm="1">
        <f t="array" aca="1" ref="V34" ca="1">IF($L34,
_xlfn.LET(
_xlpm._elementID,$O34,
_xlpm._isAssumption,$J34,
_xlpm._sheetRow,$W34,
_xlpm._sheetName,$X34,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34" s="20" t="str">
        <f ca="1">IF($L34=TRUE,
_xlfn.LET(
_xlpm._isAssumption,$J34,
_xlpm._searchRange,IF(_xlpm._isAssumption,Table24[Task Sheet Shadow ID],Table25[Task Sheet Shadow ID]),
MATCH($M34,_xlpm._searchRange,0)),
"")</f>
        <v/>
      </c>
      <c r="X34" s="20" t="str" cm="1">
        <f t="array" aca="1" ref="X34" ca="1">IF($L34,
_xlfn.LET(
_xlpm._isAssumption,$J34,
_xlpm._sheetRow,$W34,
IF(_xlpm._isAssumption,INDEX(Table24[Sheet Name],_xlpm._sheetRow),INDEX(Table25[Sheet Name],_xlpm._sheetRow))),
"")</f>
        <v/>
      </c>
      <c r="Y34" s="20" t="str" cm="1">
        <f t="array" aca="1" ref="Y34" ca="1">IF($L34,
_xlfn.LET(
_xlpm._elementID,$O34,
_xlpm._isAssumption,$J34,
_xlpm._sheetRow,$W34,
_xlpm._sheetName,$X34,
_xlpm._elementIDColumnLetter,IF(_xlpm._isAssumption,INDEX(Table24[Element ID Column],_xlpm._sheetRow),INDEX(Table25[Element ID Column],_xlpm._sheetRow)),
MATCH(_xlpm._elementID,INDIRECT("'"&amp;_xlpm._sheetName&amp;"'!"&amp;_xlpm._elementIDColumnLetter&amp;":"&amp;_xlpm._elementIDColumnLetter),0)),
"")</f>
        <v/>
      </c>
      <c r="Z34" s="20" t="str" cm="1">
        <f t="array" aca="1" ref="Z34" ca="1">IF($A34="","",_xlfn.LET(
_xlpm._isAssumption,$J34,
_xlpm._isAdditionalElement,$L34,
_xlpm._sheetRow,$W34,
_xlpm._sheetName,$X34,
_xlpm._columnLetter,INDEX(IF(_xlpm._isAdditionalElement,Table24[Comment Column],Table25[Comment Column]),_xlpm._sheetRow),
_xlpm._sheetReference,IF(_xlpm._isAssumption,IF(_xlpm._isAdditionalElement,
CELL("address",INDEX(INDIRECT("'"&amp;_xlpm._sheetName&amp;"'!"&amp;_xlpm._columnLetter&amp;":"&amp;_xlpm._columnLetter),$Y34)),
CELL("address",INDEX(Assumptions!$A:$A,MATCH($A34,Assumptions!$A:$A,0),1))),
IF(_xlpm._isAdditionalElement,
CELL("address",INDEX(INDIRECT("'"&amp;_xlpm._sheetName&amp;"'!"&amp;_xlpm._columnLetter&amp;":"&amp;_xlpm._columnLetter),$Y34)),
CELL("address",INDEX(Countermeasures!$A:$A,MATCH($A34,Countermeasures!$A:$A,0),1)))),
_xlpm._start,FIND("]",_xlpm._sheetReference),
"'"&amp;SUBSTITUTE(SUBSTITUTE(RIGHT(_xlpm._sheetReference,LEN(_xlpm._sheetReference)-_xlpm._start),"'",""),"!","'!")))</f>
        <v/>
      </c>
      <c r="AA34" s="20" t="str" cm="1">
        <f t="array" aca="1" ref="AA34" ca="1">IF(NOT($L34),
_xlfn.LET(_xlpm._value,IF($A34="","",IF($J34,SimpleLookup($A34,Assumptions!$A:$AK),SimpleLookup($A34,Countermeasures!$A:$AN))),
IF(_xlpm._value="","",_xlpm._value)),
"")</f>
        <v/>
      </c>
      <c r="AB34" s="20" t="str" cm="1">
        <f t="array" aca="1" ref="AB34" ca="1">LookupNames(InverseLookup($A34,Mitigation!$AD$2,Mitigation!$A$2,1,Helper!$B$5,","),'Attack Steps'!$A:$B)</f>
        <v/>
      </c>
      <c r="AC34" s="20" t="str" cm="1">
        <f t="array" aca="1" ref="AC34" ca="1">IF($L34,
_xlfn.LET(
_xlpm._in,$A34,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34" s="20" t="str" cm="1">
        <f t="array" aca="1" ref="AD34" ca="1">_xlfn.LET(
_xlpm._countermeasures,InverseLookup($A34,Countermeasures!$AG$2,Countermeasures!$A$2,1,Helper!$B$4,","),
LookupNames(_xlpm._countermeasures,Countermeasures!$A:$B))</f>
        <v/>
      </c>
      <c r="AE34" s="20" t="str" cm="1">
        <f t="array" aca="1" ref="AE34" ca="1">IF($E34="","",_xlfn.LET(
_xlpm._id,$E34,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34" s="20" t="str" cm="1">
        <f t="array" aca="1" ref="AF34" ca="1">IF(OR($A34="",$L34),"",_xlfn.LET(
_xlpm._answers,IF($J34,SimpleLookup($A34,Assumptions!$A:$F),SimpleLookup($A34,Countermeasures!$A:$D)),
IF(_xlpm._answers="*",IF($J34,SimpleLookup($A34,Assumptions!$A:$C),SimpleLookup($A34,Countermeasures!$A:$C)),"")))</f>
        <v/>
      </c>
      <c r="AG34" s="20" t="str" cm="1">
        <f t="array" aca="1" ref="AG34" ca="1">IF(NOT($L34),"",_xlfn.LET(
_xlpm._mappedInMitigation,IFERROR(VLOOKUP($V34,'Attack Steps'!$A:$O,COLUMNS('Attack Steps'!$A:$O),FALSE),""),
CreateSearchString(_xlpm._mappedInMitigation)))</f>
        <v/>
      </c>
      <c r="AH34" s="20" t="b">
        <f ca="1">ROW()-ROW($AH$17)=Helper!$B$15</f>
        <v>0</v>
      </c>
      <c r="AI34" s="20" t="str">
        <f t="shared" ca="1" si="6"/>
        <v/>
      </c>
      <c r="AJ34" s="20" cm="1">
        <f t="array" aca="1" ref="AJ34" ca="1">CreateID($AJ$17,$AJ:$AJ,$AI34&lt;&gt;"")</f>
        <v>0</v>
      </c>
    </row>
    <row r="35" spans="1:36" x14ac:dyDescent="0.25">
      <c r="A35" s="16" t="str">
        <f ca="1">_xlfn.LET(
_xlpm._isAssumption,$J35,
_xlpm._row,$K35,
_xlpm._numActiveAssumptions,Helper!$B$8,
_xlpm._numActiveCountermeasures,Helper!$B$9,
_xlpm._numAdditionalAssumptions,Helper!$B$10,
_xlpm._numAdditionalCountermeasures,Helper!$B$11,
IF(_xlpm._isAssumption,
IF(_xlpm._row&gt;_xlpm._numActiveAssumptions,
$V35&amp;"-A"&amp;$Q35,
INDEX(Assumptions!A:A,MATCH(_xlpm._row,Assumptions!$AG:$AG,0))),
IF(_xlpm._row&gt;_xlpm._numActiveCountermeasures+_xlpm._numAdditionalCountermeasures,"",
IF(_xlpm._row&gt;_xlpm._numActiveCountermeasures,
$V35&amp;"-C"&amp;$Q35,
INDEX(Countermeasures!$A:$A,MATCH(_xlpm._row,Countermeasures!$AI:$AI,0))))))</f>
        <v/>
      </c>
      <c r="B35" s="16" t="str" cm="1">
        <f t="array" aca="1" ref="B35" ca="1">IF($A35="","",
_xlfn.LET(
_xlpm._isAssumption,$J35,
_xlpm._isAdditionalElement,$L35,
IF(_xlpm._isAdditionalElement,
IF(_xlpm._isAssumption,
ParseElementsFromComment($U35,Definitions!$AR$4,Definitions!$AS$4,Definitions!$AR$6,$Q35),
ParseElementsFromComment($U35,Definitions!$AR$5,Definitions!$AS$5,Definitions!$AR$6,$Q35)),
 _xlfn.LET(_xlpm._value,IF($A35="","",IF($J35,SimpleLookup($A35,Assumptions!$A:$B),SimpleLookup($A35,Countermeasures!$A:$B))),IF(_xlpm._value="","",_xlpm._value)))))</f>
        <v/>
      </c>
      <c r="C35" s="16" t="str" cm="1">
        <f t="array" aca="1" ref="C35" ca="1">IF($A35="","",IF($J35,IFERROR(SimpleLookup($A35,Assumptions!$A:$E),""),Definitions!$AO$4))</f>
        <v/>
      </c>
      <c r="D35" s="36" t="str">
        <f t="shared" ca="1" si="2"/>
        <v/>
      </c>
      <c r="E35" s="13"/>
      <c r="F35" s="59" t="str">
        <f t="shared" ca="1" si="3"/>
        <v/>
      </c>
      <c r="G35" s="122" t="str" cm="1">
        <f t="array" aca="1" ref="G35" ca="1">_xlfn.LET(_xlpm._val,IFERROR(SimpleLookup($A35,Countermeasures!$A:$R),IFERROR(SimpleLookup($A35,Assumptions!$A:$R),"")),IF(_xlpm._val="","",_xlpm._val))</f>
        <v/>
      </c>
      <c r="H35" s="16" t="str" cm="1">
        <f t="array" aca="1" ref="H35" ca="1">_xlfn.LET(_xlpm._value,IF($A35="","",IFERROR(IF($J35,SimpleLookup($A35,Assumptions!$A:$S),SimpleLookup($A35,Countermeasures!$A:$S)),"")),
IF(_xlpm._value="","",_xlpm._value))</f>
        <v/>
      </c>
      <c r="I35" s="10" cm="1">
        <f t="array" aca="1" ref="I35" ca="1">IF(ROW()=ROW($I$17)+1,0,INDEX($I:$I,ROW()-1))+IF($A35="",0,1)</f>
        <v>12</v>
      </c>
      <c r="J35" s="10" t="b">
        <f ca="1">_xlfn.LET(_xlpm._row,ROW()-ROW($K$17),
_xlpm._numActiveAssumptions,Helper!$B$8,
_xlpm._numAdditionalAssumptions,SUM(Table24['# Elements]),
_xlpm._row&lt;=_xlpm._numActiveAssumptions+_xlpm._numAdditionalAssumptions)</f>
        <v>0</v>
      </c>
      <c r="K35" s="21">
        <f ca="1">_xlfn.LET(_xlpm._row,ROW()-ROW($K$17),
_xlpm._numActiveAssumptions,Helper!$B$8,
_xlpm._numAdditionalAssumptions,Helper!$B$10,
_xlpm._isAssumption,$J35,
_xlpm._elementID,IF(_xlpm._isAssumption,_xlpm._row,_xlpm._row-_xlpm._numActiveAssumptions-_xlpm._numAdditionalAssumptions),
_xlpm._elementID)</f>
        <v>12</v>
      </c>
      <c r="L35"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35" s="20" cm="1">
        <f t="array" aca="1" ref="M35" ca="1">IF($L35,
IF(ROW()=ROW($M$17)+1,1,INDEX($M:$M,ROW()-1)+IF(INDEX($T:$T,ROW()-1),1,0)),
1)</f>
        <v>1</v>
      </c>
      <c r="N35" s="14" t="str" cm="1">
        <f t="array" aca="1" ref="N35" ca="1">IF($L35=TRUE,
_xlfn.LET(
_xlpm._isAssumption,$J35,
_xlpm._indexRange,IF(_xlpm._isAssumption,Table24['# Elements],Table25['# Elements]),
_xlpm._lookupRow,$W35,
INDEX(_xlpm._indexRange,_xlpm._lookupRow)),
"")</f>
        <v/>
      </c>
      <c r="O35" s="20" t="str" cm="1">
        <f t="array" aca="1" ref="O35" ca="1">IF($N35="","",_xlfn.LET(
_xlpm._prevRow,ROW()-1,
IF(OR(INDEX($N:$N,_xlpm._prevRow)&lt;&gt;$N35,INDEX($M:$M,_xlpm._prevRow)&lt;&gt;$M35),
1,
INDEX($O:$O,_xlpm._prevRow)+IF(INDEX($S:$S,_xlpm._prevRow),1,0))))</f>
        <v/>
      </c>
      <c r="P35" s="20" t="str" cm="1">
        <f t="array" aca="1" ref="P35" ca="1">IF($O35="","",_xlfn.LET(
_xlpm._isAssumption,$J35,
_xlpm._sheetRow,$W35,
_xlpm._sheetName,$X35,
_xlpm._elementIDRange,IF(_xlpm._isAssumption,Table24[Element ID Column],Table25[Element ID Column]),
_xlpm._numberOfElementsRange,IF(_xlpm._isAssumption,Table24[Number of Elements Column],Table25[Number of Elements Column]),
SimpleLookup($O35,INDIRECT("'"&amp;_xlpm._sheetName&amp;"'!"&amp;INDEX(_xlpm._elementIDRange,_xlpm._sheetRow)&amp;":"&amp;INDEX(_xlpm._numberOfElementsRange,_xlpm._sheetRow)))))</f>
        <v/>
      </c>
      <c r="Q35" s="20" t="str" cm="1">
        <f t="array" aca="1" ref="Q35" ca="1">IF($O35="","",IF(OR(INDEX($O:$O,ROW()-1)&lt;&gt;$O35,INDEX($M:$M,ROW()-1)&lt;&gt;$M35),1,INDEX($Q:$Q,ROW()-1)+1))</f>
        <v/>
      </c>
      <c r="R35" s="20">
        <f t="shared" ca="1" si="4"/>
        <v>0</v>
      </c>
      <c r="S35" s="20" t="str">
        <f t="shared" ca="1" si="5"/>
        <v/>
      </c>
      <c r="T35" s="20" t="b">
        <f ca="1">_xlfn.LET(
_xlpm._isAssumption,$J35,
_xlpm._numberOfElementsRange,IF(_xlpm._isAssumption,Table24['# Elements],Table25['# Elements]),
_xlpm._sheetRow,$W35,
IF($L35,AND($S35,$R35=$N35),FALSE))</f>
        <v>0</v>
      </c>
      <c r="U35" s="20" t="str" cm="1">
        <f t="array" aca="1" ref="U35" ca="1">IF($L35,
_xlfn.LET(
_xlpm._elementID,$O35,
_xlpm._isAssumption,$J35,
_xlpm._sheetRow,$W35,
_xlpm._sheetName,$X35,
_xlpm._elementRow,$Y35,
_xlpm._resultColumnLetter,IF(_xlpm._isAssumption,INDEX(Table24[Comment Column],_xlpm._sheetRow),INDEX(Table25[Comment Column],_xlpm._sheetRow)),
INDEX(INDIRECT("'"&amp;_xlpm._sheetName&amp;"'!"&amp;_xlpm._resultColumnLetter&amp;":"&amp;_xlpm._resultColumnLetter),_xlpm._elementRow)),
"")</f>
        <v/>
      </c>
      <c r="V35" s="20" t="str" cm="1">
        <f t="array" aca="1" ref="V35" ca="1">IF($L35,
_xlfn.LET(
_xlpm._elementID,$O35,
_xlpm._isAssumption,$J35,
_xlpm._sheetRow,$W35,
_xlpm._sheetName,$X35,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35" s="20" t="str">
        <f ca="1">IF($L35=TRUE,
_xlfn.LET(
_xlpm._isAssumption,$J35,
_xlpm._searchRange,IF(_xlpm._isAssumption,Table24[Task Sheet Shadow ID],Table25[Task Sheet Shadow ID]),
MATCH($M35,_xlpm._searchRange,0)),
"")</f>
        <v/>
      </c>
      <c r="X35" s="20" t="str" cm="1">
        <f t="array" aca="1" ref="X35" ca="1">IF($L35,
_xlfn.LET(
_xlpm._isAssumption,$J35,
_xlpm._sheetRow,$W35,
IF(_xlpm._isAssumption,INDEX(Table24[Sheet Name],_xlpm._sheetRow),INDEX(Table25[Sheet Name],_xlpm._sheetRow))),
"")</f>
        <v/>
      </c>
      <c r="Y35" s="20" t="str" cm="1">
        <f t="array" aca="1" ref="Y35" ca="1">IF($L35,
_xlfn.LET(
_xlpm._elementID,$O35,
_xlpm._isAssumption,$J35,
_xlpm._sheetRow,$W35,
_xlpm._sheetName,$X35,
_xlpm._elementIDColumnLetter,IF(_xlpm._isAssumption,INDEX(Table24[Element ID Column],_xlpm._sheetRow),INDEX(Table25[Element ID Column],_xlpm._sheetRow)),
MATCH(_xlpm._elementID,INDIRECT("'"&amp;_xlpm._sheetName&amp;"'!"&amp;_xlpm._elementIDColumnLetter&amp;":"&amp;_xlpm._elementIDColumnLetter),0)),
"")</f>
        <v/>
      </c>
      <c r="Z35" s="20" t="str" cm="1">
        <f t="array" aca="1" ref="Z35" ca="1">IF($A35="","",_xlfn.LET(
_xlpm._isAssumption,$J35,
_xlpm._isAdditionalElement,$L35,
_xlpm._sheetRow,$W35,
_xlpm._sheetName,$X35,
_xlpm._columnLetter,INDEX(IF(_xlpm._isAdditionalElement,Table24[Comment Column],Table25[Comment Column]),_xlpm._sheetRow),
_xlpm._sheetReference,IF(_xlpm._isAssumption,IF(_xlpm._isAdditionalElement,
CELL("address",INDEX(INDIRECT("'"&amp;_xlpm._sheetName&amp;"'!"&amp;_xlpm._columnLetter&amp;":"&amp;_xlpm._columnLetter),$Y35)),
CELL("address",INDEX(Assumptions!$A:$A,MATCH($A35,Assumptions!$A:$A,0),1))),
IF(_xlpm._isAdditionalElement,
CELL("address",INDEX(INDIRECT("'"&amp;_xlpm._sheetName&amp;"'!"&amp;_xlpm._columnLetter&amp;":"&amp;_xlpm._columnLetter),$Y35)),
CELL("address",INDEX(Countermeasures!$A:$A,MATCH($A35,Countermeasures!$A:$A,0),1)))),
_xlpm._start,FIND("]",_xlpm._sheetReference),
"'"&amp;SUBSTITUTE(SUBSTITUTE(RIGHT(_xlpm._sheetReference,LEN(_xlpm._sheetReference)-_xlpm._start),"'",""),"!","'!")))</f>
        <v/>
      </c>
      <c r="AA35" s="20" t="str" cm="1">
        <f t="array" aca="1" ref="AA35" ca="1">IF(NOT($L35),
_xlfn.LET(_xlpm._value,IF($A35="","",IF($J35,SimpleLookup($A35,Assumptions!$A:$AK),SimpleLookup($A35,Countermeasures!$A:$AN))),
IF(_xlpm._value="","",_xlpm._value)),
"")</f>
        <v/>
      </c>
      <c r="AB35" s="20" t="str" cm="1">
        <f t="array" aca="1" ref="AB35" ca="1">LookupNames(InverseLookup($A35,Mitigation!$AD$2,Mitigation!$A$2,1,Helper!$B$5,","),'Attack Steps'!$A:$B)</f>
        <v/>
      </c>
      <c r="AC35" s="20" t="str" cm="1">
        <f t="array" aca="1" ref="AC35" ca="1">IF($L35,
_xlfn.LET(
_xlpm._in,$A35,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35" s="20" t="str" cm="1">
        <f t="array" aca="1" ref="AD35" ca="1">_xlfn.LET(
_xlpm._countermeasures,InverseLookup($A35,Countermeasures!$AG$2,Countermeasures!$A$2,1,Helper!$B$4,","),
LookupNames(_xlpm._countermeasures,Countermeasures!$A:$B))</f>
        <v/>
      </c>
      <c r="AE35" s="20" t="str" cm="1">
        <f t="array" aca="1" ref="AE35" ca="1">IF($E35="","",_xlfn.LET(
_xlpm._id,$E35,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35" s="20" t="str" cm="1">
        <f t="array" aca="1" ref="AF35" ca="1">IF(OR($A35="",$L35),"",_xlfn.LET(
_xlpm._answers,IF($J35,SimpleLookup($A35,Assumptions!$A:$F),SimpleLookup($A35,Countermeasures!$A:$D)),
IF(_xlpm._answers="*",IF($J35,SimpleLookup($A35,Assumptions!$A:$C),SimpleLookup($A35,Countermeasures!$A:$C)),"")))</f>
        <v/>
      </c>
      <c r="AG35" s="20" t="str" cm="1">
        <f t="array" aca="1" ref="AG35" ca="1">IF(NOT($L35),"",_xlfn.LET(
_xlpm._mappedInMitigation,IFERROR(VLOOKUP($V35,'Attack Steps'!$A:$O,COLUMNS('Attack Steps'!$A:$O),FALSE),""),
CreateSearchString(_xlpm._mappedInMitigation)))</f>
        <v/>
      </c>
      <c r="AH35" s="20" t="b">
        <f ca="1">ROW()-ROW($AH$17)=Helper!$B$15</f>
        <v>0</v>
      </c>
      <c r="AI35" s="20" t="str">
        <f t="shared" ca="1" si="6"/>
        <v/>
      </c>
      <c r="AJ35" s="20" cm="1">
        <f t="array" aca="1" ref="AJ35" ca="1">CreateID($AJ$17,$AJ:$AJ,$AI35&lt;&gt;"")</f>
        <v>0</v>
      </c>
    </row>
    <row r="36" spans="1:36" x14ac:dyDescent="0.25">
      <c r="A36" s="16" t="str">
        <f ca="1">_xlfn.LET(
_xlpm._isAssumption,$J36,
_xlpm._row,$K36,
_xlpm._numActiveAssumptions,Helper!$B$8,
_xlpm._numActiveCountermeasures,Helper!$B$9,
_xlpm._numAdditionalAssumptions,Helper!$B$10,
_xlpm._numAdditionalCountermeasures,Helper!$B$11,
IF(_xlpm._isAssumption,
IF(_xlpm._row&gt;_xlpm._numActiveAssumptions,
$V36&amp;"-A"&amp;$Q36,
INDEX(Assumptions!A:A,MATCH(_xlpm._row,Assumptions!$AG:$AG,0))),
IF(_xlpm._row&gt;_xlpm._numActiveCountermeasures+_xlpm._numAdditionalCountermeasures,"",
IF(_xlpm._row&gt;_xlpm._numActiveCountermeasures,
$V36&amp;"-C"&amp;$Q36,
INDEX(Countermeasures!$A:$A,MATCH(_xlpm._row,Countermeasures!$AI:$AI,0))))))</f>
        <v/>
      </c>
      <c r="B36" s="16" t="str" cm="1">
        <f t="array" aca="1" ref="B36" ca="1">IF($A36="","",
_xlfn.LET(
_xlpm._isAssumption,$J36,
_xlpm._isAdditionalElement,$L36,
IF(_xlpm._isAdditionalElement,
IF(_xlpm._isAssumption,
ParseElementsFromComment($U36,Definitions!$AR$4,Definitions!$AS$4,Definitions!$AR$6,$Q36),
ParseElementsFromComment($U36,Definitions!$AR$5,Definitions!$AS$5,Definitions!$AR$6,$Q36)),
 _xlfn.LET(_xlpm._value,IF($A36="","",IF($J36,SimpleLookup($A36,Assumptions!$A:$B),SimpleLookup($A36,Countermeasures!$A:$B))),IF(_xlpm._value="","",_xlpm._value)))))</f>
        <v/>
      </c>
      <c r="C36" s="16" t="str" cm="1">
        <f t="array" aca="1" ref="C36" ca="1">IF($A36="","",IF($J36,IFERROR(SimpleLookup($A36,Assumptions!$A:$E),""),Definitions!$AO$4))</f>
        <v/>
      </c>
      <c r="D36" s="36" t="str">
        <f t="shared" ca="1" si="2"/>
        <v/>
      </c>
      <c r="E36" s="13"/>
      <c r="F36" s="59" t="str">
        <f t="shared" ca="1" si="3"/>
        <v/>
      </c>
      <c r="G36" s="122" t="str" cm="1">
        <f t="array" aca="1" ref="G36" ca="1">_xlfn.LET(_xlpm._val,IFERROR(SimpleLookup($A36,Countermeasures!$A:$R),IFERROR(SimpleLookup($A36,Assumptions!$A:$R),"")),IF(_xlpm._val="","",_xlpm._val))</f>
        <v/>
      </c>
      <c r="H36" s="16" t="str" cm="1">
        <f t="array" aca="1" ref="H36" ca="1">_xlfn.LET(_xlpm._value,IF($A36="","",IFERROR(IF($J36,SimpleLookup($A36,Assumptions!$A:$S),SimpleLookup($A36,Countermeasures!$A:$S)),"")),
IF(_xlpm._value="","",_xlpm._value))</f>
        <v/>
      </c>
      <c r="I36" s="10" cm="1">
        <f t="array" aca="1" ref="I36" ca="1">IF(ROW()=ROW($I$17)+1,0,INDEX($I:$I,ROW()-1))+IF($A36="",0,1)</f>
        <v>12</v>
      </c>
      <c r="J36" s="10" t="b">
        <f ca="1">_xlfn.LET(_xlpm._row,ROW()-ROW($K$17),
_xlpm._numActiveAssumptions,Helper!$B$8,
_xlpm._numAdditionalAssumptions,SUM(Table24['# Elements]),
_xlpm._row&lt;=_xlpm._numActiveAssumptions+_xlpm._numAdditionalAssumptions)</f>
        <v>0</v>
      </c>
      <c r="K36" s="21">
        <f ca="1">_xlfn.LET(_xlpm._row,ROW()-ROW($K$17),
_xlpm._numActiveAssumptions,Helper!$B$8,
_xlpm._numAdditionalAssumptions,Helper!$B$10,
_xlpm._isAssumption,$J36,
_xlpm._elementID,IF(_xlpm._isAssumption,_xlpm._row,_xlpm._row-_xlpm._numActiveAssumptions-_xlpm._numAdditionalAssumptions),
_xlpm._elementID)</f>
        <v>13</v>
      </c>
      <c r="L36"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36" s="20" cm="1">
        <f t="array" aca="1" ref="M36" ca="1">IF($L36,
IF(ROW()=ROW($M$17)+1,1,INDEX($M:$M,ROW()-1)+IF(INDEX($T:$T,ROW()-1),1,0)),
1)</f>
        <v>1</v>
      </c>
      <c r="N36" s="14" t="str" cm="1">
        <f t="array" aca="1" ref="N36" ca="1">IF($L36=TRUE,
_xlfn.LET(
_xlpm._isAssumption,$J36,
_xlpm._indexRange,IF(_xlpm._isAssumption,Table24['# Elements],Table25['# Elements]),
_xlpm._lookupRow,$W36,
INDEX(_xlpm._indexRange,_xlpm._lookupRow)),
"")</f>
        <v/>
      </c>
      <c r="O36" s="20" t="str" cm="1">
        <f t="array" aca="1" ref="O36" ca="1">IF($N36="","",_xlfn.LET(
_xlpm._prevRow,ROW()-1,
IF(OR(INDEX($N:$N,_xlpm._prevRow)&lt;&gt;$N36,INDEX($M:$M,_xlpm._prevRow)&lt;&gt;$M36),
1,
INDEX($O:$O,_xlpm._prevRow)+IF(INDEX($S:$S,_xlpm._prevRow),1,0))))</f>
        <v/>
      </c>
      <c r="P36" s="20" t="str" cm="1">
        <f t="array" aca="1" ref="P36" ca="1">IF($O36="","",_xlfn.LET(
_xlpm._isAssumption,$J36,
_xlpm._sheetRow,$W36,
_xlpm._sheetName,$X36,
_xlpm._elementIDRange,IF(_xlpm._isAssumption,Table24[Element ID Column],Table25[Element ID Column]),
_xlpm._numberOfElementsRange,IF(_xlpm._isAssumption,Table24[Number of Elements Column],Table25[Number of Elements Column]),
SimpleLookup($O36,INDIRECT("'"&amp;_xlpm._sheetName&amp;"'!"&amp;INDEX(_xlpm._elementIDRange,_xlpm._sheetRow)&amp;":"&amp;INDEX(_xlpm._numberOfElementsRange,_xlpm._sheetRow)))))</f>
        <v/>
      </c>
      <c r="Q36" s="20" t="str" cm="1">
        <f t="array" aca="1" ref="Q36" ca="1">IF($O36="","",IF(OR(INDEX($O:$O,ROW()-1)&lt;&gt;$O36,INDEX($M:$M,ROW()-1)&lt;&gt;$M36),1,INDEX($Q:$Q,ROW()-1)+1))</f>
        <v/>
      </c>
      <c r="R36" s="20">
        <f t="shared" ca="1" si="4"/>
        <v>0</v>
      </c>
      <c r="S36" s="20" t="str">
        <f t="shared" ca="1" si="5"/>
        <v/>
      </c>
      <c r="T36" s="20" t="b">
        <f ca="1">_xlfn.LET(
_xlpm._isAssumption,$J36,
_xlpm._numberOfElementsRange,IF(_xlpm._isAssumption,Table24['# Elements],Table25['# Elements]),
_xlpm._sheetRow,$W36,
IF($L36,AND($S36,$R36=$N36),FALSE))</f>
        <v>0</v>
      </c>
      <c r="U36" s="20" t="str" cm="1">
        <f t="array" aca="1" ref="U36" ca="1">IF($L36,
_xlfn.LET(
_xlpm._elementID,$O36,
_xlpm._isAssumption,$J36,
_xlpm._sheetRow,$W36,
_xlpm._sheetName,$X36,
_xlpm._elementRow,$Y36,
_xlpm._resultColumnLetter,IF(_xlpm._isAssumption,INDEX(Table24[Comment Column],_xlpm._sheetRow),INDEX(Table25[Comment Column],_xlpm._sheetRow)),
INDEX(INDIRECT("'"&amp;_xlpm._sheetName&amp;"'!"&amp;_xlpm._resultColumnLetter&amp;":"&amp;_xlpm._resultColumnLetter),_xlpm._elementRow)),
"")</f>
        <v/>
      </c>
      <c r="V36" s="20" t="str" cm="1">
        <f t="array" aca="1" ref="V36" ca="1">IF($L36,
_xlfn.LET(
_xlpm._elementID,$O36,
_xlpm._isAssumption,$J36,
_xlpm._sheetRow,$W36,
_xlpm._sheetName,$X36,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36" s="20" t="str">
        <f ca="1">IF($L36=TRUE,
_xlfn.LET(
_xlpm._isAssumption,$J36,
_xlpm._searchRange,IF(_xlpm._isAssumption,Table24[Task Sheet Shadow ID],Table25[Task Sheet Shadow ID]),
MATCH($M36,_xlpm._searchRange,0)),
"")</f>
        <v/>
      </c>
      <c r="X36" s="20" t="str" cm="1">
        <f t="array" aca="1" ref="X36" ca="1">IF($L36,
_xlfn.LET(
_xlpm._isAssumption,$J36,
_xlpm._sheetRow,$W36,
IF(_xlpm._isAssumption,INDEX(Table24[Sheet Name],_xlpm._sheetRow),INDEX(Table25[Sheet Name],_xlpm._sheetRow))),
"")</f>
        <v/>
      </c>
      <c r="Y36" s="20" t="str" cm="1">
        <f t="array" aca="1" ref="Y36" ca="1">IF($L36,
_xlfn.LET(
_xlpm._elementID,$O36,
_xlpm._isAssumption,$J36,
_xlpm._sheetRow,$W36,
_xlpm._sheetName,$X36,
_xlpm._elementIDColumnLetter,IF(_xlpm._isAssumption,INDEX(Table24[Element ID Column],_xlpm._sheetRow),INDEX(Table25[Element ID Column],_xlpm._sheetRow)),
MATCH(_xlpm._elementID,INDIRECT("'"&amp;_xlpm._sheetName&amp;"'!"&amp;_xlpm._elementIDColumnLetter&amp;":"&amp;_xlpm._elementIDColumnLetter),0)),
"")</f>
        <v/>
      </c>
      <c r="Z36" s="20" t="str" cm="1">
        <f t="array" aca="1" ref="Z36" ca="1">IF($A36="","",_xlfn.LET(
_xlpm._isAssumption,$J36,
_xlpm._isAdditionalElement,$L36,
_xlpm._sheetRow,$W36,
_xlpm._sheetName,$X36,
_xlpm._columnLetter,INDEX(IF(_xlpm._isAdditionalElement,Table24[Comment Column],Table25[Comment Column]),_xlpm._sheetRow),
_xlpm._sheetReference,IF(_xlpm._isAssumption,IF(_xlpm._isAdditionalElement,
CELL("address",INDEX(INDIRECT("'"&amp;_xlpm._sheetName&amp;"'!"&amp;_xlpm._columnLetter&amp;":"&amp;_xlpm._columnLetter),$Y36)),
CELL("address",INDEX(Assumptions!$A:$A,MATCH($A36,Assumptions!$A:$A,0),1))),
IF(_xlpm._isAdditionalElement,
CELL("address",INDEX(INDIRECT("'"&amp;_xlpm._sheetName&amp;"'!"&amp;_xlpm._columnLetter&amp;":"&amp;_xlpm._columnLetter),$Y36)),
CELL("address",INDEX(Countermeasures!$A:$A,MATCH($A36,Countermeasures!$A:$A,0),1)))),
_xlpm._start,FIND("]",_xlpm._sheetReference),
"'"&amp;SUBSTITUTE(SUBSTITUTE(RIGHT(_xlpm._sheetReference,LEN(_xlpm._sheetReference)-_xlpm._start),"'",""),"!","'!")))</f>
        <v/>
      </c>
      <c r="AA36" s="20" t="str" cm="1">
        <f t="array" aca="1" ref="AA36" ca="1">IF(NOT($L36),
_xlfn.LET(_xlpm._value,IF($A36="","",IF($J36,SimpleLookup($A36,Assumptions!$A:$AK),SimpleLookup($A36,Countermeasures!$A:$AN))),
IF(_xlpm._value="","",_xlpm._value)),
"")</f>
        <v/>
      </c>
      <c r="AB36" s="20" t="str" cm="1">
        <f t="array" aca="1" ref="AB36" ca="1">LookupNames(InverseLookup($A36,Mitigation!$AD$2,Mitigation!$A$2,1,Helper!$B$5,","),'Attack Steps'!$A:$B)</f>
        <v/>
      </c>
      <c r="AC36" s="20" t="str" cm="1">
        <f t="array" aca="1" ref="AC36" ca="1">IF($L36,
_xlfn.LET(
_xlpm._in,$A36,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36" s="20" t="str" cm="1">
        <f t="array" aca="1" ref="AD36" ca="1">_xlfn.LET(
_xlpm._countermeasures,InverseLookup($A36,Countermeasures!$AG$2,Countermeasures!$A$2,1,Helper!$B$4,","),
LookupNames(_xlpm._countermeasures,Countermeasures!$A:$B))</f>
        <v/>
      </c>
      <c r="AE36" s="20" t="str" cm="1">
        <f t="array" aca="1" ref="AE36" ca="1">IF($E36="","",_xlfn.LET(
_xlpm._id,$E36,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36" s="20" t="str" cm="1">
        <f t="array" aca="1" ref="AF36" ca="1">IF(OR($A36="",$L36),"",_xlfn.LET(
_xlpm._answers,IF($J36,SimpleLookup($A36,Assumptions!$A:$F),SimpleLookup($A36,Countermeasures!$A:$D)),
IF(_xlpm._answers="*",IF($J36,SimpleLookup($A36,Assumptions!$A:$C),SimpleLookup($A36,Countermeasures!$A:$C)),"")))</f>
        <v/>
      </c>
      <c r="AG36" s="20" t="str" cm="1">
        <f t="array" aca="1" ref="AG36" ca="1">IF(NOT($L36),"",_xlfn.LET(
_xlpm._mappedInMitigation,IFERROR(VLOOKUP($V36,'Attack Steps'!$A:$O,COLUMNS('Attack Steps'!$A:$O),FALSE),""),
CreateSearchString(_xlpm._mappedInMitigation)))</f>
        <v/>
      </c>
      <c r="AH36" s="20" t="b">
        <f ca="1">ROW()-ROW($AH$17)=Helper!$B$15</f>
        <v>0</v>
      </c>
      <c r="AI36" s="20" t="str">
        <f t="shared" ca="1" si="6"/>
        <v/>
      </c>
      <c r="AJ36" s="20" cm="1">
        <f t="array" aca="1" ref="AJ36" ca="1">CreateID($AJ$17,$AJ:$AJ,$AI36&lt;&gt;"")</f>
        <v>0</v>
      </c>
    </row>
    <row r="37" spans="1:36" x14ac:dyDescent="0.25">
      <c r="A37" s="16" t="str">
        <f ca="1">_xlfn.LET(
_xlpm._isAssumption,$J37,
_xlpm._row,$K37,
_xlpm._numActiveAssumptions,Helper!$B$8,
_xlpm._numActiveCountermeasures,Helper!$B$9,
_xlpm._numAdditionalAssumptions,Helper!$B$10,
_xlpm._numAdditionalCountermeasures,Helper!$B$11,
IF(_xlpm._isAssumption,
IF(_xlpm._row&gt;_xlpm._numActiveAssumptions,
$V37&amp;"-A"&amp;$Q37,
INDEX(Assumptions!A:A,MATCH(_xlpm._row,Assumptions!$AG:$AG,0))),
IF(_xlpm._row&gt;_xlpm._numActiveCountermeasures+_xlpm._numAdditionalCountermeasures,"",
IF(_xlpm._row&gt;_xlpm._numActiveCountermeasures,
$V37&amp;"-C"&amp;$Q37,
INDEX(Countermeasures!$A:$A,MATCH(_xlpm._row,Countermeasures!$AI:$AI,0))))))</f>
        <v/>
      </c>
      <c r="B37" s="16" t="str" cm="1">
        <f t="array" aca="1" ref="B37" ca="1">IF($A37="","",
_xlfn.LET(
_xlpm._isAssumption,$J37,
_xlpm._isAdditionalElement,$L37,
IF(_xlpm._isAdditionalElement,
IF(_xlpm._isAssumption,
ParseElementsFromComment($U37,Definitions!$AR$4,Definitions!$AS$4,Definitions!$AR$6,$Q37),
ParseElementsFromComment($U37,Definitions!$AR$5,Definitions!$AS$5,Definitions!$AR$6,$Q37)),
 _xlfn.LET(_xlpm._value,IF($A37="","",IF($J37,SimpleLookup($A37,Assumptions!$A:$B),SimpleLookup($A37,Countermeasures!$A:$B))),IF(_xlpm._value="","",_xlpm._value)))))</f>
        <v/>
      </c>
      <c r="C37" s="16" t="str" cm="1">
        <f t="array" aca="1" ref="C37" ca="1">IF($A37="","",IF($J37,IFERROR(SimpleLookup($A37,Assumptions!$A:$E),""),Definitions!$AO$4))</f>
        <v/>
      </c>
      <c r="D37" s="36" t="str">
        <f t="shared" ca="1" si="2"/>
        <v/>
      </c>
      <c r="E37" s="13"/>
      <c r="F37" s="59" t="str">
        <f t="shared" ca="1" si="3"/>
        <v/>
      </c>
      <c r="G37" s="122" t="str" cm="1">
        <f t="array" aca="1" ref="G37" ca="1">_xlfn.LET(_xlpm._val,IFERROR(SimpleLookup($A37,Countermeasures!$A:$R),IFERROR(SimpleLookup($A37,Assumptions!$A:$R),"")),IF(_xlpm._val="","",_xlpm._val))</f>
        <v/>
      </c>
      <c r="H37" s="16" t="str" cm="1">
        <f t="array" aca="1" ref="H37" ca="1">_xlfn.LET(_xlpm._value,IF($A37="","",IFERROR(IF($J37,SimpleLookup($A37,Assumptions!$A:$S),SimpleLookup($A37,Countermeasures!$A:$S)),"")),
IF(_xlpm._value="","",_xlpm._value))</f>
        <v/>
      </c>
      <c r="I37" s="10" cm="1">
        <f t="array" aca="1" ref="I37" ca="1">IF(ROW()=ROW($I$17)+1,0,INDEX($I:$I,ROW()-1))+IF($A37="",0,1)</f>
        <v>12</v>
      </c>
      <c r="J37" s="10" t="b">
        <f ca="1">_xlfn.LET(_xlpm._row,ROW()-ROW($K$17),
_xlpm._numActiveAssumptions,Helper!$B$8,
_xlpm._numAdditionalAssumptions,SUM(Table24['# Elements]),
_xlpm._row&lt;=_xlpm._numActiveAssumptions+_xlpm._numAdditionalAssumptions)</f>
        <v>0</v>
      </c>
      <c r="K37" s="21">
        <f ca="1">_xlfn.LET(_xlpm._row,ROW()-ROW($K$17),
_xlpm._numActiveAssumptions,Helper!$B$8,
_xlpm._numAdditionalAssumptions,Helper!$B$10,
_xlpm._isAssumption,$J37,
_xlpm._elementID,IF(_xlpm._isAssumption,_xlpm._row,_xlpm._row-_xlpm._numActiveAssumptions-_xlpm._numAdditionalAssumptions),
_xlpm._elementID)</f>
        <v>14</v>
      </c>
      <c r="L37"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37" s="20" cm="1">
        <f t="array" aca="1" ref="M37" ca="1">IF($L37,
IF(ROW()=ROW($M$17)+1,1,INDEX($M:$M,ROW()-1)+IF(INDEX($T:$T,ROW()-1),1,0)),
1)</f>
        <v>1</v>
      </c>
      <c r="N37" s="14" t="str" cm="1">
        <f t="array" aca="1" ref="N37" ca="1">IF($L37=TRUE,
_xlfn.LET(
_xlpm._isAssumption,$J37,
_xlpm._indexRange,IF(_xlpm._isAssumption,Table24['# Elements],Table25['# Elements]),
_xlpm._lookupRow,$W37,
INDEX(_xlpm._indexRange,_xlpm._lookupRow)),
"")</f>
        <v/>
      </c>
      <c r="O37" s="20" t="str" cm="1">
        <f t="array" aca="1" ref="O37" ca="1">IF($N37="","",_xlfn.LET(
_xlpm._prevRow,ROW()-1,
IF(OR(INDEX($N:$N,_xlpm._prevRow)&lt;&gt;$N37,INDEX($M:$M,_xlpm._prevRow)&lt;&gt;$M37),
1,
INDEX($O:$O,_xlpm._prevRow)+IF(INDEX($S:$S,_xlpm._prevRow),1,0))))</f>
        <v/>
      </c>
      <c r="P37" s="20" t="str" cm="1">
        <f t="array" aca="1" ref="P37" ca="1">IF($O37="","",_xlfn.LET(
_xlpm._isAssumption,$J37,
_xlpm._sheetRow,$W37,
_xlpm._sheetName,$X37,
_xlpm._elementIDRange,IF(_xlpm._isAssumption,Table24[Element ID Column],Table25[Element ID Column]),
_xlpm._numberOfElementsRange,IF(_xlpm._isAssumption,Table24[Number of Elements Column],Table25[Number of Elements Column]),
SimpleLookup($O37,INDIRECT("'"&amp;_xlpm._sheetName&amp;"'!"&amp;INDEX(_xlpm._elementIDRange,_xlpm._sheetRow)&amp;":"&amp;INDEX(_xlpm._numberOfElementsRange,_xlpm._sheetRow)))))</f>
        <v/>
      </c>
      <c r="Q37" s="20" t="str" cm="1">
        <f t="array" aca="1" ref="Q37" ca="1">IF($O37="","",IF(OR(INDEX($O:$O,ROW()-1)&lt;&gt;$O37,INDEX($M:$M,ROW()-1)&lt;&gt;$M37),1,INDEX($Q:$Q,ROW()-1)+1))</f>
        <v/>
      </c>
      <c r="R37" s="20">
        <f t="shared" ca="1" si="4"/>
        <v>0</v>
      </c>
      <c r="S37" s="20" t="str">
        <f t="shared" ca="1" si="5"/>
        <v/>
      </c>
      <c r="T37" s="20" t="b">
        <f ca="1">_xlfn.LET(
_xlpm._isAssumption,$J37,
_xlpm._numberOfElementsRange,IF(_xlpm._isAssumption,Table24['# Elements],Table25['# Elements]),
_xlpm._sheetRow,$W37,
IF($L37,AND($S37,$R37=$N37),FALSE))</f>
        <v>0</v>
      </c>
      <c r="U37" s="20" t="str" cm="1">
        <f t="array" aca="1" ref="U37" ca="1">IF($L37,
_xlfn.LET(
_xlpm._elementID,$O37,
_xlpm._isAssumption,$J37,
_xlpm._sheetRow,$W37,
_xlpm._sheetName,$X37,
_xlpm._elementRow,$Y37,
_xlpm._resultColumnLetter,IF(_xlpm._isAssumption,INDEX(Table24[Comment Column],_xlpm._sheetRow),INDEX(Table25[Comment Column],_xlpm._sheetRow)),
INDEX(INDIRECT("'"&amp;_xlpm._sheetName&amp;"'!"&amp;_xlpm._resultColumnLetter&amp;":"&amp;_xlpm._resultColumnLetter),_xlpm._elementRow)),
"")</f>
        <v/>
      </c>
      <c r="V37" s="20" t="str" cm="1">
        <f t="array" aca="1" ref="V37" ca="1">IF($L37,
_xlfn.LET(
_xlpm._elementID,$O37,
_xlpm._isAssumption,$J37,
_xlpm._sheetRow,$W37,
_xlpm._sheetName,$X37,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37" s="20" t="str">
        <f ca="1">IF($L37=TRUE,
_xlfn.LET(
_xlpm._isAssumption,$J37,
_xlpm._searchRange,IF(_xlpm._isAssumption,Table24[Task Sheet Shadow ID],Table25[Task Sheet Shadow ID]),
MATCH($M37,_xlpm._searchRange,0)),
"")</f>
        <v/>
      </c>
      <c r="X37" s="20" t="str" cm="1">
        <f t="array" aca="1" ref="X37" ca="1">IF($L37,
_xlfn.LET(
_xlpm._isAssumption,$J37,
_xlpm._sheetRow,$W37,
IF(_xlpm._isAssumption,INDEX(Table24[Sheet Name],_xlpm._sheetRow),INDEX(Table25[Sheet Name],_xlpm._sheetRow))),
"")</f>
        <v/>
      </c>
      <c r="Y37" s="20" t="str" cm="1">
        <f t="array" aca="1" ref="Y37" ca="1">IF($L37,
_xlfn.LET(
_xlpm._elementID,$O37,
_xlpm._isAssumption,$J37,
_xlpm._sheetRow,$W37,
_xlpm._sheetName,$X37,
_xlpm._elementIDColumnLetter,IF(_xlpm._isAssumption,INDEX(Table24[Element ID Column],_xlpm._sheetRow),INDEX(Table25[Element ID Column],_xlpm._sheetRow)),
MATCH(_xlpm._elementID,INDIRECT("'"&amp;_xlpm._sheetName&amp;"'!"&amp;_xlpm._elementIDColumnLetter&amp;":"&amp;_xlpm._elementIDColumnLetter),0)),
"")</f>
        <v/>
      </c>
      <c r="Z37" s="20" t="str" cm="1">
        <f t="array" aca="1" ref="Z37" ca="1">IF($A37="","",_xlfn.LET(
_xlpm._isAssumption,$J37,
_xlpm._isAdditionalElement,$L37,
_xlpm._sheetRow,$W37,
_xlpm._sheetName,$X37,
_xlpm._columnLetter,INDEX(IF(_xlpm._isAdditionalElement,Table24[Comment Column],Table25[Comment Column]),_xlpm._sheetRow),
_xlpm._sheetReference,IF(_xlpm._isAssumption,IF(_xlpm._isAdditionalElement,
CELL("address",INDEX(INDIRECT("'"&amp;_xlpm._sheetName&amp;"'!"&amp;_xlpm._columnLetter&amp;":"&amp;_xlpm._columnLetter),$Y37)),
CELL("address",INDEX(Assumptions!$A:$A,MATCH($A37,Assumptions!$A:$A,0),1))),
IF(_xlpm._isAdditionalElement,
CELL("address",INDEX(INDIRECT("'"&amp;_xlpm._sheetName&amp;"'!"&amp;_xlpm._columnLetter&amp;":"&amp;_xlpm._columnLetter),$Y37)),
CELL("address",INDEX(Countermeasures!$A:$A,MATCH($A37,Countermeasures!$A:$A,0),1)))),
_xlpm._start,FIND("]",_xlpm._sheetReference),
"'"&amp;SUBSTITUTE(SUBSTITUTE(RIGHT(_xlpm._sheetReference,LEN(_xlpm._sheetReference)-_xlpm._start),"'",""),"!","'!")))</f>
        <v/>
      </c>
      <c r="AA37" s="20" t="str" cm="1">
        <f t="array" aca="1" ref="AA37" ca="1">IF(NOT($L37),
_xlfn.LET(_xlpm._value,IF($A37="","",IF($J37,SimpleLookup($A37,Assumptions!$A:$AK),SimpleLookup($A37,Countermeasures!$A:$AN))),
IF(_xlpm._value="","",_xlpm._value)),
"")</f>
        <v/>
      </c>
      <c r="AB37" s="20" t="str" cm="1">
        <f t="array" aca="1" ref="AB37" ca="1">LookupNames(InverseLookup($A37,Mitigation!$AD$2,Mitigation!$A$2,1,Helper!$B$5,","),'Attack Steps'!$A:$B)</f>
        <v/>
      </c>
      <c r="AC37" s="20" t="str" cm="1">
        <f t="array" aca="1" ref="AC37" ca="1">IF($L37,
_xlfn.LET(
_xlpm._in,$A37,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37" s="20" t="str" cm="1">
        <f t="array" aca="1" ref="AD37" ca="1">_xlfn.LET(
_xlpm._countermeasures,InverseLookup($A37,Countermeasures!$AG$2,Countermeasures!$A$2,1,Helper!$B$4,","),
LookupNames(_xlpm._countermeasures,Countermeasures!$A:$B))</f>
        <v/>
      </c>
      <c r="AE37" s="20" t="str" cm="1">
        <f t="array" aca="1" ref="AE37" ca="1">IF($E37="","",_xlfn.LET(
_xlpm._id,$E37,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37" s="20" t="str" cm="1">
        <f t="array" aca="1" ref="AF37" ca="1">IF(OR($A37="",$L37),"",_xlfn.LET(
_xlpm._answers,IF($J37,SimpleLookup($A37,Assumptions!$A:$F),SimpleLookup($A37,Countermeasures!$A:$D)),
IF(_xlpm._answers="*",IF($J37,SimpleLookup($A37,Assumptions!$A:$C),SimpleLookup($A37,Countermeasures!$A:$C)),"")))</f>
        <v/>
      </c>
      <c r="AG37" s="20" t="str" cm="1">
        <f t="array" aca="1" ref="AG37" ca="1">IF(NOT($L37),"",_xlfn.LET(
_xlpm._mappedInMitigation,IFERROR(VLOOKUP($V37,'Attack Steps'!$A:$O,COLUMNS('Attack Steps'!$A:$O),FALSE),""),
CreateSearchString(_xlpm._mappedInMitigation)))</f>
        <v/>
      </c>
      <c r="AH37" s="20" t="b">
        <f ca="1">ROW()-ROW($AH$17)=Helper!$B$15</f>
        <v>0</v>
      </c>
      <c r="AI37" s="20" t="str">
        <f t="shared" ca="1" si="6"/>
        <v/>
      </c>
      <c r="AJ37" s="20" cm="1">
        <f t="array" aca="1" ref="AJ37" ca="1">CreateID($AJ$17,$AJ:$AJ,$AI37&lt;&gt;"")</f>
        <v>0</v>
      </c>
    </row>
    <row r="38" spans="1:36" x14ac:dyDescent="0.25">
      <c r="A38" s="16" t="str">
        <f ca="1">_xlfn.LET(
_xlpm._isAssumption,$J38,
_xlpm._row,$K38,
_xlpm._numActiveAssumptions,Helper!$B$8,
_xlpm._numActiveCountermeasures,Helper!$B$9,
_xlpm._numAdditionalAssumptions,Helper!$B$10,
_xlpm._numAdditionalCountermeasures,Helper!$B$11,
IF(_xlpm._isAssumption,
IF(_xlpm._row&gt;_xlpm._numActiveAssumptions,
$V38&amp;"-A"&amp;$Q38,
INDEX(Assumptions!A:A,MATCH(_xlpm._row,Assumptions!$AG:$AG,0))),
IF(_xlpm._row&gt;_xlpm._numActiveCountermeasures+_xlpm._numAdditionalCountermeasures,"",
IF(_xlpm._row&gt;_xlpm._numActiveCountermeasures,
$V38&amp;"-C"&amp;$Q38,
INDEX(Countermeasures!$A:$A,MATCH(_xlpm._row,Countermeasures!$AI:$AI,0))))))</f>
        <v/>
      </c>
      <c r="B38" s="16" t="str" cm="1">
        <f t="array" aca="1" ref="B38" ca="1">IF($A38="","",
_xlfn.LET(
_xlpm._isAssumption,$J38,
_xlpm._isAdditionalElement,$L38,
IF(_xlpm._isAdditionalElement,
IF(_xlpm._isAssumption,
ParseElementsFromComment($U38,Definitions!$AR$4,Definitions!$AS$4,Definitions!$AR$6,$Q38),
ParseElementsFromComment($U38,Definitions!$AR$5,Definitions!$AS$5,Definitions!$AR$6,$Q38)),
 _xlfn.LET(_xlpm._value,IF($A38="","",IF($J38,SimpleLookup($A38,Assumptions!$A:$B),SimpleLookup($A38,Countermeasures!$A:$B))),IF(_xlpm._value="","",_xlpm._value)))))</f>
        <v/>
      </c>
      <c r="C38" s="16" t="str" cm="1">
        <f t="array" aca="1" ref="C38" ca="1">IF($A38="","",IF($J38,IFERROR(SimpleLookup($A38,Assumptions!$A:$E),""),Definitions!$AO$4))</f>
        <v/>
      </c>
      <c r="D38" s="36" t="str">
        <f t="shared" ca="1" si="2"/>
        <v/>
      </c>
      <c r="E38" s="13"/>
      <c r="F38" s="59" t="str">
        <f t="shared" ca="1" si="3"/>
        <v/>
      </c>
      <c r="G38" s="36" t="str" cm="1">
        <f t="array" aca="1" ref="G38" ca="1">_xlfn.LET(_xlpm._val,IFERROR(SimpleLookup($A38,Countermeasures!$A:$R),IFERROR(SimpleLookup($A38,Assumptions!$A:$R),"")),IF(_xlpm._val="","",_xlpm._val))</f>
        <v/>
      </c>
      <c r="H38" s="16" t="str" cm="1">
        <f t="array" aca="1" ref="H38" ca="1">_xlfn.LET(_xlpm._value,IF($A38="","",IFERROR(IF($J38,SimpleLookup($A38,Assumptions!$A:$S),SimpleLookup($A38,Countermeasures!$A:$S)),"")),
IF(_xlpm._value="","",_xlpm._value))</f>
        <v/>
      </c>
      <c r="I38" s="10" cm="1">
        <f t="array" aca="1" ref="I38" ca="1">IF(ROW()=ROW($I$17)+1,0,INDEX($I:$I,ROW()-1))+IF($A38="",0,1)</f>
        <v>12</v>
      </c>
      <c r="J38" s="10" t="b">
        <f ca="1">_xlfn.LET(_xlpm._row,ROW()-ROW($K$17),
_xlpm._numActiveAssumptions,Helper!$B$8,
_xlpm._numAdditionalAssumptions,SUM(Table24['# Elements]),
_xlpm._row&lt;=_xlpm._numActiveAssumptions+_xlpm._numAdditionalAssumptions)</f>
        <v>0</v>
      </c>
      <c r="K38" s="21">
        <f ca="1">_xlfn.LET(_xlpm._row,ROW()-ROW($K$17),
_xlpm._numActiveAssumptions,Helper!$B$8,
_xlpm._numAdditionalAssumptions,Helper!$B$10,
_xlpm._isAssumption,$J38,
_xlpm._elementID,IF(_xlpm._isAssumption,_xlpm._row,_xlpm._row-_xlpm._numActiveAssumptions-_xlpm._numAdditionalAssumptions),
_xlpm._elementID)</f>
        <v>15</v>
      </c>
      <c r="L38"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38" s="20" cm="1">
        <f t="array" aca="1" ref="M38" ca="1">IF($L38,
IF(ROW()=ROW($M$17)+1,1,INDEX($M:$M,ROW()-1)+IF(INDEX($T:$T,ROW()-1),1,0)),
1)</f>
        <v>1</v>
      </c>
      <c r="N38" s="14" t="str" cm="1">
        <f t="array" aca="1" ref="N38" ca="1">IF($L38=TRUE,
_xlfn.LET(
_xlpm._isAssumption,$J38,
_xlpm._indexRange,IF(_xlpm._isAssumption,Table24['# Elements],Table25['# Elements]),
_xlpm._lookupRow,$W38,
INDEX(_xlpm._indexRange,_xlpm._lookupRow)),
"")</f>
        <v/>
      </c>
      <c r="O38" s="20" t="str" cm="1">
        <f t="array" aca="1" ref="O38" ca="1">IF($N38="","",_xlfn.LET(
_xlpm._prevRow,ROW()-1,
IF(OR(INDEX($N:$N,_xlpm._prevRow)&lt;&gt;$N38,INDEX($M:$M,_xlpm._prevRow)&lt;&gt;$M38),
1,
INDEX($O:$O,_xlpm._prevRow)+IF(INDEX($S:$S,_xlpm._prevRow),1,0))))</f>
        <v/>
      </c>
      <c r="P38" s="20" t="str" cm="1">
        <f t="array" aca="1" ref="P38" ca="1">IF($O38="","",_xlfn.LET(
_xlpm._isAssumption,$J38,
_xlpm._sheetRow,$W38,
_xlpm._sheetName,$X38,
_xlpm._elementIDRange,IF(_xlpm._isAssumption,Table24[Element ID Column],Table25[Element ID Column]),
_xlpm._numberOfElementsRange,IF(_xlpm._isAssumption,Table24[Number of Elements Column],Table25[Number of Elements Column]),
SimpleLookup($O38,INDIRECT("'"&amp;_xlpm._sheetName&amp;"'!"&amp;INDEX(_xlpm._elementIDRange,_xlpm._sheetRow)&amp;":"&amp;INDEX(_xlpm._numberOfElementsRange,_xlpm._sheetRow)))))</f>
        <v/>
      </c>
      <c r="Q38" s="20" t="str" cm="1">
        <f t="array" aca="1" ref="Q38" ca="1">IF($O38="","",IF(OR(INDEX($O:$O,ROW()-1)&lt;&gt;$O38,INDEX($M:$M,ROW()-1)&lt;&gt;$M38),1,INDEX($Q:$Q,ROW()-1)+1))</f>
        <v/>
      </c>
      <c r="R38" s="20">
        <f t="shared" ca="1" si="4"/>
        <v>0</v>
      </c>
      <c r="S38" s="20" t="str">
        <f t="shared" ca="1" si="5"/>
        <v/>
      </c>
      <c r="T38" s="20" t="b">
        <f ca="1">_xlfn.LET(
_xlpm._isAssumption,$J38,
_xlpm._numberOfElementsRange,IF(_xlpm._isAssumption,Table24['# Elements],Table25['# Elements]),
_xlpm._sheetRow,$W38,
IF($L38,AND($S38,$R38=$N38),FALSE))</f>
        <v>0</v>
      </c>
      <c r="U38" s="20" t="str" cm="1">
        <f t="array" aca="1" ref="U38" ca="1">IF($L38,
_xlfn.LET(
_xlpm._elementID,$O38,
_xlpm._isAssumption,$J38,
_xlpm._sheetRow,$W38,
_xlpm._sheetName,$X38,
_xlpm._elementRow,$Y38,
_xlpm._resultColumnLetter,IF(_xlpm._isAssumption,INDEX(Table24[Comment Column],_xlpm._sheetRow),INDEX(Table25[Comment Column],_xlpm._sheetRow)),
INDEX(INDIRECT("'"&amp;_xlpm._sheetName&amp;"'!"&amp;_xlpm._resultColumnLetter&amp;":"&amp;_xlpm._resultColumnLetter),_xlpm._elementRow)),
"")</f>
        <v/>
      </c>
      <c r="V38" s="20" t="str" cm="1">
        <f t="array" aca="1" ref="V38" ca="1">IF($L38,
_xlfn.LET(
_xlpm._elementID,$O38,
_xlpm._isAssumption,$J38,
_xlpm._sheetRow,$W38,
_xlpm._sheetName,$X38,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38" s="20" t="str">
        <f ca="1">IF($L38=TRUE,
_xlfn.LET(
_xlpm._isAssumption,$J38,
_xlpm._searchRange,IF(_xlpm._isAssumption,Table24[Task Sheet Shadow ID],Table25[Task Sheet Shadow ID]),
MATCH($M38,_xlpm._searchRange,0)),
"")</f>
        <v/>
      </c>
      <c r="X38" s="20" t="str" cm="1">
        <f t="array" aca="1" ref="X38" ca="1">IF($L38,
_xlfn.LET(
_xlpm._isAssumption,$J38,
_xlpm._sheetRow,$W38,
IF(_xlpm._isAssumption,INDEX(Table24[Sheet Name],_xlpm._sheetRow),INDEX(Table25[Sheet Name],_xlpm._sheetRow))),
"")</f>
        <v/>
      </c>
      <c r="Y38" s="20" t="str" cm="1">
        <f t="array" aca="1" ref="Y38" ca="1">IF($L38,
_xlfn.LET(
_xlpm._elementID,$O38,
_xlpm._isAssumption,$J38,
_xlpm._sheetRow,$W38,
_xlpm._sheetName,$X38,
_xlpm._elementIDColumnLetter,IF(_xlpm._isAssumption,INDEX(Table24[Element ID Column],_xlpm._sheetRow),INDEX(Table25[Element ID Column],_xlpm._sheetRow)),
MATCH(_xlpm._elementID,INDIRECT("'"&amp;_xlpm._sheetName&amp;"'!"&amp;_xlpm._elementIDColumnLetter&amp;":"&amp;_xlpm._elementIDColumnLetter),0)),
"")</f>
        <v/>
      </c>
      <c r="Z38" s="20" t="str" cm="1">
        <f t="array" aca="1" ref="Z38" ca="1">IF($A38="","",_xlfn.LET(
_xlpm._isAssumption,$J38,
_xlpm._isAdditionalElement,$L38,
_xlpm._sheetRow,$W38,
_xlpm._sheetName,$X38,
_xlpm._columnLetter,INDEX(IF(_xlpm._isAdditionalElement,Table24[Comment Column],Table25[Comment Column]),_xlpm._sheetRow),
_xlpm._sheetReference,IF(_xlpm._isAssumption,IF(_xlpm._isAdditionalElement,
CELL("address",INDEX(INDIRECT("'"&amp;_xlpm._sheetName&amp;"'!"&amp;_xlpm._columnLetter&amp;":"&amp;_xlpm._columnLetter),$Y38)),
CELL("address",INDEX(Assumptions!$A:$A,MATCH($A38,Assumptions!$A:$A,0),1))),
IF(_xlpm._isAdditionalElement,
CELL("address",INDEX(INDIRECT("'"&amp;_xlpm._sheetName&amp;"'!"&amp;_xlpm._columnLetter&amp;":"&amp;_xlpm._columnLetter),$Y38)),
CELL("address",INDEX(Countermeasures!$A:$A,MATCH($A38,Countermeasures!$A:$A,0),1)))),
_xlpm._start,FIND("]",_xlpm._sheetReference),
"'"&amp;SUBSTITUTE(SUBSTITUTE(RIGHT(_xlpm._sheetReference,LEN(_xlpm._sheetReference)-_xlpm._start),"'",""),"!","'!")))</f>
        <v/>
      </c>
      <c r="AA38" s="20" t="str" cm="1">
        <f t="array" aca="1" ref="AA38" ca="1">IF(NOT($L38),
_xlfn.LET(_xlpm._value,IF($A38="","",IF($J38,SimpleLookup($A38,Assumptions!$A:$AK),SimpleLookup($A38,Countermeasures!$A:$AN))),
IF(_xlpm._value="","",_xlpm._value)),
"")</f>
        <v/>
      </c>
      <c r="AB38" s="20" t="str" cm="1">
        <f t="array" aca="1" ref="AB38" ca="1">LookupNames(InverseLookup($A38,Mitigation!$AD$2,Mitigation!$A$2,1,Helper!$B$5,","),'Attack Steps'!$A:$B)</f>
        <v/>
      </c>
      <c r="AC38" s="20" t="str" cm="1">
        <f t="array" aca="1" ref="AC38" ca="1">IF($L38,
_xlfn.LET(
_xlpm._in,$A38,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38" s="20" t="str" cm="1">
        <f t="array" aca="1" ref="AD38" ca="1">_xlfn.LET(
_xlpm._countermeasures,InverseLookup($A38,Countermeasures!$AG$2,Countermeasures!$A$2,1,Helper!$B$4,","),
LookupNames(_xlpm._countermeasures,Countermeasures!$A:$B))</f>
        <v/>
      </c>
      <c r="AE38" s="20" t="str" cm="1">
        <f t="array" aca="1" ref="AE38" ca="1">IF($E38="","",_xlfn.LET(
_xlpm._id,$E38,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38" s="20" t="str" cm="1">
        <f t="array" aca="1" ref="AF38" ca="1">IF(OR($A38="",$L38),"",_xlfn.LET(
_xlpm._answers,IF($J38,SimpleLookup($A38,Assumptions!$A:$F),SimpleLookup($A38,Countermeasures!$A:$D)),
IF(_xlpm._answers="*",IF($J38,SimpleLookup($A38,Assumptions!$A:$C),SimpleLookup($A38,Countermeasures!$A:$C)),"")))</f>
        <v/>
      </c>
      <c r="AG38" s="20" t="str" cm="1">
        <f t="array" aca="1" ref="AG38" ca="1">IF(NOT($L38),"",_xlfn.LET(
_xlpm._mappedInMitigation,IFERROR(VLOOKUP($V38,'Attack Steps'!$A:$O,COLUMNS('Attack Steps'!$A:$O),FALSE),""),
CreateSearchString(_xlpm._mappedInMitigation)))</f>
        <v/>
      </c>
      <c r="AH38" s="20" t="b">
        <f ca="1">ROW()-ROW($AH$17)=Helper!$B$15</f>
        <v>0</v>
      </c>
      <c r="AI38" s="20" t="str">
        <f t="shared" ca="1" si="6"/>
        <v/>
      </c>
      <c r="AJ38" s="20" cm="1">
        <f t="array" aca="1" ref="AJ38" ca="1">CreateID($AJ$17,$AJ:$AJ,$AI38&lt;&gt;"")</f>
        <v>0</v>
      </c>
    </row>
    <row r="39" spans="1:36" x14ac:dyDescent="0.25">
      <c r="A39" s="16" t="str">
        <f ca="1">_xlfn.LET(
_xlpm._isAssumption,$J39,
_xlpm._row,$K39,
_xlpm._numActiveAssumptions,Helper!$B$8,
_xlpm._numActiveCountermeasures,Helper!$B$9,
_xlpm._numAdditionalAssumptions,Helper!$B$10,
_xlpm._numAdditionalCountermeasures,Helper!$B$11,
IF(_xlpm._isAssumption,
IF(_xlpm._row&gt;_xlpm._numActiveAssumptions,
$V39&amp;"-A"&amp;$Q39,
INDEX(Assumptions!A:A,MATCH(_xlpm._row,Assumptions!$AG:$AG,0))),
IF(_xlpm._row&gt;_xlpm._numActiveCountermeasures+_xlpm._numAdditionalCountermeasures,"",
IF(_xlpm._row&gt;_xlpm._numActiveCountermeasures,
$V39&amp;"-C"&amp;$Q39,
INDEX(Countermeasures!$A:$A,MATCH(_xlpm._row,Countermeasures!$AI:$AI,0))))))</f>
        <v/>
      </c>
      <c r="B39" s="16" t="str" cm="1">
        <f t="array" aca="1" ref="B39" ca="1">IF($A39="","",
_xlfn.LET(
_xlpm._isAssumption,$J39,
_xlpm._isAdditionalElement,$L39,
IF(_xlpm._isAdditionalElement,
IF(_xlpm._isAssumption,
ParseElementsFromComment($U39,Definitions!$AR$4,Definitions!$AS$4,Definitions!$AR$6,$Q39),
ParseElementsFromComment($U39,Definitions!$AR$5,Definitions!$AS$5,Definitions!$AR$6,$Q39)),
 _xlfn.LET(_xlpm._value,IF($A39="","",IF($J39,SimpleLookup($A39,Assumptions!$A:$B),SimpleLookup($A39,Countermeasures!$A:$B))),IF(_xlpm._value="","",_xlpm._value)))))</f>
        <v/>
      </c>
      <c r="C39" s="16" t="str" cm="1">
        <f t="array" aca="1" ref="C39" ca="1">IF($A39="","",IF($J39,IFERROR(SimpleLookup($A39,Assumptions!$A:$E),""),Definitions!$AO$4))</f>
        <v/>
      </c>
      <c r="D39" s="36" t="str">
        <f t="shared" ca="1" si="2"/>
        <v/>
      </c>
      <c r="E39" s="13"/>
      <c r="F39" s="59" t="str">
        <f t="shared" ca="1" si="3"/>
        <v/>
      </c>
      <c r="G39" s="122" t="str" cm="1">
        <f t="array" aca="1" ref="G39" ca="1">_xlfn.LET(_xlpm._val,IFERROR(SimpleLookup($A39,Countermeasures!$A:$R),IFERROR(SimpleLookup($A39,Assumptions!$A:$R),"")),IF(_xlpm._val="","",_xlpm._val))</f>
        <v/>
      </c>
      <c r="H39" s="16" t="str" cm="1">
        <f t="array" aca="1" ref="H39" ca="1">_xlfn.LET(_xlpm._value,IF($A39="","",IFERROR(IF($J39,SimpleLookup($A39,Assumptions!$A:$S),SimpleLookup($A39,Countermeasures!$A:$S)),"")),
IF(_xlpm._value="","",_xlpm._value))</f>
        <v/>
      </c>
      <c r="I39" s="10" cm="1">
        <f t="array" aca="1" ref="I39" ca="1">IF(ROW()=ROW($I$17)+1,0,INDEX($I:$I,ROW()-1))+IF($A39="",0,1)</f>
        <v>12</v>
      </c>
      <c r="J39" s="10" t="b">
        <f ca="1">_xlfn.LET(_xlpm._row,ROW()-ROW($K$17),
_xlpm._numActiveAssumptions,Helper!$B$8,
_xlpm._numAdditionalAssumptions,SUM(Table24['# Elements]),
_xlpm._row&lt;=_xlpm._numActiveAssumptions+_xlpm._numAdditionalAssumptions)</f>
        <v>0</v>
      </c>
      <c r="K39" s="21">
        <f ca="1">_xlfn.LET(_xlpm._row,ROW()-ROW($K$17),
_xlpm._numActiveAssumptions,Helper!$B$8,
_xlpm._numAdditionalAssumptions,Helper!$B$10,
_xlpm._isAssumption,$J39,
_xlpm._elementID,IF(_xlpm._isAssumption,_xlpm._row,_xlpm._row-_xlpm._numActiveAssumptions-_xlpm._numAdditionalAssumptions),
_xlpm._elementID)</f>
        <v>16</v>
      </c>
      <c r="L39"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39" s="20" cm="1">
        <f t="array" aca="1" ref="M39" ca="1">IF($L39,
IF(ROW()=ROW($M$17)+1,1,INDEX($M:$M,ROW()-1)+IF(INDEX($T:$T,ROW()-1),1,0)),
1)</f>
        <v>1</v>
      </c>
      <c r="N39" s="14" t="str" cm="1">
        <f t="array" aca="1" ref="N39" ca="1">IF($L39=TRUE,
_xlfn.LET(
_xlpm._isAssumption,$J39,
_xlpm._indexRange,IF(_xlpm._isAssumption,Table24['# Elements],Table25['# Elements]),
_xlpm._lookupRow,$W39,
INDEX(_xlpm._indexRange,_xlpm._lookupRow)),
"")</f>
        <v/>
      </c>
      <c r="O39" s="20" t="str" cm="1">
        <f t="array" aca="1" ref="O39" ca="1">IF($N39="","",_xlfn.LET(
_xlpm._prevRow,ROW()-1,
IF(OR(INDEX($N:$N,_xlpm._prevRow)&lt;&gt;$N39,INDEX($M:$M,_xlpm._prevRow)&lt;&gt;$M39),
1,
INDEX($O:$O,_xlpm._prevRow)+IF(INDEX($S:$S,_xlpm._prevRow),1,0))))</f>
        <v/>
      </c>
      <c r="P39" s="20" t="str" cm="1">
        <f t="array" aca="1" ref="P39" ca="1">IF($O39="","",_xlfn.LET(
_xlpm._isAssumption,$J39,
_xlpm._sheetRow,$W39,
_xlpm._sheetName,$X39,
_xlpm._elementIDRange,IF(_xlpm._isAssumption,Table24[Element ID Column],Table25[Element ID Column]),
_xlpm._numberOfElementsRange,IF(_xlpm._isAssumption,Table24[Number of Elements Column],Table25[Number of Elements Column]),
SimpleLookup($O39,INDIRECT("'"&amp;_xlpm._sheetName&amp;"'!"&amp;INDEX(_xlpm._elementIDRange,_xlpm._sheetRow)&amp;":"&amp;INDEX(_xlpm._numberOfElementsRange,_xlpm._sheetRow)))))</f>
        <v/>
      </c>
      <c r="Q39" s="20" t="str" cm="1">
        <f t="array" aca="1" ref="Q39" ca="1">IF($O39="","",IF(OR(INDEX($O:$O,ROW()-1)&lt;&gt;$O39,INDEX($M:$M,ROW()-1)&lt;&gt;$M39),1,INDEX($Q:$Q,ROW()-1)+1))</f>
        <v/>
      </c>
      <c r="R39" s="20">
        <f t="shared" ca="1" si="4"/>
        <v>0</v>
      </c>
      <c r="S39" s="20" t="str">
        <f t="shared" ca="1" si="5"/>
        <v/>
      </c>
      <c r="T39" s="20" t="b">
        <f ca="1">_xlfn.LET(
_xlpm._isAssumption,$J39,
_xlpm._numberOfElementsRange,IF(_xlpm._isAssumption,Table24['# Elements],Table25['# Elements]),
_xlpm._sheetRow,$W39,
IF($L39,AND($S39,$R39=$N39),FALSE))</f>
        <v>0</v>
      </c>
      <c r="U39" s="20" t="str" cm="1">
        <f t="array" aca="1" ref="U39" ca="1">IF($L39,
_xlfn.LET(
_xlpm._elementID,$O39,
_xlpm._isAssumption,$J39,
_xlpm._sheetRow,$W39,
_xlpm._sheetName,$X39,
_xlpm._elementRow,$Y39,
_xlpm._resultColumnLetter,IF(_xlpm._isAssumption,INDEX(Table24[Comment Column],_xlpm._sheetRow),INDEX(Table25[Comment Column],_xlpm._sheetRow)),
INDEX(INDIRECT("'"&amp;_xlpm._sheetName&amp;"'!"&amp;_xlpm._resultColumnLetter&amp;":"&amp;_xlpm._resultColumnLetter),_xlpm._elementRow)),
"")</f>
        <v/>
      </c>
      <c r="V39" s="20" t="str" cm="1">
        <f t="array" aca="1" ref="V39" ca="1">IF($L39,
_xlfn.LET(
_xlpm._elementID,$O39,
_xlpm._isAssumption,$J39,
_xlpm._sheetRow,$W39,
_xlpm._sheetName,$X39,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39" s="20" t="str">
        <f ca="1">IF($L39=TRUE,
_xlfn.LET(
_xlpm._isAssumption,$J39,
_xlpm._searchRange,IF(_xlpm._isAssumption,Table24[Task Sheet Shadow ID],Table25[Task Sheet Shadow ID]),
MATCH($M39,_xlpm._searchRange,0)),
"")</f>
        <v/>
      </c>
      <c r="X39" s="20" t="str" cm="1">
        <f t="array" aca="1" ref="X39" ca="1">IF($L39,
_xlfn.LET(
_xlpm._isAssumption,$J39,
_xlpm._sheetRow,$W39,
IF(_xlpm._isAssumption,INDEX(Table24[Sheet Name],_xlpm._sheetRow),INDEX(Table25[Sheet Name],_xlpm._sheetRow))),
"")</f>
        <v/>
      </c>
      <c r="Y39" s="20" t="str" cm="1">
        <f t="array" aca="1" ref="Y39" ca="1">IF($L39,
_xlfn.LET(
_xlpm._elementID,$O39,
_xlpm._isAssumption,$J39,
_xlpm._sheetRow,$W39,
_xlpm._sheetName,$X39,
_xlpm._elementIDColumnLetter,IF(_xlpm._isAssumption,INDEX(Table24[Element ID Column],_xlpm._sheetRow),INDEX(Table25[Element ID Column],_xlpm._sheetRow)),
MATCH(_xlpm._elementID,INDIRECT("'"&amp;_xlpm._sheetName&amp;"'!"&amp;_xlpm._elementIDColumnLetter&amp;":"&amp;_xlpm._elementIDColumnLetter),0)),
"")</f>
        <v/>
      </c>
      <c r="Z39" s="20" t="str" cm="1">
        <f t="array" aca="1" ref="Z39" ca="1">IF($A39="","",_xlfn.LET(
_xlpm._isAssumption,$J39,
_xlpm._isAdditionalElement,$L39,
_xlpm._sheetRow,$W39,
_xlpm._sheetName,$X39,
_xlpm._columnLetter,INDEX(IF(_xlpm._isAdditionalElement,Table24[Comment Column],Table25[Comment Column]),_xlpm._sheetRow),
_xlpm._sheetReference,IF(_xlpm._isAssumption,IF(_xlpm._isAdditionalElement,
CELL("address",INDEX(INDIRECT("'"&amp;_xlpm._sheetName&amp;"'!"&amp;_xlpm._columnLetter&amp;":"&amp;_xlpm._columnLetter),$Y39)),
CELL("address",INDEX(Assumptions!$A:$A,MATCH($A39,Assumptions!$A:$A,0),1))),
IF(_xlpm._isAdditionalElement,
CELL("address",INDEX(INDIRECT("'"&amp;_xlpm._sheetName&amp;"'!"&amp;_xlpm._columnLetter&amp;":"&amp;_xlpm._columnLetter),$Y39)),
CELL("address",INDEX(Countermeasures!$A:$A,MATCH($A39,Countermeasures!$A:$A,0),1)))),
_xlpm._start,FIND("]",_xlpm._sheetReference),
"'"&amp;SUBSTITUTE(SUBSTITUTE(RIGHT(_xlpm._sheetReference,LEN(_xlpm._sheetReference)-_xlpm._start),"'",""),"!","'!")))</f>
        <v/>
      </c>
      <c r="AA39" s="20" t="str" cm="1">
        <f t="array" aca="1" ref="AA39" ca="1">IF(NOT($L39),
_xlfn.LET(_xlpm._value,IF($A39="","",IF($J39,SimpleLookup($A39,Assumptions!$A:$AK),SimpleLookup($A39,Countermeasures!$A:$AN))),
IF(_xlpm._value="","",_xlpm._value)),
"")</f>
        <v/>
      </c>
      <c r="AB39" s="20" t="str" cm="1">
        <f t="array" aca="1" ref="AB39" ca="1">LookupNames(InverseLookup($A39,Mitigation!$AD$2,Mitigation!$A$2,1,Helper!$B$5,","),'Attack Steps'!$A:$B)</f>
        <v/>
      </c>
      <c r="AC39" s="20" t="str" cm="1">
        <f t="array" aca="1" ref="AC39" ca="1">IF($L39,
_xlfn.LET(
_xlpm._in,$A39,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39" s="20" t="str" cm="1">
        <f t="array" aca="1" ref="AD39" ca="1">_xlfn.LET(
_xlpm._countermeasures,InverseLookup($A39,Countermeasures!$AG$2,Countermeasures!$A$2,1,Helper!$B$4,","),
LookupNames(_xlpm._countermeasures,Countermeasures!$A:$B))</f>
        <v/>
      </c>
      <c r="AE39" s="20" t="str" cm="1">
        <f t="array" aca="1" ref="AE39" ca="1">IF($E39="","",_xlfn.LET(
_xlpm._id,$E39,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39" s="20" t="str" cm="1">
        <f t="array" aca="1" ref="AF39" ca="1">IF(OR($A39="",$L39),"",_xlfn.LET(
_xlpm._answers,IF($J39,SimpleLookup($A39,Assumptions!$A:$F),SimpleLookup($A39,Countermeasures!$A:$D)),
IF(_xlpm._answers="*",IF($J39,SimpleLookup($A39,Assumptions!$A:$C),SimpleLookup($A39,Countermeasures!$A:$C)),"")))</f>
        <v/>
      </c>
      <c r="AG39" s="20" t="str" cm="1">
        <f t="array" aca="1" ref="AG39" ca="1">IF(NOT($L39),"",_xlfn.LET(
_xlpm._mappedInMitigation,IFERROR(VLOOKUP($V39,'Attack Steps'!$A:$O,COLUMNS('Attack Steps'!$A:$O),FALSE),""),
CreateSearchString(_xlpm._mappedInMitigation)))</f>
        <v/>
      </c>
      <c r="AH39" s="20" t="b">
        <f ca="1">ROW()-ROW($AH$17)=Helper!$B$15</f>
        <v>0</v>
      </c>
      <c r="AI39" s="20" t="str">
        <f t="shared" ca="1" si="6"/>
        <v/>
      </c>
      <c r="AJ39" s="20" cm="1">
        <f t="array" aca="1" ref="AJ39" ca="1">CreateID($AJ$17,$AJ:$AJ,$AI39&lt;&gt;"")</f>
        <v>0</v>
      </c>
    </row>
    <row r="40" spans="1:36" x14ac:dyDescent="0.25">
      <c r="A40" s="16" t="str">
        <f ca="1">_xlfn.LET(
_xlpm._isAssumption,$J40,
_xlpm._row,$K40,
_xlpm._numActiveAssumptions,Helper!$B$8,
_xlpm._numActiveCountermeasures,Helper!$B$9,
_xlpm._numAdditionalAssumptions,Helper!$B$10,
_xlpm._numAdditionalCountermeasures,Helper!$B$11,
IF(_xlpm._isAssumption,
IF(_xlpm._row&gt;_xlpm._numActiveAssumptions,
$V40&amp;"-A"&amp;$Q40,
INDEX(Assumptions!A:A,MATCH(_xlpm._row,Assumptions!$AG:$AG,0))),
IF(_xlpm._row&gt;_xlpm._numActiveCountermeasures+_xlpm._numAdditionalCountermeasures,"",
IF(_xlpm._row&gt;_xlpm._numActiveCountermeasures,
$V40&amp;"-C"&amp;$Q40,
INDEX(Countermeasures!$A:$A,MATCH(_xlpm._row,Countermeasures!$AI:$AI,0))))))</f>
        <v/>
      </c>
      <c r="B40" s="16" t="str" cm="1">
        <f t="array" aca="1" ref="B40" ca="1">IF($A40="","",
_xlfn.LET(
_xlpm._isAssumption,$J40,
_xlpm._isAdditionalElement,$L40,
IF(_xlpm._isAdditionalElement,
IF(_xlpm._isAssumption,
ParseElementsFromComment($U40,Definitions!$AR$4,Definitions!$AS$4,Definitions!$AR$6,$Q40),
ParseElementsFromComment($U40,Definitions!$AR$5,Definitions!$AS$5,Definitions!$AR$6,$Q40)),
 _xlfn.LET(_xlpm._value,IF($A40="","",IF($J40,SimpleLookup($A40,Assumptions!$A:$B),SimpleLookup($A40,Countermeasures!$A:$B))),IF(_xlpm._value="","",_xlpm._value)))))</f>
        <v/>
      </c>
      <c r="C40" s="16" t="str" cm="1">
        <f t="array" aca="1" ref="C40" ca="1">IF($A40="","",IF($J40,IFERROR(SimpleLookup($A40,Assumptions!$A:$E),""),Definitions!$AO$4))</f>
        <v/>
      </c>
      <c r="D40" s="36" t="str">
        <f t="shared" ca="1" si="2"/>
        <v/>
      </c>
      <c r="E40" s="13"/>
      <c r="F40" s="59" t="str">
        <f t="shared" ca="1" si="3"/>
        <v/>
      </c>
      <c r="G40" s="122" t="str" cm="1">
        <f t="array" aca="1" ref="G40" ca="1">_xlfn.LET(_xlpm._val,IFERROR(SimpleLookup($A40,Countermeasures!$A:$R),IFERROR(SimpleLookup($A40,Assumptions!$A:$R),"")),IF(_xlpm._val="","",_xlpm._val))</f>
        <v/>
      </c>
      <c r="H40" s="16" t="str" cm="1">
        <f t="array" aca="1" ref="H40" ca="1">_xlfn.LET(_xlpm._value,IF($A40="","",IFERROR(IF($J40,SimpleLookup($A40,Assumptions!$A:$S),SimpleLookup($A40,Countermeasures!$A:$S)),"")),
IF(_xlpm._value="","",_xlpm._value))</f>
        <v/>
      </c>
      <c r="I40" s="10" cm="1">
        <f t="array" aca="1" ref="I40" ca="1">IF(ROW()=ROW($I$17)+1,0,INDEX($I:$I,ROW()-1))+IF($A40="",0,1)</f>
        <v>12</v>
      </c>
      <c r="J40" s="10" t="b">
        <f ca="1">_xlfn.LET(_xlpm._row,ROW()-ROW($K$17),
_xlpm._numActiveAssumptions,Helper!$B$8,
_xlpm._numAdditionalAssumptions,SUM(Table24['# Elements]),
_xlpm._row&lt;=_xlpm._numActiveAssumptions+_xlpm._numAdditionalAssumptions)</f>
        <v>0</v>
      </c>
      <c r="K40" s="21">
        <f ca="1">_xlfn.LET(_xlpm._row,ROW()-ROW($K$17),
_xlpm._numActiveAssumptions,Helper!$B$8,
_xlpm._numAdditionalAssumptions,Helper!$B$10,
_xlpm._isAssumption,$J40,
_xlpm._elementID,IF(_xlpm._isAssumption,_xlpm._row,_xlpm._row-_xlpm._numActiveAssumptions-_xlpm._numAdditionalAssumptions),
_xlpm._elementID)</f>
        <v>17</v>
      </c>
      <c r="L40"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40" s="20" cm="1">
        <f t="array" aca="1" ref="M40" ca="1">IF($L40,
IF(ROW()=ROW($M$17)+1,1,INDEX($M:$M,ROW()-1)+IF(INDEX($T:$T,ROW()-1),1,0)),
1)</f>
        <v>1</v>
      </c>
      <c r="N40" s="14" t="str" cm="1">
        <f t="array" aca="1" ref="N40" ca="1">IF($L40=TRUE,
_xlfn.LET(
_xlpm._isAssumption,$J40,
_xlpm._indexRange,IF(_xlpm._isAssumption,Table24['# Elements],Table25['# Elements]),
_xlpm._lookupRow,$W40,
INDEX(_xlpm._indexRange,_xlpm._lookupRow)),
"")</f>
        <v/>
      </c>
      <c r="O40" s="20" t="str" cm="1">
        <f t="array" aca="1" ref="O40" ca="1">IF($N40="","",_xlfn.LET(
_xlpm._prevRow,ROW()-1,
IF(OR(INDEX($N:$N,_xlpm._prevRow)&lt;&gt;$N40,INDEX($M:$M,_xlpm._prevRow)&lt;&gt;$M40),
1,
INDEX($O:$O,_xlpm._prevRow)+IF(INDEX($S:$S,_xlpm._prevRow),1,0))))</f>
        <v/>
      </c>
      <c r="P40" s="20" t="str" cm="1">
        <f t="array" aca="1" ref="P40" ca="1">IF($O40="","",_xlfn.LET(
_xlpm._isAssumption,$J40,
_xlpm._sheetRow,$W40,
_xlpm._sheetName,$X40,
_xlpm._elementIDRange,IF(_xlpm._isAssumption,Table24[Element ID Column],Table25[Element ID Column]),
_xlpm._numberOfElementsRange,IF(_xlpm._isAssumption,Table24[Number of Elements Column],Table25[Number of Elements Column]),
SimpleLookup($O40,INDIRECT("'"&amp;_xlpm._sheetName&amp;"'!"&amp;INDEX(_xlpm._elementIDRange,_xlpm._sheetRow)&amp;":"&amp;INDEX(_xlpm._numberOfElementsRange,_xlpm._sheetRow)))))</f>
        <v/>
      </c>
      <c r="Q40" s="20" t="str" cm="1">
        <f t="array" aca="1" ref="Q40" ca="1">IF($O40="","",IF(OR(INDEX($O:$O,ROW()-1)&lt;&gt;$O40,INDEX($M:$M,ROW()-1)&lt;&gt;$M40),1,INDEX($Q:$Q,ROW()-1)+1))</f>
        <v/>
      </c>
      <c r="R40" s="20">
        <f t="shared" ca="1" si="4"/>
        <v>0</v>
      </c>
      <c r="S40" s="20" t="str">
        <f t="shared" ca="1" si="5"/>
        <v/>
      </c>
      <c r="T40" s="20" t="b">
        <f ca="1">_xlfn.LET(
_xlpm._isAssumption,$J40,
_xlpm._numberOfElementsRange,IF(_xlpm._isAssumption,Table24['# Elements],Table25['# Elements]),
_xlpm._sheetRow,$W40,
IF($L40,AND($S40,$R40=$N40),FALSE))</f>
        <v>0</v>
      </c>
      <c r="U40" s="20" t="str" cm="1">
        <f t="array" aca="1" ref="U40" ca="1">IF($L40,
_xlfn.LET(
_xlpm._elementID,$O40,
_xlpm._isAssumption,$J40,
_xlpm._sheetRow,$W40,
_xlpm._sheetName,$X40,
_xlpm._elementRow,$Y40,
_xlpm._resultColumnLetter,IF(_xlpm._isAssumption,INDEX(Table24[Comment Column],_xlpm._sheetRow),INDEX(Table25[Comment Column],_xlpm._sheetRow)),
INDEX(INDIRECT("'"&amp;_xlpm._sheetName&amp;"'!"&amp;_xlpm._resultColumnLetter&amp;":"&amp;_xlpm._resultColumnLetter),_xlpm._elementRow)),
"")</f>
        <v/>
      </c>
      <c r="V40" s="20" t="str" cm="1">
        <f t="array" aca="1" ref="V40" ca="1">IF($L40,
_xlfn.LET(
_xlpm._elementID,$O40,
_xlpm._isAssumption,$J40,
_xlpm._sheetRow,$W40,
_xlpm._sheetName,$X40,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40" s="20" t="str">
        <f ca="1">IF($L40=TRUE,
_xlfn.LET(
_xlpm._isAssumption,$J40,
_xlpm._searchRange,IF(_xlpm._isAssumption,Table24[Task Sheet Shadow ID],Table25[Task Sheet Shadow ID]),
MATCH($M40,_xlpm._searchRange,0)),
"")</f>
        <v/>
      </c>
      <c r="X40" s="20" t="str" cm="1">
        <f t="array" aca="1" ref="X40" ca="1">IF($L40,
_xlfn.LET(
_xlpm._isAssumption,$J40,
_xlpm._sheetRow,$W40,
IF(_xlpm._isAssumption,INDEX(Table24[Sheet Name],_xlpm._sheetRow),INDEX(Table25[Sheet Name],_xlpm._sheetRow))),
"")</f>
        <v/>
      </c>
      <c r="Y40" s="20" t="str" cm="1">
        <f t="array" aca="1" ref="Y40" ca="1">IF($L40,
_xlfn.LET(
_xlpm._elementID,$O40,
_xlpm._isAssumption,$J40,
_xlpm._sheetRow,$W40,
_xlpm._sheetName,$X40,
_xlpm._elementIDColumnLetter,IF(_xlpm._isAssumption,INDEX(Table24[Element ID Column],_xlpm._sheetRow),INDEX(Table25[Element ID Column],_xlpm._sheetRow)),
MATCH(_xlpm._elementID,INDIRECT("'"&amp;_xlpm._sheetName&amp;"'!"&amp;_xlpm._elementIDColumnLetter&amp;":"&amp;_xlpm._elementIDColumnLetter),0)),
"")</f>
        <v/>
      </c>
      <c r="Z40" s="20" t="str" cm="1">
        <f t="array" aca="1" ref="Z40" ca="1">IF($A40="","",_xlfn.LET(
_xlpm._isAssumption,$J40,
_xlpm._isAdditionalElement,$L40,
_xlpm._sheetRow,$W40,
_xlpm._sheetName,$X40,
_xlpm._columnLetter,INDEX(IF(_xlpm._isAdditionalElement,Table24[Comment Column],Table25[Comment Column]),_xlpm._sheetRow),
_xlpm._sheetReference,IF(_xlpm._isAssumption,IF(_xlpm._isAdditionalElement,
CELL("address",INDEX(INDIRECT("'"&amp;_xlpm._sheetName&amp;"'!"&amp;_xlpm._columnLetter&amp;":"&amp;_xlpm._columnLetter),$Y40)),
CELL("address",INDEX(Assumptions!$A:$A,MATCH($A40,Assumptions!$A:$A,0),1))),
IF(_xlpm._isAdditionalElement,
CELL("address",INDEX(INDIRECT("'"&amp;_xlpm._sheetName&amp;"'!"&amp;_xlpm._columnLetter&amp;":"&amp;_xlpm._columnLetter),$Y40)),
CELL("address",INDEX(Countermeasures!$A:$A,MATCH($A40,Countermeasures!$A:$A,0),1)))),
_xlpm._start,FIND("]",_xlpm._sheetReference),
"'"&amp;SUBSTITUTE(SUBSTITUTE(RIGHT(_xlpm._sheetReference,LEN(_xlpm._sheetReference)-_xlpm._start),"'",""),"!","'!")))</f>
        <v/>
      </c>
      <c r="AA40" s="20" t="str" cm="1">
        <f t="array" aca="1" ref="AA40" ca="1">IF(NOT($L40),
_xlfn.LET(_xlpm._value,IF($A40="","",IF($J40,SimpleLookup($A40,Assumptions!$A:$AK),SimpleLookup($A40,Countermeasures!$A:$AN))),
IF(_xlpm._value="","",_xlpm._value)),
"")</f>
        <v/>
      </c>
      <c r="AB40" s="20" t="str" cm="1">
        <f t="array" aca="1" ref="AB40" ca="1">LookupNames(InverseLookup($A40,Mitigation!$AD$2,Mitigation!$A$2,1,Helper!$B$5,","),'Attack Steps'!$A:$B)</f>
        <v/>
      </c>
      <c r="AC40" s="20" t="str" cm="1">
        <f t="array" aca="1" ref="AC40" ca="1">IF($L40,
_xlfn.LET(
_xlpm._in,$A40,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40" s="20" t="str" cm="1">
        <f t="array" aca="1" ref="AD40" ca="1">_xlfn.LET(
_xlpm._countermeasures,InverseLookup($A40,Countermeasures!$AG$2,Countermeasures!$A$2,1,Helper!$B$4,","),
LookupNames(_xlpm._countermeasures,Countermeasures!$A:$B))</f>
        <v/>
      </c>
      <c r="AE40" s="20" t="str" cm="1">
        <f t="array" aca="1" ref="AE40" ca="1">IF($E40="","",_xlfn.LET(
_xlpm._id,$E40,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40" s="20" t="str" cm="1">
        <f t="array" aca="1" ref="AF40" ca="1">IF(OR($A40="",$L40),"",_xlfn.LET(
_xlpm._answers,IF($J40,SimpleLookup($A40,Assumptions!$A:$F),SimpleLookup($A40,Countermeasures!$A:$D)),
IF(_xlpm._answers="*",IF($J40,SimpleLookup($A40,Assumptions!$A:$C),SimpleLookup($A40,Countermeasures!$A:$C)),"")))</f>
        <v/>
      </c>
      <c r="AG40" s="20" t="str" cm="1">
        <f t="array" aca="1" ref="AG40" ca="1">IF(NOT($L40),"",_xlfn.LET(
_xlpm._mappedInMitigation,IFERROR(VLOOKUP($V40,'Attack Steps'!$A:$O,COLUMNS('Attack Steps'!$A:$O),FALSE),""),
CreateSearchString(_xlpm._mappedInMitigation)))</f>
        <v/>
      </c>
      <c r="AH40" s="20" t="b">
        <f ca="1">ROW()-ROW($AH$17)=Helper!$B$15</f>
        <v>0</v>
      </c>
      <c r="AI40" s="20" t="str">
        <f t="shared" ca="1" si="6"/>
        <v/>
      </c>
      <c r="AJ40" s="20" cm="1">
        <f t="array" aca="1" ref="AJ40" ca="1">CreateID($AJ$17,$AJ:$AJ,$AI40&lt;&gt;"")</f>
        <v>0</v>
      </c>
    </row>
    <row r="41" spans="1:36" x14ac:dyDescent="0.25">
      <c r="A41" s="16" t="str">
        <f ca="1">_xlfn.LET(
_xlpm._isAssumption,$J41,
_xlpm._row,$K41,
_xlpm._numActiveAssumptions,Helper!$B$8,
_xlpm._numActiveCountermeasures,Helper!$B$9,
_xlpm._numAdditionalAssumptions,Helper!$B$10,
_xlpm._numAdditionalCountermeasures,Helper!$B$11,
IF(_xlpm._isAssumption,
IF(_xlpm._row&gt;_xlpm._numActiveAssumptions,
$V41&amp;"-A"&amp;$Q41,
INDEX(Assumptions!A:A,MATCH(_xlpm._row,Assumptions!$AG:$AG,0))),
IF(_xlpm._row&gt;_xlpm._numActiveCountermeasures+_xlpm._numAdditionalCountermeasures,"",
IF(_xlpm._row&gt;_xlpm._numActiveCountermeasures,
$V41&amp;"-C"&amp;$Q41,
INDEX(Countermeasures!$A:$A,MATCH(_xlpm._row,Countermeasures!$AI:$AI,0))))))</f>
        <v/>
      </c>
      <c r="B41" s="16" t="str" cm="1">
        <f t="array" aca="1" ref="B41" ca="1">IF($A41="","",
_xlfn.LET(
_xlpm._isAssumption,$J41,
_xlpm._isAdditionalElement,$L41,
IF(_xlpm._isAdditionalElement,
IF(_xlpm._isAssumption,
ParseElementsFromComment($U41,Definitions!$AR$4,Definitions!$AS$4,Definitions!$AR$6,$Q41),
ParseElementsFromComment($U41,Definitions!$AR$5,Definitions!$AS$5,Definitions!$AR$6,$Q41)),
 _xlfn.LET(_xlpm._value,IF($A41="","",IF($J41,SimpleLookup($A41,Assumptions!$A:$B),SimpleLookup($A41,Countermeasures!$A:$B))),IF(_xlpm._value="","",_xlpm._value)))))</f>
        <v/>
      </c>
      <c r="C41" s="16" t="str" cm="1">
        <f t="array" aca="1" ref="C41" ca="1">IF($A41="","",IF($J41,IFERROR(SimpleLookup($A41,Assumptions!$A:$E),""),Definitions!$AO$4))</f>
        <v/>
      </c>
      <c r="D41" s="36" t="str">
        <f t="shared" ca="1" si="2"/>
        <v/>
      </c>
      <c r="E41" s="13"/>
      <c r="F41" s="59" t="str">
        <f t="shared" ca="1" si="3"/>
        <v/>
      </c>
      <c r="G41" s="122" t="str" cm="1">
        <f t="array" aca="1" ref="G41" ca="1">_xlfn.LET(_xlpm._val,IFERROR(SimpleLookup($A41,Countermeasures!$A:$R),IFERROR(SimpleLookup($A41,Assumptions!$A:$R),"")),IF(_xlpm._val="","",_xlpm._val))</f>
        <v/>
      </c>
      <c r="H41" s="16" t="str" cm="1">
        <f t="array" aca="1" ref="H41" ca="1">_xlfn.LET(_xlpm._value,IF($A41="","",IFERROR(IF($J41,SimpleLookup($A41,Assumptions!$A:$S),SimpleLookup($A41,Countermeasures!$A:$S)),"")),
IF(_xlpm._value="","",_xlpm._value))</f>
        <v/>
      </c>
      <c r="I41" s="10" cm="1">
        <f t="array" aca="1" ref="I41" ca="1">IF(ROW()=ROW($I$17)+1,0,INDEX($I:$I,ROW()-1))+IF($A41="",0,1)</f>
        <v>12</v>
      </c>
      <c r="J41" s="10" t="b">
        <f ca="1">_xlfn.LET(_xlpm._row,ROW()-ROW($K$17),
_xlpm._numActiveAssumptions,Helper!$B$8,
_xlpm._numAdditionalAssumptions,SUM(Table24['# Elements]),
_xlpm._row&lt;=_xlpm._numActiveAssumptions+_xlpm._numAdditionalAssumptions)</f>
        <v>0</v>
      </c>
      <c r="K41" s="21">
        <f ca="1">_xlfn.LET(_xlpm._row,ROW()-ROW($K$17),
_xlpm._numActiveAssumptions,Helper!$B$8,
_xlpm._numAdditionalAssumptions,Helper!$B$10,
_xlpm._isAssumption,$J41,
_xlpm._elementID,IF(_xlpm._isAssumption,_xlpm._row,_xlpm._row-_xlpm._numActiveAssumptions-_xlpm._numAdditionalAssumptions),
_xlpm._elementID)</f>
        <v>18</v>
      </c>
      <c r="L41"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41" s="20" cm="1">
        <f t="array" aca="1" ref="M41" ca="1">IF($L41,
IF(ROW()=ROW($M$17)+1,1,INDEX($M:$M,ROW()-1)+IF(INDEX($T:$T,ROW()-1),1,0)),
1)</f>
        <v>1</v>
      </c>
      <c r="N41" s="14" t="str" cm="1">
        <f t="array" aca="1" ref="N41" ca="1">IF($L41=TRUE,
_xlfn.LET(
_xlpm._isAssumption,$J41,
_xlpm._indexRange,IF(_xlpm._isAssumption,Table24['# Elements],Table25['# Elements]),
_xlpm._lookupRow,$W41,
INDEX(_xlpm._indexRange,_xlpm._lookupRow)),
"")</f>
        <v/>
      </c>
      <c r="O41" s="20" t="str" cm="1">
        <f t="array" aca="1" ref="O41" ca="1">IF($N41="","",_xlfn.LET(
_xlpm._prevRow,ROW()-1,
IF(OR(INDEX($N:$N,_xlpm._prevRow)&lt;&gt;$N41,INDEX($M:$M,_xlpm._prevRow)&lt;&gt;$M41),
1,
INDEX($O:$O,_xlpm._prevRow)+IF(INDEX($S:$S,_xlpm._prevRow),1,0))))</f>
        <v/>
      </c>
      <c r="P41" s="20" t="str" cm="1">
        <f t="array" aca="1" ref="P41" ca="1">IF($O41="","",_xlfn.LET(
_xlpm._isAssumption,$J41,
_xlpm._sheetRow,$W41,
_xlpm._sheetName,$X41,
_xlpm._elementIDRange,IF(_xlpm._isAssumption,Table24[Element ID Column],Table25[Element ID Column]),
_xlpm._numberOfElementsRange,IF(_xlpm._isAssumption,Table24[Number of Elements Column],Table25[Number of Elements Column]),
SimpleLookup($O41,INDIRECT("'"&amp;_xlpm._sheetName&amp;"'!"&amp;INDEX(_xlpm._elementIDRange,_xlpm._sheetRow)&amp;":"&amp;INDEX(_xlpm._numberOfElementsRange,_xlpm._sheetRow)))))</f>
        <v/>
      </c>
      <c r="Q41" s="20" t="str" cm="1">
        <f t="array" aca="1" ref="Q41" ca="1">IF($O41="","",IF(OR(INDEX($O:$O,ROW()-1)&lt;&gt;$O41,INDEX($M:$M,ROW()-1)&lt;&gt;$M41),1,INDEX($Q:$Q,ROW()-1)+1))</f>
        <v/>
      </c>
      <c r="R41" s="20">
        <f t="shared" ca="1" si="4"/>
        <v>0</v>
      </c>
      <c r="S41" s="20" t="str">
        <f t="shared" ca="1" si="5"/>
        <v/>
      </c>
      <c r="T41" s="20" t="b">
        <f ca="1">_xlfn.LET(
_xlpm._isAssumption,$J41,
_xlpm._numberOfElementsRange,IF(_xlpm._isAssumption,Table24['# Elements],Table25['# Elements]),
_xlpm._sheetRow,$W41,
IF($L41,AND($S41,$R41=$N41),FALSE))</f>
        <v>0</v>
      </c>
      <c r="U41" s="20" t="str" cm="1">
        <f t="array" aca="1" ref="U41" ca="1">IF($L41,
_xlfn.LET(
_xlpm._elementID,$O41,
_xlpm._isAssumption,$J41,
_xlpm._sheetRow,$W41,
_xlpm._sheetName,$X41,
_xlpm._elementRow,$Y41,
_xlpm._resultColumnLetter,IF(_xlpm._isAssumption,INDEX(Table24[Comment Column],_xlpm._sheetRow),INDEX(Table25[Comment Column],_xlpm._sheetRow)),
INDEX(INDIRECT("'"&amp;_xlpm._sheetName&amp;"'!"&amp;_xlpm._resultColumnLetter&amp;":"&amp;_xlpm._resultColumnLetter),_xlpm._elementRow)),
"")</f>
        <v/>
      </c>
      <c r="V41" s="20" t="str" cm="1">
        <f t="array" aca="1" ref="V41" ca="1">IF($L41,
_xlfn.LET(
_xlpm._elementID,$O41,
_xlpm._isAssumption,$J41,
_xlpm._sheetRow,$W41,
_xlpm._sheetName,$X41,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41" s="20" t="str">
        <f ca="1">IF($L41=TRUE,
_xlfn.LET(
_xlpm._isAssumption,$J41,
_xlpm._searchRange,IF(_xlpm._isAssumption,Table24[Task Sheet Shadow ID],Table25[Task Sheet Shadow ID]),
MATCH($M41,_xlpm._searchRange,0)),
"")</f>
        <v/>
      </c>
      <c r="X41" s="20" t="str" cm="1">
        <f t="array" aca="1" ref="X41" ca="1">IF($L41,
_xlfn.LET(
_xlpm._isAssumption,$J41,
_xlpm._sheetRow,$W41,
IF(_xlpm._isAssumption,INDEX(Table24[Sheet Name],_xlpm._sheetRow),INDEX(Table25[Sheet Name],_xlpm._sheetRow))),
"")</f>
        <v/>
      </c>
      <c r="Y41" s="20" t="str" cm="1">
        <f t="array" aca="1" ref="Y41" ca="1">IF($L41,
_xlfn.LET(
_xlpm._elementID,$O41,
_xlpm._isAssumption,$J41,
_xlpm._sheetRow,$W41,
_xlpm._sheetName,$X41,
_xlpm._elementIDColumnLetter,IF(_xlpm._isAssumption,INDEX(Table24[Element ID Column],_xlpm._sheetRow),INDEX(Table25[Element ID Column],_xlpm._sheetRow)),
MATCH(_xlpm._elementID,INDIRECT("'"&amp;_xlpm._sheetName&amp;"'!"&amp;_xlpm._elementIDColumnLetter&amp;":"&amp;_xlpm._elementIDColumnLetter),0)),
"")</f>
        <v/>
      </c>
      <c r="Z41" s="20" t="str" cm="1">
        <f t="array" aca="1" ref="Z41" ca="1">IF($A41="","",_xlfn.LET(
_xlpm._isAssumption,$J41,
_xlpm._isAdditionalElement,$L41,
_xlpm._sheetRow,$W41,
_xlpm._sheetName,$X41,
_xlpm._columnLetter,INDEX(IF(_xlpm._isAdditionalElement,Table24[Comment Column],Table25[Comment Column]),_xlpm._sheetRow),
_xlpm._sheetReference,IF(_xlpm._isAssumption,IF(_xlpm._isAdditionalElement,
CELL("address",INDEX(INDIRECT("'"&amp;_xlpm._sheetName&amp;"'!"&amp;_xlpm._columnLetter&amp;":"&amp;_xlpm._columnLetter),$Y41)),
CELL("address",INDEX(Assumptions!$A:$A,MATCH($A41,Assumptions!$A:$A,0),1))),
IF(_xlpm._isAdditionalElement,
CELL("address",INDEX(INDIRECT("'"&amp;_xlpm._sheetName&amp;"'!"&amp;_xlpm._columnLetter&amp;":"&amp;_xlpm._columnLetter),$Y41)),
CELL("address",INDEX(Countermeasures!$A:$A,MATCH($A41,Countermeasures!$A:$A,0),1)))),
_xlpm._start,FIND("]",_xlpm._sheetReference),
"'"&amp;SUBSTITUTE(SUBSTITUTE(RIGHT(_xlpm._sheetReference,LEN(_xlpm._sheetReference)-_xlpm._start),"'",""),"!","'!")))</f>
        <v/>
      </c>
      <c r="AA41" s="20" t="str" cm="1">
        <f t="array" aca="1" ref="AA41" ca="1">IF(NOT($L41),
_xlfn.LET(_xlpm._value,IF($A41="","",IF($J41,SimpleLookup($A41,Assumptions!$A:$AK),SimpleLookup($A41,Countermeasures!$A:$AN))),
IF(_xlpm._value="","",_xlpm._value)),
"")</f>
        <v/>
      </c>
      <c r="AB41" s="20" t="str" cm="1">
        <f t="array" aca="1" ref="AB41" ca="1">LookupNames(InverseLookup($A41,Mitigation!$AD$2,Mitigation!$A$2,1,Helper!$B$5,","),'Attack Steps'!$A:$B)</f>
        <v/>
      </c>
      <c r="AC41" s="20" t="str" cm="1">
        <f t="array" aca="1" ref="AC41" ca="1">IF($L41,
_xlfn.LET(
_xlpm._in,$A41,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41" s="20" t="str" cm="1">
        <f t="array" aca="1" ref="AD41" ca="1">_xlfn.LET(
_xlpm._countermeasures,InverseLookup($A41,Countermeasures!$AG$2,Countermeasures!$A$2,1,Helper!$B$4,","),
LookupNames(_xlpm._countermeasures,Countermeasures!$A:$B))</f>
        <v/>
      </c>
      <c r="AE41" s="20" t="str" cm="1">
        <f t="array" aca="1" ref="AE41" ca="1">IF($E41="","",_xlfn.LET(
_xlpm._id,$E41,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41" s="20" t="str" cm="1">
        <f t="array" aca="1" ref="AF41" ca="1">IF(OR($A41="",$L41),"",_xlfn.LET(
_xlpm._answers,IF($J41,SimpleLookup($A41,Assumptions!$A:$F),SimpleLookup($A41,Countermeasures!$A:$D)),
IF(_xlpm._answers="*",IF($J41,SimpleLookup($A41,Assumptions!$A:$C),SimpleLookup($A41,Countermeasures!$A:$C)),"")))</f>
        <v/>
      </c>
      <c r="AG41" s="20" t="str" cm="1">
        <f t="array" aca="1" ref="AG41" ca="1">IF(NOT($L41),"",_xlfn.LET(
_xlpm._mappedInMitigation,IFERROR(VLOOKUP($V41,'Attack Steps'!$A:$O,COLUMNS('Attack Steps'!$A:$O),FALSE),""),
CreateSearchString(_xlpm._mappedInMitigation)))</f>
        <v/>
      </c>
      <c r="AH41" s="20" t="b">
        <f ca="1">ROW()-ROW($AH$17)=Helper!$B$15</f>
        <v>0</v>
      </c>
      <c r="AI41" s="20" t="str">
        <f t="shared" ca="1" si="6"/>
        <v/>
      </c>
      <c r="AJ41" s="20" cm="1">
        <f t="array" aca="1" ref="AJ41" ca="1">CreateID($AJ$17,$AJ:$AJ,$AI41&lt;&gt;"")</f>
        <v>0</v>
      </c>
    </row>
    <row r="42" spans="1:36" x14ac:dyDescent="0.25">
      <c r="A42" s="16" t="str">
        <f ca="1">_xlfn.LET(
_xlpm._isAssumption,$J42,
_xlpm._row,$K42,
_xlpm._numActiveAssumptions,Helper!$B$8,
_xlpm._numActiveCountermeasures,Helper!$B$9,
_xlpm._numAdditionalAssumptions,Helper!$B$10,
_xlpm._numAdditionalCountermeasures,Helper!$B$11,
IF(_xlpm._isAssumption,
IF(_xlpm._row&gt;_xlpm._numActiveAssumptions,
$V42&amp;"-A"&amp;$Q42,
INDEX(Assumptions!A:A,MATCH(_xlpm._row,Assumptions!$AG:$AG,0))),
IF(_xlpm._row&gt;_xlpm._numActiveCountermeasures+_xlpm._numAdditionalCountermeasures,"",
IF(_xlpm._row&gt;_xlpm._numActiveCountermeasures,
$V42&amp;"-C"&amp;$Q42,
INDEX(Countermeasures!$A:$A,MATCH(_xlpm._row,Countermeasures!$AI:$AI,0))))))</f>
        <v/>
      </c>
      <c r="B42" s="16" t="str" cm="1">
        <f t="array" aca="1" ref="B42" ca="1">IF($A42="","",
_xlfn.LET(
_xlpm._isAssumption,$J42,
_xlpm._isAdditionalElement,$L42,
IF(_xlpm._isAdditionalElement,
IF(_xlpm._isAssumption,
ParseElementsFromComment($U42,Definitions!$AR$4,Definitions!$AS$4,Definitions!$AR$6,$Q42),
ParseElementsFromComment($U42,Definitions!$AR$5,Definitions!$AS$5,Definitions!$AR$6,$Q42)),
 _xlfn.LET(_xlpm._value,IF($A42="","",IF($J42,SimpleLookup($A42,Assumptions!$A:$B),SimpleLookup($A42,Countermeasures!$A:$B))),IF(_xlpm._value="","",_xlpm._value)))))</f>
        <v/>
      </c>
      <c r="C42" s="16" t="str" cm="1">
        <f t="array" aca="1" ref="C42" ca="1">IF($A42="","",IF($J42,IFERROR(SimpleLookup($A42,Assumptions!$A:$E),""),Definitions!$AO$4))</f>
        <v/>
      </c>
      <c r="D42" s="36" t="str">
        <f t="shared" ca="1" si="2"/>
        <v/>
      </c>
      <c r="E42" s="13"/>
      <c r="F42" s="59" t="str">
        <f t="shared" ca="1" si="3"/>
        <v/>
      </c>
      <c r="G42" s="122" t="str" cm="1">
        <f t="array" aca="1" ref="G42" ca="1">_xlfn.LET(_xlpm._val,IFERROR(SimpleLookup($A42,Countermeasures!$A:$R),IFERROR(SimpleLookup($A42,Assumptions!$A:$R),"")),IF(_xlpm._val="","",_xlpm._val))</f>
        <v/>
      </c>
      <c r="H42" s="16" t="str" cm="1">
        <f t="array" aca="1" ref="H42" ca="1">_xlfn.LET(_xlpm._value,IF($A42="","",IFERROR(IF($J42,SimpleLookup($A42,Assumptions!$A:$S),SimpleLookup($A42,Countermeasures!$A:$S)),"")),
IF(_xlpm._value="","",_xlpm._value))</f>
        <v/>
      </c>
      <c r="I42" s="10" cm="1">
        <f t="array" aca="1" ref="I42" ca="1">IF(ROW()=ROW($I$17)+1,0,INDEX($I:$I,ROW()-1))+IF($A42="",0,1)</f>
        <v>12</v>
      </c>
      <c r="J42" s="10" t="b">
        <f ca="1">_xlfn.LET(_xlpm._row,ROW()-ROW($K$17),
_xlpm._numActiveAssumptions,Helper!$B$8,
_xlpm._numAdditionalAssumptions,SUM(Table24['# Elements]),
_xlpm._row&lt;=_xlpm._numActiveAssumptions+_xlpm._numAdditionalAssumptions)</f>
        <v>0</v>
      </c>
      <c r="K42" s="21">
        <f ca="1">_xlfn.LET(_xlpm._row,ROW()-ROW($K$17),
_xlpm._numActiveAssumptions,Helper!$B$8,
_xlpm._numAdditionalAssumptions,Helper!$B$10,
_xlpm._isAssumption,$J42,
_xlpm._elementID,IF(_xlpm._isAssumption,_xlpm._row,_xlpm._row-_xlpm._numActiveAssumptions-_xlpm._numAdditionalAssumptions),
_xlpm._elementID)</f>
        <v>19</v>
      </c>
      <c r="L42"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42" s="20" cm="1">
        <f t="array" aca="1" ref="M42" ca="1">IF($L42,
IF(ROW()=ROW($M$17)+1,1,INDEX($M:$M,ROW()-1)+IF(INDEX($T:$T,ROW()-1),1,0)),
1)</f>
        <v>1</v>
      </c>
      <c r="N42" s="14" t="str" cm="1">
        <f t="array" aca="1" ref="N42" ca="1">IF($L42=TRUE,
_xlfn.LET(
_xlpm._isAssumption,$J42,
_xlpm._indexRange,IF(_xlpm._isAssumption,Table24['# Elements],Table25['# Elements]),
_xlpm._lookupRow,$W42,
INDEX(_xlpm._indexRange,_xlpm._lookupRow)),
"")</f>
        <v/>
      </c>
      <c r="O42" s="20" t="str" cm="1">
        <f t="array" aca="1" ref="O42" ca="1">IF($N42="","",_xlfn.LET(
_xlpm._prevRow,ROW()-1,
IF(OR(INDEX($N:$N,_xlpm._prevRow)&lt;&gt;$N42,INDEX($M:$M,_xlpm._prevRow)&lt;&gt;$M42),
1,
INDEX($O:$O,_xlpm._prevRow)+IF(INDEX($S:$S,_xlpm._prevRow),1,0))))</f>
        <v/>
      </c>
      <c r="P42" s="20" t="str" cm="1">
        <f t="array" aca="1" ref="P42" ca="1">IF($O42="","",_xlfn.LET(
_xlpm._isAssumption,$J42,
_xlpm._sheetRow,$W42,
_xlpm._sheetName,$X42,
_xlpm._elementIDRange,IF(_xlpm._isAssumption,Table24[Element ID Column],Table25[Element ID Column]),
_xlpm._numberOfElementsRange,IF(_xlpm._isAssumption,Table24[Number of Elements Column],Table25[Number of Elements Column]),
SimpleLookup($O42,INDIRECT("'"&amp;_xlpm._sheetName&amp;"'!"&amp;INDEX(_xlpm._elementIDRange,_xlpm._sheetRow)&amp;":"&amp;INDEX(_xlpm._numberOfElementsRange,_xlpm._sheetRow)))))</f>
        <v/>
      </c>
      <c r="Q42" s="20" t="str" cm="1">
        <f t="array" aca="1" ref="Q42" ca="1">IF($O42="","",IF(OR(INDEX($O:$O,ROW()-1)&lt;&gt;$O42,INDEX($M:$M,ROW()-1)&lt;&gt;$M42),1,INDEX($Q:$Q,ROW()-1)+1))</f>
        <v/>
      </c>
      <c r="R42" s="20">
        <f t="shared" ca="1" si="4"/>
        <v>0</v>
      </c>
      <c r="S42" s="20" t="str">
        <f t="shared" ca="1" si="5"/>
        <v/>
      </c>
      <c r="T42" s="20" t="b">
        <f ca="1">_xlfn.LET(
_xlpm._isAssumption,$J42,
_xlpm._numberOfElementsRange,IF(_xlpm._isAssumption,Table24['# Elements],Table25['# Elements]),
_xlpm._sheetRow,$W42,
IF($L42,AND($S42,$R42=$N42),FALSE))</f>
        <v>0</v>
      </c>
      <c r="U42" s="20" t="str" cm="1">
        <f t="array" aca="1" ref="U42" ca="1">IF($L42,
_xlfn.LET(
_xlpm._elementID,$O42,
_xlpm._isAssumption,$J42,
_xlpm._sheetRow,$W42,
_xlpm._sheetName,$X42,
_xlpm._elementRow,$Y42,
_xlpm._resultColumnLetter,IF(_xlpm._isAssumption,INDEX(Table24[Comment Column],_xlpm._sheetRow),INDEX(Table25[Comment Column],_xlpm._sheetRow)),
INDEX(INDIRECT("'"&amp;_xlpm._sheetName&amp;"'!"&amp;_xlpm._resultColumnLetter&amp;":"&amp;_xlpm._resultColumnLetter),_xlpm._elementRow)),
"")</f>
        <v/>
      </c>
      <c r="V42" s="20" t="str" cm="1">
        <f t="array" aca="1" ref="V42" ca="1">IF($L42,
_xlfn.LET(
_xlpm._elementID,$O42,
_xlpm._isAssumption,$J42,
_xlpm._sheetRow,$W42,
_xlpm._sheetName,$X42,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42" s="20" t="str">
        <f ca="1">IF($L42=TRUE,
_xlfn.LET(
_xlpm._isAssumption,$J42,
_xlpm._searchRange,IF(_xlpm._isAssumption,Table24[Task Sheet Shadow ID],Table25[Task Sheet Shadow ID]),
MATCH($M42,_xlpm._searchRange,0)),
"")</f>
        <v/>
      </c>
      <c r="X42" s="20" t="str" cm="1">
        <f t="array" aca="1" ref="X42" ca="1">IF($L42,
_xlfn.LET(
_xlpm._isAssumption,$J42,
_xlpm._sheetRow,$W42,
IF(_xlpm._isAssumption,INDEX(Table24[Sheet Name],_xlpm._sheetRow),INDEX(Table25[Sheet Name],_xlpm._sheetRow))),
"")</f>
        <v/>
      </c>
      <c r="Y42" s="20" t="str" cm="1">
        <f t="array" aca="1" ref="Y42" ca="1">IF($L42,
_xlfn.LET(
_xlpm._elementID,$O42,
_xlpm._isAssumption,$J42,
_xlpm._sheetRow,$W42,
_xlpm._sheetName,$X42,
_xlpm._elementIDColumnLetter,IF(_xlpm._isAssumption,INDEX(Table24[Element ID Column],_xlpm._sheetRow),INDEX(Table25[Element ID Column],_xlpm._sheetRow)),
MATCH(_xlpm._elementID,INDIRECT("'"&amp;_xlpm._sheetName&amp;"'!"&amp;_xlpm._elementIDColumnLetter&amp;":"&amp;_xlpm._elementIDColumnLetter),0)),
"")</f>
        <v/>
      </c>
      <c r="Z42" s="20" t="str" cm="1">
        <f t="array" aca="1" ref="Z42" ca="1">IF($A42="","",_xlfn.LET(
_xlpm._isAssumption,$J42,
_xlpm._isAdditionalElement,$L42,
_xlpm._sheetRow,$W42,
_xlpm._sheetName,$X42,
_xlpm._columnLetter,INDEX(IF(_xlpm._isAdditionalElement,Table24[Comment Column],Table25[Comment Column]),_xlpm._sheetRow),
_xlpm._sheetReference,IF(_xlpm._isAssumption,IF(_xlpm._isAdditionalElement,
CELL("address",INDEX(INDIRECT("'"&amp;_xlpm._sheetName&amp;"'!"&amp;_xlpm._columnLetter&amp;":"&amp;_xlpm._columnLetter),$Y42)),
CELL("address",INDEX(Assumptions!$A:$A,MATCH($A42,Assumptions!$A:$A,0),1))),
IF(_xlpm._isAdditionalElement,
CELL("address",INDEX(INDIRECT("'"&amp;_xlpm._sheetName&amp;"'!"&amp;_xlpm._columnLetter&amp;":"&amp;_xlpm._columnLetter),$Y42)),
CELL("address",INDEX(Countermeasures!$A:$A,MATCH($A42,Countermeasures!$A:$A,0),1)))),
_xlpm._start,FIND("]",_xlpm._sheetReference),
"'"&amp;SUBSTITUTE(SUBSTITUTE(RIGHT(_xlpm._sheetReference,LEN(_xlpm._sheetReference)-_xlpm._start),"'",""),"!","'!")))</f>
        <v/>
      </c>
      <c r="AA42" s="20" t="str" cm="1">
        <f t="array" aca="1" ref="AA42" ca="1">IF(NOT($L42),
_xlfn.LET(_xlpm._value,IF($A42="","",IF($J42,SimpleLookup($A42,Assumptions!$A:$AK),SimpleLookup($A42,Countermeasures!$A:$AN))),
IF(_xlpm._value="","",_xlpm._value)),
"")</f>
        <v/>
      </c>
      <c r="AB42" s="20" t="str" cm="1">
        <f t="array" aca="1" ref="AB42" ca="1">LookupNames(InverseLookup($A42,Mitigation!$AD$2,Mitigation!$A$2,1,Helper!$B$5,","),'Attack Steps'!$A:$B)</f>
        <v/>
      </c>
      <c r="AC42" s="20" t="str" cm="1">
        <f t="array" aca="1" ref="AC42" ca="1">IF($L42,
_xlfn.LET(
_xlpm._in,$A42,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42" s="20" t="str" cm="1">
        <f t="array" aca="1" ref="AD42" ca="1">_xlfn.LET(
_xlpm._countermeasures,InverseLookup($A42,Countermeasures!$AG$2,Countermeasures!$A$2,1,Helper!$B$4,","),
LookupNames(_xlpm._countermeasures,Countermeasures!$A:$B))</f>
        <v/>
      </c>
      <c r="AE42" s="20" t="str" cm="1">
        <f t="array" aca="1" ref="AE42" ca="1">IF($E42="","",_xlfn.LET(
_xlpm._id,$E42,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42" s="20" t="str" cm="1">
        <f t="array" aca="1" ref="AF42" ca="1">IF(OR($A42="",$L42),"",_xlfn.LET(
_xlpm._answers,IF($J42,SimpleLookup($A42,Assumptions!$A:$F),SimpleLookup($A42,Countermeasures!$A:$D)),
IF(_xlpm._answers="*",IF($J42,SimpleLookup($A42,Assumptions!$A:$C),SimpleLookup($A42,Countermeasures!$A:$C)),"")))</f>
        <v/>
      </c>
      <c r="AG42" s="20" t="str" cm="1">
        <f t="array" aca="1" ref="AG42" ca="1">IF(NOT($L42),"",_xlfn.LET(
_xlpm._mappedInMitigation,IFERROR(VLOOKUP($V42,'Attack Steps'!$A:$O,COLUMNS('Attack Steps'!$A:$O),FALSE),""),
CreateSearchString(_xlpm._mappedInMitigation)))</f>
        <v/>
      </c>
      <c r="AH42" s="20" t="b">
        <f ca="1">ROW()-ROW($AH$17)=Helper!$B$15</f>
        <v>0</v>
      </c>
      <c r="AI42" s="20" t="str">
        <f t="shared" ca="1" si="6"/>
        <v/>
      </c>
      <c r="AJ42" s="20" cm="1">
        <f t="array" aca="1" ref="AJ42" ca="1">CreateID($AJ$17,$AJ:$AJ,$AI42&lt;&gt;"")</f>
        <v>0</v>
      </c>
    </row>
    <row r="43" spans="1:36" x14ac:dyDescent="0.25">
      <c r="A43" s="16" t="str">
        <f ca="1">_xlfn.LET(
_xlpm._isAssumption,$J43,
_xlpm._row,$K43,
_xlpm._numActiveAssumptions,Helper!$B$8,
_xlpm._numActiveCountermeasures,Helper!$B$9,
_xlpm._numAdditionalAssumptions,Helper!$B$10,
_xlpm._numAdditionalCountermeasures,Helper!$B$11,
IF(_xlpm._isAssumption,
IF(_xlpm._row&gt;_xlpm._numActiveAssumptions,
$V43&amp;"-A"&amp;$Q43,
INDEX(Assumptions!A:A,MATCH(_xlpm._row,Assumptions!$AG:$AG,0))),
IF(_xlpm._row&gt;_xlpm._numActiveCountermeasures+_xlpm._numAdditionalCountermeasures,"",
IF(_xlpm._row&gt;_xlpm._numActiveCountermeasures,
$V43&amp;"-C"&amp;$Q43,
INDEX(Countermeasures!$A:$A,MATCH(_xlpm._row,Countermeasures!$AI:$AI,0))))))</f>
        <v/>
      </c>
      <c r="B43" s="16" t="str" cm="1">
        <f t="array" aca="1" ref="B43" ca="1">IF($A43="","",
_xlfn.LET(
_xlpm._isAssumption,$J43,
_xlpm._isAdditionalElement,$L43,
IF(_xlpm._isAdditionalElement,
IF(_xlpm._isAssumption,
ParseElementsFromComment($U43,Definitions!$AR$4,Definitions!$AS$4,Definitions!$AR$6,$Q43),
ParseElementsFromComment($U43,Definitions!$AR$5,Definitions!$AS$5,Definitions!$AR$6,$Q43)),
 _xlfn.LET(_xlpm._value,IF($A43="","",IF($J43,SimpleLookup($A43,Assumptions!$A:$B),SimpleLookup($A43,Countermeasures!$A:$B))),IF(_xlpm._value="","",_xlpm._value)))))</f>
        <v/>
      </c>
      <c r="C43" s="16" t="str" cm="1">
        <f t="array" aca="1" ref="C43" ca="1">IF($A43="","",IF($J43,IFERROR(SimpleLookup($A43,Assumptions!$A:$E),""),Definitions!$AO$4))</f>
        <v/>
      </c>
      <c r="D43" s="36" t="str">
        <f t="shared" ca="1" si="2"/>
        <v/>
      </c>
      <c r="E43" s="13"/>
      <c r="F43" s="59" t="str">
        <f t="shared" ca="1" si="3"/>
        <v/>
      </c>
      <c r="G43" s="122" t="str" cm="1">
        <f t="array" aca="1" ref="G43" ca="1">_xlfn.LET(_xlpm._val,IFERROR(SimpleLookup($A43,Countermeasures!$A:$R),IFERROR(SimpleLookup($A43,Assumptions!$A:$R),"")),IF(_xlpm._val="","",_xlpm._val))</f>
        <v/>
      </c>
      <c r="H43" s="16" t="str" cm="1">
        <f t="array" aca="1" ref="H43" ca="1">_xlfn.LET(_xlpm._value,IF($A43="","",IFERROR(IF($J43,SimpleLookup($A43,Assumptions!$A:$S),SimpleLookup($A43,Countermeasures!$A:$S)),"")),
IF(_xlpm._value="","",_xlpm._value))</f>
        <v/>
      </c>
      <c r="I43" s="10" cm="1">
        <f t="array" aca="1" ref="I43" ca="1">IF(ROW()=ROW($I$17)+1,0,INDEX($I:$I,ROW()-1))+IF($A43="",0,1)</f>
        <v>12</v>
      </c>
      <c r="J43" s="10" t="b">
        <f ca="1">_xlfn.LET(_xlpm._row,ROW()-ROW($K$17),
_xlpm._numActiveAssumptions,Helper!$B$8,
_xlpm._numAdditionalAssumptions,SUM(Table24['# Elements]),
_xlpm._row&lt;=_xlpm._numActiveAssumptions+_xlpm._numAdditionalAssumptions)</f>
        <v>0</v>
      </c>
      <c r="K43" s="21">
        <f ca="1">_xlfn.LET(_xlpm._row,ROW()-ROW($K$17),
_xlpm._numActiveAssumptions,Helper!$B$8,
_xlpm._numAdditionalAssumptions,Helper!$B$10,
_xlpm._isAssumption,$J43,
_xlpm._elementID,IF(_xlpm._isAssumption,_xlpm._row,_xlpm._row-_xlpm._numActiveAssumptions-_xlpm._numAdditionalAssumptions),
_xlpm._elementID)</f>
        <v>20</v>
      </c>
      <c r="L43"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43" s="20" cm="1">
        <f t="array" aca="1" ref="M43" ca="1">IF($L43,
IF(ROW()=ROW($M$17)+1,1,INDEX($M:$M,ROW()-1)+IF(INDEX($T:$T,ROW()-1),1,0)),
1)</f>
        <v>1</v>
      </c>
      <c r="N43" s="14" t="str" cm="1">
        <f t="array" aca="1" ref="N43" ca="1">IF($L43=TRUE,
_xlfn.LET(
_xlpm._isAssumption,$J43,
_xlpm._indexRange,IF(_xlpm._isAssumption,Table24['# Elements],Table25['# Elements]),
_xlpm._lookupRow,$W43,
INDEX(_xlpm._indexRange,_xlpm._lookupRow)),
"")</f>
        <v/>
      </c>
      <c r="O43" s="20" t="str" cm="1">
        <f t="array" aca="1" ref="O43" ca="1">IF($N43="","",_xlfn.LET(
_xlpm._prevRow,ROW()-1,
IF(OR(INDEX($N:$N,_xlpm._prevRow)&lt;&gt;$N43,INDEX($M:$M,_xlpm._prevRow)&lt;&gt;$M43),
1,
INDEX($O:$O,_xlpm._prevRow)+IF(INDEX($S:$S,_xlpm._prevRow),1,0))))</f>
        <v/>
      </c>
      <c r="P43" s="20" t="str" cm="1">
        <f t="array" aca="1" ref="P43" ca="1">IF($O43="","",_xlfn.LET(
_xlpm._isAssumption,$J43,
_xlpm._sheetRow,$W43,
_xlpm._sheetName,$X43,
_xlpm._elementIDRange,IF(_xlpm._isAssumption,Table24[Element ID Column],Table25[Element ID Column]),
_xlpm._numberOfElementsRange,IF(_xlpm._isAssumption,Table24[Number of Elements Column],Table25[Number of Elements Column]),
SimpleLookup($O43,INDIRECT("'"&amp;_xlpm._sheetName&amp;"'!"&amp;INDEX(_xlpm._elementIDRange,_xlpm._sheetRow)&amp;":"&amp;INDEX(_xlpm._numberOfElementsRange,_xlpm._sheetRow)))))</f>
        <v/>
      </c>
      <c r="Q43" s="20" t="str" cm="1">
        <f t="array" aca="1" ref="Q43" ca="1">IF($O43="","",IF(OR(INDEX($O:$O,ROW()-1)&lt;&gt;$O43,INDEX($M:$M,ROW()-1)&lt;&gt;$M43),1,INDEX($Q:$Q,ROW()-1)+1))</f>
        <v/>
      </c>
      <c r="R43" s="20">
        <f t="shared" ca="1" si="4"/>
        <v>0</v>
      </c>
      <c r="S43" s="20" t="str">
        <f t="shared" ca="1" si="5"/>
        <v/>
      </c>
      <c r="T43" s="20" t="b">
        <f ca="1">_xlfn.LET(
_xlpm._isAssumption,$J43,
_xlpm._numberOfElementsRange,IF(_xlpm._isAssumption,Table24['# Elements],Table25['# Elements]),
_xlpm._sheetRow,$W43,
IF($L43,AND($S43,$R43=$N43),FALSE))</f>
        <v>0</v>
      </c>
      <c r="U43" s="20" t="str" cm="1">
        <f t="array" aca="1" ref="U43" ca="1">IF($L43,
_xlfn.LET(
_xlpm._elementID,$O43,
_xlpm._isAssumption,$J43,
_xlpm._sheetRow,$W43,
_xlpm._sheetName,$X43,
_xlpm._elementRow,$Y43,
_xlpm._resultColumnLetter,IF(_xlpm._isAssumption,INDEX(Table24[Comment Column],_xlpm._sheetRow),INDEX(Table25[Comment Column],_xlpm._sheetRow)),
INDEX(INDIRECT("'"&amp;_xlpm._sheetName&amp;"'!"&amp;_xlpm._resultColumnLetter&amp;":"&amp;_xlpm._resultColumnLetter),_xlpm._elementRow)),
"")</f>
        <v/>
      </c>
      <c r="V43" s="20" t="str" cm="1">
        <f t="array" aca="1" ref="V43" ca="1">IF($L43,
_xlfn.LET(
_xlpm._elementID,$O43,
_xlpm._isAssumption,$J43,
_xlpm._sheetRow,$W43,
_xlpm._sheetName,$X43,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43" s="20" t="str">
        <f ca="1">IF($L43=TRUE,
_xlfn.LET(
_xlpm._isAssumption,$J43,
_xlpm._searchRange,IF(_xlpm._isAssumption,Table24[Task Sheet Shadow ID],Table25[Task Sheet Shadow ID]),
MATCH($M43,_xlpm._searchRange,0)),
"")</f>
        <v/>
      </c>
      <c r="X43" s="20" t="str" cm="1">
        <f t="array" aca="1" ref="X43" ca="1">IF($L43,
_xlfn.LET(
_xlpm._isAssumption,$J43,
_xlpm._sheetRow,$W43,
IF(_xlpm._isAssumption,INDEX(Table24[Sheet Name],_xlpm._sheetRow),INDEX(Table25[Sheet Name],_xlpm._sheetRow))),
"")</f>
        <v/>
      </c>
      <c r="Y43" s="20" t="str" cm="1">
        <f t="array" aca="1" ref="Y43" ca="1">IF($L43,
_xlfn.LET(
_xlpm._elementID,$O43,
_xlpm._isAssumption,$J43,
_xlpm._sheetRow,$W43,
_xlpm._sheetName,$X43,
_xlpm._elementIDColumnLetter,IF(_xlpm._isAssumption,INDEX(Table24[Element ID Column],_xlpm._sheetRow),INDEX(Table25[Element ID Column],_xlpm._sheetRow)),
MATCH(_xlpm._elementID,INDIRECT("'"&amp;_xlpm._sheetName&amp;"'!"&amp;_xlpm._elementIDColumnLetter&amp;":"&amp;_xlpm._elementIDColumnLetter),0)),
"")</f>
        <v/>
      </c>
      <c r="Z43" s="20" t="str" cm="1">
        <f t="array" aca="1" ref="Z43" ca="1">IF($A43="","",_xlfn.LET(
_xlpm._isAssumption,$J43,
_xlpm._isAdditionalElement,$L43,
_xlpm._sheetRow,$W43,
_xlpm._sheetName,$X43,
_xlpm._columnLetter,INDEX(IF(_xlpm._isAdditionalElement,Table24[Comment Column],Table25[Comment Column]),_xlpm._sheetRow),
_xlpm._sheetReference,IF(_xlpm._isAssumption,IF(_xlpm._isAdditionalElement,
CELL("address",INDEX(INDIRECT("'"&amp;_xlpm._sheetName&amp;"'!"&amp;_xlpm._columnLetter&amp;":"&amp;_xlpm._columnLetter),$Y43)),
CELL("address",INDEX(Assumptions!$A:$A,MATCH($A43,Assumptions!$A:$A,0),1))),
IF(_xlpm._isAdditionalElement,
CELL("address",INDEX(INDIRECT("'"&amp;_xlpm._sheetName&amp;"'!"&amp;_xlpm._columnLetter&amp;":"&amp;_xlpm._columnLetter),$Y43)),
CELL("address",INDEX(Countermeasures!$A:$A,MATCH($A43,Countermeasures!$A:$A,0),1)))),
_xlpm._start,FIND("]",_xlpm._sheetReference),
"'"&amp;SUBSTITUTE(SUBSTITUTE(RIGHT(_xlpm._sheetReference,LEN(_xlpm._sheetReference)-_xlpm._start),"'",""),"!","'!")))</f>
        <v/>
      </c>
      <c r="AA43" s="20" t="str" cm="1">
        <f t="array" aca="1" ref="AA43" ca="1">IF(NOT($L43),
_xlfn.LET(_xlpm._value,IF($A43="","",IF($J43,SimpleLookup($A43,Assumptions!$A:$AK),SimpleLookup($A43,Countermeasures!$A:$AN))),
IF(_xlpm._value="","",_xlpm._value)),
"")</f>
        <v/>
      </c>
      <c r="AB43" s="20" t="str" cm="1">
        <f t="array" aca="1" ref="AB43" ca="1">LookupNames(InverseLookup($A43,Mitigation!$AD$2,Mitigation!$A$2,1,Helper!$B$5,","),'Attack Steps'!$A:$B)</f>
        <v/>
      </c>
      <c r="AC43" s="20" t="str" cm="1">
        <f t="array" aca="1" ref="AC43" ca="1">IF($L43,
_xlfn.LET(
_xlpm._in,$A43,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43" s="20" t="str" cm="1">
        <f t="array" aca="1" ref="AD43" ca="1">_xlfn.LET(
_xlpm._countermeasures,InverseLookup($A43,Countermeasures!$AG$2,Countermeasures!$A$2,1,Helper!$B$4,","),
LookupNames(_xlpm._countermeasures,Countermeasures!$A:$B))</f>
        <v/>
      </c>
      <c r="AE43" s="20" t="str" cm="1">
        <f t="array" aca="1" ref="AE43" ca="1">IF($E43="","",_xlfn.LET(
_xlpm._id,$E43,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43" s="20" t="str" cm="1">
        <f t="array" aca="1" ref="AF43" ca="1">IF(OR($A43="",$L43),"",_xlfn.LET(
_xlpm._answers,IF($J43,SimpleLookup($A43,Assumptions!$A:$F),SimpleLookup($A43,Countermeasures!$A:$D)),
IF(_xlpm._answers="*",IF($J43,SimpleLookup($A43,Assumptions!$A:$C),SimpleLookup($A43,Countermeasures!$A:$C)),"")))</f>
        <v/>
      </c>
      <c r="AG43" s="20" t="str" cm="1">
        <f t="array" aca="1" ref="AG43" ca="1">IF(NOT($L43),"",_xlfn.LET(
_xlpm._mappedInMitigation,IFERROR(VLOOKUP($V43,'Attack Steps'!$A:$O,COLUMNS('Attack Steps'!$A:$O),FALSE),""),
CreateSearchString(_xlpm._mappedInMitigation)))</f>
        <v/>
      </c>
      <c r="AH43" s="20" t="b">
        <f ca="1">ROW()-ROW($AH$17)=Helper!$B$15</f>
        <v>0</v>
      </c>
      <c r="AI43" s="20" t="str">
        <f t="shared" ca="1" si="6"/>
        <v/>
      </c>
      <c r="AJ43" s="20" cm="1">
        <f t="array" aca="1" ref="AJ43" ca="1">CreateID($AJ$17,$AJ:$AJ,$AI43&lt;&gt;"")</f>
        <v>0</v>
      </c>
    </row>
    <row r="44" spans="1:36" x14ac:dyDescent="0.25">
      <c r="A44" s="16" t="str">
        <f ca="1">_xlfn.LET(
_xlpm._isAssumption,$J44,
_xlpm._row,$K44,
_xlpm._numActiveAssumptions,Helper!$B$8,
_xlpm._numActiveCountermeasures,Helper!$B$9,
_xlpm._numAdditionalAssumptions,Helper!$B$10,
_xlpm._numAdditionalCountermeasures,Helper!$B$11,
IF(_xlpm._isAssumption,
IF(_xlpm._row&gt;_xlpm._numActiveAssumptions,
$V44&amp;"-A"&amp;$Q44,
INDEX(Assumptions!A:A,MATCH(_xlpm._row,Assumptions!$AG:$AG,0))),
IF(_xlpm._row&gt;_xlpm._numActiveCountermeasures+_xlpm._numAdditionalCountermeasures,"",
IF(_xlpm._row&gt;_xlpm._numActiveCountermeasures,
$V44&amp;"-C"&amp;$Q44,
INDEX(Countermeasures!$A:$A,MATCH(_xlpm._row,Countermeasures!$AI:$AI,0))))))</f>
        <v/>
      </c>
      <c r="B44" s="16" t="str" cm="1">
        <f t="array" aca="1" ref="B44" ca="1">IF($A44="","",
_xlfn.LET(
_xlpm._isAssumption,$J44,
_xlpm._isAdditionalElement,$L44,
IF(_xlpm._isAdditionalElement,
IF(_xlpm._isAssumption,
ParseElementsFromComment($U44,Definitions!$AR$4,Definitions!$AS$4,Definitions!$AR$6,$Q44),
ParseElementsFromComment($U44,Definitions!$AR$5,Definitions!$AS$5,Definitions!$AR$6,$Q44)),
 _xlfn.LET(_xlpm._value,IF($A44="","",IF($J44,SimpleLookup($A44,Assumptions!$A:$B),SimpleLookup($A44,Countermeasures!$A:$B))),IF(_xlpm._value="","",_xlpm._value)))))</f>
        <v/>
      </c>
      <c r="C44" s="16" t="str" cm="1">
        <f t="array" aca="1" ref="C44" ca="1">IF($A44="","",IF($J44,IFERROR(SimpleLookup($A44,Assumptions!$A:$E),""),Definitions!$AO$4))</f>
        <v/>
      </c>
      <c r="D44" s="36" t="str">
        <f t="shared" ca="1" si="2"/>
        <v/>
      </c>
      <c r="E44" s="13"/>
      <c r="F44" s="59" t="str">
        <f t="shared" ca="1" si="3"/>
        <v/>
      </c>
      <c r="G44" s="122" t="str" cm="1">
        <f t="array" aca="1" ref="G44" ca="1">_xlfn.LET(_xlpm._val,IFERROR(SimpleLookup($A44,Countermeasures!$A:$R),IFERROR(SimpleLookup($A44,Assumptions!$A:$R),"")),IF(_xlpm._val="","",_xlpm._val))</f>
        <v/>
      </c>
      <c r="H44" s="16" t="str" cm="1">
        <f t="array" aca="1" ref="H44" ca="1">_xlfn.LET(_xlpm._value,IF($A44="","",IFERROR(IF($J44,SimpleLookup($A44,Assumptions!$A:$S),SimpleLookup($A44,Countermeasures!$A:$S)),"")),
IF(_xlpm._value="","",_xlpm._value))</f>
        <v/>
      </c>
      <c r="I44" s="10" cm="1">
        <f t="array" aca="1" ref="I44" ca="1">IF(ROW()=ROW($I$17)+1,0,INDEX($I:$I,ROW()-1))+IF($A44="",0,1)</f>
        <v>12</v>
      </c>
      <c r="J44" s="10" t="b">
        <f ca="1">_xlfn.LET(_xlpm._row,ROW()-ROW($K$17),
_xlpm._numActiveAssumptions,Helper!$B$8,
_xlpm._numAdditionalAssumptions,SUM(Table24['# Elements]),
_xlpm._row&lt;=_xlpm._numActiveAssumptions+_xlpm._numAdditionalAssumptions)</f>
        <v>0</v>
      </c>
      <c r="K44" s="21">
        <f ca="1">_xlfn.LET(_xlpm._row,ROW()-ROW($K$17),
_xlpm._numActiveAssumptions,Helper!$B$8,
_xlpm._numAdditionalAssumptions,Helper!$B$10,
_xlpm._isAssumption,$J44,
_xlpm._elementID,IF(_xlpm._isAssumption,_xlpm._row,_xlpm._row-_xlpm._numActiveAssumptions-_xlpm._numAdditionalAssumptions),
_xlpm._elementID)</f>
        <v>21</v>
      </c>
      <c r="L44"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44" s="20" cm="1">
        <f t="array" aca="1" ref="M44" ca="1">IF($L44,
IF(ROW()=ROW($M$17)+1,1,INDEX($M:$M,ROW()-1)+IF(INDEX($T:$T,ROW()-1),1,0)),
1)</f>
        <v>1</v>
      </c>
      <c r="N44" s="14" t="str" cm="1">
        <f t="array" aca="1" ref="N44" ca="1">IF($L44=TRUE,
_xlfn.LET(
_xlpm._isAssumption,$J44,
_xlpm._indexRange,IF(_xlpm._isAssumption,Table24['# Elements],Table25['# Elements]),
_xlpm._lookupRow,$W44,
INDEX(_xlpm._indexRange,_xlpm._lookupRow)),
"")</f>
        <v/>
      </c>
      <c r="O44" s="20" t="str" cm="1">
        <f t="array" aca="1" ref="O44" ca="1">IF($N44="","",_xlfn.LET(
_xlpm._prevRow,ROW()-1,
IF(OR(INDEX($N:$N,_xlpm._prevRow)&lt;&gt;$N44,INDEX($M:$M,_xlpm._prevRow)&lt;&gt;$M44),
1,
INDEX($O:$O,_xlpm._prevRow)+IF(INDEX($S:$S,_xlpm._prevRow),1,0))))</f>
        <v/>
      </c>
      <c r="P44" s="20" t="str" cm="1">
        <f t="array" aca="1" ref="P44" ca="1">IF($O44="","",_xlfn.LET(
_xlpm._isAssumption,$J44,
_xlpm._sheetRow,$W44,
_xlpm._sheetName,$X44,
_xlpm._elementIDRange,IF(_xlpm._isAssumption,Table24[Element ID Column],Table25[Element ID Column]),
_xlpm._numberOfElementsRange,IF(_xlpm._isAssumption,Table24[Number of Elements Column],Table25[Number of Elements Column]),
SimpleLookup($O44,INDIRECT("'"&amp;_xlpm._sheetName&amp;"'!"&amp;INDEX(_xlpm._elementIDRange,_xlpm._sheetRow)&amp;":"&amp;INDEX(_xlpm._numberOfElementsRange,_xlpm._sheetRow)))))</f>
        <v/>
      </c>
      <c r="Q44" s="20" t="str" cm="1">
        <f t="array" aca="1" ref="Q44" ca="1">IF($O44="","",IF(OR(INDEX($O:$O,ROW()-1)&lt;&gt;$O44,INDEX($M:$M,ROW()-1)&lt;&gt;$M44),1,INDEX($Q:$Q,ROW()-1)+1))</f>
        <v/>
      </c>
      <c r="R44" s="20">
        <f t="shared" ca="1" si="4"/>
        <v>0</v>
      </c>
      <c r="S44" s="20" t="str">
        <f t="shared" ca="1" si="5"/>
        <v/>
      </c>
      <c r="T44" s="20" t="b">
        <f ca="1">_xlfn.LET(
_xlpm._isAssumption,$J44,
_xlpm._numberOfElementsRange,IF(_xlpm._isAssumption,Table24['# Elements],Table25['# Elements]),
_xlpm._sheetRow,$W44,
IF($L44,AND($S44,$R44=$N44),FALSE))</f>
        <v>0</v>
      </c>
      <c r="U44" s="20" t="str" cm="1">
        <f t="array" aca="1" ref="U44" ca="1">IF($L44,
_xlfn.LET(
_xlpm._elementID,$O44,
_xlpm._isAssumption,$J44,
_xlpm._sheetRow,$W44,
_xlpm._sheetName,$X44,
_xlpm._elementRow,$Y44,
_xlpm._resultColumnLetter,IF(_xlpm._isAssumption,INDEX(Table24[Comment Column],_xlpm._sheetRow),INDEX(Table25[Comment Column],_xlpm._sheetRow)),
INDEX(INDIRECT("'"&amp;_xlpm._sheetName&amp;"'!"&amp;_xlpm._resultColumnLetter&amp;":"&amp;_xlpm._resultColumnLetter),_xlpm._elementRow)),
"")</f>
        <v/>
      </c>
      <c r="V44" s="20" t="str" cm="1">
        <f t="array" aca="1" ref="V44" ca="1">IF($L44,
_xlfn.LET(
_xlpm._elementID,$O44,
_xlpm._isAssumption,$J44,
_xlpm._sheetRow,$W44,
_xlpm._sheetName,$X44,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44" s="20" t="str">
        <f ca="1">IF($L44=TRUE,
_xlfn.LET(
_xlpm._isAssumption,$J44,
_xlpm._searchRange,IF(_xlpm._isAssumption,Table24[Task Sheet Shadow ID],Table25[Task Sheet Shadow ID]),
MATCH($M44,_xlpm._searchRange,0)),
"")</f>
        <v/>
      </c>
      <c r="X44" s="20" t="str" cm="1">
        <f t="array" aca="1" ref="X44" ca="1">IF($L44,
_xlfn.LET(
_xlpm._isAssumption,$J44,
_xlpm._sheetRow,$W44,
IF(_xlpm._isAssumption,INDEX(Table24[Sheet Name],_xlpm._sheetRow),INDEX(Table25[Sheet Name],_xlpm._sheetRow))),
"")</f>
        <v/>
      </c>
      <c r="Y44" s="20" t="str" cm="1">
        <f t="array" aca="1" ref="Y44" ca="1">IF($L44,
_xlfn.LET(
_xlpm._elementID,$O44,
_xlpm._isAssumption,$J44,
_xlpm._sheetRow,$W44,
_xlpm._sheetName,$X44,
_xlpm._elementIDColumnLetter,IF(_xlpm._isAssumption,INDEX(Table24[Element ID Column],_xlpm._sheetRow),INDEX(Table25[Element ID Column],_xlpm._sheetRow)),
MATCH(_xlpm._elementID,INDIRECT("'"&amp;_xlpm._sheetName&amp;"'!"&amp;_xlpm._elementIDColumnLetter&amp;":"&amp;_xlpm._elementIDColumnLetter),0)),
"")</f>
        <v/>
      </c>
      <c r="Z44" s="20" t="str" cm="1">
        <f t="array" aca="1" ref="Z44" ca="1">IF($A44="","",_xlfn.LET(
_xlpm._isAssumption,$J44,
_xlpm._isAdditionalElement,$L44,
_xlpm._sheetRow,$W44,
_xlpm._sheetName,$X44,
_xlpm._columnLetter,INDEX(IF(_xlpm._isAdditionalElement,Table24[Comment Column],Table25[Comment Column]),_xlpm._sheetRow),
_xlpm._sheetReference,IF(_xlpm._isAssumption,IF(_xlpm._isAdditionalElement,
CELL("address",INDEX(INDIRECT("'"&amp;_xlpm._sheetName&amp;"'!"&amp;_xlpm._columnLetter&amp;":"&amp;_xlpm._columnLetter),$Y44)),
CELL("address",INDEX(Assumptions!$A:$A,MATCH($A44,Assumptions!$A:$A,0),1))),
IF(_xlpm._isAdditionalElement,
CELL("address",INDEX(INDIRECT("'"&amp;_xlpm._sheetName&amp;"'!"&amp;_xlpm._columnLetter&amp;":"&amp;_xlpm._columnLetter),$Y44)),
CELL("address",INDEX(Countermeasures!$A:$A,MATCH($A44,Countermeasures!$A:$A,0),1)))),
_xlpm._start,FIND("]",_xlpm._sheetReference),
"'"&amp;SUBSTITUTE(SUBSTITUTE(RIGHT(_xlpm._sheetReference,LEN(_xlpm._sheetReference)-_xlpm._start),"'",""),"!","'!")))</f>
        <v/>
      </c>
      <c r="AA44" s="20" t="str" cm="1">
        <f t="array" aca="1" ref="AA44" ca="1">IF(NOT($L44),
_xlfn.LET(_xlpm._value,IF($A44="","",IF($J44,SimpleLookup($A44,Assumptions!$A:$AK),SimpleLookup($A44,Countermeasures!$A:$AN))),
IF(_xlpm._value="","",_xlpm._value)),
"")</f>
        <v/>
      </c>
      <c r="AB44" s="20" t="str" cm="1">
        <f t="array" aca="1" ref="AB44" ca="1">LookupNames(InverseLookup($A44,Mitigation!$AD$2,Mitigation!$A$2,1,Helper!$B$5,","),'Attack Steps'!$A:$B)</f>
        <v/>
      </c>
      <c r="AC44" s="20" t="str" cm="1">
        <f t="array" aca="1" ref="AC44" ca="1">IF($L44,
_xlfn.LET(
_xlpm._in,$A44,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44" s="20" t="str" cm="1">
        <f t="array" aca="1" ref="AD44" ca="1">_xlfn.LET(
_xlpm._countermeasures,InverseLookup($A44,Countermeasures!$AG$2,Countermeasures!$A$2,1,Helper!$B$4,","),
LookupNames(_xlpm._countermeasures,Countermeasures!$A:$B))</f>
        <v/>
      </c>
      <c r="AE44" s="20" t="str" cm="1">
        <f t="array" aca="1" ref="AE44" ca="1">IF($E44="","",_xlfn.LET(
_xlpm._id,$E44,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44" s="20" t="str" cm="1">
        <f t="array" aca="1" ref="AF44" ca="1">IF(OR($A44="",$L44),"",_xlfn.LET(
_xlpm._answers,IF($J44,SimpleLookup($A44,Assumptions!$A:$F),SimpleLookup($A44,Countermeasures!$A:$D)),
IF(_xlpm._answers="*",IF($J44,SimpleLookup($A44,Assumptions!$A:$C),SimpleLookup($A44,Countermeasures!$A:$C)),"")))</f>
        <v/>
      </c>
      <c r="AG44" s="20" t="str" cm="1">
        <f t="array" aca="1" ref="AG44" ca="1">IF(NOT($L44),"",_xlfn.LET(
_xlpm._mappedInMitigation,IFERROR(VLOOKUP($V44,'Attack Steps'!$A:$O,COLUMNS('Attack Steps'!$A:$O),FALSE),""),
CreateSearchString(_xlpm._mappedInMitigation)))</f>
        <v/>
      </c>
      <c r="AH44" s="20" t="b">
        <f ca="1">ROW()-ROW($AH$17)=Helper!$B$15</f>
        <v>0</v>
      </c>
      <c r="AI44" s="20" t="str">
        <f t="shared" ca="1" si="6"/>
        <v/>
      </c>
      <c r="AJ44" s="20" cm="1">
        <f t="array" aca="1" ref="AJ44" ca="1">CreateID($AJ$17,$AJ:$AJ,$AI44&lt;&gt;"")</f>
        <v>0</v>
      </c>
    </row>
    <row r="45" spans="1:36" x14ac:dyDescent="0.25">
      <c r="A45" s="16" t="str">
        <f ca="1">_xlfn.LET(
_xlpm._isAssumption,$J45,
_xlpm._row,$K45,
_xlpm._numActiveAssumptions,Helper!$B$8,
_xlpm._numActiveCountermeasures,Helper!$B$9,
_xlpm._numAdditionalAssumptions,Helper!$B$10,
_xlpm._numAdditionalCountermeasures,Helper!$B$11,
IF(_xlpm._isAssumption,
IF(_xlpm._row&gt;_xlpm._numActiveAssumptions,
$V45&amp;"-A"&amp;$Q45,
INDEX(Assumptions!A:A,MATCH(_xlpm._row,Assumptions!$AG:$AG,0))),
IF(_xlpm._row&gt;_xlpm._numActiveCountermeasures+_xlpm._numAdditionalCountermeasures,"",
IF(_xlpm._row&gt;_xlpm._numActiveCountermeasures,
$V45&amp;"-C"&amp;$Q45,
INDEX(Countermeasures!$A:$A,MATCH(_xlpm._row,Countermeasures!$AI:$AI,0))))))</f>
        <v/>
      </c>
      <c r="B45" s="16" t="str" cm="1">
        <f t="array" aca="1" ref="B45" ca="1">IF($A45="","",
_xlfn.LET(
_xlpm._isAssumption,$J45,
_xlpm._isAdditionalElement,$L45,
IF(_xlpm._isAdditionalElement,
IF(_xlpm._isAssumption,
ParseElementsFromComment($U45,Definitions!$AR$4,Definitions!$AS$4,Definitions!$AR$6,$Q45),
ParseElementsFromComment($U45,Definitions!$AR$5,Definitions!$AS$5,Definitions!$AR$6,$Q45)),
 _xlfn.LET(_xlpm._value,IF($A45="","",IF($J45,SimpleLookup($A45,Assumptions!$A:$B),SimpleLookup($A45,Countermeasures!$A:$B))),IF(_xlpm._value="","",_xlpm._value)))))</f>
        <v/>
      </c>
      <c r="C45" s="16" t="str" cm="1">
        <f t="array" aca="1" ref="C45" ca="1">IF($A45="","",IF($J45,IFERROR(SimpleLookup($A45,Assumptions!$A:$E),""),Definitions!$AO$4))</f>
        <v/>
      </c>
      <c r="D45" s="36" t="str">
        <f t="shared" ca="1" si="2"/>
        <v/>
      </c>
      <c r="E45" s="13"/>
      <c r="F45" s="59" t="str">
        <f t="shared" ca="1" si="3"/>
        <v/>
      </c>
      <c r="G45" s="122" t="str" cm="1">
        <f t="array" aca="1" ref="G45" ca="1">_xlfn.LET(_xlpm._val,IFERROR(SimpleLookup($A45,Countermeasures!$A:$R),IFERROR(SimpleLookup($A45,Assumptions!$A:$R),"")),IF(_xlpm._val="","",_xlpm._val))</f>
        <v/>
      </c>
      <c r="H45" s="16" t="str" cm="1">
        <f t="array" aca="1" ref="H45" ca="1">_xlfn.LET(_xlpm._value,IF($A45="","",IFERROR(IF($J45,SimpleLookup($A45,Assumptions!$A:$S),SimpleLookup($A45,Countermeasures!$A:$S)),"")),
IF(_xlpm._value="","",_xlpm._value))</f>
        <v/>
      </c>
      <c r="I45" s="10" cm="1">
        <f t="array" aca="1" ref="I45" ca="1">IF(ROW()=ROW($I$17)+1,0,INDEX($I:$I,ROW()-1))+IF($A45="",0,1)</f>
        <v>12</v>
      </c>
      <c r="J45" s="10" t="b">
        <f ca="1">_xlfn.LET(_xlpm._row,ROW()-ROW($K$17),
_xlpm._numActiveAssumptions,Helper!$B$8,
_xlpm._numAdditionalAssumptions,SUM(Table24['# Elements]),
_xlpm._row&lt;=_xlpm._numActiveAssumptions+_xlpm._numAdditionalAssumptions)</f>
        <v>0</v>
      </c>
      <c r="K45" s="21">
        <f ca="1">_xlfn.LET(_xlpm._row,ROW()-ROW($K$17),
_xlpm._numActiveAssumptions,Helper!$B$8,
_xlpm._numAdditionalAssumptions,Helper!$B$10,
_xlpm._isAssumption,$J45,
_xlpm._elementID,IF(_xlpm._isAssumption,_xlpm._row,_xlpm._row-_xlpm._numActiveAssumptions-_xlpm._numAdditionalAssumptions),
_xlpm._elementID)</f>
        <v>22</v>
      </c>
      <c r="L45"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45" s="20" cm="1">
        <f t="array" aca="1" ref="M45" ca="1">IF($L45,
IF(ROW()=ROW($M$17)+1,1,INDEX($M:$M,ROW()-1)+IF(INDEX($T:$T,ROW()-1),1,0)),
1)</f>
        <v>1</v>
      </c>
      <c r="N45" s="14" t="str" cm="1">
        <f t="array" aca="1" ref="N45" ca="1">IF($L45=TRUE,
_xlfn.LET(
_xlpm._isAssumption,$J45,
_xlpm._indexRange,IF(_xlpm._isAssumption,Table24['# Elements],Table25['# Elements]),
_xlpm._lookupRow,$W45,
INDEX(_xlpm._indexRange,_xlpm._lookupRow)),
"")</f>
        <v/>
      </c>
      <c r="O45" s="20" t="str" cm="1">
        <f t="array" aca="1" ref="O45" ca="1">IF($N45="","",_xlfn.LET(
_xlpm._prevRow,ROW()-1,
IF(OR(INDEX($N:$N,_xlpm._prevRow)&lt;&gt;$N45,INDEX($M:$M,_xlpm._prevRow)&lt;&gt;$M45),
1,
INDEX($O:$O,_xlpm._prevRow)+IF(INDEX($S:$S,_xlpm._prevRow),1,0))))</f>
        <v/>
      </c>
      <c r="P45" s="20" t="str" cm="1">
        <f t="array" aca="1" ref="P45" ca="1">IF($O45="","",_xlfn.LET(
_xlpm._isAssumption,$J45,
_xlpm._sheetRow,$W45,
_xlpm._sheetName,$X45,
_xlpm._elementIDRange,IF(_xlpm._isAssumption,Table24[Element ID Column],Table25[Element ID Column]),
_xlpm._numberOfElementsRange,IF(_xlpm._isAssumption,Table24[Number of Elements Column],Table25[Number of Elements Column]),
SimpleLookup($O45,INDIRECT("'"&amp;_xlpm._sheetName&amp;"'!"&amp;INDEX(_xlpm._elementIDRange,_xlpm._sheetRow)&amp;":"&amp;INDEX(_xlpm._numberOfElementsRange,_xlpm._sheetRow)))))</f>
        <v/>
      </c>
      <c r="Q45" s="20" t="str" cm="1">
        <f t="array" aca="1" ref="Q45" ca="1">IF($O45="","",IF(OR(INDEX($O:$O,ROW()-1)&lt;&gt;$O45,INDEX($M:$M,ROW()-1)&lt;&gt;$M45),1,INDEX($Q:$Q,ROW()-1)+1))</f>
        <v/>
      </c>
      <c r="R45" s="20">
        <f t="shared" ca="1" si="4"/>
        <v>0</v>
      </c>
      <c r="S45" s="20" t="str">
        <f t="shared" ca="1" si="5"/>
        <v/>
      </c>
      <c r="T45" s="20" t="b">
        <f ca="1">_xlfn.LET(
_xlpm._isAssumption,$J45,
_xlpm._numberOfElementsRange,IF(_xlpm._isAssumption,Table24['# Elements],Table25['# Elements]),
_xlpm._sheetRow,$W45,
IF($L45,AND($S45,$R45=$N45),FALSE))</f>
        <v>0</v>
      </c>
      <c r="U45" s="20" t="str" cm="1">
        <f t="array" aca="1" ref="U45" ca="1">IF($L45,
_xlfn.LET(
_xlpm._elementID,$O45,
_xlpm._isAssumption,$J45,
_xlpm._sheetRow,$W45,
_xlpm._sheetName,$X45,
_xlpm._elementRow,$Y45,
_xlpm._resultColumnLetter,IF(_xlpm._isAssumption,INDEX(Table24[Comment Column],_xlpm._sheetRow),INDEX(Table25[Comment Column],_xlpm._sheetRow)),
INDEX(INDIRECT("'"&amp;_xlpm._sheetName&amp;"'!"&amp;_xlpm._resultColumnLetter&amp;":"&amp;_xlpm._resultColumnLetter),_xlpm._elementRow)),
"")</f>
        <v/>
      </c>
      <c r="V45" s="20" t="str" cm="1">
        <f t="array" aca="1" ref="V45" ca="1">IF($L45,
_xlfn.LET(
_xlpm._elementID,$O45,
_xlpm._isAssumption,$J45,
_xlpm._sheetRow,$W45,
_xlpm._sheetName,$X45,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45" s="20" t="str">
        <f ca="1">IF($L45=TRUE,
_xlfn.LET(
_xlpm._isAssumption,$J45,
_xlpm._searchRange,IF(_xlpm._isAssumption,Table24[Task Sheet Shadow ID],Table25[Task Sheet Shadow ID]),
MATCH($M45,_xlpm._searchRange,0)),
"")</f>
        <v/>
      </c>
      <c r="X45" s="20" t="str" cm="1">
        <f t="array" aca="1" ref="X45" ca="1">IF($L45,
_xlfn.LET(
_xlpm._isAssumption,$J45,
_xlpm._sheetRow,$W45,
IF(_xlpm._isAssumption,INDEX(Table24[Sheet Name],_xlpm._sheetRow),INDEX(Table25[Sheet Name],_xlpm._sheetRow))),
"")</f>
        <v/>
      </c>
      <c r="Y45" s="20" t="str" cm="1">
        <f t="array" aca="1" ref="Y45" ca="1">IF($L45,
_xlfn.LET(
_xlpm._elementID,$O45,
_xlpm._isAssumption,$J45,
_xlpm._sheetRow,$W45,
_xlpm._sheetName,$X45,
_xlpm._elementIDColumnLetter,IF(_xlpm._isAssumption,INDEX(Table24[Element ID Column],_xlpm._sheetRow),INDEX(Table25[Element ID Column],_xlpm._sheetRow)),
MATCH(_xlpm._elementID,INDIRECT("'"&amp;_xlpm._sheetName&amp;"'!"&amp;_xlpm._elementIDColumnLetter&amp;":"&amp;_xlpm._elementIDColumnLetter),0)),
"")</f>
        <v/>
      </c>
      <c r="Z45" s="20" t="str" cm="1">
        <f t="array" aca="1" ref="Z45" ca="1">IF($A45="","",_xlfn.LET(
_xlpm._isAssumption,$J45,
_xlpm._isAdditionalElement,$L45,
_xlpm._sheetRow,$W45,
_xlpm._sheetName,$X45,
_xlpm._columnLetter,INDEX(IF(_xlpm._isAdditionalElement,Table24[Comment Column],Table25[Comment Column]),_xlpm._sheetRow),
_xlpm._sheetReference,IF(_xlpm._isAssumption,IF(_xlpm._isAdditionalElement,
CELL("address",INDEX(INDIRECT("'"&amp;_xlpm._sheetName&amp;"'!"&amp;_xlpm._columnLetter&amp;":"&amp;_xlpm._columnLetter),$Y45)),
CELL("address",INDEX(Assumptions!$A:$A,MATCH($A45,Assumptions!$A:$A,0),1))),
IF(_xlpm._isAdditionalElement,
CELL("address",INDEX(INDIRECT("'"&amp;_xlpm._sheetName&amp;"'!"&amp;_xlpm._columnLetter&amp;":"&amp;_xlpm._columnLetter),$Y45)),
CELL("address",INDEX(Countermeasures!$A:$A,MATCH($A45,Countermeasures!$A:$A,0),1)))),
_xlpm._start,FIND("]",_xlpm._sheetReference),
"'"&amp;SUBSTITUTE(SUBSTITUTE(RIGHT(_xlpm._sheetReference,LEN(_xlpm._sheetReference)-_xlpm._start),"'",""),"!","'!")))</f>
        <v/>
      </c>
      <c r="AA45" s="20" t="str" cm="1">
        <f t="array" aca="1" ref="AA45" ca="1">IF(NOT($L45),
_xlfn.LET(_xlpm._value,IF($A45="","",IF($J45,SimpleLookup($A45,Assumptions!$A:$AK),SimpleLookup($A45,Countermeasures!$A:$AN))),
IF(_xlpm._value="","",_xlpm._value)),
"")</f>
        <v/>
      </c>
      <c r="AB45" s="20" t="str" cm="1">
        <f t="array" aca="1" ref="AB45" ca="1">LookupNames(InverseLookup($A45,Mitigation!$AD$2,Mitigation!$A$2,1,Helper!$B$5,","),'Attack Steps'!$A:$B)</f>
        <v/>
      </c>
      <c r="AC45" s="20" t="str" cm="1">
        <f t="array" aca="1" ref="AC45" ca="1">IF($L45,
_xlfn.LET(
_xlpm._in,$A45,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45" s="20" t="str" cm="1">
        <f t="array" aca="1" ref="AD45" ca="1">_xlfn.LET(
_xlpm._countermeasures,InverseLookup($A45,Countermeasures!$AG$2,Countermeasures!$A$2,1,Helper!$B$4,","),
LookupNames(_xlpm._countermeasures,Countermeasures!$A:$B))</f>
        <v/>
      </c>
      <c r="AE45" s="20" t="str" cm="1">
        <f t="array" aca="1" ref="AE45" ca="1">IF($E45="","",_xlfn.LET(
_xlpm._id,$E45,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45" s="20" t="str" cm="1">
        <f t="array" aca="1" ref="AF45" ca="1">IF(OR($A45="",$L45),"",_xlfn.LET(
_xlpm._answers,IF($J45,SimpleLookup($A45,Assumptions!$A:$F),SimpleLookup($A45,Countermeasures!$A:$D)),
IF(_xlpm._answers="*",IF($J45,SimpleLookup($A45,Assumptions!$A:$C),SimpleLookup($A45,Countermeasures!$A:$C)),"")))</f>
        <v/>
      </c>
      <c r="AG45" s="20" t="str" cm="1">
        <f t="array" aca="1" ref="AG45" ca="1">IF(NOT($L45),"",_xlfn.LET(
_xlpm._mappedInMitigation,IFERROR(VLOOKUP($V45,'Attack Steps'!$A:$O,COLUMNS('Attack Steps'!$A:$O),FALSE),""),
CreateSearchString(_xlpm._mappedInMitigation)))</f>
        <v/>
      </c>
      <c r="AH45" s="20" t="b">
        <f ca="1">ROW()-ROW($AH$17)=Helper!$B$15</f>
        <v>0</v>
      </c>
      <c r="AI45" s="20" t="str">
        <f t="shared" ca="1" si="6"/>
        <v/>
      </c>
      <c r="AJ45" s="20" cm="1">
        <f t="array" aca="1" ref="AJ45" ca="1">CreateID($AJ$17,$AJ:$AJ,$AI45&lt;&gt;"")</f>
        <v>0</v>
      </c>
    </row>
    <row r="46" spans="1:36" x14ac:dyDescent="0.25">
      <c r="A46" s="16" t="str">
        <f ca="1">_xlfn.LET(
_xlpm._isAssumption,$J46,
_xlpm._row,$K46,
_xlpm._numActiveAssumptions,Helper!$B$8,
_xlpm._numActiveCountermeasures,Helper!$B$9,
_xlpm._numAdditionalAssumptions,Helper!$B$10,
_xlpm._numAdditionalCountermeasures,Helper!$B$11,
IF(_xlpm._isAssumption,
IF(_xlpm._row&gt;_xlpm._numActiveAssumptions,
$V46&amp;"-A"&amp;$Q46,
INDEX(Assumptions!A:A,MATCH(_xlpm._row,Assumptions!$AG:$AG,0))),
IF(_xlpm._row&gt;_xlpm._numActiveCountermeasures+_xlpm._numAdditionalCountermeasures,"",
IF(_xlpm._row&gt;_xlpm._numActiveCountermeasures,
$V46&amp;"-C"&amp;$Q46,
INDEX(Countermeasures!$A:$A,MATCH(_xlpm._row,Countermeasures!$AI:$AI,0))))))</f>
        <v/>
      </c>
      <c r="B46" s="16" t="str" cm="1">
        <f t="array" aca="1" ref="B46" ca="1">IF($A46="","",
_xlfn.LET(
_xlpm._isAssumption,$J46,
_xlpm._isAdditionalElement,$L46,
IF(_xlpm._isAdditionalElement,
IF(_xlpm._isAssumption,
ParseElementsFromComment($U46,Definitions!$AR$4,Definitions!$AS$4,Definitions!$AR$6,$Q46),
ParseElementsFromComment($U46,Definitions!$AR$5,Definitions!$AS$5,Definitions!$AR$6,$Q46)),
 _xlfn.LET(_xlpm._value,IF($A46="","",IF($J46,SimpleLookup($A46,Assumptions!$A:$B),SimpleLookup($A46,Countermeasures!$A:$B))),IF(_xlpm._value="","",_xlpm._value)))))</f>
        <v/>
      </c>
      <c r="C46" s="16" t="str" cm="1">
        <f t="array" aca="1" ref="C46" ca="1">IF($A46="","",IF($J46,IFERROR(SimpleLookup($A46,Assumptions!$A:$E),""),Definitions!$AO$4))</f>
        <v/>
      </c>
      <c r="D46" s="36" t="str">
        <f t="shared" ca="1" si="2"/>
        <v/>
      </c>
      <c r="E46" s="13"/>
      <c r="F46" s="59" t="str">
        <f t="shared" ca="1" si="3"/>
        <v/>
      </c>
      <c r="G46" s="122" t="str" cm="1">
        <f t="array" aca="1" ref="G46" ca="1">_xlfn.LET(_xlpm._val,IFERROR(SimpleLookup($A46,Countermeasures!$A:$R),IFERROR(SimpleLookup($A46,Assumptions!$A:$R),"")),IF(_xlpm._val="","",_xlpm._val))</f>
        <v/>
      </c>
      <c r="H46" s="16" t="str" cm="1">
        <f t="array" aca="1" ref="H46" ca="1">_xlfn.LET(_xlpm._value,IF($A46="","",IFERROR(IF($J46,SimpleLookup($A46,Assumptions!$A:$S),SimpleLookup($A46,Countermeasures!$A:$S)),"")),
IF(_xlpm._value="","",_xlpm._value))</f>
        <v/>
      </c>
      <c r="I46" s="10" cm="1">
        <f t="array" aca="1" ref="I46" ca="1">IF(ROW()=ROW($I$17)+1,0,INDEX($I:$I,ROW()-1))+IF($A46="",0,1)</f>
        <v>12</v>
      </c>
      <c r="J46" s="10" t="b">
        <f ca="1">_xlfn.LET(_xlpm._row,ROW()-ROW($K$17),
_xlpm._numActiveAssumptions,Helper!$B$8,
_xlpm._numAdditionalAssumptions,SUM(Table24['# Elements]),
_xlpm._row&lt;=_xlpm._numActiveAssumptions+_xlpm._numAdditionalAssumptions)</f>
        <v>0</v>
      </c>
      <c r="K46" s="21">
        <f ca="1">_xlfn.LET(_xlpm._row,ROW()-ROW($K$17),
_xlpm._numActiveAssumptions,Helper!$B$8,
_xlpm._numAdditionalAssumptions,Helper!$B$10,
_xlpm._isAssumption,$J46,
_xlpm._elementID,IF(_xlpm._isAssumption,_xlpm._row,_xlpm._row-_xlpm._numActiveAssumptions-_xlpm._numAdditionalAssumptions),
_xlpm._elementID)</f>
        <v>23</v>
      </c>
      <c r="L46"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46" s="20" cm="1">
        <f t="array" aca="1" ref="M46" ca="1">IF($L46,
IF(ROW()=ROW($M$17)+1,1,INDEX($M:$M,ROW()-1)+IF(INDEX($T:$T,ROW()-1),1,0)),
1)</f>
        <v>1</v>
      </c>
      <c r="N46" s="14" t="str" cm="1">
        <f t="array" aca="1" ref="N46" ca="1">IF($L46=TRUE,
_xlfn.LET(
_xlpm._isAssumption,$J46,
_xlpm._indexRange,IF(_xlpm._isAssumption,Table24['# Elements],Table25['# Elements]),
_xlpm._lookupRow,$W46,
INDEX(_xlpm._indexRange,_xlpm._lookupRow)),
"")</f>
        <v/>
      </c>
      <c r="O46" s="20" t="str" cm="1">
        <f t="array" aca="1" ref="O46" ca="1">IF($N46="","",_xlfn.LET(
_xlpm._prevRow,ROW()-1,
IF(OR(INDEX($N:$N,_xlpm._prevRow)&lt;&gt;$N46,INDEX($M:$M,_xlpm._prevRow)&lt;&gt;$M46),
1,
INDEX($O:$O,_xlpm._prevRow)+IF(INDEX($S:$S,_xlpm._prevRow),1,0))))</f>
        <v/>
      </c>
      <c r="P46" s="20" t="str" cm="1">
        <f t="array" aca="1" ref="P46" ca="1">IF($O46="","",_xlfn.LET(
_xlpm._isAssumption,$J46,
_xlpm._sheetRow,$W46,
_xlpm._sheetName,$X46,
_xlpm._elementIDRange,IF(_xlpm._isAssumption,Table24[Element ID Column],Table25[Element ID Column]),
_xlpm._numberOfElementsRange,IF(_xlpm._isAssumption,Table24[Number of Elements Column],Table25[Number of Elements Column]),
SimpleLookup($O46,INDIRECT("'"&amp;_xlpm._sheetName&amp;"'!"&amp;INDEX(_xlpm._elementIDRange,_xlpm._sheetRow)&amp;":"&amp;INDEX(_xlpm._numberOfElementsRange,_xlpm._sheetRow)))))</f>
        <v/>
      </c>
      <c r="Q46" s="20" t="str" cm="1">
        <f t="array" aca="1" ref="Q46" ca="1">IF($O46="","",IF(OR(INDEX($O:$O,ROW()-1)&lt;&gt;$O46,INDEX($M:$M,ROW()-1)&lt;&gt;$M46),1,INDEX($Q:$Q,ROW()-1)+1))</f>
        <v/>
      </c>
      <c r="R46" s="20">
        <f t="shared" ca="1" si="4"/>
        <v>0</v>
      </c>
      <c r="S46" s="20" t="str">
        <f t="shared" ca="1" si="5"/>
        <v/>
      </c>
      <c r="T46" s="20" t="b">
        <f ca="1">_xlfn.LET(
_xlpm._isAssumption,$J46,
_xlpm._numberOfElementsRange,IF(_xlpm._isAssumption,Table24['# Elements],Table25['# Elements]),
_xlpm._sheetRow,$W46,
IF($L46,AND($S46,$R46=$N46),FALSE))</f>
        <v>0</v>
      </c>
      <c r="U46" s="20" t="str" cm="1">
        <f t="array" aca="1" ref="U46" ca="1">IF($L46,
_xlfn.LET(
_xlpm._elementID,$O46,
_xlpm._isAssumption,$J46,
_xlpm._sheetRow,$W46,
_xlpm._sheetName,$X46,
_xlpm._elementRow,$Y46,
_xlpm._resultColumnLetter,IF(_xlpm._isAssumption,INDEX(Table24[Comment Column],_xlpm._sheetRow),INDEX(Table25[Comment Column],_xlpm._sheetRow)),
INDEX(INDIRECT("'"&amp;_xlpm._sheetName&amp;"'!"&amp;_xlpm._resultColumnLetter&amp;":"&amp;_xlpm._resultColumnLetter),_xlpm._elementRow)),
"")</f>
        <v/>
      </c>
      <c r="V46" s="20" t="str" cm="1">
        <f t="array" aca="1" ref="V46" ca="1">IF($L46,
_xlfn.LET(
_xlpm._elementID,$O46,
_xlpm._isAssumption,$J46,
_xlpm._sheetRow,$W46,
_xlpm._sheetName,$X46,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46" s="20" t="str">
        <f ca="1">IF($L46=TRUE,
_xlfn.LET(
_xlpm._isAssumption,$J46,
_xlpm._searchRange,IF(_xlpm._isAssumption,Table24[Task Sheet Shadow ID],Table25[Task Sheet Shadow ID]),
MATCH($M46,_xlpm._searchRange,0)),
"")</f>
        <v/>
      </c>
      <c r="X46" s="20" t="str" cm="1">
        <f t="array" aca="1" ref="X46" ca="1">IF($L46,
_xlfn.LET(
_xlpm._isAssumption,$J46,
_xlpm._sheetRow,$W46,
IF(_xlpm._isAssumption,INDEX(Table24[Sheet Name],_xlpm._sheetRow),INDEX(Table25[Sheet Name],_xlpm._sheetRow))),
"")</f>
        <v/>
      </c>
      <c r="Y46" s="20" t="str" cm="1">
        <f t="array" aca="1" ref="Y46" ca="1">IF($L46,
_xlfn.LET(
_xlpm._elementID,$O46,
_xlpm._isAssumption,$J46,
_xlpm._sheetRow,$W46,
_xlpm._sheetName,$X46,
_xlpm._elementIDColumnLetter,IF(_xlpm._isAssumption,INDEX(Table24[Element ID Column],_xlpm._sheetRow),INDEX(Table25[Element ID Column],_xlpm._sheetRow)),
MATCH(_xlpm._elementID,INDIRECT("'"&amp;_xlpm._sheetName&amp;"'!"&amp;_xlpm._elementIDColumnLetter&amp;":"&amp;_xlpm._elementIDColumnLetter),0)),
"")</f>
        <v/>
      </c>
      <c r="Z46" s="20" t="str" cm="1">
        <f t="array" aca="1" ref="Z46" ca="1">IF($A46="","",_xlfn.LET(
_xlpm._isAssumption,$J46,
_xlpm._isAdditionalElement,$L46,
_xlpm._sheetRow,$W46,
_xlpm._sheetName,$X46,
_xlpm._columnLetter,INDEX(IF(_xlpm._isAdditionalElement,Table24[Comment Column],Table25[Comment Column]),_xlpm._sheetRow),
_xlpm._sheetReference,IF(_xlpm._isAssumption,IF(_xlpm._isAdditionalElement,
CELL("address",INDEX(INDIRECT("'"&amp;_xlpm._sheetName&amp;"'!"&amp;_xlpm._columnLetter&amp;":"&amp;_xlpm._columnLetter),$Y46)),
CELL("address",INDEX(Assumptions!$A:$A,MATCH($A46,Assumptions!$A:$A,0),1))),
IF(_xlpm._isAdditionalElement,
CELL("address",INDEX(INDIRECT("'"&amp;_xlpm._sheetName&amp;"'!"&amp;_xlpm._columnLetter&amp;":"&amp;_xlpm._columnLetter),$Y46)),
CELL("address",INDEX(Countermeasures!$A:$A,MATCH($A46,Countermeasures!$A:$A,0),1)))),
_xlpm._start,FIND("]",_xlpm._sheetReference),
"'"&amp;SUBSTITUTE(SUBSTITUTE(RIGHT(_xlpm._sheetReference,LEN(_xlpm._sheetReference)-_xlpm._start),"'",""),"!","'!")))</f>
        <v/>
      </c>
      <c r="AA46" s="20" t="str" cm="1">
        <f t="array" aca="1" ref="AA46" ca="1">IF(NOT($L46),
_xlfn.LET(_xlpm._value,IF($A46="","",IF($J46,SimpleLookup($A46,Assumptions!$A:$AK),SimpleLookup($A46,Countermeasures!$A:$AN))),
IF(_xlpm._value="","",_xlpm._value)),
"")</f>
        <v/>
      </c>
      <c r="AB46" s="20" t="str" cm="1">
        <f t="array" aca="1" ref="AB46" ca="1">LookupNames(InverseLookup($A46,Mitigation!$AD$2,Mitigation!$A$2,1,Helper!$B$5,","),'Attack Steps'!$A:$B)</f>
        <v/>
      </c>
      <c r="AC46" s="20" t="str" cm="1">
        <f t="array" aca="1" ref="AC46" ca="1">IF($L46,
_xlfn.LET(
_xlpm._in,$A46,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46" s="20" t="str" cm="1">
        <f t="array" aca="1" ref="AD46" ca="1">_xlfn.LET(
_xlpm._countermeasures,InverseLookup($A46,Countermeasures!$AG$2,Countermeasures!$A$2,1,Helper!$B$4,","),
LookupNames(_xlpm._countermeasures,Countermeasures!$A:$B))</f>
        <v/>
      </c>
      <c r="AE46" s="20" t="str" cm="1">
        <f t="array" aca="1" ref="AE46" ca="1">IF($E46="","",_xlfn.LET(
_xlpm._id,$E46,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46" s="20" t="str" cm="1">
        <f t="array" aca="1" ref="AF46" ca="1">IF(OR($A46="",$L46),"",_xlfn.LET(
_xlpm._answers,IF($J46,SimpleLookup($A46,Assumptions!$A:$F),SimpleLookup($A46,Countermeasures!$A:$D)),
IF(_xlpm._answers="*",IF($J46,SimpleLookup($A46,Assumptions!$A:$C),SimpleLookup($A46,Countermeasures!$A:$C)),"")))</f>
        <v/>
      </c>
      <c r="AG46" s="20" t="str" cm="1">
        <f t="array" aca="1" ref="AG46" ca="1">IF(NOT($L46),"",_xlfn.LET(
_xlpm._mappedInMitigation,IFERROR(VLOOKUP($V46,'Attack Steps'!$A:$O,COLUMNS('Attack Steps'!$A:$O),FALSE),""),
CreateSearchString(_xlpm._mappedInMitigation)))</f>
        <v/>
      </c>
      <c r="AH46" s="20" t="b">
        <f ca="1">ROW()-ROW($AH$17)=Helper!$B$15</f>
        <v>0</v>
      </c>
      <c r="AI46" s="20" t="str">
        <f t="shared" ca="1" si="6"/>
        <v/>
      </c>
      <c r="AJ46" s="20" cm="1">
        <f t="array" aca="1" ref="AJ46" ca="1">CreateID($AJ$17,$AJ:$AJ,$AI46&lt;&gt;"")</f>
        <v>0</v>
      </c>
    </row>
    <row r="47" spans="1:36" x14ac:dyDescent="0.25">
      <c r="A47" s="16" t="str">
        <f ca="1">_xlfn.LET(
_xlpm._isAssumption,$J47,
_xlpm._row,$K47,
_xlpm._numActiveAssumptions,Helper!$B$8,
_xlpm._numActiveCountermeasures,Helper!$B$9,
_xlpm._numAdditionalAssumptions,Helper!$B$10,
_xlpm._numAdditionalCountermeasures,Helper!$B$11,
IF(_xlpm._isAssumption,
IF(_xlpm._row&gt;_xlpm._numActiveAssumptions,
$V47&amp;"-A"&amp;$Q47,
INDEX(Assumptions!A:A,MATCH(_xlpm._row,Assumptions!$AG:$AG,0))),
IF(_xlpm._row&gt;_xlpm._numActiveCountermeasures+_xlpm._numAdditionalCountermeasures,"",
IF(_xlpm._row&gt;_xlpm._numActiveCountermeasures,
$V47&amp;"-C"&amp;$Q47,
INDEX(Countermeasures!$A:$A,MATCH(_xlpm._row,Countermeasures!$AI:$AI,0))))))</f>
        <v/>
      </c>
      <c r="B47" s="16" t="str" cm="1">
        <f t="array" aca="1" ref="B47" ca="1">IF($A47="","",
_xlfn.LET(
_xlpm._isAssumption,$J47,
_xlpm._isAdditionalElement,$L47,
IF(_xlpm._isAdditionalElement,
IF(_xlpm._isAssumption,
ParseElementsFromComment($U47,Definitions!$AR$4,Definitions!$AS$4,Definitions!$AR$6,$Q47),
ParseElementsFromComment($U47,Definitions!$AR$5,Definitions!$AS$5,Definitions!$AR$6,$Q47)),
 _xlfn.LET(_xlpm._value,IF($A47="","",IF($J47,SimpleLookup($A47,Assumptions!$A:$B),SimpleLookup($A47,Countermeasures!$A:$B))),IF(_xlpm._value="","",_xlpm._value)))))</f>
        <v/>
      </c>
      <c r="C47" s="16" t="str" cm="1">
        <f t="array" aca="1" ref="C47" ca="1">IF($A47="","",IF($J47,IFERROR(SimpleLookup($A47,Assumptions!$A:$E),""),Definitions!$AO$4))</f>
        <v/>
      </c>
      <c r="D47" s="36" t="str">
        <f t="shared" ca="1" si="2"/>
        <v/>
      </c>
      <c r="E47" s="13"/>
      <c r="F47" s="59" t="str">
        <f t="shared" ca="1" si="3"/>
        <v/>
      </c>
      <c r="G47" s="122" t="str" cm="1">
        <f t="array" aca="1" ref="G47" ca="1">_xlfn.LET(_xlpm._val,IFERROR(SimpleLookup($A47,Countermeasures!$A:$R),IFERROR(SimpleLookup($A47,Assumptions!$A:$R),"")),IF(_xlpm._val="","",_xlpm._val))</f>
        <v/>
      </c>
      <c r="H47" s="16" t="str" cm="1">
        <f t="array" aca="1" ref="H47" ca="1">_xlfn.LET(_xlpm._value,IF($A47="","",IFERROR(IF($J47,SimpleLookup($A47,Assumptions!$A:$S),SimpleLookup($A47,Countermeasures!$A:$S)),"")),
IF(_xlpm._value="","",_xlpm._value))</f>
        <v/>
      </c>
      <c r="I47" s="10" cm="1">
        <f t="array" aca="1" ref="I47" ca="1">IF(ROW()=ROW($I$17)+1,0,INDEX($I:$I,ROW()-1))+IF($A47="",0,1)</f>
        <v>12</v>
      </c>
      <c r="J47" s="10" t="b">
        <f ca="1">_xlfn.LET(_xlpm._row,ROW()-ROW($K$17),
_xlpm._numActiveAssumptions,Helper!$B$8,
_xlpm._numAdditionalAssumptions,SUM(Table24['# Elements]),
_xlpm._row&lt;=_xlpm._numActiveAssumptions+_xlpm._numAdditionalAssumptions)</f>
        <v>0</v>
      </c>
      <c r="K47" s="21">
        <f ca="1">_xlfn.LET(_xlpm._row,ROW()-ROW($K$17),
_xlpm._numActiveAssumptions,Helper!$B$8,
_xlpm._numAdditionalAssumptions,Helper!$B$10,
_xlpm._isAssumption,$J47,
_xlpm._elementID,IF(_xlpm._isAssumption,_xlpm._row,_xlpm._row-_xlpm._numActiveAssumptions-_xlpm._numAdditionalAssumptions),
_xlpm._elementID)</f>
        <v>24</v>
      </c>
      <c r="L47"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47" s="20" cm="1">
        <f t="array" aca="1" ref="M47" ca="1">IF($L47,
IF(ROW()=ROW($M$17)+1,1,INDEX($M:$M,ROW()-1)+IF(INDEX($T:$T,ROW()-1),1,0)),
1)</f>
        <v>1</v>
      </c>
      <c r="N47" s="14" t="str" cm="1">
        <f t="array" aca="1" ref="N47" ca="1">IF($L47=TRUE,
_xlfn.LET(
_xlpm._isAssumption,$J47,
_xlpm._indexRange,IF(_xlpm._isAssumption,Table24['# Elements],Table25['# Elements]),
_xlpm._lookupRow,$W47,
INDEX(_xlpm._indexRange,_xlpm._lookupRow)),
"")</f>
        <v/>
      </c>
      <c r="O47" s="20" t="str" cm="1">
        <f t="array" aca="1" ref="O47" ca="1">IF($N47="","",_xlfn.LET(
_xlpm._prevRow,ROW()-1,
IF(OR(INDEX($N:$N,_xlpm._prevRow)&lt;&gt;$N47,INDEX($M:$M,_xlpm._prevRow)&lt;&gt;$M47),
1,
INDEX($O:$O,_xlpm._prevRow)+IF(INDEX($S:$S,_xlpm._prevRow),1,0))))</f>
        <v/>
      </c>
      <c r="P47" s="20" t="str" cm="1">
        <f t="array" aca="1" ref="P47" ca="1">IF($O47="","",_xlfn.LET(
_xlpm._isAssumption,$J47,
_xlpm._sheetRow,$W47,
_xlpm._sheetName,$X47,
_xlpm._elementIDRange,IF(_xlpm._isAssumption,Table24[Element ID Column],Table25[Element ID Column]),
_xlpm._numberOfElementsRange,IF(_xlpm._isAssumption,Table24[Number of Elements Column],Table25[Number of Elements Column]),
SimpleLookup($O47,INDIRECT("'"&amp;_xlpm._sheetName&amp;"'!"&amp;INDEX(_xlpm._elementIDRange,_xlpm._sheetRow)&amp;":"&amp;INDEX(_xlpm._numberOfElementsRange,_xlpm._sheetRow)))))</f>
        <v/>
      </c>
      <c r="Q47" s="20" t="str" cm="1">
        <f t="array" aca="1" ref="Q47" ca="1">IF($O47="","",IF(OR(INDEX($O:$O,ROW()-1)&lt;&gt;$O47,INDEX($M:$M,ROW()-1)&lt;&gt;$M47),1,INDEX($Q:$Q,ROW()-1)+1))</f>
        <v/>
      </c>
      <c r="R47" s="20">
        <f t="shared" ca="1" si="4"/>
        <v>0</v>
      </c>
      <c r="S47" s="20" t="str">
        <f t="shared" ca="1" si="5"/>
        <v/>
      </c>
      <c r="T47" s="20" t="b">
        <f ca="1">_xlfn.LET(
_xlpm._isAssumption,$J47,
_xlpm._numberOfElementsRange,IF(_xlpm._isAssumption,Table24['# Elements],Table25['# Elements]),
_xlpm._sheetRow,$W47,
IF($L47,AND($S47,$R47=$N47),FALSE))</f>
        <v>0</v>
      </c>
      <c r="U47" s="20" t="str" cm="1">
        <f t="array" aca="1" ref="U47" ca="1">IF($L47,
_xlfn.LET(
_xlpm._elementID,$O47,
_xlpm._isAssumption,$J47,
_xlpm._sheetRow,$W47,
_xlpm._sheetName,$X47,
_xlpm._elementRow,$Y47,
_xlpm._resultColumnLetter,IF(_xlpm._isAssumption,INDEX(Table24[Comment Column],_xlpm._sheetRow),INDEX(Table25[Comment Column],_xlpm._sheetRow)),
INDEX(INDIRECT("'"&amp;_xlpm._sheetName&amp;"'!"&amp;_xlpm._resultColumnLetter&amp;":"&amp;_xlpm._resultColumnLetter),_xlpm._elementRow)),
"")</f>
        <v/>
      </c>
      <c r="V47" s="20" t="str" cm="1">
        <f t="array" aca="1" ref="V47" ca="1">IF($L47,
_xlfn.LET(
_xlpm._elementID,$O47,
_xlpm._isAssumption,$J47,
_xlpm._sheetRow,$W47,
_xlpm._sheetName,$X47,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47" s="20" t="str">
        <f ca="1">IF($L47=TRUE,
_xlfn.LET(
_xlpm._isAssumption,$J47,
_xlpm._searchRange,IF(_xlpm._isAssumption,Table24[Task Sheet Shadow ID],Table25[Task Sheet Shadow ID]),
MATCH($M47,_xlpm._searchRange,0)),
"")</f>
        <v/>
      </c>
      <c r="X47" s="20" t="str" cm="1">
        <f t="array" aca="1" ref="X47" ca="1">IF($L47,
_xlfn.LET(
_xlpm._isAssumption,$J47,
_xlpm._sheetRow,$W47,
IF(_xlpm._isAssumption,INDEX(Table24[Sheet Name],_xlpm._sheetRow),INDEX(Table25[Sheet Name],_xlpm._sheetRow))),
"")</f>
        <v/>
      </c>
      <c r="Y47" s="20" t="str" cm="1">
        <f t="array" aca="1" ref="Y47" ca="1">IF($L47,
_xlfn.LET(
_xlpm._elementID,$O47,
_xlpm._isAssumption,$J47,
_xlpm._sheetRow,$W47,
_xlpm._sheetName,$X47,
_xlpm._elementIDColumnLetter,IF(_xlpm._isAssumption,INDEX(Table24[Element ID Column],_xlpm._sheetRow),INDEX(Table25[Element ID Column],_xlpm._sheetRow)),
MATCH(_xlpm._elementID,INDIRECT("'"&amp;_xlpm._sheetName&amp;"'!"&amp;_xlpm._elementIDColumnLetter&amp;":"&amp;_xlpm._elementIDColumnLetter),0)),
"")</f>
        <v/>
      </c>
      <c r="Z47" s="20" t="str" cm="1">
        <f t="array" aca="1" ref="Z47" ca="1">IF($A47="","",_xlfn.LET(
_xlpm._isAssumption,$J47,
_xlpm._isAdditionalElement,$L47,
_xlpm._sheetRow,$W47,
_xlpm._sheetName,$X47,
_xlpm._columnLetter,INDEX(IF(_xlpm._isAdditionalElement,Table24[Comment Column],Table25[Comment Column]),_xlpm._sheetRow),
_xlpm._sheetReference,IF(_xlpm._isAssumption,IF(_xlpm._isAdditionalElement,
CELL("address",INDEX(INDIRECT("'"&amp;_xlpm._sheetName&amp;"'!"&amp;_xlpm._columnLetter&amp;":"&amp;_xlpm._columnLetter),$Y47)),
CELL("address",INDEX(Assumptions!$A:$A,MATCH($A47,Assumptions!$A:$A,0),1))),
IF(_xlpm._isAdditionalElement,
CELL("address",INDEX(INDIRECT("'"&amp;_xlpm._sheetName&amp;"'!"&amp;_xlpm._columnLetter&amp;":"&amp;_xlpm._columnLetter),$Y47)),
CELL("address",INDEX(Countermeasures!$A:$A,MATCH($A47,Countermeasures!$A:$A,0),1)))),
_xlpm._start,FIND("]",_xlpm._sheetReference),
"'"&amp;SUBSTITUTE(SUBSTITUTE(RIGHT(_xlpm._sheetReference,LEN(_xlpm._sheetReference)-_xlpm._start),"'",""),"!","'!")))</f>
        <v/>
      </c>
      <c r="AA47" s="20" t="str" cm="1">
        <f t="array" aca="1" ref="AA47" ca="1">IF(NOT($L47),
_xlfn.LET(_xlpm._value,IF($A47="","",IF($J47,SimpleLookup($A47,Assumptions!$A:$AK),SimpleLookup($A47,Countermeasures!$A:$AN))),
IF(_xlpm._value="","",_xlpm._value)),
"")</f>
        <v/>
      </c>
      <c r="AB47" s="20" t="str" cm="1">
        <f t="array" aca="1" ref="AB47" ca="1">LookupNames(InverseLookup($A47,Mitigation!$AD$2,Mitigation!$A$2,1,Helper!$B$5,","),'Attack Steps'!$A:$B)</f>
        <v/>
      </c>
      <c r="AC47" s="20" t="str" cm="1">
        <f t="array" aca="1" ref="AC47" ca="1">IF($L47,
_xlfn.LET(
_xlpm._in,$A47,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47" s="20" t="str" cm="1">
        <f t="array" aca="1" ref="AD47" ca="1">_xlfn.LET(
_xlpm._countermeasures,InverseLookup($A47,Countermeasures!$AG$2,Countermeasures!$A$2,1,Helper!$B$4,","),
LookupNames(_xlpm._countermeasures,Countermeasures!$A:$B))</f>
        <v/>
      </c>
      <c r="AE47" s="20" t="str" cm="1">
        <f t="array" aca="1" ref="AE47" ca="1">IF($E47="","",_xlfn.LET(
_xlpm._id,$E47,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47" s="20" t="str" cm="1">
        <f t="array" aca="1" ref="AF47" ca="1">IF(OR($A47="",$L47),"",_xlfn.LET(
_xlpm._answers,IF($J47,SimpleLookup($A47,Assumptions!$A:$F),SimpleLookup($A47,Countermeasures!$A:$D)),
IF(_xlpm._answers="*",IF($J47,SimpleLookup($A47,Assumptions!$A:$C),SimpleLookup($A47,Countermeasures!$A:$C)),"")))</f>
        <v/>
      </c>
      <c r="AG47" s="20" t="str" cm="1">
        <f t="array" aca="1" ref="AG47" ca="1">IF(NOT($L47),"",_xlfn.LET(
_xlpm._mappedInMitigation,IFERROR(VLOOKUP($V47,'Attack Steps'!$A:$O,COLUMNS('Attack Steps'!$A:$O),FALSE),""),
CreateSearchString(_xlpm._mappedInMitigation)))</f>
        <v/>
      </c>
      <c r="AH47" s="20" t="b">
        <f ca="1">ROW()-ROW($AH$17)=Helper!$B$15</f>
        <v>0</v>
      </c>
      <c r="AI47" s="20" t="str">
        <f t="shared" ca="1" si="6"/>
        <v/>
      </c>
      <c r="AJ47" s="20" cm="1">
        <f t="array" aca="1" ref="AJ47" ca="1">CreateID($AJ$17,$AJ:$AJ,$AI47&lt;&gt;"")</f>
        <v>0</v>
      </c>
    </row>
    <row r="48" spans="1:36" x14ac:dyDescent="0.25">
      <c r="A48" s="16" t="str">
        <f ca="1">_xlfn.LET(
_xlpm._isAssumption,$J48,
_xlpm._row,$K48,
_xlpm._numActiveAssumptions,Helper!$B$8,
_xlpm._numActiveCountermeasures,Helper!$B$9,
_xlpm._numAdditionalAssumptions,Helper!$B$10,
_xlpm._numAdditionalCountermeasures,Helper!$B$11,
IF(_xlpm._isAssumption,
IF(_xlpm._row&gt;_xlpm._numActiveAssumptions,
$V48&amp;"-A"&amp;$Q48,
INDEX(Assumptions!A:A,MATCH(_xlpm._row,Assumptions!$AG:$AG,0))),
IF(_xlpm._row&gt;_xlpm._numActiveCountermeasures+_xlpm._numAdditionalCountermeasures,"",
IF(_xlpm._row&gt;_xlpm._numActiveCountermeasures,
$V48&amp;"-C"&amp;$Q48,
INDEX(Countermeasures!$A:$A,MATCH(_xlpm._row,Countermeasures!$AI:$AI,0))))))</f>
        <v/>
      </c>
      <c r="B48" s="16" t="str" cm="1">
        <f t="array" aca="1" ref="B48" ca="1">IF($A48="","",
_xlfn.LET(
_xlpm._isAssumption,$J48,
_xlpm._isAdditionalElement,$L48,
IF(_xlpm._isAdditionalElement,
IF(_xlpm._isAssumption,
ParseElementsFromComment($U48,Definitions!$AR$4,Definitions!$AS$4,Definitions!$AR$6,$Q48),
ParseElementsFromComment($U48,Definitions!$AR$5,Definitions!$AS$5,Definitions!$AR$6,$Q48)),
 _xlfn.LET(_xlpm._value,IF($A48="","",IF($J48,SimpleLookup($A48,Assumptions!$A:$B),SimpleLookup($A48,Countermeasures!$A:$B))),IF(_xlpm._value="","",_xlpm._value)))))</f>
        <v/>
      </c>
      <c r="C48" s="16" t="str" cm="1">
        <f t="array" aca="1" ref="C48" ca="1">IF($A48="","",IF($J48,IFERROR(SimpleLookup($A48,Assumptions!$A:$E),""),Definitions!$AO$4))</f>
        <v/>
      </c>
      <c r="D48" s="36" t="str">
        <f t="shared" ca="1" si="2"/>
        <v/>
      </c>
      <c r="E48" s="13"/>
      <c r="F48" s="59" t="str">
        <f t="shared" ca="1" si="3"/>
        <v/>
      </c>
      <c r="G48" s="122" t="str" cm="1">
        <f t="array" aca="1" ref="G48" ca="1">_xlfn.LET(_xlpm._val,IFERROR(SimpleLookup($A48,Countermeasures!$A:$R),IFERROR(SimpleLookup($A48,Assumptions!$A:$R),"")),IF(_xlpm._val="","",_xlpm._val))</f>
        <v/>
      </c>
      <c r="H48" s="16" t="str" cm="1">
        <f t="array" aca="1" ref="H48" ca="1">_xlfn.LET(_xlpm._value,IF($A48="","",IFERROR(IF($J48,SimpleLookup($A48,Assumptions!$A:$S),SimpleLookup($A48,Countermeasures!$A:$S)),"")),
IF(_xlpm._value="","",_xlpm._value))</f>
        <v/>
      </c>
      <c r="I48" s="10" cm="1">
        <f t="array" aca="1" ref="I48" ca="1">IF(ROW()=ROW($I$17)+1,0,INDEX($I:$I,ROW()-1))+IF($A48="",0,1)</f>
        <v>12</v>
      </c>
      <c r="J48" s="10" t="b">
        <f ca="1">_xlfn.LET(_xlpm._row,ROW()-ROW($K$17),
_xlpm._numActiveAssumptions,Helper!$B$8,
_xlpm._numAdditionalAssumptions,SUM(Table24['# Elements]),
_xlpm._row&lt;=_xlpm._numActiveAssumptions+_xlpm._numAdditionalAssumptions)</f>
        <v>0</v>
      </c>
      <c r="K48" s="21">
        <f ca="1">_xlfn.LET(_xlpm._row,ROW()-ROW($K$17),
_xlpm._numActiveAssumptions,Helper!$B$8,
_xlpm._numAdditionalAssumptions,Helper!$B$10,
_xlpm._isAssumption,$J48,
_xlpm._elementID,IF(_xlpm._isAssumption,_xlpm._row,_xlpm._row-_xlpm._numActiveAssumptions-_xlpm._numAdditionalAssumptions),
_xlpm._elementID)</f>
        <v>25</v>
      </c>
      <c r="L48"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48" s="20" cm="1">
        <f t="array" aca="1" ref="M48" ca="1">IF($L48,
IF(ROW()=ROW($M$17)+1,1,INDEX($M:$M,ROW()-1)+IF(INDEX($T:$T,ROW()-1),1,0)),
1)</f>
        <v>1</v>
      </c>
      <c r="N48" s="14" t="str" cm="1">
        <f t="array" aca="1" ref="N48" ca="1">IF($L48=TRUE,
_xlfn.LET(
_xlpm._isAssumption,$J48,
_xlpm._indexRange,IF(_xlpm._isAssumption,Table24['# Elements],Table25['# Elements]),
_xlpm._lookupRow,$W48,
INDEX(_xlpm._indexRange,_xlpm._lookupRow)),
"")</f>
        <v/>
      </c>
      <c r="O48" s="20" t="str" cm="1">
        <f t="array" aca="1" ref="O48" ca="1">IF($N48="","",_xlfn.LET(
_xlpm._prevRow,ROW()-1,
IF(OR(INDEX($N:$N,_xlpm._prevRow)&lt;&gt;$N48,INDEX($M:$M,_xlpm._prevRow)&lt;&gt;$M48),
1,
INDEX($O:$O,_xlpm._prevRow)+IF(INDEX($S:$S,_xlpm._prevRow),1,0))))</f>
        <v/>
      </c>
      <c r="P48" s="20" t="str" cm="1">
        <f t="array" aca="1" ref="P48" ca="1">IF($O48="","",_xlfn.LET(
_xlpm._isAssumption,$J48,
_xlpm._sheetRow,$W48,
_xlpm._sheetName,$X48,
_xlpm._elementIDRange,IF(_xlpm._isAssumption,Table24[Element ID Column],Table25[Element ID Column]),
_xlpm._numberOfElementsRange,IF(_xlpm._isAssumption,Table24[Number of Elements Column],Table25[Number of Elements Column]),
SimpleLookup($O48,INDIRECT("'"&amp;_xlpm._sheetName&amp;"'!"&amp;INDEX(_xlpm._elementIDRange,_xlpm._sheetRow)&amp;":"&amp;INDEX(_xlpm._numberOfElementsRange,_xlpm._sheetRow)))))</f>
        <v/>
      </c>
      <c r="Q48" s="20" t="str" cm="1">
        <f t="array" aca="1" ref="Q48" ca="1">IF($O48="","",IF(OR(INDEX($O:$O,ROW()-1)&lt;&gt;$O48,INDEX($M:$M,ROW()-1)&lt;&gt;$M48),1,INDEX($Q:$Q,ROW()-1)+1))</f>
        <v/>
      </c>
      <c r="R48" s="20">
        <f t="shared" ca="1" si="4"/>
        <v>0</v>
      </c>
      <c r="S48" s="20" t="str">
        <f t="shared" ca="1" si="5"/>
        <v/>
      </c>
      <c r="T48" s="20" t="b">
        <f ca="1">_xlfn.LET(
_xlpm._isAssumption,$J48,
_xlpm._numberOfElementsRange,IF(_xlpm._isAssumption,Table24['# Elements],Table25['# Elements]),
_xlpm._sheetRow,$W48,
IF($L48,AND($S48,$R48=$N48),FALSE))</f>
        <v>0</v>
      </c>
      <c r="U48" s="20" t="str" cm="1">
        <f t="array" aca="1" ref="U48" ca="1">IF($L48,
_xlfn.LET(
_xlpm._elementID,$O48,
_xlpm._isAssumption,$J48,
_xlpm._sheetRow,$W48,
_xlpm._sheetName,$X48,
_xlpm._elementRow,$Y48,
_xlpm._resultColumnLetter,IF(_xlpm._isAssumption,INDEX(Table24[Comment Column],_xlpm._sheetRow),INDEX(Table25[Comment Column],_xlpm._sheetRow)),
INDEX(INDIRECT("'"&amp;_xlpm._sheetName&amp;"'!"&amp;_xlpm._resultColumnLetter&amp;":"&amp;_xlpm._resultColumnLetter),_xlpm._elementRow)),
"")</f>
        <v/>
      </c>
      <c r="V48" s="20" t="str" cm="1">
        <f t="array" aca="1" ref="V48" ca="1">IF($L48,
_xlfn.LET(
_xlpm._elementID,$O48,
_xlpm._isAssumption,$J48,
_xlpm._sheetRow,$W48,
_xlpm._sheetName,$X48,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48" s="20" t="str">
        <f ca="1">IF($L48=TRUE,
_xlfn.LET(
_xlpm._isAssumption,$J48,
_xlpm._searchRange,IF(_xlpm._isAssumption,Table24[Task Sheet Shadow ID],Table25[Task Sheet Shadow ID]),
MATCH($M48,_xlpm._searchRange,0)),
"")</f>
        <v/>
      </c>
      <c r="X48" s="20" t="str" cm="1">
        <f t="array" aca="1" ref="X48" ca="1">IF($L48,
_xlfn.LET(
_xlpm._isAssumption,$J48,
_xlpm._sheetRow,$W48,
IF(_xlpm._isAssumption,INDEX(Table24[Sheet Name],_xlpm._sheetRow),INDEX(Table25[Sheet Name],_xlpm._sheetRow))),
"")</f>
        <v/>
      </c>
      <c r="Y48" s="20" t="str" cm="1">
        <f t="array" aca="1" ref="Y48" ca="1">IF($L48,
_xlfn.LET(
_xlpm._elementID,$O48,
_xlpm._isAssumption,$J48,
_xlpm._sheetRow,$W48,
_xlpm._sheetName,$X48,
_xlpm._elementIDColumnLetter,IF(_xlpm._isAssumption,INDEX(Table24[Element ID Column],_xlpm._sheetRow),INDEX(Table25[Element ID Column],_xlpm._sheetRow)),
MATCH(_xlpm._elementID,INDIRECT("'"&amp;_xlpm._sheetName&amp;"'!"&amp;_xlpm._elementIDColumnLetter&amp;":"&amp;_xlpm._elementIDColumnLetter),0)),
"")</f>
        <v/>
      </c>
      <c r="Z48" s="20" t="str" cm="1">
        <f t="array" aca="1" ref="Z48" ca="1">IF($A48="","",_xlfn.LET(
_xlpm._isAssumption,$J48,
_xlpm._isAdditionalElement,$L48,
_xlpm._sheetRow,$W48,
_xlpm._sheetName,$X48,
_xlpm._columnLetter,INDEX(IF(_xlpm._isAdditionalElement,Table24[Comment Column],Table25[Comment Column]),_xlpm._sheetRow),
_xlpm._sheetReference,IF(_xlpm._isAssumption,IF(_xlpm._isAdditionalElement,
CELL("address",INDEX(INDIRECT("'"&amp;_xlpm._sheetName&amp;"'!"&amp;_xlpm._columnLetter&amp;":"&amp;_xlpm._columnLetter),$Y48)),
CELL("address",INDEX(Assumptions!$A:$A,MATCH($A48,Assumptions!$A:$A,0),1))),
IF(_xlpm._isAdditionalElement,
CELL("address",INDEX(INDIRECT("'"&amp;_xlpm._sheetName&amp;"'!"&amp;_xlpm._columnLetter&amp;":"&amp;_xlpm._columnLetter),$Y48)),
CELL("address",INDEX(Countermeasures!$A:$A,MATCH($A48,Countermeasures!$A:$A,0),1)))),
_xlpm._start,FIND("]",_xlpm._sheetReference),
"'"&amp;SUBSTITUTE(SUBSTITUTE(RIGHT(_xlpm._sheetReference,LEN(_xlpm._sheetReference)-_xlpm._start),"'",""),"!","'!")))</f>
        <v/>
      </c>
      <c r="AA48" s="20" t="str" cm="1">
        <f t="array" aca="1" ref="AA48" ca="1">IF(NOT($L48),
_xlfn.LET(_xlpm._value,IF($A48="","",IF($J48,SimpleLookup($A48,Assumptions!$A:$AK),SimpleLookup($A48,Countermeasures!$A:$AN))),
IF(_xlpm._value="","",_xlpm._value)),
"")</f>
        <v/>
      </c>
      <c r="AB48" s="20" t="str" cm="1">
        <f t="array" aca="1" ref="AB48" ca="1">LookupNames(InverseLookup($A48,Mitigation!$AD$2,Mitigation!$A$2,1,Helper!$B$5,","),'Attack Steps'!$A:$B)</f>
        <v/>
      </c>
      <c r="AC48" s="20" t="str" cm="1">
        <f t="array" aca="1" ref="AC48" ca="1">IF($L48,
_xlfn.LET(
_xlpm._in,$A48,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48" s="20" t="str" cm="1">
        <f t="array" aca="1" ref="AD48" ca="1">_xlfn.LET(
_xlpm._countermeasures,InverseLookup($A48,Countermeasures!$AG$2,Countermeasures!$A$2,1,Helper!$B$4,","),
LookupNames(_xlpm._countermeasures,Countermeasures!$A:$B))</f>
        <v/>
      </c>
      <c r="AE48" s="20" t="str" cm="1">
        <f t="array" aca="1" ref="AE48" ca="1">IF($E48="","",_xlfn.LET(
_xlpm._id,$E48,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48" s="20" t="str" cm="1">
        <f t="array" aca="1" ref="AF48" ca="1">IF(OR($A48="",$L48),"",_xlfn.LET(
_xlpm._answers,IF($J48,SimpleLookup($A48,Assumptions!$A:$F),SimpleLookup($A48,Countermeasures!$A:$D)),
IF(_xlpm._answers="*",IF($J48,SimpleLookup($A48,Assumptions!$A:$C),SimpleLookup($A48,Countermeasures!$A:$C)),"")))</f>
        <v/>
      </c>
      <c r="AG48" s="20" t="str" cm="1">
        <f t="array" aca="1" ref="AG48" ca="1">IF(NOT($L48),"",_xlfn.LET(
_xlpm._mappedInMitigation,IFERROR(VLOOKUP($V48,'Attack Steps'!$A:$O,COLUMNS('Attack Steps'!$A:$O),FALSE),""),
CreateSearchString(_xlpm._mappedInMitigation)))</f>
        <v/>
      </c>
      <c r="AH48" s="20" t="b">
        <f ca="1">ROW()-ROW($AH$17)=Helper!$B$15</f>
        <v>0</v>
      </c>
      <c r="AI48" s="20" t="str">
        <f t="shared" ca="1" si="6"/>
        <v/>
      </c>
      <c r="AJ48" s="20" cm="1">
        <f t="array" aca="1" ref="AJ48" ca="1">CreateID($AJ$17,$AJ:$AJ,$AI48&lt;&gt;"")</f>
        <v>0</v>
      </c>
    </row>
    <row r="49" spans="1:36" x14ac:dyDescent="0.25">
      <c r="A49" s="16" t="str">
        <f ca="1">_xlfn.LET(
_xlpm._isAssumption,$J49,
_xlpm._row,$K49,
_xlpm._numActiveAssumptions,Helper!$B$8,
_xlpm._numActiveCountermeasures,Helper!$B$9,
_xlpm._numAdditionalAssumptions,Helper!$B$10,
_xlpm._numAdditionalCountermeasures,Helper!$B$11,
IF(_xlpm._isAssumption,
IF(_xlpm._row&gt;_xlpm._numActiveAssumptions,
$V49&amp;"-A"&amp;$Q49,
INDEX(Assumptions!A:A,MATCH(_xlpm._row,Assumptions!$AG:$AG,0))),
IF(_xlpm._row&gt;_xlpm._numActiveCountermeasures+_xlpm._numAdditionalCountermeasures,"",
IF(_xlpm._row&gt;_xlpm._numActiveCountermeasures,
$V49&amp;"-C"&amp;$Q49,
INDEX(Countermeasures!$A:$A,MATCH(_xlpm._row,Countermeasures!$AI:$AI,0))))))</f>
        <v/>
      </c>
      <c r="B49" s="16" t="str" cm="1">
        <f t="array" aca="1" ref="B49" ca="1">IF($A49="","",
_xlfn.LET(
_xlpm._isAssumption,$J49,
_xlpm._isAdditionalElement,$L49,
IF(_xlpm._isAdditionalElement,
IF(_xlpm._isAssumption,
ParseElementsFromComment($U49,Definitions!$AR$4,Definitions!$AS$4,Definitions!$AR$6,$Q49),
ParseElementsFromComment($U49,Definitions!$AR$5,Definitions!$AS$5,Definitions!$AR$6,$Q49)),
 _xlfn.LET(_xlpm._value,IF($A49="","",IF($J49,SimpleLookup($A49,Assumptions!$A:$B),SimpleLookup($A49,Countermeasures!$A:$B))),IF(_xlpm._value="","",_xlpm._value)))))</f>
        <v/>
      </c>
      <c r="C49" s="16" t="str" cm="1">
        <f t="array" aca="1" ref="C49" ca="1">IF($A49="","",IF($J49,IFERROR(SimpleLookup($A49,Assumptions!$A:$E),""),Definitions!$AO$4))</f>
        <v/>
      </c>
      <c r="D49" s="36" t="str">
        <f t="shared" ca="1" si="2"/>
        <v/>
      </c>
      <c r="E49" s="13"/>
      <c r="F49" s="59" t="str">
        <f t="shared" ca="1" si="3"/>
        <v/>
      </c>
      <c r="G49" s="122" t="str" cm="1">
        <f t="array" aca="1" ref="G49" ca="1">_xlfn.LET(_xlpm._val,IFERROR(SimpleLookup($A49,Countermeasures!$A:$R),IFERROR(SimpleLookup($A49,Assumptions!$A:$R),"")),IF(_xlpm._val="","",_xlpm._val))</f>
        <v/>
      </c>
      <c r="H49" s="16" t="str" cm="1">
        <f t="array" aca="1" ref="H49" ca="1">_xlfn.LET(_xlpm._value,IF($A49="","",IFERROR(IF($J49,SimpleLookup($A49,Assumptions!$A:$S),SimpleLookup($A49,Countermeasures!$A:$S)),"")),
IF(_xlpm._value="","",_xlpm._value))</f>
        <v/>
      </c>
      <c r="I49" s="10" cm="1">
        <f t="array" aca="1" ref="I49" ca="1">IF(ROW()=ROW($I$17)+1,0,INDEX($I:$I,ROW()-1))+IF($A49="",0,1)</f>
        <v>12</v>
      </c>
      <c r="J49" s="10" t="b">
        <f ca="1">_xlfn.LET(_xlpm._row,ROW()-ROW($K$17),
_xlpm._numActiveAssumptions,Helper!$B$8,
_xlpm._numAdditionalAssumptions,SUM(Table24['# Elements]),
_xlpm._row&lt;=_xlpm._numActiveAssumptions+_xlpm._numAdditionalAssumptions)</f>
        <v>0</v>
      </c>
      <c r="K49" s="21">
        <f ca="1">_xlfn.LET(_xlpm._row,ROW()-ROW($K$17),
_xlpm._numActiveAssumptions,Helper!$B$8,
_xlpm._numAdditionalAssumptions,Helper!$B$10,
_xlpm._isAssumption,$J49,
_xlpm._elementID,IF(_xlpm._isAssumption,_xlpm._row,_xlpm._row-_xlpm._numActiveAssumptions-_xlpm._numAdditionalAssumptions),
_xlpm._elementID)</f>
        <v>26</v>
      </c>
      <c r="L49"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49" s="20" cm="1">
        <f t="array" aca="1" ref="M49" ca="1">IF($L49,
IF(ROW()=ROW($M$17)+1,1,INDEX($M:$M,ROW()-1)+IF(INDEX($T:$T,ROW()-1),1,0)),
1)</f>
        <v>1</v>
      </c>
      <c r="N49" s="14" t="str" cm="1">
        <f t="array" aca="1" ref="N49" ca="1">IF($L49=TRUE,
_xlfn.LET(
_xlpm._isAssumption,$J49,
_xlpm._indexRange,IF(_xlpm._isAssumption,Table24['# Elements],Table25['# Elements]),
_xlpm._lookupRow,$W49,
INDEX(_xlpm._indexRange,_xlpm._lookupRow)),
"")</f>
        <v/>
      </c>
      <c r="O49" s="20" t="str" cm="1">
        <f t="array" aca="1" ref="O49" ca="1">IF($N49="","",_xlfn.LET(
_xlpm._prevRow,ROW()-1,
IF(OR(INDEX($N:$N,_xlpm._prevRow)&lt;&gt;$N49,INDEX($M:$M,_xlpm._prevRow)&lt;&gt;$M49),
1,
INDEX($O:$O,_xlpm._prevRow)+IF(INDEX($S:$S,_xlpm._prevRow),1,0))))</f>
        <v/>
      </c>
      <c r="P49" s="20" t="str" cm="1">
        <f t="array" aca="1" ref="P49" ca="1">IF($O49="","",_xlfn.LET(
_xlpm._isAssumption,$J49,
_xlpm._sheetRow,$W49,
_xlpm._sheetName,$X49,
_xlpm._elementIDRange,IF(_xlpm._isAssumption,Table24[Element ID Column],Table25[Element ID Column]),
_xlpm._numberOfElementsRange,IF(_xlpm._isAssumption,Table24[Number of Elements Column],Table25[Number of Elements Column]),
SimpleLookup($O49,INDIRECT("'"&amp;_xlpm._sheetName&amp;"'!"&amp;INDEX(_xlpm._elementIDRange,_xlpm._sheetRow)&amp;":"&amp;INDEX(_xlpm._numberOfElementsRange,_xlpm._sheetRow)))))</f>
        <v/>
      </c>
      <c r="Q49" s="20" t="str" cm="1">
        <f t="array" aca="1" ref="Q49" ca="1">IF($O49="","",IF(OR(INDEX($O:$O,ROW()-1)&lt;&gt;$O49,INDEX($M:$M,ROW()-1)&lt;&gt;$M49),1,INDEX($Q:$Q,ROW()-1)+1))</f>
        <v/>
      </c>
      <c r="R49" s="20">
        <f t="shared" ca="1" si="4"/>
        <v>0</v>
      </c>
      <c r="S49" s="20" t="str">
        <f t="shared" ca="1" si="5"/>
        <v/>
      </c>
      <c r="T49" s="20" t="b">
        <f ca="1">_xlfn.LET(
_xlpm._isAssumption,$J49,
_xlpm._numberOfElementsRange,IF(_xlpm._isAssumption,Table24['# Elements],Table25['# Elements]),
_xlpm._sheetRow,$W49,
IF($L49,AND($S49,$R49=$N49),FALSE))</f>
        <v>0</v>
      </c>
      <c r="U49" s="20" t="str" cm="1">
        <f t="array" aca="1" ref="U49" ca="1">IF($L49,
_xlfn.LET(
_xlpm._elementID,$O49,
_xlpm._isAssumption,$J49,
_xlpm._sheetRow,$W49,
_xlpm._sheetName,$X49,
_xlpm._elementRow,$Y49,
_xlpm._resultColumnLetter,IF(_xlpm._isAssumption,INDEX(Table24[Comment Column],_xlpm._sheetRow),INDEX(Table25[Comment Column],_xlpm._sheetRow)),
INDEX(INDIRECT("'"&amp;_xlpm._sheetName&amp;"'!"&amp;_xlpm._resultColumnLetter&amp;":"&amp;_xlpm._resultColumnLetter),_xlpm._elementRow)),
"")</f>
        <v/>
      </c>
      <c r="V49" s="20" t="str" cm="1">
        <f t="array" aca="1" ref="V49" ca="1">IF($L49,
_xlfn.LET(
_xlpm._elementID,$O49,
_xlpm._isAssumption,$J49,
_xlpm._sheetRow,$W49,
_xlpm._sheetName,$X49,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49" s="20" t="str">
        <f ca="1">IF($L49=TRUE,
_xlfn.LET(
_xlpm._isAssumption,$J49,
_xlpm._searchRange,IF(_xlpm._isAssumption,Table24[Task Sheet Shadow ID],Table25[Task Sheet Shadow ID]),
MATCH($M49,_xlpm._searchRange,0)),
"")</f>
        <v/>
      </c>
      <c r="X49" s="20" t="str" cm="1">
        <f t="array" aca="1" ref="X49" ca="1">IF($L49,
_xlfn.LET(
_xlpm._isAssumption,$J49,
_xlpm._sheetRow,$W49,
IF(_xlpm._isAssumption,INDEX(Table24[Sheet Name],_xlpm._sheetRow),INDEX(Table25[Sheet Name],_xlpm._sheetRow))),
"")</f>
        <v/>
      </c>
      <c r="Y49" s="20" t="str" cm="1">
        <f t="array" aca="1" ref="Y49" ca="1">IF($L49,
_xlfn.LET(
_xlpm._elementID,$O49,
_xlpm._isAssumption,$J49,
_xlpm._sheetRow,$W49,
_xlpm._sheetName,$X49,
_xlpm._elementIDColumnLetter,IF(_xlpm._isAssumption,INDEX(Table24[Element ID Column],_xlpm._sheetRow),INDEX(Table25[Element ID Column],_xlpm._sheetRow)),
MATCH(_xlpm._elementID,INDIRECT("'"&amp;_xlpm._sheetName&amp;"'!"&amp;_xlpm._elementIDColumnLetter&amp;":"&amp;_xlpm._elementIDColumnLetter),0)),
"")</f>
        <v/>
      </c>
      <c r="Z49" s="20" t="str" cm="1">
        <f t="array" aca="1" ref="Z49" ca="1">IF($A49="","",_xlfn.LET(
_xlpm._isAssumption,$J49,
_xlpm._isAdditionalElement,$L49,
_xlpm._sheetRow,$W49,
_xlpm._sheetName,$X49,
_xlpm._columnLetter,INDEX(IF(_xlpm._isAdditionalElement,Table24[Comment Column],Table25[Comment Column]),_xlpm._sheetRow),
_xlpm._sheetReference,IF(_xlpm._isAssumption,IF(_xlpm._isAdditionalElement,
CELL("address",INDEX(INDIRECT("'"&amp;_xlpm._sheetName&amp;"'!"&amp;_xlpm._columnLetter&amp;":"&amp;_xlpm._columnLetter),$Y49)),
CELL("address",INDEX(Assumptions!$A:$A,MATCH($A49,Assumptions!$A:$A,0),1))),
IF(_xlpm._isAdditionalElement,
CELL("address",INDEX(INDIRECT("'"&amp;_xlpm._sheetName&amp;"'!"&amp;_xlpm._columnLetter&amp;":"&amp;_xlpm._columnLetter),$Y49)),
CELL("address",INDEX(Countermeasures!$A:$A,MATCH($A49,Countermeasures!$A:$A,0),1)))),
_xlpm._start,FIND("]",_xlpm._sheetReference),
"'"&amp;SUBSTITUTE(SUBSTITUTE(RIGHT(_xlpm._sheetReference,LEN(_xlpm._sheetReference)-_xlpm._start),"'",""),"!","'!")))</f>
        <v/>
      </c>
      <c r="AA49" s="20" t="str" cm="1">
        <f t="array" aca="1" ref="AA49" ca="1">IF(NOT($L49),
_xlfn.LET(_xlpm._value,IF($A49="","",IF($J49,SimpleLookup($A49,Assumptions!$A:$AK),SimpleLookup($A49,Countermeasures!$A:$AN))),
IF(_xlpm._value="","",_xlpm._value)),
"")</f>
        <v/>
      </c>
      <c r="AB49" s="20" t="str" cm="1">
        <f t="array" aca="1" ref="AB49" ca="1">LookupNames(InverseLookup($A49,Mitigation!$AD$2,Mitigation!$A$2,1,Helper!$B$5,","),'Attack Steps'!$A:$B)</f>
        <v/>
      </c>
      <c r="AC49" s="20" t="str" cm="1">
        <f t="array" aca="1" ref="AC49" ca="1">IF($L49,
_xlfn.LET(
_xlpm._in,$A49,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49" s="20" t="str" cm="1">
        <f t="array" aca="1" ref="AD49" ca="1">_xlfn.LET(
_xlpm._countermeasures,InverseLookup($A49,Countermeasures!$AG$2,Countermeasures!$A$2,1,Helper!$B$4,","),
LookupNames(_xlpm._countermeasures,Countermeasures!$A:$B))</f>
        <v/>
      </c>
      <c r="AE49" s="20" t="str" cm="1">
        <f t="array" aca="1" ref="AE49" ca="1">IF($E49="","",_xlfn.LET(
_xlpm._id,$E49,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49" s="20" t="str" cm="1">
        <f t="array" aca="1" ref="AF49" ca="1">IF(OR($A49="",$L49),"",_xlfn.LET(
_xlpm._answers,IF($J49,SimpleLookup($A49,Assumptions!$A:$F),SimpleLookup($A49,Countermeasures!$A:$D)),
IF(_xlpm._answers="*",IF($J49,SimpleLookup($A49,Assumptions!$A:$C),SimpleLookup($A49,Countermeasures!$A:$C)),"")))</f>
        <v/>
      </c>
      <c r="AG49" s="20" t="str" cm="1">
        <f t="array" aca="1" ref="AG49" ca="1">IF(NOT($L49),"",_xlfn.LET(
_xlpm._mappedInMitigation,IFERROR(VLOOKUP($V49,'Attack Steps'!$A:$O,COLUMNS('Attack Steps'!$A:$O),FALSE),""),
CreateSearchString(_xlpm._mappedInMitigation)))</f>
        <v/>
      </c>
      <c r="AH49" s="20" t="b">
        <f ca="1">ROW()-ROW($AH$17)=Helper!$B$15</f>
        <v>0</v>
      </c>
      <c r="AI49" s="20" t="str">
        <f t="shared" ca="1" si="6"/>
        <v/>
      </c>
      <c r="AJ49" s="20" cm="1">
        <f t="array" aca="1" ref="AJ49" ca="1">CreateID($AJ$17,$AJ:$AJ,$AI49&lt;&gt;"")</f>
        <v>0</v>
      </c>
    </row>
    <row r="50" spans="1:36" x14ac:dyDescent="0.25">
      <c r="A50" s="16" t="str">
        <f ca="1">_xlfn.LET(
_xlpm._isAssumption,$J50,
_xlpm._row,$K50,
_xlpm._numActiveAssumptions,Helper!$B$8,
_xlpm._numActiveCountermeasures,Helper!$B$9,
_xlpm._numAdditionalAssumptions,Helper!$B$10,
_xlpm._numAdditionalCountermeasures,Helper!$B$11,
IF(_xlpm._isAssumption,
IF(_xlpm._row&gt;_xlpm._numActiveAssumptions,
$V50&amp;"-A"&amp;$Q50,
INDEX(Assumptions!A:A,MATCH(_xlpm._row,Assumptions!$AG:$AG,0))),
IF(_xlpm._row&gt;_xlpm._numActiveCountermeasures+_xlpm._numAdditionalCountermeasures,"",
IF(_xlpm._row&gt;_xlpm._numActiveCountermeasures,
$V50&amp;"-C"&amp;$Q50,
INDEX(Countermeasures!$A:$A,MATCH(_xlpm._row,Countermeasures!$AI:$AI,0))))))</f>
        <v/>
      </c>
      <c r="B50" s="16" t="str" cm="1">
        <f t="array" aca="1" ref="B50" ca="1">IF($A50="","",
_xlfn.LET(
_xlpm._isAssumption,$J50,
_xlpm._isAdditionalElement,$L50,
IF(_xlpm._isAdditionalElement,
IF(_xlpm._isAssumption,
ParseElementsFromComment($U50,Definitions!$AR$4,Definitions!$AS$4,Definitions!$AR$6,$Q50),
ParseElementsFromComment($U50,Definitions!$AR$5,Definitions!$AS$5,Definitions!$AR$6,$Q50)),
 _xlfn.LET(_xlpm._value,IF($A50="","",IF($J50,SimpleLookup($A50,Assumptions!$A:$B),SimpleLookup($A50,Countermeasures!$A:$B))),IF(_xlpm._value="","",_xlpm._value)))))</f>
        <v/>
      </c>
      <c r="C50" s="16" t="str" cm="1">
        <f t="array" aca="1" ref="C50" ca="1">IF($A50="","",IF($J50,IFERROR(SimpleLookup($A50,Assumptions!$A:$E),""),Definitions!$AO$4))</f>
        <v/>
      </c>
      <c r="D50" s="36" t="str">
        <f t="shared" ref="D50:D81" ca="1" si="7">_xlfn.LET(
_xlpm._dividerTop,REPT(_xlfn.UNICHAR(9552),63)&amp;CHAR(10),
_xlpm._dividerHeader,CHAR(10)&amp;REPT(CHAR(150),84)&amp;CHAR(10),
_xlpm._relatedQuestions,IF($AA50="","",_xlpm._dividerTop&amp;"Comments of related questions / answers:"&amp;_xlpm._dividerHeader&amp;$AA50),
_xlpm._assignedToAttackSteps,IF($AB50="","",_xlpm._dividerTop&amp;"Assigned to attack steps:"&amp;_xlpm._dividerHeader&amp;$AB50),
_xlpm._definedInContextOfElement,IF($AC50="","",_xlpm._dividerTop&amp;"Defined in the context of:"&amp;_xlpm._dividerHeader&amp;$AC50),
_xlpm._dependantCountermeasures,IF($AD50="","",_xlpm._dividerTop&amp;"Dependency of countermeasures:"&amp;_xlpm._dividerHeader&amp;$AD50),
_xlpm._defaultElementText,IF($AF50="","",_xlpm._dividerTop&amp;"Default "&amp;IF($J50,"assumption","countermeasure")&amp;":"&amp;_xlpm._dividerHeader&amp;$AF50),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f>
        <v/>
      </c>
      <c r="E50" s="13"/>
      <c r="F50" s="59" t="str">
        <f t="shared" ref="F50:F81" ca="1" si="8">IF(AND($E50&lt;&gt;"",$AE50=""),"Error: Unknown ID: "&amp;$E50,
IF($A50="","",HYPERLINK("#"&amp;IF($AE50="",$Z50,$AE50),"click me")))</f>
        <v/>
      </c>
      <c r="G50" s="122" t="str" cm="1">
        <f t="array" aca="1" ref="G50" ca="1">_xlfn.LET(_xlpm._val,IFERROR(SimpleLookup($A50,Countermeasures!$A:$R),IFERROR(SimpleLookup($A50,Assumptions!$A:$R),"")),IF(_xlpm._val="","",_xlpm._val))</f>
        <v/>
      </c>
      <c r="H50" s="16" t="str" cm="1">
        <f t="array" aca="1" ref="H50" ca="1">_xlfn.LET(_xlpm._value,IF($A50="","",IFERROR(IF($J50,SimpleLookup($A50,Assumptions!$A:$S),SimpleLookup($A50,Countermeasures!$A:$S)),"")),
IF(_xlpm._value="","",_xlpm._value))</f>
        <v/>
      </c>
      <c r="I50" s="10" cm="1">
        <f t="array" aca="1" ref="I50" ca="1">IF(ROW()=ROW($I$17)+1,0,INDEX($I:$I,ROW()-1))+IF($A50="",0,1)</f>
        <v>12</v>
      </c>
      <c r="J50" s="10" t="b">
        <f ca="1">_xlfn.LET(_xlpm._row,ROW()-ROW($K$17),
_xlpm._numActiveAssumptions,Helper!$B$8,
_xlpm._numAdditionalAssumptions,SUM(Table24['# Elements]),
_xlpm._row&lt;=_xlpm._numActiveAssumptions+_xlpm._numAdditionalAssumptions)</f>
        <v>0</v>
      </c>
      <c r="K50" s="21">
        <f ca="1">_xlfn.LET(_xlpm._row,ROW()-ROW($K$17),
_xlpm._numActiveAssumptions,Helper!$B$8,
_xlpm._numAdditionalAssumptions,Helper!$B$10,
_xlpm._isAssumption,$J50,
_xlpm._elementID,IF(_xlpm._isAssumption,_xlpm._row,_xlpm._row-_xlpm._numActiveAssumptions-_xlpm._numAdditionalAssumptions),
_xlpm._elementID)</f>
        <v>27</v>
      </c>
      <c r="L50"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50" s="20" cm="1">
        <f t="array" aca="1" ref="M50" ca="1">IF($L50,
IF(ROW()=ROW($M$17)+1,1,INDEX($M:$M,ROW()-1)+IF(INDEX($T:$T,ROW()-1),1,0)),
1)</f>
        <v>1</v>
      </c>
      <c r="N50" s="14" t="str" cm="1">
        <f t="array" aca="1" ref="N50" ca="1">IF($L50=TRUE,
_xlfn.LET(
_xlpm._isAssumption,$J50,
_xlpm._indexRange,IF(_xlpm._isAssumption,Table24['# Elements],Table25['# Elements]),
_xlpm._lookupRow,$W50,
INDEX(_xlpm._indexRange,_xlpm._lookupRow)),
"")</f>
        <v/>
      </c>
      <c r="O50" s="20" t="str" cm="1">
        <f t="array" aca="1" ref="O50" ca="1">IF($N50="","",_xlfn.LET(
_xlpm._prevRow,ROW()-1,
IF(OR(INDEX($N:$N,_xlpm._prevRow)&lt;&gt;$N50,INDEX($M:$M,_xlpm._prevRow)&lt;&gt;$M50),
1,
INDEX($O:$O,_xlpm._prevRow)+IF(INDEX($S:$S,_xlpm._prevRow),1,0))))</f>
        <v/>
      </c>
      <c r="P50" s="20" t="str" cm="1">
        <f t="array" aca="1" ref="P50" ca="1">IF($O50="","",_xlfn.LET(
_xlpm._isAssumption,$J50,
_xlpm._sheetRow,$W50,
_xlpm._sheetName,$X50,
_xlpm._elementIDRange,IF(_xlpm._isAssumption,Table24[Element ID Column],Table25[Element ID Column]),
_xlpm._numberOfElementsRange,IF(_xlpm._isAssumption,Table24[Number of Elements Column],Table25[Number of Elements Column]),
SimpleLookup($O50,INDIRECT("'"&amp;_xlpm._sheetName&amp;"'!"&amp;INDEX(_xlpm._elementIDRange,_xlpm._sheetRow)&amp;":"&amp;INDEX(_xlpm._numberOfElementsRange,_xlpm._sheetRow)))))</f>
        <v/>
      </c>
      <c r="Q50" s="20" t="str" cm="1">
        <f t="array" aca="1" ref="Q50" ca="1">IF($O50="","",IF(OR(INDEX($O:$O,ROW()-1)&lt;&gt;$O50,INDEX($M:$M,ROW()-1)&lt;&gt;$M50),1,INDEX($Q:$Q,ROW()-1)+1))</f>
        <v/>
      </c>
      <c r="R50" s="20">
        <f t="shared" ref="R50:R81" ca="1" si="9">COUNTIFS(
OFFSET($L$17,1,0,ROW()-ROW($L$17),1),TRUE,
OFFSET($M$17,1,0,ROW()-ROW($M$17),1),$M50,
OFFSET($J$17,1,0,ROW()-ROW($J$17),1),$J50)</f>
        <v>0</v>
      </c>
      <c r="S50" s="20" t="str">
        <f t="shared" ref="S50:S81" ca="1" si="10">IF($L50,$P50=$Q50,"")</f>
        <v/>
      </c>
      <c r="T50" s="20" t="b">
        <f ca="1">_xlfn.LET(
_xlpm._isAssumption,$J50,
_xlpm._numberOfElementsRange,IF(_xlpm._isAssumption,Table24['# Elements],Table25['# Elements]),
_xlpm._sheetRow,$W50,
IF($L50,AND($S50,$R50=$N50),FALSE))</f>
        <v>0</v>
      </c>
      <c r="U50" s="20" t="str" cm="1">
        <f t="array" aca="1" ref="U50" ca="1">IF($L50,
_xlfn.LET(
_xlpm._elementID,$O50,
_xlpm._isAssumption,$J50,
_xlpm._sheetRow,$W50,
_xlpm._sheetName,$X50,
_xlpm._elementRow,$Y50,
_xlpm._resultColumnLetter,IF(_xlpm._isAssumption,INDEX(Table24[Comment Column],_xlpm._sheetRow),INDEX(Table25[Comment Column],_xlpm._sheetRow)),
INDEX(INDIRECT("'"&amp;_xlpm._sheetName&amp;"'!"&amp;_xlpm._resultColumnLetter&amp;":"&amp;_xlpm._resultColumnLetter),_xlpm._elementRow)),
"")</f>
        <v/>
      </c>
      <c r="V50" s="20" t="str" cm="1">
        <f t="array" aca="1" ref="V50" ca="1">IF($L50,
_xlfn.LET(
_xlpm._elementID,$O50,
_xlpm._isAssumption,$J50,
_xlpm._sheetRow,$W50,
_xlpm._sheetName,$X50,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50" s="20" t="str">
        <f ca="1">IF($L50=TRUE,
_xlfn.LET(
_xlpm._isAssumption,$J50,
_xlpm._searchRange,IF(_xlpm._isAssumption,Table24[Task Sheet Shadow ID],Table25[Task Sheet Shadow ID]),
MATCH($M50,_xlpm._searchRange,0)),
"")</f>
        <v/>
      </c>
      <c r="X50" s="20" t="str" cm="1">
        <f t="array" aca="1" ref="X50" ca="1">IF($L50,
_xlfn.LET(
_xlpm._isAssumption,$J50,
_xlpm._sheetRow,$W50,
IF(_xlpm._isAssumption,INDEX(Table24[Sheet Name],_xlpm._sheetRow),INDEX(Table25[Sheet Name],_xlpm._sheetRow))),
"")</f>
        <v/>
      </c>
      <c r="Y50" s="20" t="str" cm="1">
        <f t="array" aca="1" ref="Y50" ca="1">IF($L50,
_xlfn.LET(
_xlpm._elementID,$O50,
_xlpm._isAssumption,$J50,
_xlpm._sheetRow,$W50,
_xlpm._sheetName,$X50,
_xlpm._elementIDColumnLetter,IF(_xlpm._isAssumption,INDEX(Table24[Element ID Column],_xlpm._sheetRow),INDEX(Table25[Element ID Column],_xlpm._sheetRow)),
MATCH(_xlpm._elementID,INDIRECT("'"&amp;_xlpm._sheetName&amp;"'!"&amp;_xlpm._elementIDColumnLetter&amp;":"&amp;_xlpm._elementIDColumnLetter),0)),
"")</f>
        <v/>
      </c>
      <c r="Z50" s="20" t="str" cm="1">
        <f t="array" aca="1" ref="Z50" ca="1">IF($A50="","",_xlfn.LET(
_xlpm._isAssumption,$J50,
_xlpm._isAdditionalElement,$L50,
_xlpm._sheetRow,$W50,
_xlpm._sheetName,$X50,
_xlpm._columnLetter,INDEX(IF(_xlpm._isAdditionalElement,Table24[Comment Column],Table25[Comment Column]),_xlpm._sheetRow),
_xlpm._sheetReference,IF(_xlpm._isAssumption,IF(_xlpm._isAdditionalElement,
CELL("address",INDEX(INDIRECT("'"&amp;_xlpm._sheetName&amp;"'!"&amp;_xlpm._columnLetter&amp;":"&amp;_xlpm._columnLetter),$Y50)),
CELL("address",INDEX(Assumptions!$A:$A,MATCH($A50,Assumptions!$A:$A,0),1))),
IF(_xlpm._isAdditionalElement,
CELL("address",INDEX(INDIRECT("'"&amp;_xlpm._sheetName&amp;"'!"&amp;_xlpm._columnLetter&amp;":"&amp;_xlpm._columnLetter),$Y50)),
CELL("address",INDEX(Countermeasures!$A:$A,MATCH($A50,Countermeasures!$A:$A,0),1)))),
_xlpm._start,FIND("]",_xlpm._sheetReference),
"'"&amp;SUBSTITUTE(SUBSTITUTE(RIGHT(_xlpm._sheetReference,LEN(_xlpm._sheetReference)-_xlpm._start),"'",""),"!","'!")))</f>
        <v/>
      </c>
      <c r="AA50" s="20" t="str" cm="1">
        <f t="array" aca="1" ref="AA50" ca="1">IF(NOT($L50),
_xlfn.LET(_xlpm._value,IF($A50="","",IF($J50,SimpleLookup($A50,Assumptions!$A:$AK),SimpleLookup($A50,Countermeasures!$A:$AN))),
IF(_xlpm._value="","",_xlpm._value)),
"")</f>
        <v/>
      </c>
      <c r="AB50" s="20" t="str" cm="1">
        <f t="array" aca="1" ref="AB50" ca="1">LookupNames(InverseLookup($A50,Mitigation!$AD$2,Mitigation!$A$2,1,Helper!$B$5,","),'Attack Steps'!$A:$B)</f>
        <v/>
      </c>
      <c r="AC50" s="20" t="str" cm="1">
        <f t="array" aca="1" ref="AC50" ca="1">IF($L50,
_xlfn.LET(
_xlpm._in,$A50,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50" s="20" t="str" cm="1">
        <f t="array" aca="1" ref="AD50" ca="1">_xlfn.LET(
_xlpm._countermeasures,InverseLookup($A50,Countermeasures!$AG$2,Countermeasures!$A$2,1,Helper!$B$4,","),
LookupNames(_xlpm._countermeasures,Countermeasures!$A:$B))</f>
        <v/>
      </c>
      <c r="AE50" s="20" t="str" cm="1">
        <f t="array" aca="1" ref="AE50" ca="1">IF($E50="","",_xlfn.LET(
_xlpm._id,$E50,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50" s="20" t="str" cm="1">
        <f t="array" aca="1" ref="AF50" ca="1">IF(OR($A50="",$L50),"",_xlfn.LET(
_xlpm._answers,IF($J50,SimpleLookup($A50,Assumptions!$A:$F),SimpleLookup($A50,Countermeasures!$A:$D)),
IF(_xlpm._answers="*",IF($J50,SimpleLookup($A50,Assumptions!$A:$C),SimpleLookup($A50,Countermeasures!$A:$C)),"")))</f>
        <v/>
      </c>
      <c r="AG50" s="20" t="str" cm="1">
        <f t="array" aca="1" ref="AG50" ca="1">IF(NOT($L50),"",_xlfn.LET(
_xlpm._mappedInMitigation,IFERROR(VLOOKUP($V50,'Attack Steps'!$A:$O,COLUMNS('Attack Steps'!$A:$O),FALSE),""),
CreateSearchString(_xlpm._mappedInMitigation)))</f>
        <v/>
      </c>
      <c r="AH50" s="20" t="b">
        <f ca="1">ROW()-ROW($AH$17)=Helper!$B$15</f>
        <v>0</v>
      </c>
      <c r="AI50" s="20" t="str">
        <f t="shared" ref="AI50:AI81" ca="1" si="11">IF(IFERROR(MATCH(TRUE,$AH:$AH,0)&gt;0,FALSE),"",IF(OFFSET($AH50,1,0)="","Please enlarge the table!",""))</f>
        <v/>
      </c>
      <c r="AJ50" s="20" cm="1">
        <f t="array" aca="1" ref="AJ50" ca="1">CreateID($AJ$17,$AJ:$AJ,$AI50&lt;&gt;"")</f>
        <v>0</v>
      </c>
    </row>
    <row r="51" spans="1:36" x14ac:dyDescent="0.25">
      <c r="A51" s="16" t="str">
        <f ca="1">_xlfn.LET(
_xlpm._isAssumption,$J51,
_xlpm._row,$K51,
_xlpm._numActiveAssumptions,Helper!$B$8,
_xlpm._numActiveCountermeasures,Helper!$B$9,
_xlpm._numAdditionalAssumptions,Helper!$B$10,
_xlpm._numAdditionalCountermeasures,Helper!$B$11,
IF(_xlpm._isAssumption,
IF(_xlpm._row&gt;_xlpm._numActiveAssumptions,
$V51&amp;"-A"&amp;$Q51,
INDEX(Assumptions!A:A,MATCH(_xlpm._row,Assumptions!$AG:$AG,0))),
IF(_xlpm._row&gt;_xlpm._numActiveCountermeasures+_xlpm._numAdditionalCountermeasures,"",
IF(_xlpm._row&gt;_xlpm._numActiveCountermeasures,
$V51&amp;"-C"&amp;$Q51,
INDEX(Countermeasures!$A:$A,MATCH(_xlpm._row,Countermeasures!$AI:$AI,0))))))</f>
        <v/>
      </c>
      <c r="B51" s="16" t="str" cm="1">
        <f t="array" aca="1" ref="B51" ca="1">IF($A51="","",
_xlfn.LET(
_xlpm._isAssumption,$J51,
_xlpm._isAdditionalElement,$L51,
IF(_xlpm._isAdditionalElement,
IF(_xlpm._isAssumption,
ParseElementsFromComment($U51,Definitions!$AR$4,Definitions!$AS$4,Definitions!$AR$6,$Q51),
ParseElementsFromComment($U51,Definitions!$AR$5,Definitions!$AS$5,Definitions!$AR$6,$Q51)),
 _xlfn.LET(_xlpm._value,IF($A51="","",IF($J51,SimpleLookup($A51,Assumptions!$A:$B),SimpleLookup($A51,Countermeasures!$A:$B))),IF(_xlpm._value="","",_xlpm._value)))))</f>
        <v/>
      </c>
      <c r="C51" s="16" t="str" cm="1">
        <f t="array" aca="1" ref="C51" ca="1">IF($A51="","",IF($J51,IFERROR(SimpleLookup($A51,Assumptions!$A:$E),""),Definitions!$AO$4))</f>
        <v/>
      </c>
      <c r="D51" s="36" t="str">
        <f t="shared" ca="1" si="7"/>
        <v/>
      </c>
      <c r="E51" s="13"/>
      <c r="F51" s="59" t="str">
        <f t="shared" ca="1" si="8"/>
        <v/>
      </c>
      <c r="G51" s="122" t="str" cm="1">
        <f t="array" aca="1" ref="G51" ca="1">_xlfn.LET(_xlpm._val,IFERROR(SimpleLookup($A51,Countermeasures!$A:$R),IFERROR(SimpleLookup($A51,Assumptions!$A:$R),"")),IF(_xlpm._val="","",_xlpm._val))</f>
        <v/>
      </c>
      <c r="H51" s="16" t="str" cm="1">
        <f t="array" aca="1" ref="H51" ca="1">_xlfn.LET(_xlpm._value,IF($A51="","",IFERROR(IF($J51,SimpleLookup($A51,Assumptions!$A:$S),SimpleLookup($A51,Countermeasures!$A:$S)),"")),
IF(_xlpm._value="","",_xlpm._value))</f>
        <v/>
      </c>
      <c r="I51" s="10" cm="1">
        <f t="array" aca="1" ref="I51" ca="1">IF(ROW()=ROW($I$17)+1,0,INDEX($I:$I,ROW()-1))+IF($A51="",0,1)</f>
        <v>12</v>
      </c>
      <c r="J51" s="10" t="b">
        <f ca="1">_xlfn.LET(_xlpm._row,ROW()-ROW($K$17),
_xlpm._numActiveAssumptions,Helper!$B$8,
_xlpm._numAdditionalAssumptions,SUM(Table24['# Elements]),
_xlpm._row&lt;=_xlpm._numActiveAssumptions+_xlpm._numAdditionalAssumptions)</f>
        <v>0</v>
      </c>
      <c r="K51" s="21">
        <f ca="1">_xlfn.LET(_xlpm._row,ROW()-ROW($K$17),
_xlpm._numActiveAssumptions,Helper!$B$8,
_xlpm._numAdditionalAssumptions,Helper!$B$10,
_xlpm._isAssumption,$J51,
_xlpm._elementID,IF(_xlpm._isAssumption,_xlpm._row,_xlpm._row-_xlpm._numActiveAssumptions-_xlpm._numAdditionalAssumptions),
_xlpm._elementID)</f>
        <v>28</v>
      </c>
      <c r="L51"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51" s="20" cm="1">
        <f t="array" aca="1" ref="M51" ca="1">IF($L51,
IF(ROW()=ROW($M$17)+1,1,INDEX($M:$M,ROW()-1)+IF(INDEX($T:$T,ROW()-1),1,0)),
1)</f>
        <v>1</v>
      </c>
      <c r="N51" s="14" t="str" cm="1">
        <f t="array" aca="1" ref="N51" ca="1">IF($L51=TRUE,
_xlfn.LET(
_xlpm._isAssumption,$J51,
_xlpm._indexRange,IF(_xlpm._isAssumption,Table24['# Elements],Table25['# Elements]),
_xlpm._lookupRow,$W51,
INDEX(_xlpm._indexRange,_xlpm._lookupRow)),
"")</f>
        <v/>
      </c>
      <c r="O51" s="20" t="str" cm="1">
        <f t="array" aca="1" ref="O51" ca="1">IF($N51="","",_xlfn.LET(
_xlpm._prevRow,ROW()-1,
IF(OR(INDEX($N:$N,_xlpm._prevRow)&lt;&gt;$N51,INDEX($M:$M,_xlpm._prevRow)&lt;&gt;$M51),
1,
INDEX($O:$O,_xlpm._prevRow)+IF(INDEX($S:$S,_xlpm._prevRow),1,0))))</f>
        <v/>
      </c>
      <c r="P51" s="20" t="str" cm="1">
        <f t="array" aca="1" ref="P51" ca="1">IF($O51="","",_xlfn.LET(
_xlpm._isAssumption,$J51,
_xlpm._sheetRow,$W51,
_xlpm._sheetName,$X51,
_xlpm._elementIDRange,IF(_xlpm._isAssumption,Table24[Element ID Column],Table25[Element ID Column]),
_xlpm._numberOfElementsRange,IF(_xlpm._isAssumption,Table24[Number of Elements Column],Table25[Number of Elements Column]),
SimpleLookup($O51,INDIRECT("'"&amp;_xlpm._sheetName&amp;"'!"&amp;INDEX(_xlpm._elementIDRange,_xlpm._sheetRow)&amp;":"&amp;INDEX(_xlpm._numberOfElementsRange,_xlpm._sheetRow)))))</f>
        <v/>
      </c>
      <c r="Q51" s="20" t="str" cm="1">
        <f t="array" aca="1" ref="Q51" ca="1">IF($O51="","",IF(OR(INDEX($O:$O,ROW()-1)&lt;&gt;$O51,INDEX($M:$M,ROW()-1)&lt;&gt;$M51),1,INDEX($Q:$Q,ROW()-1)+1))</f>
        <v/>
      </c>
      <c r="R51" s="20">
        <f t="shared" ca="1" si="9"/>
        <v>0</v>
      </c>
      <c r="S51" s="20" t="str">
        <f t="shared" ca="1" si="10"/>
        <v/>
      </c>
      <c r="T51" s="20" t="b">
        <f ca="1">_xlfn.LET(
_xlpm._isAssumption,$J51,
_xlpm._numberOfElementsRange,IF(_xlpm._isAssumption,Table24['# Elements],Table25['# Elements]),
_xlpm._sheetRow,$W51,
IF($L51,AND($S51,$R51=$N51),FALSE))</f>
        <v>0</v>
      </c>
      <c r="U51" s="20" t="str" cm="1">
        <f t="array" aca="1" ref="U51" ca="1">IF($L51,
_xlfn.LET(
_xlpm._elementID,$O51,
_xlpm._isAssumption,$J51,
_xlpm._sheetRow,$W51,
_xlpm._sheetName,$X51,
_xlpm._elementRow,$Y51,
_xlpm._resultColumnLetter,IF(_xlpm._isAssumption,INDEX(Table24[Comment Column],_xlpm._sheetRow),INDEX(Table25[Comment Column],_xlpm._sheetRow)),
INDEX(INDIRECT("'"&amp;_xlpm._sheetName&amp;"'!"&amp;_xlpm._resultColumnLetter&amp;":"&amp;_xlpm._resultColumnLetter),_xlpm._elementRow)),
"")</f>
        <v/>
      </c>
      <c r="V51" s="20" t="str" cm="1">
        <f t="array" aca="1" ref="V51" ca="1">IF($L51,
_xlfn.LET(
_xlpm._elementID,$O51,
_xlpm._isAssumption,$J51,
_xlpm._sheetRow,$W51,
_xlpm._sheetName,$X51,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51" s="20" t="str">
        <f ca="1">IF($L51=TRUE,
_xlfn.LET(
_xlpm._isAssumption,$J51,
_xlpm._searchRange,IF(_xlpm._isAssumption,Table24[Task Sheet Shadow ID],Table25[Task Sheet Shadow ID]),
MATCH($M51,_xlpm._searchRange,0)),
"")</f>
        <v/>
      </c>
      <c r="X51" s="20" t="str" cm="1">
        <f t="array" aca="1" ref="X51" ca="1">IF($L51,
_xlfn.LET(
_xlpm._isAssumption,$J51,
_xlpm._sheetRow,$W51,
IF(_xlpm._isAssumption,INDEX(Table24[Sheet Name],_xlpm._sheetRow),INDEX(Table25[Sheet Name],_xlpm._sheetRow))),
"")</f>
        <v/>
      </c>
      <c r="Y51" s="20" t="str" cm="1">
        <f t="array" aca="1" ref="Y51" ca="1">IF($L51,
_xlfn.LET(
_xlpm._elementID,$O51,
_xlpm._isAssumption,$J51,
_xlpm._sheetRow,$W51,
_xlpm._sheetName,$X51,
_xlpm._elementIDColumnLetter,IF(_xlpm._isAssumption,INDEX(Table24[Element ID Column],_xlpm._sheetRow),INDEX(Table25[Element ID Column],_xlpm._sheetRow)),
MATCH(_xlpm._elementID,INDIRECT("'"&amp;_xlpm._sheetName&amp;"'!"&amp;_xlpm._elementIDColumnLetter&amp;":"&amp;_xlpm._elementIDColumnLetter),0)),
"")</f>
        <v/>
      </c>
      <c r="Z51" s="20" t="str" cm="1">
        <f t="array" aca="1" ref="Z51" ca="1">IF($A51="","",_xlfn.LET(
_xlpm._isAssumption,$J51,
_xlpm._isAdditionalElement,$L51,
_xlpm._sheetRow,$W51,
_xlpm._sheetName,$X51,
_xlpm._columnLetter,INDEX(IF(_xlpm._isAdditionalElement,Table24[Comment Column],Table25[Comment Column]),_xlpm._sheetRow),
_xlpm._sheetReference,IF(_xlpm._isAssumption,IF(_xlpm._isAdditionalElement,
CELL("address",INDEX(INDIRECT("'"&amp;_xlpm._sheetName&amp;"'!"&amp;_xlpm._columnLetter&amp;":"&amp;_xlpm._columnLetter),$Y51)),
CELL("address",INDEX(Assumptions!$A:$A,MATCH($A51,Assumptions!$A:$A,0),1))),
IF(_xlpm._isAdditionalElement,
CELL("address",INDEX(INDIRECT("'"&amp;_xlpm._sheetName&amp;"'!"&amp;_xlpm._columnLetter&amp;":"&amp;_xlpm._columnLetter),$Y51)),
CELL("address",INDEX(Countermeasures!$A:$A,MATCH($A51,Countermeasures!$A:$A,0),1)))),
_xlpm._start,FIND("]",_xlpm._sheetReference),
"'"&amp;SUBSTITUTE(SUBSTITUTE(RIGHT(_xlpm._sheetReference,LEN(_xlpm._sheetReference)-_xlpm._start),"'",""),"!","'!")))</f>
        <v/>
      </c>
      <c r="AA51" s="20" t="str" cm="1">
        <f t="array" aca="1" ref="AA51" ca="1">IF(NOT($L51),
_xlfn.LET(_xlpm._value,IF($A51="","",IF($J51,SimpleLookup($A51,Assumptions!$A:$AK),SimpleLookup($A51,Countermeasures!$A:$AN))),
IF(_xlpm._value="","",_xlpm._value)),
"")</f>
        <v/>
      </c>
      <c r="AB51" s="20" t="str" cm="1">
        <f t="array" aca="1" ref="AB51" ca="1">LookupNames(InverseLookup($A51,Mitigation!$AD$2,Mitigation!$A$2,1,Helper!$B$5,","),'Attack Steps'!$A:$B)</f>
        <v/>
      </c>
      <c r="AC51" s="20" t="str" cm="1">
        <f t="array" aca="1" ref="AC51" ca="1">IF($L51,
_xlfn.LET(
_xlpm._in,$A51,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51" s="20" t="str" cm="1">
        <f t="array" aca="1" ref="AD51" ca="1">_xlfn.LET(
_xlpm._countermeasures,InverseLookup($A51,Countermeasures!$AG$2,Countermeasures!$A$2,1,Helper!$B$4,","),
LookupNames(_xlpm._countermeasures,Countermeasures!$A:$B))</f>
        <v/>
      </c>
      <c r="AE51" s="20" t="str" cm="1">
        <f t="array" aca="1" ref="AE51" ca="1">IF($E51="","",_xlfn.LET(
_xlpm._id,$E51,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51" s="20" t="str" cm="1">
        <f t="array" aca="1" ref="AF51" ca="1">IF(OR($A51="",$L51),"",_xlfn.LET(
_xlpm._answers,IF($J51,SimpleLookup($A51,Assumptions!$A:$F),SimpleLookup($A51,Countermeasures!$A:$D)),
IF(_xlpm._answers="*",IF($J51,SimpleLookup($A51,Assumptions!$A:$C),SimpleLookup($A51,Countermeasures!$A:$C)),"")))</f>
        <v/>
      </c>
      <c r="AG51" s="20" t="str" cm="1">
        <f t="array" aca="1" ref="AG51" ca="1">IF(NOT($L51),"",_xlfn.LET(
_xlpm._mappedInMitigation,IFERROR(VLOOKUP($V51,'Attack Steps'!$A:$O,COLUMNS('Attack Steps'!$A:$O),FALSE),""),
CreateSearchString(_xlpm._mappedInMitigation)))</f>
        <v/>
      </c>
      <c r="AH51" s="20" t="b">
        <f ca="1">ROW()-ROW($AH$17)=Helper!$B$15</f>
        <v>0</v>
      </c>
      <c r="AI51" s="20" t="str">
        <f t="shared" ca="1" si="11"/>
        <v/>
      </c>
      <c r="AJ51" s="20" cm="1">
        <f t="array" aca="1" ref="AJ51" ca="1">CreateID($AJ$17,$AJ:$AJ,$AI51&lt;&gt;"")</f>
        <v>0</v>
      </c>
    </row>
    <row r="52" spans="1:36" x14ac:dyDescent="0.25">
      <c r="A52" s="16" t="str">
        <f ca="1">_xlfn.LET(
_xlpm._isAssumption,$J52,
_xlpm._row,$K52,
_xlpm._numActiveAssumptions,Helper!$B$8,
_xlpm._numActiveCountermeasures,Helper!$B$9,
_xlpm._numAdditionalAssumptions,Helper!$B$10,
_xlpm._numAdditionalCountermeasures,Helper!$B$11,
IF(_xlpm._isAssumption,
IF(_xlpm._row&gt;_xlpm._numActiveAssumptions,
$V52&amp;"-A"&amp;$Q52,
INDEX(Assumptions!A:A,MATCH(_xlpm._row,Assumptions!$AG:$AG,0))),
IF(_xlpm._row&gt;_xlpm._numActiveCountermeasures+_xlpm._numAdditionalCountermeasures,"",
IF(_xlpm._row&gt;_xlpm._numActiveCountermeasures,
$V52&amp;"-C"&amp;$Q52,
INDEX(Countermeasures!$A:$A,MATCH(_xlpm._row,Countermeasures!$AI:$AI,0))))))</f>
        <v/>
      </c>
      <c r="B52" s="16" t="str" cm="1">
        <f t="array" aca="1" ref="B52" ca="1">IF($A52="","",
_xlfn.LET(
_xlpm._isAssumption,$J52,
_xlpm._isAdditionalElement,$L52,
IF(_xlpm._isAdditionalElement,
IF(_xlpm._isAssumption,
ParseElementsFromComment($U52,Definitions!$AR$4,Definitions!$AS$4,Definitions!$AR$6,$Q52),
ParseElementsFromComment($U52,Definitions!$AR$5,Definitions!$AS$5,Definitions!$AR$6,$Q52)),
 _xlfn.LET(_xlpm._value,IF($A52="","",IF($J52,SimpleLookup($A52,Assumptions!$A:$B),SimpleLookup($A52,Countermeasures!$A:$B))),IF(_xlpm._value="","",_xlpm._value)))))</f>
        <v/>
      </c>
      <c r="C52" s="16" t="str" cm="1">
        <f t="array" aca="1" ref="C52" ca="1">IF($A52="","",IF($J52,IFERROR(SimpleLookup($A52,Assumptions!$A:$E),""),Definitions!$AO$4))</f>
        <v/>
      </c>
      <c r="D52" s="36" t="str">
        <f t="shared" ca="1" si="7"/>
        <v/>
      </c>
      <c r="E52" s="13"/>
      <c r="F52" s="59" t="str">
        <f t="shared" ca="1" si="8"/>
        <v/>
      </c>
      <c r="G52" s="122" t="str" cm="1">
        <f t="array" aca="1" ref="G52" ca="1">_xlfn.LET(_xlpm._val,IFERROR(SimpleLookup($A52,Countermeasures!$A:$R),IFERROR(SimpleLookup($A52,Assumptions!$A:$R),"")),IF(_xlpm._val="","",_xlpm._val))</f>
        <v/>
      </c>
      <c r="H52" s="16" t="str" cm="1">
        <f t="array" aca="1" ref="H52" ca="1">_xlfn.LET(_xlpm._value,IF($A52="","",IFERROR(IF($J52,SimpleLookup($A52,Assumptions!$A:$S),SimpleLookup($A52,Countermeasures!$A:$S)),"")),
IF(_xlpm._value="","",_xlpm._value))</f>
        <v/>
      </c>
      <c r="I52" s="10" cm="1">
        <f t="array" aca="1" ref="I52" ca="1">IF(ROW()=ROW($I$17)+1,0,INDEX($I:$I,ROW()-1))+IF($A52="",0,1)</f>
        <v>12</v>
      </c>
      <c r="J52" s="10" t="b">
        <f ca="1">_xlfn.LET(_xlpm._row,ROW()-ROW($K$17),
_xlpm._numActiveAssumptions,Helper!$B$8,
_xlpm._numAdditionalAssumptions,SUM(Table24['# Elements]),
_xlpm._row&lt;=_xlpm._numActiveAssumptions+_xlpm._numAdditionalAssumptions)</f>
        <v>0</v>
      </c>
      <c r="K52" s="21">
        <f ca="1">_xlfn.LET(_xlpm._row,ROW()-ROW($K$17),
_xlpm._numActiveAssumptions,Helper!$B$8,
_xlpm._numAdditionalAssumptions,Helper!$B$10,
_xlpm._isAssumption,$J52,
_xlpm._elementID,IF(_xlpm._isAssumption,_xlpm._row,_xlpm._row-_xlpm._numActiveAssumptions-_xlpm._numAdditionalAssumptions),
_xlpm._elementID)</f>
        <v>29</v>
      </c>
      <c r="L52"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52" s="20" cm="1">
        <f t="array" aca="1" ref="M52" ca="1">IF($L52,
IF(ROW()=ROW($M$17)+1,1,INDEX($M:$M,ROW()-1)+IF(INDEX($T:$T,ROW()-1),1,0)),
1)</f>
        <v>1</v>
      </c>
      <c r="N52" s="14" t="str" cm="1">
        <f t="array" aca="1" ref="N52" ca="1">IF($L52=TRUE,
_xlfn.LET(
_xlpm._isAssumption,$J52,
_xlpm._indexRange,IF(_xlpm._isAssumption,Table24['# Elements],Table25['# Elements]),
_xlpm._lookupRow,$W52,
INDEX(_xlpm._indexRange,_xlpm._lookupRow)),
"")</f>
        <v/>
      </c>
      <c r="O52" s="20" t="str" cm="1">
        <f t="array" aca="1" ref="O52" ca="1">IF($N52="","",_xlfn.LET(
_xlpm._prevRow,ROW()-1,
IF(OR(INDEX($N:$N,_xlpm._prevRow)&lt;&gt;$N52,INDEX($M:$M,_xlpm._prevRow)&lt;&gt;$M52),
1,
INDEX($O:$O,_xlpm._prevRow)+IF(INDEX($S:$S,_xlpm._prevRow),1,0))))</f>
        <v/>
      </c>
      <c r="P52" s="20" t="str" cm="1">
        <f t="array" aca="1" ref="P52" ca="1">IF($O52="","",_xlfn.LET(
_xlpm._isAssumption,$J52,
_xlpm._sheetRow,$W52,
_xlpm._sheetName,$X52,
_xlpm._elementIDRange,IF(_xlpm._isAssumption,Table24[Element ID Column],Table25[Element ID Column]),
_xlpm._numberOfElementsRange,IF(_xlpm._isAssumption,Table24[Number of Elements Column],Table25[Number of Elements Column]),
SimpleLookup($O52,INDIRECT("'"&amp;_xlpm._sheetName&amp;"'!"&amp;INDEX(_xlpm._elementIDRange,_xlpm._sheetRow)&amp;":"&amp;INDEX(_xlpm._numberOfElementsRange,_xlpm._sheetRow)))))</f>
        <v/>
      </c>
      <c r="Q52" s="20" t="str" cm="1">
        <f t="array" aca="1" ref="Q52" ca="1">IF($O52="","",IF(OR(INDEX($O:$O,ROW()-1)&lt;&gt;$O52,INDEX($M:$M,ROW()-1)&lt;&gt;$M52),1,INDEX($Q:$Q,ROW()-1)+1))</f>
        <v/>
      </c>
      <c r="R52" s="20">
        <f t="shared" ca="1" si="9"/>
        <v>0</v>
      </c>
      <c r="S52" s="20" t="str">
        <f t="shared" ca="1" si="10"/>
        <v/>
      </c>
      <c r="T52" s="20" t="b">
        <f ca="1">_xlfn.LET(
_xlpm._isAssumption,$J52,
_xlpm._numberOfElementsRange,IF(_xlpm._isAssumption,Table24['# Elements],Table25['# Elements]),
_xlpm._sheetRow,$W52,
IF($L52,AND($S52,$R52=$N52),FALSE))</f>
        <v>0</v>
      </c>
      <c r="U52" s="20" t="str" cm="1">
        <f t="array" aca="1" ref="U52" ca="1">IF($L52,
_xlfn.LET(
_xlpm._elementID,$O52,
_xlpm._isAssumption,$J52,
_xlpm._sheetRow,$W52,
_xlpm._sheetName,$X52,
_xlpm._elementRow,$Y52,
_xlpm._resultColumnLetter,IF(_xlpm._isAssumption,INDEX(Table24[Comment Column],_xlpm._sheetRow),INDEX(Table25[Comment Column],_xlpm._sheetRow)),
INDEX(INDIRECT("'"&amp;_xlpm._sheetName&amp;"'!"&amp;_xlpm._resultColumnLetter&amp;":"&amp;_xlpm._resultColumnLetter),_xlpm._elementRow)),
"")</f>
        <v/>
      </c>
      <c r="V52" s="20" t="str" cm="1">
        <f t="array" aca="1" ref="V52" ca="1">IF($L52,
_xlfn.LET(
_xlpm._elementID,$O52,
_xlpm._isAssumption,$J52,
_xlpm._sheetRow,$W52,
_xlpm._sheetName,$X52,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52" s="20" t="str">
        <f ca="1">IF($L52=TRUE,
_xlfn.LET(
_xlpm._isAssumption,$J52,
_xlpm._searchRange,IF(_xlpm._isAssumption,Table24[Task Sheet Shadow ID],Table25[Task Sheet Shadow ID]),
MATCH($M52,_xlpm._searchRange,0)),
"")</f>
        <v/>
      </c>
      <c r="X52" s="20" t="str" cm="1">
        <f t="array" aca="1" ref="X52" ca="1">IF($L52,
_xlfn.LET(
_xlpm._isAssumption,$J52,
_xlpm._sheetRow,$W52,
IF(_xlpm._isAssumption,INDEX(Table24[Sheet Name],_xlpm._sheetRow),INDEX(Table25[Sheet Name],_xlpm._sheetRow))),
"")</f>
        <v/>
      </c>
      <c r="Y52" s="20" t="str" cm="1">
        <f t="array" aca="1" ref="Y52" ca="1">IF($L52,
_xlfn.LET(
_xlpm._elementID,$O52,
_xlpm._isAssumption,$J52,
_xlpm._sheetRow,$W52,
_xlpm._sheetName,$X52,
_xlpm._elementIDColumnLetter,IF(_xlpm._isAssumption,INDEX(Table24[Element ID Column],_xlpm._sheetRow),INDEX(Table25[Element ID Column],_xlpm._sheetRow)),
MATCH(_xlpm._elementID,INDIRECT("'"&amp;_xlpm._sheetName&amp;"'!"&amp;_xlpm._elementIDColumnLetter&amp;":"&amp;_xlpm._elementIDColumnLetter),0)),
"")</f>
        <v/>
      </c>
      <c r="Z52" s="20" t="str" cm="1">
        <f t="array" aca="1" ref="Z52" ca="1">IF($A52="","",_xlfn.LET(
_xlpm._isAssumption,$J52,
_xlpm._isAdditionalElement,$L52,
_xlpm._sheetRow,$W52,
_xlpm._sheetName,$X52,
_xlpm._columnLetter,INDEX(IF(_xlpm._isAdditionalElement,Table24[Comment Column],Table25[Comment Column]),_xlpm._sheetRow),
_xlpm._sheetReference,IF(_xlpm._isAssumption,IF(_xlpm._isAdditionalElement,
CELL("address",INDEX(INDIRECT("'"&amp;_xlpm._sheetName&amp;"'!"&amp;_xlpm._columnLetter&amp;":"&amp;_xlpm._columnLetter),$Y52)),
CELL("address",INDEX(Assumptions!$A:$A,MATCH($A52,Assumptions!$A:$A,0),1))),
IF(_xlpm._isAdditionalElement,
CELL("address",INDEX(INDIRECT("'"&amp;_xlpm._sheetName&amp;"'!"&amp;_xlpm._columnLetter&amp;":"&amp;_xlpm._columnLetter),$Y52)),
CELL("address",INDEX(Countermeasures!$A:$A,MATCH($A52,Countermeasures!$A:$A,0),1)))),
_xlpm._start,FIND("]",_xlpm._sheetReference),
"'"&amp;SUBSTITUTE(SUBSTITUTE(RIGHT(_xlpm._sheetReference,LEN(_xlpm._sheetReference)-_xlpm._start),"'",""),"!","'!")))</f>
        <v/>
      </c>
      <c r="AA52" s="20" t="str" cm="1">
        <f t="array" aca="1" ref="AA52" ca="1">IF(NOT($L52),
_xlfn.LET(_xlpm._value,IF($A52="","",IF($J52,SimpleLookup($A52,Assumptions!$A:$AK),SimpleLookup($A52,Countermeasures!$A:$AN))),
IF(_xlpm._value="","",_xlpm._value)),
"")</f>
        <v/>
      </c>
      <c r="AB52" s="20" t="str" cm="1">
        <f t="array" aca="1" ref="AB52" ca="1">LookupNames(InverseLookup($A52,Mitigation!$AD$2,Mitigation!$A$2,1,Helper!$B$5,","),'Attack Steps'!$A:$B)</f>
        <v/>
      </c>
      <c r="AC52" s="20" t="str" cm="1">
        <f t="array" aca="1" ref="AC52" ca="1">IF($L52,
_xlfn.LET(
_xlpm._in,$A52,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52" s="20" t="str" cm="1">
        <f t="array" aca="1" ref="AD52" ca="1">_xlfn.LET(
_xlpm._countermeasures,InverseLookup($A52,Countermeasures!$AG$2,Countermeasures!$A$2,1,Helper!$B$4,","),
LookupNames(_xlpm._countermeasures,Countermeasures!$A:$B))</f>
        <v/>
      </c>
      <c r="AE52" s="20" t="str" cm="1">
        <f t="array" aca="1" ref="AE52" ca="1">IF($E52="","",_xlfn.LET(
_xlpm._id,$E52,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52" s="20" t="str" cm="1">
        <f t="array" aca="1" ref="AF52" ca="1">IF(OR($A52="",$L52),"",_xlfn.LET(
_xlpm._answers,IF($J52,SimpleLookup($A52,Assumptions!$A:$F),SimpleLookup($A52,Countermeasures!$A:$D)),
IF(_xlpm._answers="*",IF($J52,SimpleLookup($A52,Assumptions!$A:$C),SimpleLookup($A52,Countermeasures!$A:$C)),"")))</f>
        <v/>
      </c>
      <c r="AG52" s="20" t="str" cm="1">
        <f t="array" aca="1" ref="AG52" ca="1">IF(NOT($L52),"",_xlfn.LET(
_xlpm._mappedInMitigation,IFERROR(VLOOKUP($V52,'Attack Steps'!$A:$O,COLUMNS('Attack Steps'!$A:$O),FALSE),""),
CreateSearchString(_xlpm._mappedInMitigation)))</f>
        <v/>
      </c>
      <c r="AH52" s="20" t="b">
        <f ca="1">ROW()-ROW($AH$17)=Helper!$B$15</f>
        <v>0</v>
      </c>
      <c r="AI52" s="20" t="str">
        <f t="shared" ca="1" si="11"/>
        <v/>
      </c>
      <c r="AJ52" s="20" cm="1">
        <f t="array" aca="1" ref="AJ52" ca="1">CreateID($AJ$17,$AJ:$AJ,$AI52&lt;&gt;"")</f>
        <v>0</v>
      </c>
    </row>
    <row r="53" spans="1:36" x14ac:dyDescent="0.25">
      <c r="A53" s="16" t="str">
        <f ca="1">_xlfn.LET(
_xlpm._isAssumption,$J53,
_xlpm._row,$K53,
_xlpm._numActiveAssumptions,Helper!$B$8,
_xlpm._numActiveCountermeasures,Helper!$B$9,
_xlpm._numAdditionalAssumptions,Helper!$B$10,
_xlpm._numAdditionalCountermeasures,Helper!$B$11,
IF(_xlpm._isAssumption,
IF(_xlpm._row&gt;_xlpm._numActiveAssumptions,
$V53&amp;"-A"&amp;$Q53,
INDEX(Assumptions!A:A,MATCH(_xlpm._row,Assumptions!$AG:$AG,0))),
IF(_xlpm._row&gt;_xlpm._numActiveCountermeasures+_xlpm._numAdditionalCountermeasures,"",
IF(_xlpm._row&gt;_xlpm._numActiveCountermeasures,
$V53&amp;"-C"&amp;$Q53,
INDEX(Countermeasures!$A:$A,MATCH(_xlpm._row,Countermeasures!$AI:$AI,0))))))</f>
        <v/>
      </c>
      <c r="B53" s="16" t="str" cm="1">
        <f t="array" aca="1" ref="B53" ca="1">IF($A53="","",
_xlfn.LET(
_xlpm._isAssumption,$J53,
_xlpm._isAdditionalElement,$L53,
IF(_xlpm._isAdditionalElement,
IF(_xlpm._isAssumption,
ParseElementsFromComment($U53,Definitions!$AR$4,Definitions!$AS$4,Definitions!$AR$6,$Q53),
ParseElementsFromComment($U53,Definitions!$AR$5,Definitions!$AS$5,Definitions!$AR$6,$Q53)),
 _xlfn.LET(_xlpm._value,IF($A53="","",IF($J53,SimpleLookup($A53,Assumptions!$A:$B),SimpleLookup($A53,Countermeasures!$A:$B))),IF(_xlpm._value="","",_xlpm._value)))))</f>
        <v/>
      </c>
      <c r="C53" s="16" t="str" cm="1">
        <f t="array" aca="1" ref="C53" ca="1">IF($A53="","",IF($J53,IFERROR(SimpleLookup($A53,Assumptions!$A:$E),""),Definitions!$AO$4))</f>
        <v/>
      </c>
      <c r="D53" s="36" t="str">
        <f t="shared" ca="1" si="7"/>
        <v/>
      </c>
      <c r="E53" s="13"/>
      <c r="F53" s="59" t="str">
        <f t="shared" ca="1" si="8"/>
        <v/>
      </c>
      <c r="G53" s="122" t="str" cm="1">
        <f t="array" aca="1" ref="G53" ca="1">_xlfn.LET(_xlpm._val,IFERROR(SimpleLookup($A53,Countermeasures!$A:$R),IFERROR(SimpleLookup($A53,Assumptions!$A:$R),"")),IF(_xlpm._val="","",_xlpm._val))</f>
        <v/>
      </c>
      <c r="H53" s="16" t="str" cm="1">
        <f t="array" aca="1" ref="H53" ca="1">_xlfn.LET(_xlpm._value,IF($A53="","",IFERROR(IF($J53,SimpleLookup($A53,Assumptions!$A:$S),SimpleLookup($A53,Countermeasures!$A:$S)),"")),
IF(_xlpm._value="","",_xlpm._value))</f>
        <v/>
      </c>
      <c r="I53" s="10" cm="1">
        <f t="array" aca="1" ref="I53" ca="1">IF(ROW()=ROW($I$17)+1,0,INDEX($I:$I,ROW()-1))+IF($A53="",0,1)</f>
        <v>12</v>
      </c>
      <c r="J53" s="10" t="b">
        <f ca="1">_xlfn.LET(_xlpm._row,ROW()-ROW($K$17),
_xlpm._numActiveAssumptions,Helper!$B$8,
_xlpm._numAdditionalAssumptions,SUM(Table24['# Elements]),
_xlpm._row&lt;=_xlpm._numActiveAssumptions+_xlpm._numAdditionalAssumptions)</f>
        <v>0</v>
      </c>
      <c r="K53" s="21">
        <f ca="1">_xlfn.LET(_xlpm._row,ROW()-ROW($K$17),
_xlpm._numActiveAssumptions,Helper!$B$8,
_xlpm._numAdditionalAssumptions,Helper!$B$10,
_xlpm._isAssumption,$J53,
_xlpm._elementID,IF(_xlpm._isAssumption,_xlpm._row,_xlpm._row-_xlpm._numActiveAssumptions-_xlpm._numAdditionalAssumptions),
_xlpm._elementID)</f>
        <v>30</v>
      </c>
      <c r="L53"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53" s="20" cm="1">
        <f t="array" aca="1" ref="M53" ca="1">IF($L53,
IF(ROW()=ROW($M$17)+1,1,INDEX($M:$M,ROW()-1)+IF(INDEX($T:$T,ROW()-1),1,0)),
1)</f>
        <v>1</v>
      </c>
      <c r="N53" s="14" t="str" cm="1">
        <f t="array" aca="1" ref="N53" ca="1">IF($L53=TRUE,
_xlfn.LET(
_xlpm._isAssumption,$J53,
_xlpm._indexRange,IF(_xlpm._isAssumption,Table24['# Elements],Table25['# Elements]),
_xlpm._lookupRow,$W53,
INDEX(_xlpm._indexRange,_xlpm._lookupRow)),
"")</f>
        <v/>
      </c>
      <c r="O53" s="20" t="str" cm="1">
        <f t="array" aca="1" ref="O53" ca="1">IF($N53="","",_xlfn.LET(
_xlpm._prevRow,ROW()-1,
IF(OR(INDEX($N:$N,_xlpm._prevRow)&lt;&gt;$N53,INDEX($M:$M,_xlpm._prevRow)&lt;&gt;$M53),
1,
INDEX($O:$O,_xlpm._prevRow)+IF(INDEX($S:$S,_xlpm._prevRow),1,0))))</f>
        <v/>
      </c>
      <c r="P53" s="20" t="str" cm="1">
        <f t="array" aca="1" ref="P53" ca="1">IF($O53="","",_xlfn.LET(
_xlpm._isAssumption,$J53,
_xlpm._sheetRow,$W53,
_xlpm._sheetName,$X53,
_xlpm._elementIDRange,IF(_xlpm._isAssumption,Table24[Element ID Column],Table25[Element ID Column]),
_xlpm._numberOfElementsRange,IF(_xlpm._isAssumption,Table24[Number of Elements Column],Table25[Number of Elements Column]),
SimpleLookup($O53,INDIRECT("'"&amp;_xlpm._sheetName&amp;"'!"&amp;INDEX(_xlpm._elementIDRange,_xlpm._sheetRow)&amp;":"&amp;INDEX(_xlpm._numberOfElementsRange,_xlpm._sheetRow)))))</f>
        <v/>
      </c>
      <c r="Q53" s="20" t="str" cm="1">
        <f t="array" aca="1" ref="Q53" ca="1">IF($O53="","",IF(OR(INDEX($O:$O,ROW()-1)&lt;&gt;$O53,INDEX($M:$M,ROW()-1)&lt;&gt;$M53),1,INDEX($Q:$Q,ROW()-1)+1))</f>
        <v/>
      </c>
      <c r="R53" s="20">
        <f t="shared" ca="1" si="9"/>
        <v>0</v>
      </c>
      <c r="S53" s="20" t="str">
        <f t="shared" ca="1" si="10"/>
        <v/>
      </c>
      <c r="T53" s="20" t="b">
        <f ca="1">_xlfn.LET(
_xlpm._isAssumption,$J53,
_xlpm._numberOfElementsRange,IF(_xlpm._isAssumption,Table24['# Elements],Table25['# Elements]),
_xlpm._sheetRow,$W53,
IF($L53,AND($S53,$R53=$N53),FALSE))</f>
        <v>0</v>
      </c>
      <c r="U53" s="20" t="str" cm="1">
        <f t="array" aca="1" ref="U53" ca="1">IF($L53,
_xlfn.LET(
_xlpm._elementID,$O53,
_xlpm._isAssumption,$J53,
_xlpm._sheetRow,$W53,
_xlpm._sheetName,$X53,
_xlpm._elementRow,$Y53,
_xlpm._resultColumnLetter,IF(_xlpm._isAssumption,INDEX(Table24[Comment Column],_xlpm._sheetRow),INDEX(Table25[Comment Column],_xlpm._sheetRow)),
INDEX(INDIRECT("'"&amp;_xlpm._sheetName&amp;"'!"&amp;_xlpm._resultColumnLetter&amp;":"&amp;_xlpm._resultColumnLetter),_xlpm._elementRow)),
"")</f>
        <v/>
      </c>
      <c r="V53" s="20" t="str" cm="1">
        <f t="array" aca="1" ref="V53" ca="1">IF($L53,
_xlfn.LET(
_xlpm._elementID,$O53,
_xlpm._isAssumption,$J53,
_xlpm._sheetRow,$W53,
_xlpm._sheetName,$X53,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53" s="20" t="str">
        <f ca="1">IF($L53=TRUE,
_xlfn.LET(
_xlpm._isAssumption,$J53,
_xlpm._searchRange,IF(_xlpm._isAssumption,Table24[Task Sheet Shadow ID],Table25[Task Sheet Shadow ID]),
MATCH($M53,_xlpm._searchRange,0)),
"")</f>
        <v/>
      </c>
      <c r="X53" s="20" t="str" cm="1">
        <f t="array" aca="1" ref="X53" ca="1">IF($L53,
_xlfn.LET(
_xlpm._isAssumption,$J53,
_xlpm._sheetRow,$W53,
IF(_xlpm._isAssumption,INDEX(Table24[Sheet Name],_xlpm._sheetRow),INDEX(Table25[Sheet Name],_xlpm._sheetRow))),
"")</f>
        <v/>
      </c>
      <c r="Y53" s="20" t="str" cm="1">
        <f t="array" aca="1" ref="Y53" ca="1">IF($L53,
_xlfn.LET(
_xlpm._elementID,$O53,
_xlpm._isAssumption,$J53,
_xlpm._sheetRow,$W53,
_xlpm._sheetName,$X53,
_xlpm._elementIDColumnLetter,IF(_xlpm._isAssumption,INDEX(Table24[Element ID Column],_xlpm._sheetRow),INDEX(Table25[Element ID Column],_xlpm._sheetRow)),
MATCH(_xlpm._elementID,INDIRECT("'"&amp;_xlpm._sheetName&amp;"'!"&amp;_xlpm._elementIDColumnLetter&amp;":"&amp;_xlpm._elementIDColumnLetter),0)),
"")</f>
        <v/>
      </c>
      <c r="Z53" s="20" t="str" cm="1">
        <f t="array" aca="1" ref="Z53" ca="1">IF($A53="","",_xlfn.LET(
_xlpm._isAssumption,$J53,
_xlpm._isAdditionalElement,$L53,
_xlpm._sheetRow,$W53,
_xlpm._sheetName,$X53,
_xlpm._columnLetter,INDEX(IF(_xlpm._isAdditionalElement,Table24[Comment Column],Table25[Comment Column]),_xlpm._sheetRow),
_xlpm._sheetReference,IF(_xlpm._isAssumption,IF(_xlpm._isAdditionalElement,
CELL("address",INDEX(INDIRECT("'"&amp;_xlpm._sheetName&amp;"'!"&amp;_xlpm._columnLetter&amp;":"&amp;_xlpm._columnLetter),$Y53)),
CELL("address",INDEX(Assumptions!$A:$A,MATCH($A53,Assumptions!$A:$A,0),1))),
IF(_xlpm._isAdditionalElement,
CELL("address",INDEX(INDIRECT("'"&amp;_xlpm._sheetName&amp;"'!"&amp;_xlpm._columnLetter&amp;":"&amp;_xlpm._columnLetter),$Y53)),
CELL("address",INDEX(Countermeasures!$A:$A,MATCH($A53,Countermeasures!$A:$A,0),1)))),
_xlpm._start,FIND("]",_xlpm._sheetReference),
"'"&amp;SUBSTITUTE(SUBSTITUTE(RIGHT(_xlpm._sheetReference,LEN(_xlpm._sheetReference)-_xlpm._start),"'",""),"!","'!")))</f>
        <v/>
      </c>
      <c r="AA53" s="20" t="str" cm="1">
        <f t="array" aca="1" ref="AA53" ca="1">IF(NOT($L53),
_xlfn.LET(_xlpm._value,IF($A53="","",IF($J53,SimpleLookup($A53,Assumptions!$A:$AK),SimpleLookup($A53,Countermeasures!$A:$AN))),
IF(_xlpm._value="","",_xlpm._value)),
"")</f>
        <v/>
      </c>
      <c r="AB53" s="20" t="str" cm="1">
        <f t="array" aca="1" ref="AB53" ca="1">LookupNames(InverseLookup($A53,Mitigation!$AD$2,Mitigation!$A$2,1,Helper!$B$5,","),'Attack Steps'!$A:$B)</f>
        <v/>
      </c>
      <c r="AC53" s="20" t="str" cm="1">
        <f t="array" aca="1" ref="AC53" ca="1">IF($L53,
_xlfn.LET(
_xlpm._in,$A53,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53" s="20" t="str" cm="1">
        <f t="array" aca="1" ref="AD53" ca="1">_xlfn.LET(
_xlpm._countermeasures,InverseLookup($A53,Countermeasures!$AG$2,Countermeasures!$A$2,1,Helper!$B$4,","),
LookupNames(_xlpm._countermeasures,Countermeasures!$A:$B))</f>
        <v/>
      </c>
      <c r="AE53" s="20" t="str" cm="1">
        <f t="array" aca="1" ref="AE53" ca="1">IF($E53="","",_xlfn.LET(
_xlpm._id,$E53,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53" s="20" t="str" cm="1">
        <f t="array" aca="1" ref="AF53" ca="1">IF(OR($A53="",$L53),"",_xlfn.LET(
_xlpm._answers,IF($J53,SimpleLookup($A53,Assumptions!$A:$F),SimpleLookup($A53,Countermeasures!$A:$D)),
IF(_xlpm._answers="*",IF($J53,SimpleLookup($A53,Assumptions!$A:$C),SimpleLookup($A53,Countermeasures!$A:$C)),"")))</f>
        <v/>
      </c>
      <c r="AG53" s="20" t="str" cm="1">
        <f t="array" aca="1" ref="AG53" ca="1">IF(NOT($L53),"",_xlfn.LET(
_xlpm._mappedInMitigation,IFERROR(VLOOKUP($V53,'Attack Steps'!$A:$O,COLUMNS('Attack Steps'!$A:$O),FALSE),""),
CreateSearchString(_xlpm._mappedInMitigation)))</f>
        <v/>
      </c>
      <c r="AH53" s="20" t="b">
        <f ca="1">ROW()-ROW($AH$17)=Helper!$B$15</f>
        <v>0</v>
      </c>
      <c r="AI53" s="20" t="str">
        <f t="shared" ca="1" si="11"/>
        <v/>
      </c>
      <c r="AJ53" s="20" cm="1">
        <f t="array" aca="1" ref="AJ53" ca="1">CreateID($AJ$17,$AJ:$AJ,$AI53&lt;&gt;"")</f>
        <v>0</v>
      </c>
    </row>
    <row r="54" spans="1:36" x14ac:dyDescent="0.25">
      <c r="A54" s="16" t="str">
        <f ca="1">_xlfn.LET(
_xlpm._isAssumption,$J54,
_xlpm._row,$K54,
_xlpm._numActiveAssumptions,Helper!$B$8,
_xlpm._numActiveCountermeasures,Helper!$B$9,
_xlpm._numAdditionalAssumptions,Helper!$B$10,
_xlpm._numAdditionalCountermeasures,Helper!$B$11,
IF(_xlpm._isAssumption,
IF(_xlpm._row&gt;_xlpm._numActiveAssumptions,
$V54&amp;"-A"&amp;$Q54,
INDEX(Assumptions!A:A,MATCH(_xlpm._row,Assumptions!$AG:$AG,0))),
IF(_xlpm._row&gt;_xlpm._numActiveCountermeasures+_xlpm._numAdditionalCountermeasures,"",
IF(_xlpm._row&gt;_xlpm._numActiveCountermeasures,
$V54&amp;"-C"&amp;$Q54,
INDEX(Countermeasures!$A:$A,MATCH(_xlpm._row,Countermeasures!$AI:$AI,0))))))</f>
        <v/>
      </c>
      <c r="B54" s="16" t="str" cm="1">
        <f t="array" aca="1" ref="B54" ca="1">IF($A54="","",
_xlfn.LET(
_xlpm._isAssumption,$J54,
_xlpm._isAdditionalElement,$L54,
IF(_xlpm._isAdditionalElement,
IF(_xlpm._isAssumption,
ParseElementsFromComment($U54,Definitions!$AR$4,Definitions!$AS$4,Definitions!$AR$6,$Q54),
ParseElementsFromComment($U54,Definitions!$AR$5,Definitions!$AS$5,Definitions!$AR$6,$Q54)),
 _xlfn.LET(_xlpm._value,IF($A54="","",IF($J54,SimpleLookup($A54,Assumptions!$A:$B),SimpleLookup($A54,Countermeasures!$A:$B))),IF(_xlpm._value="","",_xlpm._value)))))</f>
        <v/>
      </c>
      <c r="C54" s="16" t="str" cm="1">
        <f t="array" aca="1" ref="C54" ca="1">IF($A54="","",IF($J54,IFERROR(SimpleLookup($A54,Assumptions!$A:$E),""),Definitions!$AO$4))</f>
        <v/>
      </c>
      <c r="D54" s="36" t="str">
        <f t="shared" ca="1" si="7"/>
        <v/>
      </c>
      <c r="E54" s="13"/>
      <c r="F54" s="59" t="str">
        <f t="shared" ca="1" si="8"/>
        <v/>
      </c>
      <c r="G54" s="122" t="str" cm="1">
        <f t="array" aca="1" ref="G54" ca="1">_xlfn.LET(_xlpm._val,IFERROR(SimpleLookup($A54,Countermeasures!$A:$R),IFERROR(SimpleLookup($A54,Assumptions!$A:$R),"")),IF(_xlpm._val="","",_xlpm._val))</f>
        <v/>
      </c>
      <c r="H54" s="16" t="str" cm="1">
        <f t="array" aca="1" ref="H54" ca="1">_xlfn.LET(_xlpm._value,IF($A54="","",IFERROR(IF($J54,SimpleLookup($A54,Assumptions!$A:$S),SimpleLookup($A54,Countermeasures!$A:$S)),"")),
IF(_xlpm._value="","",_xlpm._value))</f>
        <v/>
      </c>
      <c r="I54" s="10" cm="1">
        <f t="array" aca="1" ref="I54" ca="1">IF(ROW()=ROW($I$17)+1,0,INDEX($I:$I,ROW()-1))+IF($A54="",0,1)</f>
        <v>12</v>
      </c>
      <c r="J54" s="10" t="b">
        <f ca="1">_xlfn.LET(_xlpm._row,ROW()-ROW($K$17),
_xlpm._numActiveAssumptions,Helper!$B$8,
_xlpm._numAdditionalAssumptions,SUM(Table24['# Elements]),
_xlpm._row&lt;=_xlpm._numActiveAssumptions+_xlpm._numAdditionalAssumptions)</f>
        <v>0</v>
      </c>
      <c r="K54" s="21">
        <f ca="1">_xlfn.LET(_xlpm._row,ROW()-ROW($K$17),
_xlpm._numActiveAssumptions,Helper!$B$8,
_xlpm._numAdditionalAssumptions,Helper!$B$10,
_xlpm._isAssumption,$J54,
_xlpm._elementID,IF(_xlpm._isAssumption,_xlpm._row,_xlpm._row-_xlpm._numActiveAssumptions-_xlpm._numAdditionalAssumptions),
_xlpm._elementID)</f>
        <v>31</v>
      </c>
      <c r="L54"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54" s="20" cm="1">
        <f t="array" aca="1" ref="M54" ca="1">IF($L54,
IF(ROW()=ROW($M$17)+1,1,INDEX($M:$M,ROW()-1)+IF(INDEX($T:$T,ROW()-1),1,0)),
1)</f>
        <v>1</v>
      </c>
      <c r="N54" s="14" t="str" cm="1">
        <f t="array" aca="1" ref="N54" ca="1">IF($L54=TRUE,
_xlfn.LET(
_xlpm._isAssumption,$J54,
_xlpm._indexRange,IF(_xlpm._isAssumption,Table24['# Elements],Table25['# Elements]),
_xlpm._lookupRow,$W54,
INDEX(_xlpm._indexRange,_xlpm._lookupRow)),
"")</f>
        <v/>
      </c>
      <c r="O54" s="20" t="str" cm="1">
        <f t="array" aca="1" ref="O54" ca="1">IF($N54="","",_xlfn.LET(
_xlpm._prevRow,ROW()-1,
IF(OR(INDEX($N:$N,_xlpm._prevRow)&lt;&gt;$N54,INDEX($M:$M,_xlpm._prevRow)&lt;&gt;$M54),
1,
INDEX($O:$O,_xlpm._prevRow)+IF(INDEX($S:$S,_xlpm._prevRow),1,0))))</f>
        <v/>
      </c>
      <c r="P54" s="20" t="str" cm="1">
        <f t="array" aca="1" ref="P54" ca="1">IF($O54="","",_xlfn.LET(
_xlpm._isAssumption,$J54,
_xlpm._sheetRow,$W54,
_xlpm._sheetName,$X54,
_xlpm._elementIDRange,IF(_xlpm._isAssumption,Table24[Element ID Column],Table25[Element ID Column]),
_xlpm._numberOfElementsRange,IF(_xlpm._isAssumption,Table24[Number of Elements Column],Table25[Number of Elements Column]),
SimpleLookup($O54,INDIRECT("'"&amp;_xlpm._sheetName&amp;"'!"&amp;INDEX(_xlpm._elementIDRange,_xlpm._sheetRow)&amp;":"&amp;INDEX(_xlpm._numberOfElementsRange,_xlpm._sheetRow)))))</f>
        <v/>
      </c>
      <c r="Q54" s="20" t="str" cm="1">
        <f t="array" aca="1" ref="Q54" ca="1">IF($O54="","",IF(OR(INDEX($O:$O,ROW()-1)&lt;&gt;$O54,INDEX($M:$M,ROW()-1)&lt;&gt;$M54),1,INDEX($Q:$Q,ROW()-1)+1))</f>
        <v/>
      </c>
      <c r="R54" s="20">
        <f t="shared" ca="1" si="9"/>
        <v>0</v>
      </c>
      <c r="S54" s="20" t="str">
        <f t="shared" ca="1" si="10"/>
        <v/>
      </c>
      <c r="T54" s="20" t="b">
        <f ca="1">_xlfn.LET(
_xlpm._isAssumption,$J54,
_xlpm._numberOfElementsRange,IF(_xlpm._isAssumption,Table24['# Elements],Table25['# Elements]),
_xlpm._sheetRow,$W54,
IF($L54,AND($S54,$R54=$N54),FALSE))</f>
        <v>0</v>
      </c>
      <c r="U54" s="20" t="str" cm="1">
        <f t="array" aca="1" ref="U54" ca="1">IF($L54,
_xlfn.LET(
_xlpm._elementID,$O54,
_xlpm._isAssumption,$J54,
_xlpm._sheetRow,$W54,
_xlpm._sheetName,$X54,
_xlpm._elementRow,$Y54,
_xlpm._resultColumnLetter,IF(_xlpm._isAssumption,INDEX(Table24[Comment Column],_xlpm._sheetRow),INDEX(Table25[Comment Column],_xlpm._sheetRow)),
INDEX(INDIRECT("'"&amp;_xlpm._sheetName&amp;"'!"&amp;_xlpm._resultColumnLetter&amp;":"&amp;_xlpm._resultColumnLetter),_xlpm._elementRow)),
"")</f>
        <v/>
      </c>
      <c r="V54" s="20" t="str" cm="1">
        <f t="array" aca="1" ref="V54" ca="1">IF($L54,
_xlfn.LET(
_xlpm._elementID,$O54,
_xlpm._isAssumption,$J54,
_xlpm._sheetRow,$W54,
_xlpm._sheetName,$X54,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54" s="20" t="str">
        <f ca="1">IF($L54=TRUE,
_xlfn.LET(
_xlpm._isAssumption,$J54,
_xlpm._searchRange,IF(_xlpm._isAssumption,Table24[Task Sheet Shadow ID],Table25[Task Sheet Shadow ID]),
MATCH($M54,_xlpm._searchRange,0)),
"")</f>
        <v/>
      </c>
      <c r="X54" s="20" t="str" cm="1">
        <f t="array" aca="1" ref="X54" ca="1">IF($L54,
_xlfn.LET(
_xlpm._isAssumption,$J54,
_xlpm._sheetRow,$W54,
IF(_xlpm._isAssumption,INDEX(Table24[Sheet Name],_xlpm._sheetRow),INDEX(Table25[Sheet Name],_xlpm._sheetRow))),
"")</f>
        <v/>
      </c>
      <c r="Y54" s="20" t="str" cm="1">
        <f t="array" aca="1" ref="Y54" ca="1">IF($L54,
_xlfn.LET(
_xlpm._elementID,$O54,
_xlpm._isAssumption,$J54,
_xlpm._sheetRow,$W54,
_xlpm._sheetName,$X54,
_xlpm._elementIDColumnLetter,IF(_xlpm._isAssumption,INDEX(Table24[Element ID Column],_xlpm._sheetRow),INDEX(Table25[Element ID Column],_xlpm._sheetRow)),
MATCH(_xlpm._elementID,INDIRECT("'"&amp;_xlpm._sheetName&amp;"'!"&amp;_xlpm._elementIDColumnLetter&amp;":"&amp;_xlpm._elementIDColumnLetter),0)),
"")</f>
        <v/>
      </c>
      <c r="Z54" s="20" t="str" cm="1">
        <f t="array" aca="1" ref="Z54" ca="1">IF($A54="","",_xlfn.LET(
_xlpm._isAssumption,$J54,
_xlpm._isAdditionalElement,$L54,
_xlpm._sheetRow,$W54,
_xlpm._sheetName,$X54,
_xlpm._columnLetter,INDEX(IF(_xlpm._isAdditionalElement,Table24[Comment Column],Table25[Comment Column]),_xlpm._sheetRow),
_xlpm._sheetReference,IF(_xlpm._isAssumption,IF(_xlpm._isAdditionalElement,
CELL("address",INDEX(INDIRECT("'"&amp;_xlpm._sheetName&amp;"'!"&amp;_xlpm._columnLetter&amp;":"&amp;_xlpm._columnLetter),$Y54)),
CELL("address",INDEX(Assumptions!$A:$A,MATCH($A54,Assumptions!$A:$A,0),1))),
IF(_xlpm._isAdditionalElement,
CELL("address",INDEX(INDIRECT("'"&amp;_xlpm._sheetName&amp;"'!"&amp;_xlpm._columnLetter&amp;":"&amp;_xlpm._columnLetter),$Y54)),
CELL("address",INDEX(Countermeasures!$A:$A,MATCH($A54,Countermeasures!$A:$A,0),1)))),
_xlpm._start,FIND("]",_xlpm._sheetReference),
"'"&amp;SUBSTITUTE(SUBSTITUTE(RIGHT(_xlpm._sheetReference,LEN(_xlpm._sheetReference)-_xlpm._start),"'",""),"!","'!")))</f>
        <v/>
      </c>
      <c r="AA54" s="20" t="str" cm="1">
        <f t="array" aca="1" ref="AA54" ca="1">IF(NOT($L54),
_xlfn.LET(_xlpm._value,IF($A54="","",IF($J54,SimpleLookup($A54,Assumptions!$A:$AK),SimpleLookup($A54,Countermeasures!$A:$AN))),
IF(_xlpm._value="","",_xlpm._value)),
"")</f>
        <v/>
      </c>
      <c r="AB54" s="20" t="str" cm="1">
        <f t="array" aca="1" ref="AB54" ca="1">LookupNames(InverseLookup($A54,Mitigation!$AD$2,Mitigation!$A$2,1,Helper!$B$5,","),'Attack Steps'!$A:$B)</f>
        <v/>
      </c>
      <c r="AC54" s="20" t="str" cm="1">
        <f t="array" aca="1" ref="AC54" ca="1">IF($L54,
_xlfn.LET(
_xlpm._in,$A54,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54" s="20" t="str" cm="1">
        <f t="array" aca="1" ref="AD54" ca="1">_xlfn.LET(
_xlpm._countermeasures,InverseLookup($A54,Countermeasures!$AG$2,Countermeasures!$A$2,1,Helper!$B$4,","),
LookupNames(_xlpm._countermeasures,Countermeasures!$A:$B))</f>
        <v/>
      </c>
      <c r="AE54" s="20" t="str" cm="1">
        <f t="array" aca="1" ref="AE54" ca="1">IF($E54="","",_xlfn.LET(
_xlpm._id,$E54,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54" s="20" t="str" cm="1">
        <f t="array" aca="1" ref="AF54" ca="1">IF(OR($A54="",$L54),"",_xlfn.LET(
_xlpm._answers,IF($J54,SimpleLookup($A54,Assumptions!$A:$F),SimpleLookup($A54,Countermeasures!$A:$D)),
IF(_xlpm._answers="*",IF($J54,SimpleLookup($A54,Assumptions!$A:$C),SimpleLookup($A54,Countermeasures!$A:$C)),"")))</f>
        <v/>
      </c>
      <c r="AG54" s="20" t="str" cm="1">
        <f t="array" aca="1" ref="AG54" ca="1">IF(NOT($L54),"",_xlfn.LET(
_xlpm._mappedInMitigation,IFERROR(VLOOKUP($V54,'Attack Steps'!$A:$O,COLUMNS('Attack Steps'!$A:$O),FALSE),""),
CreateSearchString(_xlpm._mappedInMitigation)))</f>
        <v/>
      </c>
      <c r="AH54" s="20" t="b">
        <f ca="1">ROW()-ROW($AH$17)=Helper!$B$15</f>
        <v>0</v>
      </c>
      <c r="AI54" s="20" t="str">
        <f t="shared" ca="1" si="11"/>
        <v/>
      </c>
      <c r="AJ54" s="20" cm="1">
        <f t="array" aca="1" ref="AJ54" ca="1">CreateID($AJ$17,$AJ:$AJ,$AI54&lt;&gt;"")</f>
        <v>0</v>
      </c>
    </row>
    <row r="55" spans="1:36" x14ac:dyDescent="0.25">
      <c r="A55" s="16" t="str">
        <f ca="1">_xlfn.LET(
_xlpm._isAssumption,$J55,
_xlpm._row,$K55,
_xlpm._numActiveAssumptions,Helper!$B$8,
_xlpm._numActiveCountermeasures,Helper!$B$9,
_xlpm._numAdditionalAssumptions,Helper!$B$10,
_xlpm._numAdditionalCountermeasures,Helper!$B$11,
IF(_xlpm._isAssumption,
IF(_xlpm._row&gt;_xlpm._numActiveAssumptions,
$V55&amp;"-A"&amp;$Q55,
INDEX(Assumptions!A:A,MATCH(_xlpm._row,Assumptions!$AG:$AG,0))),
IF(_xlpm._row&gt;_xlpm._numActiveCountermeasures+_xlpm._numAdditionalCountermeasures,"",
IF(_xlpm._row&gt;_xlpm._numActiveCountermeasures,
$V55&amp;"-C"&amp;$Q55,
INDEX(Countermeasures!$A:$A,MATCH(_xlpm._row,Countermeasures!$AI:$AI,0))))))</f>
        <v/>
      </c>
      <c r="B55" s="16" t="str" cm="1">
        <f t="array" aca="1" ref="B55" ca="1">IF($A55="","",
_xlfn.LET(
_xlpm._isAssumption,$J55,
_xlpm._isAdditionalElement,$L55,
IF(_xlpm._isAdditionalElement,
IF(_xlpm._isAssumption,
ParseElementsFromComment($U55,Definitions!$AR$4,Definitions!$AS$4,Definitions!$AR$6,$Q55),
ParseElementsFromComment($U55,Definitions!$AR$5,Definitions!$AS$5,Definitions!$AR$6,$Q55)),
 _xlfn.LET(_xlpm._value,IF($A55="","",IF($J55,SimpleLookup($A55,Assumptions!$A:$B),SimpleLookup($A55,Countermeasures!$A:$B))),IF(_xlpm._value="","",_xlpm._value)))))</f>
        <v/>
      </c>
      <c r="C55" s="16" t="str" cm="1">
        <f t="array" aca="1" ref="C55" ca="1">IF($A55="","",IF($J55,IFERROR(SimpleLookup($A55,Assumptions!$A:$E),""),Definitions!$AO$4))</f>
        <v/>
      </c>
      <c r="D55" s="36" t="str">
        <f t="shared" ca="1" si="7"/>
        <v/>
      </c>
      <c r="E55" s="13"/>
      <c r="F55" s="59" t="str">
        <f t="shared" ca="1" si="8"/>
        <v/>
      </c>
      <c r="G55" s="122" t="str" cm="1">
        <f t="array" aca="1" ref="G55" ca="1">_xlfn.LET(_xlpm._val,IFERROR(SimpleLookup($A55,Countermeasures!$A:$R),IFERROR(SimpleLookup($A55,Assumptions!$A:$R),"")),IF(_xlpm._val="","",_xlpm._val))</f>
        <v/>
      </c>
      <c r="H55" s="16" t="str" cm="1">
        <f t="array" aca="1" ref="H55" ca="1">_xlfn.LET(_xlpm._value,IF($A55="","",IFERROR(IF($J55,SimpleLookup($A55,Assumptions!$A:$S),SimpleLookup($A55,Countermeasures!$A:$S)),"")),
IF(_xlpm._value="","",_xlpm._value))</f>
        <v/>
      </c>
      <c r="I55" s="10" cm="1">
        <f t="array" aca="1" ref="I55" ca="1">IF(ROW()=ROW($I$17)+1,0,INDEX($I:$I,ROW()-1))+IF($A55="",0,1)</f>
        <v>12</v>
      </c>
      <c r="J55" s="10" t="b">
        <f ca="1">_xlfn.LET(_xlpm._row,ROW()-ROW($K$17),
_xlpm._numActiveAssumptions,Helper!$B$8,
_xlpm._numAdditionalAssumptions,SUM(Table24['# Elements]),
_xlpm._row&lt;=_xlpm._numActiveAssumptions+_xlpm._numAdditionalAssumptions)</f>
        <v>0</v>
      </c>
      <c r="K55" s="21">
        <f ca="1">_xlfn.LET(_xlpm._row,ROW()-ROW($K$17),
_xlpm._numActiveAssumptions,Helper!$B$8,
_xlpm._numAdditionalAssumptions,Helper!$B$10,
_xlpm._isAssumption,$J55,
_xlpm._elementID,IF(_xlpm._isAssumption,_xlpm._row,_xlpm._row-_xlpm._numActiveAssumptions-_xlpm._numAdditionalAssumptions),
_xlpm._elementID)</f>
        <v>32</v>
      </c>
      <c r="L55"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55" s="20" cm="1">
        <f t="array" aca="1" ref="M55" ca="1">IF($L55,
IF(ROW()=ROW($M$17)+1,1,INDEX($M:$M,ROW()-1)+IF(INDEX($T:$T,ROW()-1),1,0)),
1)</f>
        <v>1</v>
      </c>
      <c r="N55" s="14" t="str" cm="1">
        <f t="array" aca="1" ref="N55" ca="1">IF($L55=TRUE,
_xlfn.LET(
_xlpm._isAssumption,$J55,
_xlpm._indexRange,IF(_xlpm._isAssumption,Table24['# Elements],Table25['# Elements]),
_xlpm._lookupRow,$W55,
INDEX(_xlpm._indexRange,_xlpm._lookupRow)),
"")</f>
        <v/>
      </c>
      <c r="O55" s="20" t="str" cm="1">
        <f t="array" aca="1" ref="O55" ca="1">IF($N55="","",_xlfn.LET(
_xlpm._prevRow,ROW()-1,
IF(OR(INDEX($N:$N,_xlpm._prevRow)&lt;&gt;$N55,INDEX($M:$M,_xlpm._prevRow)&lt;&gt;$M55),
1,
INDEX($O:$O,_xlpm._prevRow)+IF(INDEX($S:$S,_xlpm._prevRow),1,0))))</f>
        <v/>
      </c>
      <c r="P55" s="20" t="str" cm="1">
        <f t="array" aca="1" ref="P55" ca="1">IF($O55="","",_xlfn.LET(
_xlpm._isAssumption,$J55,
_xlpm._sheetRow,$W55,
_xlpm._sheetName,$X55,
_xlpm._elementIDRange,IF(_xlpm._isAssumption,Table24[Element ID Column],Table25[Element ID Column]),
_xlpm._numberOfElementsRange,IF(_xlpm._isAssumption,Table24[Number of Elements Column],Table25[Number of Elements Column]),
SimpleLookup($O55,INDIRECT("'"&amp;_xlpm._sheetName&amp;"'!"&amp;INDEX(_xlpm._elementIDRange,_xlpm._sheetRow)&amp;":"&amp;INDEX(_xlpm._numberOfElementsRange,_xlpm._sheetRow)))))</f>
        <v/>
      </c>
      <c r="Q55" s="20" t="str" cm="1">
        <f t="array" aca="1" ref="Q55" ca="1">IF($O55="","",IF(OR(INDEX($O:$O,ROW()-1)&lt;&gt;$O55,INDEX($M:$M,ROW()-1)&lt;&gt;$M55),1,INDEX($Q:$Q,ROW()-1)+1))</f>
        <v/>
      </c>
      <c r="R55" s="20">
        <f t="shared" ca="1" si="9"/>
        <v>0</v>
      </c>
      <c r="S55" s="20" t="str">
        <f t="shared" ca="1" si="10"/>
        <v/>
      </c>
      <c r="T55" s="20" t="b">
        <f ca="1">_xlfn.LET(
_xlpm._isAssumption,$J55,
_xlpm._numberOfElementsRange,IF(_xlpm._isAssumption,Table24['# Elements],Table25['# Elements]),
_xlpm._sheetRow,$W55,
IF($L55,AND($S55,$R55=$N55),FALSE))</f>
        <v>0</v>
      </c>
      <c r="U55" s="20" t="str" cm="1">
        <f t="array" aca="1" ref="U55" ca="1">IF($L55,
_xlfn.LET(
_xlpm._elementID,$O55,
_xlpm._isAssumption,$J55,
_xlpm._sheetRow,$W55,
_xlpm._sheetName,$X55,
_xlpm._elementRow,$Y55,
_xlpm._resultColumnLetter,IF(_xlpm._isAssumption,INDEX(Table24[Comment Column],_xlpm._sheetRow),INDEX(Table25[Comment Column],_xlpm._sheetRow)),
INDEX(INDIRECT("'"&amp;_xlpm._sheetName&amp;"'!"&amp;_xlpm._resultColumnLetter&amp;":"&amp;_xlpm._resultColumnLetter),_xlpm._elementRow)),
"")</f>
        <v/>
      </c>
      <c r="V55" s="20" t="str" cm="1">
        <f t="array" aca="1" ref="V55" ca="1">IF($L55,
_xlfn.LET(
_xlpm._elementID,$O55,
_xlpm._isAssumption,$J55,
_xlpm._sheetRow,$W55,
_xlpm._sheetName,$X55,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55" s="20" t="str">
        <f ca="1">IF($L55=TRUE,
_xlfn.LET(
_xlpm._isAssumption,$J55,
_xlpm._searchRange,IF(_xlpm._isAssumption,Table24[Task Sheet Shadow ID],Table25[Task Sheet Shadow ID]),
MATCH($M55,_xlpm._searchRange,0)),
"")</f>
        <v/>
      </c>
      <c r="X55" s="20" t="str" cm="1">
        <f t="array" aca="1" ref="X55" ca="1">IF($L55,
_xlfn.LET(
_xlpm._isAssumption,$J55,
_xlpm._sheetRow,$W55,
IF(_xlpm._isAssumption,INDEX(Table24[Sheet Name],_xlpm._sheetRow),INDEX(Table25[Sheet Name],_xlpm._sheetRow))),
"")</f>
        <v/>
      </c>
      <c r="Y55" s="20" t="str" cm="1">
        <f t="array" aca="1" ref="Y55" ca="1">IF($L55,
_xlfn.LET(
_xlpm._elementID,$O55,
_xlpm._isAssumption,$J55,
_xlpm._sheetRow,$W55,
_xlpm._sheetName,$X55,
_xlpm._elementIDColumnLetter,IF(_xlpm._isAssumption,INDEX(Table24[Element ID Column],_xlpm._sheetRow),INDEX(Table25[Element ID Column],_xlpm._sheetRow)),
MATCH(_xlpm._elementID,INDIRECT("'"&amp;_xlpm._sheetName&amp;"'!"&amp;_xlpm._elementIDColumnLetter&amp;":"&amp;_xlpm._elementIDColumnLetter),0)),
"")</f>
        <v/>
      </c>
      <c r="Z55" s="20" t="str" cm="1">
        <f t="array" aca="1" ref="Z55" ca="1">IF($A55="","",_xlfn.LET(
_xlpm._isAssumption,$J55,
_xlpm._isAdditionalElement,$L55,
_xlpm._sheetRow,$W55,
_xlpm._sheetName,$X55,
_xlpm._columnLetter,INDEX(IF(_xlpm._isAdditionalElement,Table24[Comment Column],Table25[Comment Column]),_xlpm._sheetRow),
_xlpm._sheetReference,IF(_xlpm._isAssumption,IF(_xlpm._isAdditionalElement,
CELL("address",INDEX(INDIRECT("'"&amp;_xlpm._sheetName&amp;"'!"&amp;_xlpm._columnLetter&amp;":"&amp;_xlpm._columnLetter),$Y55)),
CELL("address",INDEX(Assumptions!$A:$A,MATCH($A55,Assumptions!$A:$A,0),1))),
IF(_xlpm._isAdditionalElement,
CELL("address",INDEX(INDIRECT("'"&amp;_xlpm._sheetName&amp;"'!"&amp;_xlpm._columnLetter&amp;":"&amp;_xlpm._columnLetter),$Y55)),
CELL("address",INDEX(Countermeasures!$A:$A,MATCH($A55,Countermeasures!$A:$A,0),1)))),
_xlpm._start,FIND("]",_xlpm._sheetReference),
"'"&amp;SUBSTITUTE(SUBSTITUTE(RIGHT(_xlpm._sheetReference,LEN(_xlpm._sheetReference)-_xlpm._start),"'",""),"!","'!")))</f>
        <v/>
      </c>
      <c r="AA55" s="20" t="str" cm="1">
        <f t="array" aca="1" ref="AA55" ca="1">IF(NOT($L55),
_xlfn.LET(_xlpm._value,IF($A55="","",IF($J55,SimpleLookup($A55,Assumptions!$A:$AK),SimpleLookup($A55,Countermeasures!$A:$AN))),
IF(_xlpm._value="","",_xlpm._value)),
"")</f>
        <v/>
      </c>
      <c r="AB55" s="20" t="str" cm="1">
        <f t="array" aca="1" ref="AB55" ca="1">LookupNames(InverseLookup($A55,Mitigation!$AD$2,Mitigation!$A$2,1,Helper!$B$5,","),'Attack Steps'!$A:$B)</f>
        <v/>
      </c>
      <c r="AC55" s="20" t="str" cm="1">
        <f t="array" aca="1" ref="AC55" ca="1">IF($L55,
_xlfn.LET(
_xlpm._in,$A55,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55" s="20" t="str" cm="1">
        <f t="array" aca="1" ref="AD55" ca="1">_xlfn.LET(
_xlpm._countermeasures,InverseLookup($A55,Countermeasures!$AG$2,Countermeasures!$A$2,1,Helper!$B$4,","),
LookupNames(_xlpm._countermeasures,Countermeasures!$A:$B))</f>
        <v/>
      </c>
      <c r="AE55" s="20" t="str" cm="1">
        <f t="array" aca="1" ref="AE55" ca="1">IF($E55="","",_xlfn.LET(
_xlpm._id,$E55,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55" s="20" t="str" cm="1">
        <f t="array" aca="1" ref="AF55" ca="1">IF(OR($A55="",$L55),"",_xlfn.LET(
_xlpm._answers,IF($J55,SimpleLookup($A55,Assumptions!$A:$F),SimpleLookup($A55,Countermeasures!$A:$D)),
IF(_xlpm._answers="*",IF($J55,SimpleLookup($A55,Assumptions!$A:$C),SimpleLookup($A55,Countermeasures!$A:$C)),"")))</f>
        <v/>
      </c>
      <c r="AG55" s="20" t="str" cm="1">
        <f t="array" aca="1" ref="AG55" ca="1">IF(NOT($L55),"",_xlfn.LET(
_xlpm._mappedInMitigation,IFERROR(VLOOKUP($V55,'Attack Steps'!$A:$O,COLUMNS('Attack Steps'!$A:$O),FALSE),""),
CreateSearchString(_xlpm._mappedInMitigation)))</f>
        <v/>
      </c>
      <c r="AH55" s="20" t="b">
        <f ca="1">ROW()-ROW($AH$17)=Helper!$B$15</f>
        <v>0</v>
      </c>
      <c r="AI55" s="20" t="str">
        <f t="shared" ca="1" si="11"/>
        <v/>
      </c>
      <c r="AJ55" s="20" cm="1">
        <f t="array" aca="1" ref="AJ55" ca="1">CreateID($AJ$17,$AJ:$AJ,$AI55&lt;&gt;"")</f>
        <v>0</v>
      </c>
    </row>
    <row r="56" spans="1:36" x14ac:dyDescent="0.25">
      <c r="A56" s="16" t="str">
        <f ca="1">_xlfn.LET(
_xlpm._isAssumption,$J56,
_xlpm._row,$K56,
_xlpm._numActiveAssumptions,Helper!$B$8,
_xlpm._numActiveCountermeasures,Helper!$B$9,
_xlpm._numAdditionalAssumptions,Helper!$B$10,
_xlpm._numAdditionalCountermeasures,Helper!$B$11,
IF(_xlpm._isAssumption,
IF(_xlpm._row&gt;_xlpm._numActiveAssumptions,
$V56&amp;"-A"&amp;$Q56,
INDEX(Assumptions!A:A,MATCH(_xlpm._row,Assumptions!$AG:$AG,0))),
IF(_xlpm._row&gt;_xlpm._numActiveCountermeasures+_xlpm._numAdditionalCountermeasures,"",
IF(_xlpm._row&gt;_xlpm._numActiveCountermeasures,
$V56&amp;"-C"&amp;$Q56,
INDEX(Countermeasures!$A:$A,MATCH(_xlpm._row,Countermeasures!$AI:$AI,0))))))</f>
        <v/>
      </c>
      <c r="B56" s="33" t="str" cm="1">
        <f t="array" aca="1" ref="B56" ca="1">IF($A56="","",
_xlfn.LET(
_xlpm._isAssumption,$J56,
_xlpm._isAdditionalElement,$L56,
IF(_xlpm._isAdditionalElement,
IF(_xlpm._isAssumption,
ParseElementsFromComment($U56,Definitions!$AR$4,Definitions!$AS$4,Definitions!$AR$6,$Q56),
ParseElementsFromComment($U56,Definitions!$AR$5,Definitions!$AS$5,Definitions!$AR$6,$Q56)),
 _xlfn.LET(_xlpm._value,IF($A56="","",IF($J56,SimpleLookup($A56,Assumptions!$A:$B),SimpleLookup($A56,Countermeasures!$A:$B))),IF(_xlpm._value="","",_xlpm._value)))))</f>
        <v/>
      </c>
      <c r="C56" s="33" t="str" cm="1">
        <f t="array" aca="1" ref="C56" ca="1">IF($A56="","",IF($J56,IFERROR(SimpleLookup($A56,Assumptions!$A:$E),""),Definitions!$AO$4))</f>
        <v/>
      </c>
      <c r="D56" s="37" t="str">
        <f t="shared" ca="1" si="7"/>
        <v/>
      </c>
      <c r="E56" s="23"/>
      <c r="F56" s="59" t="str">
        <f t="shared" ca="1" si="8"/>
        <v/>
      </c>
      <c r="G56" s="122" t="str" cm="1">
        <f t="array" aca="1" ref="G56" ca="1">_xlfn.LET(_xlpm._val,IFERROR(SimpleLookup($A56,Countermeasures!$A:$R),IFERROR(SimpleLookup($A56,Assumptions!$A:$R),"")),IF(_xlpm._val="","",_xlpm._val))</f>
        <v/>
      </c>
      <c r="H56" s="33" t="str" cm="1">
        <f t="array" aca="1" ref="H56" ca="1">_xlfn.LET(_xlpm._value,IF($A56="","",IFERROR(IF($J56,SimpleLookup($A56,Assumptions!$A:$S),SimpleLookup($A56,Countermeasures!$A:$S)),"")),
IF(_xlpm._value="","",_xlpm._value))</f>
        <v/>
      </c>
      <c r="I56" s="10" cm="1">
        <f t="array" aca="1" ref="I56" ca="1">IF(ROW()=ROW($I$17)+1,0,INDEX($I:$I,ROW()-1))+IF($A56="",0,1)</f>
        <v>12</v>
      </c>
      <c r="J56" s="21" t="b">
        <f ca="1">_xlfn.LET(_xlpm._row,ROW()-ROW($K$17),
_xlpm._numActiveAssumptions,Helper!$B$8,
_xlpm._numAdditionalAssumptions,SUM(Table24['# Elements]),
_xlpm._row&lt;=_xlpm._numActiveAssumptions+_xlpm._numAdditionalAssumptions)</f>
        <v>0</v>
      </c>
      <c r="K56" s="21">
        <f ca="1">_xlfn.LET(_xlpm._row,ROW()-ROW($K$17),
_xlpm._numActiveAssumptions,Helper!$B$8,
_xlpm._numAdditionalAssumptions,Helper!$B$10,
_xlpm._isAssumption,$J56,
_xlpm._elementID,IF(_xlpm._isAssumption,_xlpm._row,_xlpm._row-_xlpm._numActiveAssumptions-_xlpm._numAdditionalAssumptions),
_xlpm._elementID)</f>
        <v>33</v>
      </c>
      <c r="L56"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56" s="20" cm="1">
        <f t="array" aca="1" ref="M56" ca="1">IF($L56,
IF(ROW()=ROW($M$17)+1,1,INDEX($M:$M,ROW()-1)+IF(INDEX($T:$T,ROW()-1),1,0)),
1)</f>
        <v>1</v>
      </c>
      <c r="N56" s="20" t="str" cm="1">
        <f t="array" aca="1" ref="N56" ca="1">IF($L56=TRUE,
_xlfn.LET(
_xlpm._isAssumption,$J56,
_xlpm._indexRange,IF(_xlpm._isAssumption,Table24['# Elements],Table25['# Elements]),
_xlpm._lookupRow,$W56,
INDEX(_xlpm._indexRange,_xlpm._lookupRow)),
"")</f>
        <v/>
      </c>
      <c r="O56" s="20" t="str" cm="1">
        <f t="array" aca="1" ref="O56" ca="1">IF($N56="","",_xlfn.LET(
_xlpm._prevRow,ROW()-1,
IF(OR(INDEX($N:$N,_xlpm._prevRow)&lt;&gt;$N56,INDEX($M:$M,_xlpm._prevRow)&lt;&gt;$M56),
1,
INDEX($O:$O,_xlpm._prevRow)+IF(INDEX($S:$S,_xlpm._prevRow),1,0))))</f>
        <v/>
      </c>
      <c r="P56" s="20" t="str" cm="1">
        <f t="array" aca="1" ref="P56" ca="1">IF($O56="","",_xlfn.LET(
_xlpm._isAssumption,$J56,
_xlpm._sheetRow,$W56,
_xlpm._sheetName,$X56,
_xlpm._elementIDRange,IF(_xlpm._isAssumption,Table24[Element ID Column],Table25[Element ID Column]),
_xlpm._numberOfElementsRange,IF(_xlpm._isAssumption,Table24[Number of Elements Column],Table25[Number of Elements Column]),
SimpleLookup($O56,INDIRECT("'"&amp;_xlpm._sheetName&amp;"'!"&amp;INDEX(_xlpm._elementIDRange,_xlpm._sheetRow)&amp;":"&amp;INDEX(_xlpm._numberOfElementsRange,_xlpm._sheetRow)))))</f>
        <v/>
      </c>
      <c r="Q56" s="20" t="str" cm="1">
        <f t="array" aca="1" ref="Q56" ca="1">IF($O56="","",IF(OR(INDEX($O:$O,ROW()-1)&lt;&gt;$O56,INDEX($M:$M,ROW()-1)&lt;&gt;$M56),1,INDEX($Q:$Q,ROW()-1)+1))</f>
        <v/>
      </c>
      <c r="R56" s="20">
        <f t="shared" ca="1" si="9"/>
        <v>0</v>
      </c>
      <c r="S56" s="20" t="str">
        <f t="shared" ca="1" si="10"/>
        <v/>
      </c>
      <c r="T56" s="20" t="b">
        <f ca="1">_xlfn.LET(
_xlpm._isAssumption,$J56,
_xlpm._numberOfElementsRange,IF(_xlpm._isAssumption,Table24['# Elements],Table25['# Elements]),
_xlpm._sheetRow,$W56,
IF($L56,AND($S56,$R56=$N56),FALSE))</f>
        <v>0</v>
      </c>
      <c r="U56" s="20" t="str" cm="1">
        <f t="array" aca="1" ref="U56" ca="1">IF($L56,
_xlfn.LET(
_xlpm._elementID,$O56,
_xlpm._isAssumption,$J56,
_xlpm._sheetRow,$W56,
_xlpm._sheetName,$X56,
_xlpm._elementRow,$Y56,
_xlpm._resultColumnLetter,IF(_xlpm._isAssumption,INDEX(Table24[Comment Column],_xlpm._sheetRow),INDEX(Table25[Comment Column],_xlpm._sheetRow)),
INDEX(INDIRECT("'"&amp;_xlpm._sheetName&amp;"'!"&amp;_xlpm._resultColumnLetter&amp;":"&amp;_xlpm._resultColumnLetter),_xlpm._elementRow)),
"")</f>
        <v/>
      </c>
      <c r="V56" s="20" t="str" cm="1">
        <f t="array" aca="1" ref="V56" ca="1">IF($L56,
_xlfn.LET(
_xlpm._elementID,$O56,
_xlpm._isAssumption,$J56,
_xlpm._sheetRow,$W56,
_xlpm._sheetName,$X56,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56" s="20" t="str">
        <f ca="1">IF($L56=TRUE,
_xlfn.LET(
_xlpm._isAssumption,$J56,
_xlpm._searchRange,IF(_xlpm._isAssumption,Table24[Task Sheet Shadow ID],Table25[Task Sheet Shadow ID]),
MATCH($M56,_xlpm._searchRange,0)),
"")</f>
        <v/>
      </c>
      <c r="X56" s="20" t="str" cm="1">
        <f t="array" aca="1" ref="X56" ca="1">IF($L56,
_xlfn.LET(
_xlpm._isAssumption,$J56,
_xlpm._sheetRow,$W56,
IF(_xlpm._isAssumption,INDEX(Table24[Sheet Name],_xlpm._sheetRow),INDEX(Table25[Sheet Name],_xlpm._sheetRow))),
"")</f>
        <v/>
      </c>
      <c r="Y56" s="20" t="str" cm="1">
        <f t="array" aca="1" ref="Y56" ca="1">IF($L56,
_xlfn.LET(
_xlpm._elementID,$O56,
_xlpm._isAssumption,$J56,
_xlpm._sheetRow,$W56,
_xlpm._sheetName,$X56,
_xlpm._elementIDColumnLetter,IF(_xlpm._isAssumption,INDEX(Table24[Element ID Column],_xlpm._sheetRow),INDEX(Table25[Element ID Column],_xlpm._sheetRow)),
MATCH(_xlpm._elementID,INDIRECT("'"&amp;_xlpm._sheetName&amp;"'!"&amp;_xlpm._elementIDColumnLetter&amp;":"&amp;_xlpm._elementIDColumnLetter),0)),
"")</f>
        <v/>
      </c>
      <c r="Z56" s="20" t="str" cm="1">
        <f t="array" aca="1" ref="Z56" ca="1">IF($A56="","",_xlfn.LET(
_xlpm._isAssumption,$J56,
_xlpm._isAdditionalElement,$L56,
_xlpm._sheetRow,$W56,
_xlpm._sheetName,$X56,
_xlpm._columnLetter,INDEX(IF(_xlpm._isAdditionalElement,Table24[Comment Column],Table25[Comment Column]),_xlpm._sheetRow),
_xlpm._sheetReference,IF(_xlpm._isAssumption,IF(_xlpm._isAdditionalElement,
CELL("address",INDEX(INDIRECT("'"&amp;_xlpm._sheetName&amp;"'!"&amp;_xlpm._columnLetter&amp;":"&amp;_xlpm._columnLetter),$Y56)),
CELL("address",INDEX(Assumptions!$A:$A,MATCH($A56,Assumptions!$A:$A,0),1))),
IF(_xlpm._isAdditionalElement,
CELL("address",INDEX(INDIRECT("'"&amp;_xlpm._sheetName&amp;"'!"&amp;_xlpm._columnLetter&amp;":"&amp;_xlpm._columnLetter),$Y56)),
CELL("address",INDEX(Countermeasures!$A:$A,MATCH($A56,Countermeasures!$A:$A,0),1)))),
_xlpm._start,FIND("]",_xlpm._sheetReference),
"'"&amp;SUBSTITUTE(SUBSTITUTE(RIGHT(_xlpm._sheetReference,LEN(_xlpm._sheetReference)-_xlpm._start),"'",""),"!","'!")))</f>
        <v/>
      </c>
      <c r="AA56" s="20" t="str" cm="1">
        <f t="array" aca="1" ref="AA56" ca="1">IF(NOT($L56),
_xlfn.LET(_xlpm._value,IF($A56="","",IF($J56,SimpleLookup($A56,Assumptions!$A:$AK),SimpleLookup($A56,Countermeasures!$A:$AN))),
IF(_xlpm._value="","",_xlpm._value)),
"")</f>
        <v/>
      </c>
      <c r="AB56" s="20" t="str" cm="1">
        <f t="array" aca="1" ref="AB56" ca="1">LookupNames(InverseLookup($A56,Mitigation!$AD$2,Mitigation!$A$2,1,Helper!$B$5,","),'Attack Steps'!$A:$B)</f>
        <v/>
      </c>
      <c r="AC56" s="20" t="str" cm="1">
        <f t="array" aca="1" ref="AC56" ca="1">IF($L56,
_xlfn.LET(
_xlpm._in,$A56,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56" s="20" t="str" cm="1">
        <f t="array" aca="1" ref="AD56" ca="1">_xlfn.LET(
_xlpm._countermeasures,InverseLookup($A56,Countermeasures!$AG$2,Countermeasures!$A$2,1,Helper!$B$4,","),
LookupNames(_xlpm._countermeasures,Countermeasures!$A:$B))</f>
        <v/>
      </c>
      <c r="AE56" s="20" t="str" cm="1">
        <f t="array" aca="1" ref="AE56" ca="1">IF($E56="","",_xlfn.LET(
_xlpm._id,$E56,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56" s="20" t="str" cm="1">
        <f t="array" aca="1" ref="AF56" ca="1">IF(OR($A56="",$L56),"",_xlfn.LET(
_xlpm._answers,IF($J56,SimpleLookup($A56,Assumptions!$A:$F),SimpleLookup($A56,Countermeasures!$A:$D)),
IF(_xlpm._answers="*",IF($J56,SimpleLookup($A56,Assumptions!$A:$C),SimpleLookup($A56,Countermeasures!$A:$C)),"")))</f>
        <v/>
      </c>
      <c r="AG56" s="20" t="str" cm="1">
        <f t="array" aca="1" ref="AG56" ca="1">IF(NOT($L56),"",_xlfn.LET(
_xlpm._mappedInMitigation,IFERROR(VLOOKUP($V56,'Attack Steps'!$A:$O,COLUMNS('Attack Steps'!$A:$O),FALSE),""),
CreateSearchString(_xlpm._mappedInMitigation)))</f>
        <v/>
      </c>
      <c r="AH56" s="20" t="b">
        <f ca="1">ROW()-ROW($AH$17)=Helper!$B$15</f>
        <v>0</v>
      </c>
      <c r="AI56" s="20" t="str">
        <f t="shared" ca="1" si="11"/>
        <v/>
      </c>
      <c r="AJ56" s="20" cm="1">
        <f t="array" aca="1" ref="AJ56" ca="1">CreateID($AJ$17,$AJ:$AJ,$AI56&lt;&gt;"")</f>
        <v>0</v>
      </c>
    </row>
    <row r="57" spans="1:36" x14ac:dyDescent="0.25">
      <c r="A57" s="16" t="str">
        <f ca="1">_xlfn.LET(
_xlpm._isAssumption,$J57,
_xlpm._row,$K57,
_xlpm._numActiveAssumptions,Helper!$B$8,
_xlpm._numActiveCountermeasures,Helper!$B$9,
_xlpm._numAdditionalAssumptions,Helper!$B$10,
_xlpm._numAdditionalCountermeasures,Helper!$B$11,
IF(_xlpm._isAssumption,
IF(_xlpm._row&gt;_xlpm._numActiveAssumptions,
$V57&amp;"-A"&amp;$Q57,
INDEX(Assumptions!A:A,MATCH(_xlpm._row,Assumptions!$AG:$AG,0))),
IF(_xlpm._row&gt;_xlpm._numActiveCountermeasures+_xlpm._numAdditionalCountermeasures,"",
IF(_xlpm._row&gt;_xlpm._numActiveCountermeasures,
$V57&amp;"-C"&amp;$Q57,
INDEX(Countermeasures!$A:$A,MATCH(_xlpm._row,Countermeasures!$AI:$AI,0))))))</f>
        <v/>
      </c>
      <c r="B57" s="33" t="str" cm="1">
        <f t="array" aca="1" ref="B57" ca="1">IF($A57="","",
_xlfn.LET(
_xlpm._isAssumption,$J57,
_xlpm._isAdditionalElement,$L57,
IF(_xlpm._isAdditionalElement,
IF(_xlpm._isAssumption,
ParseElementsFromComment($U57,Definitions!$AR$4,Definitions!$AS$4,Definitions!$AR$6,$Q57),
ParseElementsFromComment($U57,Definitions!$AR$5,Definitions!$AS$5,Definitions!$AR$6,$Q57)),
 _xlfn.LET(_xlpm._value,IF($A57="","",IF($J57,SimpleLookup($A57,Assumptions!$A:$B),SimpleLookup($A57,Countermeasures!$A:$B))),IF(_xlpm._value="","",_xlpm._value)))))</f>
        <v/>
      </c>
      <c r="C57" s="33" t="str" cm="1">
        <f t="array" aca="1" ref="C57" ca="1">IF($A57="","",IF($J57,IFERROR(SimpleLookup($A57,Assumptions!$A:$E),""),Definitions!$AO$4))</f>
        <v/>
      </c>
      <c r="D57" s="37" t="str">
        <f t="shared" ca="1" si="7"/>
        <v/>
      </c>
      <c r="E57" s="23"/>
      <c r="F57" s="59" t="str">
        <f t="shared" ca="1" si="8"/>
        <v/>
      </c>
      <c r="G57" s="122" t="str" cm="1">
        <f t="array" aca="1" ref="G57" ca="1">_xlfn.LET(_xlpm._val,IFERROR(SimpleLookup($A57,Countermeasures!$A:$R),IFERROR(SimpleLookup($A57,Assumptions!$A:$R),"")),IF(_xlpm._val="","",_xlpm._val))</f>
        <v/>
      </c>
      <c r="H57" s="33" t="str" cm="1">
        <f t="array" aca="1" ref="H57" ca="1">_xlfn.LET(_xlpm._value,IF($A57="","",IFERROR(IF($J57,SimpleLookup($A57,Assumptions!$A:$S),SimpleLookup($A57,Countermeasures!$A:$S)),"")),
IF(_xlpm._value="","",_xlpm._value))</f>
        <v/>
      </c>
      <c r="I57" s="10" cm="1">
        <f t="array" aca="1" ref="I57" ca="1">IF(ROW()=ROW($I$17)+1,0,INDEX($I:$I,ROW()-1))+IF($A57="",0,1)</f>
        <v>12</v>
      </c>
      <c r="J57" s="21" t="b">
        <f ca="1">_xlfn.LET(_xlpm._row,ROW()-ROW($K$17),
_xlpm._numActiveAssumptions,Helper!$B$8,
_xlpm._numAdditionalAssumptions,SUM(Table24['# Elements]),
_xlpm._row&lt;=_xlpm._numActiveAssumptions+_xlpm._numAdditionalAssumptions)</f>
        <v>0</v>
      </c>
      <c r="K57" s="21">
        <f ca="1">_xlfn.LET(_xlpm._row,ROW()-ROW($K$17),
_xlpm._numActiveAssumptions,Helper!$B$8,
_xlpm._numAdditionalAssumptions,Helper!$B$10,
_xlpm._isAssumption,$J57,
_xlpm._elementID,IF(_xlpm._isAssumption,_xlpm._row,_xlpm._row-_xlpm._numActiveAssumptions-_xlpm._numAdditionalAssumptions),
_xlpm._elementID)</f>
        <v>34</v>
      </c>
      <c r="L57"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57" s="20" cm="1">
        <f t="array" aca="1" ref="M57" ca="1">IF($L57,
IF(ROW()=ROW($M$17)+1,1,INDEX($M:$M,ROW()-1)+IF(INDEX($T:$T,ROW()-1),1,0)),
1)</f>
        <v>1</v>
      </c>
      <c r="N57" s="20" t="str" cm="1">
        <f t="array" aca="1" ref="N57" ca="1">IF($L57=TRUE,
_xlfn.LET(
_xlpm._isAssumption,$J57,
_xlpm._indexRange,IF(_xlpm._isAssumption,Table24['# Elements],Table25['# Elements]),
_xlpm._lookupRow,$W57,
INDEX(_xlpm._indexRange,_xlpm._lookupRow)),
"")</f>
        <v/>
      </c>
      <c r="O57" s="20" t="str" cm="1">
        <f t="array" aca="1" ref="O57" ca="1">IF($N57="","",_xlfn.LET(
_xlpm._prevRow,ROW()-1,
IF(OR(INDEX($N:$N,_xlpm._prevRow)&lt;&gt;$N57,INDEX($M:$M,_xlpm._prevRow)&lt;&gt;$M57),
1,
INDEX($O:$O,_xlpm._prevRow)+IF(INDEX($S:$S,_xlpm._prevRow),1,0))))</f>
        <v/>
      </c>
      <c r="P57" s="20" t="str" cm="1">
        <f t="array" aca="1" ref="P57" ca="1">IF($O57="","",_xlfn.LET(
_xlpm._isAssumption,$J57,
_xlpm._sheetRow,$W57,
_xlpm._sheetName,$X57,
_xlpm._elementIDRange,IF(_xlpm._isAssumption,Table24[Element ID Column],Table25[Element ID Column]),
_xlpm._numberOfElementsRange,IF(_xlpm._isAssumption,Table24[Number of Elements Column],Table25[Number of Elements Column]),
SimpleLookup($O57,INDIRECT("'"&amp;_xlpm._sheetName&amp;"'!"&amp;INDEX(_xlpm._elementIDRange,_xlpm._sheetRow)&amp;":"&amp;INDEX(_xlpm._numberOfElementsRange,_xlpm._sheetRow)))))</f>
        <v/>
      </c>
      <c r="Q57" s="20" t="str" cm="1">
        <f t="array" aca="1" ref="Q57" ca="1">IF($O57="","",IF(OR(INDEX($O:$O,ROW()-1)&lt;&gt;$O57,INDEX($M:$M,ROW()-1)&lt;&gt;$M57),1,INDEX($Q:$Q,ROW()-1)+1))</f>
        <v/>
      </c>
      <c r="R57" s="20">
        <f t="shared" ca="1" si="9"/>
        <v>0</v>
      </c>
      <c r="S57" s="20" t="str">
        <f t="shared" ca="1" si="10"/>
        <v/>
      </c>
      <c r="T57" s="20" t="b">
        <f ca="1">_xlfn.LET(
_xlpm._isAssumption,$J57,
_xlpm._numberOfElementsRange,IF(_xlpm._isAssumption,Table24['# Elements],Table25['# Elements]),
_xlpm._sheetRow,$W57,
IF($L57,AND($S57,$R57=$N57),FALSE))</f>
        <v>0</v>
      </c>
      <c r="U57" s="20" t="str" cm="1">
        <f t="array" aca="1" ref="U57" ca="1">IF($L57,
_xlfn.LET(
_xlpm._elementID,$O57,
_xlpm._isAssumption,$J57,
_xlpm._sheetRow,$W57,
_xlpm._sheetName,$X57,
_xlpm._elementRow,$Y57,
_xlpm._resultColumnLetter,IF(_xlpm._isAssumption,INDEX(Table24[Comment Column],_xlpm._sheetRow),INDEX(Table25[Comment Column],_xlpm._sheetRow)),
INDEX(INDIRECT("'"&amp;_xlpm._sheetName&amp;"'!"&amp;_xlpm._resultColumnLetter&amp;":"&amp;_xlpm._resultColumnLetter),_xlpm._elementRow)),
"")</f>
        <v/>
      </c>
      <c r="V57" s="20" t="str" cm="1">
        <f t="array" aca="1" ref="V57" ca="1">IF($L57,
_xlfn.LET(
_xlpm._elementID,$O57,
_xlpm._isAssumption,$J57,
_xlpm._sheetRow,$W57,
_xlpm._sheetName,$X57,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57" s="20" t="str">
        <f ca="1">IF($L57=TRUE,
_xlfn.LET(
_xlpm._isAssumption,$J57,
_xlpm._searchRange,IF(_xlpm._isAssumption,Table24[Task Sheet Shadow ID],Table25[Task Sheet Shadow ID]),
MATCH($M57,_xlpm._searchRange,0)),
"")</f>
        <v/>
      </c>
      <c r="X57" s="20" t="str" cm="1">
        <f t="array" aca="1" ref="X57" ca="1">IF($L57,
_xlfn.LET(
_xlpm._isAssumption,$J57,
_xlpm._sheetRow,$W57,
IF(_xlpm._isAssumption,INDEX(Table24[Sheet Name],_xlpm._sheetRow),INDEX(Table25[Sheet Name],_xlpm._sheetRow))),
"")</f>
        <v/>
      </c>
      <c r="Y57" s="20" t="str" cm="1">
        <f t="array" aca="1" ref="Y57" ca="1">IF($L57,
_xlfn.LET(
_xlpm._elementID,$O57,
_xlpm._isAssumption,$J57,
_xlpm._sheetRow,$W57,
_xlpm._sheetName,$X57,
_xlpm._elementIDColumnLetter,IF(_xlpm._isAssumption,INDEX(Table24[Element ID Column],_xlpm._sheetRow),INDEX(Table25[Element ID Column],_xlpm._sheetRow)),
MATCH(_xlpm._elementID,INDIRECT("'"&amp;_xlpm._sheetName&amp;"'!"&amp;_xlpm._elementIDColumnLetter&amp;":"&amp;_xlpm._elementIDColumnLetter),0)),
"")</f>
        <v/>
      </c>
      <c r="Z57" s="20" t="str" cm="1">
        <f t="array" aca="1" ref="Z57" ca="1">IF($A57="","",_xlfn.LET(
_xlpm._isAssumption,$J57,
_xlpm._isAdditionalElement,$L57,
_xlpm._sheetRow,$W57,
_xlpm._sheetName,$X57,
_xlpm._columnLetter,INDEX(IF(_xlpm._isAdditionalElement,Table24[Comment Column],Table25[Comment Column]),_xlpm._sheetRow),
_xlpm._sheetReference,IF(_xlpm._isAssumption,IF(_xlpm._isAdditionalElement,
CELL("address",INDEX(INDIRECT("'"&amp;_xlpm._sheetName&amp;"'!"&amp;_xlpm._columnLetter&amp;":"&amp;_xlpm._columnLetter),$Y57)),
CELL("address",INDEX(Assumptions!$A:$A,MATCH($A57,Assumptions!$A:$A,0),1))),
IF(_xlpm._isAdditionalElement,
CELL("address",INDEX(INDIRECT("'"&amp;_xlpm._sheetName&amp;"'!"&amp;_xlpm._columnLetter&amp;":"&amp;_xlpm._columnLetter),$Y57)),
CELL("address",INDEX(Countermeasures!$A:$A,MATCH($A57,Countermeasures!$A:$A,0),1)))),
_xlpm._start,FIND("]",_xlpm._sheetReference),
"'"&amp;SUBSTITUTE(SUBSTITUTE(RIGHT(_xlpm._sheetReference,LEN(_xlpm._sheetReference)-_xlpm._start),"'",""),"!","'!")))</f>
        <v/>
      </c>
      <c r="AA57" s="20" t="str" cm="1">
        <f t="array" aca="1" ref="AA57" ca="1">IF(NOT($L57),
_xlfn.LET(_xlpm._value,IF($A57="","",IF($J57,SimpleLookup($A57,Assumptions!$A:$AK),SimpleLookup($A57,Countermeasures!$A:$AN))),
IF(_xlpm._value="","",_xlpm._value)),
"")</f>
        <v/>
      </c>
      <c r="AB57" s="20" t="str" cm="1">
        <f t="array" aca="1" ref="AB57" ca="1">LookupNames(InverseLookup($A57,Mitigation!$AD$2,Mitigation!$A$2,1,Helper!$B$5,","),'Attack Steps'!$A:$B)</f>
        <v/>
      </c>
      <c r="AC57" s="20" t="str" cm="1">
        <f t="array" aca="1" ref="AC57" ca="1">IF($L57,
_xlfn.LET(
_xlpm._in,$A57,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57" s="20" t="str" cm="1">
        <f t="array" aca="1" ref="AD57" ca="1">_xlfn.LET(
_xlpm._countermeasures,InverseLookup($A57,Countermeasures!$AG$2,Countermeasures!$A$2,1,Helper!$B$4,","),
LookupNames(_xlpm._countermeasures,Countermeasures!$A:$B))</f>
        <v/>
      </c>
      <c r="AE57" s="20" t="str" cm="1">
        <f t="array" aca="1" ref="AE57" ca="1">IF($E57="","",_xlfn.LET(
_xlpm._id,$E57,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57" s="20" t="str" cm="1">
        <f t="array" aca="1" ref="AF57" ca="1">IF(OR($A57="",$L57),"",_xlfn.LET(
_xlpm._answers,IF($J57,SimpleLookup($A57,Assumptions!$A:$F),SimpleLookup($A57,Countermeasures!$A:$D)),
IF(_xlpm._answers="*",IF($J57,SimpleLookup($A57,Assumptions!$A:$C),SimpleLookup($A57,Countermeasures!$A:$C)),"")))</f>
        <v/>
      </c>
      <c r="AG57" s="20" t="str" cm="1">
        <f t="array" aca="1" ref="AG57" ca="1">IF(NOT($L57),"",_xlfn.LET(
_xlpm._mappedInMitigation,IFERROR(VLOOKUP($V57,'Attack Steps'!$A:$O,COLUMNS('Attack Steps'!$A:$O),FALSE),""),
CreateSearchString(_xlpm._mappedInMitigation)))</f>
        <v/>
      </c>
      <c r="AH57" s="20" t="b">
        <f ca="1">ROW()-ROW($AH$17)=Helper!$B$15</f>
        <v>0</v>
      </c>
      <c r="AI57" s="20" t="str">
        <f t="shared" ca="1" si="11"/>
        <v/>
      </c>
      <c r="AJ57" s="20" cm="1">
        <f t="array" aca="1" ref="AJ57" ca="1">CreateID($AJ$17,$AJ:$AJ,$AI57&lt;&gt;"")</f>
        <v>0</v>
      </c>
    </row>
    <row r="58" spans="1:36" x14ac:dyDescent="0.25">
      <c r="A58" s="16" t="str">
        <f ca="1">_xlfn.LET(
_xlpm._isAssumption,$J58,
_xlpm._row,$K58,
_xlpm._numActiveAssumptions,Helper!$B$8,
_xlpm._numActiveCountermeasures,Helper!$B$9,
_xlpm._numAdditionalAssumptions,Helper!$B$10,
_xlpm._numAdditionalCountermeasures,Helper!$B$11,
IF(_xlpm._isAssumption,
IF(_xlpm._row&gt;_xlpm._numActiveAssumptions,
$V58&amp;"-A"&amp;$Q58,
INDEX(Assumptions!A:A,MATCH(_xlpm._row,Assumptions!$AG:$AG,0))),
IF(_xlpm._row&gt;_xlpm._numActiveCountermeasures+_xlpm._numAdditionalCountermeasures,"",
IF(_xlpm._row&gt;_xlpm._numActiveCountermeasures,
$V58&amp;"-C"&amp;$Q58,
INDEX(Countermeasures!$A:$A,MATCH(_xlpm._row,Countermeasures!$AI:$AI,0))))))</f>
        <v/>
      </c>
      <c r="B58" s="33" t="str" cm="1">
        <f t="array" aca="1" ref="B58" ca="1">IF($A58="","",
_xlfn.LET(
_xlpm._isAssumption,$J58,
_xlpm._isAdditionalElement,$L58,
IF(_xlpm._isAdditionalElement,
IF(_xlpm._isAssumption,
ParseElementsFromComment($U58,Definitions!$AR$4,Definitions!$AS$4,Definitions!$AR$6,$Q58),
ParseElementsFromComment($U58,Definitions!$AR$5,Definitions!$AS$5,Definitions!$AR$6,$Q58)),
 _xlfn.LET(_xlpm._value,IF($A58="","",IF($J58,SimpleLookup($A58,Assumptions!$A:$B),SimpleLookup($A58,Countermeasures!$A:$B))),IF(_xlpm._value="","",_xlpm._value)))))</f>
        <v/>
      </c>
      <c r="C58" s="33" t="str" cm="1">
        <f t="array" aca="1" ref="C58" ca="1">IF($A58="","",IF($J58,IFERROR(SimpleLookup($A58,Assumptions!$A:$E),""),Definitions!$AO$4))</f>
        <v/>
      </c>
      <c r="D58" s="37" t="str">
        <f t="shared" ca="1" si="7"/>
        <v/>
      </c>
      <c r="E58" s="23"/>
      <c r="F58" s="59" t="str">
        <f t="shared" ca="1" si="8"/>
        <v/>
      </c>
      <c r="G58" s="122" t="str" cm="1">
        <f t="array" aca="1" ref="G58" ca="1">_xlfn.LET(_xlpm._val,IFERROR(SimpleLookup($A58,Countermeasures!$A:$R),IFERROR(SimpleLookup($A58,Assumptions!$A:$R),"")),IF(_xlpm._val="","",_xlpm._val))</f>
        <v/>
      </c>
      <c r="H58" s="33" t="str" cm="1">
        <f t="array" aca="1" ref="H58" ca="1">_xlfn.LET(_xlpm._value,IF($A58="","",IFERROR(IF($J58,SimpleLookup($A58,Assumptions!$A:$S),SimpleLookup($A58,Countermeasures!$A:$S)),"")),
IF(_xlpm._value="","",_xlpm._value))</f>
        <v/>
      </c>
      <c r="I58" s="10" cm="1">
        <f t="array" aca="1" ref="I58" ca="1">IF(ROW()=ROW($I$17)+1,0,INDEX($I:$I,ROW()-1))+IF($A58="",0,1)</f>
        <v>12</v>
      </c>
      <c r="J58" s="21" t="b">
        <f ca="1">_xlfn.LET(_xlpm._row,ROW()-ROW($K$17),
_xlpm._numActiveAssumptions,Helper!$B$8,
_xlpm._numAdditionalAssumptions,SUM(Table24['# Elements]),
_xlpm._row&lt;=_xlpm._numActiveAssumptions+_xlpm._numAdditionalAssumptions)</f>
        <v>0</v>
      </c>
      <c r="K58" s="21">
        <f ca="1">_xlfn.LET(_xlpm._row,ROW()-ROW($K$17),
_xlpm._numActiveAssumptions,Helper!$B$8,
_xlpm._numAdditionalAssumptions,Helper!$B$10,
_xlpm._isAssumption,$J58,
_xlpm._elementID,IF(_xlpm._isAssumption,_xlpm._row,_xlpm._row-_xlpm._numActiveAssumptions-_xlpm._numAdditionalAssumptions),
_xlpm._elementID)</f>
        <v>35</v>
      </c>
      <c r="L58"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58" s="20" cm="1">
        <f t="array" aca="1" ref="M58" ca="1">IF($L58,
IF(ROW()=ROW($M$17)+1,1,INDEX($M:$M,ROW()-1)+IF(INDEX($T:$T,ROW()-1),1,0)),
1)</f>
        <v>1</v>
      </c>
      <c r="N58" s="20" t="str" cm="1">
        <f t="array" aca="1" ref="N58" ca="1">IF($L58=TRUE,
_xlfn.LET(
_xlpm._isAssumption,$J58,
_xlpm._indexRange,IF(_xlpm._isAssumption,Table24['# Elements],Table25['# Elements]),
_xlpm._lookupRow,$W58,
INDEX(_xlpm._indexRange,_xlpm._lookupRow)),
"")</f>
        <v/>
      </c>
      <c r="O58" s="20" t="str" cm="1">
        <f t="array" aca="1" ref="O58" ca="1">IF($N58="","",_xlfn.LET(
_xlpm._prevRow,ROW()-1,
IF(OR(INDEX($N:$N,_xlpm._prevRow)&lt;&gt;$N58,INDEX($M:$M,_xlpm._prevRow)&lt;&gt;$M58),
1,
INDEX($O:$O,_xlpm._prevRow)+IF(INDEX($S:$S,_xlpm._prevRow),1,0))))</f>
        <v/>
      </c>
      <c r="P58" s="20" t="str" cm="1">
        <f t="array" aca="1" ref="P58" ca="1">IF($O58="","",_xlfn.LET(
_xlpm._isAssumption,$J58,
_xlpm._sheetRow,$W58,
_xlpm._sheetName,$X58,
_xlpm._elementIDRange,IF(_xlpm._isAssumption,Table24[Element ID Column],Table25[Element ID Column]),
_xlpm._numberOfElementsRange,IF(_xlpm._isAssumption,Table24[Number of Elements Column],Table25[Number of Elements Column]),
SimpleLookup($O58,INDIRECT("'"&amp;_xlpm._sheetName&amp;"'!"&amp;INDEX(_xlpm._elementIDRange,_xlpm._sheetRow)&amp;":"&amp;INDEX(_xlpm._numberOfElementsRange,_xlpm._sheetRow)))))</f>
        <v/>
      </c>
      <c r="Q58" s="20" t="str" cm="1">
        <f t="array" aca="1" ref="Q58" ca="1">IF($O58="","",IF(OR(INDEX($O:$O,ROW()-1)&lt;&gt;$O58,INDEX($M:$M,ROW()-1)&lt;&gt;$M58),1,INDEX($Q:$Q,ROW()-1)+1))</f>
        <v/>
      </c>
      <c r="R58" s="20">
        <f t="shared" ca="1" si="9"/>
        <v>0</v>
      </c>
      <c r="S58" s="20" t="str">
        <f t="shared" ca="1" si="10"/>
        <v/>
      </c>
      <c r="T58" s="20" t="b">
        <f ca="1">_xlfn.LET(
_xlpm._isAssumption,$J58,
_xlpm._numberOfElementsRange,IF(_xlpm._isAssumption,Table24['# Elements],Table25['# Elements]),
_xlpm._sheetRow,$W58,
IF($L58,AND($S58,$R58=$N58),FALSE))</f>
        <v>0</v>
      </c>
      <c r="U58" s="20" t="str" cm="1">
        <f t="array" aca="1" ref="U58" ca="1">IF($L58,
_xlfn.LET(
_xlpm._elementID,$O58,
_xlpm._isAssumption,$J58,
_xlpm._sheetRow,$W58,
_xlpm._sheetName,$X58,
_xlpm._elementRow,$Y58,
_xlpm._resultColumnLetter,IF(_xlpm._isAssumption,INDEX(Table24[Comment Column],_xlpm._sheetRow),INDEX(Table25[Comment Column],_xlpm._sheetRow)),
INDEX(INDIRECT("'"&amp;_xlpm._sheetName&amp;"'!"&amp;_xlpm._resultColumnLetter&amp;":"&amp;_xlpm._resultColumnLetter),_xlpm._elementRow)),
"")</f>
        <v/>
      </c>
      <c r="V58" s="20" t="str" cm="1">
        <f t="array" aca="1" ref="V58" ca="1">IF($L58,
_xlfn.LET(
_xlpm._elementID,$O58,
_xlpm._isAssumption,$J58,
_xlpm._sheetRow,$W58,
_xlpm._sheetName,$X58,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58" s="20" t="str">
        <f ca="1">IF($L58=TRUE,
_xlfn.LET(
_xlpm._isAssumption,$J58,
_xlpm._searchRange,IF(_xlpm._isAssumption,Table24[Task Sheet Shadow ID],Table25[Task Sheet Shadow ID]),
MATCH($M58,_xlpm._searchRange,0)),
"")</f>
        <v/>
      </c>
      <c r="X58" s="20" t="str" cm="1">
        <f t="array" aca="1" ref="X58" ca="1">IF($L58,
_xlfn.LET(
_xlpm._isAssumption,$J58,
_xlpm._sheetRow,$W58,
IF(_xlpm._isAssumption,INDEX(Table24[Sheet Name],_xlpm._sheetRow),INDEX(Table25[Sheet Name],_xlpm._sheetRow))),
"")</f>
        <v/>
      </c>
      <c r="Y58" s="20" t="str" cm="1">
        <f t="array" aca="1" ref="Y58" ca="1">IF($L58,
_xlfn.LET(
_xlpm._elementID,$O58,
_xlpm._isAssumption,$J58,
_xlpm._sheetRow,$W58,
_xlpm._sheetName,$X58,
_xlpm._elementIDColumnLetter,IF(_xlpm._isAssumption,INDEX(Table24[Element ID Column],_xlpm._sheetRow),INDEX(Table25[Element ID Column],_xlpm._sheetRow)),
MATCH(_xlpm._elementID,INDIRECT("'"&amp;_xlpm._sheetName&amp;"'!"&amp;_xlpm._elementIDColumnLetter&amp;":"&amp;_xlpm._elementIDColumnLetter),0)),
"")</f>
        <v/>
      </c>
      <c r="Z58" s="20" t="str" cm="1">
        <f t="array" aca="1" ref="Z58" ca="1">IF($A58="","",_xlfn.LET(
_xlpm._isAssumption,$J58,
_xlpm._isAdditionalElement,$L58,
_xlpm._sheetRow,$W58,
_xlpm._sheetName,$X58,
_xlpm._columnLetter,INDEX(IF(_xlpm._isAdditionalElement,Table24[Comment Column],Table25[Comment Column]),_xlpm._sheetRow),
_xlpm._sheetReference,IF(_xlpm._isAssumption,IF(_xlpm._isAdditionalElement,
CELL("address",INDEX(INDIRECT("'"&amp;_xlpm._sheetName&amp;"'!"&amp;_xlpm._columnLetter&amp;":"&amp;_xlpm._columnLetter),$Y58)),
CELL("address",INDEX(Assumptions!$A:$A,MATCH($A58,Assumptions!$A:$A,0),1))),
IF(_xlpm._isAdditionalElement,
CELL("address",INDEX(INDIRECT("'"&amp;_xlpm._sheetName&amp;"'!"&amp;_xlpm._columnLetter&amp;":"&amp;_xlpm._columnLetter),$Y58)),
CELL("address",INDEX(Countermeasures!$A:$A,MATCH($A58,Countermeasures!$A:$A,0),1)))),
_xlpm._start,FIND("]",_xlpm._sheetReference),
"'"&amp;SUBSTITUTE(SUBSTITUTE(RIGHT(_xlpm._sheetReference,LEN(_xlpm._sheetReference)-_xlpm._start),"'",""),"!","'!")))</f>
        <v/>
      </c>
      <c r="AA58" s="20" t="str" cm="1">
        <f t="array" aca="1" ref="AA58" ca="1">IF(NOT($L58),
_xlfn.LET(_xlpm._value,IF($A58="","",IF($J58,SimpleLookup($A58,Assumptions!$A:$AK),SimpleLookup($A58,Countermeasures!$A:$AN))),
IF(_xlpm._value="","",_xlpm._value)),
"")</f>
        <v/>
      </c>
      <c r="AB58" s="20" t="str" cm="1">
        <f t="array" aca="1" ref="AB58" ca="1">LookupNames(InverseLookup($A58,Mitigation!$AD$2,Mitigation!$A$2,1,Helper!$B$5,","),'Attack Steps'!$A:$B)</f>
        <v/>
      </c>
      <c r="AC58" s="20" t="str" cm="1">
        <f t="array" aca="1" ref="AC58" ca="1">IF($L58,
_xlfn.LET(
_xlpm._in,$A58,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58" s="20" t="str" cm="1">
        <f t="array" aca="1" ref="AD58" ca="1">_xlfn.LET(
_xlpm._countermeasures,InverseLookup($A58,Countermeasures!$AG$2,Countermeasures!$A$2,1,Helper!$B$4,","),
LookupNames(_xlpm._countermeasures,Countermeasures!$A:$B))</f>
        <v/>
      </c>
      <c r="AE58" s="20" t="str" cm="1">
        <f t="array" aca="1" ref="AE58" ca="1">IF($E58="","",_xlfn.LET(
_xlpm._id,$E58,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58" s="20" t="str" cm="1">
        <f t="array" aca="1" ref="AF58" ca="1">IF(OR($A58="",$L58),"",_xlfn.LET(
_xlpm._answers,IF($J58,SimpleLookup($A58,Assumptions!$A:$F),SimpleLookup($A58,Countermeasures!$A:$D)),
IF(_xlpm._answers="*",IF($J58,SimpleLookup($A58,Assumptions!$A:$C),SimpleLookup($A58,Countermeasures!$A:$C)),"")))</f>
        <v/>
      </c>
      <c r="AG58" s="20" t="str" cm="1">
        <f t="array" aca="1" ref="AG58" ca="1">IF(NOT($L58),"",_xlfn.LET(
_xlpm._mappedInMitigation,IFERROR(VLOOKUP($V58,'Attack Steps'!$A:$O,COLUMNS('Attack Steps'!$A:$O),FALSE),""),
CreateSearchString(_xlpm._mappedInMitigation)))</f>
        <v/>
      </c>
      <c r="AH58" s="20" t="b">
        <f ca="1">ROW()-ROW($AH$17)=Helper!$B$15</f>
        <v>0</v>
      </c>
      <c r="AI58" s="20" t="str">
        <f t="shared" ca="1" si="11"/>
        <v/>
      </c>
      <c r="AJ58" s="20" cm="1">
        <f t="array" aca="1" ref="AJ58" ca="1">CreateID($AJ$17,$AJ:$AJ,$AI58&lt;&gt;"")</f>
        <v>0</v>
      </c>
    </row>
    <row r="59" spans="1:36" x14ac:dyDescent="0.25">
      <c r="A59" s="16" t="str">
        <f ca="1">_xlfn.LET(
_xlpm._isAssumption,$J59,
_xlpm._row,$K59,
_xlpm._numActiveAssumptions,Helper!$B$8,
_xlpm._numActiveCountermeasures,Helper!$B$9,
_xlpm._numAdditionalAssumptions,Helper!$B$10,
_xlpm._numAdditionalCountermeasures,Helper!$B$11,
IF(_xlpm._isAssumption,
IF(_xlpm._row&gt;_xlpm._numActiveAssumptions,
$V59&amp;"-A"&amp;$Q59,
INDEX(Assumptions!A:A,MATCH(_xlpm._row,Assumptions!$AG:$AG,0))),
IF(_xlpm._row&gt;_xlpm._numActiveCountermeasures+_xlpm._numAdditionalCountermeasures,"",
IF(_xlpm._row&gt;_xlpm._numActiveCountermeasures,
$V59&amp;"-C"&amp;$Q59,
INDEX(Countermeasures!$A:$A,MATCH(_xlpm._row,Countermeasures!$AI:$AI,0))))))</f>
        <v/>
      </c>
      <c r="B59" s="33" t="str" cm="1">
        <f t="array" aca="1" ref="B59" ca="1">IF($A59="","",
_xlfn.LET(
_xlpm._isAssumption,$J59,
_xlpm._isAdditionalElement,$L59,
IF(_xlpm._isAdditionalElement,
IF(_xlpm._isAssumption,
ParseElementsFromComment($U59,Definitions!$AR$4,Definitions!$AS$4,Definitions!$AR$6,$Q59),
ParseElementsFromComment($U59,Definitions!$AR$5,Definitions!$AS$5,Definitions!$AR$6,$Q59)),
 _xlfn.LET(_xlpm._value,IF($A59="","",IF($J59,SimpleLookup($A59,Assumptions!$A:$B),SimpleLookup($A59,Countermeasures!$A:$B))),IF(_xlpm._value="","",_xlpm._value)))))</f>
        <v/>
      </c>
      <c r="C59" s="33" t="str" cm="1">
        <f t="array" aca="1" ref="C59" ca="1">IF($A59="","",IF($J59,IFERROR(SimpleLookup($A59,Assumptions!$A:$E),""),Definitions!$AO$4))</f>
        <v/>
      </c>
      <c r="D59" s="37" t="str">
        <f t="shared" ca="1" si="7"/>
        <v/>
      </c>
      <c r="E59" s="23"/>
      <c r="F59" s="59" t="str">
        <f t="shared" ca="1" si="8"/>
        <v/>
      </c>
      <c r="G59" s="122" t="str" cm="1">
        <f t="array" aca="1" ref="G59" ca="1">_xlfn.LET(_xlpm._val,IFERROR(SimpleLookup($A59,Countermeasures!$A:$R),IFERROR(SimpleLookup($A59,Assumptions!$A:$R),"")),IF(_xlpm._val="","",_xlpm._val))</f>
        <v/>
      </c>
      <c r="H59" s="33" t="str" cm="1">
        <f t="array" aca="1" ref="H59" ca="1">_xlfn.LET(_xlpm._value,IF($A59="","",IFERROR(IF($J59,SimpleLookup($A59,Assumptions!$A:$S),SimpleLookup($A59,Countermeasures!$A:$S)),"")),
IF(_xlpm._value="","",_xlpm._value))</f>
        <v/>
      </c>
      <c r="I59" s="10" cm="1">
        <f t="array" aca="1" ref="I59" ca="1">IF(ROW()=ROW($I$17)+1,0,INDEX($I:$I,ROW()-1))+IF($A59="",0,1)</f>
        <v>12</v>
      </c>
      <c r="J59" s="21" t="b">
        <f ca="1">_xlfn.LET(_xlpm._row,ROW()-ROW($K$17),
_xlpm._numActiveAssumptions,Helper!$B$8,
_xlpm._numAdditionalAssumptions,SUM(Table24['# Elements]),
_xlpm._row&lt;=_xlpm._numActiveAssumptions+_xlpm._numAdditionalAssumptions)</f>
        <v>0</v>
      </c>
      <c r="K59" s="21">
        <f ca="1">_xlfn.LET(_xlpm._row,ROW()-ROW($K$17),
_xlpm._numActiveAssumptions,Helper!$B$8,
_xlpm._numAdditionalAssumptions,Helper!$B$10,
_xlpm._isAssumption,$J59,
_xlpm._elementID,IF(_xlpm._isAssumption,_xlpm._row,_xlpm._row-_xlpm._numActiveAssumptions-_xlpm._numAdditionalAssumptions),
_xlpm._elementID)</f>
        <v>36</v>
      </c>
      <c r="L59"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59" s="20" cm="1">
        <f t="array" aca="1" ref="M59" ca="1">IF($L59,
IF(ROW()=ROW($M$17)+1,1,INDEX($M:$M,ROW()-1)+IF(INDEX($T:$T,ROW()-1),1,0)),
1)</f>
        <v>1</v>
      </c>
      <c r="N59" s="20" t="str" cm="1">
        <f t="array" aca="1" ref="N59" ca="1">IF($L59=TRUE,
_xlfn.LET(
_xlpm._isAssumption,$J59,
_xlpm._indexRange,IF(_xlpm._isAssumption,Table24['# Elements],Table25['# Elements]),
_xlpm._lookupRow,$W59,
INDEX(_xlpm._indexRange,_xlpm._lookupRow)),
"")</f>
        <v/>
      </c>
      <c r="O59" s="20" t="str" cm="1">
        <f t="array" aca="1" ref="O59" ca="1">IF($N59="","",_xlfn.LET(
_xlpm._prevRow,ROW()-1,
IF(OR(INDEX($N:$N,_xlpm._prevRow)&lt;&gt;$N59,INDEX($M:$M,_xlpm._prevRow)&lt;&gt;$M59),
1,
INDEX($O:$O,_xlpm._prevRow)+IF(INDEX($S:$S,_xlpm._prevRow),1,0))))</f>
        <v/>
      </c>
      <c r="P59" s="20" t="str" cm="1">
        <f t="array" aca="1" ref="P59" ca="1">IF($O59="","",_xlfn.LET(
_xlpm._isAssumption,$J59,
_xlpm._sheetRow,$W59,
_xlpm._sheetName,$X59,
_xlpm._elementIDRange,IF(_xlpm._isAssumption,Table24[Element ID Column],Table25[Element ID Column]),
_xlpm._numberOfElementsRange,IF(_xlpm._isAssumption,Table24[Number of Elements Column],Table25[Number of Elements Column]),
SimpleLookup($O59,INDIRECT("'"&amp;_xlpm._sheetName&amp;"'!"&amp;INDEX(_xlpm._elementIDRange,_xlpm._sheetRow)&amp;":"&amp;INDEX(_xlpm._numberOfElementsRange,_xlpm._sheetRow)))))</f>
        <v/>
      </c>
      <c r="Q59" s="20" t="str" cm="1">
        <f t="array" aca="1" ref="Q59" ca="1">IF($O59="","",IF(OR(INDEX($O:$O,ROW()-1)&lt;&gt;$O59,INDEX($M:$M,ROW()-1)&lt;&gt;$M59),1,INDEX($Q:$Q,ROW()-1)+1))</f>
        <v/>
      </c>
      <c r="R59" s="20">
        <f t="shared" ca="1" si="9"/>
        <v>0</v>
      </c>
      <c r="S59" s="20" t="str">
        <f t="shared" ca="1" si="10"/>
        <v/>
      </c>
      <c r="T59" s="20" t="b">
        <f ca="1">_xlfn.LET(
_xlpm._isAssumption,$J59,
_xlpm._numberOfElementsRange,IF(_xlpm._isAssumption,Table24['# Elements],Table25['# Elements]),
_xlpm._sheetRow,$W59,
IF($L59,AND($S59,$R59=$N59),FALSE))</f>
        <v>0</v>
      </c>
      <c r="U59" s="20" t="str" cm="1">
        <f t="array" aca="1" ref="U59" ca="1">IF($L59,
_xlfn.LET(
_xlpm._elementID,$O59,
_xlpm._isAssumption,$J59,
_xlpm._sheetRow,$W59,
_xlpm._sheetName,$X59,
_xlpm._elementRow,$Y59,
_xlpm._resultColumnLetter,IF(_xlpm._isAssumption,INDEX(Table24[Comment Column],_xlpm._sheetRow),INDEX(Table25[Comment Column],_xlpm._sheetRow)),
INDEX(INDIRECT("'"&amp;_xlpm._sheetName&amp;"'!"&amp;_xlpm._resultColumnLetter&amp;":"&amp;_xlpm._resultColumnLetter),_xlpm._elementRow)),
"")</f>
        <v/>
      </c>
      <c r="V59" s="20" t="str" cm="1">
        <f t="array" aca="1" ref="V59" ca="1">IF($L59,
_xlfn.LET(
_xlpm._elementID,$O59,
_xlpm._isAssumption,$J59,
_xlpm._sheetRow,$W59,
_xlpm._sheetName,$X59,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59" s="20" t="str">
        <f ca="1">IF($L59=TRUE,
_xlfn.LET(
_xlpm._isAssumption,$J59,
_xlpm._searchRange,IF(_xlpm._isAssumption,Table24[Task Sheet Shadow ID],Table25[Task Sheet Shadow ID]),
MATCH($M59,_xlpm._searchRange,0)),
"")</f>
        <v/>
      </c>
      <c r="X59" s="20" t="str" cm="1">
        <f t="array" aca="1" ref="X59" ca="1">IF($L59,
_xlfn.LET(
_xlpm._isAssumption,$J59,
_xlpm._sheetRow,$W59,
IF(_xlpm._isAssumption,INDEX(Table24[Sheet Name],_xlpm._sheetRow),INDEX(Table25[Sheet Name],_xlpm._sheetRow))),
"")</f>
        <v/>
      </c>
      <c r="Y59" s="20" t="str" cm="1">
        <f t="array" aca="1" ref="Y59" ca="1">IF($L59,
_xlfn.LET(
_xlpm._elementID,$O59,
_xlpm._isAssumption,$J59,
_xlpm._sheetRow,$W59,
_xlpm._sheetName,$X59,
_xlpm._elementIDColumnLetter,IF(_xlpm._isAssumption,INDEX(Table24[Element ID Column],_xlpm._sheetRow),INDEX(Table25[Element ID Column],_xlpm._sheetRow)),
MATCH(_xlpm._elementID,INDIRECT("'"&amp;_xlpm._sheetName&amp;"'!"&amp;_xlpm._elementIDColumnLetter&amp;":"&amp;_xlpm._elementIDColumnLetter),0)),
"")</f>
        <v/>
      </c>
      <c r="Z59" s="20" t="str" cm="1">
        <f t="array" aca="1" ref="Z59" ca="1">IF($A59="","",_xlfn.LET(
_xlpm._isAssumption,$J59,
_xlpm._isAdditionalElement,$L59,
_xlpm._sheetRow,$W59,
_xlpm._sheetName,$X59,
_xlpm._columnLetter,INDEX(IF(_xlpm._isAdditionalElement,Table24[Comment Column],Table25[Comment Column]),_xlpm._sheetRow),
_xlpm._sheetReference,IF(_xlpm._isAssumption,IF(_xlpm._isAdditionalElement,
CELL("address",INDEX(INDIRECT("'"&amp;_xlpm._sheetName&amp;"'!"&amp;_xlpm._columnLetter&amp;":"&amp;_xlpm._columnLetter),$Y59)),
CELL("address",INDEX(Assumptions!$A:$A,MATCH($A59,Assumptions!$A:$A,0),1))),
IF(_xlpm._isAdditionalElement,
CELL("address",INDEX(INDIRECT("'"&amp;_xlpm._sheetName&amp;"'!"&amp;_xlpm._columnLetter&amp;":"&amp;_xlpm._columnLetter),$Y59)),
CELL("address",INDEX(Countermeasures!$A:$A,MATCH($A59,Countermeasures!$A:$A,0),1)))),
_xlpm._start,FIND("]",_xlpm._sheetReference),
"'"&amp;SUBSTITUTE(SUBSTITUTE(RIGHT(_xlpm._sheetReference,LEN(_xlpm._sheetReference)-_xlpm._start),"'",""),"!","'!")))</f>
        <v/>
      </c>
      <c r="AA59" s="20" t="str" cm="1">
        <f t="array" aca="1" ref="AA59" ca="1">IF(NOT($L59),
_xlfn.LET(_xlpm._value,IF($A59="","",IF($J59,SimpleLookup($A59,Assumptions!$A:$AK),SimpleLookup($A59,Countermeasures!$A:$AN))),
IF(_xlpm._value="","",_xlpm._value)),
"")</f>
        <v/>
      </c>
      <c r="AB59" s="20" t="str" cm="1">
        <f t="array" aca="1" ref="AB59" ca="1">LookupNames(InverseLookup($A59,Mitigation!$AD$2,Mitigation!$A$2,1,Helper!$B$5,","),'Attack Steps'!$A:$B)</f>
        <v/>
      </c>
      <c r="AC59" s="20" t="str" cm="1">
        <f t="array" aca="1" ref="AC59" ca="1">IF($L59,
_xlfn.LET(
_xlpm._in,$A59,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59" s="20" t="str" cm="1">
        <f t="array" aca="1" ref="AD59" ca="1">_xlfn.LET(
_xlpm._countermeasures,InverseLookup($A59,Countermeasures!$AG$2,Countermeasures!$A$2,1,Helper!$B$4,","),
LookupNames(_xlpm._countermeasures,Countermeasures!$A:$B))</f>
        <v/>
      </c>
      <c r="AE59" s="20" t="str" cm="1">
        <f t="array" aca="1" ref="AE59" ca="1">IF($E59="","",_xlfn.LET(
_xlpm._id,$E59,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59" s="20" t="str" cm="1">
        <f t="array" aca="1" ref="AF59" ca="1">IF(OR($A59="",$L59),"",_xlfn.LET(
_xlpm._answers,IF($J59,SimpleLookup($A59,Assumptions!$A:$F),SimpleLookup($A59,Countermeasures!$A:$D)),
IF(_xlpm._answers="*",IF($J59,SimpleLookup($A59,Assumptions!$A:$C),SimpleLookup($A59,Countermeasures!$A:$C)),"")))</f>
        <v/>
      </c>
      <c r="AG59" s="20" t="str" cm="1">
        <f t="array" aca="1" ref="AG59" ca="1">IF(NOT($L59),"",_xlfn.LET(
_xlpm._mappedInMitigation,IFERROR(VLOOKUP($V59,'Attack Steps'!$A:$O,COLUMNS('Attack Steps'!$A:$O),FALSE),""),
CreateSearchString(_xlpm._mappedInMitigation)))</f>
        <v/>
      </c>
      <c r="AH59" s="20" t="b">
        <f ca="1">ROW()-ROW($AH$17)=Helper!$B$15</f>
        <v>0</v>
      </c>
      <c r="AI59" s="20" t="str">
        <f t="shared" ca="1" si="11"/>
        <v/>
      </c>
      <c r="AJ59" s="20" cm="1">
        <f t="array" aca="1" ref="AJ59" ca="1">CreateID($AJ$17,$AJ:$AJ,$AI59&lt;&gt;"")</f>
        <v>0</v>
      </c>
    </row>
    <row r="60" spans="1:36" x14ac:dyDescent="0.25">
      <c r="A60" s="16" t="str">
        <f ca="1">_xlfn.LET(
_xlpm._isAssumption,$J60,
_xlpm._row,$K60,
_xlpm._numActiveAssumptions,Helper!$B$8,
_xlpm._numActiveCountermeasures,Helper!$B$9,
_xlpm._numAdditionalAssumptions,Helper!$B$10,
_xlpm._numAdditionalCountermeasures,Helper!$B$11,
IF(_xlpm._isAssumption,
IF(_xlpm._row&gt;_xlpm._numActiveAssumptions,
$V60&amp;"-A"&amp;$Q60,
INDEX(Assumptions!A:A,MATCH(_xlpm._row,Assumptions!$AG:$AG,0))),
IF(_xlpm._row&gt;_xlpm._numActiveCountermeasures+_xlpm._numAdditionalCountermeasures,"",
IF(_xlpm._row&gt;_xlpm._numActiveCountermeasures,
$V60&amp;"-C"&amp;$Q60,
INDEX(Countermeasures!$A:$A,MATCH(_xlpm._row,Countermeasures!$AI:$AI,0))))))</f>
        <v/>
      </c>
      <c r="B60" s="33" t="str" cm="1">
        <f t="array" aca="1" ref="B60" ca="1">IF($A60="","",
_xlfn.LET(
_xlpm._isAssumption,$J60,
_xlpm._isAdditionalElement,$L60,
IF(_xlpm._isAdditionalElement,
IF(_xlpm._isAssumption,
ParseElementsFromComment($U60,Definitions!$AR$4,Definitions!$AS$4,Definitions!$AR$6,$Q60),
ParseElementsFromComment($U60,Definitions!$AR$5,Definitions!$AS$5,Definitions!$AR$6,$Q60)),
 _xlfn.LET(_xlpm._value,IF($A60="","",IF($J60,SimpleLookup($A60,Assumptions!$A:$B),SimpleLookup($A60,Countermeasures!$A:$B))),IF(_xlpm._value="","",_xlpm._value)))))</f>
        <v/>
      </c>
      <c r="C60" s="33" t="str" cm="1">
        <f t="array" aca="1" ref="C60" ca="1">IF($A60="","",IF($J60,IFERROR(SimpleLookup($A60,Assumptions!$A:$E),""),Definitions!$AO$4))</f>
        <v/>
      </c>
      <c r="D60" s="37" t="str">
        <f t="shared" ca="1" si="7"/>
        <v/>
      </c>
      <c r="E60" s="23"/>
      <c r="F60" s="59" t="str">
        <f t="shared" ca="1" si="8"/>
        <v/>
      </c>
      <c r="G60" s="122" t="str" cm="1">
        <f t="array" aca="1" ref="G60" ca="1">_xlfn.LET(_xlpm._val,IFERROR(SimpleLookup($A60,Countermeasures!$A:$R),IFERROR(SimpleLookup($A60,Assumptions!$A:$R),"")),IF(_xlpm._val="","",_xlpm._val))</f>
        <v/>
      </c>
      <c r="H60" s="33" t="str" cm="1">
        <f t="array" aca="1" ref="H60" ca="1">_xlfn.LET(_xlpm._value,IF($A60="","",IFERROR(IF($J60,SimpleLookup($A60,Assumptions!$A:$S),SimpleLookup($A60,Countermeasures!$A:$S)),"")),
IF(_xlpm._value="","",_xlpm._value))</f>
        <v/>
      </c>
      <c r="I60" s="10" cm="1">
        <f t="array" aca="1" ref="I60" ca="1">IF(ROW()=ROW($I$17)+1,0,INDEX($I:$I,ROW()-1))+IF($A60="",0,1)</f>
        <v>12</v>
      </c>
      <c r="J60" s="21" t="b">
        <f ca="1">_xlfn.LET(_xlpm._row,ROW()-ROW($K$17),
_xlpm._numActiveAssumptions,Helper!$B$8,
_xlpm._numAdditionalAssumptions,SUM(Table24['# Elements]),
_xlpm._row&lt;=_xlpm._numActiveAssumptions+_xlpm._numAdditionalAssumptions)</f>
        <v>0</v>
      </c>
      <c r="K60" s="21">
        <f ca="1">_xlfn.LET(_xlpm._row,ROW()-ROW($K$17),
_xlpm._numActiveAssumptions,Helper!$B$8,
_xlpm._numAdditionalAssumptions,Helper!$B$10,
_xlpm._isAssumption,$J60,
_xlpm._elementID,IF(_xlpm._isAssumption,_xlpm._row,_xlpm._row-_xlpm._numActiveAssumptions-_xlpm._numAdditionalAssumptions),
_xlpm._elementID)</f>
        <v>37</v>
      </c>
      <c r="L60"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60" s="20" cm="1">
        <f t="array" aca="1" ref="M60" ca="1">IF($L60,
IF(ROW()=ROW($M$17)+1,1,INDEX($M:$M,ROW()-1)+IF(INDEX($T:$T,ROW()-1),1,0)),
1)</f>
        <v>1</v>
      </c>
      <c r="N60" s="20" t="str" cm="1">
        <f t="array" aca="1" ref="N60" ca="1">IF($L60=TRUE,
_xlfn.LET(
_xlpm._isAssumption,$J60,
_xlpm._indexRange,IF(_xlpm._isAssumption,Table24['# Elements],Table25['# Elements]),
_xlpm._lookupRow,$W60,
INDEX(_xlpm._indexRange,_xlpm._lookupRow)),
"")</f>
        <v/>
      </c>
      <c r="O60" s="20" t="str" cm="1">
        <f t="array" aca="1" ref="O60" ca="1">IF($N60="","",_xlfn.LET(
_xlpm._prevRow,ROW()-1,
IF(OR(INDEX($N:$N,_xlpm._prevRow)&lt;&gt;$N60,INDEX($M:$M,_xlpm._prevRow)&lt;&gt;$M60),
1,
INDEX($O:$O,_xlpm._prevRow)+IF(INDEX($S:$S,_xlpm._prevRow),1,0))))</f>
        <v/>
      </c>
      <c r="P60" s="20" t="str" cm="1">
        <f t="array" aca="1" ref="P60" ca="1">IF($O60="","",_xlfn.LET(
_xlpm._isAssumption,$J60,
_xlpm._sheetRow,$W60,
_xlpm._sheetName,$X60,
_xlpm._elementIDRange,IF(_xlpm._isAssumption,Table24[Element ID Column],Table25[Element ID Column]),
_xlpm._numberOfElementsRange,IF(_xlpm._isAssumption,Table24[Number of Elements Column],Table25[Number of Elements Column]),
SimpleLookup($O60,INDIRECT("'"&amp;_xlpm._sheetName&amp;"'!"&amp;INDEX(_xlpm._elementIDRange,_xlpm._sheetRow)&amp;":"&amp;INDEX(_xlpm._numberOfElementsRange,_xlpm._sheetRow)))))</f>
        <v/>
      </c>
      <c r="Q60" s="20" t="str" cm="1">
        <f t="array" aca="1" ref="Q60" ca="1">IF($O60="","",IF(OR(INDEX($O:$O,ROW()-1)&lt;&gt;$O60,INDEX($M:$M,ROW()-1)&lt;&gt;$M60),1,INDEX($Q:$Q,ROW()-1)+1))</f>
        <v/>
      </c>
      <c r="R60" s="20">
        <f t="shared" ca="1" si="9"/>
        <v>0</v>
      </c>
      <c r="S60" s="20" t="str">
        <f t="shared" ca="1" si="10"/>
        <v/>
      </c>
      <c r="T60" s="20" t="b">
        <f ca="1">_xlfn.LET(
_xlpm._isAssumption,$J60,
_xlpm._numberOfElementsRange,IF(_xlpm._isAssumption,Table24['# Elements],Table25['# Elements]),
_xlpm._sheetRow,$W60,
IF($L60,AND($S60,$R60=$N60),FALSE))</f>
        <v>0</v>
      </c>
      <c r="U60" s="20" t="str" cm="1">
        <f t="array" aca="1" ref="U60" ca="1">IF($L60,
_xlfn.LET(
_xlpm._elementID,$O60,
_xlpm._isAssumption,$J60,
_xlpm._sheetRow,$W60,
_xlpm._sheetName,$X60,
_xlpm._elementRow,$Y60,
_xlpm._resultColumnLetter,IF(_xlpm._isAssumption,INDEX(Table24[Comment Column],_xlpm._sheetRow),INDEX(Table25[Comment Column],_xlpm._sheetRow)),
INDEX(INDIRECT("'"&amp;_xlpm._sheetName&amp;"'!"&amp;_xlpm._resultColumnLetter&amp;":"&amp;_xlpm._resultColumnLetter),_xlpm._elementRow)),
"")</f>
        <v/>
      </c>
      <c r="V60" s="20" t="str" cm="1">
        <f t="array" aca="1" ref="V60" ca="1">IF($L60,
_xlfn.LET(
_xlpm._elementID,$O60,
_xlpm._isAssumption,$J60,
_xlpm._sheetRow,$W60,
_xlpm._sheetName,$X60,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60" s="20" t="str">
        <f ca="1">IF($L60=TRUE,
_xlfn.LET(
_xlpm._isAssumption,$J60,
_xlpm._searchRange,IF(_xlpm._isAssumption,Table24[Task Sheet Shadow ID],Table25[Task Sheet Shadow ID]),
MATCH($M60,_xlpm._searchRange,0)),
"")</f>
        <v/>
      </c>
      <c r="X60" s="20" t="str" cm="1">
        <f t="array" aca="1" ref="X60" ca="1">IF($L60,
_xlfn.LET(
_xlpm._isAssumption,$J60,
_xlpm._sheetRow,$W60,
IF(_xlpm._isAssumption,INDEX(Table24[Sheet Name],_xlpm._sheetRow),INDEX(Table25[Sheet Name],_xlpm._sheetRow))),
"")</f>
        <v/>
      </c>
      <c r="Y60" s="20" t="str" cm="1">
        <f t="array" aca="1" ref="Y60" ca="1">IF($L60,
_xlfn.LET(
_xlpm._elementID,$O60,
_xlpm._isAssumption,$J60,
_xlpm._sheetRow,$W60,
_xlpm._sheetName,$X60,
_xlpm._elementIDColumnLetter,IF(_xlpm._isAssumption,INDEX(Table24[Element ID Column],_xlpm._sheetRow),INDEX(Table25[Element ID Column],_xlpm._sheetRow)),
MATCH(_xlpm._elementID,INDIRECT("'"&amp;_xlpm._sheetName&amp;"'!"&amp;_xlpm._elementIDColumnLetter&amp;":"&amp;_xlpm._elementIDColumnLetter),0)),
"")</f>
        <v/>
      </c>
      <c r="Z60" s="20" t="str" cm="1">
        <f t="array" aca="1" ref="Z60" ca="1">IF($A60="","",_xlfn.LET(
_xlpm._isAssumption,$J60,
_xlpm._isAdditionalElement,$L60,
_xlpm._sheetRow,$W60,
_xlpm._sheetName,$X60,
_xlpm._columnLetter,INDEX(IF(_xlpm._isAdditionalElement,Table24[Comment Column],Table25[Comment Column]),_xlpm._sheetRow),
_xlpm._sheetReference,IF(_xlpm._isAssumption,IF(_xlpm._isAdditionalElement,
CELL("address",INDEX(INDIRECT("'"&amp;_xlpm._sheetName&amp;"'!"&amp;_xlpm._columnLetter&amp;":"&amp;_xlpm._columnLetter),$Y60)),
CELL("address",INDEX(Assumptions!$A:$A,MATCH($A60,Assumptions!$A:$A,0),1))),
IF(_xlpm._isAdditionalElement,
CELL("address",INDEX(INDIRECT("'"&amp;_xlpm._sheetName&amp;"'!"&amp;_xlpm._columnLetter&amp;":"&amp;_xlpm._columnLetter),$Y60)),
CELL("address",INDEX(Countermeasures!$A:$A,MATCH($A60,Countermeasures!$A:$A,0),1)))),
_xlpm._start,FIND("]",_xlpm._sheetReference),
"'"&amp;SUBSTITUTE(SUBSTITUTE(RIGHT(_xlpm._sheetReference,LEN(_xlpm._sheetReference)-_xlpm._start),"'",""),"!","'!")))</f>
        <v/>
      </c>
      <c r="AA60" s="20" t="str" cm="1">
        <f t="array" aca="1" ref="AA60" ca="1">IF(NOT($L60),
_xlfn.LET(_xlpm._value,IF($A60="","",IF($J60,SimpleLookup($A60,Assumptions!$A:$AK),SimpleLookup($A60,Countermeasures!$A:$AN))),
IF(_xlpm._value="","",_xlpm._value)),
"")</f>
        <v/>
      </c>
      <c r="AB60" s="20" t="str" cm="1">
        <f t="array" aca="1" ref="AB60" ca="1">LookupNames(InverseLookup($A60,Mitigation!$AD$2,Mitigation!$A$2,1,Helper!$B$5,","),'Attack Steps'!$A:$B)</f>
        <v/>
      </c>
      <c r="AC60" s="20" t="str" cm="1">
        <f t="array" aca="1" ref="AC60" ca="1">IF($L60,
_xlfn.LET(
_xlpm._in,$A60,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60" s="20" t="str" cm="1">
        <f t="array" aca="1" ref="AD60" ca="1">_xlfn.LET(
_xlpm._countermeasures,InverseLookup($A60,Countermeasures!$AG$2,Countermeasures!$A$2,1,Helper!$B$4,","),
LookupNames(_xlpm._countermeasures,Countermeasures!$A:$B))</f>
        <v/>
      </c>
      <c r="AE60" s="20" t="str" cm="1">
        <f t="array" aca="1" ref="AE60" ca="1">IF($E60="","",_xlfn.LET(
_xlpm._id,$E60,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60" s="20" t="str" cm="1">
        <f t="array" aca="1" ref="AF60" ca="1">IF(OR($A60="",$L60),"",_xlfn.LET(
_xlpm._answers,IF($J60,SimpleLookup($A60,Assumptions!$A:$F),SimpleLookup($A60,Countermeasures!$A:$D)),
IF(_xlpm._answers="*",IF($J60,SimpleLookup($A60,Assumptions!$A:$C),SimpleLookup($A60,Countermeasures!$A:$C)),"")))</f>
        <v/>
      </c>
      <c r="AG60" s="20" t="str" cm="1">
        <f t="array" aca="1" ref="AG60" ca="1">IF(NOT($L60),"",_xlfn.LET(
_xlpm._mappedInMitigation,IFERROR(VLOOKUP($V60,'Attack Steps'!$A:$O,COLUMNS('Attack Steps'!$A:$O),FALSE),""),
CreateSearchString(_xlpm._mappedInMitigation)))</f>
        <v/>
      </c>
      <c r="AH60" s="20" t="b">
        <f ca="1">ROW()-ROW($AH$17)=Helper!$B$15</f>
        <v>0</v>
      </c>
      <c r="AI60" s="20" t="str">
        <f t="shared" ca="1" si="11"/>
        <v/>
      </c>
      <c r="AJ60" s="20" cm="1">
        <f t="array" aca="1" ref="AJ60" ca="1">CreateID($AJ$17,$AJ:$AJ,$AI60&lt;&gt;"")</f>
        <v>0</v>
      </c>
    </row>
    <row r="61" spans="1:36" x14ac:dyDescent="0.25">
      <c r="A61" s="16" t="str">
        <f ca="1">_xlfn.LET(
_xlpm._isAssumption,$J61,
_xlpm._row,$K61,
_xlpm._numActiveAssumptions,Helper!$B$8,
_xlpm._numActiveCountermeasures,Helper!$B$9,
_xlpm._numAdditionalAssumptions,Helper!$B$10,
_xlpm._numAdditionalCountermeasures,Helper!$B$11,
IF(_xlpm._isAssumption,
IF(_xlpm._row&gt;_xlpm._numActiveAssumptions,
$V61&amp;"-A"&amp;$Q61,
INDEX(Assumptions!A:A,MATCH(_xlpm._row,Assumptions!$AG:$AG,0))),
IF(_xlpm._row&gt;_xlpm._numActiveCountermeasures+_xlpm._numAdditionalCountermeasures,"",
IF(_xlpm._row&gt;_xlpm._numActiveCountermeasures,
$V61&amp;"-C"&amp;$Q61,
INDEX(Countermeasures!$A:$A,MATCH(_xlpm._row,Countermeasures!$AI:$AI,0))))))</f>
        <v/>
      </c>
      <c r="B61" s="33" t="str" cm="1">
        <f t="array" aca="1" ref="B61" ca="1">IF($A61="","",
_xlfn.LET(
_xlpm._isAssumption,$J61,
_xlpm._isAdditionalElement,$L61,
IF(_xlpm._isAdditionalElement,
IF(_xlpm._isAssumption,
ParseElementsFromComment($U61,Definitions!$AR$4,Definitions!$AS$4,Definitions!$AR$6,$Q61),
ParseElementsFromComment($U61,Definitions!$AR$5,Definitions!$AS$5,Definitions!$AR$6,$Q61)),
 _xlfn.LET(_xlpm._value,IF($A61="","",IF($J61,SimpleLookup($A61,Assumptions!$A:$B),SimpleLookup($A61,Countermeasures!$A:$B))),IF(_xlpm._value="","",_xlpm._value)))))</f>
        <v/>
      </c>
      <c r="C61" s="33" t="str" cm="1">
        <f t="array" aca="1" ref="C61" ca="1">IF($A61="","",IF($J61,IFERROR(SimpleLookup($A61,Assumptions!$A:$E),""),Definitions!$AO$4))</f>
        <v/>
      </c>
      <c r="D61" s="37" t="str">
        <f t="shared" ca="1" si="7"/>
        <v/>
      </c>
      <c r="E61" s="23"/>
      <c r="F61" s="59" t="str">
        <f t="shared" ca="1" si="8"/>
        <v/>
      </c>
      <c r="G61" s="122" t="str" cm="1">
        <f t="array" aca="1" ref="G61" ca="1">_xlfn.LET(_xlpm._val,IFERROR(SimpleLookup($A61,Countermeasures!$A:$R),IFERROR(SimpleLookup($A61,Assumptions!$A:$R),"")),IF(_xlpm._val="","",_xlpm._val))</f>
        <v/>
      </c>
      <c r="H61" s="33" t="str" cm="1">
        <f t="array" aca="1" ref="H61" ca="1">_xlfn.LET(_xlpm._value,IF($A61="","",IFERROR(IF($J61,SimpleLookup($A61,Assumptions!$A:$S),SimpleLookup($A61,Countermeasures!$A:$S)),"")),
IF(_xlpm._value="","",_xlpm._value))</f>
        <v/>
      </c>
      <c r="I61" s="10" cm="1">
        <f t="array" aca="1" ref="I61" ca="1">IF(ROW()=ROW($I$17)+1,0,INDEX($I:$I,ROW()-1))+IF($A61="",0,1)</f>
        <v>12</v>
      </c>
      <c r="J61" s="21" t="b">
        <f ca="1">_xlfn.LET(_xlpm._row,ROW()-ROW($K$17),
_xlpm._numActiveAssumptions,Helper!$B$8,
_xlpm._numAdditionalAssumptions,SUM(Table24['# Elements]),
_xlpm._row&lt;=_xlpm._numActiveAssumptions+_xlpm._numAdditionalAssumptions)</f>
        <v>0</v>
      </c>
      <c r="K61" s="21">
        <f ca="1">_xlfn.LET(_xlpm._row,ROW()-ROW($K$17),
_xlpm._numActiveAssumptions,Helper!$B$8,
_xlpm._numAdditionalAssumptions,Helper!$B$10,
_xlpm._isAssumption,$J61,
_xlpm._elementID,IF(_xlpm._isAssumption,_xlpm._row,_xlpm._row-_xlpm._numActiveAssumptions-_xlpm._numAdditionalAssumptions),
_xlpm._elementID)</f>
        <v>38</v>
      </c>
      <c r="L61"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61" s="20" cm="1">
        <f t="array" aca="1" ref="M61" ca="1">IF($L61,
IF(ROW()=ROW($M$17)+1,1,INDEX($M:$M,ROW()-1)+IF(INDEX($T:$T,ROW()-1),1,0)),
1)</f>
        <v>1</v>
      </c>
      <c r="N61" s="20" t="str" cm="1">
        <f t="array" aca="1" ref="N61" ca="1">IF($L61=TRUE,
_xlfn.LET(
_xlpm._isAssumption,$J61,
_xlpm._indexRange,IF(_xlpm._isAssumption,Table24['# Elements],Table25['# Elements]),
_xlpm._lookupRow,$W61,
INDEX(_xlpm._indexRange,_xlpm._lookupRow)),
"")</f>
        <v/>
      </c>
      <c r="O61" s="20" t="str" cm="1">
        <f t="array" aca="1" ref="O61" ca="1">IF($N61="","",_xlfn.LET(
_xlpm._prevRow,ROW()-1,
IF(OR(INDEX($N:$N,_xlpm._prevRow)&lt;&gt;$N61,INDEX($M:$M,_xlpm._prevRow)&lt;&gt;$M61),
1,
INDEX($O:$O,_xlpm._prevRow)+IF(INDEX($S:$S,_xlpm._prevRow),1,0))))</f>
        <v/>
      </c>
      <c r="P61" s="20" t="str" cm="1">
        <f t="array" aca="1" ref="P61" ca="1">IF($O61="","",_xlfn.LET(
_xlpm._isAssumption,$J61,
_xlpm._sheetRow,$W61,
_xlpm._sheetName,$X61,
_xlpm._elementIDRange,IF(_xlpm._isAssumption,Table24[Element ID Column],Table25[Element ID Column]),
_xlpm._numberOfElementsRange,IF(_xlpm._isAssumption,Table24[Number of Elements Column],Table25[Number of Elements Column]),
SimpleLookup($O61,INDIRECT("'"&amp;_xlpm._sheetName&amp;"'!"&amp;INDEX(_xlpm._elementIDRange,_xlpm._sheetRow)&amp;":"&amp;INDEX(_xlpm._numberOfElementsRange,_xlpm._sheetRow)))))</f>
        <v/>
      </c>
      <c r="Q61" s="20" t="str" cm="1">
        <f t="array" aca="1" ref="Q61" ca="1">IF($O61="","",IF(OR(INDEX($O:$O,ROW()-1)&lt;&gt;$O61,INDEX($M:$M,ROW()-1)&lt;&gt;$M61),1,INDEX($Q:$Q,ROW()-1)+1))</f>
        <v/>
      </c>
      <c r="R61" s="20">
        <f t="shared" ca="1" si="9"/>
        <v>0</v>
      </c>
      <c r="S61" s="20" t="str">
        <f t="shared" ca="1" si="10"/>
        <v/>
      </c>
      <c r="T61" s="20" t="b">
        <f ca="1">_xlfn.LET(
_xlpm._isAssumption,$J61,
_xlpm._numberOfElementsRange,IF(_xlpm._isAssumption,Table24['# Elements],Table25['# Elements]),
_xlpm._sheetRow,$W61,
IF($L61,AND($S61,$R61=$N61),FALSE))</f>
        <v>0</v>
      </c>
      <c r="U61" s="20" t="str" cm="1">
        <f t="array" aca="1" ref="U61" ca="1">IF($L61,
_xlfn.LET(
_xlpm._elementID,$O61,
_xlpm._isAssumption,$J61,
_xlpm._sheetRow,$W61,
_xlpm._sheetName,$X61,
_xlpm._elementRow,$Y61,
_xlpm._resultColumnLetter,IF(_xlpm._isAssumption,INDEX(Table24[Comment Column],_xlpm._sheetRow),INDEX(Table25[Comment Column],_xlpm._sheetRow)),
INDEX(INDIRECT("'"&amp;_xlpm._sheetName&amp;"'!"&amp;_xlpm._resultColumnLetter&amp;":"&amp;_xlpm._resultColumnLetter),_xlpm._elementRow)),
"")</f>
        <v/>
      </c>
      <c r="V61" s="20" t="str" cm="1">
        <f t="array" aca="1" ref="V61" ca="1">IF($L61,
_xlfn.LET(
_xlpm._elementID,$O61,
_xlpm._isAssumption,$J61,
_xlpm._sheetRow,$W61,
_xlpm._sheetName,$X61,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61" s="20" t="str">
        <f ca="1">IF($L61=TRUE,
_xlfn.LET(
_xlpm._isAssumption,$J61,
_xlpm._searchRange,IF(_xlpm._isAssumption,Table24[Task Sheet Shadow ID],Table25[Task Sheet Shadow ID]),
MATCH($M61,_xlpm._searchRange,0)),
"")</f>
        <v/>
      </c>
      <c r="X61" s="20" t="str" cm="1">
        <f t="array" aca="1" ref="X61" ca="1">IF($L61,
_xlfn.LET(
_xlpm._isAssumption,$J61,
_xlpm._sheetRow,$W61,
IF(_xlpm._isAssumption,INDEX(Table24[Sheet Name],_xlpm._sheetRow),INDEX(Table25[Sheet Name],_xlpm._sheetRow))),
"")</f>
        <v/>
      </c>
      <c r="Y61" s="20" t="str" cm="1">
        <f t="array" aca="1" ref="Y61" ca="1">IF($L61,
_xlfn.LET(
_xlpm._elementID,$O61,
_xlpm._isAssumption,$J61,
_xlpm._sheetRow,$W61,
_xlpm._sheetName,$X61,
_xlpm._elementIDColumnLetter,IF(_xlpm._isAssumption,INDEX(Table24[Element ID Column],_xlpm._sheetRow),INDEX(Table25[Element ID Column],_xlpm._sheetRow)),
MATCH(_xlpm._elementID,INDIRECT("'"&amp;_xlpm._sheetName&amp;"'!"&amp;_xlpm._elementIDColumnLetter&amp;":"&amp;_xlpm._elementIDColumnLetter),0)),
"")</f>
        <v/>
      </c>
      <c r="Z61" s="20" t="str" cm="1">
        <f t="array" aca="1" ref="Z61" ca="1">IF($A61="","",_xlfn.LET(
_xlpm._isAssumption,$J61,
_xlpm._isAdditionalElement,$L61,
_xlpm._sheetRow,$W61,
_xlpm._sheetName,$X61,
_xlpm._columnLetter,INDEX(IF(_xlpm._isAdditionalElement,Table24[Comment Column],Table25[Comment Column]),_xlpm._sheetRow),
_xlpm._sheetReference,IF(_xlpm._isAssumption,IF(_xlpm._isAdditionalElement,
CELL("address",INDEX(INDIRECT("'"&amp;_xlpm._sheetName&amp;"'!"&amp;_xlpm._columnLetter&amp;":"&amp;_xlpm._columnLetter),$Y61)),
CELL("address",INDEX(Assumptions!$A:$A,MATCH($A61,Assumptions!$A:$A,0),1))),
IF(_xlpm._isAdditionalElement,
CELL("address",INDEX(INDIRECT("'"&amp;_xlpm._sheetName&amp;"'!"&amp;_xlpm._columnLetter&amp;":"&amp;_xlpm._columnLetter),$Y61)),
CELL("address",INDEX(Countermeasures!$A:$A,MATCH($A61,Countermeasures!$A:$A,0),1)))),
_xlpm._start,FIND("]",_xlpm._sheetReference),
"'"&amp;SUBSTITUTE(SUBSTITUTE(RIGHT(_xlpm._sheetReference,LEN(_xlpm._sheetReference)-_xlpm._start),"'",""),"!","'!")))</f>
        <v/>
      </c>
      <c r="AA61" s="20" t="str" cm="1">
        <f t="array" aca="1" ref="AA61" ca="1">IF(NOT($L61),
_xlfn.LET(_xlpm._value,IF($A61="","",IF($J61,SimpleLookup($A61,Assumptions!$A:$AK),SimpleLookup($A61,Countermeasures!$A:$AN))),
IF(_xlpm._value="","",_xlpm._value)),
"")</f>
        <v/>
      </c>
      <c r="AB61" s="20" t="str" cm="1">
        <f t="array" aca="1" ref="AB61" ca="1">LookupNames(InverseLookup($A61,Mitigation!$AD$2,Mitigation!$A$2,1,Helper!$B$5,","),'Attack Steps'!$A:$B)</f>
        <v/>
      </c>
      <c r="AC61" s="20" t="str" cm="1">
        <f t="array" aca="1" ref="AC61" ca="1">IF($L61,
_xlfn.LET(
_xlpm._in,$A61,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61" s="20" t="str" cm="1">
        <f t="array" aca="1" ref="AD61" ca="1">_xlfn.LET(
_xlpm._countermeasures,InverseLookup($A61,Countermeasures!$AG$2,Countermeasures!$A$2,1,Helper!$B$4,","),
LookupNames(_xlpm._countermeasures,Countermeasures!$A:$B))</f>
        <v/>
      </c>
      <c r="AE61" s="20" t="str" cm="1">
        <f t="array" aca="1" ref="AE61" ca="1">IF($E61="","",_xlfn.LET(
_xlpm._id,$E61,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61" s="20" t="str" cm="1">
        <f t="array" aca="1" ref="AF61" ca="1">IF(OR($A61="",$L61),"",_xlfn.LET(
_xlpm._answers,IF($J61,SimpleLookup($A61,Assumptions!$A:$F),SimpleLookup($A61,Countermeasures!$A:$D)),
IF(_xlpm._answers="*",IF($J61,SimpleLookup($A61,Assumptions!$A:$C),SimpleLookup($A61,Countermeasures!$A:$C)),"")))</f>
        <v/>
      </c>
      <c r="AG61" s="20" t="str" cm="1">
        <f t="array" aca="1" ref="AG61" ca="1">IF(NOT($L61),"",_xlfn.LET(
_xlpm._mappedInMitigation,IFERROR(VLOOKUP($V61,'Attack Steps'!$A:$O,COLUMNS('Attack Steps'!$A:$O),FALSE),""),
CreateSearchString(_xlpm._mappedInMitigation)))</f>
        <v/>
      </c>
      <c r="AH61" s="20" t="b">
        <f ca="1">ROW()-ROW($AH$17)=Helper!$B$15</f>
        <v>0</v>
      </c>
      <c r="AI61" s="20" t="str">
        <f t="shared" ca="1" si="11"/>
        <v/>
      </c>
      <c r="AJ61" s="20" cm="1">
        <f t="array" aca="1" ref="AJ61" ca="1">CreateID($AJ$17,$AJ:$AJ,$AI61&lt;&gt;"")</f>
        <v>0</v>
      </c>
    </row>
    <row r="62" spans="1:36" x14ac:dyDescent="0.25">
      <c r="A62" s="16" t="str">
        <f ca="1">_xlfn.LET(
_xlpm._isAssumption,$J62,
_xlpm._row,$K62,
_xlpm._numActiveAssumptions,Helper!$B$8,
_xlpm._numActiveCountermeasures,Helper!$B$9,
_xlpm._numAdditionalAssumptions,Helper!$B$10,
_xlpm._numAdditionalCountermeasures,Helper!$B$11,
IF(_xlpm._isAssumption,
IF(_xlpm._row&gt;_xlpm._numActiveAssumptions,
$V62&amp;"-A"&amp;$Q62,
INDEX(Assumptions!A:A,MATCH(_xlpm._row,Assumptions!$AG:$AG,0))),
IF(_xlpm._row&gt;_xlpm._numActiveCountermeasures+_xlpm._numAdditionalCountermeasures,"",
IF(_xlpm._row&gt;_xlpm._numActiveCountermeasures,
$V62&amp;"-C"&amp;$Q62,
INDEX(Countermeasures!$A:$A,MATCH(_xlpm._row,Countermeasures!$AI:$AI,0))))))</f>
        <v/>
      </c>
      <c r="B62" s="33" t="str" cm="1">
        <f t="array" aca="1" ref="B62" ca="1">IF($A62="","",
_xlfn.LET(
_xlpm._isAssumption,$J62,
_xlpm._isAdditionalElement,$L62,
IF(_xlpm._isAdditionalElement,
IF(_xlpm._isAssumption,
ParseElementsFromComment($U62,Definitions!$AR$4,Definitions!$AS$4,Definitions!$AR$6,$Q62),
ParseElementsFromComment($U62,Definitions!$AR$5,Definitions!$AS$5,Definitions!$AR$6,$Q62)),
 _xlfn.LET(_xlpm._value,IF($A62="","",IF($J62,SimpleLookup($A62,Assumptions!$A:$B),SimpleLookup($A62,Countermeasures!$A:$B))),IF(_xlpm._value="","",_xlpm._value)))))</f>
        <v/>
      </c>
      <c r="C62" s="33" t="str" cm="1">
        <f t="array" aca="1" ref="C62" ca="1">IF($A62="","",IF($J62,IFERROR(SimpleLookup($A62,Assumptions!$A:$E),""),Definitions!$AO$4))</f>
        <v/>
      </c>
      <c r="D62" s="37" t="str">
        <f t="shared" ca="1" si="7"/>
        <v/>
      </c>
      <c r="E62" s="23"/>
      <c r="F62" s="59" t="str">
        <f t="shared" ca="1" si="8"/>
        <v/>
      </c>
      <c r="G62" s="122" t="str" cm="1">
        <f t="array" aca="1" ref="G62" ca="1">_xlfn.LET(_xlpm._val,IFERROR(SimpleLookup($A62,Countermeasures!$A:$R),IFERROR(SimpleLookup($A62,Assumptions!$A:$R),"")),IF(_xlpm._val="","",_xlpm._val))</f>
        <v/>
      </c>
      <c r="H62" s="33" t="str" cm="1">
        <f t="array" aca="1" ref="H62" ca="1">_xlfn.LET(_xlpm._value,IF($A62="","",IFERROR(IF($J62,SimpleLookup($A62,Assumptions!$A:$S),SimpleLookup($A62,Countermeasures!$A:$S)),"")),
IF(_xlpm._value="","",_xlpm._value))</f>
        <v/>
      </c>
      <c r="I62" s="10" cm="1">
        <f t="array" aca="1" ref="I62" ca="1">IF(ROW()=ROW($I$17)+1,0,INDEX($I:$I,ROW()-1))+IF($A62="",0,1)</f>
        <v>12</v>
      </c>
      <c r="J62" s="21" t="b">
        <f ca="1">_xlfn.LET(_xlpm._row,ROW()-ROW($K$17),
_xlpm._numActiveAssumptions,Helper!$B$8,
_xlpm._numAdditionalAssumptions,SUM(Table24['# Elements]),
_xlpm._row&lt;=_xlpm._numActiveAssumptions+_xlpm._numAdditionalAssumptions)</f>
        <v>0</v>
      </c>
      <c r="K62" s="21">
        <f ca="1">_xlfn.LET(_xlpm._row,ROW()-ROW($K$17),
_xlpm._numActiveAssumptions,Helper!$B$8,
_xlpm._numAdditionalAssumptions,Helper!$B$10,
_xlpm._isAssumption,$J62,
_xlpm._elementID,IF(_xlpm._isAssumption,_xlpm._row,_xlpm._row-_xlpm._numActiveAssumptions-_xlpm._numAdditionalAssumptions),
_xlpm._elementID)</f>
        <v>39</v>
      </c>
      <c r="L62"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62" s="20" cm="1">
        <f t="array" aca="1" ref="M62" ca="1">IF($L62,
IF(ROW()=ROW($M$17)+1,1,INDEX($M:$M,ROW()-1)+IF(INDEX($T:$T,ROW()-1),1,0)),
1)</f>
        <v>1</v>
      </c>
      <c r="N62" s="20" t="str" cm="1">
        <f t="array" aca="1" ref="N62" ca="1">IF($L62=TRUE,
_xlfn.LET(
_xlpm._isAssumption,$J62,
_xlpm._indexRange,IF(_xlpm._isAssumption,Table24['# Elements],Table25['# Elements]),
_xlpm._lookupRow,$W62,
INDEX(_xlpm._indexRange,_xlpm._lookupRow)),
"")</f>
        <v/>
      </c>
      <c r="O62" s="20" t="str" cm="1">
        <f t="array" aca="1" ref="O62" ca="1">IF($N62="","",_xlfn.LET(
_xlpm._prevRow,ROW()-1,
IF(OR(INDEX($N:$N,_xlpm._prevRow)&lt;&gt;$N62,INDEX($M:$M,_xlpm._prevRow)&lt;&gt;$M62),
1,
INDEX($O:$O,_xlpm._prevRow)+IF(INDEX($S:$S,_xlpm._prevRow),1,0))))</f>
        <v/>
      </c>
      <c r="P62" s="20" t="str" cm="1">
        <f t="array" aca="1" ref="P62" ca="1">IF($O62="","",_xlfn.LET(
_xlpm._isAssumption,$J62,
_xlpm._sheetRow,$W62,
_xlpm._sheetName,$X62,
_xlpm._elementIDRange,IF(_xlpm._isAssumption,Table24[Element ID Column],Table25[Element ID Column]),
_xlpm._numberOfElementsRange,IF(_xlpm._isAssumption,Table24[Number of Elements Column],Table25[Number of Elements Column]),
SimpleLookup($O62,INDIRECT("'"&amp;_xlpm._sheetName&amp;"'!"&amp;INDEX(_xlpm._elementIDRange,_xlpm._sheetRow)&amp;":"&amp;INDEX(_xlpm._numberOfElementsRange,_xlpm._sheetRow)))))</f>
        <v/>
      </c>
      <c r="Q62" s="20" t="str" cm="1">
        <f t="array" aca="1" ref="Q62" ca="1">IF($O62="","",IF(OR(INDEX($O:$O,ROW()-1)&lt;&gt;$O62,INDEX($M:$M,ROW()-1)&lt;&gt;$M62),1,INDEX($Q:$Q,ROW()-1)+1))</f>
        <v/>
      </c>
      <c r="R62" s="20">
        <f t="shared" ca="1" si="9"/>
        <v>0</v>
      </c>
      <c r="S62" s="20" t="str">
        <f t="shared" ca="1" si="10"/>
        <v/>
      </c>
      <c r="T62" s="20" t="b">
        <f ca="1">_xlfn.LET(
_xlpm._isAssumption,$J62,
_xlpm._numberOfElementsRange,IF(_xlpm._isAssumption,Table24['# Elements],Table25['# Elements]),
_xlpm._sheetRow,$W62,
IF($L62,AND($S62,$R62=$N62),FALSE))</f>
        <v>0</v>
      </c>
      <c r="U62" s="20" t="str" cm="1">
        <f t="array" aca="1" ref="U62" ca="1">IF($L62,
_xlfn.LET(
_xlpm._elementID,$O62,
_xlpm._isAssumption,$J62,
_xlpm._sheetRow,$W62,
_xlpm._sheetName,$X62,
_xlpm._elementRow,$Y62,
_xlpm._resultColumnLetter,IF(_xlpm._isAssumption,INDEX(Table24[Comment Column],_xlpm._sheetRow),INDEX(Table25[Comment Column],_xlpm._sheetRow)),
INDEX(INDIRECT("'"&amp;_xlpm._sheetName&amp;"'!"&amp;_xlpm._resultColumnLetter&amp;":"&amp;_xlpm._resultColumnLetter),_xlpm._elementRow)),
"")</f>
        <v/>
      </c>
      <c r="V62" s="20" t="str" cm="1">
        <f t="array" aca="1" ref="V62" ca="1">IF($L62,
_xlfn.LET(
_xlpm._elementID,$O62,
_xlpm._isAssumption,$J62,
_xlpm._sheetRow,$W62,
_xlpm._sheetName,$X62,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62" s="20" t="str">
        <f ca="1">IF($L62=TRUE,
_xlfn.LET(
_xlpm._isAssumption,$J62,
_xlpm._searchRange,IF(_xlpm._isAssumption,Table24[Task Sheet Shadow ID],Table25[Task Sheet Shadow ID]),
MATCH($M62,_xlpm._searchRange,0)),
"")</f>
        <v/>
      </c>
      <c r="X62" s="20" t="str" cm="1">
        <f t="array" aca="1" ref="X62" ca="1">IF($L62,
_xlfn.LET(
_xlpm._isAssumption,$J62,
_xlpm._sheetRow,$W62,
IF(_xlpm._isAssumption,INDEX(Table24[Sheet Name],_xlpm._sheetRow),INDEX(Table25[Sheet Name],_xlpm._sheetRow))),
"")</f>
        <v/>
      </c>
      <c r="Y62" s="20" t="str" cm="1">
        <f t="array" aca="1" ref="Y62" ca="1">IF($L62,
_xlfn.LET(
_xlpm._elementID,$O62,
_xlpm._isAssumption,$J62,
_xlpm._sheetRow,$W62,
_xlpm._sheetName,$X62,
_xlpm._elementIDColumnLetter,IF(_xlpm._isAssumption,INDEX(Table24[Element ID Column],_xlpm._sheetRow),INDEX(Table25[Element ID Column],_xlpm._sheetRow)),
MATCH(_xlpm._elementID,INDIRECT("'"&amp;_xlpm._sheetName&amp;"'!"&amp;_xlpm._elementIDColumnLetter&amp;":"&amp;_xlpm._elementIDColumnLetter),0)),
"")</f>
        <v/>
      </c>
      <c r="Z62" s="20" t="str" cm="1">
        <f t="array" aca="1" ref="Z62" ca="1">IF($A62="","",_xlfn.LET(
_xlpm._isAssumption,$J62,
_xlpm._isAdditionalElement,$L62,
_xlpm._sheetRow,$W62,
_xlpm._sheetName,$X62,
_xlpm._columnLetter,INDEX(IF(_xlpm._isAdditionalElement,Table24[Comment Column],Table25[Comment Column]),_xlpm._sheetRow),
_xlpm._sheetReference,IF(_xlpm._isAssumption,IF(_xlpm._isAdditionalElement,
CELL("address",INDEX(INDIRECT("'"&amp;_xlpm._sheetName&amp;"'!"&amp;_xlpm._columnLetter&amp;":"&amp;_xlpm._columnLetter),$Y62)),
CELL("address",INDEX(Assumptions!$A:$A,MATCH($A62,Assumptions!$A:$A,0),1))),
IF(_xlpm._isAdditionalElement,
CELL("address",INDEX(INDIRECT("'"&amp;_xlpm._sheetName&amp;"'!"&amp;_xlpm._columnLetter&amp;":"&amp;_xlpm._columnLetter),$Y62)),
CELL("address",INDEX(Countermeasures!$A:$A,MATCH($A62,Countermeasures!$A:$A,0),1)))),
_xlpm._start,FIND("]",_xlpm._sheetReference),
"'"&amp;SUBSTITUTE(SUBSTITUTE(RIGHT(_xlpm._sheetReference,LEN(_xlpm._sheetReference)-_xlpm._start),"'",""),"!","'!")))</f>
        <v/>
      </c>
      <c r="AA62" s="20" t="str" cm="1">
        <f t="array" aca="1" ref="AA62" ca="1">IF(NOT($L62),
_xlfn.LET(_xlpm._value,IF($A62="","",IF($J62,SimpleLookup($A62,Assumptions!$A:$AK),SimpleLookup($A62,Countermeasures!$A:$AN))),
IF(_xlpm._value="","",_xlpm._value)),
"")</f>
        <v/>
      </c>
      <c r="AB62" s="20" t="str" cm="1">
        <f t="array" aca="1" ref="AB62" ca="1">LookupNames(InverseLookup($A62,Mitigation!$AD$2,Mitigation!$A$2,1,Helper!$B$5,","),'Attack Steps'!$A:$B)</f>
        <v/>
      </c>
      <c r="AC62" s="20" t="str" cm="1">
        <f t="array" aca="1" ref="AC62" ca="1">IF($L62,
_xlfn.LET(
_xlpm._in,$A62,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62" s="20" t="str" cm="1">
        <f t="array" aca="1" ref="AD62" ca="1">_xlfn.LET(
_xlpm._countermeasures,InverseLookup($A62,Countermeasures!$AG$2,Countermeasures!$A$2,1,Helper!$B$4,","),
LookupNames(_xlpm._countermeasures,Countermeasures!$A:$B))</f>
        <v/>
      </c>
      <c r="AE62" s="20" t="str" cm="1">
        <f t="array" aca="1" ref="AE62" ca="1">IF($E62="","",_xlfn.LET(
_xlpm._id,$E62,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62" s="20" t="str" cm="1">
        <f t="array" aca="1" ref="AF62" ca="1">IF(OR($A62="",$L62),"",_xlfn.LET(
_xlpm._answers,IF($J62,SimpleLookup($A62,Assumptions!$A:$F),SimpleLookup($A62,Countermeasures!$A:$D)),
IF(_xlpm._answers="*",IF($J62,SimpleLookup($A62,Assumptions!$A:$C),SimpleLookup($A62,Countermeasures!$A:$C)),"")))</f>
        <v/>
      </c>
      <c r="AG62" s="20" t="str" cm="1">
        <f t="array" aca="1" ref="AG62" ca="1">IF(NOT($L62),"",_xlfn.LET(
_xlpm._mappedInMitigation,IFERROR(VLOOKUP($V62,'Attack Steps'!$A:$O,COLUMNS('Attack Steps'!$A:$O),FALSE),""),
CreateSearchString(_xlpm._mappedInMitigation)))</f>
        <v/>
      </c>
      <c r="AH62" s="20" t="b">
        <f ca="1">ROW()-ROW($AH$17)=Helper!$B$15</f>
        <v>0</v>
      </c>
      <c r="AI62" s="20" t="str">
        <f t="shared" ca="1" si="11"/>
        <v/>
      </c>
      <c r="AJ62" s="20" cm="1">
        <f t="array" aca="1" ref="AJ62" ca="1">CreateID($AJ$17,$AJ:$AJ,$AI62&lt;&gt;"")</f>
        <v>0</v>
      </c>
    </row>
    <row r="63" spans="1:36" x14ac:dyDescent="0.25">
      <c r="A63" s="16" t="str">
        <f ca="1">_xlfn.LET(
_xlpm._isAssumption,$J63,
_xlpm._row,$K63,
_xlpm._numActiveAssumptions,Helper!$B$8,
_xlpm._numActiveCountermeasures,Helper!$B$9,
_xlpm._numAdditionalAssumptions,Helper!$B$10,
_xlpm._numAdditionalCountermeasures,Helper!$B$11,
IF(_xlpm._isAssumption,
IF(_xlpm._row&gt;_xlpm._numActiveAssumptions,
$V63&amp;"-A"&amp;$Q63,
INDEX(Assumptions!A:A,MATCH(_xlpm._row,Assumptions!$AG:$AG,0))),
IF(_xlpm._row&gt;_xlpm._numActiveCountermeasures+_xlpm._numAdditionalCountermeasures,"",
IF(_xlpm._row&gt;_xlpm._numActiveCountermeasures,
$V63&amp;"-C"&amp;$Q63,
INDEX(Countermeasures!$A:$A,MATCH(_xlpm._row,Countermeasures!$AI:$AI,0))))))</f>
        <v/>
      </c>
      <c r="B63" s="33" t="str" cm="1">
        <f t="array" aca="1" ref="B63" ca="1">IF($A63="","",
_xlfn.LET(
_xlpm._isAssumption,$J63,
_xlpm._isAdditionalElement,$L63,
IF(_xlpm._isAdditionalElement,
IF(_xlpm._isAssumption,
ParseElementsFromComment($U63,Definitions!$AR$4,Definitions!$AS$4,Definitions!$AR$6,$Q63),
ParseElementsFromComment($U63,Definitions!$AR$5,Definitions!$AS$5,Definitions!$AR$6,$Q63)),
 _xlfn.LET(_xlpm._value,IF($A63="","",IF($J63,SimpleLookup($A63,Assumptions!$A:$B),SimpleLookup($A63,Countermeasures!$A:$B))),IF(_xlpm._value="","",_xlpm._value)))))</f>
        <v/>
      </c>
      <c r="C63" s="33" t="str" cm="1">
        <f t="array" aca="1" ref="C63" ca="1">IF($A63="","",IF($J63,IFERROR(SimpleLookup($A63,Assumptions!$A:$E),""),Definitions!$AO$4))</f>
        <v/>
      </c>
      <c r="D63" s="37" t="str">
        <f t="shared" ca="1" si="7"/>
        <v/>
      </c>
      <c r="E63" s="23"/>
      <c r="F63" s="59" t="str">
        <f t="shared" ca="1" si="8"/>
        <v/>
      </c>
      <c r="G63" s="122" t="str" cm="1">
        <f t="array" aca="1" ref="G63" ca="1">_xlfn.LET(_xlpm._val,IFERROR(SimpleLookup($A63,Countermeasures!$A:$R),IFERROR(SimpleLookup($A63,Assumptions!$A:$R),"")),IF(_xlpm._val="","",_xlpm._val))</f>
        <v/>
      </c>
      <c r="H63" s="33" t="str" cm="1">
        <f t="array" aca="1" ref="H63" ca="1">_xlfn.LET(_xlpm._value,IF($A63="","",IFERROR(IF($J63,SimpleLookup($A63,Assumptions!$A:$S),SimpleLookup($A63,Countermeasures!$A:$S)),"")),
IF(_xlpm._value="","",_xlpm._value))</f>
        <v/>
      </c>
      <c r="I63" s="10" cm="1">
        <f t="array" aca="1" ref="I63" ca="1">IF(ROW()=ROW($I$17)+1,0,INDEX($I:$I,ROW()-1))+IF($A63="",0,1)</f>
        <v>12</v>
      </c>
      <c r="J63" s="21" t="b">
        <f ca="1">_xlfn.LET(_xlpm._row,ROW()-ROW($K$17),
_xlpm._numActiveAssumptions,Helper!$B$8,
_xlpm._numAdditionalAssumptions,SUM(Table24['# Elements]),
_xlpm._row&lt;=_xlpm._numActiveAssumptions+_xlpm._numAdditionalAssumptions)</f>
        <v>0</v>
      </c>
      <c r="K63" s="21">
        <f ca="1">_xlfn.LET(_xlpm._row,ROW()-ROW($K$17),
_xlpm._numActiveAssumptions,Helper!$B$8,
_xlpm._numAdditionalAssumptions,Helper!$B$10,
_xlpm._isAssumption,$J63,
_xlpm._elementID,IF(_xlpm._isAssumption,_xlpm._row,_xlpm._row-_xlpm._numActiveAssumptions-_xlpm._numAdditionalAssumptions),
_xlpm._elementID)</f>
        <v>40</v>
      </c>
      <c r="L63"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63" s="20" cm="1">
        <f t="array" aca="1" ref="M63" ca="1">IF($L63,
IF(ROW()=ROW($M$17)+1,1,INDEX($M:$M,ROW()-1)+IF(INDEX($T:$T,ROW()-1),1,0)),
1)</f>
        <v>1</v>
      </c>
      <c r="N63" s="20" t="str" cm="1">
        <f t="array" aca="1" ref="N63" ca="1">IF($L63=TRUE,
_xlfn.LET(
_xlpm._isAssumption,$J63,
_xlpm._indexRange,IF(_xlpm._isAssumption,Table24['# Elements],Table25['# Elements]),
_xlpm._lookupRow,$W63,
INDEX(_xlpm._indexRange,_xlpm._lookupRow)),
"")</f>
        <v/>
      </c>
      <c r="O63" s="20" t="str" cm="1">
        <f t="array" aca="1" ref="O63" ca="1">IF($N63="","",_xlfn.LET(
_xlpm._prevRow,ROW()-1,
IF(OR(INDEX($N:$N,_xlpm._prevRow)&lt;&gt;$N63,INDEX($M:$M,_xlpm._prevRow)&lt;&gt;$M63),
1,
INDEX($O:$O,_xlpm._prevRow)+IF(INDEX($S:$S,_xlpm._prevRow),1,0))))</f>
        <v/>
      </c>
      <c r="P63" s="20" t="str" cm="1">
        <f t="array" aca="1" ref="P63" ca="1">IF($O63="","",_xlfn.LET(
_xlpm._isAssumption,$J63,
_xlpm._sheetRow,$W63,
_xlpm._sheetName,$X63,
_xlpm._elementIDRange,IF(_xlpm._isAssumption,Table24[Element ID Column],Table25[Element ID Column]),
_xlpm._numberOfElementsRange,IF(_xlpm._isAssumption,Table24[Number of Elements Column],Table25[Number of Elements Column]),
SimpleLookup($O63,INDIRECT("'"&amp;_xlpm._sheetName&amp;"'!"&amp;INDEX(_xlpm._elementIDRange,_xlpm._sheetRow)&amp;":"&amp;INDEX(_xlpm._numberOfElementsRange,_xlpm._sheetRow)))))</f>
        <v/>
      </c>
      <c r="Q63" s="20" t="str" cm="1">
        <f t="array" aca="1" ref="Q63" ca="1">IF($O63="","",IF(OR(INDEX($O:$O,ROW()-1)&lt;&gt;$O63,INDEX($M:$M,ROW()-1)&lt;&gt;$M63),1,INDEX($Q:$Q,ROW()-1)+1))</f>
        <v/>
      </c>
      <c r="R63" s="20">
        <f t="shared" ca="1" si="9"/>
        <v>0</v>
      </c>
      <c r="S63" s="20" t="str">
        <f t="shared" ca="1" si="10"/>
        <v/>
      </c>
      <c r="T63" s="20" t="b">
        <f ca="1">_xlfn.LET(
_xlpm._isAssumption,$J63,
_xlpm._numberOfElementsRange,IF(_xlpm._isAssumption,Table24['# Elements],Table25['# Elements]),
_xlpm._sheetRow,$W63,
IF($L63,AND($S63,$R63=$N63),FALSE))</f>
        <v>0</v>
      </c>
      <c r="U63" s="20" t="str" cm="1">
        <f t="array" aca="1" ref="U63" ca="1">IF($L63,
_xlfn.LET(
_xlpm._elementID,$O63,
_xlpm._isAssumption,$J63,
_xlpm._sheetRow,$W63,
_xlpm._sheetName,$X63,
_xlpm._elementRow,$Y63,
_xlpm._resultColumnLetter,IF(_xlpm._isAssumption,INDEX(Table24[Comment Column],_xlpm._sheetRow),INDEX(Table25[Comment Column],_xlpm._sheetRow)),
INDEX(INDIRECT("'"&amp;_xlpm._sheetName&amp;"'!"&amp;_xlpm._resultColumnLetter&amp;":"&amp;_xlpm._resultColumnLetter),_xlpm._elementRow)),
"")</f>
        <v/>
      </c>
      <c r="V63" s="20" t="str" cm="1">
        <f t="array" aca="1" ref="V63" ca="1">IF($L63,
_xlfn.LET(
_xlpm._elementID,$O63,
_xlpm._isAssumption,$J63,
_xlpm._sheetRow,$W63,
_xlpm._sheetName,$X63,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63" s="20" t="str">
        <f ca="1">IF($L63=TRUE,
_xlfn.LET(
_xlpm._isAssumption,$J63,
_xlpm._searchRange,IF(_xlpm._isAssumption,Table24[Task Sheet Shadow ID],Table25[Task Sheet Shadow ID]),
MATCH($M63,_xlpm._searchRange,0)),
"")</f>
        <v/>
      </c>
      <c r="X63" s="20" t="str" cm="1">
        <f t="array" aca="1" ref="X63" ca="1">IF($L63,
_xlfn.LET(
_xlpm._isAssumption,$J63,
_xlpm._sheetRow,$W63,
IF(_xlpm._isAssumption,INDEX(Table24[Sheet Name],_xlpm._sheetRow),INDEX(Table25[Sheet Name],_xlpm._sheetRow))),
"")</f>
        <v/>
      </c>
      <c r="Y63" s="20" t="str" cm="1">
        <f t="array" aca="1" ref="Y63" ca="1">IF($L63,
_xlfn.LET(
_xlpm._elementID,$O63,
_xlpm._isAssumption,$J63,
_xlpm._sheetRow,$W63,
_xlpm._sheetName,$X63,
_xlpm._elementIDColumnLetter,IF(_xlpm._isAssumption,INDEX(Table24[Element ID Column],_xlpm._sheetRow),INDEX(Table25[Element ID Column],_xlpm._sheetRow)),
MATCH(_xlpm._elementID,INDIRECT("'"&amp;_xlpm._sheetName&amp;"'!"&amp;_xlpm._elementIDColumnLetter&amp;":"&amp;_xlpm._elementIDColumnLetter),0)),
"")</f>
        <v/>
      </c>
      <c r="Z63" s="20" t="str" cm="1">
        <f t="array" aca="1" ref="Z63" ca="1">IF($A63="","",_xlfn.LET(
_xlpm._isAssumption,$J63,
_xlpm._isAdditionalElement,$L63,
_xlpm._sheetRow,$W63,
_xlpm._sheetName,$X63,
_xlpm._columnLetter,INDEX(IF(_xlpm._isAdditionalElement,Table24[Comment Column],Table25[Comment Column]),_xlpm._sheetRow),
_xlpm._sheetReference,IF(_xlpm._isAssumption,IF(_xlpm._isAdditionalElement,
CELL("address",INDEX(INDIRECT("'"&amp;_xlpm._sheetName&amp;"'!"&amp;_xlpm._columnLetter&amp;":"&amp;_xlpm._columnLetter),$Y63)),
CELL("address",INDEX(Assumptions!$A:$A,MATCH($A63,Assumptions!$A:$A,0),1))),
IF(_xlpm._isAdditionalElement,
CELL("address",INDEX(INDIRECT("'"&amp;_xlpm._sheetName&amp;"'!"&amp;_xlpm._columnLetter&amp;":"&amp;_xlpm._columnLetter),$Y63)),
CELL("address",INDEX(Countermeasures!$A:$A,MATCH($A63,Countermeasures!$A:$A,0),1)))),
_xlpm._start,FIND("]",_xlpm._sheetReference),
"'"&amp;SUBSTITUTE(SUBSTITUTE(RIGHT(_xlpm._sheetReference,LEN(_xlpm._sheetReference)-_xlpm._start),"'",""),"!","'!")))</f>
        <v/>
      </c>
      <c r="AA63" s="20" t="str" cm="1">
        <f t="array" aca="1" ref="AA63" ca="1">IF(NOT($L63),
_xlfn.LET(_xlpm._value,IF($A63="","",IF($J63,SimpleLookup($A63,Assumptions!$A:$AK),SimpleLookup($A63,Countermeasures!$A:$AN))),
IF(_xlpm._value="","",_xlpm._value)),
"")</f>
        <v/>
      </c>
      <c r="AB63" s="20" t="str" cm="1">
        <f t="array" aca="1" ref="AB63" ca="1">LookupNames(InverseLookup($A63,Mitigation!$AD$2,Mitigation!$A$2,1,Helper!$B$5,","),'Attack Steps'!$A:$B)</f>
        <v/>
      </c>
      <c r="AC63" s="20" t="str" cm="1">
        <f t="array" aca="1" ref="AC63" ca="1">IF($L63,
_xlfn.LET(
_xlpm._in,$A63,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63" s="20" t="str" cm="1">
        <f t="array" aca="1" ref="AD63" ca="1">_xlfn.LET(
_xlpm._countermeasures,InverseLookup($A63,Countermeasures!$AG$2,Countermeasures!$A$2,1,Helper!$B$4,","),
LookupNames(_xlpm._countermeasures,Countermeasures!$A:$B))</f>
        <v/>
      </c>
      <c r="AE63" s="20" t="str" cm="1">
        <f t="array" aca="1" ref="AE63" ca="1">IF($E63="","",_xlfn.LET(
_xlpm._id,$E63,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63" s="20" t="str" cm="1">
        <f t="array" aca="1" ref="AF63" ca="1">IF(OR($A63="",$L63),"",_xlfn.LET(
_xlpm._answers,IF($J63,SimpleLookup($A63,Assumptions!$A:$F),SimpleLookup($A63,Countermeasures!$A:$D)),
IF(_xlpm._answers="*",IF($J63,SimpleLookup($A63,Assumptions!$A:$C),SimpleLookup($A63,Countermeasures!$A:$C)),"")))</f>
        <v/>
      </c>
      <c r="AG63" s="20" t="str" cm="1">
        <f t="array" aca="1" ref="AG63" ca="1">IF(NOT($L63),"",_xlfn.LET(
_xlpm._mappedInMitigation,IFERROR(VLOOKUP($V63,'Attack Steps'!$A:$O,COLUMNS('Attack Steps'!$A:$O),FALSE),""),
CreateSearchString(_xlpm._mappedInMitigation)))</f>
        <v/>
      </c>
      <c r="AH63" s="20" t="b">
        <f ca="1">ROW()-ROW($AH$17)=Helper!$B$15</f>
        <v>0</v>
      </c>
      <c r="AI63" s="20" t="str">
        <f t="shared" ca="1" si="11"/>
        <v/>
      </c>
      <c r="AJ63" s="20" cm="1">
        <f t="array" aca="1" ref="AJ63" ca="1">CreateID($AJ$17,$AJ:$AJ,$AI63&lt;&gt;"")</f>
        <v>0</v>
      </c>
    </row>
    <row r="64" spans="1:36" x14ac:dyDescent="0.25">
      <c r="A64" s="16" t="str">
        <f ca="1">_xlfn.LET(
_xlpm._isAssumption,$J64,
_xlpm._row,$K64,
_xlpm._numActiveAssumptions,Helper!$B$8,
_xlpm._numActiveCountermeasures,Helper!$B$9,
_xlpm._numAdditionalAssumptions,Helper!$B$10,
_xlpm._numAdditionalCountermeasures,Helper!$B$11,
IF(_xlpm._isAssumption,
IF(_xlpm._row&gt;_xlpm._numActiveAssumptions,
$V64&amp;"-A"&amp;$Q64,
INDEX(Assumptions!A:A,MATCH(_xlpm._row,Assumptions!$AG:$AG,0))),
IF(_xlpm._row&gt;_xlpm._numActiveCountermeasures+_xlpm._numAdditionalCountermeasures,"",
IF(_xlpm._row&gt;_xlpm._numActiveCountermeasures,
$V64&amp;"-C"&amp;$Q64,
INDEX(Countermeasures!$A:$A,MATCH(_xlpm._row,Countermeasures!$AI:$AI,0))))))</f>
        <v/>
      </c>
      <c r="B64" s="33" t="str" cm="1">
        <f t="array" aca="1" ref="B64" ca="1">IF($A64="","",
_xlfn.LET(
_xlpm._isAssumption,$J64,
_xlpm._isAdditionalElement,$L64,
IF(_xlpm._isAdditionalElement,
IF(_xlpm._isAssumption,
ParseElementsFromComment($U64,Definitions!$AR$4,Definitions!$AS$4,Definitions!$AR$6,$Q64),
ParseElementsFromComment($U64,Definitions!$AR$5,Definitions!$AS$5,Definitions!$AR$6,$Q64)),
 _xlfn.LET(_xlpm._value,IF($A64="","",IF($J64,SimpleLookup($A64,Assumptions!$A:$B),SimpleLookup($A64,Countermeasures!$A:$B))),IF(_xlpm._value="","",_xlpm._value)))))</f>
        <v/>
      </c>
      <c r="C64" s="33" t="str" cm="1">
        <f t="array" aca="1" ref="C64" ca="1">IF($A64="","",IF($J64,IFERROR(SimpleLookup($A64,Assumptions!$A:$E),""),Definitions!$AO$4))</f>
        <v/>
      </c>
      <c r="D64" s="37" t="str">
        <f t="shared" ca="1" si="7"/>
        <v/>
      </c>
      <c r="E64" s="23"/>
      <c r="F64" s="59" t="str">
        <f t="shared" ca="1" si="8"/>
        <v/>
      </c>
      <c r="G64" s="122" t="str" cm="1">
        <f t="array" aca="1" ref="G64" ca="1">_xlfn.LET(_xlpm._val,IFERROR(SimpleLookup($A64,Countermeasures!$A:$R),IFERROR(SimpleLookup($A64,Assumptions!$A:$R),"")),IF(_xlpm._val="","",_xlpm._val))</f>
        <v/>
      </c>
      <c r="H64" s="33" t="str" cm="1">
        <f t="array" aca="1" ref="H64" ca="1">_xlfn.LET(_xlpm._value,IF($A64="","",IFERROR(IF($J64,SimpleLookup($A64,Assumptions!$A:$S),SimpleLookup($A64,Countermeasures!$A:$S)),"")),
IF(_xlpm._value="","",_xlpm._value))</f>
        <v/>
      </c>
      <c r="I64" s="10" cm="1">
        <f t="array" aca="1" ref="I64" ca="1">IF(ROW()=ROW($I$17)+1,0,INDEX($I:$I,ROW()-1))+IF($A64="",0,1)</f>
        <v>12</v>
      </c>
      <c r="J64" s="21" t="b">
        <f ca="1">_xlfn.LET(_xlpm._row,ROW()-ROW($K$17),
_xlpm._numActiveAssumptions,Helper!$B$8,
_xlpm._numAdditionalAssumptions,SUM(Table24['# Elements]),
_xlpm._row&lt;=_xlpm._numActiveAssumptions+_xlpm._numAdditionalAssumptions)</f>
        <v>0</v>
      </c>
      <c r="K64" s="21">
        <f ca="1">_xlfn.LET(_xlpm._row,ROW()-ROW($K$17),
_xlpm._numActiveAssumptions,Helper!$B$8,
_xlpm._numAdditionalAssumptions,Helper!$B$10,
_xlpm._isAssumption,$J64,
_xlpm._elementID,IF(_xlpm._isAssumption,_xlpm._row,_xlpm._row-_xlpm._numActiveAssumptions-_xlpm._numAdditionalAssumptions),
_xlpm._elementID)</f>
        <v>41</v>
      </c>
      <c r="L64"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64" s="20" cm="1">
        <f t="array" aca="1" ref="M64" ca="1">IF($L64,
IF(ROW()=ROW($M$17)+1,1,INDEX($M:$M,ROW()-1)+IF(INDEX($T:$T,ROW()-1),1,0)),
1)</f>
        <v>1</v>
      </c>
      <c r="N64" s="20" t="str" cm="1">
        <f t="array" aca="1" ref="N64" ca="1">IF($L64=TRUE,
_xlfn.LET(
_xlpm._isAssumption,$J64,
_xlpm._indexRange,IF(_xlpm._isAssumption,Table24['# Elements],Table25['# Elements]),
_xlpm._lookupRow,$W64,
INDEX(_xlpm._indexRange,_xlpm._lookupRow)),
"")</f>
        <v/>
      </c>
      <c r="O64" s="20" t="str" cm="1">
        <f t="array" aca="1" ref="O64" ca="1">IF($N64="","",_xlfn.LET(
_xlpm._prevRow,ROW()-1,
IF(OR(INDEX($N:$N,_xlpm._prevRow)&lt;&gt;$N64,INDEX($M:$M,_xlpm._prevRow)&lt;&gt;$M64),
1,
INDEX($O:$O,_xlpm._prevRow)+IF(INDEX($S:$S,_xlpm._prevRow),1,0))))</f>
        <v/>
      </c>
      <c r="P64" s="20" t="str" cm="1">
        <f t="array" aca="1" ref="P64" ca="1">IF($O64="","",_xlfn.LET(
_xlpm._isAssumption,$J64,
_xlpm._sheetRow,$W64,
_xlpm._sheetName,$X64,
_xlpm._elementIDRange,IF(_xlpm._isAssumption,Table24[Element ID Column],Table25[Element ID Column]),
_xlpm._numberOfElementsRange,IF(_xlpm._isAssumption,Table24[Number of Elements Column],Table25[Number of Elements Column]),
SimpleLookup($O64,INDIRECT("'"&amp;_xlpm._sheetName&amp;"'!"&amp;INDEX(_xlpm._elementIDRange,_xlpm._sheetRow)&amp;":"&amp;INDEX(_xlpm._numberOfElementsRange,_xlpm._sheetRow)))))</f>
        <v/>
      </c>
      <c r="Q64" s="20" t="str" cm="1">
        <f t="array" aca="1" ref="Q64" ca="1">IF($O64="","",IF(OR(INDEX($O:$O,ROW()-1)&lt;&gt;$O64,INDEX($M:$M,ROW()-1)&lt;&gt;$M64),1,INDEX($Q:$Q,ROW()-1)+1))</f>
        <v/>
      </c>
      <c r="R64" s="20">
        <f t="shared" ca="1" si="9"/>
        <v>0</v>
      </c>
      <c r="S64" s="20" t="str">
        <f t="shared" ca="1" si="10"/>
        <v/>
      </c>
      <c r="T64" s="20" t="b">
        <f ca="1">_xlfn.LET(
_xlpm._isAssumption,$J64,
_xlpm._numberOfElementsRange,IF(_xlpm._isAssumption,Table24['# Elements],Table25['# Elements]),
_xlpm._sheetRow,$W64,
IF($L64,AND($S64,$R64=$N64),FALSE))</f>
        <v>0</v>
      </c>
      <c r="U64" s="20" t="str" cm="1">
        <f t="array" aca="1" ref="U64" ca="1">IF($L64,
_xlfn.LET(
_xlpm._elementID,$O64,
_xlpm._isAssumption,$J64,
_xlpm._sheetRow,$W64,
_xlpm._sheetName,$X64,
_xlpm._elementRow,$Y64,
_xlpm._resultColumnLetter,IF(_xlpm._isAssumption,INDEX(Table24[Comment Column],_xlpm._sheetRow),INDEX(Table25[Comment Column],_xlpm._sheetRow)),
INDEX(INDIRECT("'"&amp;_xlpm._sheetName&amp;"'!"&amp;_xlpm._resultColumnLetter&amp;":"&amp;_xlpm._resultColumnLetter),_xlpm._elementRow)),
"")</f>
        <v/>
      </c>
      <c r="V64" s="20" t="str" cm="1">
        <f t="array" aca="1" ref="V64" ca="1">IF($L64,
_xlfn.LET(
_xlpm._elementID,$O64,
_xlpm._isAssumption,$J64,
_xlpm._sheetRow,$W64,
_xlpm._sheetName,$X64,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64" s="20" t="str">
        <f ca="1">IF($L64=TRUE,
_xlfn.LET(
_xlpm._isAssumption,$J64,
_xlpm._searchRange,IF(_xlpm._isAssumption,Table24[Task Sheet Shadow ID],Table25[Task Sheet Shadow ID]),
MATCH($M64,_xlpm._searchRange,0)),
"")</f>
        <v/>
      </c>
      <c r="X64" s="20" t="str" cm="1">
        <f t="array" aca="1" ref="X64" ca="1">IF($L64,
_xlfn.LET(
_xlpm._isAssumption,$J64,
_xlpm._sheetRow,$W64,
IF(_xlpm._isAssumption,INDEX(Table24[Sheet Name],_xlpm._sheetRow),INDEX(Table25[Sheet Name],_xlpm._sheetRow))),
"")</f>
        <v/>
      </c>
      <c r="Y64" s="20" t="str" cm="1">
        <f t="array" aca="1" ref="Y64" ca="1">IF($L64,
_xlfn.LET(
_xlpm._elementID,$O64,
_xlpm._isAssumption,$J64,
_xlpm._sheetRow,$W64,
_xlpm._sheetName,$X64,
_xlpm._elementIDColumnLetter,IF(_xlpm._isAssumption,INDEX(Table24[Element ID Column],_xlpm._sheetRow),INDEX(Table25[Element ID Column],_xlpm._sheetRow)),
MATCH(_xlpm._elementID,INDIRECT("'"&amp;_xlpm._sheetName&amp;"'!"&amp;_xlpm._elementIDColumnLetter&amp;":"&amp;_xlpm._elementIDColumnLetter),0)),
"")</f>
        <v/>
      </c>
      <c r="Z64" s="20" t="str" cm="1">
        <f t="array" aca="1" ref="Z64" ca="1">IF($A64="","",_xlfn.LET(
_xlpm._isAssumption,$J64,
_xlpm._isAdditionalElement,$L64,
_xlpm._sheetRow,$W64,
_xlpm._sheetName,$X64,
_xlpm._columnLetter,INDEX(IF(_xlpm._isAdditionalElement,Table24[Comment Column],Table25[Comment Column]),_xlpm._sheetRow),
_xlpm._sheetReference,IF(_xlpm._isAssumption,IF(_xlpm._isAdditionalElement,
CELL("address",INDEX(INDIRECT("'"&amp;_xlpm._sheetName&amp;"'!"&amp;_xlpm._columnLetter&amp;":"&amp;_xlpm._columnLetter),$Y64)),
CELL("address",INDEX(Assumptions!$A:$A,MATCH($A64,Assumptions!$A:$A,0),1))),
IF(_xlpm._isAdditionalElement,
CELL("address",INDEX(INDIRECT("'"&amp;_xlpm._sheetName&amp;"'!"&amp;_xlpm._columnLetter&amp;":"&amp;_xlpm._columnLetter),$Y64)),
CELL("address",INDEX(Countermeasures!$A:$A,MATCH($A64,Countermeasures!$A:$A,0),1)))),
_xlpm._start,FIND("]",_xlpm._sheetReference),
"'"&amp;SUBSTITUTE(SUBSTITUTE(RIGHT(_xlpm._sheetReference,LEN(_xlpm._sheetReference)-_xlpm._start),"'",""),"!","'!")))</f>
        <v/>
      </c>
      <c r="AA64" s="20" t="str" cm="1">
        <f t="array" aca="1" ref="AA64" ca="1">IF(NOT($L64),
_xlfn.LET(_xlpm._value,IF($A64="","",IF($J64,SimpleLookup($A64,Assumptions!$A:$AK),SimpleLookup($A64,Countermeasures!$A:$AN))),
IF(_xlpm._value="","",_xlpm._value)),
"")</f>
        <v/>
      </c>
      <c r="AB64" s="20" t="str" cm="1">
        <f t="array" aca="1" ref="AB64" ca="1">LookupNames(InverseLookup($A64,Mitigation!$AD$2,Mitigation!$A$2,1,Helper!$B$5,","),'Attack Steps'!$A:$B)</f>
        <v/>
      </c>
      <c r="AC64" s="20" t="str" cm="1">
        <f t="array" aca="1" ref="AC64" ca="1">IF($L64,
_xlfn.LET(
_xlpm._in,$A64,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64" s="20" t="str" cm="1">
        <f t="array" aca="1" ref="AD64" ca="1">_xlfn.LET(
_xlpm._countermeasures,InverseLookup($A64,Countermeasures!$AG$2,Countermeasures!$A$2,1,Helper!$B$4,","),
LookupNames(_xlpm._countermeasures,Countermeasures!$A:$B))</f>
        <v/>
      </c>
      <c r="AE64" s="20" t="str" cm="1">
        <f t="array" aca="1" ref="AE64" ca="1">IF($E64="","",_xlfn.LET(
_xlpm._id,$E64,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64" s="20" t="str" cm="1">
        <f t="array" aca="1" ref="AF64" ca="1">IF(OR($A64="",$L64),"",_xlfn.LET(
_xlpm._answers,IF($J64,SimpleLookup($A64,Assumptions!$A:$F),SimpleLookup($A64,Countermeasures!$A:$D)),
IF(_xlpm._answers="*",IF($J64,SimpleLookup($A64,Assumptions!$A:$C),SimpleLookup($A64,Countermeasures!$A:$C)),"")))</f>
        <v/>
      </c>
      <c r="AG64" s="20" t="str" cm="1">
        <f t="array" aca="1" ref="AG64" ca="1">IF(NOT($L64),"",_xlfn.LET(
_xlpm._mappedInMitigation,IFERROR(VLOOKUP($V64,'Attack Steps'!$A:$O,COLUMNS('Attack Steps'!$A:$O),FALSE),""),
CreateSearchString(_xlpm._mappedInMitigation)))</f>
        <v/>
      </c>
      <c r="AH64" s="20" t="b">
        <f ca="1">ROW()-ROW($AH$17)=Helper!$B$15</f>
        <v>0</v>
      </c>
      <c r="AI64" s="20" t="str">
        <f t="shared" ca="1" si="11"/>
        <v/>
      </c>
      <c r="AJ64" s="20" cm="1">
        <f t="array" aca="1" ref="AJ64" ca="1">CreateID($AJ$17,$AJ:$AJ,$AI64&lt;&gt;"")</f>
        <v>0</v>
      </c>
    </row>
    <row r="65" spans="1:36" x14ac:dyDescent="0.25">
      <c r="A65" s="16" t="str">
        <f ca="1">_xlfn.LET(
_xlpm._isAssumption,$J65,
_xlpm._row,$K65,
_xlpm._numActiveAssumptions,Helper!$B$8,
_xlpm._numActiveCountermeasures,Helper!$B$9,
_xlpm._numAdditionalAssumptions,Helper!$B$10,
_xlpm._numAdditionalCountermeasures,Helper!$B$11,
IF(_xlpm._isAssumption,
IF(_xlpm._row&gt;_xlpm._numActiveAssumptions,
$V65&amp;"-A"&amp;$Q65,
INDEX(Assumptions!A:A,MATCH(_xlpm._row,Assumptions!$AG:$AG,0))),
IF(_xlpm._row&gt;_xlpm._numActiveCountermeasures+_xlpm._numAdditionalCountermeasures,"",
IF(_xlpm._row&gt;_xlpm._numActiveCountermeasures,
$V65&amp;"-C"&amp;$Q65,
INDEX(Countermeasures!$A:$A,MATCH(_xlpm._row,Countermeasures!$AI:$AI,0))))))</f>
        <v/>
      </c>
      <c r="B65" s="33" t="str" cm="1">
        <f t="array" aca="1" ref="B65" ca="1">IF($A65="","",
_xlfn.LET(
_xlpm._isAssumption,$J65,
_xlpm._isAdditionalElement,$L65,
IF(_xlpm._isAdditionalElement,
IF(_xlpm._isAssumption,
ParseElementsFromComment($U65,Definitions!$AR$4,Definitions!$AS$4,Definitions!$AR$6,$Q65),
ParseElementsFromComment($U65,Definitions!$AR$5,Definitions!$AS$5,Definitions!$AR$6,$Q65)),
 _xlfn.LET(_xlpm._value,IF($A65="","",IF($J65,SimpleLookup($A65,Assumptions!$A:$B),SimpleLookup($A65,Countermeasures!$A:$B))),IF(_xlpm._value="","",_xlpm._value)))))</f>
        <v/>
      </c>
      <c r="C65" s="33" t="str" cm="1">
        <f t="array" aca="1" ref="C65" ca="1">IF($A65="","",IF($J65,IFERROR(SimpleLookup($A65,Assumptions!$A:$E),""),Definitions!$AO$4))</f>
        <v/>
      </c>
      <c r="D65" s="37" t="str">
        <f t="shared" ca="1" si="7"/>
        <v/>
      </c>
      <c r="E65" s="23"/>
      <c r="F65" s="59" t="str">
        <f t="shared" ca="1" si="8"/>
        <v/>
      </c>
      <c r="G65" s="122" t="str" cm="1">
        <f t="array" aca="1" ref="G65" ca="1">_xlfn.LET(_xlpm._val,IFERROR(SimpleLookup($A65,Countermeasures!$A:$R),IFERROR(SimpleLookup($A65,Assumptions!$A:$R),"")),IF(_xlpm._val="","",_xlpm._val))</f>
        <v/>
      </c>
      <c r="H65" s="33" t="str" cm="1">
        <f t="array" aca="1" ref="H65" ca="1">_xlfn.LET(_xlpm._value,IF($A65="","",IFERROR(IF($J65,SimpleLookup($A65,Assumptions!$A:$S),SimpleLookup($A65,Countermeasures!$A:$S)),"")),
IF(_xlpm._value="","",_xlpm._value))</f>
        <v/>
      </c>
      <c r="I65" s="10" cm="1">
        <f t="array" aca="1" ref="I65" ca="1">IF(ROW()=ROW($I$17)+1,0,INDEX($I:$I,ROW()-1))+IF($A65="",0,1)</f>
        <v>12</v>
      </c>
      <c r="J65" s="21" t="b">
        <f ca="1">_xlfn.LET(_xlpm._row,ROW()-ROW($K$17),
_xlpm._numActiveAssumptions,Helper!$B$8,
_xlpm._numAdditionalAssumptions,SUM(Table24['# Elements]),
_xlpm._row&lt;=_xlpm._numActiveAssumptions+_xlpm._numAdditionalAssumptions)</f>
        <v>0</v>
      </c>
      <c r="K65" s="21">
        <f ca="1">_xlfn.LET(_xlpm._row,ROW()-ROW($K$17),
_xlpm._numActiveAssumptions,Helper!$B$8,
_xlpm._numAdditionalAssumptions,Helper!$B$10,
_xlpm._isAssumption,$J65,
_xlpm._elementID,IF(_xlpm._isAssumption,_xlpm._row,_xlpm._row-_xlpm._numActiveAssumptions-_xlpm._numAdditionalAssumptions),
_xlpm._elementID)</f>
        <v>42</v>
      </c>
      <c r="L65"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65" s="20" cm="1">
        <f t="array" aca="1" ref="M65" ca="1">IF($L65,
IF(ROW()=ROW($M$17)+1,1,INDEX($M:$M,ROW()-1)+IF(INDEX($T:$T,ROW()-1),1,0)),
1)</f>
        <v>1</v>
      </c>
      <c r="N65" s="20" t="str" cm="1">
        <f t="array" aca="1" ref="N65" ca="1">IF($L65=TRUE,
_xlfn.LET(
_xlpm._isAssumption,$J65,
_xlpm._indexRange,IF(_xlpm._isAssumption,Table24['# Elements],Table25['# Elements]),
_xlpm._lookupRow,$W65,
INDEX(_xlpm._indexRange,_xlpm._lookupRow)),
"")</f>
        <v/>
      </c>
      <c r="O65" s="20" t="str" cm="1">
        <f t="array" aca="1" ref="O65" ca="1">IF($N65="","",_xlfn.LET(
_xlpm._prevRow,ROW()-1,
IF(OR(INDEX($N:$N,_xlpm._prevRow)&lt;&gt;$N65,INDEX($M:$M,_xlpm._prevRow)&lt;&gt;$M65),
1,
INDEX($O:$O,_xlpm._prevRow)+IF(INDEX($S:$S,_xlpm._prevRow),1,0))))</f>
        <v/>
      </c>
      <c r="P65" s="20" t="str" cm="1">
        <f t="array" aca="1" ref="P65" ca="1">IF($O65="","",_xlfn.LET(
_xlpm._isAssumption,$J65,
_xlpm._sheetRow,$W65,
_xlpm._sheetName,$X65,
_xlpm._elementIDRange,IF(_xlpm._isAssumption,Table24[Element ID Column],Table25[Element ID Column]),
_xlpm._numberOfElementsRange,IF(_xlpm._isAssumption,Table24[Number of Elements Column],Table25[Number of Elements Column]),
SimpleLookup($O65,INDIRECT("'"&amp;_xlpm._sheetName&amp;"'!"&amp;INDEX(_xlpm._elementIDRange,_xlpm._sheetRow)&amp;":"&amp;INDEX(_xlpm._numberOfElementsRange,_xlpm._sheetRow)))))</f>
        <v/>
      </c>
      <c r="Q65" s="20" t="str" cm="1">
        <f t="array" aca="1" ref="Q65" ca="1">IF($O65="","",IF(OR(INDEX($O:$O,ROW()-1)&lt;&gt;$O65,INDEX($M:$M,ROW()-1)&lt;&gt;$M65),1,INDEX($Q:$Q,ROW()-1)+1))</f>
        <v/>
      </c>
      <c r="R65" s="20">
        <f t="shared" ca="1" si="9"/>
        <v>0</v>
      </c>
      <c r="S65" s="20" t="str">
        <f t="shared" ca="1" si="10"/>
        <v/>
      </c>
      <c r="T65" s="20" t="b">
        <f ca="1">_xlfn.LET(
_xlpm._isAssumption,$J65,
_xlpm._numberOfElementsRange,IF(_xlpm._isAssumption,Table24['# Elements],Table25['# Elements]),
_xlpm._sheetRow,$W65,
IF($L65,AND($S65,$R65=$N65),FALSE))</f>
        <v>0</v>
      </c>
      <c r="U65" s="20" t="str" cm="1">
        <f t="array" aca="1" ref="U65" ca="1">IF($L65,
_xlfn.LET(
_xlpm._elementID,$O65,
_xlpm._isAssumption,$J65,
_xlpm._sheetRow,$W65,
_xlpm._sheetName,$X65,
_xlpm._elementRow,$Y65,
_xlpm._resultColumnLetter,IF(_xlpm._isAssumption,INDEX(Table24[Comment Column],_xlpm._sheetRow),INDEX(Table25[Comment Column],_xlpm._sheetRow)),
INDEX(INDIRECT("'"&amp;_xlpm._sheetName&amp;"'!"&amp;_xlpm._resultColumnLetter&amp;":"&amp;_xlpm._resultColumnLetter),_xlpm._elementRow)),
"")</f>
        <v/>
      </c>
      <c r="V65" s="20" t="str" cm="1">
        <f t="array" aca="1" ref="V65" ca="1">IF($L65,
_xlfn.LET(
_xlpm._elementID,$O65,
_xlpm._isAssumption,$J65,
_xlpm._sheetRow,$W65,
_xlpm._sheetName,$X65,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65" s="20" t="str">
        <f ca="1">IF($L65=TRUE,
_xlfn.LET(
_xlpm._isAssumption,$J65,
_xlpm._searchRange,IF(_xlpm._isAssumption,Table24[Task Sheet Shadow ID],Table25[Task Sheet Shadow ID]),
MATCH($M65,_xlpm._searchRange,0)),
"")</f>
        <v/>
      </c>
      <c r="X65" s="20" t="str" cm="1">
        <f t="array" aca="1" ref="X65" ca="1">IF($L65,
_xlfn.LET(
_xlpm._isAssumption,$J65,
_xlpm._sheetRow,$W65,
IF(_xlpm._isAssumption,INDEX(Table24[Sheet Name],_xlpm._sheetRow),INDEX(Table25[Sheet Name],_xlpm._sheetRow))),
"")</f>
        <v/>
      </c>
      <c r="Y65" s="20" t="str" cm="1">
        <f t="array" aca="1" ref="Y65" ca="1">IF($L65,
_xlfn.LET(
_xlpm._elementID,$O65,
_xlpm._isAssumption,$J65,
_xlpm._sheetRow,$W65,
_xlpm._sheetName,$X65,
_xlpm._elementIDColumnLetter,IF(_xlpm._isAssumption,INDEX(Table24[Element ID Column],_xlpm._sheetRow),INDEX(Table25[Element ID Column],_xlpm._sheetRow)),
MATCH(_xlpm._elementID,INDIRECT("'"&amp;_xlpm._sheetName&amp;"'!"&amp;_xlpm._elementIDColumnLetter&amp;":"&amp;_xlpm._elementIDColumnLetter),0)),
"")</f>
        <v/>
      </c>
      <c r="Z65" s="20" t="str" cm="1">
        <f t="array" aca="1" ref="Z65" ca="1">IF($A65="","",_xlfn.LET(
_xlpm._isAssumption,$J65,
_xlpm._isAdditionalElement,$L65,
_xlpm._sheetRow,$W65,
_xlpm._sheetName,$X65,
_xlpm._columnLetter,INDEX(IF(_xlpm._isAdditionalElement,Table24[Comment Column],Table25[Comment Column]),_xlpm._sheetRow),
_xlpm._sheetReference,IF(_xlpm._isAssumption,IF(_xlpm._isAdditionalElement,
CELL("address",INDEX(INDIRECT("'"&amp;_xlpm._sheetName&amp;"'!"&amp;_xlpm._columnLetter&amp;":"&amp;_xlpm._columnLetter),$Y65)),
CELL("address",INDEX(Assumptions!$A:$A,MATCH($A65,Assumptions!$A:$A,0),1))),
IF(_xlpm._isAdditionalElement,
CELL("address",INDEX(INDIRECT("'"&amp;_xlpm._sheetName&amp;"'!"&amp;_xlpm._columnLetter&amp;":"&amp;_xlpm._columnLetter),$Y65)),
CELL("address",INDEX(Countermeasures!$A:$A,MATCH($A65,Countermeasures!$A:$A,0),1)))),
_xlpm._start,FIND("]",_xlpm._sheetReference),
"'"&amp;SUBSTITUTE(SUBSTITUTE(RIGHT(_xlpm._sheetReference,LEN(_xlpm._sheetReference)-_xlpm._start),"'",""),"!","'!")))</f>
        <v/>
      </c>
      <c r="AA65" s="20" t="str" cm="1">
        <f t="array" aca="1" ref="AA65" ca="1">IF(NOT($L65),
_xlfn.LET(_xlpm._value,IF($A65="","",IF($J65,SimpleLookup($A65,Assumptions!$A:$AK),SimpleLookup($A65,Countermeasures!$A:$AN))),
IF(_xlpm._value="","",_xlpm._value)),
"")</f>
        <v/>
      </c>
      <c r="AB65" s="20" t="str" cm="1">
        <f t="array" aca="1" ref="AB65" ca="1">LookupNames(InverseLookup($A65,Mitigation!$AD$2,Mitigation!$A$2,1,Helper!$B$5,","),'Attack Steps'!$A:$B)</f>
        <v/>
      </c>
      <c r="AC65" s="20" t="str" cm="1">
        <f t="array" aca="1" ref="AC65" ca="1">IF($L65,
_xlfn.LET(
_xlpm._in,$A65,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65" s="20" t="str" cm="1">
        <f t="array" aca="1" ref="AD65" ca="1">_xlfn.LET(
_xlpm._countermeasures,InverseLookup($A65,Countermeasures!$AG$2,Countermeasures!$A$2,1,Helper!$B$4,","),
LookupNames(_xlpm._countermeasures,Countermeasures!$A:$B))</f>
        <v/>
      </c>
      <c r="AE65" s="20" t="str" cm="1">
        <f t="array" aca="1" ref="AE65" ca="1">IF($E65="","",_xlfn.LET(
_xlpm._id,$E65,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65" s="20" t="str" cm="1">
        <f t="array" aca="1" ref="AF65" ca="1">IF(OR($A65="",$L65),"",_xlfn.LET(
_xlpm._answers,IF($J65,SimpleLookup($A65,Assumptions!$A:$F),SimpleLookup($A65,Countermeasures!$A:$D)),
IF(_xlpm._answers="*",IF($J65,SimpleLookup($A65,Assumptions!$A:$C),SimpleLookup($A65,Countermeasures!$A:$C)),"")))</f>
        <v/>
      </c>
      <c r="AG65" s="20" t="str" cm="1">
        <f t="array" aca="1" ref="AG65" ca="1">IF(NOT($L65),"",_xlfn.LET(
_xlpm._mappedInMitigation,IFERROR(VLOOKUP($V65,'Attack Steps'!$A:$O,COLUMNS('Attack Steps'!$A:$O),FALSE),""),
CreateSearchString(_xlpm._mappedInMitigation)))</f>
        <v/>
      </c>
      <c r="AH65" s="20" t="b">
        <f ca="1">ROW()-ROW($AH$17)=Helper!$B$15</f>
        <v>0</v>
      </c>
      <c r="AI65" s="20" t="str">
        <f t="shared" ca="1" si="11"/>
        <v/>
      </c>
      <c r="AJ65" s="20" cm="1">
        <f t="array" aca="1" ref="AJ65" ca="1">CreateID($AJ$17,$AJ:$AJ,$AI65&lt;&gt;"")</f>
        <v>0</v>
      </c>
    </row>
    <row r="66" spans="1:36" x14ac:dyDescent="0.25">
      <c r="A66" s="16" t="str">
        <f ca="1">_xlfn.LET(
_xlpm._isAssumption,$J66,
_xlpm._row,$K66,
_xlpm._numActiveAssumptions,Helper!$B$8,
_xlpm._numActiveCountermeasures,Helper!$B$9,
_xlpm._numAdditionalAssumptions,Helper!$B$10,
_xlpm._numAdditionalCountermeasures,Helper!$B$11,
IF(_xlpm._isAssumption,
IF(_xlpm._row&gt;_xlpm._numActiveAssumptions,
$V66&amp;"-A"&amp;$Q66,
INDEX(Assumptions!A:A,MATCH(_xlpm._row,Assumptions!$AG:$AG,0))),
IF(_xlpm._row&gt;_xlpm._numActiveCountermeasures+_xlpm._numAdditionalCountermeasures,"",
IF(_xlpm._row&gt;_xlpm._numActiveCountermeasures,
$V66&amp;"-C"&amp;$Q66,
INDEX(Countermeasures!$A:$A,MATCH(_xlpm._row,Countermeasures!$AI:$AI,0))))))</f>
        <v/>
      </c>
      <c r="B66" s="33" t="str" cm="1">
        <f t="array" aca="1" ref="B66" ca="1">IF($A66="","",
_xlfn.LET(
_xlpm._isAssumption,$J66,
_xlpm._isAdditionalElement,$L66,
IF(_xlpm._isAdditionalElement,
IF(_xlpm._isAssumption,
ParseElementsFromComment($U66,Definitions!$AR$4,Definitions!$AS$4,Definitions!$AR$6,$Q66),
ParseElementsFromComment($U66,Definitions!$AR$5,Definitions!$AS$5,Definitions!$AR$6,$Q66)),
 _xlfn.LET(_xlpm._value,IF($A66="","",IF($J66,SimpleLookup($A66,Assumptions!$A:$B),SimpleLookup($A66,Countermeasures!$A:$B))),IF(_xlpm._value="","",_xlpm._value)))))</f>
        <v/>
      </c>
      <c r="C66" s="33" t="str" cm="1">
        <f t="array" aca="1" ref="C66" ca="1">IF($A66="","",IF($J66,IFERROR(SimpleLookup($A66,Assumptions!$A:$E),""),Definitions!$AO$4))</f>
        <v/>
      </c>
      <c r="D66" s="37" t="str">
        <f t="shared" ca="1" si="7"/>
        <v/>
      </c>
      <c r="E66" s="23"/>
      <c r="F66" s="59" t="str">
        <f t="shared" ca="1" si="8"/>
        <v/>
      </c>
      <c r="G66" s="122" t="str" cm="1">
        <f t="array" aca="1" ref="G66" ca="1">_xlfn.LET(_xlpm._val,IFERROR(SimpleLookup($A66,Countermeasures!$A:$R),IFERROR(SimpleLookup($A66,Assumptions!$A:$R),"")),IF(_xlpm._val="","",_xlpm._val))</f>
        <v/>
      </c>
      <c r="H66" s="33" t="str" cm="1">
        <f t="array" aca="1" ref="H66" ca="1">_xlfn.LET(_xlpm._value,IF($A66="","",IFERROR(IF($J66,SimpleLookup($A66,Assumptions!$A:$S),SimpleLookup($A66,Countermeasures!$A:$S)),"")),
IF(_xlpm._value="","",_xlpm._value))</f>
        <v/>
      </c>
      <c r="I66" s="10" cm="1">
        <f t="array" aca="1" ref="I66" ca="1">IF(ROW()=ROW($I$17)+1,0,INDEX($I:$I,ROW()-1))+IF($A66="",0,1)</f>
        <v>12</v>
      </c>
      <c r="J66" s="21" t="b">
        <f ca="1">_xlfn.LET(_xlpm._row,ROW()-ROW($K$17),
_xlpm._numActiveAssumptions,Helper!$B$8,
_xlpm._numAdditionalAssumptions,SUM(Table24['# Elements]),
_xlpm._row&lt;=_xlpm._numActiveAssumptions+_xlpm._numAdditionalAssumptions)</f>
        <v>0</v>
      </c>
      <c r="K66" s="21">
        <f ca="1">_xlfn.LET(_xlpm._row,ROW()-ROW($K$17),
_xlpm._numActiveAssumptions,Helper!$B$8,
_xlpm._numAdditionalAssumptions,Helper!$B$10,
_xlpm._isAssumption,$J66,
_xlpm._elementID,IF(_xlpm._isAssumption,_xlpm._row,_xlpm._row-_xlpm._numActiveAssumptions-_xlpm._numAdditionalAssumptions),
_xlpm._elementID)</f>
        <v>43</v>
      </c>
      <c r="L66"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66" s="20" cm="1">
        <f t="array" aca="1" ref="M66" ca="1">IF($L66,
IF(ROW()=ROW($M$17)+1,1,INDEX($M:$M,ROW()-1)+IF(INDEX($T:$T,ROW()-1),1,0)),
1)</f>
        <v>1</v>
      </c>
      <c r="N66" s="20" t="str" cm="1">
        <f t="array" aca="1" ref="N66" ca="1">IF($L66=TRUE,
_xlfn.LET(
_xlpm._isAssumption,$J66,
_xlpm._indexRange,IF(_xlpm._isAssumption,Table24['# Elements],Table25['# Elements]),
_xlpm._lookupRow,$W66,
INDEX(_xlpm._indexRange,_xlpm._lookupRow)),
"")</f>
        <v/>
      </c>
      <c r="O66" s="20" t="str" cm="1">
        <f t="array" aca="1" ref="O66" ca="1">IF($N66="","",_xlfn.LET(
_xlpm._prevRow,ROW()-1,
IF(OR(INDEX($N:$N,_xlpm._prevRow)&lt;&gt;$N66,INDEX($M:$M,_xlpm._prevRow)&lt;&gt;$M66),
1,
INDEX($O:$O,_xlpm._prevRow)+IF(INDEX($S:$S,_xlpm._prevRow),1,0))))</f>
        <v/>
      </c>
      <c r="P66" s="20" t="str" cm="1">
        <f t="array" aca="1" ref="P66" ca="1">IF($O66="","",_xlfn.LET(
_xlpm._isAssumption,$J66,
_xlpm._sheetRow,$W66,
_xlpm._sheetName,$X66,
_xlpm._elementIDRange,IF(_xlpm._isAssumption,Table24[Element ID Column],Table25[Element ID Column]),
_xlpm._numberOfElementsRange,IF(_xlpm._isAssumption,Table24[Number of Elements Column],Table25[Number of Elements Column]),
SimpleLookup($O66,INDIRECT("'"&amp;_xlpm._sheetName&amp;"'!"&amp;INDEX(_xlpm._elementIDRange,_xlpm._sheetRow)&amp;":"&amp;INDEX(_xlpm._numberOfElementsRange,_xlpm._sheetRow)))))</f>
        <v/>
      </c>
      <c r="Q66" s="20" t="str" cm="1">
        <f t="array" aca="1" ref="Q66" ca="1">IF($O66="","",IF(OR(INDEX($O:$O,ROW()-1)&lt;&gt;$O66,INDEX($M:$M,ROW()-1)&lt;&gt;$M66),1,INDEX($Q:$Q,ROW()-1)+1))</f>
        <v/>
      </c>
      <c r="R66" s="20">
        <f t="shared" ca="1" si="9"/>
        <v>0</v>
      </c>
      <c r="S66" s="20" t="str">
        <f t="shared" ca="1" si="10"/>
        <v/>
      </c>
      <c r="T66" s="20" t="b">
        <f ca="1">_xlfn.LET(
_xlpm._isAssumption,$J66,
_xlpm._numberOfElementsRange,IF(_xlpm._isAssumption,Table24['# Elements],Table25['# Elements]),
_xlpm._sheetRow,$W66,
IF($L66,AND($S66,$R66=$N66),FALSE))</f>
        <v>0</v>
      </c>
      <c r="U66" s="20" t="str" cm="1">
        <f t="array" aca="1" ref="U66" ca="1">IF($L66,
_xlfn.LET(
_xlpm._elementID,$O66,
_xlpm._isAssumption,$J66,
_xlpm._sheetRow,$W66,
_xlpm._sheetName,$X66,
_xlpm._elementRow,$Y66,
_xlpm._resultColumnLetter,IF(_xlpm._isAssumption,INDEX(Table24[Comment Column],_xlpm._sheetRow),INDEX(Table25[Comment Column],_xlpm._sheetRow)),
INDEX(INDIRECT("'"&amp;_xlpm._sheetName&amp;"'!"&amp;_xlpm._resultColumnLetter&amp;":"&amp;_xlpm._resultColumnLetter),_xlpm._elementRow)),
"")</f>
        <v/>
      </c>
      <c r="V66" s="20" t="str" cm="1">
        <f t="array" aca="1" ref="V66" ca="1">IF($L66,
_xlfn.LET(
_xlpm._elementID,$O66,
_xlpm._isAssumption,$J66,
_xlpm._sheetRow,$W66,
_xlpm._sheetName,$X66,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66" s="20" t="str">
        <f ca="1">IF($L66=TRUE,
_xlfn.LET(
_xlpm._isAssumption,$J66,
_xlpm._searchRange,IF(_xlpm._isAssumption,Table24[Task Sheet Shadow ID],Table25[Task Sheet Shadow ID]),
MATCH($M66,_xlpm._searchRange,0)),
"")</f>
        <v/>
      </c>
      <c r="X66" s="20" t="str" cm="1">
        <f t="array" aca="1" ref="X66" ca="1">IF($L66,
_xlfn.LET(
_xlpm._isAssumption,$J66,
_xlpm._sheetRow,$W66,
IF(_xlpm._isAssumption,INDEX(Table24[Sheet Name],_xlpm._sheetRow),INDEX(Table25[Sheet Name],_xlpm._sheetRow))),
"")</f>
        <v/>
      </c>
      <c r="Y66" s="20" t="str" cm="1">
        <f t="array" aca="1" ref="Y66" ca="1">IF($L66,
_xlfn.LET(
_xlpm._elementID,$O66,
_xlpm._isAssumption,$J66,
_xlpm._sheetRow,$W66,
_xlpm._sheetName,$X66,
_xlpm._elementIDColumnLetter,IF(_xlpm._isAssumption,INDEX(Table24[Element ID Column],_xlpm._sheetRow),INDEX(Table25[Element ID Column],_xlpm._sheetRow)),
MATCH(_xlpm._elementID,INDIRECT("'"&amp;_xlpm._sheetName&amp;"'!"&amp;_xlpm._elementIDColumnLetter&amp;":"&amp;_xlpm._elementIDColumnLetter),0)),
"")</f>
        <v/>
      </c>
      <c r="Z66" s="20" t="str" cm="1">
        <f t="array" aca="1" ref="Z66" ca="1">IF($A66="","",_xlfn.LET(
_xlpm._isAssumption,$J66,
_xlpm._isAdditionalElement,$L66,
_xlpm._sheetRow,$W66,
_xlpm._sheetName,$X66,
_xlpm._columnLetter,INDEX(IF(_xlpm._isAdditionalElement,Table24[Comment Column],Table25[Comment Column]),_xlpm._sheetRow),
_xlpm._sheetReference,IF(_xlpm._isAssumption,IF(_xlpm._isAdditionalElement,
CELL("address",INDEX(INDIRECT("'"&amp;_xlpm._sheetName&amp;"'!"&amp;_xlpm._columnLetter&amp;":"&amp;_xlpm._columnLetter),$Y66)),
CELL("address",INDEX(Assumptions!$A:$A,MATCH($A66,Assumptions!$A:$A,0),1))),
IF(_xlpm._isAdditionalElement,
CELL("address",INDEX(INDIRECT("'"&amp;_xlpm._sheetName&amp;"'!"&amp;_xlpm._columnLetter&amp;":"&amp;_xlpm._columnLetter),$Y66)),
CELL("address",INDEX(Countermeasures!$A:$A,MATCH($A66,Countermeasures!$A:$A,0),1)))),
_xlpm._start,FIND("]",_xlpm._sheetReference),
"'"&amp;SUBSTITUTE(SUBSTITUTE(RIGHT(_xlpm._sheetReference,LEN(_xlpm._sheetReference)-_xlpm._start),"'",""),"!","'!")))</f>
        <v/>
      </c>
      <c r="AA66" s="20" t="str" cm="1">
        <f t="array" aca="1" ref="AA66" ca="1">IF(NOT($L66),
_xlfn.LET(_xlpm._value,IF($A66="","",IF($J66,SimpleLookup($A66,Assumptions!$A:$AK),SimpleLookup($A66,Countermeasures!$A:$AN))),
IF(_xlpm._value="","",_xlpm._value)),
"")</f>
        <v/>
      </c>
      <c r="AB66" s="20" t="str" cm="1">
        <f t="array" aca="1" ref="AB66" ca="1">LookupNames(InverseLookup($A66,Mitigation!$AD$2,Mitigation!$A$2,1,Helper!$B$5,","),'Attack Steps'!$A:$B)</f>
        <v/>
      </c>
      <c r="AC66" s="20" t="str" cm="1">
        <f t="array" aca="1" ref="AC66" ca="1">IF($L66,
_xlfn.LET(
_xlpm._in,$A66,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66" s="20" t="str" cm="1">
        <f t="array" aca="1" ref="AD66" ca="1">_xlfn.LET(
_xlpm._countermeasures,InverseLookup($A66,Countermeasures!$AG$2,Countermeasures!$A$2,1,Helper!$B$4,","),
LookupNames(_xlpm._countermeasures,Countermeasures!$A:$B))</f>
        <v/>
      </c>
      <c r="AE66" s="20" t="str" cm="1">
        <f t="array" aca="1" ref="AE66" ca="1">IF($E66="","",_xlfn.LET(
_xlpm._id,$E66,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66" s="20" t="str" cm="1">
        <f t="array" aca="1" ref="AF66" ca="1">IF(OR($A66="",$L66),"",_xlfn.LET(
_xlpm._answers,IF($J66,SimpleLookup($A66,Assumptions!$A:$F),SimpleLookup($A66,Countermeasures!$A:$D)),
IF(_xlpm._answers="*",IF($J66,SimpleLookup($A66,Assumptions!$A:$C),SimpleLookup($A66,Countermeasures!$A:$C)),"")))</f>
        <v/>
      </c>
      <c r="AG66" s="20" t="str" cm="1">
        <f t="array" aca="1" ref="AG66" ca="1">IF(NOT($L66),"",_xlfn.LET(
_xlpm._mappedInMitigation,IFERROR(VLOOKUP($V66,'Attack Steps'!$A:$O,COLUMNS('Attack Steps'!$A:$O),FALSE),""),
CreateSearchString(_xlpm._mappedInMitigation)))</f>
        <v/>
      </c>
      <c r="AH66" s="20" t="b">
        <f ca="1">ROW()-ROW($AH$17)=Helper!$B$15</f>
        <v>0</v>
      </c>
      <c r="AI66" s="20" t="str">
        <f t="shared" ca="1" si="11"/>
        <v/>
      </c>
      <c r="AJ66" s="20" cm="1">
        <f t="array" aca="1" ref="AJ66" ca="1">CreateID($AJ$17,$AJ:$AJ,$AI66&lt;&gt;"")</f>
        <v>0</v>
      </c>
    </row>
    <row r="67" spans="1:36" x14ac:dyDescent="0.25">
      <c r="A67" s="16" t="str">
        <f ca="1">_xlfn.LET(
_xlpm._isAssumption,$J67,
_xlpm._row,$K67,
_xlpm._numActiveAssumptions,Helper!$B$8,
_xlpm._numActiveCountermeasures,Helper!$B$9,
_xlpm._numAdditionalAssumptions,Helper!$B$10,
_xlpm._numAdditionalCountermeasures,Helper!$B$11,
IF(_xlpm._isAssumption,
IF(_xlpm._row&gt;_xlpm._numActiveAssumptions,
$V67&amp;"-A"&amp;$Q67,
INDEX(Assumptions!A:A,MATCH(_xlpm._row,Assumptions!$AG:$AG,0))),
IF(_xlpm._row&gt;_xlpm._numActiveCountermeasures+_xlpm._numAdditionalCountermeasures,"",
IF(_xlpm._row&gt;_xlpm._numActiveCountermeasures,
$V67&amp;"-C"&amp;$Q67,
INDEX(Countermeasures!$A:$A,MATCH(_xlpm._row,Countermeasures!$AI:$AI,0))))))</f>
        <v/>
      </c>
      <c r="B67" s="33" t="str" cm="1">
        <f t="array" aca="1" ref="B67" ca="1">IF($A67="","",
_xlfn.LET(
_xlpm._isAssumption,$J67,
_xlpm._isAdditionalElement,$L67,
IF(_xlpm._isAdditionalElement,
IF(_xlpm._isAssumption,
ParseElementsFromComment($U67,Definitions!$AR$4,Definitions!$AS$4,Definitions!$AR$6,$Q67),
ParseElementsFromComment($U67,Definitions!$AR$5,Definitions!$AS$5,Definitions!$AR$6,$Q67)),
 _xlfn.LET(_xlpm._value,IF($A67="","",IF($J67,SimpleLookup($A67,Assumptions!$A:$B),SimpleLookup($A67,Countermeasures!$A:$B))),IF(_xlpm._value="","",_xlpm._value)))))</f>
        <v/>
      </c>
      <c r="C67" s="33" t="str" cm="1">
        <f t="array" aca="1" ref="C67" ca="1">IF($A67="","",IF($J67,IFERROR(SimpleLookup($A67,Assumptions!$A:$E),""),Definitions!$AO$4))</f>
        <v/>
      </c>
      <c r="D67" s="37" t="str">
        <f t="shared" ca="1" si="7"/>
        <v/>
      </c>
      <c r="E67" s="23"/>
      <c r="F67" s="59" t="str">
        <f t="shared" ca="1" si="8"/>
        <v/>
      </c>
      <c r="G67" s="122" t="str" cm="1">
        <f t="array" aca="1" ref="G67" ca="1">_xlfn.LET(_xlpm._val,IFERROR(SimpleLookup($A67,Countermeasures!$A:$R),IFERROR(SimpleLookup($A67,Assumptions!$A:$R),"")),IF(_xlpm._val="","",_xlpm._val))</f>
        <v/>
      </c>
      <c r="H67" s="33" t="str" cm="1">
        <f t="array" aca="1" ref="H67" ca="1">_xlfn.LET(_xlpm._value,IF($A67="","",IFERROR(IF($J67,SimpleLookup($A67,Assumptions!$A:$S),SimpleLookup($A67,Countermeasures!$A:$S)),"")),
IF(_xlpm._value="","",_xlpm._value))</f>
        <v/>
      </c>
      <c r="I67" s="10" cm="1">
        <f t="array" aca="1" ref="I67" ca="1">IF(ROW()=ROW($I$17)+1,0,INDEX($I:$I,ROW()-1))+IF($A67="",0,1)</f>
        <v>12</v>
      </c>
      <c r="J67" s="21" t="b">
        <f ca="1">_xlfn.LET(_xlpm._row,ROW()-ROW($K$17),
_xlpm._numActiveAssumptions,Helper!$B$8,
_xlpm._numAdditionalAssumptions,SUM(Table24['# Elements]),
_xlpm._row&lt;=_xlpm._numActiveAssumptions+_xlpm._numAdditionalAssumptions)</f>
        <v>0</v>
      </c>
      <c r="K67" s="21">
        <f ca="1">_xlfn.LET(_xlpm._row,ROW()-ROW($K$17),
_xlpm._numActiveAssumptions,Helper!$B$8,
_xlpm._numAdditionalAssumptions,Helper!$B$10,
_xlpm._isAssumption,$J67,
_xlpm._elementID,IF(_xlpm._isAssumption,_xlpm._row,_xlpm._row-_xlpm._numActiveAssumptions-_xlpm._numAdditionalAssumptions),
_xlpm._elementID)</f>
        <v>44</v>
      </c>
      <c r="L67"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67" s="20" cm="1">
        <f t="array" aca="1" ref="M67" ca="1">IF($L67,
IF(ROW()=ROW($M$17)+1,1,INDEX($M:$M,ROW()-1)+IF(INDEX($T:$T,ROW()-1),1,0)),
1)</f>
        <v>1</v>
      </c>
      <c r="N67" s="20" t="str" cm="1">
        <f t="array" aca="1" ref="N67" ca="1">IF($L67=TRUE,
_xlfn.LET(
_xlpm._isAssumption,$J67,
_xlpm._indexRange,IF(_xlpm._isAssumption,Table24['# Elements],Table25['# Elements]),
_xlpm._lookupRow,$W67,
INDEX(_xlpm._indexRange,_xlpm._lookupRow)),
"")</f>
        <v/>
      </c>
      <c r="O67" s="20" t="str" cm="1">
        <f t="array" aca="1" ref="O67" ca="1">IF($N67="","",_xlfn.LET(
_xlpm._prevRow,ROW()-1,
IF(OR(INDEX($N:$N,_xlpm._prevRow)&lt;&gt;$N67,INDEX($M:$M,_xlpm._prevRow)&lt;&gt;$M67),
1,
INDEX($O:$O,_xlpm._prevRow)+IF(INDEX($S:$S,_xlpm._prevRow),1,0))))</f>
        <v/>
      </c>
      <c r="P67" s="20" t="str" cm="1">
        <f t="array" aca="1" ref="P67" ca="1">IF($O67="","",_xlfn.LET(
_xlpm._isAssumption,$J67,
_xlpm._sheetRow,$W67,
_xlpm._sheetName,$X67,
_xlpm._elementIDRange,IF(_xlpm._isAssumption,Table24[Element ID Column],Table25[Element ID Column]),
_xlpm._numberOfElementsRange,IF(_xlpm._isAssumption,Table24[Number of Elements Column],Table25[Number of Elements Column]),
SimpleLookup($O67,INDIRECT("'"&amp;_xlpm._sheetName&amp;"'!"&amp;INDEX(_xlpm._elementIDRange,_xlpm._sheetRow)&amp;":"&amp;INDEX(_xlpm._numberOfElementsRange,_xlpm._sheetRow)))))</f>
        <v/>
      </c>
      <c r="Q67" s="20" t="str" cm="1">
        <f t="array" aca="1" ref="Q67" ca="1">IF($O67="","",IF(OR(INDEX($O:$O,ROW()-1)&lt;&gt;$O67,INDEX($M:$M,ROW()-1)&lt;&gt;$M67),1,INDEX($Q:$Q,ROW()-1)+1))</f>
        <v/>
      </c>
      <c r="R67" s="20">
        <f t="shared" ca="1" si="9"/>
        <v>0</v>
      </c>
      <c r="S67" s="20" t="str">
        <f t="shared" ca="1" si="10"/>
        <v/>
      </c>
      <c r="T67" s="20" t="b">
        <f ca="1">_xlfn.LET(
_xlpm._isAssumption,$J67,
_xlpm._numberOfElementsRange,IF(_xlpm._isAssumption,Table24['# Elements],Table25['# Elements]),
_xlpm._sheetRow,$W67,
IF($L67,AND($S67,$R67=$N67),FALSE))</f>
        <v>0</v>
      </c>
      <c r="U67" s="20" t="str" cm="1">
        <f t="array" aca="1" ref="U67" ca="1">IF($L67,
_xlfn.LET(
_xlpm._elementID,$O67,
_xlpm._isAssumption,$J67,
_xlpm._sheetRow,$W67,
_xlpm._sheetName,$X67,
_xlpm._elementRow,$Y67,
_xlpm._resultColumnLetter,IF(_xlpm._isAssumption,INDEX(Table24[Comment Column],_xlpm._sheetRow),INDEX(Table25[Comment Column],_xlpm._sheetRow)),
INDEX(INDIRECT("'"&amp;_xlpm._sheetName&amp;"'!"&amp;_xlpm._resultColumnLetter&amp;":"&amp;_xlpm._resultColumnLetter),_xlpm._elementRow)),
"")</f>
        <v/>
      </c>
      <c r="V67" s="20" t="str" cm="1">
        <f t="array" aca="1" ref="V67" ca="1">IF($L67,
_xlfn.LET(
_xlpm._elementID,$O67,
_xlpm._isAssumption,$J67,
_xlpm._sheetRow,$W67,
_xlpm._sheetName,$X67,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67" s="20" t="str">
        <f ca="1">IF($L67=TRUE,
_xlfn.LET(
_xlpm._isAssumption,$J67,
_xlpm._searchRange,IF(_xlpm._isAssumption,Table24[Task Sheet Shadow ID],Table25[Task Sheet Shadow ID]),
MATCH($M67,_xlpm._searchRange,0)),
"")</f>
        <v/>
      </c>
      <c r="X67" s="20" t="str" cm="1">
        <f t="array" aca="1" ref="X67" ca="1">IF($L67,
_xlfn.LET(
_xlpm._isAssumption,$J67,
_xlpm._sheetRow,$W67,
IF(_xlpm._isAssumption,INDEX(Table24[Sheet Name],_xlpm._sheetRow),INDEX(Table25[Sheet Name],_xlpm._sheetRow))),
"")</f>
        <v/>
      </c>
      <c r="Y67" s="20" t="str" cm="1">
        <f t="array" aca="1" ref="Y67" ca="1">IF($L67,
_xlfn.LET(
_xlpm._elementID,$O67,
_xlpm._isAssumption,$J67,
_xlpm._sheetRow,$W67,
_xlpm._sheetName,$X67,
_xlpm._elementIDColumnLetter,IF(_xlpm._isAssumption,INDEX(Table24[Element ID Column],_xlpm._sheetRow),INDEX(Table25[Element ID Column],_xlpm._sheetRow)),
MATCH(_xlpm._elementID,INDIRECT("'"&amp;_xlpm._sheetName&amp;"'!"&amp;_xlpm._elementIDColumnLetter&amp;":"&amp;_xlpm._elementIDColumnLetter),0)),
"")</f>
        <v/>
      </c>
      <c r="Z67" s="20" t="str" cm="1">
        <f t="array" aca="1" ref="Z67" ca="1">IF($A67="","",_xlfn.LET(
_xlpm._isAssumption,$J67,
_xlpm._isAdditionalElement,$L67,
_xlpm._sheetRow,$W67,
_xlpm._sheetName,$X67,
_xlpm._columnLetter,INDEX(IF(_xlpm._isAdditionalElement,Table24[Comment Column],Table25[Comment Column]),_xlpm._sheetRow),
_xlpm._sheetReference,IF(_xlpm._isAssumption,IF(_xlpm._isAdditionalElement,
CELL("address",INDEX(INDIRECT("'"&amp;_xlpm._sheetName&amp;"'!"&amp;_xlpm._columnLetter&amp;":"&amp;_xlpm._columnLetter),$Y67)),
CELL("address",INDEX(Assumptions!$A:$A,MATCH($A67,Assumptions!$A:$A,0),1))),
IF(_xlpm._isAdditionalElement,
CELL("address",INDEX(INDIRECT("'"&amp;_xlpm._sheetName&amp;"'!"&amp;_xlpm._columnLetter&amp;":"&amp;_xlpm._columnLetter),$Y67)),
CELL("address",INDEX(Countermeasures!$A:$A,MATCH($A67,Countermeasures!$A:$A,0),1)))),
_xlpm._start,FIND("]",_xlpm._sheetReference),
"'"&amp;SUBSTITUTE(SUBSTITUTE(RIGHT(_xlpm._sheetReference,LEN(_xlpm._sheetReference)-_xlpm._start),"'",""),"!","'!")))</f>
        <v/>
      </c>
      <c r="AA67" s="20" t="str" cm="1">
        <f t="array" aca="1" ref="AA67" ca="1">IF(NOT($L67),
_xlfn.LET(_xlpm._value,IF($A67="","",IF($J67,SimpleLookup($A67,Assumptions!$A:$AK),SimpleLookup($A67,Countermeasures!$A:$AN))),
IF(_xlpm._value="","",_xlpm._value)),
"")</f>
        <v/>
      </c>
      <c r="AB67" s="20" t="str" cm="1">
        <f t="array" aca="1" ref="AB67" ca="1">LookupNames(InverseLookup($A67,Mitigation!$AD$2,Mitigation!$A$2,1,Helper!$B$5,","),'Attack Steps'!$A:$B)</f>
        <v/>
      </c>
      <c r="AC67" s="20" t="str" cm="1">
        <f t="array" aca="1" ref="AC67" ca="1">IF($L67,
_xlfn.LET(
_xlpm._in,$A67,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67" s="20" t="str" cm="1">
        <f t="array" aca="1" ref="AD67" ca="1">_xlfn.LET(
_xlpm._countermeasures,InverseLookup($A67,Countermeasures!$AG$2,Countermeasures!$A$2,1,Helper!$B$4,","),
LookupNames(_xlpm._countermeasures,Countermeasures!$A:$B))</f>
        <v/>
      </c>
      <c r="AE67" s="20" t="str" cm="1">
        <f t="array" aca="1" ref="AE67" ca="1">IF($E67="","",_xlfn.LET(
_xlpm._id,$E67,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67" s="20" t="str" cm="1">
        <f t="array" aca="1" ref="AF67" ca="1">IF(OR($A67="",$L67),"",_xlfn.LET(
_xlpm._answers,IF($J67,SimpleLookup($A67,Assumptions!$A:$F),SimpleLookup($A67,Countermeasures!$A:$D)),
IF(_xlpm._answers="*",IF($J67,SimpleLookup($A67,Assumptions!$A:$C),SimpleLookup($A67,Countermeasures!$A:$C)),"")))</f>
        <v/>
      </c>
      <c r="AG67" s="20" t="str" cm="1">
        <f t="array" aca="1" ref="AG67" ca="1">IF(NOT($L67),"",_xlfn.LET(
_xlpm._mappedInMitigation,IFERROR(VLOOKUP($V67,'Attack Steps'!$A:$O,COLUMNS('Attack Steps'!$A:$O),FALSE),""),
CreateSearchString(_xlpm._mappedInMitigation)))</f>
        <v/>
      </c>
      <c r="AH67" s="20" t="b">
        <f ca="1">ROW()-ROW($AH$17)=Helper!$B$15</f>
        <v>0</v>
      </c>
      <c r="AI67" s="20" t="str">
        <f t="shared" ca="1" si="11"/>
        <v/>
      </c>
      <c r="AJ67" s="20" cm="1">
        <f t="array" aca="1" ref="AJ67" ca="1">CreateID($AJ$17,$AJ:$AJ,$AI67&lt;&gt;"")</f>
        <v>0</v>
      </c>
    </row>
    <row r="68" spans="1:36" x14ac:dyDescent="0.25">
      <c r="A68" s="16" t="str">
        <f ca="1">_xlfn.LET(
_xlpm._isAssumption,$J68,
_xlpm._row,$K68,
_xlpm._numActiveAssumptions,Helper!$B$8,
_xlpm._numActiveCountermeasures,Helper!$B$9,
_xlpm._numAdditionalAssumptions,Helper!$B$10,
_xlpm._numAdditionalCountermeasures,Helper!$B$11,
IF(_xlpm._isAssumption,
IF(_xlpm._row&gt;_xlpm._numActiveAssumptions,
$V68&amp;"-A"&amp;$Q68,
INDEX(Assumptions!A:A,MATCH(_xlpm._row,Assumptions!$AG:$AG,0))),
IF(_xlpm._row&gt;_xlpm._numActiveCountermeasures+_xlpm._numAdditionalCountermeasures,"",
IF(_xlpm._row&gt;_xlpm._numActiveCountermeasures,
$V68&amp;"-C"&amp;$Q68,
INDEX(Countermeasures!$A:$A,MATCH(_xlpm._row,Countermeasures!$AI:$AI,0))))))</f>
        <v/>
      </c>
      <c r="B68" s="33" t="str" cm="1">
        <f t="array" aca="1" ref="B68" ca="1">IF($A68="","",
_xlfn.LET(
_xlpm._isAssumption,$J68,
_xlpm._isAdditionalElement,$L68,
IF(_xlpm._isAdditionalElement,
IF(_xlpm._isAssumption,
ParseElementsFromComment($U68,Definitions!$AR$4,Definitions!$AS$4,Definitions!$AR$6,$Q68),
ParseElementsFromComment($U68,Definitions!$AR$5,Definitions!$AS$5,Definitions!$AR$6,$Q68)),
 _xlfn.LET(_xlpm._value,IF($A68="","",IF($J68,SimpleLookup($A68,Assumptions!$A:$B),SimpleLookup($A68,Countermeasures!$A:$B))),IF(_xlpm._value="","",_xlpm._value)))))</f>
        <v/>
      </c>
      <c r="C68" s="33" t="str" cm="1">
        <f t="array" aca="1" ref="C68" ca="1">IF($A68="","",IF($J68,IFERROR(SimpleLookup($A68,Assumptions!$A:$E),""),Definitions!$AO$4))</f>
        <v/>
      </c>
      <c r="D68" s="37" t="str">
        <f t="shared" ca="1" si="7"/>
        <v/>
      </c>
      <c r="E68" s="23"/>
      <c r="F68" s="59" t="str">
        <f t="shared" ca="1" si="8"/>
        <v/>
      </c>
      <c r="G68" s="122" t="str" cm="1">
        <f t="array" aca="1" ref="G68" ca="1">_xlfn.LET(_xlpm._val,IFERROR(SimpleLookup($A68,Countermeasures!$A:$R),IFERROR(SimpleLookup($A68,Assumptions!$A:$R),"")),IF(_xlpm._val="","",_xlpm._val))</f>
        <v/>
      </c>
      <c r="H68" s="33" t="str" cm="1">
        <f t="array" aca="1" ref="H68" ca="1">_xlfn.LET(_xlpm._value,IF($A68="","",IFERROR(IF($J68,SimpleLookup($A68,Assumptions!$A:$S),SimpleLookup($A68,Countermeasures!$A:$S)),"")),
IF(_xlpm._value="","",_xlpm._value))</f>
        <v/>
      </c>
      <c r="I68" s="10" cm="1">
        <f t="array" aca="1" ref="I68" ca="1">IF(ROW()=ROW($I$17)+1,0,INDEX($I:$I,ROW()-1))+IF($A68="",0,1)</f>
        <v>12</v>
      </c>
      <c r="J68" s="21" t="b">
        <f ca="1">_xlfn.LET(_xlpm._row,ROW()-ROW($K$17),
_xlpm._numActiveAssumptions,Helper!$B$8,
_xlpm._numAdditionalAssumptions,SUM(Table24['# Elements]),
_xlpm._row&lt;=_xlpm._numActiveAssumptions+_xlpm._numAdditionalAssumptions)</f>
        <v>0</v>
      </c>
      <c r="K68" s="21">
        <f ca="1">_xlfn.LET(_xlpm._row,ROW()-ROW($K$17),
_xlpm._numActiveAssumptions,Helper!$B$8,
_xlpm._numAdditionalAssumptions,Helper!$B$10,
_xlpm._isAssumption,$J68,
_xlpm._elementID,IF(_xlpm._isAssumption,_xlpm._row,_xlpm._row-_xlpm._numActiveAssumptions-_xlpm._numAdditionalAssumptions),
_xlpm._elementID)</f>
        <v>45</v>
      </c>
      <c r="L68"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68" s="20" cm="1">
        <f t="array" aca="1" ref="M68" ca="1">IF($L68,
IF(ROW()=ROW($M$17)+1,1,INDEX($M:$M,ROW()-1)+IF(INDEX($T:$T,ROW()-1),1,0)),
1)</f>
        <v>1</v>
      </c>
      <c r="N68" s="20" t="str" cm="1">
        <f t="array" aca="1" ref="N68" ca="1">IF($L68=TRUE,
_xlfn.LET(
_xlpm._isAssumption,$J68,
_xlpm._indexRange,IF(_xlpm._isAssumption,Table24['# Elements],Table25['# Elements]),
_xlpm._lookupRow,$W68,
INDEX(_xlpm._indexRange,_xlpm._lookupRow)),
"")</f>
        <v/>
      </c>
      <c r="O68" s="20" t="str" cm="1">
        <f t="array" aca="1" ref="O68" ca="1">IF($N68="","",_xlfn.LET(
_xlpm._prevRow,ROW()-1,
IF(OR(INDEX($N:$N,_xlpm._prevRow)&lt;&gt;$N68,INDEX($M:$M,_xlpm._prevRow)&lt;&gt;$M68),
1,
INDEX($O:$O,_xlpm._prevRow)+IF(INDEX($S:$S,_xlpm._prevRow),1,0))))</f>
        <v/>
      </c>
      <c r="P68" s="20" t="str" cm="1">
        <f t="array" aca="1" ref="P68" ca="1">IF($O68="","",_xlfn.LET(
_xlpm._isAssumption,$J68,
_xlpm._sheetRow,$W68,
_xlpm._sheetName,$X68,
_xlpm._elementIDRange,IF(_xlpm._isAssumption,Table24[Element ID Column],Table25[Element ID Column]),
_xlpm._numberOfElementsRange,IF(_xlpm._isAssumption,Table24[Number of Elements Column],Table25[Number of Elements Column]),
SimpleLookup($O68,INDIRECT("'"&amp;_xlpm._sheetName&amp;"'!"&amp;INDEX(_xlpm._elementIDRange,_xlpm._sheetRow)&amp;":"&amp;INDEX(_xlpm._numberOfElementsRange,_xlpm._sheetRow)))))</f>
        <v/>
      </c>
      <c r="Q68" s="20" t="str" cm="1">
        <f t="array" aca="1" ref="Q68" ca="1">IF($O68="","",IF(OR(INDEX($O:$O,ROW()-1)&lt;&gt;$O68,INDEX($M:$M,ROW()-1)&lt;&gt;$M68),1,INDEX($Q:$Q,ROW()-1)+1))</f>
        <v/>
      </c>
      <c r="R68" s="20">
        <f t="shared" ca="1" si="9"/>
        <v>0</v>
      </c>
      <c r="S68" s="20" t="str">
        <f t="shared" ca="1" si="10"/>
        <v/>
      </c>
      <c r="T68" s="20" t="b">
        <f ca="1">_xlfn.LET(
_xlpm._isAssumption,$J68,
_xlpm._numberOfElementsRange,IF(_xlpm._isAssumption,Table24['# Elements],Table25['# Elements]),
_xlpm._sheetRow,$W68,
IF($L68,AND($S68,$R68=$N68),FALSE))</f>
        <v>0</v>
      </c>
      <c r="U68" s="20" t="str" cm="1">
        <f t="array" aca="1" ref="U68" ca="1">IF($L68,
_xlfn.LET(
_xlpm._elementID,$O68,
_xlpm._isAssumption,$J68,
_xlpm._sheetRow,$W68,
_xlpm._sheetName,$X68,
_xlpm._elementRow,$Y68,
_xlpm._resultColumnLetter,IF(_xlpm._isAssumption,INDEX(Table24[Comment Column],_xlpm._sheetRow),INDEX(Table25[Comment Column],_xlpm._sheetRow)),
INDEX(INDIRECT("'"&amp;_xlpm._sheetName&amp;"'!"&amp;_xlpm._resultColumnLetter&amp;":"&amp;_xlpm._resultColumnLetter),_xlpm._elementRow)),
"")</f>
        <v/>
      </c>
      <c r="V68" s="20" t="str" cm="1">
        <f t="array" aca="1" ref="V68" ca="1">IF($L68,
_xlfn.LET(
_xlpm._elementID,$O68,
_xlpm._isAssumption,$J68,
_xlpm._sheetRow,$W68,
_xlpm._sheetName,$X68,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68" s="20" t="str">
        <f ca="1">IF($L68=TRUE,
_xlfn.LET(
_xlpm._isAssumption,$J68,
_xlpm._searchRange,IF(_xlpm._isAssumption,Table24[Task Sheet Shadow ID],Table25[Task Sheet Shadow ID]),
MATCH($M68,_xlpm._searchRange,0)),
"")</f>
        <v/>
      </c>
      <c r="X68" s="20" t="str" cm="1">
        <f t="array" aca="1" ref="X68" ca="1">IF($L68,
_xlfn.LET(
_xlpm._isAssumption,$J68,
_xlpm._sheetRow,$W68,
IF(_xlpm._isAssumption,INDEX(Table24[Sheet Name],_xlpm._sheetRow),INDEX(Table25[Sheet Name],_xlpm._sheetRow))),
"")</f>
        <v/>
      </c>
      <c r="Y68" s="20" t="str" cm="1">
        <f t="array" aca="1" ref="Y68" ca="1">IF($L68,
_xlfn.LET(
_xlpm._elementID,$O68,
_xlpm._isAssumption,$J68,
_xlpm._sheetRow,$W68,
_xlpm._sheetName,$X68,
_xlpm._elementIDColumnLetter,IF(_xlpm._isAssumption,INDEX(Table24[Element ID Column],_xlpm._sheetRow),INDEX(Table25[Element ID Column],_xlpm._sheetRow)),
MATCH(_xlpm._elementID,INDIRECT("'"&amp;_xlpm._sheetName&amp;"'!"&amp;_xlpm._elementIDColumnLetter&amp;":"&amp;_xlpm._elementIDColumnLetter),0)),
"")</f>
        <v/>
      </c>
      <c r="Z68" s="20" t="str" cm="1">
        <f t="array" aca="1" ref="Z68" ca="1">IF($A68="","",_xlfn.LET(
_xlpm._isAssumption,$J68,
_xlpm._isAdditionalElement,$L68,
_xlpm._sheetRow,$W68,
_xlpm._sheetName,$X68,
_xlpm._columnLetter,INDEX(IF(_xlpm._isAdditionalElement,Table24[Comment Column],Table25[Comment Column]),_xlpm._sheetRow),
_xlpm._sheetReference,IF(_xlpm._isAssumption,IF(_xlpm._isAdditionalElement,
CELL("address",INDEX(INDIRECT("'"&amp;_xlpm._sheetName&amp;"'!"&amp;_xlpm._columnLetter&amp;":"&amp;_xlpm._columnLetter),$Y68)),
CELL("address",INDEX(Assumptions!$A:$A,MATCH($A68,Assumptions!$A:$A,0),1))),
IF(_xlpm._isAdditionalElement,
CELL("address",INDEX(INDIRECT("'"&amp;_xlpm._sheetName&amp;"'!"&amp;_xlpm._columnLetter&amp;":"&amp;_xlpm._columnLetter),$Y68)),
CELL("address",INDEX(Countermeasures!$A:$A,MATCH($A68,Countermeasures!$A:$A,0),1)))),
_xlpm._start,FIND("]",_xlpm._sheetReference),
"'"&amp;SUBSTITUTE(SUBSTITUTE(RIGHT(_xlpm._sheetReference,LEN(_xlpm._sheetReference)-_xlpm._start),"'",""),"!","'!")))</f>
        <v/>
      </c>
      <c r="AA68" s="20" t="str" cm="1">
        <f t="array" aca="1" ref="AA68" ca="1">IF(NOT($L68),
_xlfn.LET(_xlpm._value,IF($A68="","",IF($J68,SimpleLookup($A68,Assumptions!$A:$AK),SimpleLookup($A68,Countermeasures!$A:$AN))),
IF(_xlpm._value="","",_xlpm._value)),
"")</f>
        <v/>
      </c>
      <c r="AB68" s="20" t="str" cm="1">
        <f t="array" aca="1" ref="AB68" ca="1">LookupNames(InverseLookup($A68,Mitigation!$AD$2,Mitigation!$A$2,1,Helper!$B$5,","),'Attack Steps'!$A:$B)</f>
        <v/>
      </c>
      <c r="AC68" s="20" t="str" cm="1">
        <f t="array" aca="1" ref="AC68" ca="1">IF($L68,
_xlfn.LET(
_xlpm._in,$A68,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68" s="20" t="str" cm="1">
        <f t="array" aca="1" ref="AD68" ca="1">_xlfn.LET(
_xlpm._countermeasures,InverseLookup($A68,Countermeasures!$AG$2,Countermeasures!$A$2,1,Helper!$B$4,","),
LookupNames(_xlpm._countermeasures,Countermeasures!$A:$B))</f>
        <v/>
      </c>
      <c r="AE68" s="20" t="str" cm="1">
        <f t="array" aca="1" ref="AE68" ca="1">IF($E68="","",_xlfn.LET(
_xlpm._id,$E68,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68" s="20" t="str" cm="1">
        <f t="array" aca="1" ref="AF68" ca="1">IF(OR($A68="",$L68),"",_xlfn.LET(
_xlpm._answers,IF($J68,SimpleLookup($A68,Assumptions!$A:$F),SimpleLookup($A68,Countermeasures!$A:$D)),
IF(_xlpm._answers="*",IF($J68,SimpleLookup($A68,Assumptions!$A:$C),SimpleLookup($A68,Countermeasures!$A:$C)),"")))</f>
        <v/>
      </c>
      <c r="AG68" s="20" t="str" cm="1">
        <f t="array" aca="1" ref="AG68" ca="1">IF(NOT($L68),"",_xlfn.LET(
_xlpm._mappedInMitigation,IFERROR(VLOOKUP($V68,'Attack Steps'!$A:$O,COLUMNS('Attack Steps'!$A:$O),FALSE),""),
CreateSearchString(_xlpm._mappedInMitigation)))</f>
        <v/>
      </c>
      <c r="AH68" s="20" t="b">
        <f ca="1">ROW()-ROW($AH$17)=Helper!$B$15</f>
        <v>0</v>
      </c>
      <c r="AI68" s="20" t="str">
        <f t="shared" ca="1" si="11"/>
        <v/>
      </c>
      <c r="AJ68" s="20" cm="1">
        <f t="array" aca="1" ref="AJ68" ca="1">CreateID($AJ$17,$AJ:$AJ,$AI68&lt;&gt;"")</f>
        <v>0</v>
      </c>
    </row>
    <row r="69" spans="1:36" x14ac:dyDescent="0.25">
      <c r="A69" s="16" t="str">
        <f ca="1">_xlfn.LET(
_xlpm._isAssumption,$J69,
_xlpm._row,$K69,
_xlpm._numActiveAssumptions,Helper!$B$8,
_xlpm._numActiveCountermeasures,Helper!$B$9,
_xlpm._numAdditionalAssumptions,Helper!$B$10,
_xlpm._numAdditionalCountermeasures,Helper!$B$11,
IF(_xlpm._isAssumption,
IF(_xlpm._row&gt;_xlpm._numActiveAssumptions,
$V69&amp;"-A"&amp;$Q69,
INDEX(Assumptions!A:A,MATCH(_xlpm._row,Assumptions!$AG:$AG,0))),
IF(_xlpm._row&gt;_xlpm._numActiveCountermeasures+_xlpm._numAdditionalCountermeasures,"",
IF(_xlpm._row&gt;_xlpm._numActiveCountermeasures,
$V69&amp;"-C"&amp;$Q69,
INDEX(Countermeasures!$A:$A,MATCH(_xlpm._row,Countermeasures!$AI:$AI,0))))))</f>
        <v/>
      </c>
      <c r="B69" s="33" t="str" cm="1">
        <f t="array" aca="1" ref="B69" ca="1">IF($A69="","",
_xlfn.LET(
_xlpm._isAssumption,$J69,
_xlpm._isAdditionalElement,$L69,
IF(_xlpm._isAdditionalElement,
IF(_xlpm._isAssumption,
ParseElementsFromComment($U69,Definitions!$AR$4,Definitions!$AS$4,Definitions!$AR$6,$Q69),
ParseElementsFromComment($U69,Definitions!$AR$5,Definitions!$AS$5,Definitions!$AR$6,$Q69)),
 _xlfn.LET(_xlpm._value,IF($A69="","",IF($J69,SimpleLookup($A69,Assumptions!$A:$B),SimpleLookup($A69,Countermeasures!$A:$B))),IF(_xlpm._value="","",_xlpm._value)))))</f>
        <v/>
      </c>
      <c r="C69" s="33" t="str" cm="1">
        <f t="array" aca="1" ref="C69" ca="1">IF($A69="","",IF($J69,IFERROR(SimpleLookup($A69,Assumptions!$A:$E),""),Definitions!$AO$4))</f>
        <v/>
      </c>
      <c r="D69" s="37" t="str">
        <f t="shared" ca="1" si="7"/>
        <v/>
      </c>
      <c r="E69" s="23"/>
      <c r="F69" s="59" t="str">
        <f t="shared" ca="1" si="8"/>
        <v/>
      </c>
      <c r="G69" s="122" t="str" cm="1">
        <f t="array" aca="1" ref="G69" ca="1">_xlfn.LET(_xlpm._val,IFERROR(SimpleLookup($A69,Countermeasures!$A:$R),IFERROR(SimpleLookup($A69,Assumptions!$A:$R),"")),IF(_xlpm._val="","",_xlpm._val))</f>
        <v/>
      </c>
      <c r="H69" s="33" t="str" cm="1">
        <f t="array" aca="1" ref="H69" ca="1">_xlfn.LET(_xlpm._value,IF($A69="","",IFERROR(IF($J69,SimpleLookup($A69,Assumptions!$A:$S),SimpleLookup($A69,Countermeasures!$A:$S)),"")),
IF(_xlpm._value="","",_xlpm._value))</f>
        <v/>
      </c>
      <c r="I69" s="10" cm="1">
        <f t="array" aca="1" ref="I69" ca="1">IF(ROW()=ROW($I$17)+1,0,INDEX($I:$I,ROW()-1))+IF($A69="",0,1)</f>
        <v>12</v>
      </c>
      <c r="J69" s="21" t="b">
        <f ca="1">_xlfn.LET(_xlpm._row,ROW()-ROW($K$17),
_xlpm._numActiveAssumptions,Helper!$B$8,
_xlpm._numAdditionalAssumptions,SUM(Table24['# Elements]),
_xlpm._row&lt;=_xlpm._numActiveAssumptions+_xlpm._numAdditionalAssumptions)</f>
        <v>0</v>
      </c>
      <c r="K69" s="21">
        <f ca="1">_xlfn.LET(_xlpm._row,ROW()-ROW($K$17),
_xlpm._numActiveAssumptions,Helper!$B$8,
_xlpm._numAdditionalAssumptions,Helper!$B$10,
_xlpm._isAssumption,$J69,
_xlpm._elementID,IF(_xlpm._isAssumption,_xlpm._row,_xlpm._row-_xlpm._numActiveAssumptions-_xlpm._numAdditionalAssumptions),
_xlpm._elementID)</f>
        <v>46</v>
      </c>
      <c r="L69"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69" s="20" cm="1">
        <f t="array" aca="1" ref="M69" ca="1">IF($L69,
IF(ROW()=ROW($M$17)+1,1,INDEX($M:$M,ROW()-1)+IF(INDEX($T:$T,ROW()-1),1,0)),
1)</f>
        <v>1</v>
      </c>
      <c r="N69" s="20" t="str" cm="1">
        <f t="array" aca="1" ref="N69" ca="1">IF($L69=TRUE,
_xlfn.LET(
_xlpm._isAssumption,$J69,
_xlpm._indexRange,IF(_xlpm._isAssumption,Table24['# Elements],Table25['# Elements]),
_xlpm._lookupRow,$W69,
INDEX(_xlpm._indexRange,_xlpm._lookupRow)),
"")</f>
        <v/>
      </c>
      <c r="O69" s="20" t="str" cm="1">
        <f t="array" aca="1" ref="O69" ca="1">IF($N69="","",_xlfn.LET(
_xlpm._prevRow,ROW()-1,
IF(OR(INDEX($N:$N,_xlpm._prevRow)&lt;&gt;$N69,INDEX($M:$M,_xlpm._prevRow)&lt;&gt;$M69),
1,
INDEX($O:$O,_xlpm._prevRow)+IF(INDEX($S:$S,_xlpm._prevRow),1,0))))</f>
        <v/>
      </c>
      <c r="P69" s="20" t="str" cm="1">
        <f t="array" aca="1" ref="P69" ca="1">IF($O69="","",_xlfn.LET(
_xlpm._isAssumption,$J69,
_xlpm._sheetRow,$W69,
_xlpm._sheetName,$X69,
_xlpm._elementIDRange,IF(_xlpm._isAssumption,Table24[Element ID Column],Table25[Element ID Column]),
_xlpm._numberOfElementsRange,IF(_xlpm._isAssumption,Table24[Number of Elements Column],Table25[Number of Elements Column]),
SimpleLookup($O69,INDIRECT("'"&amp;_xlpm._sheetName&amp;"'!"&amp;INDEX(_xlpm._elementIDRange,_xlpm._sheetRow)&amp;":"&amp;INDEX(_xlpm._numberOfElementsRange,_xlpm._sheetRow)))))</f>
        <v/>
      </c>
      <c r="Q69" s="20" t="str" cm="1">
        <f t="array" aca="1" ref="Q69" ca="1">IF($O69="","",IF(OR(INDEX($O:$O,ROW()-1)&lt;&gt;$O69,INDEX($M:$M,ROW()-1)&lt;&gt;$M69),1,INDEX($Q:$Q,ROW()-1)+1))</f>
        <v/>
      </c>
      <c r="R69" s="20">
        <f t="shared" ca="1" si="9"/>
        <v>0</v>
      </c>
      <c r="S69" s="20" t="str">
        <f t="shared" ca="1" si="10"/>
        <v/>
      </c>
      <c r="T69" s="20" t="b">
        <f ca="1">_xlfn.LET(
_xlpm._isAssumption,$J69,
_xlpm._numberOfElementsRange,IF(_xlpm._isAssumption,Table24['# Elements],Table25['# Elements]),
_xlpm._sheetRow,$W69,
IF($L69,AND($S69,$R69=$N69),FALSE))</f>
        <v>0</v>
      </c>
      <c r="U69" s="20" t="str" cm="1">
        <f t="array" aca="1" ref="U69" ca="1">IF($L69,
_xlfn.LET(
_xlpm._elementID,$O69,
_xlpm._isAssumption,$J69,
_xlpm._sheetRow,$W69,
_xlpm._sheetName,$X69,
_xlpm._elementRow,$Y69,
_xlpm._resultColumnLetter,IF(_xlpm._isAssumption,INDEX(Table24[Comment Column],_xlpm._sheetRow),INDEX(Table25[Comment Column],_xlpm._sheetRow)),
INDEX(INDIRECT("'"&amp;_xlpm._sheetName&amp;"'!"&amp;_xlpm._resultColumnLetter&amp;":"&amp;_xlpm._resultColumnLetter),_xlpm._elementRow)),
"")</f>
        <v/>
      </c>
      <c r="V69" s="20" t="str" cm="1">
        <f t="array" aca="1" ref="V69" ca="1">IF($L69,
_xlfn.LET(
_xlpm._elementID,$O69,
_xlpm._isAssumption,$J69,
_xlpm._sheetRow,$W69,
_xlpm._sheetName,$X69,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69" s="20" t="str">
        <f ca="1">IF($L69=TRUE,
_xlfn.LET(
_xlpm._isAssumption,$J69,
_xlpm._searchRange,IF(_xlpm._isAssumption,Table24[Task Sheet Shadow ID],Table25[Task Sheet Shadow ID]),
MATCH($M69,_xlpm._searchRange,0)),
"")</f>
        <v/>
      </c>
      <c r="X69" s="20" t="str" cm="1">
        <f t="array" aca="1" ref="X69" ca="1">IF($L69,
_xlfn.LET(
_xlpm._isAssumption,$J69,
_xlpm._sheetRow,$W69,
IF(_xlpm._isAssumption,INDEX(Table24[Sheet Name],_xlpm._sheetRow),INDEX(Table25[Sheet Name],_xlpm._sheetRow))),
"")</f>
        <v/>
      </c>
      <c r="Y69" s="20" t="str" cm="1">
        <f t="array" aca="1" ref="Y69" ca="1">IF($L69,
_xlfn.LET(
_xlpm._elementID,$O69,
_xlpm._isAssumption,$J69,
_xlpm._sheetRow,$W69,
_xlpm._sheetName,$X69,
_xlpm._elementIDColumnLetter,IF(_xlpm._isAssumption,INDEX(Table24[Element ID Column],_xlpm._sheetRow),INDEX(Table25[Element ID Column],_xlpm._sheetRow)),
MATCH(_xlpm._elementID,INDIRECT("'"&amp;_xlpm._sheetName&amp;"'!"&amp;_xlpm._elementIDColumnLetter&amp;":"&amp;_xlpm._elementIDColumnLetter),0)),
"")</f>
        <v/>
      </c>
      <c r="Z69" s="20" t="str" cm="1">
        <f t="array" aca="1" ref="Z69" ca="1">IF($A69="","",_xlfn.LET(
_xlpm._isAssumption,$J69,
_xlpm._isAdditionalElement,$L69,
_xlpm._sheetRow,$W69,
_xlpm._sheetName,$X69,
_xlpm._columnLetter,INDEX(IF(_xlpm._isAdditionalElement,Table24[Comment Column],Table25[Comment Column]),_xlpm._sheetRow),
_xlpm._sheetReference,IF(_xlpm._isAssumption,IF(_xlpm._isAdditionalElement,
CELL("address",INDEX(INDIRECT("'"&amp;_xlpm._sheetName&amp;"'!"&amp;_xlpm._columnLetter&amp;":"&amp;_xlpm._columnLetter),$Y69)),
CELL("address",INDEX(Assumptions!$A:$A,MATCH($A69,Assumptions!$A:$A,0),1))),
IF(_xlpm._isAdditionalElement,
CELL("address",INDEX(INDIRECT("'"&amp;_xlpm._sheetName&amp;"'!"&amp;_xlpm._columnLetter&amp;":"&amp;_xlpm._columnLetter),$Y69)),
CELL("address",INDEX(Countermeasures!$A:$A,MATCH($A69,Countermeasures!$A:$A,0),1)))),
_xlpm._start,FIND("]",_xlpm._sheetReference),
"'"&amp;SUBSTITUTE(SUBSTITUTE(RIGHT(_xlpm._sheetReference,LEN(_xlpm._sheetReference)-_xlpm._start),"'",""),"!","'!")))</f>
        <v/>
      </c>
      <c r="AA69" s="20" t="str" cm="1">
        <f t="array" aca="1" ref="AA69" ca="1">IF(NOT($L69),
_xlfn.LET(_xlpm._value,IF($A69="","",IF($J69,SimpleLookup($A69,Assumptions!$A:$AK),SimpleLookup($A69,Countermeasures!$A:$AN))),
IF(_xlpm._value="","",_xlpm._value)),
"")</f>
        <v/>
      </c>
      <c r="AB69" s="20" t="str" cm="1">
        <f t="array" aca="1" ref="AB69" ca="1">LookupNames(InverseLookup($A69,Mitigation!$AD$2,Mitigation!$A$2,1,Helper!$B$5,","),'Attack Steps'!$A:$B)</f>
        <v/>
      </c>
      <c r="AC69" s="20" t="str" cm="1">
        <f t="array" aca="1" ref="AC69" ca="1">IF($L69,
_xlfn.LET(
_xlpm._in,$A69,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69" s="20" t="str" cm="1">
        <f t="array" aca="1" ref="AD69" ca="1">_xlfn.LET(
_xlpm._countermeasures,InverseLookup($A69,Countermeasures!$AG$2,Countermeasures!$A$2,1,Helper!$B$4,","),
LookupNames(_xlpm._countermeasures,Countermeasures!$A:$B))</f>
        <v/>
      </c>
      <c r="AE69" s="20" t="str" cm="1">
        <f t="array" aca="1" ref="AE69" ca="1">IF($E69="","",_xlfn.LET(
_xlpm._id,$E69,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69" s="20" t="str" cm="1">
        <f t="array" aca="1" ref="AF69" ca="1">IF(OR($A69="",$L69),"",_xlfn.LET(
_xlpm._answers,IF($J69,SimpleLookup($A69,Assumptions!$A:$F),SimpleLookup($A69,Countermeasures!$A:$D)),
IF(_xlpm._answers="*",IF($J69,SimpleLookup($A69,Assumptions!$A:$C),SimpleLookup($A69,Countermeasures!$A:$C)),"")))</f>
        <v/>
      </c>
      <c r="AG69" s="20" t="str" cm="1">
        <f t="array" aca="1" ref="AG69" ca="1">IF(NOT($L69),"",_xlfn.LET(
_xlpm._mappedInMitigation,IFERROR(VLOOKUP($V69,'Attack Steps'!$A:$O,COLUMNS('Attack Steps'!$A:$O),FALSE),""),
CreateSearchString(_xlpm._mappedInMitigation)))</f>
        <v/>
      </c>
      <c r="AH69" s="20" t="b">
        <f ca="1">ROW()-ROW($AH$17)=Helper!$B$15</f>
        <v>0</v>
      </c>
      <c r="AI69" s="20" t="str">
        <f t="shared" ca="1" si="11"/>
        <v/>
      </c>
      <c r="AJ69" s="20" cm="1">
        <f t="array" aca="1" ref="AJ69" ca="1">CreateID($AJ$17,$AJ:$AJ,$AI69&lt;&gt;"")</f>
        <v>0</v>
      </c>
    </row>
    <row r="70" spans="1:36" x14ac:dyDescent="0.25">
      <c r="A70" s="16" t="str">
        <f ca="1">_xlfn.LET(
_xlpm._isAssumption,$J70,
_xlpm._row,$K70,
_xlpm._numActiveAssumptions,Helper!$B$8,
_xlpm._numActiveCountermeasures,Helper!$B$9,
_xlpm._numAdditionalAssumptions,Helper!$B$10,
_xlpm._numAdditionalCountermeasures,Helper!$B$11,
IF(_xlpm._isAssumption,
IF(_xlpm._row&gt;_xlpm._numActiveAssumptions,
$V70&amp;"-A"&amp;$Q70,
INDEX(Assumptions!A:A,MATCH(_xlpm._row,Assumptions!$AG:$AG,0))),
IF(_xlpm._row&gt;_xlpm._numActiveCountermeasures+_xlpm._numAdditionalCountermeasures,"",
IF(_xlpm._row&gt;_xlpm._numActiveCountermeasures,
$V70&amp;"-C"&amp;$Q70,
INDEX(Countermeasures!$A:$A,MATCH(_xlpm._row,Countermeasures!$AI:$AI,0))))))</f>
        <v/>
      </c>
      <c r="B70" s="33" t="str" cm="1">
        <f t="array" aca="1" ref="B70" ca="1">IF($A70="","",
_xlfn.LET(
_xlpm._isAssumption,$J70,
_xlpm._isAdditionalElement,$L70,
IF(_xlpm._isAdditionalElement,
IF(_xlpm._isAssumption,
ParseElementsFromComment($U70,Definitions!$AR$4,Definitions!$AS$4,Definitions!$AR$6,$Q70),
ParseElementsFromComment($U70,Definitions!$AR$5,Definitions!$AS$5,Definitions!$AR$6,$Q70)),
 _xlfn.LET(_xlpm._value,IF($A70="","",IF($J70,SimpleLookup($A70,Assumptions!$A:$B),SimpleLookup($A70,Countermeasures!$A:$B))),IF(_xlpm._value="","",_xlpm._value)))))</f>
        <v/>
      </c>
      <c r="C70" s="33" t="str" cm="1">
        <f t="array" aca="1" ref="C70" ca="1">IF($A70="","",IF($J70,IFERROR(SimpleLookup($A70,Assumptions!$A:$E),""),Definitions!$AO$4))</f>
        <v/>
      </c>
      <c r="D70" s="37" t="str">
        <f t="shared" ca="1" si="7"/>
        <v/>
      </c>
      <c r="E70" s="23"/>
      <c r="F70" s="59" t="str">
        <f t="shared" ca="1" si="8"/>
        <v/>
      </c>
      <c r="G70" s="122" t="str" cm="1">
        <f t="array" aca="1" ref="G70" ca="1">_xlfn.LET(_xlpm._val,IFERROR(SimpleLookup($A70,Countermeasures!$A:$R),IFERROR(SimpleLookup($A70,Assumptions!$A:$R),"")),IF(_xlpm._val="","",_xlpm._val))</f>
        <v/>
      </c>
      <c r="H70" s="33" t="str" cm="1">
        <f t="array" aca="1" ref="H70" ca="1">_xlfn.LET(_xlpm._value,IF($A70="","",IFERROR(IF($J70,SimpleLookup($A70,Assumptions!$A:$S),SimpleLookup($A70,Countermeasures!$A:$S)),"")),
IF(_xlpm._value="","",_xlpm._value))</f>
        <v/>
      </c>
      <c r="I70" s="10" cm="1">
        <f t="array" aca="1" ref="I70" ca="1">IF(ROW()=ROW($I$17)+1,0,INDEX($I:$I,ROW()-1))+IF($A70="",0,1)</f>
        <v>12</v>
      </c>
      <c r="J70" s="21" t="b">
        <f ca="1">_xlfn.LET(_xlpm._row,ROW()-ROW($K$17),
_xlpm._numActiveAssumptions,Helper!$B$8,
_xlpm._numAdditionalAssumptions,SUM(Table24['# Elements]),
_xlpm._row&lt;=_xlpm._numActiveAssumptions+_xlpm._numAdditionalAssumptions)</f>
        <v>0</v>
      </c>
      <c r="K70" s="21">
        <f ca="1">_xlfn.LET(_xlpm._row,ROW()-ROW($K$17),
_xlpm._numActiveAssumptions,Helper!$B$8,
_xlpm._numAdditionalAssumptions,Helper!$B$10,
_xlpm._isAssumption,$J70,
_xlpm._elementID,IF(_xlpm._isAssumption,_xlpm._row,_xlpm._row-_xlpm._numActiveAssumptions-_xlpm._numAdditionalAssumptions),
_xlpm._elementID)</f>
        <v>47</v>
      </c>
      <c r="L70"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70" s="20" cm="1">
        <f t="array" aca="1" ref="M70" ca="1">IF($L70,
IF(ROW()=ROW($M$17)+1,1,INDEX($M:$M,ROW()-1)+IF(INDEX($T:$T,ROW()-1),1,0)),
1)</f>
        <v>1</v>
      </c>
      <c r="N70" s="20" t="str" cm="1">
        <f t="array" aca="1" ref="N70" ca="1">IF($L70=TRUE,
_xlfn.LET(
_xlpm._isAssumption,$J70,
_xlpm._indexRange,IF(_xlpm._isAssumption,Table24['# Elements],Table25['# Elements]),
_xlpm._lookupRow,$W70,
INDEX(_xlpm._indexRange,_xlpm._lookupRow)),
"")</f>
        <v/>
      </c>
      <c r="O70" s="20" t="str" cm="1">
        <f t="array" aca="1" ref="O70" ca="1">IF($N70="","",_xlfn.LET(
_xlpm._prevRow,ROW()-1,
IF(OR(INDEX($N:$N,_xlpm._prevRow)&lt;&gt;$N70,INDEX($M:$M,_xlpm._prevRow)&lt;&gt;$M70),
1,
INDEX($O:$O,_xlpm._prevRow)+IF(INDEX($S:$S,_xlpm._prevRow),1,0))))</f>
        <v/>
      </c>
      <c r="P70" s="20" t="str" cm="1">
        <f t="array" aca="1" ref="P70" ca="1">IF($O70="","",_xlfn.LET(
_xlpm._isAssumption,$J70,
_xlpm._sheetRow,$W70,
_xlpm._sheetName,$X70,
_xlpm._elementIDRange,IF(_xlpm._isAssumption,Table24[Element ID Column],Table25[Element ID Column]),
_xlpm._numberOfElementsRange,IF(_xlpm._isAssumption,Table24[Number of Elements Column],Table25[Number of Elements Column]),
SimpleLookup($O70,INDIRECT("'"&amp;_xlpm._sheetName&amp;"'!"&amp;INDEX(_xlpm._elementIDRange,_xlpm._sheetRow)&amp;":"&amp;INDEX(_xlpm._numberOfElementsRange,_xlpm._sheetRow)))))</f>
        <v/>
      </c>
      <c r="Q70" s="20" t="str" cm="1">
        <f t="array" aca="1" ref="Q70" ca="1">IF($O70="","",IF(OR(INDEX($O:$O,ROW()-1)&lt;&gt;$O70,INDEX($M:$M,ROW()-1)&lt;&gt;$M70),1,INDEX($Q:$Q,ROW()-1)+1))</f>
        <v/>
      </c>
      <c r="R70" s="20">
        <f t="shared" ca="1" si="9"/>
        <v>0</v>
      </c>
      <c r="S70" s="20" t="str">
        <f t="shared" ca="1" si="10"/>
        <v/>
      </c>
      <c r="T70" s="20" t="b">
        <f ca="1">_xlfn.LET(
_xlpm._isAssumption,$J70,
_xlpm._numberOfElementsRange,IF(_xlpm._isAssumption,Table24['# Elements],Table25['# Elements]),
_xlpm._sheetRow,$W70,
IF($L70,AND($S70,$R70=$N70),FALSE))</f>
        <v>0</v>
      </c>
      <c r="U70" s="20" t="str" cm="1">
        <f t="array" aca="1" ref="U70" ca="1">IF($L70,
_xlfn.LET(
_xlpm._elementID,$O70,
_xlpm._isAssumption,$J70,
_xlpm._sheetRow,$W70,
_xlpm._sheetName,$X70,
_xlpm._elementRow,$Y70,
_xlpm._resultColumnLetter,IF(_xlpm._isAssumption,INDEX(Table24[Comment Column],_xlpm._sheetRow),INDEX(Table25[Comment Column],_xlpm._sheetRow)),
INDEX(INDIRECT("'"&amp;_xlpm._sheetName&amp;"'!"&amp;_xlpm._resultColumnLetter&amp;":"&amp;_xlpm._resultColumnLetter),_xlpm._elementRow)),
"")</f>
        <v/>
      </c>
      <c r="V70" s="20" t="str" cm="1">
        <f t="array" aca="1" ref="V70" ca="1">IF($L70,
_xlfn.LET(
_xlpm._elementID,$O70,
_xlpm._isAssumption,$J70,
_xlpm._sheetRow,$W70,
_xlpm._sheetName,$X70,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70" s="20" t="str">
        <f ca="1">IF($L70=TRUE,
_xlfn.LET(
_xlpm._isAssumption,$J70,
_xlpm._searchRange,IF(_xlpm._isAssumption,Table24[Task Sheet Shadow ID],Table25[Task Sheet Shadow ID]),
MATCH($M70,_xlpm._searchRange,0)),
"")</f>
        <v/>
      </c>
      <c r="X70" s="20" t="str" cm="1">
        <f t="array" aca="1" ref="X70" ca="1">IF($L70,
_xlfn.LET(
_xlpm._isAssumption,$J70,
_xlpm._sheetRow,$W70,
IF(_xlpm._isAssumption,INDEX(Table24[Sheet Name],_xlpm._sheetRow),INDEX(Table25[Sheet Name],_xlpm._sheetRow))),
"")</f>
        <v/>
      </c>
      <c r="Y70" s="20" t="str" cm="1">
        <f t="array" aca="1" ref="Y70" ca="1">IF($L70,
_xlfn.LET(
_xlpm._elementID,$O70,
_xlpm._isAssumption,$J70,
_xlpm._sheetRow,$W70,
_xlpm._sheetName,$X70,
_xlpm._elementIDColumnLetter,IF(_xlpm._isAssumption,INDEX(Table24[Element ID Column],_xlpm._sheetRow),INDEX(Table25[Element ID Column],_xlpm._sheetRow)),
MATCH(_xlpm._elementID,INDIRECT("'"&amp;_xlpm._sheetName&amp;"'!"&amp;_xlpm._elementIDColumnLetter&amp;":"&amp;_xlpm._elementIDColumnLetter),0)),
"")</f>
        <v/>
      </c>
      <c r="Z70" s="20" t="str" cm="1">
        <f t="array" aca="1" ref="Z70" ca="1">IF($A70="","",_xlfn.LET(
_xlpm._isAssumption,$J70,
_xlpm._isAdditionalElement,$L70,
_xlpm._sheetRow,$W70,
_xlpm._sheetName,$X70,
_xlpm._columnLetter,INDEX(IF(_xlpm._isAdditionalElement,Table24[Comment Column],Table25[Comment Column]),_xlpm._sheetRow),
_xlpm._sheetReference,IF(_xlpm._isAssumption,IF(_xlpm._isAdditionalElement,
CELL("address",INDEX(INDIRECT("'"&amp;_xlpm._sheetName&amp;"'!"&amp;_xlpm._columnLetter&amp;":"&amp;_xlpm._columnLetter),$Y70)),
CELL("address",INDEX(Assumptions!$A:$A,MATCH($A70,Assumptions!$A:$A,0),1))),
IF(_xlpm._isAdditionalElement,
CELL("address",INDEX(INDIRECT("'"&amp;_xlpm._sheetName&amp;"'!"&amp;_xlpm._columnLetter&amp;":"&amp;_xlpm._columnLetter),$Y70)),
CELL("address",INDEX(Countermeasures!$A:$A,MATCH($A70,Countermeasures!$A:$A,0),1)))),
_xlpm._start,FIND("]",_xlpm._sheetReference),
"'"&amp;SUBSTITUTE(SUBSTITUTE(RIGHT(_xlpm._sheetReference,LEN(_xlpm._sheetReference)-_xlpm._start),"'",""),"!","'!")))</f>
        <v/>
      </c>
      <c r="AA70" s="20" t="str" cm="1">
        <f t="array" aca="1" ref="AA70" ca="1">IF(NOT($L70),
_xlfn.LET(_xlpm._value,IF($A70="","",IF($J70,SimpleLookup($A70,Assumptions!$A:$AK),SimpleLookup($A70,Countermeasures!$A:$AN))),
IF(_xlpm._value="","",_xlpm._value)),
"")</f>
        <v/>
      </c>
      <c r="AB70" s="20" t="str" cm="1">
        <f t="array" aca="1" ref="AB70" ca="1">LookupNames(InverseLookup($A70,Mitigation!$AD$2,Mitigation!$A$2,1,Helper!$B$5,","),'Attack Steps'!$A:$B)</f>
        <v/>
      </c>
      <c r="AC70" s="20" t="str" cm="1">
        <f t="array" aca="1" ref="AC70" ca="1">IF($L70,
_xlfn.LET(
_xlpm._in,$A70,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70" s="20" t="str" cm="1">
        <f t="array" aca="1" ref="AD70" ca="1">_xlfn.LET(
_xlpm._countermeasures,InverseLookup($A70,Countermeasures!$AG$2,Countermeasures!$A$2,1,Helper!$B$4,","),
LookupNames(_xlpm._countermeasures,Countermeasures!$A:$B))</f>
        <v/>
      </c>
      <c r="AE70" s="20" t="str" cm="1">
        <f t="array" aca="1" ref="AE70" ca="1">IF($E70="","",_xlfn.LET(
_xlpm._id,$E70,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70" s="20" t="str" cm="1">
        <f t="array" aca="1" ref="AF70" ca="1">IF(OR($A70="",$L70),"",_xlfn.LET(
_xlpm._answers,IF($J70,SimpleLookup($A70,Assumptions!$A:$F),SimpleLookup($A70,Countermeasures!$A:$D)),
IF(_xlpm._answers="*",IF($J70,SimpleLookup($A70,Assumptions!$A:$C),SimpleLookup($A70,Countermeasures!$A:$C)),"")))</f>
        <v/>
      </c>
      <c r="AG70" s="20" t="str" cm="1">
        <f t="array" aca="1" ref="AG70" ca="1">IF(NOT($L70),"",_xlfn.LET(
_xlpm._mappedInMitigation,IFERROR(VLOOKUP($V70,'Attack Steps'!$A:$O,COLUMNS('Attack Steps'!$A:$O),FALSE),""),
CreateSearchString(_xlpm._mappedInMitigation)))</f>
        <v/>
      </c>
      <c r="AH70" s="20" t="b">
        <f ca="1">ROW()-ROW($AH$17)=Helper!$B$15</f>
        <v>0</v>
      </c>
      <c r="AI70" s="20" t="str">
        <f t="shared" ca="1" si="11"/>
        <v/>
      </c>
      <c r="AJ70" s="20" cm="1">
        <f t="array" aca="1" ref="AJ70" ca="1">CreateID($AJ$17,$AJ:$AJ,$AI70&lt;&gt;"")</f>
        <v>0</v>
      </c>
    </row>
    <row r="71" spans="1:36" x14ac:dyDescent="0.25">
      <c r="A71" s="16" t="str">
        <f ca="1">_xlfn.LET(
_xlpm._isAssumption,$J71,
_xlpm._row,$K71,
_xlpm._numActiveAssumptions,Helper!$B$8,
_xlpm._numActiveCountermeasures,Helper!$B$9,
_xlpm._numAdditionalAssumptions,Helper!$B$10,
_xlpm._numAdditionalCountermeasures,Helper!$B$11,
IF(_xlpm._isAssumption,
IF(_xlpm._row&gt;_xlpm._numActiveAssumptions,
$V71&amp;"-A"&amp;$Q71,
INDEX(Assumptions!A:A,MATCH(_xlpm._row,Assumptions!$AG:$AG,0))),
IF(_xlpm._row&gt;_xlpm._numActiveCountermeasures+_xlpm._numAdditionalCountermeasures,"",
IF(_xlpm._row&gt;_xlpm._numActiveCountermeasures,
$V71&amp;"-C"&amp;$Q71,
INDEX(Countermeasures!$A:$A,MATCH(_xlpm._row,Countermeasures!$AI:$AI,0))))))</f>
        <v/>
      </c>
      <c r="B71" s="33" t="str" cm="1">
        <f t="array" aca="1" ref="B71" ca="1">IF($A71="","",
_xlfn.LET(
_xlpm._isAssumption,$J71,
_xlpm._isAdditionalElement,$L71,
IF(_xlpm._isAdditionalElement,
IF(_xlpm._isAssumption,
ParseElementsFromComment($U71,Definitions!$AR$4,Definitions!$AS$4,Definitions!$AR$6,$Q71),
ParseElementsFromComment($U71,Definitions!$AR$5,Definitions!$AS$5,Definitions!$AR$6,$Q71)),
 _xlfn.LET(_xlpm._value,IF($A71="","",IF($J71,SimpleLookup($A71,Assumptions!$A:$B),SimpleLookup($A71,Countermeasures!$A:$B))),IF(_xlpm._value="","",_xlpm._value)))))</f>
        <v/>
      </c>
      <c r="C71" s="33" t="str" cm="1">
        <f t="array" aca="1" ref="C71" ca="1">IF($A71="","",IF($J71,IFERROR(SimpleLookup($A71,Assumptions!$A:$E),""),Definitions!$AO$4))</f>
        <v/>
      </c>
      <c r="D71" s="37" t="str">
        <f t="shared" ca="1" si="7"/>
        <v/>
      </c>
      <c r="E71" s="23"/>
      <c r="F71" s="59" t="str">
        <f t="shared" ca="1" si="8"/>
        <v/>
      </c>
      <c r="G71" s="122" t="str" cm="1">
        <f t="array" aca="1" ref="G71" ca="1">_xlfn.LET(_xlpm._val,IFERROR(SimpleLookup($A71,Countermeasures!$A:$R),IFERROR(SimpleLookup($A71,Assumptions!$A:$R),"")),IF(_xlpm._val="","",_xlpm._val))</f>
        <v/>
      </c>
      <c r="H71" s="33" t="str" cm="1">
        <f t="array" aca="1" ref="H71" ca="1">_xlfn.LET(_xlpm._value,IF($A71="","",IFERROR(IF($J71,SimpleLookup($A71,Assumptions!$A:$S),SimpleLookup($A71,Countermeasures!$A:$S)),"")),
IF(_xlpm._value="","",_xlpm._value))</f>
        <v/>
      </c>
      <c r="I71" s="10" cm="1">
        <f t="array" aca="1" ref="I71" ca="1">IF(ROW()=ROW($I$17)+1,0,INDEX($I:$I,ROW()-1))+IF($A71="",0,1)</f>
        <v>12</v>
      </c>
      <c r="J71" s="21" t="b">
        <f ca="1">_xlfn.LET(_xlpm._row,ROW()-ROW($K$17),
_xlpm._numActiveAssumptions,Helper!$B$8,
_xlpm._numAdditionalAssumptions,SUM(Table24['# Elements]),
_xlpm._row&lt;=_xlpm._numActiveAssumptions+_xlpm._numAdditionalAssumptions)</f>
        <v>0</v>
      </c>
      <c r="K71" s="21">
        <f ca="1">_xlfn.LET(_xlpm._row,ROW()-ROW($K$17),
_xlpm._numActiveAssumptions,Helper!$B$8,
_xlpm._numAdditionalAssumptions,Helper!$B$10,
_xlpm._isAssumption,$J71,
_xlpm._elementID,IF(_xlpm._isAssumption,_xlpm._row,_xlpm._row-_xlpm._numActiveAssumptions-_xlpm._numAdditionalAssumptions),
_xlpm._elementID)</f>
        <v>48</v>
      </c>
      <c r="L71"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71" s="20" cm="1">
        <f t="array" aca="1" ref="M71" ca="1">IF($L71,
IF(ROW()=ROW($M$17)+1,1,INDEX($M:$M,ROW()-1)+IF(INDEX($T:$T,ROW()-1),1,0)),
1)</f>
        <v>1</v>
      </c>
      <c r="N71" s="20" t="str" cm="1">
        <f t="array" aca="1" ref="N71" ca="1">IF($L71=TRUE,
_xlfn.LET(
_xlpm._isAssumption,$J71,
_xlpm._indexRange,IF(_xlpm._isAssumption,Table24['# Elements],Table25['# Elements]),
_xlpm._lookupRow,$W71,
INDEX(_xlpm._indexRange,_xlpm._lookupRow)),
"")</f>
        <v/>
      </c>
      <c r="O71" s="20" t="str" cm="1">
        <f t="array" aca="1" ref="O71" ca="1">IF($N71="","",_xlfn.LET(
_xlpm._prevRow,ROW()-1,
IF(OR(INDEX($N:$N,_xlpm._prevRow)&lt;&gt;$N71,INDEX($M:$M,_xlpm._prevRow)&lt;&gt;$M71),
1,
INDEX($O:$O,_xlpm._prevRow)+IF(INDEX($S:$S,_xlpm._prevRow),1,0))))</f>
        <v/>
      </c>
      <c r="P71" s="20" t="str" cm="1">
        <f t="array" aca="1" ref="P71" ca="1">IF($O71="","",_xlfn.LET(
_xlpm._isAssumption,$J71,
_xlpm._sheetRow,$W71,
_xlpm._sheetName,$X71,
_xlpm._elementIDRange,IF(_xlpm._isAssumption,Table24[Element ID Column],Table25[Element ID Column]),
_xlpm._numberOfElementsRange,IF(_xlpm._isAssumption,Table24[Number of Elements Column],Table25[Number of Elements Column]),
SimpleLookup($O71,INDIRECT("'"&amp;_xlpm._sheetName&amp;"'!"&amp;INDEX(_xlpm._elementIDRange,_xlpm._sheetRow)&amp;":"&amp;INDEX(_xlpm._numberOfElementsRange,_xlpm._sheetRow)))))</f>
        <v/>
      </c>
      <c r="Q71" s="20" t="str" cm="1">
        <f t="array" aca="1" ref="Q71" ca="1">IF($O71="","",IF(OR(INDEX($O:$O,ROW()-1)&lt;&gt;$O71,INDEX($M:$M,ROW()-1)&lt;&gt;$M71),1,INDEX($Q:$Q,ROW()-1)+1))</f>
        <v/>
      </c>
      <c r="R71" s="20">
        <f t="shared" ca="1" si="9"/>
        <v>0</v>
      </c>
      <c r="S71" s="20" t="str">
        <f t="shared" ca="1" si="10"/>
        <v/>
      </c>
      <c r="T71" s="20" t="b">
        <f ca="1">_xlfn.LET(
_xlpm._isAssumption,$J71,
_xlpm._numberOfElementsRange,IF(_xlpm._isAssumption,Table24['# Elements],Table25['# Elements]),
_xlpm._sheetRow,$W71,
IF($L71,AND($S71,$R71=$N71),FALSE))</f>
        <v>0</v>
      </c>
      <c r="U71" s="20" t="str" cm="1">
        <f t="array" aca="1" ref="U71" ca="1">IF($L71,
_xlfn.LET(
_xlpm._elementID,$O71,
_xlpm._isAssumption,$J71,
_xlpm._sheetRow,$W71,
_xlpm._sheetName,$X71,
_xlpm._elementRow,$Y71,
_xlpm._resultColumnLetter,IF(_xlpm._isAssumption,INDEX(Table24[Comment Column],_xlpm._sheetRow),INDEX(Table25[Comment Column],_xlpm._sheetRow)),
INDEX(INDIRECT("'"&amp;_xlpm._sheetName&amp;"'!"&amp;_xlpm._resultColumnLetter&amp;":"&amp;_xlpm._resultColumnLetter),_xlpm._elementRow)),
"")</f>
        <v/>
      </c>
      <c r="V71" s="20" t="str" cm="1">
        <f t="array" aca="1" ref="V71" ca="1">IF($L71,
_xlfn.LET(
_xlpm._elementID,$O71,
_xlpm._isAssumption,$J71,
_xlpm._sheetRow,$W71,
_xlpm._sheetName,$X71,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71" s="20" t="str">
        <f ca="1">IF($L71=TRUE,
_xlfn.LET(
_xlpm._isAssumption,$J71,
_xlpm._searchRange,IF(_xlpm._isAssumption,Table24[Task Sheet Shadow ID],Table25[Task Sheet Shadow ID]),
MATCH($M71,_xlpm._searchRange,0)),
"")</f>
        <v/>
      </c>
      <c r="X71" s="20" t="str" cm="1">
        <f t="array" aca="1" ref="X71" ca="1">IF($L71,
_xlfn.LET(
_xlpm._isAssumption,$J71,
_xlpm._sheetRow,$W71,
IF(_xlpm._isAssumption,INDEX(Table24[Sheet Name],_xlpm._sheetRow),INDEX(Table25[Sheet Name],_xlpm._sheetRow))),
"")</f>
        <v/>
      </c>
      <c r="Y71" s="20" t="str" cm="1">
        <f t="array" aca="1" ref="Y71" ca="1">IF($L71,
_xlfn.LET(
_xlpm._elementID,$O71,
_xlpm._isAssumption,$J71,
_xlpm._sheetRow,$W71,
_xlpm._sheetName,$X71,
_xlpm._elementIDColumnLetter,IF(_xlpm._isAssumption,INDEX(Table24[Element ID Column],_xlpm._sheetRow),INDEX(Table25[Element ID Column],_xlpm._sheetRow)),
MATCH(_xlpm._elementID,INDIRECT("'"&amp;_xlpm._sheetName&amp;"'!"&amp;_xlpm._elementIDColumnLetter&amp;":"&amp;_xlpm._elementIDColumnLetter),0)),
"")</f>
        <v/>
      </c>
      <c r="Z71" s="20" t="str" cm="1">
        <f t="array" aca="1" ref="Z71" ca="1">IF($A71="","",_xlfn.LET(
_xlpm._isAssumption,$J71,
_xlpm._isAdditionalElement,$L71,
_xlpm._sheetRow,$W71,
_xlpm._sheetName,$X71,
_xlpm._columnLetter,INDEX(IF(_xlpm._isAdditionalElement,Table24[Comment Column],Table25[Comment Column]),_xlpm._sheetRow),
_xlpm._sheetReference,IF(_xlpm._isAssumption,IF(_xlpm._isAdditionalElement,
CELL("address",INDEX(INDIRECT("'"&amp;_xlpm._sheetName&amp;"'!"&amp;_xlpm._columnLetter&amp;":"&amp;_xlpm._columnLetter),$Y71)),
CELL("address",INDEX(Assumptions!$A:$A,MATCH($A71,Assumptions!$A:$A,0),1))),
IF(_xlpm._isAdditionalElement,
CELL("address",INDEX(INDIRECT("'"&amp;_xlpm._sheetName&amp;"'!"&amp;_xlpm._columnLetter&amp;":"&amp;_xlpm._columnLetter),$Y71)),
CELL("address",INDEX(Countermeasures!$A:$A,MATCH($A71,Countermeasures!$A:$A,0),1)))),
_xlpm._start,FIND("]",_xlpm._sheetReference),
"'"&amp;SUBSTITUTE(SUBSTITUTE(RIGHT(_xlpm._sheetReference,LEN(_xlpm._sheetReference)-_xlpm._start),"'",""),"!","'!")))</f>
        <v/>
      </c>
      <c r="AA71" s="20" t="str" cm="1">
        <f t="array" aca="1" ref="AA71" ca="1">IF(NOT($L71),
_xlfn.LET(_xlpm._value,IF($A71="","",IF($J71,SimpleLookup($A71,Assumptions!$A:$AK),SimpleLookup($A71,Countermeasures!$A:$AN))),
IF(_xlpm._value="","",_xlpm._value)),
"")</f>
        <v/>
      </c>
      <c r="AB71" s="20" t="str" cm="1">
        <f t="array" aca="1" ref="AB71" ca="1">LookupNames(InverseLookup($A71,Mitigation!$AD$2,Mitigation!$A$2,1,Helper!$B$5,","),'Attack Steps'!$A:$B)</f>
        <v/>
      </c>
      <c r="AC71" s="20" t="str" cm="1">
        <f t="array" aca="1" ref="AC71" ca="1">IF($L71,
_xlfn.LET(
_xlpm._in,$A71,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71" s="20" t="str" cm="1">
        <f t="array" aca="1" ref="AD71" ca="1">_xlfn.LET(
_xlpm._countermeasures,InverseLookup($A71,Countermeasures!$AG$2,Countermeasures!$A$2,1,Helper!$B$4,","),
LookupNames(_xlpm._countermeasures,Countermeasures!$A:$B))</f>
        <v/>
      </c>
      <c r="AE71" s="20" t="str" cm="1">
        <f t="array" aca="1" ref="AE71" ca="1">IF($E71="","",_xlfn.LET(
_xlpm._id,$E71,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71" s="20" t="str" cm="1">
        <f t="array" aca="1" ref="AF71" ca="1">IF(OR($A71="",$L71),"",_xlfn.LET(
_xlpm._answers,IF($J71,SimpleLookup($A71,Assumptions!$A:$F),SimpleLookup($A71,Countermeasures!$A:$D)),
IF(_xlpm._answers="*",IF($J71,SimpleLookup($A71,Assumptions!$A:$C),SimpleLookup($A71,Countermeasures!$A:$C)),"")))</f>
        <v/>
      </c>
      <c r="AG71" s="20" t="str" cm="1">
        <f t="array" aca="1" ref="AG71" ca="1">IF(NOT($L71),"",_xlfn.LET(
_xlpm._mappedInMitigation,IFERROR(VLOOKUP($V71,'Attack Steps'!$A:$O,COLUMNS('Attack Steps'!$A:$O),FALSE),""),
CreateSearchString(_xlpm._mappedInMitigation)))</f>
        <v/>
      </c>
      <c r="AH71" s="20" t="b">
        <f ca="1">ROW()-ROW($AH$17)=Helper!$B$15</f>
        <v>0</v>
      </c>
      <c r="AI71" s="20" t="str">
        <f t="shared" ca="1" si="11"/>
        <v/>
      </c>
      <c r="AJ71" s="20" cm="1">
        <f t="array" aca="1" ref="AJ71" ca="1">CreateID($AJ$17,$AJ:$AJ,$AI71&lt;&gt;"")</f>
        <v>0</v>
      </c>
    </row>
    <row r="72" spans="1:36" x14ac:dyDescent="0.25">
      <c r="A72" s="16" t="str">
        <f ca="1">_xlfn.LET(
_xlpm._isAssumption,$J72,
_xlpm._row,$K72,
_xlpm._numActiveAssumptions,Helper!$B$8,
_xlpm._numActiveCountermeasures,Helper!$B$9,
_xlpm._numAdditionalAssumptions,Helper!$B$10,
_xlpm._numAdditionalCountermeasures,Helper!$B$11,
IF(_xlpm._isAssumption,
IF(_xlpm._row&gt;_xlpm._numActiveAssumptions,
$V72&amp;"-A"&amp;$Q72,
INDEX(Assumptions!A:A,MATCH(_xlpm._row,Assumptions!$AG:$AG,0))),
IF(_xlpm._row&gt;_xlpm._numActiveCountermeasures+_xlpm._numAdditionalCountermeasures,"",
IF(_xlpm._row&gt;_xlpm._numActiveCountermeasures,
$V72&amp;"-C"&amp;$Q72,
INDEX(Countermeasures!$A:$A,MATCH(_xlpm._row,Countermeasures!$AI:$AI,0))))))</f>
        <v/>
      </c>
      <c r="B72" s="33" t="str" cm="1">
        <f t="array" aca="1" ref="B72" ca="1">IF($A72="","",
_xlfn.LET(
_xlpm._isAssumption,$J72,
_xlpm._isAdditionalElement,$L72,
IF(_xlpm._isAdditionalElement,
IF(_xlpm._isAssumption,
ParseElementsFromComment($U72,Definitions!$AR$4,Definitions!$AS$4,Definitions!$AR$6,$Q72),
ParseElementsFromComment($U72,Definitions!$AR$5,Definitions!$AS$5,Definitions!$AR$6,$Q72)),
 _xlfn.LET(_xlpm._value,IF($A72="","",IF($J72,SimpleLookup($A72,Assumptions!$A:$B),SimpleLookup($A72,Countermeasures!$A:$B))),IF(_xlpm._value="","",_xlpm._value)))))</f>
        <v/>
      </c>
      <c r="C72" s="33" t="str" cm="1">
        <f t="array" aca="1" ref="C72" ca="1">IF($A72="","",IF($J72,IFERROR(SimpleLookup($A72,Assumptions!$A:$E),""),Definitions!$AO$4))</f>
        <v/>
      </c>
      <c r="D72" s="37" t="str">
        <f t="shared" ca="1" si="7"/>
        <v/>
      </c>
      <c r="E72" s="23"/>
      <c r="F72" s="59" t="str">
        <f t="shared" ca="1" si="8"/>
        <v/>
      </c>
      <c r="G72" s="122" t="str" cm="1">
        <f t="array" aca="1" ref="G72" ca="1">_xlfn.LET(_xlpm._val,IFERROR(SimpleLookup($A72,Countermeasures!$A:$R),IFERROR(SimpleLookup($A72,Assumptions!$A:$R),"")),IF(_xlpm._val="","",_xlpm._val))</f>
        <v/>
      </c>
      <c r="H72" s="33" t="str" cm="1">
        <f t="array" aca="1" ref="H72" ca="1">_xlfn.LET(_xlpm._value,IF($A72="","",IFERROR(IF($J72,SimpleLookup($A72,Assumptions!$A:$S),SimpleLookup($A72,Countermeasures!$A:$S)),"")),
IF(_xlpm._value="","",_xlpm._value))</f>
        <v/>
      </c>
      <c r="I72" s="10" cm="1">
        <f t="array" aca="1" ref="I72" ca="1">IF(ROW()=ROW($I$17)+1,0,INDEX($I:$I,ROW()-1))+IF($A72="",0,1)</f>
        <v>12</v>
      </c>
      <c r="J72" s="21" t="b">
        <f ca="1">_xlfn.LET(_xlpm._row,ROW()-ROW($K$17),
_xlpm._numActiveAssumptions,Helper!$B$8,
_xlpm._numAdditionalAssumptions,SUM(Table24['# Elements]),
_xlpm._row&lt;=_xlpm._numActiveAssumptions+_xlpm._numAdditionalAssumptions)</f>
        <v>0</v>
      </c>
      <c r="K72" s="21">
        <f ca="1">_xlfn.LET(_xlpm._row,ROW()-ROW($K$17),
_xlpm._numActiveAssumptions,Helper!$B$8,
_xlpm._numAdditionalAssumptions,Helper!$B$10,
_xlpm._isAssumption,$J72,
_xlpm._elementID,IF(_xlpm._isAssumption,_xlpm._row,_xlpm._row-_xlpm._numActiveAssumptions-_xlpm._numAdditionalAssumptions),
_xlpm._elementID)</f>
        <v>49</v>
      </c>
      <c r="L72"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72" s="20" cm="1">
        <f t="array" aca="1" ref="M72" ca="1">IF($L72,
IF(ROW()=ROW($M$17)+1,1,INDEX($M:$M,ROW()-1)+IF(INDEX($T:$T,ROW()-1),1,0)),
1)</f>
        <v>1</v>
      </c>
      <c r="N72" s="20" t="str" cm="1">
        <f t="array" aca="1" ref="N72" ca="1">IF($L72=TRUE,
_xlfn.LET(
_xlpm._isAssumption,$J72,
_xlpm._indexRange,IF(_xlpm._isAssumption,Table24['# Elements],Table25['# Elements]),
_xlpm._lookupRow,$W72,
INDEX(_xlpm._indexRange,_xlpm._lookupRow)),
"")</f>
        <v/>
      </c>
      <c r="O72" s="20" t="str" cm="1">
        <f t="array" aca="1" ref="O72" ca="1">IF($N72="","",_xlfn.LET(
_xlpm._prevRow,ROW()-1,
IF(OR(INDEX($N:$N,_xlpm._prevRow)&lt;&gt;$N72,INDEX($M:$M,_xlpm._prevRow)&lt;&gt;$M72),
1,
INDEX($O:$O,_xlpm._prevRow)+IF(INDEX($S:$S,_xlpm._prevRow),1,0))))</f>
        <v/>
      </c>
      <c r="P72" s="20" t="str" cm="1">
        <f t="array" aca="1" ref="P72" ca="1">IF($O72="","",_xlfn.LET(
_xlpm._isAssumption,$J72,
_xlpm._sheetRow,$W72,
_xlpm._sheetName,$X72,
_xlpm._elementIDRange,IF(_xlpm._isAssumption,Table24[Element ID Column],Table25[Element ID Column]),
_xlpm._numberOfElementsRange,IF(_xlpm._isAssumption,Table24[Number of Elements Column],Table25[Number of Elements Column]),
SimpleLookup($O72,INDIRECT("'"&amp;_xlpm._sheetName&amp;"'!"&amp;INDEX(_xlpm._elementIDRange,_xlpm._sheetRow)&amp;":"&amp;INDEX(_xlpm._numberOfElementsRange,_xlpm._sheetRow)))))</f>
        <v/>
      </c>
      <c r="Q72" s="20" t="str" cm="1">
        <f t="array" aca="1" ref="Q72" ca="1">IF($O72="","",IF(OR(INDEX($O:$O,ROW()-1)&lt;&gt;$O72,INDEX($M:$M,ROW()-1)&lt;&gt;$M72),1,INDEX($Q:$Q,ROW()-1)+1))</f>
        <v/>
      </c>
      <c r="R72" s="20">
        <f t="shared" ca="1" si="9"/>
        <v>0</v>
      </c>
      <c r="S72" s="20" t="str">
        <f t="shared" ca="1" si="10"/>
        <v/>
      </c>
      <c r="T72" s="20" t="b">
        <f ca="1">_xlfn.LET(
_xlpm._isAssumption,$J72,
_xlpm._numberOfElementsRange,IF(_xlpm._isAssumption,Table24['# Elements],Table25['# Elements]),
_xlpm._sheetRow,$W72,
IF($L72,AND($S72,$R72=$N72),FALSE))</f>
        <v>0</v>
      </c>
      <c r="U72" s="20" t="str" cm="1">
        <f t="array" aca="1" ref="U72" ca="1">IF($L72,
_xlfn.LET(
_xlpm._elementID,$O72,
_xlpm._isAssumption,$J72,
_xlpm._sheetRow,$W72,
_xlpm._sheetName,$X72,
_xlpm._elementRow,$Y72,
_xlpm._resultColumnLetter,IF(_xlpm._isAssumption,INDEX(Table24[Comment Column],_xlpm._sheetRow),INDEX(Table25[Comment Column],_xlpm._sheetRow)),
INDEX(INDIRECT("'"&amp;_xlpm._sheetName&amp;"'!"&amp;_xlpm._resultColumnLetter&amp;":"&amp;_xlpm._resultColumnLetter),_xlpm._elementRow)),
"")</f>
        <v/>
      </c>
      <c r="V72" s="20" t="str" cm="1">
        <f t="array" aca="1" ref="V72" ca="1">IF($L72,
_xlfn.LET(
_xlpm._elementID,$O72,
_xlpm._isAssumption,$J72,
_xlpm._sheetRow,$W72,
_xlpm._sheetName,$X72,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72" s="20" t="str">
        <f ca="1">IF($L72=TRUE,
_xlfn.LET(
_xlpm._isAssumption,$J72,
_xlpm._searchRange,IF(_xlpm._isAssumption,Table24[Task Sheet Shadow ID],Table25[Task Sheet Shadow ID]),
MATCH($M72,_xlpm._searchRange,0)),
"")</f>
        <v/>
      </c>
      <c r="X72" s="20" t="str" cm="1">
        <f t="array" aca="1" ref="X72" ca="1">IF($L72,
_xlfn.LET(
_xlpm._isAssumption,$J72,
_xlpm._sheetRow,$W72,
IF(_xlpm._isAssumption,INDEX(Table24[Sheet Name],_xlpm._sheetRow),INDEX(Table25[Sheet Name],_xlpm._sheetRow))),
"")</f>
        <v/>
      </c>
      <c r="Y72" s="20" t="str" cm="1">
        <f t="array" aca="1" ref="Y72" ca="1">IF($L72,
_xlfn.LET(
_xlpm._elementID,$O72,
_xlpm._isAssumption,$J72,
_xlpm._sheetRow,$W72,
_xlpm._sheetName,$X72,
_xlpm._elementIDColumnLetter,IF(_xlpm._isAssumption,INDEX(Table24[Element ID Column],_xlpm._sheetRow),INDEX(Table25[Element ID Column],_xlpm._sheetRow)),
MATCH(_xlpm._elementID,INDIRECT("'"&amp;_xlpm._sheetName&amp;"'!"&amp;_xlpm._elementIDColumnLetter&amp;":"&amp;_xlpm._elementIDColumnLetter),0)),
"")</f>
        <v/>
      </c>
      <c r="Z72" s="20" t="str" cm="1">
        <f t="array" aca="1" ref="Z72" ca="1">IF($A72="","",_xlfn.LET(
_xlpm._isAssumption,$J72,
_xlpm._isAdditionalElement,$L72,
_xlpm._sheetRow,$W72,
_xlpm._sheetName,$X72,
_xlpm._columnLetter,INDEX(IF(_xlpm._isAdditionalElement,Table24[Comment Column],Table25[Comment Column]),_xlpm._sheetRow),
_xlpm._sheetReference,IF(_xlpm._isAssumption,IF(_xlpm._isAdditionalElement,
CELL("address",INDEX(INDIRECT("'"&amp;_xlpm._sheetName&amp;"'!"&amp;_xlpm._columnLetter&amp;":"&amp;_xlpm._columnLetter),$Y72)),
CELL("address",INDEX(Assumptions!$A:$A,MATCH($A72,Assumptions!$A:$A,0),1))),
IF(_xlpm._isAdditionalElement,
CELL("address",INDEX(INDIRECT("'"&amp;_xlpm._sheetName&amp;"'!"&amp;_xlpm._columnLetter&amp;":"&amp;_xlpm._columnLetter),$Y72)),
CELL("address",INDEX(Countermeasures!$A:$A,MATCH($A72,Countermeasures!$A:$A,0),1)))),
_xlpm._start,FIND("]",_xlpm._sheetReference),
"'"&amp;SUBSTITUTE(SUBSTITUTE(RIGHT(_xlpm._sheetReference,LEN(_xlpm._sheetReference)-_xlpm._start),"'",""),"!","'!")))</f>
        <v/>
      </c>
      <c r="AA72" s="20" t="str" cm="1">
        <f t="array" aca="1" ref="AA72" ca="1">IF(NOT($L72),
_xlfn.LET(_xlpm._value,IF($A72="","",IF($J72,SimpleLookup($A72,Assumptions!$A:$AK),SimpleLookup($A72,Countermeasures!$A:$AN))),
IF(_xlpm._value="","",_xlpm._value)),
"")</f>
        <v/>
      </c>
      <c r="AB72" s="20" t="str" cm="1">
        <f t="array" aca="1" ref="AB72" ca="1">LookupNames(InverseLookup($A72,Mitigation!$AD$2,Mitigation!$A$2,1,Helper!$B$5,","),'Attack Steps'!$A:$B)</f>
        <v/>
      </c>
      <c r="AC72" s="20" t="str" cm="1">
        <f t="array" aca="1" ref="AC72" ca="1">IF($L72,
_xlfn.LET(
_xlpm._in,$A72,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72" s="20" t="str" cm="1">
        <f t="array" aca="1" ref="AD72" ca="1">_xlfn.LET(
_xlpm._countermeasures,InverseLookup($A72,Countermeasures!$AG$2,Countermeasures!$A$2,1,Helper!$B$4,","),
LookupNames(_xlpm._countermeasures,Countermeasures!$A:$B))</f>
        <v/>
      </c>
      <c r="AE72" s="20" t="str" cm="1">
        <f t="array" aca="1" ref="AE72" ca="1">IF($E72="","",_xlfn.LET(
_xlpm._id,$E72,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72" s="20" t="str" cm="1">
        <f t="array" aca="1" ref="AF72" ca="1">IF(OR($A72="",$L72),"",_xlfn.LET(
_xlpm._answers,IF($J72,SimpleLookup($A72,Assumptions!$A:$F),SimpleLookup($A72,Countermeasures!$A:$D)),
IF(_xlpm._answers="*",IF($J72,SimpleLookup($A72,Assumptions!$A:$C),SimpleLookup($A72,Countermeasures!$A:$C)),"")))</f>
        <v/>
      </c>
      <c r="AG72" s="20" t="str" cm="1">
        <f t="array" aca="1" ref="AG72" ca="1">IF(NOT($L72),"",_xlfn.LET(
_xlpm._mappedInMitigation,IFERROR(VLOOKUP($V72,'Attack Steps'!$A:$O,COLUMNS('Attack Steps'!$A:$O),FALSE),""),
CreateSearchString(_xlpm._mappedInMitigation)))</f>
        <v/>
      </c>
      <c r="AH72" s="20" t="b">
        <f ca="1">ROW()-ROW($AH$17)=Helper!$B$15</f>
        <v>0</v>
      </c>
      <c r="AI72" s="20" t="str">
        <f t="shared" ca="1" si="11"/>
        <v/>
      </c>
      <c r="AJ72" s="20" cm="1">
        <f t="array" aca="1" ref="AJ72" ca="1">CreateID($AJ$17,$AJ:$AJ,$AI72&lt;&gt;"")</f>
        <v>0</v>
      </c>
    </row>
    <row r="73" spans="1:36" x14ac:dyDescent="0.25">
      <c r="A73" s="16" t="str">
        <f ca="1">_xlfn.LET(
_xlpm._isAssumption,$J73,
_xlpm._row,$K73,
_xlpm._numActiveAssumptions,Helper!$B$8,
_xlpm._numActiveCountermeasures,Helper!$B$9,
_xlpm._numAdditionalAssumptions,Helper!$B$10,
_xlpm._numAdditionalCountermeasures,Helper!$B$11,
IF(_xlpm._isAssumption,
IF(_xlpm._row&gt;_xlpm._numActiveAssumptions,
$V73&amp;"-A"&amp;$Q73,
INDEX(Assumptions!A:A,MATCH(_xlpm._row,Assumptions!$AG:$AG,0))),
IF(_xlpm._row&gt;_xlpm._numActiveCountermeasures+_xlpm._numAdditionalCountermeasures,"",
IF(_xlpm._row&gt;_xlpm._numActiveCountermeasures,
$V73&amp;"-C"&amp;$Q73,
INDEX(Countermeasures!$A:$A,MATCH(_xlpm._row,Countermeasures!$AI:$AI,0))))))</f>
        <v/>
      </c>
      <c r="B73" s="33" t="str" cm="1">
        <f t="array" aca="1" ref="B73" ca="1">IF($A73="","",
_xlfn.LET(
_xlpm._isAssumption,$J73,
_xlpm._isAdditionalElement,$L73,
IF(_xlpm._isAdditionalElement,
IF(_xlpm._isAssumption,
ParseElementsFromComment($U73,Definitions!$AR$4,Definitions!$AS$4,Definitions!$AR$6,$Q73),
ParseElementsFromComment($U73,Definitions!$AR$5,Definitions!$AS$5,Definitions!$AR$6,$Q73)),
 _xlfn.LET(_xlpm._value,IF($A73="","",IF($J73,SimpleLookup($A73,Assumptions!$A:$B),SimpleLookup($A73,Countermeasures!$A:$B))),IF(_xlpm._value="","",_xlpm._value)))))</f>
        <v/>
      </c>
      <c r="C73" s="33" t="str" cm="1">
        <f t="array" aca="1" ref="C73" ca="1">IF($A73="","",IF($J73,IFERROR(SimpleLookup($A73,Assumptions!$A:$E),""),Definitions!$AO$4))</f>
        <v/>
      </c>
      <c r="D73" s="37" t="str">
        <f t="shared" ca="1" si="7"/>
        <v/>
      </c>
      <c r="E73" s="23"/>
      <c r="F73" s="59" t="str">
        <f t="shared" ca="1" si="8"/>
        <v/>
      </c>
      <c r="G73" s="122" t="str" cm="1">
        <f t="array" aca="1" ref="G73" ca="1">_xlfn.LET(_xlpm._val,IFERROR(SimpleLookup($A73,Countermeasures!$A:$R),IFERROR(SimpleLookup($A73,Assumptions!$A:$R),"")),IF(_xlpm._val="","",_xlpm._val))</f>
        <v/>
      </c>
      <c r="H73" s="33" t="str" cm="1">
        <f t="array" aca="1" ref="H73" ca="1">_xlfn.LET(_xlpm._value,IF($A73="","",IFERROR(IF($J73,SimpleLookup($A73,Assumptions!$A:$S),SimpleLookup($A73,Countermeasures!$A:$S)),"")),
IF(_xlpm._value="","",_xlpm._value))</f>
        <v/>
      </c>
      <c r="I73" s="10" cm="1">
        <f t="array" aca="1" ref="I73" ca="1">IF(ROW()=ROW($I$17)+1,0,INDEX($I:$I,ROW()-1))+IF($A73="",0,1)</f>
        <v>12</v>
      </c>
      <c r="J73" s="21" t="b">
        <f ca="1">_xlfn.LET(_xlpm._row,ROW()-ROW($K$17),
_xlpm._numActiveAssumptions,Helper!$B$8,
_xlpm._numAdditionalAssumptions,SUM(Table24['# Elements]),
_xlpm._row&lt;=_xlpm._numActiveAssumptions+_xlpm._numAdditionalAssumptions)</f>
        <v>0</v>
      </c>
      <c r="K73" s="21">
        <f ca="1">_xlfn.LET(_xlpm._row,ROW()-ROW($K$17),
_xlpm._numActiveAssumptions,Helper!$B$8,
_xlpm._numAdditionalAssumptions,Helper!$B$10,
_xlpm._isAssumption,$J73,
_xlpm._elementID,IF(_xlpm._isAssumption,_xlpm._row,_xlpm._row-_xlpm._numActiveAssumptions-_xlpm._numAdditionalAssumptions),
_xlpm._elementID)</f>
        <v>50</v>
      </c>
      <c r="L73"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73" s="20" cm="1">
        <f t="array" aca="1" ref="M73" ca="1">IF($L73,
IF(ROW()=ROW($M$17)+1,1,INDEX($M:$M,ROW()-1)+IF(INDEX($T:$T,ROW()-1),1,0)),
1)</f>
        <v>1</v>
      </c>
      <c r="N73" s="20" t="str" cm="1">
        <f t="array" aca="1" ref="N73" ca="1">IF($L73=TRUE,
_xlfn.LET(
_xlpm._isAssumption,$J73,
_xlpm._indexRange,IF(_xlpm._isAssumption,Table24['# Elements],Table25['# Elements]),
_xlpm._lookupRow,$W73,
INDEX(_xlpm._indexRange,_xlpm._lookupRow)),
"")</f>
        <v/>
      </c>
      <c r="O73" s="20" t="str" cm="1">
        <f t="array" aca="1" ref="O73" ca="1">IF($N73="","",_xlfn.LET(
_xlpm._prevRow,ROW()-1,
IF(OR(INDEX($N:$N,_xlpm._prevRow)&lt;&gt;$N73,INDEX($M:$M,_xlpm._prevRow)&lt;&gt;$M73),
1,
INDEX($O:$O,_xlpm._prevRow)+IF(INDEX($S:$S,_xlpm._prevRow),1,0))))</f>
        <v/>
      </c>
      <c r="P73" s="20" t="str" cm="1">
        <f t="array" aca="1" ref="P73" ca="1">IF($O73="","",_xlfn.LET(
_xlpm._isAssumption,$J73,
_xlpm._sheetRow,$W73,
_xlpm._sheetName,$X73,
_xlpm._elementIDRange,IF(_xlpm._isAssumption,Table24[Element ID Column],Table25[Element ID Column]),
_xlpm._numberOfElementsRange,IF(_xlpm._isAssumption,Table24[Number of Elements Column],Table25[Number of Elements Column]),
SimpleLookup($O73,INDIRECT("'"&amp;_xlpm._sheetName&amp;"'!"&amp;INDEX(_xlpm._elementIDRange,_xlpm._sheetRow)&amp;":"&amp;INDEX(_xlpm._numberOfElementsRange,_xlpm._sheetRow)))))</f>
        <v/>
      </c>
      <c r="Q73" s="20" t="str" cm="1">
        <f t="array" aca="1" ref="Q73" ca="1">IF($O73="","",IF(OR(INDEX($O:$O,ROW()-1)&lt;&gt;$O73,INDEX($M:$M,ROW()-1)&lt;&gt;$M73),1,INDEX($Q:$Q,ROW()-1)+1))</f>
        <v/>
      </c>
      <c r="R73" s="20">
        <f t="shared" ca="1" si="9"/>
        <v>0</v>
      </c>
      <c r="S73" s="20" t="str">
        <f t="shared" ca="1" si="10"/>
        <v/>
      </c>
      <c r="T73" s="20" t="b">
        <f ca="1">_xlfn.LET(
_xlpm._isAssumption,$J73,
_xlpm._numberOfElementsRange,IF(_xlpm._isAssumption,Table24['# Elements],Table25['# Elements]),
_xlpm._sheetRow,$W73,
IF($L73,AND($S73,$R73=$N73),FALSE))</f>
        <v>0</v>
      </c>
      <c r="U73" s="20" t="str" cm="1">
        <f t="array" aca="1" ref="U73" ca="1">IF($L73,
_xlfn.LET(
_xlpm._elementID,$O73,
_xlpm._isAssumption,$J73,
_xlpm._sheetRow,$W73,
_xlpm._sheetName,$X73,
_xlpm._elementRow,$Y73,
_xlpm._resultColumnLetter,IF(_xlpm._isAssumption,INDEX(Table24[Comment Column],_xlpm._sheetRow),INDEX(Table25[Comment Column],_xlpm._sheetRow)),
INDEX(INDIRECT("'"&amp;_xlpm._sheetName&amp;"'!"&amp;_xlpm._resultColumnLetter&amp;":"&amp;_xlpm._resultColumnLetter),_xlpm._elementRow)),
"")</f>
        <v/>
      </c>
      <c r="V73" s="20" t="str" cm="1">
        <f t="array" aca="1" ref="V73" ca="1">IF($L73,
_xlfn.LET(
_xlpm._elementID,$O73,
_xlpm._isAssumption,$J73,
_xlpm._sheetRow,$W73,
_xlpm._sheetName,$X73,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73" s="20" t="str">
        <f ca="1">IF($L73=TRUE,
_xlfn.LET(
_xlpm._isAssumption,$J73,
_xlpm._searchRange,IF(_xlpm._isAssumption,Table24[Task Sheet Shadow ID],Table25[Task Sheet Shadow ID]),
MATCH($M73,_xlpm._searchRange,0)),
"")</f>
        <v/>
      </c>
      <c r="X73" s="20" t="str" cm="1">
        <f t="array" aca="1" ref="X73" ca="1">IF($L73,
_xlfn.LET(
_xlpm._isAssumption,$J73,
_xlpm._sheetRow,$W73,
IF(_xlpm._isAssumption,INDEX(Table24[Sheet Name],_xlpm._sheetRow),INDEX(Table25[Sheet Name],_xlpm._sheetRow))),
"")</f>
        <v/>
      </c>
      <c r="Y73" s="20" t="str" cm="1">
        <f t="array" aca="1" ref="Y73" ca="1">IF($L73,
_xlfn.LET(
_xlpm._elementID,$O73,
_xlpm._isAssumption,$J73,
_xlpm._sheetRow,$W73,
_xlpm._sheetName,$X73,
_xlpm._elementIDColumnLetter,IF(_xlpm._isAssumption,INDEX(Table24[Element ID Column],_xlpm._sheetRow),INDEX(Table25[Element ID Column],_xlpm._sheetRow)),
MATCH(_xlpm._elementID,INDIRECT("'"&amp;_xlpm._sheetName&amp;"'!"&amp;_xlpm._elementIDColumnLetter&amp;":"&amp;_xlpm._elementIDColumnLetter),0)),
"")</f>
        <v/>
      </c>
      <c r="Z73" s="20" t="str" cm="1">
        <f t="array" aca="1" ref="Z73" ca="1">IF($A73="","",_xlfn.LET(
_xlpm._isAssumption,$J73,
_xlpm._isAdditionalElement,$L73,
_xlpm._sheetRow,$W73,
_xlpm._sheetName,$X73,
_xlpm._columnLetter,INDEX(IF(_xlpm._isAdditionalElement,Table24[Comment Column],Table25[Comment Column]),_xlpm._sheetRow),
_xlpm._sheetReference,IF(_xlpm._isAssumption,IF(_xlpm._isAdditionalElement,
CELL("address",INDEX(INDIRECT("'"&amp;_xlpm._sheetName&amp;"'!"&amp;_xlpm._columnLetter&amp;":"&amp;_xlpm._columnLetter),$Y73)),
CELL("address",INDEX(Assumptions!$A:$A,MATCH($A73,Assumptions!$A:$A,0),1))),
IF(_xlpm._isAdditionalElement,
CELL("address",INDEX(INDIRECT("'"&amp;_xlpm._sheetName&amp;"'!"&amp;_xlpm._columnLetter&amp;":"&amp;_xlpm._columnLetter),$Y73)),
CELL("address",INDEX(Countermeasures!$A:$A,MATCH($A73,Countermeasures!$A:$A,0),1)))),
_xlpm._start,FIND("]",_xlpm._sheetReference),
"'"&amp;SUBSTITUTE(SUBSTITUTE(RIGHT(_xlpm._sheetReference,LEN(_xlpm._sheetReference)-_xlpm._start),"'",""),"!","'!")))</f>
        <v/>
      </c>
      <c r="AA73" s="20" t="str" cm="1">
        <f t="array" aca="1" ref="AA73" ca="1">IF(NOT($L73),
_xlfn.LET(_xlpm._value,IF($A73="","",IF($J73,SimpleLookup($A73,Assumptions!$A:$AK),SimpleLookup($A73,Countermeasures!$A:$AN))),
IF(_xlpm._value="","",_xlpm._value)),
"")</f>
        <v/>
      </c>
      <c r="AB73" s="20" t="str" cm="1">
        <f t="array" aca="1" ref="AB73" ca="1">LookupNames(InverseLookup($A73,Mitigation!$AD$2,Mitigation!$A$2,1,Helper!$B$5,","),'Attack Steps'!$A:$B)</f>
        <v/>
      </c>
      <c r="AC73" s="20" t="str" cm="1">
        <f t="array" aca="1" ref="AC73" ca="1">IF($L73,
_xlfn.LET(
_xlpm._in,$A73,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73" s="20" t="str" cm="1">
        <f t="array" aca="1" ref="AD73" ca="1">_xlfn.LET(
_xlpm._countermeasures,InverseLookup($A73,Countermeasures!$AG$2,Countermeasures!$A$2,1,Helper!$B$4,","),
LookupNames(_xlpm._countermeasures,Countermeasures!$A:$B))</f>
        <v/>
      </c>
      <c r="AE73" s="20" t="str" cm="1">
        <f t="array" aca="1" ref="AE73" ca="1">IF($E73="","",_xlfn.LET(
_xlpm._id,$E73,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73" s="20" t="str" cm="1">
        <f t="array" aca="1" ref="AF73" ca="1">IF(OR($A73="",$L73),"",_xlfn.LET(
_xlpm._answers,IF($J73,SimpleLookup($A73,Assumptions!$A:$F),SimpleLookup($A73,Countermeasures!$A:$D)),
IF(_xlpm._answers="*",IF($J73,SimpleLookup($A73,Assumptions!$A:$C),SimpleLookup($A73,Countermeasures!$A:$C)),"")))</f>
        <v/>
      </c>
      <c r="AG73" s="20" t="str" cm="1">
        <f t="array" aca="1" ref="AG73" ca="1">IF(NOT($L73),"",_xlfn.LET(
_xlpm._mappedInMitigation,IFERROR(VLOOKUP($V73,'Attack Steps'!$A:$O,COLUMNS('Attack Steps'!$A:$O),FALSE),""),
CreateSearchString(_xlpm._mappedInMitigation)))</f>
        <v/>
      </c>
      <c r="AH73" s="20" t="b">
        <f ca="1">ROW()-ROW($AH$17)=Helper!$B$15</f>
        <v>0</v>
      </c>
      <c r="AI73" s="20" t="str">
        <f t="shared" ca="1" si="11"/>
        <v/>
      </c>
      <c r="AJ73" s="20" cm="1">
        <f t="array" aca="1" ref="AJ73" ca="1">CreateID($AJ$17,$AJ:$AJ,$AI73&lt;&gt;"")</f>
        <v>0</v>
      </c>
    </row>
    <row r="74" spans="1:36" x14ac:dyDescent="0.25">
      <c r="A74" s="16" t="str">
        <f ca="1">_xlfn.LET(
_xlpm._isAssumption,$J74,
_xlpm._row,$K74,
_xlpm._numActiveAssumptions,Helper!$B$8,
_xlpm._numActiveCountermeasures,Helper!$B$9,
_xlpm._numAdditionalAssumptions,Helper!$B$10,
_xlpm._numAdditionalCountermeasures,Helper!$B$11,
IF(_xlpm._isAssumption,
IF(_xlpm._row&gt;_xlpm._numActiveAssumptions,
$V74&amp;"-A"&amp;$Q74,
INDEX(Assumptions!A:A,MATCH(_xlpm._row,Assumptions!$AG:$AG,0))),
IF(_xlpm._row&gt;_xlpm._numActiveCountermeasures+_xlpm._numAdditionalCountermeasures,"",
IF(_xlpm._row&gt;_xlpm._numActiveCountermeasures,
$V74&amp;"-C"&amp;$Q74,
INDEX(Countermeasures!$A:$A,MATCH(_xlpm._row,Countermeasures!$AI:$AI,0))))))</f>
        <v/>
      </c>
      <c r="B74" s="33" t="str" cm="1">
        <f t="array" aca="1" ref="B74" ca="1">IF($A74="","",
_xlfn.LET(
_xlpm._isAssumption,$J74,
_xlpm._isAdditionalElement,$L74,
IF(_xlpm._isAdditionalElement,
IF(_xlpm._isAssumption,
ParseElementsFromComment($U74,Definitions!$AR$4,Definitions!$AS$4,Definitions!$AR$6,$Q74),
ParseElementsFromComment($U74,Definitions!$AR$5,Definitions!$AS$5,Definitions!$AR$6,$Q74)),
 _xlfn.LET(_xlpm._value,IF($A74="","",IF($J74,SimpleLookup($A74,Assumptions!$A:$B),SimpleLookup($A74,Countermeasures!$A:$B))),IF(_xlpm._value="","",_xlpm._value)))))</f>
        <v/>
      </c>
      <c r="C74" s="33" t="str" cm="1">
        <f t="array" aca="1" ref="C74" ca="1">IF($A74="","",IF($J74,IFERROR(SimpleLookup($A74,Assumptions!$A:$E),""),Definitions!$AO$4))</f>
        <v/>
      </c>
      <c r="D74" s="37" t="str">
        <f t="shared" ca="1" si="7"/>
        <v/>
      </c>
      <c r="E74" s="23"/>
      <c r="F74" s="59" t="str">
        <f t="shared" ca="1" si="8"/>
        <v/>
      </c>
      <c r="G74" s="122" t="str" cm="1">
        <f t="array" aca="1" ref="G74" ca="1">_xlfn.LET(_xlpm._val,IFERROR(SimpleLookup($A74,Countermeasures!$A:$R),IFERROR(SimpleLookup($A74,Assumptions!$A:$R),"")),IF(_xlpm._val="","",_xlpm._val))</f>
        <v/>
      </c>
      <c r="H74" s="33" t="str" cm="1">
        <f t="array" aca="1" ref="H74" ca="1">_xlfn.LET(_xlpm._value,IF($A74="","",IFERROR(IF($J74,SimpleLookup($A74,Assumptions!$A:$S),SimpleLookup($A74,Countermeasures!$A:$S)),"")),
IF(_xlpm._value="","",_xlpm._value))</f>
        <v/>
      </c>
      <c r="I74" s="10" cm="1">
        <f t="array" aca="1" ref="I74" ca="1">IF(ROW()=ROW($I$17)+1,0,INDEX($I:$I,ROW()-1))+IF($A74="",0,1)</f>
        <v>12</v>
      </c>
      <c r="J74" s="21" t="b">
        <f ca="1">_xlfn.LET(_xlpm._row,ROW()-ROW($K$17),
_xlpm._numActiveAssumptions,Helper!$B$8,
_xlpm._numAdditionalAssumptions,SUM(Table24['# Elements]),
_xlpm._row&lt;=_xlpm._numActiveAssumptions+_xlpm._numAdditionalAssumptions)</f>
        <v>0</v>
      </c>
      <c r="K74" s="21">
        <f ca="1">_xlfn.LET(_xlpm._row,ROW()-ROW($K$17),
_xlpm._numActiveAssumptions,Helper!$B$8,
_xlpm._numAdditionalAssumptions,Helper!$B$10,
_xlpm._isAssumption,$J74,
_xlpm._elementID,IF(_xlpm._isAssumption,_xlpm._row,_xlpm._row-_xlpm._numActiveAssumptions-_xlpm._numAdditionalAssumptions),
_xlpm._elementID)</f>
        <v>51</v>
      </c>
      <c r="L74"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74" s="20" cm="1">
        <f t="array" aca="1" ref="M74" ca="1">IF($L74,
IF(ROW()=ROW($M$17)+1,1,INDEX($M:$M,ROW()-1)+IF(INDEX($T:$T,ROW()-1),1,0)),
1)</f>
        <v>1</v>
      </c>
      <c r="N74" s="20" t="str" cm="1">
        <f t="array" aca="1" ref="N74" ca="1">IF($L74=TRUE,
_xlfn.LET(
_xlpm._isAssumption,$J74,
_xlpm._indexRange,IF(_xlpm._isAssumption,Table24['# Elements],Table25['# Elements]),
_xlpm._lookupRow,$W74,
INDEX(_xlpm._indexRange,_xlpm._lookupRow)),
"")</f>
        <v/>
      </c>
      <c r="O74" s="20" t="str" cm="1">
        <f t="array" aca="1" ref="O74" ca="1">IF($N74="","",_xlfn.LET(
_xlpm._prevRow,ROW()-1,
IF(OR(INDEX($N:$N,_xlpm._prevRow)&lt;&gt;$N74,INDEX($M:$M,_xlpm._prevRow)&lt;&gt;$M74),
1,
INDEX($O:$O,_xlpm._prevRow)+IF(INDEX($S:$S,_xlpm._prevRow),1,0))))</f>
        <v/>
      </c>
      <c r="P74" s="20" t="str" cm="1">
        <f t="array" aca="1" ref="P74" ca="1">IF($O74="","",_xlfn.LET(
_xlpm._isAssumption,$J74,
_xlpm._sheetRow,$W74,
_xlpm._sheetName,$X74,
_xlpm._elementIDRange,IF(_xlpm._isAssumption,Table24[Element ID Column],Table25[Element ID Column]),
_xlpm._numberOfElementsRange,IF(_xlpm._isAssumption,Table24[Number of Elements Column],Table25[Number of Elements Column]),
SimpleLookup($O74,INDIRECT("'"&amp;_xlpm._sheetName&amp;"'!"&amp;INDEX(_xlpm._elementIDRange,_xlpm._sheetRow)&amp;":"&amp;INDEX(_xlpm._numberOfElementsRange,_xlpm._sheetRow)))))</f>
        <v/>
      </c>
      <c r="Q74" s="20" t="str" cm="1">
        <f t="array" aca="1" ref="Q74" ca="1">IF($O74="","",IF(OR(INDEX($O:$O,ROW()-1)&lt;&gt;$O74,INDEX($M:$M,ROW()-1)&lt;&gt;$M74),1,INDEX($Q:$Q,ROW()-1)+1))</f>
        <v/>
      </c>
      <c r="R74" s="20">
        <f t="shared" ca="1" si="9"/>
        <v>0</v>
      </c>
      <c r="S74" s="20" t="str">
        <f t="shared" ca="1" si="10"/>
        <v/>
      </c>
      <c r="T74" s="20" t="b">
        <f ca="1">_xlfn.LET(
_xlpm._isAssumption,$J74,
_xlpm._numberOfElementsRange,IF(_xlpm._isAssumption,Table24['# Elements],Table25['# Elements]),
_xlpm._sheetRow,$W74,
IF($L74,AND($S74,$R74=$N74),FALSE))</f>
        <v>0</v>
      </c>
      <c r="U74" s="20" t="str" cm="1">
        <f t="array" aca="1" ref="U74" ca="1">IF($L74,
_xlfn.LET(
_xlpm._elementID,$O74,
_xlpm._isAssumption,$J74,
_xlpm._sheetRow,$W74,
_xlpm._sheetName,$X74,
_xlpm._elementRow,$Y74,
_xlpm._resultColumnLetter,IF(_xlpm._isAssumption,INDEX(Table24[Comment Column],_xlpm._sheetRow),INDEX(Table25[Comment Column],_xlpm._sheetRow)),
INDEX(INDIRECT("'"&amp;_xlpm._sheetName&amp;"'!"&amp;_xlpm._resultColumnLetter&amp;":"&amp;_xlpm._resultColumnLetter),_xlpm._elementRow)),
"")</f>
        <v/>
      </c>
      <c r="V74" s="20" t="str" cm="1">
        <f t="array" aca="1" ref="V74" ca="1">IF($L74,
_xlfn.LET(
_xlpm._elementID,$O74,
_xlpm._isAssumption,$J74,
_xlpm._sheetRow,$W74,
_xlpm._sheetName,$X74,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74" s="20" t="str">
        <f ca="1">IF($L74=TRUE,
_xlfn.LET(
_xlpm._isAssumption,$J74,
_xlpm._searchRange,IF(_xlpm._isAssumption,Table24[Task Sheet Shadow ID],Table25[Task Sheet Shadow ID]),
MATCH($M74,_xlpm._searchRange,0)),
"")</f>
        <v/>
      </c>
      <c r="X74" s="20" t="str" cm="1">
        <f t="array" aca="1" ref="X74" ca="1">IF($L74,
_xlfn.LET(
_xlpm._isAssumption,$J74,
_xlpm._sheetRow,$W74,
IF(_xlpm._isAssumption,INDEX(Table24[Sheet Name],_xlpm._sheetRow),INDEX(Table25[Sheet Name],_xlpm._sheetRow))),
"")</f>
        <v/>
      </c>
      <c r="Y74" s="20" t="str" cm="1">
        <f t="array" aca="1" ref="Y74" ca="1">IF($L74,
_xlfn.LET(
_xlpm._elementID,$O74,
_xlpm._isAssumption,$J74,
_xlpm._sheetRow,$W74,
_xlpm._sheetName,$X74,
_xlpm._elementIDColumnLetter,IF(_xlpm._isAssumption,INDEX(Table24[Element ID Column],_xlpm._sheetRow),INDEX(Table25[Element ID Column],_xlpm._sheetRow)),
MATCH(_xlpm._elementID,INDIRECT("'"&amp;_xlpm._sheetName&amp;"'!"&amp;_xlpm._elementIDColumnLetter&amp;":"&amp;_xlpm._elementIDColumnLetter),0)),
"")</f>
        <v/>
      </c>
      <c r="Z74" s="20" t="str" cm="1">
        <f t="array" aca="1" ref="Z74" ca="1">IF($A74="","",_xlfn.LET(
_xlpm._isAssumption,$J74,
_xlpm._isAdditionalElement,$L74,
_xlpm._sheetRow,$W74,
_xlpm._sheetName,$X74,
_xlpm._columnLetter,INDEX(IF(_xlpm._isAdditionalElement,Table24[Comment Column],Table25[Comment Column]),_xlpm._sheetRow),
_xlpm._sheetReference,IF(_xlpm._isAssumption,IF(_xlpm._isAdditionalElement,
CELL("address",INDEX(INDIRECT("'"&amp;_xlpm._sheetName&amp;"'!"&amp;_xlpm._columnLetter&amp;":"&amp;_xlpm._columnLetter),$Y74)),
CELL("address",INDEX(Assumptions!$A:$A,MATCH($A74,Assumptions!$A:$A,0),1))),
IF(_xlpm._isAdditionalElement,
CELL("address",INDEX(INDIRECT("'"&amp;_xlpm._sheetName&amp;"'!"&amp;_xlpm._columnLetter&amp;":"&amp;_xlpm._columnLetter),$Y74)),
CELL("address",INDEX(Countermeasures!$A:$A,MATCH($A74,Countermeasures!$A:$A,0),1)))),
_xlpm._start,FIND("]",_xlpm._sheetReference),
"'"&amp;SUBSTITUTE(SUBSTITUTE(RIGHT(_xlpm._sheetReference,LEN(_xlpm._sheetReference)-_xlpm._start),"'",""),"!","'!")))</f>
        <v/>
      </c>
      <c r="AA74" s="20" t="str" cm="1">
        <f t="array" aca="1" ref="AA74" ca="1">IF(NOT($L74),
_xlfn.LET(_xlpm._value,IF($A74="","",IF($J74,SimpleLookup($A74,Assumptions!$A:$AK),SimpleLookup($A74,Countermeasures!$A:$AN))),
IF(_xlpm._value="","",_xlpm._value)),
"")</f>
        <v/>
      </c>
      <c r="AB74" s="20" t="str" cm="1">
        <f t="array" aca="1" ref="AB74" ca="1">LookupNames(InverseLookup($A74,Mitigation!$AD$2,Mitigation!$A$2,1,Helper!$B$5,","),'Attack Steps'!$A:$B)</f>
        <v/>
      </c>
      <c r="AC74" s="20" t="str" cm="1">
        <f t="array" aca="1" ref="AC74" ca="1">IF($L74,
_xlfn.LET(
_xlpm._in,$A74,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74" s="20" t="str" cm="1">
        <f t="array" aca="1" ref="AD74" ca="1">_xlfn.LET(
_xlpm._countermeasures,InverseLookup($A74,Countermeasures!$AG$2,Countermeasures!$A$2,1,Helper!$B$4,","),
LookupNames(_xlpm._countermeasures,Countermeasures!$A:$B))</f>
        <v/>
      </c>
      <c r="AE74" s="20" t="str" cm="1">
        <f t="array" aca="1" ref="AE74" ca="1">IF($E74="","",_xlfn.LET(
_xlpm._id,$E74,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74" s="20" t="str" cm="1">
        <f t="array" aca="1" ref="AF74" ca="1">IF(OR($A74="",$L74),"",_xlfn.LET(
_xlpm._answers,IF($J74,SimpleLookup($A74,Assumptions!$A:$F),SimpleLookup($A74,Countermeasures!$A:$D)),
IF(_xlpm._answers="*",IF($J74,SimpleLookup($A74,Assumptions!$A:$C),SimpleLookup($A74,Countermeasures!$A:$C)),"")))</f>
        <v/>
      </c>
      <c r="AG74" s="20" t="str" cm="1">
        <f t="array" aca="1" ref="AG74" ca="1">IF(NOT($L74),"",_xlfn.LET(
_xlpm._mappedInMitigation,IFERROR(VLOOKUP($V74,'Attack Steps'!$A:$O,COLUMNS('Attack Steps'!$A:$O),FALSE),""),
CreateSearchString(_xlpm._mappedInMitigation)))</f>
        <v/>
      </c>
      <c r="AH74" s="20" t="b">
        <f ca="1">ROW()-ROW($AH$17)=Helper!$B$15</f>
        <v>0</v>
      </c>
      <c r="AI74" s="20" t="str">
        <f t="shared" ca="1" si="11"/>
        <v/>
      </c>
      <c r="AJ74" s="20" cm="1">
        <f t="array" aca="1" ref="AJ74" ca="1">CreateID($AJ$17,$AJ:$AJ,$AI74&lt;&gt;"")</f>
        <v>0</v>
      </c>
    </row>
    <row r="75" spans="1:36" x14ac:dyDescent="0.25">
      <c r="A75" s="16" t="str">
        <f ca="1">_xlfn.LET(
_xlpm._isAssumption,$J75,
_xlpm._row,$K75,
_xlpm._numActiveAssumptions,Helper!$B$8,
_xlpm._numActiveCountermeasures,Helper!$B$9,
_xlpm._numAdditionalAssumptions,Helper!$B$10,
_xlpm._numAdditionalCountermeasures,Helper!$B$11,
IF(_xlpm._isAssumption,
IF(_xlpm._row&gt;_xlpm._numActiveAssumptions,
$V75&amp;"-A"&amp;$Q75,
INDEX(Assumptions!A:A,MATCH(_xlpm._row,Assumptions!$AG:$AG,0))),
IF(_xlpm._row&gt;_xlpm._numActiveCountermeasures+_xlpm._numAdditionalCountermeasures,"",
IF(_xlpm._row&gt;_xlpm._numActiveCountermeasures,
$V75&amp;"-C"&amp;$Q75,
INDEX(Countermeasures!$A:$A,MATCH(_xlpm._row,Countermeasures!$AI:$AI,0))))))</f>
        <v/>
      </c>
      <c r="B75" s="33" t="str" cm="1">
        <f t="array" aca="1" ref="B75" ca="1">IF($A75="","",
_xlfn.LET(
_xlpm._isAssumption,$J75,
_xlpm._isAdditionalElement,$L75,
IF(_xlpm._isAdditionalElement,
IF(_xlpm._isAssumption,
ParseElementsFromComment($U75,Definitions!$AR$4,Definitions!$AS$4,Definitions!$AR$6,$Q75),
ParseElementsFromComment($U75,Definitions!$AR$5,Definitions!$AS$5,Definitions!$AR$6,$Q75)),
 _xlfn.LET(_xlpm._value,IF($A75="","",IF($J75,SimpleLookup($A75,Assumptions!$A:$B),SimpleLookup($A75,Countermeasures!$A:$B))),IF(_xlpm._value="","",_xlpm._value)))))</f>
        <v/>
      </c>
      <c r="C75" s="33" t="str" cm="1">
        <f t="array" aca="1" ref="C75" ca="1">IF($A75="","",IF($J75,IFERROR(SimpleLookup($A75,Assumptions!$A:$E),""),Definitions!$AO$4))</f>
        <v/>
      </c>
      <c r="D75" s="37" t="str">
        <f t="shared" ca="1" si="7"/>
        <v/>
      </c>
      <c r="E75" s="23"/>
      <c r="F75" s="59" t="str">
        <f t="shared" ca="1" si="8"/>
        <v/>
      </c>
      <c r="G75" s="122" t="str" cm="1">
        <f t="array" aca="1" ref="G75" ca="1">_xlfn.LET(_xlpm._val,IFERROR(SimpleLookup($A75,Countermeasures!$A:$R),IFERROR(SimpleLookup($A75,Assumptions!$A:$R),"")),IF(_xlpm._val="","",_xlpm._val))</f>
        <v/>
      </c>
      <c r="H75" s="33" t="str" cm="1">
        <f t="array" aca="1" ref="H75" ca="1">_xlfn.LET(_xlpm._value,IF($A75="","",IFERROR(IF($J75,SimpleLookup($A75,Assumptions!$A:$S),SimpleLookup($A75,Countermeasures!$A:$S)),"")),
IF(_xlpm._value="","",_xlpm._value))</f>
        <v/>
      </c>
      <c r="I75" s="10" cm="1">
        <f t="array" aca="1" ref="I75" ca="1">IF(ROW()=ROW($I$17)+1,0,INDEX($I:$I,ROW()-1))+IF($A75="",0,1)</f>
        <v>12</v>
      </c>
      <c r="J75" s="21" t="b">
        <f ca="1">_xlfn.LET(_xlpm._row,ROW()-ROW($K$17),
_xlpm._numActiveAssumptions,Helper!$B$8,
_xlpm._numAdditionalAssumptions,SUM(Table24['# Elements]),
_xlpm._row&lt;=_xlpm._numActiveAssumptions+_xlpm._numAdditionalAssumptions)</f>
        <v>0</v>
      </c>
      <c r="K75" s="21">
        <f ca="1">_xlfn.LET(_xlpm._row,ROW()-ROW($K$17),
_xlpm._numActiveAssumptions,Helper!$B$8,
_xlpm._numAdditionalAssumptions,Helper!$B$10,
_xlpm._isAssumption,$J75,
_xlpm._elementID,IF(_xlpm._isAssumption,_xlpm._row,_xlpm._row-_xlpm._numActiveAssumptions-_xlpm._numAdditionalAssumptions),
_xlpm._elementID)</f>
        <v>52</v>
      </c>
      <c r="L75"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75" s="20" cm="1">
        <f t="array" aca="1" ref="M75" ca="1">IF($L75,
IF(ROW()=ROW($M$17)+1,1,INDEX($M:$M,ROW()-1)+IF(INDEX($T:$T,ROW()-1),1,0)),
1)</f>
        <v>1</v>
      </c>
      <c r="N75" s="20" t="str" cm="1">
        <f t="array" aca="1" ref="N75" ca="1">IF($L75=TRUE,
_xlfn.LET(
_xlpm._isAssumption,$J75,
_xlpm._indexRange,IF(_xlpm._isAssumption,Table24['# Elements],Table25['# Elements]),
_xlpm._lookupRow,$W75,
INDEX(_xlpm._indexRange,_xlpm._lookupRow)),
"")</f>
        <v/>
      </c>
      <c r="O75" s="20" t="str" cm="1">
        <f t="array" aca="1" ref="O75" ca="1">IF($N75="","",_xlfn.LET(
_xlpm._prevRow,ROW()-1,
IF(OR(INDEX($N:$N,_xlpm._prevRow)&lt;&gt;$N75,INDEX($M:$M,_xlpm._prevRow)&lt;&gt;$M75),
1,
INDEX($O:$O,_xlpm._prevRow)+IF(INDEX($S:$S,_xlpm._prevRow),1,0))))</f>
        <v/>
      </c>
      <c r="P75" s="20" t="str" cm="1">
        <f t="array" aca="1" ref="P75" ca="1">IF($O75="","",_xlfn.LET(
_xlpm._isAssumption,$J75,
_xlpm._sheetRow,$W75,
_xlpm._sheetName,$X75,
_xlpm._elementIDRange,IF(_xlpm._isAssumption,Table24[Element ID Column],Table25[Element ID Column]),
_xlpm._numberOfElementsRange,IF(_xlpm._isAssumption,Table24[Number of Elements Column],Table25[Number of Elements Column]),
SimpleLookup($O75,INDIRECT("'"&amp;_xlpm._sheetName&amp;"'!"&amp;INDEX(_xlpm._elementIDRange,_xlpm._sheetRow)&amp;":"&amp;INDEX(_xlpm._numberOfElementsRange,_xlpm._sheetRow)))))</f>
        <v/>
      </c>
      <c r="Q75" s="20" t="str" cm="1">
        <f t="array" aca="1" ref="Q75" ca="1">IF($O75="","",IF(OR(INDEX($O:$O,ROW()-1)&lt;&gt;$O75,INDEX($M:$M,ROW()-1)&lt;&gt;$M75),1,INDEX($Q:$Q,ROW()-1)+1))</f>
        <v/>
      </c>
      <c r="R75" s="20">
        <f t="shared" ca="1" si="9"/>
        <v>0</v>
      </c>
      <c r="S75" s="20" t="str">
        <f t="shared" ca="1" si="10"/>
        <v/>
      </c>
      <c r="T75" s="20" t="b">
        <f ca="1">_xlfn.LET(
_xlpm._isAssumption,$J75,
_xlpm._numberOfElementsRange,IF(_xlpm._isAssumption,Table24['# Elements],Table25['# Elements]),
_xlpm._sheetRow,$W75,
IF($L75,AND($S75,$R75=$N75),FALSE))</f>
        <v>0</v>
      </c>
      <c r="U75" s="20" t="str" cm="1">
        <f t="array" aca="1" ref="U75" ca="1">IF($L75,
_xlfn.LET(
_xlpm._elementID,$O75,
_xlpm._isAssumption,$J75,
_xlpm._sheetRow,$W75,
_xlpm._sheetName,$X75,
_xlpm._elementRow,$Y75,
_xlpm._resultColumnLetter,IF(_xlpm._isAssumption,INDEX(Table24[Comment Column],_xlpm._sheetRow),INDEX(Table25[Comment Column],_xlpm._sheetRow)),
INDEX(INDIRECT("'"&amp;_xlpm._sheetName&amp;"'!"&amp;_xlpm._resultColumnLetter&amp;":"&amp;_xlpm._resultColumnLetter),_xlpm._elementRow)),
"")</f>
        <v/>
      </c>
      <c r="V75" s="20" t="str" cm="1">
        <f t="array" aca="1" ref="V75" ca="1">IF($L75,
_xlfn.LET(
_xlpm._elementID,$O75,
_xlpm._isAssumption,$J75,
_xlpm._sheetRow,$W75,
_xlpm._sheetName,$X75,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75" s="20" t="str">
        <f ca="1">IF($L75=TRUE,
_xlfn.LET(
_xlpm._isAssumption,$J75,
_xlpm._searchRange,IF(_xlpm._isAssumption,Table24[Task Sheet Shadow ID],Table25[Task Sheet Shadow ID]),
MATCH($M75,_xlpm._searchRange,0)),
"")</f>
        <v/>
      </c>
      <c r="X75" s="20" t="str" cm="1">
        <f t="array" aca="1" ref="X75" ca="1">IF($L75,
_xlfn.LET(
_xlpm._isAssumption,$J75,
_xlpm._sheetRow,$W75,
IF(_xlpm._isAssumption,INDEX(Table24[Sheet Name],_xlpm._sheetRow),INDEX(Table25[Sheet Name],_xlpm._sheetRow))),
"")</f>
        <v/>
      </c>
      <c r="Y75" s="20" t="str" cm="1">
        <f t="array" aca="1" ref="Y75" ca="1">IF($L75,
_xlfn.LET(
_xlpm._elementID,$O75,
_xlpm._isAssumption,$J75,
_xlpm._sheetRow,$W75,
_xlpm._sheetName,$X75,
_xlpm._elementIDColumnLetter,IF(_xlpm._isAssumption,INDEX(Table24[Element ID Column],_xlpm._sheetRow),INDEX(Table25[Element ID Column],_xlpm._sheetRow)),
MATCH(_xlpm._elementID,INDIRECT("'"&amp;_xlpm._sheetName&amp;"'!"&amp;_xlpm._elementIDColumnLetter&amp;":"&amp;_xlpm._elementIDColumnLetter),0)),
"")</f>
        <v/>
      </c>
      <c r="Z75" s="20" t="str" cm="1">
        <f t="array" aca="1" ref="Z75" ca="1">IF($A75="","",_xlfn.LET(
_xlpm._isAssumption,$J75,
_xlpm._isAdditionalElement,$L75,
_xlpm._sheetRow,$W75,
_xlpm._sheetName,$X75,
_xlpm._columnLetter,INDEX(IF(_xlpm._isAdditionalElement,Table24[Comment Column],Table25[Comment Column]),_xlpm._sheetRow),
_xlpm._sheetReference,IF(_xlpm._isAssumption,IF(_xlpm._isAdditionalElement,
CELL("address",INDEX(INDIRECT("'"&amp;_xlpm._sheetName&amp;"'!"&amp;_xlpm._columnLetter&amp;":"&amp;_xlpm._columnLetter),$Y75)),
CELL("address",INDEX(Assumptions!$A:$A,MATCH($A75,Assumptions!$A:$A,0),1))),
IF(_xlpm._isAdditionalElement,
CELL("address",INDEX(INDIRECT("'"&amp;_xlpm._sheetName&amp;"'!"&amp;_xlpm._columnLetter&amp;":"&amp;_xlpm._columnLetter),$Y75)),
CELL("address",INDEX(Countermeasures!$A:$A,MATCH($A75,Countermeasures!$A:$A,0),1)))),
_xlpm._start,FIND("]",_xlpm._sheetReference),
"'"&amp;SUBSTITUTE(SUBSTITUTE(RIGHT(_xlpm._sheetReference,LEN(_xlpm._sheetReference)-_xlpm._start),"'",""),"!","'!")))</f>
        <v/>
      </c>
      <c r="AA75" s="20" t="str" cm="1">
        <f t="array" aca="1" ref="AA75" ca="1">IF(NOT($L75),
_xlfn.LET(_xlpm._value,IF($A75="","",IF($J75,SimpleLookup($A75,Assumptions!$A:$AK),SimpleLookup($A75,Countermeasures!$A:$AN))),
IF(_xlpm._value="","",_xlpm._value)),
"")</f>
        <v/>
      </c>
      <c r="AB75" s="20" t="str" cm="1">
        <f t="array" aca="1" ref="AB75" ca="1">LookupNames(InverseLookup($A75,Mitigation!$AD$2,Mitigation!$A$2,1,Helper!$B$5,","),'Attack Steps'!$A:$B)</f>
        <v/>
      </c>
      <c r="AC75" s="20" t="str" cm="1">
        <f t="array" aca="1" ref="AC75" ca="1">IF($L75,
_xlfn.LET(
_xlpm._in,$A75,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75" s="20" t="str" cm="1">
        <f t="array" aca="1" ref="AD75" ca="1">_xlfn.LET(
_xlpm._countermeasures,InverseLookup($A75,Countermeasures!$AG$2,Countermeasures!$A$2,1,Helper!$B$4,","),
LookupNames(_xlpm._countermeasures,Countermeasures!$A:$B))</f>
        <v/>
      </c>
      <c r="AE75" s="20" t="str" cm="1">
        <f t="array" aca="1" ref="AE75" ca="1">IF($E75="","",_xlfn.LET(
_xlpm._id,$E75,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75" s="20" t="str" cm="1">
        <f t="array" aca="1" ref="AF75" ca="1">IF(OR($A75="",$L75),"",_xlfn.LET(
_xlpm._answers,IF($J75,SimpleLookup($A75,Assumptions!$A:$F),SimpleLookup($A75,Countermeasures!$A:$D)),
IF(_xlpm._answers="*",IF($J75,SimpleLookup($A75,Assumptions!$A:$C),SimpleLookup($A75,Countermeasures!$A:$C)),"")))</f>
        <v/>
      </c>
      <c r="AG75" s="20" t="str" cm="1">
        <f t="array" aca="1" ref="AG75" ca="1">IF(NOT($L75),"",_xlfn.LET(
_xlpm._mappedInMitigation,IFERROR(VLOOKUP($V75,'Attack Steps'!$A:$O,COLUMNS('Attack Steps'!$A:$O),FALSE),""),
CreateSearchString(_xlpm._mappedInMitigation)))</f>
        <v/>
      </c>
      <c r="AH75" s="20" t="b">
        <f ca="1">ROW()-ROW($AH$17)=Helper!$B$15</f>
        <v>0</v>
      </c>
      <c r="AI75" s="20" t="str">
        <f t="shared" ca="1" si="11"/>
        <v/>
      </c>
      <c r="AJ75" s="20" cm="1">
        <f t="array" aca="1" ref="AJ75" ca="1">CreateID($AJ$17,$AJ:$AJ,$AI75&lt;&gt;"")</f>
        <v>0</v>
      </c>
    </row>
    <row r="76" spans="1:36" x14ac:dyDescent="0.25">
      <c r="A76" s="16" t="str">
        <f ca="1">_xlfn.LET(
_xlpm._isAssumption,$J76,
_xlpm._row,$K76,
_xlpm._numActiveAssumptions,Helper!$B$8,
_xlpm._numActiveCountermeasures,Helper!$B$9,
_xlpm._numAdditionalAssumptions,Helper!$B$10,
_xlpm._numAdditionalCountermeasures,Helper!$B$11,
IF(_xlpm._isAssumption,
IF(_xlpm._row&gt;_xlpm._numActiveAssumptions,
$V76&amp;"-A"&amp;$Q76,
INDEX(Assumptions!A:A,MATCH(_xlpm._row,Assumptions!$AG:$AG,0))),
IF(_xlpm._row&gt;_xlpm._numActiveCountermeasures+_xlpm._numAdditionalCountermeasures,"",
IF(_xlpm._row&gt;_xlpm._numActiveCountermeasures,
$V76&amp;"-C"&amp;$Q76,
INDEX(Countermeasures!$A:$A,MATCH(_xlpm._row,Countermeasures!$AI:$AI,0))))))</f>
        <v/>
      </c>
      <c r="B76" s="33" t="str" cm="1">
        <f t="array" aca="1" ref="B76" ca="1">IF($A76="","",
_xlfn.LET(
_xlpm._isAssumption,$J76,
_xlpm._isAdditionalElement,$L76,
IF(_xlpm._isAdditionalElement,
IF(_xlpm._isAssumption,
ParseElementsFromComment($U76,Definitions!$AR$4,Definitions!$AS$4,Definitions!$AR$6,$Q76),
ParseElementsFromComment($U76,Definitions!$AR$5,Definitions!$AS$5,Definitions!$AR$6,$Q76)),
 _xlfn.LET(_xlpm._value,IF($A76="","",IF($J76,SimpleLookup($A76,Assumptions!$A:$B),SimpleLookup($A76,Countermeasures!$A:$B))),IF(_xlpm._value="","",_xlpm._value)))))</f>
        <v/>
      </c>
      <c r="C76" s="33" t="str" cm="1">
        <f t="array" aca="1" ref="C76" ca="1">IF($A76="","",IF($J76,IFERROR(SimpleLookup($A76,Assumptions!$A:$E),""),Definitions!$AO$4))</f>
        <v/>
      </c>
      <c r="D76" s="37" t="str">
        <f t="shared" ca="1" si="7"/>
        <v/>
      </c>
      <c r="E76" s="23"/>
      <c r="F76" s="59" t="str">
        <f t="shared" ca="1" si="8"/>
        <v/>
      </c>
      <c r="G76" s="122" t="str" cm="1">
        <f t="array" aca="1" ref="G76" ca="1">_xlfn.LET(_xlpm._val,IFERROR(SimpleLookup($A76,Countermeasures!$A:$R),IFERROR(SimpleLookup($A76,Assumptions!$A:$R),"")),IF(_xlpm._val="","",_xlpm._val))</f>
        <v/>
      </c>
      <c r="H76" s="33" t="str" cm="1">
        <f t="array" aca="1" ref="H76" ca="1">_xlfn.LET(_xlpm._value,IF($A76="","",IFERROR(IF($J76,SimpleLookup($A76,Assumptions!$A:$S),SimpleLookup($A76,Countermeasures!$A:$S)),"")),
IF(_xlpm._value="","",_xlpm._value))</f>
        <v/>
      </c>
      <c r="I76" s="10" cm="1">
        <f t="array" aca="1" ref="I76" ca="1">IF(ROW()=ROW($I$17)+1,0,INDEX($I:$I,ROW()-1))+IF($A76="",0,1)</f>
        <v>12</v>
      </c>
      <c r="J76" s="21" t="b">
        <f ca="1">_xlfn.LET(_xlpm._row,ROW()-ROW($K$17),
_xlpm._numActiveAssumptions,Helper!$B$8,
_xlpm._numAdditionalAssumptions,SUM(Table24['# Elements]),
_xlpm._row&lt;=_xlpm._numActiveAssumptions+_xlpm._numAdditionalAssumptions)</f>
        <v>0</v>
      </c>
      <c r="K76" s="21">
        <f ca="1">_xlfn.LET(_xlpm._row,ROW()-ROW($K$17),
_xlpm._numActiveAssumptions,Helper!$B$8,
_xlpm._numAdditionalAssumptions,Helper!$B$10,
_xlpm._isAssumption,$J76,
_xlpm._elementID,IF(_xlpm._isAssumption,_xlpm._row,_xlpm._row-_xlpm._numActiveAssumptions-_xlpm._numAdditionalAssumptions),
_xlpm._elementID)</f>
        <v>53</v>
      </c>
      <c r="L76"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76" s="20" cm="1">
        <f t="array" aca="1" ref="M76" ca="1">IF($L76,
IF(ROW()=ROW($M$17)+1,1,INDEX($M:$M,ROW()-1)+IF(INDEX($T:$T,ROW()-1),1,0)),
1)</f>
        <v>1</v>
      </c>
      <c r="N76" s="20" t="str" cm="1">
        <f t="array" aca="1" ref="N76" ca="1">IF($L76=TRUE,
_xlfn.LET(
_xlpm._isAssumption,$J76,
_xlpm._indexRange,IF(_xlpm._isAssumption,Table24['# Elements],Table25['# Elements]),
_xlpm._lookupRow,$W76,
INDEX(_xlpm._indexRange,_xlpm._lookupRow)),
"")</f>
        <v/>
      </c>
      <c r="O76" s="20" t="str" cm="1">
        <f t="array" aca="1" ref="O76" ca="1">IF($N76="","",_xlfn.LET(
_xlpm._prevRow,ROW()-1,
IF(OR(INDEX($N:$N,_xlpm._prevRow)&lt;&gt;$N76,INDEX($M:$M,_xlpm._prevRow)&lt;&gt;$M76),
1,
INDEX($O:$O,_xlpm._prevRow)+IF(INDEX($S:$S,_xlpm._prevRow),1,0))))</f>
        <v/>
      </c>
      <c r="P76" s="20" t="str" cm="1">
        <f t="array" aca="1" ref="P76" ca="1">IF($O76="","",_xlfn.LET(
_xlpm._isAssumption,$J76,
_xlpm._sheetRow,$W76,
_xlpm._sheetName,$X76,
_xlpm._elementIDRange,IF(_xlpm._isAssumption,Table24[Element ID Column],Table25[Element ID Column]),
_xlpm._numberOfElementsRange,IF(_xlpm._isAssumption,Table24[Number of Elements Column],Table25[Number of Elements Column]),
SimpleLookup($O76,INDIRECT("'"&amp;_xlpm._sheetName&amp;"'!"&amp;INDEX(_xlpm._elementIDRange,_xlpm._sheetRow)&amp;":"&amp;INDEX(_xlpm._numberOfElementsRange,_xlpm._sheetRow)))))</f>
        <v/>
      </c>
      <c r="Q76" s="20" t="str" cm="1">
        <f t="array" aca="1" ref="Q76" ca="1">IF($O76="","",IF(OR(INDEX($O:$O,ROW()-1)&lt;&gt;$O76,INDEX($M:$M,ROW()-1)&lt;&gt;$M76),1,INDEX($Q:$Q,ROW()-1)+1))</f>
        <v/>
      </c>
      <c r="R76" s="20">
        <f t="shared" ca="1" si="9"/>
        <v>0</v>
      </c>
      <c r="S76" s="20" t="str">
        <f t="shared" ca="1" si="10"/>
        <v/>
      </c>
      <c r="T76" s="20" t="b">
        <f ca="1">_xlfn.LET(
_xlpm._isAssumption,$J76,
_xlpm._numberOfElementsRange,IF(_xlpm._isAssumption,Table24['# Elements],Table25['# Elements]),
_xlpm._sheetRow,$W76,
IF($L76,AND($S76,$R76=$N76),FALSE))</f>
        <v>0</v>
      </c>
      <c r="U76" s="20" t="str" cm="1">
        <f t="array" aca="1" ref="U76" ca="1">IF($L76,
_xlfn.LET(
_xlpm._elementID,$O76,
_xlpm._isAssumption,$J76,
_xlpm._sheetRow,$W76,
_xlpm._sheetName,$X76,
_xlpm._elementRow,$Y76,
_xlpm._resultColumnLetter,IF(_xlpm._isAssumption,INDEX(Table24[Comment Column],_xlpm._sheetRow),INDEX(Table25[Comment Column],_xlpm._sheetRow)),
INDEX(INDIRECT("'"&amp;_xlpm._sheetName&amp;"'!"&amp;_xlpm._resultColumnLetter&amp;":"&amp;_xlpm._resultColumnLetter),_xlpm._elementRow)),
"")</f>
        <v/>
      </c>
      <c r="V76" s="20" t="str" cm="1">
        <f t="array" aca="1" ref="V76" ca="1">IF($L76,
_xlfn.LET(
_xlpm._elementID,$O76,
_xlpm._isAssumption,$J76,
_xlpm._sheetRow,$W76,
_xlpm._sheetName,$X76,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76" s="20" t="str">
        <f ca="1">IF($L76=TRUE,
_xlfn.LET(
_xlpm._isAssumption,$J76,
_xlpm._searchRange,IF(_xlpm._isAssumption,Table24[Task Sheet Shadow ID],Table25[Task Sheet Shadow ID]),
MATCH($M76,_xlpm._searchRange,0)),
"")</f>
        <v/>
      </c>
      <c r="X76" s="20" t="str" cm="1">
        <f t="array" aca="1" ref="X76" ca="1">IF($L76,
_xlfn.LET(
_xlpm._isAssumption,$J76,
_xlpm._sheetRow,$W76,
IF(_xlpm._isAssumption,INDEX(Table24[Sheet Name],_xlpm._sheetRow),INDEX(Table25[Sheet Name],_xlpm._sheetRow))),
"")</f>
        <v/>
      </c>
      <c r="Y76" s="20" t="str" cm="1">
        <f t="array" aca="1" ref="Y76" ca="1">IF($L76,
_xlfn.LET(
_xlpm._elementID,$O76,
_xlpm._isAssumption,$J76,
_xlpm._sheetRow,$W76,
_xlpm._sheetName,$X76,
_xlpm._elementIDColumnLetter,IF(_xlpm._isAssumption,INDEX(Table24[Element ID Column],_xlpm._sheetRow),INDEX(Table25[Element ID Column],_xlpm._sheetRow)),
MATCH(_xlpm._elementID,INDIRECT("'"&amp;_xlpm._sheetName&amp;"'!"&amp;_xlpm._elementIDColumnLetter&amp;":"&amp;_xlpm._elementIDColumnLetter),0)),
"")</f>
        <v/>
      </c>
      <c r="Z76" s="20" t="str" cm="1">
        <f t="array" aca="1" ref="Z76" ca="1">IF($A76="","",_xlfn.LET(
_xlpm._isAssumption,$J76,
_xlpm._isAdditionalElement,$L76,
_xlpm._sheetRow,$W76,
_xlpm._sheetName,$X76,
_xlpm._columnLetter,INDEX(IF(_xlpm._isAdditionalElement,Table24[Comment Column],Table25[Comment Column]),_xlpm._sheetRow),
_xlpm._sheetReference,IF(_xlpm._isAssumption,IF(_xlpm._isAdditionalElement,
CELL("address",INDEX(INDIRECT("'"&amp;_xlpm._sheetName&amp;"'!"&amp;_xlpm._columnLetter&amp;":"&amp;_xlpm._columnLetter),$Y76)),
CELL("address",INDEX(Assumptions!$A:$A,MATCH($A76,Assumptions!$A:$A,0),1))),
IF(_xlpm._isAdditionalElement,
CELL("address",INDEX(INDIRECT("'"&amp;_xlpm._sheetName&amp;"'!"&amp;_xlpm._columnLetter&amp;":"&amp;_xlpm._columnLetter),$Y76)),
CELL("address",INDEX(Countermeasures!$A:$A,MATCH($A76,Countermeasures!$A:$A,0),1)))),
_xlpm._start,FIND("]",_xlpm._sheetReference),
"'"&amp;SUBSTITUTE(SUBSTITUTE(RIGHT(_xlpm._sheetReference,LEN(_xlpm._sheetReference)-_xlpm._start),"'",""),"!","'!")))</f>
        <v/>
      </c>
      <c r="AA76" s="20" t="str" cm="1">
        <f t="array" aca="1" ref="AA76" ca="1">IF(NOT($L76),
_xlfn.LET(_xlpm._value,IF($A76="","",IF($J76,SimpleLookup($A76,Assumptions!$A:$AK),SimpleLookup($A76,Countermeasures!$A:$AN))),
IF(_xlpm._value="","",_xlpm._value)),
"")</f>
        <v/>
      </c>
      <c r="AB76" s="20" t="str" cm="1">
        <f t="array" aca="1" ref="AB76" ca="1">LookupNames(InverseLookup($A76,Mitigation!$AD$2,Mitigation!$A$2,1,Helper!$B$5,","),'Attack Steps'!$A:$B)</f>
        <v/>
      </c>
      <c r="AC76" s="20" t="str" cm="1">
        <f t="array" aca="1" ref="AC76" ca="1">IF($L76,
_xlfn.LET(
_xlpm._in,$A76,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76" s="20" t="str" cm="1">
        <f t="array" aca="1" ref="AD76" ca="1">_xlfn.LET(
_xlpm._countermeasures,InverseLookup($A76,Countermeasures!$AG$2,Countermeasures!$A$2,1,Helper!$B$4,","),
LookupNames(_xlpm._countermeasures,Countermeasures!$A:$B))</f>
        <v/>
      </c>
      <c r="AE76" s="20" t="str" cm="1">
        <f t="array" aca="1" ref="AE76" ca="1">IF($E76="","",_xlfn.LET(
_xlpm._id,$E76,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76" s="20" t="str" cm="1">
        <f t="array" aca="1" ref="AF76" ca="1">IF(OR($A76="",$L76),"",_xlfn.LET(
_xlpm._answers,IF($J76,SimpleLookup($A76,Assumptions!$A:$F),SimpleLookup($A76,Countermeasures!$A:$D)),
IF(_xlpm._answers="*",IF($J76,SimpleLookup($A76,Assumptions!$A:$C),SimpleLookup($A76,Countermeasures!$A:$C)),"")))</f>
        <v/>
      </c>
      <c r="AG76" s="20" t="str" cm="1">
        <f t="array" aca="1" ref="AG76" ca="1">IF(NOT($L76),"",_xlfn.LET(
_xlpm._mappedInMitigation,IFERROR(VLOOKUP($V76,'Attack Steps'!$A:$O,COLUMNS('Attack Steps'!$A:$O),FALSE),""),
CreateSearchString(_xlpm._mappedInMitigation)))</f>
        <v/>
      </c>
      <c r="AH76" s="20" t="b">
        <f ca="1">ROW()-ROW($AH$17)=Helper!$B$15</f>
        <v>0</v>
      </c>
      <c r="AI76" s="20" t="str">
        <f t="shared" ca="1" si="11"/>
        <v/>
      </c>
      <c r="AJ76" s="20" cm="1">
        <f t="array" aca="1" ref="AJ76" ca="1">CreateID($AJ$17,$AJ:$AJ,$AI76&lt;&gt;"")</f>
        <v>0</v>
      </c>
    </row>
    <row r="77" spans="1:36" x14ac:dyDescent="0.25">
      <c r="A77" s="16" t="str">
        <f ca="1">_xlfn.LET(
_xlpm._isAssumption,$J77,
_xlpm._row,$K77,
_xlpm._numActiveAssumptions,Helper!$B$8,
_xlpm._numActiveCountermeasures,Helper!$B$9,
_xlpm._numAdditionalAssumptions,Helper!$B$10,
_xlpm._numAdditionalCountermeasures,Helper!$B$11,
IF(_xlpm._isAssumption,
IF(_xlpm._row&gt;_xlpm._numActiveAssumptions,
$V77&amp;"-A"&amp;$Q77,
INDEX(Assumptions!A:A,MATCH(_xlpm._row,Assumptions!$AG:$AG,0))),
IF(_xlpm._row&gt;_xlpm._numActiveCountermeasures+_xlpm._numAdditionalCountermeasures,"",
IF(_xlpm._row&gt;_xlpm._numActiveCountermeasures,
$V77&amp;"-C"&amp;$Q77,
INDEX(Countermeasures!$A:$A,MATCH(_xlpm._row,Countermeasures!$AI:$AI,0))))))</f>
        <v/>
      </c>
      <c r="B77" s="33" t="str" cm="1">
        <f t="array" aca="1" ref="B77" ca="1">IF($A77="","",
_xlfn.LET(
_xlpm._isAssumption,$J77,
_xlpm._isAdditionalElement,$L77,
IF(_xlpm._isAdditionalElement,
IF(_xlpm._isAssumption,
ParseElementsFromComment($U77,Definitions!$AR$4,Definitions!$AS$4,Definitions!$AR$6,$Q77),
ParseElementsFromComment($U77,Definitions!$AR$5,Definitions!$AS$5,Definitions!$AR$6,$Q77)),
 _xlfn.LET(_xlpm._value,IF($A77="","",IF($J77,SimpleLookup($A77,Assumptions!$A:$B),SimpleLookup($A77,Countermeasures!$A:$B))),IF(_xlpm._value="","",_xlpm._value)))))</f>
        <v/>
      </c>
      <c r="C77" s="33" t="str" cm="1">
        <f t="array" aca="1" ref="C77" ca="1">IF($A77="","",IF($J77,IFERROR(SimpleLookup($A77,Assumptions!$A:$E),""),Definitions!$AO$4))</f>
        <v/>
      </c>
      <c r="D77" s="37" t="str">
        <f t="shared" ca="1" si="7"/>
        <v/>
      </c>
      <c r="E77" s="23"/>
      <c r="F77" s="59" t="str">
        <f t="shared" ca="1" si="8"/>
        <v/>
      </c>
      <c r="G77" s="122" t="str" cm="1">
        <f t="array" aca="1" ref="G77" ca="1">_xlfn.LET(_xlpm._val,IFERROR(SimpleLookup($A77,Countermeasures!$A:$R),IFERROR(SimpleLookup($A77,Assumptions!$A:$R),"")),IF(_xlpm._val="","",_xlpm._val))</f>
        <v/>
      </c>
      <c r="H77" s="33" t="str" cm="1">
        <f t="array" aca="1" ref="H77" ca="1">_xlfn.LET(_xlpm._value,IF($A77="","",IFERROR(IF($J77,SimpleLookup($A77,Assumptions!$A:$S),SimpleLookup($A77,Countermeasures!$A:$S)),"")),
IF(_xlpm._value="","",_xlpm._value))</f>
        <v/>
      </c>
      <c r="I77" s="10" cm="1">
        <f t="array" aca="1" ref="I77" ca="1">IF(ROW()=ROW($I$17)+1,0,INDEX($I:$I,ROW()-1))+IF($A77="",0,1)</f>
        <v>12</v>
      </c>
      <c r="J77" s="21" t="b">
        <f ca="1">_xlfn.LET(_xlpm._row,ROW()-ROW($K$17),
_xlpm._numActiveAssumptions,Helper!$B$8,
_xlpm._numAdditionalAssumptions,SUM(Table24['# Elements]),
_xlpm._row&lt;=_xlpm._numActiveAssumptions+_xlpm._numAdditionalAssumptions)</f>
        <v>0</v>
      </c>
      <c r="K77" s="21">
        <f ca="1">_xlfn.LET(_xlpm._row,ROW()-ROW($K$17),
_xlpm._numActiveAssumptions,Helper!$B$8,
_xlpm._numAdditionalAssumptions,Helper!$B$10,
_xlpm._isAssumption,$J77,
_xlpm._elementID,IF(_xlpm._isAssumption,_xlpm._row,_xlpm._row-_xlpm._numActiveAssumptions-_xlpm._numAdditionalAssumptions),
_xlpm._elementID)</f>
        <v>54</v>
      </c>
      <c r="L77"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77" s="20" cm="1">
        <f t="array" aca="1" ref="M77" ca="1">IF($L77,
IF(ROW()=ROW($M$17)+1,1,INDEX($M:$M,ROW()-1)+IF(INDEX($T:$T,ROW()-1),1,0)),
1)</f>
        <v>1</v>
      </c>
      <c r="N77" s="20" t="str" cm="1">
        <f t="array" aca="1" ref="N77" ca="1">IF($L77=TRUE,
_xlfn.LET(
_xlpm._isAssumption,$J77,
_xlpm._indexRange,IF(_xlpm._isAssumption,Table24['# Elements],Table25['# Elements]),
_xlpm._lookupRow,$W77,
INDEX(_xlpm._indexRange,_xlpm._lookupRow)),
"")</f>
        <v/>
      </c>
      <c r="O77" s="20" t="str" cm="1">
        <f t="array" aca="1" ref="O77" ca="1">IF($N77="","",_xlfn.LET(
_xlpm._prevRow,ROW()-1,
IF(OR(INDEX($N:$N,_xlpm._prevRow)&lt;&gt;$N77,INDEX($M:$M,_xlpm._prevRow)&lt;&gt;$M77),
1,
INDEX($O:$O,_xlpm._prevRow)+IF(INDEX($S:$S,_xlpm._prevRow),1,0))))</f>
        <v/>
      </c>
      <c r="P77" s="20" t="str" cm="1">
        <f t="array" aca="1" ref="P77" ca="1">IF($O77="","",_xlfn.LET(
_xlpm._isAssumption,$J77,
_xlpm._sheetRow,$W77,
_xlpm._sheetName,$X77,
_xlpm._elementIDRange,IF(_xlpm._isAssumption,Table24[Element ID Column],Table25[Element ID Column]),
_xlpm._numberOfElementsRange,IF(_xlpm._isAssumption,Table24[Number of Elements Column],Table25[Number of Elements Column]),
SimpleLookup($O77,INDIRECT("'"&amp;_xlpm._sheetName&amp;"'!"&amp;INDEX(_xlpm._elementIDRange,_xlpm._sheetRow)&amp;":"&amp;INDEX(_xlpm._numberOfElementsRange,_xlpm._sheetRow)))))</f>
        <v/>
      </c>
      <c r="Q77" s="20" t="str" cm="1">
        <f t="array" aca="1" ref="Q77" ca="1">IF($O77="","",IF(OR(INDEX($O:$O,ROW()-1)&lt;&gt;$O77,INDEX($M:$M,ROW()-1)&lt;&gt;$M77),1,INDEX($Q:$Q,ROW()-1)+1))</f>
        <v/>
      </c>
      <c r="R77" s="20">
        <f t="shared" ca="1" si="9"/>
        <v>0</v>
      </c>
      <c r="S77" s="20" t="str">
        <f t="shared" ca="1" si="10"/>
        <v/>
      </c>
      <c r="T77" s="20" t="b">
        <f ca="1">_xlfn.LET(
_xlpm._isAssumption,$J77,
_xlpm._numberOfElementsRange,IF(_xlpm._isAssumption,Table24['# Elements],Table25['# Elements]),
_xlpm._sheetRow,$W77,
IF($L77,AND($S77,$R77=$N77),FALSE))</f>
        <v>0</v>
      </c>
      <c r="U77" s="20" t="str" cm="1">
        <f t="array" aca="1" ref="U77" ca="1">IF($L77,
_xlfn.LET(
_xlpm._elementID,$O77,
_xlpm._isAssumption,$J77,
_xlpm._sheetRow,$W77,
_xlpm._sheetName,$X77,
_xlpm._elementRow,$Y77,
_xlpm._resultColumnLetter,IF(_xlpm._isAssumption,INDEX(Table24[Comment Column],_xlpm._sheetRow),INDEX(Table25[Comment Column],_xlpm._sheetRow)),
INDEX(INDIRECT("'"&amp;_xlpm._sheetName&amp;"'!"&amp;_xlpm._resultColumnLetter&amp;":"&amp;_xlpm._resultColumnLetter),_xlpm._elementRow)),
"")</f>
        <v/>
      </c>
      <c r="V77" s="20" t="str" cm="1">
        <f t="array" aca="1" ref="V77" ca="1">IF($L77,
_xlfn.LET(
_xlpm._elementID,$O77,
_xlpm._isAssumption,$J77,
_xlpm._sheetRow,$W77,
_xlpm._sheetName,$X77,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77" s="20" t="str">
        <f ca="1">IF($L77=TRUE,
_xlfn.LET(
_xlpm._isAssumption,$J77,
_xlpm._searchRange,IF(_xlpm._isAssumption,Table24[Task Sheet Shadow ID],Table25[Task Sheet Shadow ID]),
MATCH($M77,_xlpm._searchRange,0)),
"")</f>
        <v/>
      </c>
      <c r="X77" s="20" t="str" cm="1">
        <f t="array" aca="1" ref="X77" ca="1">IF($L77,
_xlfn.LET(
_xlpm._isAssumption,$J77,
_xlpm._sheetRow,$W77,
IF(_xlpm._isAssumption,INDEX(Table24[Sheet Name],_xlpm._sheetRow),INDEX(Table25[Sheet Name],_xlpm._sheetRow))),
"")</f>
        <v/>
      </c>
      <c r="Y77" s="20" t="str" cm="1">
        <f t="array" aca="1" ref="Y77" ca="1">IF($L77,
_xlfn.LET(
_xlpm._elementID,$O77,
_xlpm._isAssumption,$J77,
_xlpm._sheetRow,$W77,
_xlpm._sheetName,$X77,
_xlpm._elementIDColumnLetter,IF(_xlpm._isAssumption,INDEX(Table24[Element ID Column],_xlpm._sheetRow),INDEX(Table25[Element ID Column],_xlpm._sheetRow)),
MATCH(_xlpm._elementID,INDIRECT("'"&amp;_xlpm._sheetName&amp;"'!"&amp;_xlpm._elementIDColumnLetter&amp;":"&amp;_xlpm._elementIDColumnLetter),0)),
"")</f>
        <v/>
      </c>
      <c r="Z77" s="20" t="str" cm="1">
        <f t="array" aca="1" ref="Z77" ca="1">IF($A77="","",_xlfn.LET(
_xlpm._isAssumption,$J77,
_xlpm._isAdditionalElement,$L77,
_xlpm._sheetRow,$W77,
_xlpm._sheetName,$X77,
_xlpm._columnLetter,INDEX(IF(_xlpm._isAdditionalElement,Table24[Comment Column],Table25[Comment Column]),_xlpm._sheetRow),
_xlpm._sheetReference,IF(_xlpm._isAssumption,IF(_xlpm._isAdditionalElement,
CELL("address",INDEX(INDIRECT("'"&amp;_xlpm._sheetName&amp;"'!"&amp;_xlpm._columnLetter&amp;":"&amp;_xlpm._columnLetter),$Y77)),
CELL("address",INDEX(Assumptions!$A:$A,MATCH($A77,Assumptions!$A:$A,0),1))),
IF(_xlpm._isAdditionalElement,
CELL("address",INDEX(INDIRECT("'"&amp;_xlpm._sheetName&amp;"'!"&amp;_xlpm._columnLetter&amp;":"&amp;_xlpm._columnLetter),$Y77)),
CELL("address",INDEX(Countermeasures!$A:$A,MATCH($A77,Countermeasures!$A:$A,0),1)))),
_xlpm._start,FIND("]",_xlpm._sheetReference),
"'"&amp;SUBSTITUTE(SUBSTITUTE(RIGHT(_xlpm._sheetReference,LEN(_xlpm._sheetReference)-_xlpm._start),"'",""),"!","'!")))</f>
        <v/>
      </c>
      <c r="AA77" s="20" t="str" cm="1">
        <f t="array" aca="1" ref="AA77" ca="1">IF(NOT($L77),
_xlfn.LET(_xlpm._value,IF($A77="","",IF($J77,SimpleLookup($A77,Assumptions!$A:$AK),SimpleLookup($A77,Countermeasures!$A:$AN))),
IF(_xlpm._value="","",_xlpm._value)),
"")</f>
        <v/>
      </c>
      <c r="AB77" s="20" t="str" cm="1">
        <f t="array" aca="1" ref="AB77" ca="1">LookupNames(InverseLookup($A77,Mitigation!$AD$2,Mitigation!$A$2,1,Helper!$B$5,","),'Attack Steps'!$A:$B)</f>
        <v/>
      </c>
      <c r="AC77" s="20" t="str" cm="1">
        <f t="array" aca="1" ref="AC77" ca="1">IF($L77,
_xlfn.LET(
_xlpm._in,$A77,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77" s="20" t="str" cm="1">
        <f t="array" aca="1" ref="AD77" ca="1">_xlfn.LET(
_xlpm._countermeasures,InverseLookup($A77,Countermeasures!$AG$2,Countermeasures!$A$2,1,Helper!$B$4,","),
LookupNames(_xlpm._countermeasures,Countermeasures!$A:$B))</f>
        <v/>
      </c>
      <c r="AE77" s="20" t="str" cm="1">
        <f t="array" aca="1" ref="AE77" ca="1">IF($E77="","",_xlfn.LET(
_xlpm._id,$E77,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77" s="20" t="str" cm="1">
        <f t="array" aca="1" ref="AF77" ca="1">IF(OR($A77="",$L77),"",_xlfn.LET(
_xlpm._answers,IF($J77,SimpleLookup($A77,Assumptions!$A:$F),SimpleLookup($A77,Countermeasures!$A:$D)),
IF(_xlpm._answers="*",IF($J77,SimpleLookup($A77,Assumptions!$A:$C),SimpleLookup($A77,Countermeasures!$A:$C)),"")))</f>
        <v/>
      </c>
      <c r="AG77" s="20" t="str" cm="1">
        <f t="array" aca="1" ref="AG77" ca="1">IF(NOT($L77),"",_xlfn.LET(
_xlpm._mappedInMitigation,IFERROR(VLOOKUP($V77,'Attack Steps'!$A:$O,COLUMNS('Attack Steps'!$A:$O),FALSE),""),
CreateSearchString(_xlpm._mappedInMitigation)))</f>
        <v/>
      </c>
      <c r="AH77" s="20" t="b">
        <f ca="1">ROW()-ROW($AH$17)=Helper!$B$15</f>
        <v>0</v>
      </c>
      <c r="AI77" s="20" t="str">
        <f t="shared" ca="1" si="11"/>
        <v/>
      </c>
      <c r="AJ77" s="20" cm="1">
        <f t="array" aca="1" ref="AJ77" ca="1">CreateID($AJ$17,$AJ:$AJ,$AI77&lt;&gt;"")</f>
        <v>0</v>
      </c>
    </row>
    <row r="78" spans="1:36" x14ac:dyDescent="0.25">
      <c r="A78" s="16" t="str">
        <f ca="1">_xlfn.LET(
_xlpm._isAssumption,$J78,
_xlpm._row,$K78,
_xlpm._numActiveAssumptions,Helper!$B$8,
_xlpm._numActiveCountermeasures,Helper!$B$9,
_xlpm._numAdditionalAssumptions,Helper!$B$10,
_xlpm._numAdditionalCountermeasures,Helper!$B$11,
IF(_xlpm._isAssumption,
IF(_xlpm._row&gt;_xlpm._numActiveAssumptions,
$V78&amp;"-A"&amp;$Q78,
INDEX(Assumptions!A:A,MATCH(_xlpm._row,Assumptions!$AG:$AG,0))),
IF(_xlpm._row&gt;_xlpm._numActiveCountermeasures+_xlpm._numAdditionalCountermeasures,"",
IF(_xlpm._row&gt;_xlpm._numActiveCountermeasures,
$V78&amp;"-C"&amp;$Q78,
INDEX(Countermeasures!$A:$A,MATCH(_xlpm._row,Countermeasures!$AI:$AI,0))))))</f>
        <v/>
      </c>
      <c r="B78" s="33" t="str" cm="1">
        <f t="array" aca="1" ref="B78" ca="1">IF($A78="","",
_xlfn.LET(
_xlpm._isAssumption,$J78,
_xlpm._isAdditionalElement,$L78,
IF(_xlpm._isAdditionalElement,
IF(_xlpm._isAssumption,
ParseElementsFromComment($U78,Definitions!$AR$4,Definitions!$AS$4,Definitions!$AR$6,$Q78),
ParseElementsFromComment($U78,Definitions!$AR$5,Definitions!$AS$5,Definitions!$AR$6,$Q78)),
 _xlfn.LET(_xlpm._value,IF($A78="","",IF($J78,SimpleLookup($A78,Assumptions!$A:$B),SimpleLookup($A78,Countermeasures!$A:$B))),IF(_xlpm._value="","",_xlpm._value)))))</f>
        <v/>
      </c>
      <c r="C78" s="33" t="str" cm="1">
        <f t="array" aca="1" ref="C78" ca="1">IF($A78="","",IF($J78,IFERROR(SimpleLookup($A78,Assumptions!$A:$E),""),Definitions!$AO$4))</f>
        <v/>
      </c>
      <c r="D78" s="37" t="str">
        <f t="shared" ca="1" si="7"/>
        <v/>
      </c>
      <c r="E78" s="23"/>
      <c r="F78" s="59" t="str">
        <f t="shared" ca="1" si="8"/>
        <v/>
      </c>
      <c r="G78" s="122" t="str" cm="1">
        <f t="array" aca="1" ref="G78" ca="1">_xlfn.LET(_xlpm._val,IFERROR(SimpleLookup($A78,Countermeasures!$A:$R),IFERROR(SimpleLookup($A78,Assumptions!$A:$R),"")),IF(_xlpm._val="","",_xlpm._val))</f>
        <v/>
      </c>
      <c r="H78" s="33" t="str" cm="1">
        <f t="array" aca="1" ref="H78" ca="1">_xlfn.LET(_xlpm._value,IF($A78="","",IFERROR(IF($J78,SimpleLookup($A78,Assumptions!$A:$S),SimpleLookup($A78,Countermeasures!$A:$S)),"")),
IF(_xlpm._value="","",_xlpm._value))</f>
        <v/>
      </c>
      <c r="I78" s="10" cm="1">
        <f t="array" aca="1" ref="I78" ca="1">IF(ROW()=ROW($I$17)+1,0,INDEX($I:$I,ROW()-1))+IF($A78="",0,1)</f>
        <v>12</v>
      </c>
      <c r="J78" s="21" t="b">
        <f ca="1">_xlfn.LET(_xlpm._row,ROW()-ROW($K$17),
_xlpm._numActiveAssumptions,Helper!$B$8,
_xlpm._numAdditionalAssumptions,SUM(Table24['# Elements]),
_xlpm._row&lt;=_xlpm._numActiveAssumptions+_xlpm._numAdditionalAssumptions)</f>
        <v>0</v>
      </c>
      <c r="K78" s="21">
        <f ca="1">_xlfn.LET(_xlpm._row,ROW()-ROW($K$17),
_xlpm._numActiveAssumptions,Helper!$B$8,
_xlpm._numAdditionalAssumptions,Helper!$B$10,
_xlpm._isAssumption,$J78,
_xlpm._elementID,IF(_xlpm._isAssumption,_xlpm._row,_xlpm._row-_xlpm._numActiveAssumptions-_xlpm._numAdditionalAssumptions),
_xlpm._elementID)</f>
        <v>55</v>
      </c>
      <c r="L78"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78" s="20" cm="1">
        <f t="array" aca="1" ref="M78" ca="1">IF($L78,
IF(ROW()=ROW($M$17)+1,1,INDEX($M:$M,ROW()-1)+IF(INDEX($T:$T,ROW()-1),1,0)),
1)</f>
        <v>1</v>
      </c>
      <c r="N78" s="20" t="str" cm="1">
        <f t="array" aca="1" ref="N78" ca="1">IF($L78=TRUE,
_xlfn.LET(
_xlpm._isAssumption,$J78,
_xlpm._indexRange,IF(_xlpm._isAssumption,Table24['# Elements],Table25['# Elements]),
_xlpm._lookupRow,$W78,
INDEX(_xlpm._indexRange,_xlpm._lookupRow)),
"")</f>
        <v/>
      </c>
      <c r="O78" s="20" t="str" cm="1">
        <f t="array" aca="1" ref="O78" ca="1">IF($N78="","",_xlfn.LET(
_xlpm._prevRow,ROW()-1,
IF(OR(INDEX($N:$N,_xlpm._prevRow)&lt;&gt;$N78,INDEX($M:$M,_xlpm._prevRow)&lt;&gt;$M78),
1,
INDEX($O:$O,_xlpm._prevRow)+IF(INDEX($S:$S,_xlpm._prevRow),1,0))))</f>
        <v/>
      </c>
      <c r="P78" s="20" t="str" cm="1">
        <f t="array" aca="1" ref="P78" ca="1">IF($O78="","",_xlfn.LET(
_xlpm._isAssumption,$J78,
_xlpm._sheetRow,$W78,
_xlpm._sheetName,$X78,
_xlpm._elementIDRange,IF(_xlpm._isAssumption,Table24[Element ID Column],Table25[Element ID Column]),
_xlpm._numberOfElementsRange,IF(_xlpm._isAssumption,Table24[Number of Elements Column],Table25[Number of Elements Column]),
SimpleLookup($O78,INDIRECT("'"&amp;_xlpm._sheetName&amp;"'!"&amp;INDEX(_xlpm._elementIDRange,_xlpm._sheetRow)&amp;":"&amp;INDEX(_xlpm._numberOfElementsRange,_xlpm._sheetRow)))))</f>
        <v/>
      </c>
      <c r="Q78" s="20" t="str" cm="1">
        <f t="array" aca="1" ref="Q78" ca="1">IF($O78="","",IF(OR(INDEX($O:$O,ROW()-1)&lt;&gt;$O78,INDEX($M:$M,ROW()-1)&lt;&gt;$M78),1,INDEX($Q:$Q,ROW()-1)+1))</f>
        <v/>
      </c>
      <c r="R78" s="20">
        <f t="shared" ca="1" si="9"/>
        <v>0</v>
      </c>
      <c r="S78" s="20" t="str">
        <f t="shared" ca="1" si="10"/>
        <v/>
      </c>
      <c r="T78" s="20" t="b">
        <f ca="1">_xlfn.LET(
_xlpm._isAssumption,$J78,
_xlpm._numberOfElementsRange,IF(_xlpm._isAssumption,Table24['# Elements],Table25['# Elements]),
_xlpm._sheetRow,$W78,
IF($L78,AND($S78,$R78=$N78),FALSE))</f>
        <v>0</v>
      </c>
      <c r="U78" s="20" t="str" cm="1">
        <f t="array" aca="1" ref="U78" ca="1">IF($L78,
_xlfn.LET(
_xlpm._elementID,$O78,
_xlpm._isAssumption,$J78,
_xlpm._sheetRow,$W78,
_xlpm._sheetName,$X78,
_xlpm._elementRow,$Y78,
_xlpm._resultColumnLetter,IF(_xlpm._isAssumption,INDEX(Table24[Comment Column],_xlpm._sheetRow),INDEX(Table25[Comment Column],_xlpm._sheetRow)),
INDEX(INDIRECT("'"&amp;_xlpm._sheetName&amp;"'!"&amp;_xlpm._resultColumnLetter&amp;":"&amp;_xlpm._resultColumnLetter),_xlpm._elementRow)),
"")</f>
        <v/>
      </c>
      <c r="V78" s="20" t="str" cm="1">
        <f t="array" aca="1" ref="V78" ca="1">IF($L78,
_xlfn.LET(
_xlpm._elementID,$O78,
_xlpm._isAssumption,$J78,
_xlpm._sheetRow,$W78,
_xlpm._sheetName,$X78,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78" s="20" t="str">
        <f ca="1">IF($L78=TRUE,
_xlfn.LET(
_xlpm._isAssumption,$J78,
_xlpm._searchRange,IF(_xlpm._isAssumption,Table24[Task Sheet Shadow ID],Table25[Task Sheet Shadow ID]),
MATCH($M78,_xlpm._searchRange,0)),
"")</f>
        <v/>
      </c>
      <c r="X78" s="20" t="str" cm="1">
        <f t="array" aca="1" ref="X78" ca="1">IF($L78,
_xlfn.LET(
_xlpm._isAssumption,$J78,
_xlpm._sheetRow,$W78,
IF(_xlpm._isAssumption,INDEX(Table24[Sheet Name],_xlpm._sheetRow),INDEX(Table25[Sheet Name],_xlpm._sheetRow))),
"")</f>
        <v/>
      </c>
      <c r="Y78" s="20" t="str" cm="1">
        <f t="array" aca="1" ref="Y78" ca="1">IF($L78,
_xlfn.LET(
_xlpm._elementID,$O78,
_xlpm._isAssumption,$J78,
_xlpm._sheetRow,$W78,
_xlpm._sheetName,$X78,
_xlpm._elementIDColumnLetter,IF(_xlpm._isAssumption,INDEX(Table24[Element ID Column],_xlpm._sheetRow),INDEX(Table25[Element ID Column],_xlpm._sheetRow)),
MATCH(_xlpm._elementID,INDIRECT("'"&amp;_xlpm._sheetName&amp;"'!"&amp;_xlpm._elementIDColumnLetter&amp;":"&amp;_xlpm._elementIDColumnLetter),0)),
"")</f>
        <v/>
      </c>
      <c r="Z78" s="20" t="str" cm="1">
        <f t="array" aca="1" ref="Z78" ca="1">IF($A78="","",_xlfn.LET(
_xlpm._isAssumption,$J78,
_xlpm._isAdditionalElement,$L78,
_xlpm._sheetRow,$W78,
_xlpm._sheetName,$X78,
_xlpm._columnLetter,INDEX(IF(_xlpm._isAdditionalElement,Table24[Comment Column],Table25[Comment Column]),_xlpm._sheetRow),
_xlpm._sheetReference,IF(_xlpm._isAssumption,IF(_xlpm._isAdditionalElement,
CELL("address",INDEX(INDIRECT("'"&amp;_xlpm._sheetName&amp;"'!"&amp;_xlpm._columnLetter&amp;":"&amp;_xlpm._columnLetter),$Y78)),
CELL("address",INDEX(Assumptions!$A:$A,MATCH($A78,Assumptions!$A:$A,0),1))),
IF(_xlpm._isAdditionalElement,
CELL("address",INDEX(INDIRECT("'"&amp;_xlpm._sheetName&amp;"'!"&amp;_xlpm._columnLetter&amp;":"&amp;_xlpm._columnLetter),$Y78)),
CELL("address",INDEX(Countermeasures!$A:$A,MATCH($A78,Countermeasures!$A:$A,0),1)))),
_xlpm._start,FIND("]",_xlpm._sheetReference),
"'"&amp;SUBSTITUTE(SUBSTITUTE(RIGHT(_xlpm._sheetReference,LEN(_xlpm._sheetReference)-_xlpm._start),"'",""),"!","'!")))</f>
        <v/>
      </c>
      <c r="AA78" s="20" t="str" cm="1">
        <f t="array" aca="1" ref="AA78" ca="1">IF(NOT($L78),
_xlfn.LET(_xlpm._value,IF($A78="","",IF($J78,SimpleLookup($A78,Assumptions!$A:$AK),SimpleLookup($A78,Countermeasures!$A:$AN))),
IF(_xlpm._value="","",_xlpm._value)),
"")</f>
        <v/>
      </c>
      <c r="AB78" s="20" t="str" cm="1">
        <f t="array" aca="1" ref="AB78" ca="1">LookupNames(InverseLookup($A78,Mitigation!$AD$2,Mitigation!$A$2,1,Helper!$B$5,","),'Attack Steps'!$A:$B)</f>
        <v/>
      </c>
      <c r="AC78" s="20" t="str" cm="1">
        <f t="array" aca="1" ref="AC78" ca="1">IF($L78,
_xlfn.LET(
_xlpm._in,$A78,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78" s="20" t="str" cm="1">
        <f t="array" aca="1" ref="AD78" ca="1">_xlfn.LET(
_xlpm._countermeasures,InverseLookup($A78,Countermeasures!$AG$2,Countermeasures!$A$2,1,Helper!$B$4,","),
LookupNames(_xlpm._countermeasures,Countermeasures!$A:$B))</f>
        <v/>
      </c>
      <c r="AE78" s="20" t="str" cm="1">
        <f t="array" aca="1" ref="AE78" ca="1">IF($E78="","",_xlfn.LET(
_xlpm._id,$E78,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78" s="20" t="str" cm="1">
        <f t="array" aca="1" ref="AF78" ca="1">IF(OR($A78="",$L78),"",_xlfn.LET(
_xlpm._answers,IF($J78,SimpleLookup($A78,Assumptions!$A:$F),SimpleLookup($A78,Countermeasures!$A:$D)),
IF(_xlpm._answers="*",IF($J78,SimpleLookup($A78,Assumptions!$A:$C),SimpleLookup($A78,Countermeasures!$A:$C)),"")))</f>
        <v/>
      </c>
      <c r="AG78" s="20" t="str" cm="1">
        <f t="array" aca="1" ref="AG78" ca="1">IF(NOT($L78),"",_xlfn.LET(
_xlpm._mappedInMitigation,IFERROR(VLOOKUP($V78,'Attack Steps'!$A:$O,COLUMNS('Attack Steps'!$A:$O),FALSE),""),
CreateSearchString(_xlpm._mappedInMitigation)))</f>
        <v/>
      </c>
      <c r="AH78" s="20" t="b">
        <f ca="1">ROW()-ROW($AH$17)=Helper!$B$15</f>
        <v>0</v>
      </c>
      <c r="AI78" s="20" t="str">
        <f t="shared" ca="1" si="11"/>
        <v/>
      </c>
      <c r="AJ78" s="20" cm="1">
        <f t="array" aca="1" ref="AJ78" ca="1">CreateID($AJ$17,$AJ:$AJ,$AI78&lt;&gt;"")</f>
        <v>0</v>
      </c>
    </row>
    <row r="79" spans="1:36" x14ac:dyDescent="0.25">
      <c r="A79" s="16" t="str">
        <f ca="1">_xlfn.LET(
_xlpm._isAssumption,$J79,
_xlpm._row,$K79,
_xlpm._numActiveAssumptions,Helper!$B$8,
_xlpm._numActiveCountermeasures,Helper!$B$9,
_xlpm._numAdditionalAssumptions,Helper!$B$10,
_xlpm._numAdditionalCountermeasures,Helper!$B$11,
IF(_xlpm._isAssumption,
IF(_xlpm._row&gt;_xlpm._numActiveAssumptions,
$V79&amp;"-A"&amp;$Q79,
INDEX(Assumptions!A:A,MATCH(_xlpm._row,Assumptions!$AG:$AG,0))),
IF(_xlpm._row&gt;_xlpm._numActiveCountermeasures+_xlpm._numAdditionalCountermeasures,"",
IF(_xlpm._row&gt;_xlpm._numActiveCountermeasures,
$V79&amp;"-C"&amp;$Q79,
INDEX(Countermeasures!$A:$A,MATCH(_xlpm._row,Countermeasures!$AI:$AI,0))))))</f>
        <v/>
      </c>
      <c r="B79" s="33" t="str" cm="1">
        <f t="array" aca="1" ref="B79" ca="1">IF($A79="","",
_xlfn.LET(
_xlpm._isAssumption,$J79,
_xlpm._isAdditionalElement,$L79,
IF(_xlpm._isAdditionalElement,
IF(_xlpm._isAssumption,
ParseElementsFromComment($U79,Definitions!$AR$4,Definitions!$AS$4,Definitions!$AR$6,$Q79),
ParseElementsFromComment($U79,Definitions!$AR$5,Definitions!$AS$5,Definitions!$AR$6,$Q79)),
 _xlfn.LET(_xlpm._value,IF($A79="","",IF($J79,SimpleLookup($A79,Assumptions!$A:$B),SimpleLookup($A79,Countermeasures!$A:$B))),IF(_xlpm._value="","",_xlpm._value)))))</f>
        <v/>
      </c>
      <c r="C79" s="33" t="str" cm="1">
        <f t="array" aca="1" ref="C79" ca="1">IF($A79="","",IF($J79,IFERROR(SimpleLookup($A79,Assumptions!$A:$E),""),Definitions!$AO$4))</f>
        <v/>
      </c>
      <c r="D79" s="37" t="str">
        <f t="shared" ca="1" si="7"/>
        <v/>
      </c>
      <c r="E79" s="23"/>
      <c r="F79" s="59" t="str">
        <f t="shared" ca="1" si="8"/>
        <v/>
      </c>
      <c r="G79" s="122" t="str" cm="1">
        <f t="array" aca="1" ref="G79" ca="1">_xlfn.LET(_xlpm._val,IFERROR(SimpleLookup($A79,Countermeasures!$A:$R),IFERROR(SimpleLookup($A79,Assumptions!$A:$R),"")),IF(_xlpm._val="","",_xlpm._val))</f>
        <v/>
      </c>
      <c r="H79" s="33" t="str" cm="1">
        <f t="array" aca="1" ref="H79" ca="1">_xlfn.LET(_xlpm._value,IF($A79="","",IFERROR(IF($J79,SimpleLookup($A79,Assumptions!$A:$S),SimpleLookup($A79,Countermeasures!$A:$S)),"")),
IF(_xlpm._value="","",_xlpm._value))</f>
        <v/>
      </c>
      <c r="I79" s="10" cm="1">
        <f t="array" aca="1" ref="I79" ca="1">IF(ROW()=ROW($I$17)+1,0,INDEX($I:$I,ROW()-1))+IF($A79="",0,1)</f>
        <v>12</v>
      </c>
      <c r="J79" s="21" t="b">
        <f ca="1">_xlfn.LET(_xlpm._row,ROW()-ROW($K$17),
_xlpm._numActiveAssumptions,Helper!$B$8,
_xlpm._numAdditionalAssumptions,SUM(Table24['# Elements]),
_xlpm._row&lt;=_xlpm._numActiveAssumptions+_xlpm._numAdditionalAssumptions)</f>
        <v>0</v>
      </c>
      <c r="K79" s="21">
        <f ca="1">_xlfn.LET(_xlpm._row,ROW()-ROW($K$17),
_xlpm._numActiveAssumptions,Helper!$B$8,
_xlpm._numAdditionalAssumptions,Helper!$B$10,
_xlpm._isAssumption,$J79,
_xlpm._elementID,IF(_xlpm._isAssumption,_xlpm._row,_xlpm._row-_xlpm._numActiveAssumptions-_xlpm._numAdditionalAssumptions),
_xlpm._elementID)</f>
        <v>56</v>
      </c>
      <c r="L79"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79" s="20" cm="1">
        <f t="array" aca="1" ref="M79" ca="1">IF($L79,
IF(ROW()=ROW($M$17)+1,1,INDEX($M:$M,ROW()-1)+IF(INDEX($T:$T,ROW()-1),1,0)),
1)</f>
        <v>1</v>
      </c>
      <c r="N79" s="20" t="str" cm="1">
        <f t="array" aca="1" ref="N79" ca="1">IF($L79=TRUE,
_xlfn.LET(
_xlpm._isAssumption,$J79,
_xlpm._indexRange,IF(_xlpm._isAssumption,Table24['# Elements],Table25['# Elements]),
_xlpm._lookupRow,$W79,
INDEX(_xlpm._indexRange,_xlpm._lookupRow)),
"")</f>
        <v/>
      </c>
      <c r="O79" s="20" t="str" cm="1">
        <f t="array" aca="1" ref="O79" ca="1">IF($N79="","",_xlfn.LET(
_xlpm._prevRow,ROW()-1,
IF(OR(INDEX($N:$N,_xlpm._prevRow)&lt;&gt;$N79,INDEX($M:$M,_xlpm._prevRow)&lt;&gt;$M79),
1,
INDEX($O:$O,_xlpm._prevRow)+IF(INDEX($S:$S,_xlpm._prevRow),1,0))))</f>
        <v/>
      </c>
      <c r="P79" s="20" t="str" cm="1">
        <f t="array" aca="1" ref="P79" ca="1">IF($O79="","",_xlfn.LET(
_xlpm._isAssumption,$J79,
_xlpm._sheetRow,$W79,
_xlpm._sheetName,$X79,
_xlpm._elementIDRange,IF(_xlpm._isAssumption,Table24[Element ID Column],Table25[Element ID Column]),
_xlpm._numberOfElementsRange,IF(_xlpm._isAssumption,Table24[Number of Elements Column],Table25[Number of Elements Column]),
SimpleLookup($O79,INDIRECT("'"&amp;_xlpm._sheetName&amp;"'!"&amp;INDEX(_xlpm._elementIDRange,_xlpm._sheetRow)&amp;":"&amp;INDEX(_xlpm._numberOfElementsRange,_xlpm._sheetRow)))))</f>
        <v/>
      </c>
      <c r="Q79" s="20" t="str" cm="1">
        <f t="array" aca="1" ref="Q79" ca="1">IF($O79="","",IF(OR(INDEX($O:$O,ROW()-1)&lt;&gt;$O79,INDEX($M:$M,ROW()-1)&lt;&gt;$M79),1,INDEX($Q:$Q,ROW()-1)+1))</f>
        <v/>
      </c>
      <c r="R79" s="20">
        <f t="shared" ca="1" si="9"/>
        <v>0</v>
      </c>
      <c r="S79" s="20" t="str">
        <f t="shared" ca="1" si="10"/>
        <v/>
      </c>
      <c r="T79" s="20" t="b">
        <f ca="1">_xlfn.LET(
_xlpm._isAssumption,$J79,
_xlpm._numberOfElementsRange,IF(_xlpm._isAssumption,Table24['# Elements],Table25['# Elements]),
_xlpm._sheetRow,$W79,
IF($L79,AND($S79,$R79=$N79),FALSE))</f>
        <v>0</v>
      </c>
      <c r="U79" s="20" t="str" cm="1">
        <f t="array" aca="1" ref="U79" ca="1">IF($L79,
_xlfn.LET(
_xlpm._elementID,$O79,
_xlpm._isAssumption,$J79,
_xlpm._sheetRow,$W79,
_xlpm._sheetName,$X79,
_xlpm._elementRow,$Y79,
_xlpm._resultColumnLetter,IF(_xlpm._isAssumption,INDEX(Table24[Comment Column],_xlpm._sheetRow),INDEX(Table25[Comment Column],_xlpm._sheetRow)),
INDEX(INDIRECT("'"&amp;_xlpm._sheetName&amp;"'!"&amp;_xlpm._resultColumnLetter&amp;":"&amp;_xlpm._resultColumnLetter),_xlpm._elementRow)),
"")</f>
        <v/>
      </c>
      <c r="V79" s="20" t="str" cm="1">
        <f t="array" aca="1" ref="V79" ca="1">IF($L79,
_xlfn.LET(
_xlpm._elementID,$O79,
_xlpm._isAssumption,$J79,
_xlpm._sheetRow,$W79,
_xlpm._sheetName,$X79,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79" s="20" t="str">
        <f ca="1">IF($L79=TRUE,
_xlfn.LET(
_xlpm._isAssumption,$J79,
_xlpm._searchRange,IF(_xlpm._isAssumption,Table24[Task Sheet Shadow ID],Table25[Task Sheet Shadow ID]),
MATCH($M79,_xlpm._searchRange,0)),
"")</f>
        <v/>
      </c>
      <c r="X79" s="20" t="str" cm="1">
        <f t="array" aca="1" ref="X79" ca="1">IF($L79,
_xlfn.LET(
_xlpm._isAssumption,$J79,
_xlpm._sheetRow,$W79,
IF(_xlpm._isAssumption,INDEX(Table24[Sheet Name],_xlpm._sheetRow),INDEX(Table25[Sheet Name],_xlpm._sheetRow))),
"")</f>
        <v/>
      </c>
      <c r="Y79" s="20" t="str" cm="1">
        <f t="array" aca="1" ref="Y79" ca="1">IF($L79,
_xlfn.LET(
_xlpm._elementID,$O79,
_xlpm._isAssumption,$J79,
_xlpm._sheetRow,$W79,
_xlpm._sheetName,$X79,
_xlpm._elementIDColumnLetter,IF(_xlpm._isAssumption,INDEX(Table24[Element ID Column],_xlpm._sheetRow),INDEX(Table25[Element ID Column],_xlpm._sheetRow)),
MATCH(_xlpm._elementID,INDIRECT("'"&amp;_xlpm._sheetName&amp;"'!"&amp;_xlpm._elementIDColumnLetter&amp;":"&amp;_xlpm._elementIDColumnLetter),0)),
"")</f>
        <v/>
      </c>
      <c r="Z79" s="20" t="str" cm="1">
        <f t="array" aca="1" ref="Z79" ca="1">IF($A79="","",_xlfn.LET(
_xlpm._isAssumption,$J79,
_xlpm._isAdditionalElement,$L79,
_xlpm._sheetRow,$W79,
_xlpm._sheetName,$X79,
_xlpm._columnLetter,INDEX(IF(_xlpm._isAdditionalElement,Table24[Comment Column],Table25[Comment Column]),_xlpm._sheetRow),
_xlpm._sheetReference,IF(_xlpm._isAssumption,IF(_xlpm._isAdditionalElement,
CELL("address",INDEX(INDIRECT("'"&amp;_xlpm._sheetName&amp;"'!"&amp;_xlpm._columnLetter&amp;":"&amp;_xlpm._columnLetter),$Y79)),
CELL("address",INDEX(Assumptions!$A:$A,MATCH($A79,Assumptions!$A:$A,0),1))),
IF(_xlpm._isAdditionalElement,
CELL("address",INDEX(INDIRECT("'"&amp;_xlpm._sheetName&amp;"'!"&amp;_xlpm._columnLetter&amp;":"&amp;_xlpm._columnLetter),$Y79)),
CELL("address",INDEX(Countermeasures!$A:$A,MATCH($A79,Countermeasures!$A:$A,0),1)))),
_xlpm._start,FIND("]",_xlpm._sheetReference),
"'"&amp;SUBSTITUTE(SUBSTITUTE(RIGHT(_xlpm._sheetReference,LEN(_xlpm._sheetReference)-_xlpm._start),"'",""),"!","'!")))</f>
        <v/>
      </c>
      <c r="AA79" s="20" t="str" cm="1">
        <f t="array" aca="1" ref="AA79" ca="1">IF(NOT($L79),
_xlfn.LET(_xlpm._value,IF($A79="","",IF($J79,SimpleLookup($A79,Assumptions!$A:$AK),SimpleLookup($A79,Countermeasures!$A:$AN))),
IF(_xlpm._value="","",_xlpm._value)),
"")</f>
        <v/>
      </c>
      <c r="AB79" s="20" t="str" cm="1">
        <f t="array" aca="1" ref="AB79" ca="1">LookupNames(InverseLookup($A79,Mitigation!$AD$2,Mitigation!$A$2,1,Helper!$B$5,","),'Attack Steps'!$A:$B)</f>
        <v/>
      </c>
      <c r="AC79" s="20" t="str" cm="1">
        <f t="array" aca="1" ref="AC79" ca="1">IF($L79,
_xlfn.LET(
_xlpm._in,$A79,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79" s="20" t="str" cm="1">
        <f t="array" aca="1" ref="AD79" ca="1">_xlfn.LET(
_xlpm._countermeasures,InverseLookup($A79,Countermeasures!$AG$2,Countermeasures!$A$2,1,Helper!$B$4,","),
LookupNames(_xlpm._countermeasures,Countermeasures!$A:$B))</f>
        <v/>
      </c>
      <c r="AE79" s="20" t="str" cm="1">
        <f t="array" aca="1" ref="AE79" ca="1">IF($E79="","",_xlfn.LET(
_xlpm._id,$E79,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79" s="20" t="str" cm="1">
        <f t="array" aca="1" ref="AF79" ca="1">IF(OR($A79="",$L79),"",_xlfn.LET(
_xlpm._answers,IF($J79,SimpleLookup($A79,Assumptions!$A:$F),SimpleLookup($A79,Countermeasures!$A:$D)),
IF(_xlpm._answers="*",IF($J79,SimpleLookup($A79,Assumptions!$A:$C),SimpleLookup($A79,Countermeasures!$A:$C)),"")))</f>
        <v/>
      </c>
      <c r="AG79" s="20" t="str" cm="1">
        <f t="array" aca="1" ref="AG79" ca="1">IF(NOT($L79),"",_xlfn.LET(
_xlpm._mappedInMitigation,IFERROR(VLOOKUP($V79,'Attack Steps'!$A:$O,COLUMNS('Attack Steps'!$A:$O),FALSE),""),
CreateSearchString(_xlpm._mappedInMitigation)))</f>
        <v/>
      </c>
      <c r="AH79" s="20" t="b">
        <f ca="1">ROW()-ROW($AH$17)=Helper!$B$15</f>
        <v>0</v>
      </c>
      <c r="AI79" s="20" t="str">
        <f t="shared" ca="1" si="11"/>
        <v/>
      </c>
      <c r="AJ79" s="20" cm="1">
        <f t="array" aca="1" ref="AJ79" ca="1">CreateID($AJ$17,$AJ:$AJ,$AI79&lt;&gt;"")</f>
        <v>0</v>
      </c>
    </row>
    <row r="80" spans="1:36" x14ac:dyDescent="0.25">
      <c r="A80" s="16" t="str">
        <f ca="1">_xlfn.LET(
_xlpm._isAssumption,$J80,
_xlpm._row,$K80,
_xlpm._numActiveAssumptions,Helper!$B$8,
_xlpm._numActiveCountermeasures,Helper!$B$9,
_xlpm._numAdditionalAssumptions,Helper!$B$10,
_xlpm._numAdditionalCountermeasures,Helper!$B$11,
IF(_xlpm._isAssumption,
IF(_xlpm._row&gt;_xlpm._numActiveAssumptions,
$V80&amp;"-A"&amp;$Q80,
INDEX(Assumptions!A:A,MATCH(_xlpm._row,Assumptions!$AG:$AG,0))),
IF(_xlpm._row&gt;_xlpm._numActiveCountermeasures+_xlpm._numAdditionalCountermeasures,"",
IF(_xlpm._row&gt;_xlpm._numActiveCountermeasures,
$V80&amp;"-C"&amp;$Q80,
INDEX(Countermeasures!$A:$A,MATCH(_xlpm._row,Countermeasures!$AI:$AI,0))))))</f>
        <v/>
      </c>
      <c r="B80" s="33" t="str" cm="1">
        <f t="array" aca="1" ref="B80" ca="1">IF($A80="","",
_xlfn.LET(
_xlpm._isAssumption,$J80,
_xlpm._isAdditionalElement,$L80,
IF(_xlpm._isAdditionalElement,
IF(_xlpm._isAssumption,
ParseElementsFromComment($U80,Definitions!$AR$4,Definitions!$AS$4,Definitions!$AR$6,$Q80),
ParseElementsFromComment($U80,Definitions!$AR$5,Definitions!$AS$5,Definitions!$AR$6,$Q80)),
 _xlfn.LET(_xlpm._value,IF($A80="","",IF($J80,SimpleLookup($A80,Assumptions!$A:$B),SimpleLookup($A80,Countermeasures!$A:$B))),IF(_xlpm._value="","",_xlpm._value)))))</f>
        <v/>
      </c>
      <c r="C80" s="33" t="str" cm="1">
        <f t="array" aca="1" ref="C80" ca="1">IF($A80="","",IF($J80,IFERROR(SimpleLookup($A80,Assumptions!$A:$E),""),Definitions!$AO$4))</f>
        <v/>
      </c>
      <c r="D80" s="37" t="str">
        <f t="shared" ca="1" si="7"/>
        <v/>
      </c>
      <c r="E80" s="23"/>
      <c r="F80" s="59" t="str">
        <f t="shared" ca="1" si="8"/>
        <v/>
      </c>
      <c r="G80" s="122" t="str" cm="1">
        <f t="array" aca="1" ref="G80" ca="1">_xlfn.LET(_xlpm._val,IFERROR(SimpleLookup($A80,Countermeasures!$A:$R),IFERROR(SimpleLookup($A80,Assumptions!$A:$R),"")),IF(_xlpm._val="","",_xlpm._val))</f>
        <v/>
      </c>
      <c r="H80" s="33" t="str" cm="1">
        <f t="array" aca="1" ref="H80" ca="1">_xlfn.LET(_xlpm._value,IF($A80="","",IFERROR(IF($J80,SimpleLookup($A80,Assumptions!$A:$S),SimpleLookup($A80,Countermeasures!$A:$S)),"")),
IF(_xlpm._value="","",_xlpm._value))</f>
        <v/>
      </c>
      <c r="I80" s="10" cm="1">
        <f t="array" aca="1" ref="I80" ca="1">IF(ROW()=ROW($I$17)+1,0,INDEX($I:$I,ROW()-1))+IF($A80="",0,1)</f>
        <v>12</v>
      </c>
      <c r="J80" s="21" t="b">
        <f ca="1">_xlfn.LET(_xlpm._row,ROW()-ROW($K$17),
_xlpm._numActiveAssumptions,Helper!$B$8,
_xlpm._numAdditionalAssumptions,SUM(Table24['# Elements]),
_xlpm._row&lt;=_xlpm._numActiveAssumptions+_xlpm._numAdditionalAssumptions)</f>
        <v>0</v>
      </c>
      <c r="K80" s="21">
        <f ca="1">_xlfn.LET(_xlpm._row,ROW()-ROW($K$17),
_xlpm._numActiveAssumptions,Helper!$B$8,
_xlpm._numAdditionalAssumptions,Helper!$B$10,
_xlpm._isAssumption,$J80,
_xlpm._elementID,IF(_xlpm._isAssumption,_xlpm._row,_xlpm._row-_xlpm._numActiveAssumptions-_xlpm._numAdditionalAssumptions),
_xlpm._elementID)</f>
        <v>57</v>
      </c>
      <c r="L80"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80" s="20" cm="1">
        <f t="array" aca="1" ref="M80" ca="1">IF($L80,
IF(ROW()=ROW($M$17)+1,1,INDEX($M:$M,ROW()-1)+IF(INDEX($T:$T,ROW()-1),1,0)),
1)</f>
        <v>1</v>
      </c>
      <c r="N80" s="20" t="str" cm="1">
        <f t="array" aca="1" ref="N80" ca="1">IF($L80=TRUE,
_xlfn.LET(
_xlpm._isAssumption,$J80,
_xlpm._indexRange,IF(_xlpm._isAssumption,Table24['# Elements],Table25['# Elements]),
_xlpm._lookupRow,$W80,
INDEX(_xlpm._indexRange,_xlpm._lookupRow)),
"")</f>
        <v/>
      </c>
      <c r="O80" s="20" t="str" cm="1">
        <f t="array" aca="1" ref="O80" ca="1">IF($N80="","",_xlfn.LET(
_xlpm._prevRow,ROW()-1,
IF(OR(INDEX($N:$N,_xlpm._prevRow)&lt;&gt;$N80,INDEX($M:$M,_xlpm._prevRow)&lt;&gt;$M80),
1,
INDEX($O:$O,_xlpm._prevRow)+IF(INDEX($S:$S,_xlpm._prevRow),1,0))))</f>
        <v/>
      </c>
      <c r="P80" s="20" t="str" cm="1">
        <f t="array" aca="1" ref="P80" ca="1">IF($O80="","",_xlfn.LET(
_xlpm._isAssumption,$J80,
_xlpm._sheetRow,$W80,
_xlpm._sheetName,$X80,
_xlpm._elementIDRange,IF(_xlpm._isAssumption,Table24[Element ID Column],Table25[Element ID Column]),
_xlpm._numberOfElementsRange,IF(_xlpm._isAssumption,Table24[Number of Elements Column],Table25[Number of Elements Column]),
SimpleLookup($O80,INDIRECT("'"&amp;_xlpm._sheetName&amp;"'!"&amp;INDEX(_xlpm._elementIDRange,_xlpm._sheetRow)&amp;":"&amp;INDEX(_xlpm._numberOfElementsRange,_xlpm._sheetRow)))))</f>
        <v/>
      </c>
      <c r="Q80" s="20" t="str" cm="1">
        <f t="array" aca="1" ref="Q80" ca="1">IF($O80="","",IF(OR(INDEX($O:$O,ROW()-1)&lt;&gt;$O80,INDEX($M:$M,ROW()-1)&lt;&gt;$M80),1,INDEX($Q:$Q,ROW()-1)+1))</f>
        <v/>
      </c>
      <c r="R80" s="20">
        <f t="shared" ca="1" si="9"/>
        <v>0</v>
      </c>
      <c r="S80" s="20" t="str">
        <f t="shared" ca="1" si="10"/>
        <v/>
      </c>
      <c r="T80" s="20" t="b">
        <f ca="1">_xlfn.LET(
_xlpm._isAssumption,$J80,
_xlpm._numberOfElementsRange,IF(_xlpm._isAssumption,Table24['# Elements],Table25['# Elements]),
_xlpm._sheetRow,$W80,
IF($L80,AND($S80,$R80=$N80),FALSE))</f>
        <v>0</v>
      </c>
      <c r="U80" s="20" t="str" cm="1">
        <f t="array" aca="1" ref="U80" ca="1">IF($L80,
_xlfn.LET(
_xlpm._elementID,$O80,
_xlpm._isAssumption,$J80,
_xlpm._sheetRow,$W80,
_xlpm._sheetName,$X80,
_xlpm._elementRow,$Y80,
_xlpm._resultColumnLetter,IF(_xlpm._isAssumption,INDEX(Table24[Comment Column],_xlpm._sheetRow),INDEX(Table25[Comment Column],_xlpm._sheetRow)),
INDEX(INDIRECT("'"&amp;_xlpm._sheetName&amp;"'!"&amp;_xlpm._resultColumnLetter&amp;":"&amp;_xlpm._resultColumnLetter),_xlpm._elementRow)),
"")</f>
        <v/>
      </c>
      <c r="V80" s="20" t="str" cm="1">
        <f t="array" aca="1" ref="V80" ca="1">IF($L80,
_xlfn.LET(
_xlpm._elementID,$O80,
_xlpm._isAssumption,$J80,
_xlpm._sheetRow,$W80,
_xlpm._sheetName,$X80,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80" s="20" t="str">
        <f ca="1">IF($L80=TRUE,
_xlfn.LET(
_xlpm._isAssumption,$J80,
_xlpm._searchRange,IF(_xlpm._isAssumption,Table24[Task Sheet Shadow ID],Table25[Task Sheet Shadow ID]),
MATCH($M80,_xlpm._searchRange,0)),
"")</f>
        <v/>
      </c>
      <c r="X80" s="20" t="str" cm="1">
        <f t="array" aca="1" ref="X80" ca="1">IF($L80,
_xlfn.LET(
_xlpm._isAssumption,$J80,
_xlpm._sheetRow,$W80,
IF(_xlpm._isAssumption,INDEX(Table24[Sheet Name],_xlpm._sheetRow),INDEX(Table25[Sheet Name],_xlpm._sheetRow))),
"")</f>
        <v/>
      </c>
      <c r="Y80" s="20" t="str" cm="1">
        <f t="array" aca="1" ref="Y80" ca="1">IF($L80,
_xlfn.LET(
_xlpm._elementID,$O80,
_xlpm._isAssumption,$J80,
_xlpm._sheetRow,$W80,
_xlpm._sheetName,$X80,
_xlpm._elementIDColumnLetter,IF(_xlpm._isAssumption,INDEX(Table24[Element ID Column],_xlpm._sheetRow),INDEX(Table25[Element ID Column],_xlpm._sheetRow)),
MATCH(_xlpm._elementID,INDIRECT("'"&amp;_xlpm._sheetName&amp;"'!"&amp;_xlpm._elementIDColumnLetter&amp;":"&amp;_xlpm._elementIDColumnLetter),0)),
"")</f>
        <v/>
      </c>
      <c r="Z80" s="20" t="str" cm="1">
        <f t="array" aca="1" ref="Z80" ca="1">IF($A80="","",_xlfn.LET(
_xlpm._isAssumption,$J80,
_xlpm._isAdditionalElement,$L80,
_xlpm._sheetRow,$W80,
_xlpm._sheetName,$X80,
_xlpm._columnLetter,INDEX(IF(_xlpm._isAdditionalElement,Table24[Comment Column],Table25[Comment Column]),_xlpm._sheetRow),
_xlpm._sheetReference,IF(_xlpm._isAssumption,IF(_xlpm._isAdditionalElement,
CELL("address",INDEX(INDIRECT("'"&amp;_xlpm._sheetName&amp;"'!"&amp;_xlpm._columnLetter&amp;":"&amp;_xlpm._columnLetter),$Y80)),
CELL("address",INDEX(Assumptions!$A:$A,MATCH($A80,Assumptions!$A:$A,0),1))),
IF(_xlpm._isAdditionalElement,
CELL("address",INDEX(INDIRECT("'"&amp;_xlpm._sheetName&amp;"'!"&amp;_xlpm._columnLetter&amp;":"&amp;_xlpm._columnLetter),$Y80)),
CELL("address",INDEX(Countermeasures!$A:$A,MATCH($A80,Countermeasures!$A:$A,0),1)))),
_xlpm._start,FIND("]",_xlpm._sheetReference),
"'"&amp;SUBSTITUTE(SUBSTITUTE(RIGHT(_xlpm._sheetReference,LEN(_xlpm._sheetReference)-_xlpm._start),"'",""),"!","'!")))</f>
        <v/>
      </c>
      <c r="AA80" s="20" t="str" cm="1">
        <f t="array" aca="1" ref="AA80" ca="1">IF(NOT($L80),
_xlfn.LET(_xlpm._value,IF($A80="","",IF($J80,SimpleLookup($A80,Assumptions!$A:$AK),SimpleLookup($A80,Countermeasures!$A:$AN))),
IF(_xlpm._value="","",_xlpm._value)),
"")</f>
        <v/>
      </c>
      <c r="AB80" s="20" t="str" cm="1">
        <f t="array" aca="1" ref="AB80" ca="1">LookupNames(InverseLookup($A80,Mitigation!$AD$2,Mitigation!$A$2,1,Helper!$B$5,","),'Attack Steps'!$A:$B)</f>
        <v/>
      </c>
      <c r="AC80" s="20" t="str" cm="1">
        <f t="array" aca="1" ref="AC80" ca="1">IF($L80,
_xlfn.LET(
_xlpm._in,$A80,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80" s="20" t="str" cm="1">
        <f t="array" aca="1" ref="AD80" ca="1">_xlfn.LET(
_xlpm._countermeasures,InverseLookup($A80,Countermeasures!$AG$2,Countermeasures!$A$2,1,Helper!$B$4,","),
LookupNames(_xlpm._countermeasures,Countermeasures!$A:$B))</f>
        <v/>
      </c>
      <c r="AE80" s="20" t="str" cm="1">
        <f t="array" aca="1" ref="AE80" ca="1">IF($E80="","",_xlfn.LET(
_xlpm._id,$E80,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80" s="20" t="str" cm="1">
        <f t="array" aca="1" ref="AF80" ca="1">IF(OR($A80="",$L80),"",_xlfn.LET(
_xlpm._answers,IF($J80,SimpleLookup($A80,Assumptions!$A:$F),SimpleLookup($A80,Countermeasures!$A:$D)),
IF(_xlpm._answers="*",IF($J80,SimpleLookup($A80,Assumptions!$A:$C),SimpleLookup($A80,Countermeasures!$A:$C)),"")))</f>
        <v/>
      </c>
      <c r="AG80" s="20" t="str" cm="1">
        <f t="array" aca="1" ref="AG80" ca="1">IF(NOT($L80),"",_xlfn.LET(
_xlpm._mappedInMitigation,IFERROR(VLOOKUP($V80,'Attack Steps'!$A:$O,COLUMNS('Attack Steps'!$A:$O),FALSE),""),
CreateSearchString(_xlpm._mappedInMitigation)))</f>
        <v/>
      </c>
      <c r="AH80" s="20" t="b">
        <f ca="1">ROW()-ROW($AH$17)=Helper!$B$15</f>
        <v>0</v>
      </c>
      <c r="AI80" s="20" t="str">
        <f t="shared" ca="1" si="11"/>
        <v/>
      </c>
      <c r="AJ80" s="20" cm="1">
        <f t="array" aca="1" ref="AJ80" ca="1">CreateID($AJ$17,$AJ:$AJ,$AI80&lt;&gt;"")</f>
        <v>0</v>
      </c>
    </row>
    <row r="81" spans="1:36" x14ac:dyDescent="0.25">
      <c r="A81" s="16" t="str">
        <f ca="1">_xlfn.LET(
_xlpm._isAssumption,$J81,
_xlpm._row,$K81,
_xlpm._numActiveAssumptions,Helper!$B$8,
_xlpm._numActiveCountermeasures,Helper!$B$9,
_xlpm._numAdditionalAssumptions,Helper!$B$10,
_xlpm._numAdditionalCountermeasures,Helper!$B$11,
IF(_xlpm._isAssumption,
IF(_xlpm._row&gt;_xlpm._numActiveAssumptions,
$V81&amp;"-A"&amp;$Q81,
INDEX(Assumptions!A:A,MATCH(_xlpm._row,Assumptions!$AG:$AG,0))),
IF(_xlpm._row&gt;_xlpm._numActiveCountermeasures+_xlpm._numAdditionalCountermeasures,"",
IF(_xlpm._row&gt;_xlpm._numActiveCountermeasures,
$V81&amp;"-C"&amp;$Q81,
INDEX(Countermeasures!$A:$A,MATCH(_xlpm._row,Countermeasures!$AI:$AI,0))))))</f>
        <v/>
      </c>
      <c r="B81" s="33" t="str" cm="1">
        <f t="array" aca="1" ref="B81" ca="1">IF($A81="","",
_xlfn.LET(
_xlpm._isAssumption,$J81,
_xlpm._isAdditionalElement,$L81,
IF(_xlpm._isAdditionalElement,
IF(_xlpm._isAssumption,
ParseElementsFromComment($U81,Definitions!$AR$4,Definitions!$AS$4,Definitions!$AR$6,$Q81),
ParseElementsFromComment($U81,Definitions!$AR$5,Definitions!$AS$5,Definitions!$AR$6,$Q81)),
 _xlfn.LET(_xlpm._value,IF($A81="","",IF($J81,SimpleLookup($A81,Assumptions!$A:$B),SimpleLookup($A81,Countermeasures!$A:$B))),IF(_xlpm._value="","",_xlpm._value)))))</f>
        <v/>
      </c>
      <c r="C81" s="33" t="str" cm="1">
        <f t="array" aca="1" ref="C81" ca="1">IF($A81="","",IF($J81,IFERROR(SimpleLookup($A81,Assumptions!$A:$E),""),Definitions!$AO$4))</f>
        <v/>
      </c>
      <c r="D81" s="37" t="str">
        <f t="shared" ca="1" si="7"/>
        <v/>
      </c>
      <c r="E81" s="23"/>
      <c r="F81" s="59" t="str">
        <f t="shared" ca="1" si="8"/>
        <v/>
      </c>
      <c r="G81" s="122" t="str" cm="1">
        <f t="array" aca="1" ref="G81" ca="1">_xlfn.LET(_xlpm._val,IFERROR(SimpleLookup($A81,Countermeasures!$A:$R),IFERROR(SimpleLookup($A81,Assumptions!$A:$R),"")),IF(_xlpm._val="","",_xlpm._val))</f>
        <v/>
      </c>
      <c r="H81" s="33" t="str" cm="1">
        <f t="array" aca="1" ref="H81" ca="1">_xlfn.LET(_xlpm._value,IF($A81="","",IFERROR(IF($J81,SimpleLookup($A81,Assumptions!$A:$S),SimpleLookup($A81,Countermeasures!$A:$S)),"")),
IF(_xlpm._value="","",_xlpm._value))</f>
        <v/>
      </c>
      <c r="I81" s="10" cm="1">
        <f t="array" aca="1" ref="I81" ca="1">IF(ROW()=ROW($I$17)+1,0,INDEX($I:$I,ROW()-1))+IF($A81="",0,1)</f>
        <v>12</v>
      </c>
      <c r="J81" s="21" t="b">
        <f ca="1">_xlfn.LET(_xlpm._row,ROW()-ROW($K$17),
_xlpm._numActiveAssumptions,Helper!$B$8,
_xlpm._numAdditionalAssumptions,SUM(Table24['# Elements]),
_xlpm._row&lt;=_xlpm._numActiveAssumptions+_xlpm._numAdditionalAssumptions)</f>
        <v>0</v>
      </c>
      <c r="K81" s="21">
        <f ca="1">_xlfn.LET(_xlpm._row,ROW()-ROW($K$17),
_xlpm._numActiveAssumptions,Helper!$B$8,
_xlpm._numAdditionalAssumptions,Helper!$B$10,
_xlpm._isAssumption,$J81,
_xlpm._elementID,IF(_xlpm._isAssumption,_xlpm._row,_xlpm._row-_xlpm._numActiveAssumptions-_xlpm._numAdditionalAssumptions),
_xlpm._elementID)</f>
        <v>58</v>
      </c>
      <c r="L81"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81" s="20" cm="1">
        <f t="array" aca="1" ref="M81" ca="1">IF($L81,
IF(ROW()=ROW($M$17)+1,1,INDEX($M:$M,ROW()-1)+IF(INDEX($T:$T,ROW()-1),1,0)),
1)</f>
        <v>1</v>
      </c>
      <c r="N81" s="20" t="str" cm="1">
        <f t="array" aca="1" ref="N81" ca="1">IF($L81=TRUE,
_xlfn.LET(
_xlpm._isAssumption,$J81,
_xlpm._indexRange,IF(_xlpm._isAssumption,Table24['# Elements],Table25['# Elements]),
_xlpm._lookupRow,$W81,
INDEX(_xlpm._indexRange,_xlpm._lookupRow)),
"")</f>
        <v/>
      </c>
      <c r="O81" s="20" t="str" cm="1">
        <f t="array" aca="1" ref="O81" ca="1">IF($N81="","",_xlfn.LET(
_xlpm._prevRow,ROW()-1,
IF(OR(INDEX($N:$N,_xlpm._prevRow)&lt;&gt;$N81,INDEX($M:$M,_xlpm._prevRow)&lt;&gt;$M81),
1,
INDEX($O:$O,_xlpm._prevRow)+IF(INDEX($S:$S,_xlpm._prevRow),1,0))))</f>
        <v/>
      </c>
      <c r="P81" s="20" t="str" cm="1">
        <f t="array" aca="1" ref="P81" ca="1">IF($O81="","",_xlfn.LET(
_xlpm._isAssumption,$J81,
_xlpm._sheetRow,$W81,
_xlpm._sheetName,$X81,
_xlpm._elementIDRange,IF(_xlpm._isAssumption,Table24[Element ID Column],Table25[Element ID Column]),
_xlpm._numberOfElementsRange,IF(_xlpm._isAssumption,Table24[Number of Elements Column],Table25[Number of Elements Column]),
SimpleLookup($O81,INDIRECT("'"&amp;_xlpm._sheetName&amp;"'!"&amp;INDEX(_xlpm._elementIDRange,_xlpm._sheetRow)&amp;":"&amp;INDEX(_xlpm._numberOfElementsRange,_xlpm._sheetRow)))))</f>
        <v/>
      </c>
      <c r="Q81" s="20" t="str" cm="1">
        <f t="array" aca="1" ref="Q81" ca="1">IF($O81="","",IF(OR(INDEX($O:$O,ROW()-1)&lt;&gt;$O81,INDEX($M:$M,ROW()-1)&lt;&gt;$M81),1,INDEX($Q:$Q,ROW()-1)+1))</f>
        <v/>
      </c>
      <c r="R81" s="20">
        <f t="shared" ca="1" si="9"/>
        <v>0</v>
      </c>
      <c r="S81" s="20" t="str">
        <f t="shared" ca="1" si="10"/>
        <v/>
      </c>
      <c r="T81" s="20" t="b">
        <f ca="1">_xlfn.LET(
_xlpm._isAssumption,$J81,
_xlpm._numberOfElementsRange,IF(_xlpm._isAssumption,Table24['# Elements],Table25['# Elements]),
_xlpm._sheetRow,$W81,
IF($L81,AND($S81,$R81=$N81),FALSE))</f>
        <v>0</v>
      </c>
      <c r="U81" s="20" t="str" cm="1">
        <f t="array" aca="1" ref="U81" ca="1">IF($L81,
_xlfn.LET(
_xlpm._elementID,$O81,
_xlpm._isAssumption,$J81,
_xlpm._sheetRow,$W81,
_xlpm._sheetName,$X81,
_xlpm._elementRow,$Y81,
_xlpm._resultColumnLetter,IF(_xlpm._isAssumption,INDEX(Table24[Comment Column],_xlpm._sheetRow),INDEX(Table25[Comment Column],_xlpm._sheetRow)),
INDEX(INDIRECT("'"&amp;_xlpm._sheetName&amp;"'!"&amp;_xlpm._resultColumnLetter&amp;":"&amp;_xlpm._resultColumnLetter),_xlpm._elementRow)),
"")</f>
        <v/>
      </c>
      <c r="V81" s="20" t="str" cm="1">
        <f t="array" aca="1" ref="V81" ca="1">IF($L81,
_xlfn.LET(
_xlpm._elementID,$O81,
_xlpm._isAssumption,$J81,
_xlpm._sheetRow,$W81,
_xlpm._sheetName,$X81,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81" s="20" t="str">
        <f ca="1">IF($L81=TRUE,
_xlfn.LET(
_xlpm._isAssumption,$J81,
_xlpm._searchRange,IF(_xlpm._isAssumption,Table24[Task Sheet Shadow ID],Table25[Task Sheet Shadow ID]),
MATCH($M81,_xlpm._searchRange,0)),
"")</f>
        <v/>
      </c>
      <c r="X81" s="20" t="str" cm="1">
        <f t="array" aca="1" ref="X81" ca="1">IF($L81,
_xlfn.LET(
_xlpm._isAssumption,$J81,
_xlpm._sheetRow,$W81,
IF(_xlpm._isAssumption,INDEX(Table24[Sheet Name],_xlpm._sheetRow),INDEX(Table25[Sheet Name],_xlpm._sheetRow))),
"")</f>
        <v/>
      </c>
      <c r="Y81" s="20" t="str" cm="1">
        <f t="array" aca="1" ref="Y81" ca="1">IF($L81,
_xlfn.LET(
_xlpm._elementID,$O81,
_xlpm._isAssumption,$J81,
_xlpm._sheetRow,$W81,
_xlpm._sheetName,$X81,
_xlpm._elementIDColumnLetter,IF(_xlpm._isAssumption,INDEX(Table24[Element ID Column],_xlpm._sheetRow),INDEX(Table25[Element ID Column],_xlpm._sheetRow)),
MATCH(_xlpm._elementID,INDIRECT("'"&amp;_xlpm._sheetName&amp;"'!"&amp;_xlpm._elementIDColumnLetter&amp;":"&amp;_xlpm._elementIDColumnLetter),0)),
"")</f>
        <v/>
      </c>
      <c r="Z81" s="20" t="str" cm="1">
        <f t="array" aca="1" ref="Z81" ca="1">IF($A81="","",_xlfn.LET(
_xlpm._isAssumption,$J81,
_xlpm._isAdditionalElement,$L81,
_xlpm._sheetRow,$W81,
_xlpm._sheetName,$X81,
_xlpm._columnLetter,INDEX(IF(_xlpm._isAdditionalElement,Table24[Comment Column],Table25[Comment Column]),_xlpm._sheetRow),
_xlpm._sheetReference,IF(_xlpm._isAssumption,IF(_xlpm._isAdditionalElement,
CELL("address",INDEX(INDIRECT("'"&amp;_xlpm._sheetName&amp;"'!"&amp;_xlpm._columnLetter&amp;":"&amp;_xlpm._columnLetter),$Y81)),
CELL("address",INDEX(Assumptions!$A:$A,MATCH($A81,Assumptions!$A:$A,0),1))),
IF(_xlpm._isAdditionalElement,
CELL("address",INDEX(INDIRECT("'"&amp;_xlpm._sheetName&amp;"'!"&amp;_xlpm._columnLetter&amp;":"&amp;_xlpm._columnLetter),$Y81)),
CELL("address",INDEX(Countermeasures!$A:$A,MATCH($A81,Countermeasures!$A:$A,0),1)))),
_xlpm._start,FIND("]",_xlpm._sheetReference),
"'"&amp;SUBSTITUTE(SUBSTITUTE(RIGHT(_xlpm._sheetReference,LEN(_xlpm._sheetReference)-_xlpm._start),"'",""),"!","'!")))</f>
        <v/>
      </c>
      <c r="AA81" s="20" t="str" cm="1">
        <f t="array" aca="1" ref="AA81" ca="1">IF(NOT($L81),
_xlfn.LET(_xlpm._value,IF($A81="","",IF($J81,SimpleLookup($A81,Assumptions!$A:$AK),SimpleLookup($A81,Countermeasures!$A:$AN))),
IF(_xlpm._value="","",_xlpm._value)),
"")</f>
        <v/>
      </c>
      <c r="AB81" s="20" t="str" cm="1">
        <f t="array" aca="1" ref="AB81" ca="1">LookupNames(InverseLookup($A81,Mitigation!$AD$2,Mitigation!$A$2,1,Helper!$B$5,","),'Attack Steps'!$A:$B)</f>
        <v/>
      </c>
      <c r="AC81" s="20" t="str" cm="1">
        <f t="array" aca="1" ref="AC81" ca="1">IF($L81,
_xlfn.LET(
_xlpm._in,$A81,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81" s="20" t="str" cm="1">
        <f t="array" aca="1" ref="AD81" ca="1">_xlfn.LET(
_xlpm._countermeasures,InverseLookup($A81,Countermeasures!$AG$2,Countermeasures!$A$2,1,Helper!$B$4,","),
LookupNames(_xlpm._countermeasures,Countermeasures!$A:$B))</f>
        <v/>
      </c>
      <c r="AE81" s="20" t="str" cm="1">
        <f t="array" aca="1" ref="AE81" ca="1">IF($E81="","",_xlfn.LET(
_xlpm._id,$E81,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81" s="20" t="str" cm="1">
        <f t="array" aca="1" ref="AF81" ca="1">IF(OR($A81="",$L81),"",_xlfn.LET(
_xlpm._answers,IF($J81,SimpleLookup($A81,Assumptions!$A:$F),SimpleLookup($A81,Countermeasures!$A:$D)),
IF(_xlpm._answers="*",IF($J81,SimpleLookup($A81,Assumptions!$A:$C),SimpleLookup($A81,Countermeasures!$A:$C)),"")))</f>
        <v/>
      </c>
      <c r="AG81" s="20" t="str" cm="1">
        <f t="array" aca="1" ref="AG81" ca="1">IF(NOT($L81),"",_xlfn.LET(
_xlpm._mappedInMitigation,IFERROR(VLOOKUP($V81,'Attack Steps'!$A:$O,COLUMNS('Attack Steps'!$A:$O),FALSE),""),
CreateSearchString(_xlpm._mappedInMitigation)))</f>
        <v/>
      </c>
      <c r="AH81" s="20" t="b">
        <f ca="1">ROW()-ROW($AH$17)=Helper!$B$15</f>
        <v>0</v>
      </c>
      <c r="AI81" s="20" t="str">
        <f t="shared" ca="1" si="11"/>
        <v/>
      </c>
      <c r="AJ81" s="20" cm="1">
        <f t="array" aca="1" ref="AJ81" ca="1">CreateID($AJ$17,$AJ:$AJ,$AI81&lt;&gt;"")</f>
        <v>0</v>
      </c>
    </row>
    <row r="82" spans="1:36" x14ac:dyDescent="0.25">
      <c r="A82" s="33" t="str">
        <f ca="1">_xlfn.LET(
_xlpm._isAssumption,$J82,
_xlpm._row,$K82,
_xlpm._numActiveAssumptions,Helper!$B$8,
_xlpm._numActiveCountermeasures,Helper!$B$9,
_xlpm._numAdditionalAssumptions,Helper!$B$10,
_xlpm._numAdditionalCountermeasures,Helper!$B$11,
IF(_xlpm._isAssumption,
IF(_xlpm._row&gt;_xlpm._numActiveAssumptions,
$V82&amp;"-A"&amp;$Q82,
INDEX(Assumptions!A:A,MATCH(_xlpm._row,Assumptions!$AG:$AG,0))),
IF(_xlpm._row&gt;_xlpm._numActiveCountermeasures+_xlpm._numAdditionalCountermeasures,"",
IF(_xlpm._row&gt;_xlpm._numActiveCountermeasures,
$V82&amp;"-C"&amp;$Q82,
INDEX(Countermeasures!$A:$A,MATCH(_xlpm._row,Countermeasures!$AI:$AI,0))))))</f>
        <v/>
      </c>
      <c r="B82" s="33" t="str" cm="1">
        <f t="array" aca="1" ref="B82" ca="1">IF($A82="","",
_xlfn.LET(
_xlpm._isAssumption,$J82,
_xlpm._isAdditionalElement,$L82,
IF(_xlpm._isAdditionalElement,
IF(_xlpm._isAssumption,
ParseElementsFromComment($U82,Definitions!$AR$4,Definitions!$AS$4,Definitions!$AR$6,$Q82),
ParseElementsFromComment($U82,Definitions!$AR$5,Definitions!$AS$5,Definitions!$AR$6,$Q82)),
 _xlfn.LET(_xlpm._value,IF($A82="","",IF($J82,SimpleLookup($A82,Assumptions!$A:$B),SimpleLookup($A82,Countermeasures!$A:$B))),IF(_xlpm._value="","",_xlpm._value)))))</f>
        <v/>
      </c>
      <c r="C82" s="33" t="str" cm="1">
        <f t="array" aca="1" ref="C82" ca="1">IF($A82="","",IF($J82,IFERROR(SimpleLookup($A82,Assumptions!$A:$E),""),Definitions!$AO$4))</f>
        <v/>
      </c>
      <c r="D82" s="37" t="str">
        <f t="shared" ref="D82:D83" ca="1" si="12">_xlfn.LET(
_xlpm._dividerTop,REPT(_xlfn.UNICHAR(9552),63)&amp;CHAR(10),
_xlpm._dividerHeader,CHAR(10)&amp;REPT(CHAR(150),84)&amp;CHAR(10),
_xlpm._relatedQuestions,IF($AA82="","",_xlpm._dividerTop&amp;"Comments of related questions / answers:"&amp;_xlpm._dividerHeader&amp;$AA82),
_xlpm._assignedToAttackSteps,IF($AB82="","",_xlpm._dividerTop&amp;"Assigned to attack steps:"&amp;_xlpm._dividerHeader&amp;$AB82),
_xlpm._definedInContextOfElement,IF($AC82="","",_xlpm._dividerTop&amp;"Defined in the context of:"&amp;_xlpm._dividerHeader&amp;$AC82),
_xlpm._dependantCountermeasures,IF($AD82="","",_xlpm._dividerTop&amp;"Dependency of countermeasures:"&amp;_xlpm._dividerHeader&amp;$AD82),
_xlpm._defaultElementText,IF($AF82="","",_xlpm._dividerTop&amp;"Default "&amp;IF($J82,"assumption","countermeasure")&amp;":"&amp;_xlpm._dividerHeader&amp;$AF82),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f>
        <v/>
      </c>
      <c r="E82" s="23"/>
      <c r="F82" s="59" t="str">
        <f t="shared" ref="F82:F83" ca="1" si="13">IF(AND($E82&lt;&gt;"",$AE82=""),"Error: Unknown ID: "&amp;$E82,
IF($A82="","",HYPERLINK("#"&amp;IF($AE82="",$Z82,$AE82),"click me")))</f>
        <v/>
      </c>
      <c r="G82" s="122" t="str" cm="1">
        <f t="array" aca="1" ref="G82" ca="1">_xlfn.LET(_xlpm._val,IFERROR(SimpleLookup($A82,Countermeasures!$A:$R),IFERROR(SimpleLookup($A82,Assumptions!$A:$R),"")),IF(_xlpm._val="","",_xlpm._val))</f>
        <v/>
      </c>
      <c r="H82" s="33" t="str" cm="1">
        <f t="array" aca="1" ref="H82" ca="1">_xlfn.LET(_xlpm._value,IF($A82="","",IFERROR(IF($J82,SimpleLookup($A82,Assumptions!$A:$S),SimpleLookup($A82,Countermeasures!$A:$S)),"")),
IF(_xlpm._value="","",_xlpm._value))</f>
        <v/>
      </c>
      <c r="I82" s="10" cm="1">
        <f t="array" aca="1" ref="I82" ca="1">IF(ROW()=ROW($I$17)+1,0,INDEX($I:$I,ROW()-1))+IF($A82="",0,1)</f>
        <v>12</v>
      </c>
      <c r="J82" s="21" t="b">
        <f ca="1">_xlfn.LET(_xlpm._row,ROW()-ROW($K$17),
_xlpm._numActiveAssumptions,Helper!$B$8,
_xlpm._numAdditionalAssumptions,SUM(Table24['# Elements]),
_xlpm._row&lt;=_xlpm._numActiveAssumptions+_xlpm._numAdditionalAssumptions)</f>
        <v>0</v>
      </c>
      <c r="K82" s="21">
        <f ca="1">_xlfn.LET(_xlpm._row,ROW()-ROW($K$17),
_xlpm._numActiveAssumptions,Helper!$B$8,
_xlpm._numAdditionalAssumptions,Helper!$B$10,
_xlpm._isAssumption,$J82,
_xlpm._elementID,IF(_xlpm._isAssumption,_xlpm._row,_xlpm._row-_xlpm._numActiveAssumptions-_xlpm._numAdditionalAssumptions),
_xlpm._elementID)</f>
        <v>59</v>
      </c>
      <c r="L82"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82" s="20" cm="1">
        <f t="array" aca="1" ref="M82" ca="1">IF($L82,
IF(ROW()=ROW($M$17)+1,1,INDEX($M:$M,ROW()-1)+IF(INDEX($T:$T,ROW()-1),1,0)),
1)</f>
        <v>1</v>
      </c>
      <c r="N82" s="20" t="str" cm="1">
        <f t="array" aca="1" ref="N82" ca="1">IF($L82=TRUE,
_xlfn.LET(
_xlpm._isAssumption,$J82,
_xlpm._indexRange,IF(_xlpm._isAssumption,Table24['# Elements],Table25['# Elements]),
_xlpm._lookupRow,$W82,
INDEX(_xlpm._indexRange,_xlpm._lookupRow)),
"")</f>
        <v/>
      </c>
      <c r="O82" s="20" t="str" cm="1">
        <f t="array" aca="1" ref="O82" ca="1">IF($N82="","",_xlfn.LET(
_xlpm._prevRow,ROW()-1,
IF(OR(INDEX($N:$N,_xlpm._prevRow)&lt;&gt;$N82,INDEX($M:$M,_xlpm._prevRow)&lt;&gt;$M82),
1,
INDEX($O:$O,_xlpm._prevRow)+IF(INDEX($S:$S,_xlpm._prevRow),1,0))))</f>
        <v/>
      </c>
      <c r="P82" s="20" t="str" cm="1">
        <f t="array" aca="1" ref="P82" ca="1">IF($O82="","",_xlfn.LET(
_xlpm._isAssumption,$J82,
_xlpm._sheetRow,$W82,
_xlpm._sheetName,$X82,
_xlpm._elementIDRange,IF(_xlpm._isAssumption,Table24[Element ID Column],Table25[Element ID Column]),
_xlpm._numberOfElementsRange,IF(_xlpm._isAssumption,Table24[Number of Elements Column],Table25[Number of Elements Column]),
SimpleLookup($O82,INDIRECT("'"&amp;_xlpm._sheetName&amp;"'!"&amp;INDEX(_xlpm._elementIDRange,_xlpm._sheetRow)&amp;":"&amp;INDEX(_xlpm._numberOfElementsRange,_xlpm._sheetRow)))))</f>
        <v/>
      </c>
      <c r="Q82" s="20" t="str" cm="1">
        <f t="array" aca="1" ref="Q82" ca="1">IF($O82="","",IF(OR(INDEX($O:$O,ROW()-1)&lt;&gt;$O82,INDEX($M:$M,ROW()-1)&lt;&gt;$M82),1,INDEX($Q:$Q,ROW()-1)+1))</f>
        <v/>
      </c>
      <c r="R82" s="20">
        <f t="shared" ref="R82:R83" ca="1" si="14">COUNTIFS(
OFFSET($L$17,1,0,ROW()-ROW($L$17),1),TRUE,
OFFSET($M$17,1,0,ROW()-ROW($M$17),1),$M82,
OFFSET($J$17,1,0,ROW()-ROW($J$17),1),$J82)</f>
        <v>0</v>
      </c>
      <c r="S82" s="20" t="str">
        <f t="shared" ref="S82:S83" ca="1" si="15">IF($L82,$P82=$Q82,"")</f>
        <v/>
      </c>
      <c r="T82" s="20" t="b">
        <f ca="1">_xlfn.LET(
_xlpm._isAssumption,$J82,
_xlpm._numberOfElementsRange,IF(_xlpm._isAssumption,Table24['# Elements],Table25['# Elements]),
_xlpm._sheetRow,$W82,
IF($L82,AND($S82,$R82=$N82),FALSE))</f>
        <v>0</v>
      </c>
      <c r="U82" s="20" t="str" cm="1">
        <f t="array" aca="1" ref="U82" ca="1">IF($L82,
_xlfn.LET(
_xlpm._elementID,$O82,
_xlpm._isAssumption,$J82,
_xlpm._sheetRow,$W82,
_xlpm._sheetName,$X82,
_xlpm._elementRow,$Y82,
_xlpm._resultColumnLetter,IF(_xlpm._isAssumption,INDEX(Table24[Comment Column],_xlpm._sheetRow),INDEX(Table25[Comment Column],_xlpm._sheetRow)),
INDEX(INDIRECT("'"&amp;_xlpm._sheetName&amp;"'!"&amp;_xlpm._resultColumnLetter&amp;":"&amp;_xlpm._resultColumnLetter),_xlpm._elementRow)),
"")</f>
        <v/>
      </c>
      <c r="V82" s="20" t="str" cm="1">
        <f t="array" aca="1" ref="V82" ca="1">IF($L82,
_xlfn.LET(
_xlpm._elementID,$O82,
_xlpm._isAssumption,$J82,
_xlpm._sheetRow,$W82,
_xlpm._sheetName,$X82,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82" s="20" t="str">
        <f ca="1">IF($L82=TRUE,
_xlfn.LET(
_xlpm._isAssumption,$J82,
_xlpm._searchRange,IF(_xlpm._isAssumption,Table24[Task Sheet Shadow ID],Table25[Task Sheet Shadow ID]),
MATCH($M82,_xlpm._searchRange,0)),
"")</f>
        <v/>
      </c>
      <c r="X82" s="20" t="str" cm="1">
        <f t="array" aca="1" ref="X82" ca="1">IF($L82,
_xlfn.LET(
_xlpm._isAssumption,$J82,
_xlpm._sheetRow,$W82,
IF(_xlpm._isAssumption,INDEX(Table24[Sheet Name],_xlpm._sheetRow),INDEX(Table25[Sheet Name],_xlpm._sheetRow))),
"")</f>
        <v/>
      </c>
      <c r="Y82" s="20" t="str" cm="1">
        <f t="array" aca="1" ref="Y82" ca="1">IF($L82,
_xlfn.LET(
_xlpm._elementID,$O82,
_xlpm._isAssumption,$J82,
_xlpm._sheetRow,$W82,
_xlpm._sheetName,$X82,
_xlpm._elementIDColumnLetter,IF(_xlpm._isAssumption,INDEX(Table24[Element ID Column],_xlpm._sheetRow),INDEX(Table25[Element ID Column],_xlpm._sheetRow)),
MATCH(_xlpm._elementID,INDIRECT("'"&amp;_xlpm._sheetName&amp;"'!"&amp;_xlpm._elementIDColumnLetter&amp;":"&amp;_xlpm._elementIDColumnLetter),0)),
"")</f>
        <v/>
      </c>
      <c r="Z82" s="20" t="str" cm="1">
        <f t="array" aca="1" ref="Z82" ca="1">IF($A82="","",_xlfn.LET(
_xlpm._isAssumption,$J82,
_xlpm._isAdditionalElement,$L82,
_xlpm._sheetRow,$W82,
_xlpm._sheetName,$X82,
_xlpm._columnLetter,INDEX(IF(_xlpm._isAdditionalElement,Table24[Comment Column],Table25[Comment Column]),_xlpm._sheetRow),
_xlpm._sheetReference,IF(_xlpm._isAssumption,IF(_xlpm._isAdditionalElement,
CELL("address",INDEX(INDIRECT("'"&amp;_xlpm._sheetName&amp;"'!"&amp;_xlpm._columnLetter&amp;":"&amp;_xlpm._columnLetter),$Y82)),
CELL("address",INDEX(Assumptions!$A:$A,MATCH($A82,Assumptions!$A:$A,0),1))),
IF(_xlpm._isAdditionalElement,
CELL("address",INDEX(INDIRECT("'"&amp;_xlpm._sheetName&amp;"'!"&amp;_xlpm._columnLetter&amp;":"&amp;_xlpm._columnLetter),$Y82)),
CELL("address",INDEX(Countermeasures!$A:$A,MATCH($A82,Countermeasures!$A:$A,0),1)))),
_xlpm._start,FIND("]",_xlpm._sheetReference),
"'"&amp;SUBSTITUTE(SUBSTITUTE(RIGHT(_xlpm._sheetReference,LEN(_xlpm._sheetReference)-_xlpm._start),"'",""),"!","'!")))</f>
        <v/>
      </c>
      <c r="AA82" s="20" t="str" cm="1">
        <f t="array" aca="1" ref="AA82" ca="1">IF(NOT($L82),
_xlfn.LET(_xlpm._value,IF($A82="","",IF($J82,SimpleLookup($A82,Assumptions!$A:$AK),SimpleLookup($A82,Countermeasures!$A:$AN))),
IF(_xlpm._value="","",_xlpm._value)),
"")</f>
        <v/>
      </c>
      <c r="AB82" s="20" t="str" cm="1">
        <f t="array" aca="1" ref="AB82" ca="1">LookupNames(InverseLookup($A82,Mitigation!$AD$2,Mitigation!$A$2,1,Helper!$B$5,","),'Attack Steps'!$A:$B)</f>
        <v/>
      </c>
      <c r="AC82" s="20" t="str" cm="1">
        <f t="array" aca="1" ref="AC82" ca="1">IF($L82,
_xlfn.LET(
_xlpm._in,$A82,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82" s="20" t="str" cm="1">
        <f t="array" aca="1" ref="AD82" ca="1">_xlfn.LET(
_xlpm._countermeasures,InverseLookup($A82,Countermeasures!$AG$2,Countermeasures!$A$2,1,Helper!$B$4,","),
LookupNames(_xlpm._countermeasures,Countermeasures!$A:$B))</f>
        <v/>
      </c>
      <c r="AE82" s="20" t="str" cm="1">
        <f t="array" aca="1" ref="AE82" ca="1">IF($E82="","",_xlfn.LET(
_xlpm._id,$E82,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82" s="20" t="str" cm="1">
        <f t="array" aca="1" ref="AF82" ca="1">IF(OR($A82="",$L82),"",_xlfn.LET(
_xlpm._answers,IF($J82,SimpleLookup($A82,Assumptions!$A:$F),SimpleLookup($A82,Countermeasures!$A:$D)),
IF(_xlpm._answers="*",IF($J82,SimpleLookup($A82,Assumptions!$A:$C),SimpleLookup($A82,Countermeasures!$A:$C)),"")))</f>
        <v/>
      </c>
      <c r="AG82" s="20" t="str" cm="1">
        <f t="array" aca="1" ref="AG82" ca="1">IF(NOT($L82),"",_xlfn.LET(
_xlpm._mappedInMitigation,IFERROR(VLOOKUP($V82,'Attack Steps'!$A:$O,COLUMNS('Attack Steps'!$A:$O),FALSE),""),
CreateSearchString(_xlpm._mappedInMitigation)))</f>
        <v/>
      </c>
      <c r="AH82" s="20" t="b">
        <f ca="1">ROW()-ROW($AH$17)=Helper!$B$15</f>
        <v>0</v>
      </c>
      <c r="AI82" s="20" t="str">
        <f t="shared" ref="AI82:AI83" ca="1" si="16">IF(IFERROR(MATCH(TRUE,$AH:$AH,0)&gt;0,FALSE),"",IF(OFFSET($AH82,1,0)="","Please enlarge the table!",""))</f>
        <v/>
      </c>
      <c r="AJ82" s="20" cm="1">
        <f t="array" aca="1" ref="AJ82" ca="1">CreateID($AJ$17,$AJ:$AJ,$AI82&lt;&gt;"")</f>
        <v>0</v>
      </c>
    </row>
    <row r="83" spans="1:36" x14ac:dyDescent="0.25">
      <c r="A83" s="33" t="str">
        <f ca="1">_xlfn.LET(
_xlpm._isAssumption,$J83,
_xlpm._row,$K83,
_xlpm._numActiveAssumptions,Helper!$B$8,
_xlpm._numActiveCountermeasures,Helper!$B$9,
_xlpm._numAdditionalAssumptions,Helper!$B$10,
_xlpm._numAdditionalCountermeasures,Helper!$B$11,
IF(_xlpm._isAssumption,
IF(_xlpm._row&gt;_xlpm._numActiveAssumptions,
$V83&amp;"-A"&amp;$Q83,
INDEX(Assumptions!A:A,MATCH(_xlpm._row,Assumptions!$AG:$AG,0))),
IF(_xlpm._row&gt;_xlpm._numActiveCountermeasures+_xlpm._numAdditionalCountermeasures,"",
IF(_xlpm._row&gt;_xlpm._numActiveCountermeasures,
$V83&amp;"-C"&amp;$Q83,
INDEX(Countermeasures!$A:$A,MATCH(_xlpm._row,Countermeasures!$AI:$AI,0))))))</f>
        <v/>
      </c>
      <c r="B83" s="33" t="str" cm="1">
        <f t="array" aca="1" ref="B83" ca="1">IF($A83="","",
_xlfn.LET(
_xlpm._isAssumption,$J83,
_xlpm._isAdditionalElement,$L83,
IF(_xlpm._isAdditionalElement,
IF(_xlpm._isAssumption,
ParseElementsFromComment($U83,Definitions!$AR$4,Definitions!$AS$4,Definitions!$AR$6,$Q83),
ParseElementsFromComment($U83,Definitions!$AR$5,Definitions!$AS$5,Definitions!$AR$6,$Q83)),
 _xlfn.LET(_xlpm._value,IF($A83="","",IF($J83,SimpleLookup($A83,Assumptions!$A:$B),SimpleLookup($A83,Countermeasures!$A:$B))),IF(_xlpm._value="","",_xlpm._value)))))</f>
        <v/>
      </c>
      <c r="C83" s="33" t="str" cm="1">
        <f t="array" aca="1" ref="C83" ca="1">IF($A83="","",IF($J83,IFERROR(SimpleLookup($A83,Assumptions!$A:$E),""),Definitions!$AO$4))</f>
        <v/>
      </c>
      <c r="D83" s="37" t="str">
        <f t="shared" ca="1" si="12"/>
        <v/>
      </c>
      <c r="E83" s="23"/>
      <c r="F83" s="59" t="str">
        <f t="shared" ca="1" si="13"/>
        <v/>
      </c>
      <c r="G83" s="122" t="str" cm="1">
        <f t="array" aca="1" ref="G83" ca="1">_xlfn.LET(_xlpm._val,IFERROR(SimpleLookup($A83,Countermeasures!$A:$R),IFERROR(SimpleLookup($A83,Assumptions!$A:$R),"")),IF(_xlpm._val="","",_xlpm._val))</f>
        <v/>
      </c>
      <c r="H83" s="33" t="str" cm="1">
        <f t="array" aca="1" ref="H83" ca="1">_xlfn.LET(_xlpm._value,IF($A83="","",IFERROR(IF($J83,SimpleLookup($A83,Assumptions!$A:$S),SimpleLookup($A83,Countermeasures!$A:$S)),"")),
IF(_xlpm._value="","",_xlpm._value))</f>
        <v/>
      </c>
      <c r="I83" s="10" cm="1">
        <f t="array" aca="1" ref="I83" ca="1">IF(ROW()=ROW($I$17)+1,0,INDEX($I:$I,ROW()-1))+IF($A83="",0,1)</f>
        <v>12</v>
      </c>
      <c r="J83" s="21" t="b">
        <f ca="1">_xlfn.LET(_xlpm._row,ROW()-ROW($K$17),
_xlpm._numActiveAssumptions,Helper!$B$8,
_xlpm._numAdditionalAssumptions,SUM(Table24['# Elements]),
_xlpm._row&lt;=_xlpm._numActiveAssumptions+_xlpm._numAdditionalAssumptions)</f>
        <v>0</v>
      </c>
      <c r="K83" s="21">
        <f ca="1">_xlfn.LET(_xlpm._row,ROW()-ROW($K$17),
_xlpm._numActiveAssumptions,Helper!$B$8,
_xlpm._numAdditionalAssumptions,Helper!$B$10,
_xlpm._isAssumption,$J83,
_xlpm._elementID,IF(_xlpm._isAssumption,_xlpm._row,_xlpm._row-_xlpm._numActiveAssumptions-_xlpm._numAdditionalAssumptions),
_xlpm._elementID)</f>
        <v>60</v>
      </c>
      <c r="L83"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83" s="20" cm="1">
        <f t="array" aca="1" ref="M83" ca="1">IF($L83,
IF(ROW()=ROW($M$17)+1,1,INDEX($M:$M,ROW()-1)+IF(INDEX($T:$T,ROW()-1),1,0)),
1)</f>
        <v>1</v>
      </c>
      <c r="N83" s="20" t="str" cm="1">
        <f t="array" aca="1" ref="N83" ca="1">IF($L83=TRUE,
_xlfn.LET(
_xlpm._isAssumption,$J83,
_xlpm._indexRange,IF(_xlpm._isAssumption,Table24['# Elements],Table25['# Elements]),
_xlpm._lookupRow,$W83,
INDEX(_xlpm._indexRange,_xlpm._lookupRow)),
"")</f>
        <v/>
      </c>
      <c r="O83" s="20" t="str" cm="1">
        <f t="array" aca="1" ref="O83" ca="1">IF($N83="","",_xlfn.LET(
_xlpm._prevRow,ROW()-1,
IF(OR(INDEX($N:$N,_xlpm._prevRow)&lt;&gt;$N83,INDEX($M:$M,_xlpm._prevRow)&lt;&gt;$M83),
1,
INDEX($O:$O,_xlpm._prevRow)+IF(INDEX($S:$S,_xlpm._prevRow),1,0))))</f>
        <v/>
      </c>
      <c r="P83" s="20" t="str" cm="1">
        <f t="array" aca="1" ref="P83" ca="1">IF($O83="","",_xlfn.LET(
_xlpm._isAssumption,$J83,
_xlpm._sheetRow,$W83,
_xlpm._sheetName,$X83,
_xlpm._elementIDRange,IF(_xlpm._isAssumption,Table24[Element ID Column],Table25[Element ID Column]),
_xlpm._numberOfElementsRange,IF(_xlpm._isAssumption,Table24[Number of Elements Column],Table25[Number of Elements Column]),
SimpleLookup($O83,INDIRECT("'"&amp;_xlpm._sheetName&amp;"'!"&amp;INDEX(_xlpm._elementIDRange,_xlpm._sheetRow)&amp;":"&amp;INDEX(_xlpm._numberOfElementsRange,_xlpm._sheetRow)))))</f>
        <v/>
      </c>
      <c r="Q83" s="20" t="str" cm="1">
        <f t="array" aca="1" ref="Q83" ca="1">IF($O83="","",IF(OR(INDEX($O:$O,ROW()-1)&lt;&gt;$O83,INDEX($M:$M,ROW()-1)&lt;&gt;$M83),1,INDEX($Q:$Q,ROW()-1)+1))</f>
        <v/>
      </c>
      <c r="R83" s="20">
        <f t="shared" ca="1" si="14"/>
        <v>0</v>
      </c>
      <c r="S83" s="20" t="str">
        <f t="shared" ca="1" si="15"/>
        <v/>
      </c>
      <c r="T83" s="20" t="b">
        <f ca="1">_xlfn.LET(
_xlpm._isAssumption,$J83,
_xlpm._numberOfElementsRange,IF(_xlpm._isAssumption,Table24['# Elements],Table25['# Elements]),
_xlpm._sheetRow,$W83,
IF($L83,AND($S83,$R83=$N83),FALSE))</f>
        <v>0</v>
      </c>
      <c r="U83" s="20" t="str" cm="1">
        <f t="array" aca="1" ref="U83" ca="1">IF($L83,
_xlfn.LET(
_xlpm._elementID,$O83,
_xlpm._isAssumption,$J83,
_xlpm._sheetRow,$W83,
_xlpm._sheetName,$X83,
_xlpm._elementRow,$Y83,
_xlpm._resultColumnLetter,IF(_xlpm._isAssumption,INDEX(Table24[Comment Column],_xlpm._sheetRow),INDEX(Table25[Comment Column],_xlpm._sheetRow)),
INDEX(INDIRECT("'"&amp;_xlpm._sheetName&amp;"'!"&amp;_xlpm._resultColumnLetter&amp;":"&amp;_xlpm._resultColumnLetter),_xlpm._elementRow)),
"")</f>
        <v/>
      </c>
      <c r="V83" s="20" t="str" cm="1">
        <f t="array" aca="1" ref="V83" ca="1">IF($L83,
_xlfn.LET(
_xlpm._elementID,$O83,
_xlpm._isAssumption,$J83,
_xlpm._sheetRow,$W83,
_xlpm._sheetName,$X83,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83" s="20" t="str">
        <f ca="1">IF($L83=TRUE,
_xlfn.LET(
_xlpm._isAssumption,$J83,
_xlpm._searchRange,IF(_xlpm._isAssumption,Table24[Task Sheet Shadow ID],Table25[Task Sheet Shadow ID]),
MATCH($M83,_xlpm._searchRange,0)),
"")</f>
        <v/>
      </c>
      <c r="X83" s="20" t="str" cm="1">
        <f t="array" aca="1" ref="X83" ca="1">IF($L83,
_xlfn.LET(
_xlpm._isAssumption,$J83,
_xlpm._sheetRow,$W83,
IF(_xlpm._isAssumption,INDEX(Table24[Sheet Name],_xlpm._sheetRow),INDEX(Table25[Sheet Name],_xlpm._sheetRow))),
"")</f>
        <v/>
      </c>
      <c r="Y83" s="20" t="str" cm="1">
        <f t="array" aca="1" ref="Y83" ca="1">IF($L83,
_xlfn.LET(
_xlpm._elementID,$O83,
_xlpm._isAssumption,$J83,
_xlpm._sheetRow,$W83,
_xlpm._sheetName,$X83,
_xlpm._elementIDColumnLetter,IF(_xlpm._isAssumption,INDEX(Table24[Element ID Column],_xlpm._sheetRow),INDEX(Table25[Element ID Column],_xlpm._sheetRow)),
MATCH(_xlpm._elementID,INDIRECT("'"&amp;_xlpm._sheetName&amp;"'!"&amp;_xlpm._elementIDColumnLetter&amp;":"&amp;_xlpm._elementIDColumnLetter),0)),
"")</f>
        <v/>
      </c>
      <c r="Z83" s="20" t="str" cm="1">
        <f t="array" aca="1" ref="Z83" ca="1">IF($A83="","",_xlfn.LET(
_xlpm._isAssumption,$J83,
_xlpm._isAdditionalElement,$L83,
_xlpm._sheetRow,$W83,
_xlpm._sheetName,$X83,
_xlpm._columnLetter,INDEX(IF(_xlpm._isAdditionalElement,Table24[Comment Column],Table25[Comment Column]),_xlpm._sheetRow),
_xlpm._sheetReference,IF(_xlpm._isAssumption,IF(_xlpm._isAdditionalElement,
CELL("address",INDEX(INDIRECT("'"&amp;_xlpm._sheetName&amp;"'!"&amp;_xlpm._columnLetter&amp;":"&amp;_xlpm._columnLetter),$Y83)),
CELL("address",INDEX(Assumptions!$A:$A,MATCH($A83,Assumptions!$A:$A,0),1))),
IF(_xlpm._isAdditionalElement,
CELL("address",INDEX(INDIRECT("'"&amp;_xlpm._sheetName&amp;"'!"&amp;_xlpm._columnLetter&amp;":"&amp;_xlpm._columnLetter),$Y83)),
CELL("address",INDEX(Countermeasures!$A:$A,MATCH($A83,Countermeasures!$A:$A,0),1)))),
_xlpm._start,FIND("]",_xlpm._sheetReference),
"'"&amp;SUBSTITUTE(SUBSTITUTE(RIGHT(_xlpm._sheetReference,LEN(_xlpm._sheetReference)-_xlpm._start),"'",""),"!","'!")))</f>
        <v/>
      </c>
      <c r="AA83" s="20" t="str" cm="1">
        <f t="array" aca="1" ref="AA83" ca="1">IF(NOT($L83),
_xlfn.LET(_xlpm._value,IF($A83="","",IF($J83,SimpleLookup($A83,Assumptions!$A:$AK),SimpleLookup($A83,Countermeasures!$A:$AN))),
IF(_xlpm._value="","",_xlpm._value)),
"")</f>
        <v/>
      </c>
      <c r="AB83" s="20" t="str" cm="1">
        <f t="array" aca="1" ref="AB83" ca="1">LookupNames(InverseLookup($A83,Mitigation!$AD$2,Mitigation!$A$2,1,Helper!$B$5,","),'Attack Steps'!$A:$B)</f>
        <v/>
      </c>
      <c r="AC83" s="20" t="str" cm="1">
        <f t="array" aca="1" ref="AC83" ca="1">IF($L83,
_xlfn.LET(
_xlpm._in,$A83,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83" s="20" t="str" cm="1">
        <f t="array" aca="1" ref="AD83" ca="1">_xlfn.LET(
_xlpm._countermeasures,InverseLookup($A83,Countermeasures!$AG$2,Countermeasures!$A$2,1,Helper!$B$4,","),
LookupNames(_xlpm._countermeasures,Countermeasures!$A:$B))</f>
        <v/>
      </c>
      <c r="AE83" s="20" t="str" cm="1">
        <f t="array" aca="1" ref="AE83" ca="1">IF($E83="","",_xlfn.LET(
_xlpm._id,$E83,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83" s="20" t="str" cm="1">
        <f t="array" aca="1" ref="AF83" ca="1">IF(OR($A83="",$L83),"",_xlfn.LET(
_xlpm._answers,IF($J83,SimpleLookup($A83,Assumptions!$A:$F),SimpleLookup($A83,Countermeasures!$A:$D)),
IF(_xlpm._answers="*",IF($J83,SimpleLookup($A83,Assumptions!$A:$C),SimpleLookup($A83,Countermeasures!$A:$C)),"")))</f>
        <v/>
      </c>
      <c r="AG83" s="20" t="str" cm="1">
        <f t="array" aca="1" ref="AG83" ca="1">IF(NOT($L83),"",_xlfn.LET(
_xlpm._mappedInMitigation,IFERROR(VLOOKUP($V83,'Attack Steps'!$A:$O,COLUMNS('Attack Steps'!$A:$O),FALSE),""),
CreateSearchString(_xlpm._mappedInMitigation)))</f>
        <v/>
      </c>
      <c r="AH83" s="20" t="b">
        <f ca="1">ROW()-ROW($AH$17)=Helper!$B$15</f>
        <v>0</v>
      </c>
      <c r="AI83" s="20" t="str">
        <f t="shared" ca="1" si="16"/>
        <v/>
      </c>
      <c r="AJ83" s="20" cm="1">
        <f t="array" aca="1" ref="AJ83" ca="1">CreateID($AJ$17,$AJ:$AJ,$AI83&lt;&gt;"")</f>
        <v>0</v>
      </c>
    </row>
    <row r="84" spans="1:36" x14ac:dyDescent="0.25">
      <c r="A84" s="33" t="str">
        <f ca="1">_xlfn.LET(
_xlpm._isAssumption,$J84,
_xlpm._row,$K84,
_xlpm._numActiveAssumptions,Helper!$B$8,
_xlpm._numActiveCountermeasures,Helper!$B$9,
_xlpm._numAdditionalAssumptions,Helper!$B$10,
_xlpm._numAdditionalCountermeasures,Helper!$B$11,
IF(_xlpm._isAssumption,
IF(_xlpm._row&gt;_xlpm._numActiveAssumptions,
$V84&amp;"-A"&amp;$Q84,
INDEX(Assumptions!A:A,MATCH(_xlpm._row,Assumptions!$AG:$AG,0))),
IF(_xlpm._row&gt;_xlpm._numActiveCountermeasures+_xlpm._numAdditionalCountermeasures,"",
IF(_xlpm._row&gt;_xlpm._numActiveCountermeasures,
$V84&amp;"-C"&amp;$Q84,
INDEX(Countermeasures!$A:$A,MATCH(_xlpm._row,Countermeasures!$AI:$AI,0))))))</f>
        <v/>
      </c>
      <c r="B84" s="33" t="str" cm="1">
        <f t="array" aca="1" ref="B84" ca="1">IF($A84="","",
_xlfn.LET(
_xlpm._isAssumption,$J84,
_xlpm._isAdditionalElement,$L84,
IF(_xlpm._isAdditionalElement,
IF(_xlpm._isAssumption,
ParseElementsFromComment($U84,Definitions!$AR$4,Definitions!$AS$4,Definitions!$AR$6,$Q84),
ParseElementsFromComment($U84,Definitions!$AR$5,Definitions!$AS$5,Definitions!$AR$6,$Q84)),
 _xlfn.LET(_xlpm._value,IF($A84="","",IF($J84,SimpleLookup($A84,Assumptions!$A:$B),SimpleLookup($A84,Countermeasures!$A:$B))),IF(_xlpm._value="","",_xlpm._value)))))</f>
        <v/>
      </c>
      <c r="C84" s="33" t="str" cm="1">
        <f t="array" aca="1" ref="C84" ca="1">IF($A84="","",IF($J84,IFERROR(SimpleLookup($A84,Assumptions!$A:$E),""),Definitions!$AO$4))</f>
        <v/>
      </c>
      <c r="D84" s="37" t="str">
        <f t="shared" ref="D84:D86" ca="1" si="17">_xlfn.LET(
_xlpm._dividerTop,REPT(_xlfn.UNICHAR(9552),63)&amp;CHAR(10),
_xlpm._dividerHeader,CHAR(10)&amp;REPT(CHAR(150),84)&amp;CHAR(10),
_xlpm._relatedQuestions,IF($AA84="","",_xlpm._dividerTop&amp;"Comments of related questions / answers:"&amp;_xlpm._dividerHeader&amp;$AA84),
_xlpm._assignedToAttackSteps,IF($AB84="","",_xlpm._dividerTop&amp;"Assigned to attack steps:"&amp;_xlpm._dividerHeader&amp;$AB84),
_xlpm._definedInContextOfElement,IF($AC84="","",_xlpm._dividerTop&amp;"Defined in the context of:"&amp;_xlpm._dividerHeader&amp;$AC84),
_xlpm._dependantCountermeasures,IF($AD84="","",_xlpm._dividerTop&amp;"Dependency of countermeasures:"&amp;_xlpm._dividerHeader&amp;$AD84),
_xlpm._defaultElementText,IF($AF84="","",_xlpm._dividerTop&amp;"Default "&amp;IF($J84,"assumption","countermeasure")&amp;":"&amp;_xlpm._dividerHeader&amp;$AF84),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f>
        <v/>
      </c>
      <c r="E84" s="23"/>
      <c r="F84" s="59" t="str">
        <f t="shared" ref="F84:F86" ca="1" si="18">IF(AND($E84&lt;&gt;"",$AE84=""),"Error: Unknown ID: "&amp;$E84,
IF($A84="","",HYPERLINK("#"&amp;IF($AE84="",$Z84,$AE84),"click me")))</f>
        <v/>
      </c>
      <c r="G84" s="122" t="str" cm="1">
        <f t="array" aca="1" ref="G84" ca="1">_xlfn.LET(_xlpm._val,IFERROR(SimpleLookup($A84,Countermeasures!$A:$R),IFERROR(SimpleLookup($A84,Assumptions!$A:$R),"")),IF(_xlpm._val="","",_xlpm._val))</f>
        <v/>
      </c>
      <c r="H84" s="33" t="str" cm="1">
        <f t="array" aca="1" ref="H84" ca="1">_xlfn.LET(_xlpm._value,IF($A84="","",IFERROR(IF($J84,SimpleLookup($A84,Assumptions!$A:$S),SimpleLookup($A84,Countermeasures!$A:$S)),"")),
IF(_xlpm._value="","",_xlpm._value))</f>
        <v/>
      </c>
      <c r="I84" s="10" cm="1">
        <f t="array" aca="1" ref="I84" ca="1">IF(ROW()=ROW($I$17)+1,0,INDEX($I:$I,ROW()-1))+IF($A84="",0,1)</f>
        <v>12</v>
      </c>
      <c r="J84" s="21" t="b">
        <f ca="1">_xlfn.LET(_xlpm._row,ROW()-ROW($K$17),
_xlpm._numActiveAssumptions,Helper!$B$8,
_xlpm._numAdditionalAssumptions,SUM(Table24['# Elements]),
_xlpm._row&lt;=_xlpm._numActiveAssumptions+_xlpm._numAdditionalAssumptions)</f>
        <v>0</v>
      </c>
      <c r="K84" s="21">
        <f ca="1">_xlfn.LET(_xlpm._row,ROW()-ROW($K$17),
_xlpm._numActiveAssumptions,Helper!$B$8,
_xlpm._numAdditionalAssumptions,Helper!$B$10,
_xlpm._isAssumption,$J84,
_xlpm._elementID,IF(_xlpm._isAssumption,_xlpm._row,_xlpm._row-_xlpm._numActiveAssumptions-_xlpm._numAdditionalAssumptions),
_xlpm._elementID)</f>
        <v>61</v>
      </c>
      <c r="L84"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84" s="20" cm="1">
        <f t="array" aca="1" ref="M84" ca="1">IF($L84,
IF(ROW()=ROW($M$17)+1,1,INDEX($M:$M,ROW()-1)+IF(INDEX($T:$T,ROW()-1),1,0)),
1)</f>
        <v>1</v>
      </c>
      <c r="N84" s="20" t="str" cm="1">
        <f t="array" aca="1" ref="N84" ca="1">IF($L84=TRUE,
_xlfn.LET(
_xlpm._isAssumption,$J84,
_xlpm._indexRange,IF(_xlpm._isAssumption,Table24['# Elements],Table25['# Elements]),
_xlpm._lookupRow,$W84,
INDEX(_xlpm._indexRange,_xlpm._lookupRow)),
"")</f>
        <v/>
      </c>
      <c r="O84" s="20" t="str" cm="1">
        <f t="array" aca="1" ref="O84" ca="1">IF($N84="","",_xlfn.LET(
_xlpm._prevRow,ROW()-1,
IF(OR(INDEX($N:$N,_xlpm._prevRow)&lt;&gt;$N84,INDEX($M:$M,_xlpm._prevRow)&lt;&gt;$M84),
1,
INDEX($O:$O,_xlpm._prevRow)+IF(INDEX($S:$S,_xlpm._prevRow),1,0))))</f>
        <v/>
      </c>
      <c r="P84" s="20" t="str" cm="1">
        <f t="array" aca="1" ref="P84" ca="1">IF($O84="","",_xlfn.LET(
_xlpm._isAssumption,$J84,
_xlpm._sheetRow,$W84,
_xlpm._sheetName,$X84,
_xlpm._elementIDRange,IF(_xlpm._isAssumption,Table24[Element ID Column],Table25[Element ID Column]),
_xlpm._numberOfElementsRange,IF(_xlpm._isAssumption,Table24[Number of Elements Column],Table25[Number of Elements Column]),
SimpleLookup($O84,INDIRECT("'"&amp;_xlpm._sheetName&amp;"'!"&amp;INDEX(_xlpm._elementIDRange,_xlpm._sheetRow)&amp;":"&amp;INDEX(_xlpm._numberOfElementsRange,_xlpm._sheetRow)))))</f>
        <v/>
      </c>
      <c r="Q84" s="20" t="str" cm="1">
        <f t="array" aca="1" ref="Q84" ca="1">IF($O84="","",IF(OR(INDEX($O:$O,ROW()-1)&lt;&gt;$O84,INDEX($M:$M,ROW()-1)&lt;&gt;$M84),1,INDEX($Q:$Q,ROW()-1)+1))</f>
        <v/>
      </c>
      <c r="R84" s="20">
        <f t="shared" ref="R84:R86" ca="1" si="19">COUNTIFS(
OFFSET($L$17,1,0,ROW()-ROW($L$17),1),TRUE,
OFFSET($M$17,1,0,ROW()-ROW($M$17),1),$M84,
OFFSET($J$17,1,0,ROW()-ROW($J$17),1),$J84)</f>
        <v>0</v>
      </c>
      <c r="S84" s="20" t="str">
        <f t="shared" ref="S84:S86" ca="1" si="20">IF($L84,$P84=$Q84,"")</f>
        <v/>
      </c>
      <c r="T84" s="20" t="b">
        <f ca="1">_xlfn.LET(
_xlpm._isAssumption,$J84,
_xlpm._numberOfElementsRange,IF(_xlpm._isAssumption,Table24['# Elements],Table25['# Elements]),
_xlpm._sheetRow,$W84,
IF($L84,AND($S84,$R84=$N84),FALSE))</f>
        <v>0</v>
      </c>
      <c r="U84" s="20" t="str" cm="1">
        <f t="array" aca="1" ref="U84" ca="1">IF($L84,
_xlfn.LET(
_xlpm._elementID,$O84,
_xlpm._isAssumption,$J84,
_xlpm._sheetRow,$W84,
_xlpm._sheetName,$X84,
_xlpm._elementRow,$Y84,
_xlpm._resultColumnLetter,IF(_xlpm._isAssumption,INDEX(Table24[Comment Column],_xlpm._sheetRow),INDEX(Table25[Comment Column],_xlpm._sheetRow)),
INDEX(INDIRECT("'"&amp;_xlpm._sheetName&amp;"'!"&amp;_xlpm._resultColumnLetter&amp;":"&amp;_xlpm._resultColumnLetter),_xlpm._elementRow)),
"")</f>
        <v/>
      </c>
      <c r="V84" s="20" t="str" cm="1">
        <f t="array" aca="1" ref="V84" ca="1">IF($L84,
_xlfn.LET(
_xlpm._elementID,$O84,
_xlpm._isAssumption,$J84,
_xlpm._sheetRow,$W84,
_xlpm._sheetName,$X84,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84" s="20" t="str">
        <f ca="1">IF($L84=TRUE,
_xlfn.LET(
_xlpm._isAssumption,$J84,
_xlpm._searchRange,IF(_xlpm._isAssumption,Table24[Task Sheet Shadow ID],Table25[Task Sheet Shadow ID]),
MATCH($M84,_xlpm._searchRange,0)),
"")</f>
        <v/>
      </c>
      <c r="X84" s="20" t="str" cm="1">
        <f t="array" aca="1" ref="X84" ca="1">IF($L84,
_xlfn.LET(
_xlpm._isAssumption,$J84,
_xlpm._sheetRow,$W84,
IF(_xlpm._isAssumption,INDEX(Table24[Sheet Name],_xlpm._sheetRow),INDEX(Table25[Sheet Name],_xlpm._sheetRow))),
"")</f>
        <v/>
      </c>
      <c r="Y84" s="20" t="str" cm="1">
        <f t="array" aca="1" ref="Y84" ca="1">IF($L84,
_xlfn.LET(
_xlpm._elementID,$O84,
_xlpm._isAssumption,$J84,
_xlpm._sheetRow,$W84,
_xlpm._sheetName,$X84,
_xlpm._elementIDColumnLetter,IF(_xlpm._isAssumption,INDEX(Table24[Element ID Column],_xlpm._sheetRow),INDEX(Table25[Element ID Column],_xlpm._sheetRow)),
MATCH(_xlpm._elementID,INDIRECT("'"&amp;_xlpm._sheetName&amp;"'!"&amp;_xlpm._elementIDColumnLetter&amp;":"&amp;_xlpm._elementIDColumnLetter),0)),
"")</f>
        <v/>
      </c>
      <c r="Z84" s="20" t="str" cm="1">
        <f t="array" aca="1" ref="Z84" ca="1">IF($A84="","",_xlfn.LET(
_xlpm._isAssumption,$J84,
_xlpm._isAdditionalElement,$L84,
_xlpm._sheetRow,$W84,
_xlpm._sheetName,$X84,
_xlpm._columnLetter,INDEX(IF(_xlpm._isAdditionalElement,Table24[Comment Column],Table25[Comment Column]),_xlpm._sheetRow),
_xlpm._sheetReference,IF(_xlpm._isAssumption,IF(_xlpm._isAdditionalElement,
CELL("address",INDEX(INDIRECT("'"&amp;_xlpm._sheetName&amp;"'!"&amp;_xlpm._columnLetter&amp;":"&amp;_xlpm._columnLetter),$Y84)),
CELL("address",INDEX(Assumptions!$A:$A,MATCH($A84,Assumptions!$A:$A,0),1))),
IF(_xlpm._isAdditionalElement,
CELL("address",INDEX(INDIRECT("'"&amp;_xlpm._sheetName&amp;"'!"&amp;_xlpm._columnLetter&amp;":"&amp;_xlpm._columnLetter),$Y84)),
CELL("address",INDEX(Countermeasures!$A:$A,MATCH($A84,Countermeasures!$A:$A,0),1)))),
_xlpm._start,FIND("]",_xlpm._sheetReference),
"'"&amp;SUBSTITUTE(SUBSTITUTE(RIGHT(_xlpm._sheetReference,LEN(_xlpm._sheetReference)-_xlpm._start),"'",""),"!","'!")))</f>
        <v/>
      </c>
      <c r="AA84" s="20" t="str" cm="1">
        <f t="array" aca="1" ref="AA84" ca="1">IF(NOT($L84),
_xlfn.LET(_xlpm._value,IF($A84="","",IF($J84,SimpleLookup($A84,Assumptions!$A:$AK),SimpleLookup($A84,Countermeasures!$A:$AN))),
IF(_xlpm._value="","",_xlpm._value)),
"")</f>
        <v/>
      </c>
      <c r="AB84" s="20" t="str" cm="1">
        <f t="array" aca="1" ref="AB84" ca="1">LookupNames(InverseLookup($A84,Mitigation!$AD$2,Mitigation!$A$2,1,Helper!$B$5,","),'Attack Steps'!$A:$B)</f>
        <v/>
      </c>
      <c r="AC84" s="20" t="str" cm="1">
        <f t="array" aca="1" ref="AC84" ca="1">IF($L84,
_xlfn.LET(
_xlpm._in,$A84,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84" s="20" t="str" cm="1">
        <f t="array" aca="1" ref="AD84" ca="1">_xlfn.LET(
_xlpm._countermeasures,InverseLookup($A84,Countermeasures!$AG$2,Countermeasures!$A$2,1,Helper!$B$4,","),
LookupNames(_xlpm._countermeasures,Countermeasures!$A:$B))</f>
        <v/>
      </c>
      <c r="AE84" s="20" t="str" cm="1">
        <f t="array" aca="1" ref="AE84" ca="1">IF($E84="","",_xlfn.LET(
_xlpm._id,$E84,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84" s="20" t="str" cm="1">
        <f t="array" aca="1" ref="AF84" ca="1">IF(OR($A84="",$L84),"",_xlfn.LET(
_xlpm._answers,IF($J84,SimpleLookup($A84,Assumptions!$A:$F),SimpleLookup($A84,Countermeasures!$A:$D)),
IF(_xlpm._answers="*",IF($J84,SimpleLookup($A84,Assumptions!$A:$C),SimpleLookup($A84,Countermeasures!$A:$C)),"")))</f>
        <v/>
      </c>
      <c r="AG84" s="20" t="str" cm="1">
        <f t="array" aca="1" ref="AG84" ca="1">IF(NOT($L84),"",_xlfn.LET(
_xlpm._mappedInMitigation,IFERROR(VLOOKUP($V84,'Attack Steps'!$A:$O,COLUMNS('Attack Steps'!$A:$O),FALSE),""),
CreateSearchString(_xlpm._mappedInMitigation)))</f>
        <v/>
      </c>
      <c r="AH84" s="20" t="b">
        <f ca="1">ROW()-ROW($AH$17)=Helper!$B$15</f>
        <v>0</v>
      </c>
      <c r="AI84" s="20" t="str">
        <f t="shared" ref="AI84:AI86" ca="1" si="21">IF(IFERROR(MATCH(TRUE,$AH:$AH,0)&gt;0,FALSE),"",IF(OFFSET($AH84,1,0)="","Please enlarge the table!",""))</f>
        <v/>
      </c>
      <c r="AJ84" s="20" cm="1">
        <f t="array" aca="1" ref="AJ84" ca="1">CreateID($AJ$17,$AJ:$AJ,$AI84&lt;&gt;"")</f>
        <v>0</v>
      </c>
    </row>
    <row r="85" spans="1:36" x14ac:dyDescent="0.25">
      <c r="A85" s="33" t="str">
        <f ca="1">_xlfn.LET(
_xlpm._isAssumption,$J85,
_xlpm._row,$K85,
_xlpm._numActiveAssumptions,Helper!$B$8,
_xlpm._numActiveCountermeasures,Helper!$B$9,
_xlpm._numAdditionalAssumptions,Helper!$B$10,
_xlpm._numAdditionalCountermeasures,Helper!$B$11,
IF(_xlpm._isAssumption,
IF(_xlpm._row&gt;_xlpm._numActiveAssumptions,
$V85&amp;"-A"&amp;$Q85,
INDEX(Assumptions!A:A,MATCH(_xlpm._row,Assumptions!$AG:$AG,0))),
IF(_xlpm._row&gt;_xlpm._numActiveCountermeasures+_xlpm._numAdditionalCountermeasures,"",
IF(_xlpm._row&gt;_xlpm._numActiveCountermeasures,
$V85&amp;"-C"&amp;$Q85,
INDEX(Countermeasures!$A:$A,MATCH(_xlpm._row,Countermeasures!$AI:$AI,0))))))</f>
        <v/>
      </c>
      <c r="B85" s="33" t="str" cm="1">
        <f t="array" aca="1" ref="B85" ca="1">IF($A85="","",
_xlfn.LET(
_xlpm._isAssumption,$J85,
_xlpm._isAdditionalElement,$L85,
IF(_xlpm._isAdditionalElement,
IF(_xlpm._isAssumption,
ParseElementsFromComment($U85,Definitions!$AR$4,Definitions!$AS$4,Definitions!$AR$6,$Q85),
ParseElementsFromComment($U85,Definitions!$AR$5,Definitions!$AS$5,Definitions!$AR$6,$Q85)),
 _xlfn.LET(_xlpm._value,IF($A85="","",IF($J85,SimpleLookup($A85,Assumptions!$A:$B),SimpleLookup($A85,Countermeasures!$A:$B))),IF(_xlpm._value="","",_xlpm._value)))))</f>
        <v/>
      </c>
      <c r="C85" s="33" t="str" cm="1">
        <f t="array" aca="1" ref="C85" ca="1">IF($A85="","",IF($J85,IFERROR(SimpleLookup($A85,Assumptions!$A:$E),""),Definitions!$AO$4))</f>
        <v/>
      </c>
      <c r="D85" s="37" t="str">
        <f t="shared" ca="1" si="17"/>
        <v/>
      </c>
      <c r="E85" s="23"/>
      <c r="F85" s="59" t="str">
        <f t="shared" ca="1" si="18"/>
        <v/>
      </c>
      <c r="G85" s="122" t="str" cm="1">
        <f t="array" aca="1" ref="G85" ca="1">_xlfn.LET(_xlpm._val,IFERROR(SimpleLookup($A85,Countermeasures!$A:$R),IFERROR(SimpleLookup($A85,Assumptions!$A:$R),"")),IF(_xlpm._val="","",_xlpm._val))</f>
        <v/>
      </c>
      <c r="H85" s="33" t="str" cm="1">
        <f t="array" aca="1" ref="H85" ca="1">_xlfn.LET(_xlpm._value,IF($A85="","",IFERROR(IF($J85,SimpleLookup($A85,Assumptions!$A:$S),SimpleLookup($A85,Countermeasures!$A:$S)),"")),
IF(_xlpm._value="","",_xlpm._value))</f>
        <v/>
      </c>
      <c r="I85" s="10" cm="1">
        <f t="array" aca="1" ref="I85" ca="1">IF(ROW()=ROW($I$17)+1,0,INDEX($I:$I,ROW()-1))+IF($A85="",0,1)</f>
        <v>12</v>
      </c>
      <c r="J85" s="21" t="b">
        <f ca="1">_xlfn.LET(_xlpm._row,ROW()-ROW($K$17),
_xlpm._numActiveAssumptions,Helper!$B$8,
_xlpm._numAdditionalAssumptions,SUM(Table24['# Elements]),
_xlpm._row&lt;=_xlpm._numActiveAssumptions+_xlpm._numAdditionalAssumptions)</f>
        <v>0</v>
      </c>
      <c r="K85" s="21">
        <f ca="1">_xlfn.LET(_xlpm._row,ROW()-ROW($K$17),
_xlpm._numActiveAssumptions,Helper!$B$8,
_xlpm._numAdditionalAssumptions,Helper!$B$10,
_xlpm._isAssumption,$J85,
_xlpm._elementID,IF(_xlpm._isAssumption,_xlpm._row,_xlpm._row-_xlpm._numActiveAssumptions-_xlpm._numAdditionalAssumptions),
_xlpm._elementID)</f>
        <v>62</v>
      </c>
      <c r="L85"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85" s="20" cm="1">
        <f t="array" aca="1" ref="M85" ca="1">IF($L85,
IF(ROW()=ROW($M$17)+1,1,INDEX($M:$M,ROW()-1)+IF(INDEX($T:$T,ROW()-1),1,0)),
1)</f>
        <v>1</v>
      </c>
      <c r="N85" s="20" t="str" cm="1">
        <f t="array" aca="1" ref="N85" ca="1">IF($L85=TRUE,
_xlfn.LET(
_xlpm._isAssumption,$J85,
_xlpm._indexRange,IF(_xlpm._isAssumption,Table24['# Elements],Table25['# Elements]),
_xlpm._lookupRow,$W85,
INDEX(_xlpm._indexRange,_xlpm._lookupRow)),
"")</f>
        <v/>
      </c>
      <c r="O85" s="20" t="str" cm="1">
        <f t="array" aca="1" ref="O85" ca="1">IF($N85="","",_xlfn.LET(
_xlpm._prevRow,ROW()-1,
IF(OR(INDEX($N:$N,_xlpm._prevRow)&lt;&gt;$N85,INDEX($M:$M,_xlpm._prevRow)&lt;&gt;$M85),
1,
INDEX($O:$O,_xlpm._prevRow)+IF(INDEX($S:$S,_xlpm._prevRow),1,0))))</f>
        <v/>
      </c>
      <c r="P85" s="20" t="str" cm="1">
        <f t="array" aca="1" ref="P85" ca="1">IF($O85="","",_xlfn.LET(
_xlpm._isAssumption,$J85,
_xlpm._sheetRow,$W85,
_xlpm._sheetName,$X85,
_xlpm._elementIDRange,IF(_xlpm._isAssumption,Table24[Element ID Column],Table25[Element ID Column]),
_xlpm._numberOfElementsRange,IF(_xlpm._isAssumption,Table24[Number of Elements Column],Table25[Number of Elements Column]),
SimpleLookup($O85,INDIRECT("'"&amp;_xlpm._sheetName&amp;"'!"&amp;INDEX(_xlpm._elementIDRange,_xlpm._sheetRow)&amp;":"&amp;INDEX(_xlpm._numberOfElementsRange,_xlpm._sheetRow)))))</f>
        <v/>
      </c>
      <c r="Q85" s="20" t="str" cm="1">
        <f t="array" aca="1" ref="Q85" ca="1">IF($O85="","",IF(OR(INDEX($O:$O,ROW()-1)&lt;&gt;$O85,INDEX($M:$M,ROW()-1)&lt;&gt;$M85),1,INDEX($Q:$Q,ROW()-1)+1))</f>
        <v/>
      </c>
      <c r="R85" s="20">
        <f t="shared" ca="1" si="19"/>
        <v>0</v>
      </c>
      <c r="S85" s="20" t="str">
        <f t="shared" ca="1" si="20"/>
        <v/>
      </c>
      <c r="T85" s="20" t="b">
        <f ca="1">_xlfn.LET(
_xlpm._isAssumption,$J85,
_xlpm._numberOfElementsRange,IF(_xlpm._isAssumption,Table24['# Elements],Table25['# Elements]),
_xlpm._sheetRow,$W85,
IF($L85,AND($S85,$R85=$N85),FALSE))</f>
        <v>0</v>
      </c>
      <c r="U85" s="20" t="str" cm="1">
        <f t="array" aca="1" ref="U85" ca="1">IF($L85,
_xlfn.LET(
_xlpm._elementID,$O85,
_xlpm._isAssumption,$J85,
_xlpm._sheetRow,$W85,
_xlpm._sheetName,$X85,
_xlpm._elementRow,$Y85,
_xlpm._resultColumnLetter,IF(_xlpm._isAssumption,INDEX(Table24[Comment Column],_xlpm._sheetRow),INDEX(Table25[Comment Column],_xlpm._sheetRow)),
INDEX(INDIRECT("'"&amp;_xlpm._sheetName&amp;"'!"&amp;_xlpm._resultColumnLetter&amp;":"&amp;_xlpm._resultColumnLetter),_xlpm._elementRow)),
"")</f>
        <v/>
      </c>
      <c r="V85" s="20" t="str" cm="1">
        <f t="array" aca="1" ref="V85" ca="1">IF($L85,
_xlfn.LET(
_xlpm._elementID,$O85,
_xlpm._isAssumption,$J85,
_xlpm._sheetRow,$W85,
_xlpm._sheetName,$X85,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85" s="20" t="str">
        <f ca="1">IF($L85=TRUE,
_xlfn.LET(
_xlpm._isAssumption,$J85,
_xlpm._searchRange,IF(_xlpm._isAssumption,Table24[Task Sheet Shadow ID],Table25[Task Sheet Shadow ID]),
MATCH($M85,_xlpm._searchRange,0)),
"")</f>
        <v/>
      </c>
      <c r="X85" s="20" t="str" cm="1">
        <f t="array" aca="1" ref="X85" ca="1">IF($L85,
_xlfn.LET(
_xlpm._isAssumption,$J85,
_xlpm._sheetRow,$W85,
IF(_xlpm._isAssumption,INDEX(Table24[Sheet Name],_xlpm._sheetRow),INDEX(Table25[Sheet Name],_xlpm._sheetRow))),
"")</f>
        <v/>
      </c>
      <c r="Y85" s="20" t="str" cm="1">
        <f t="array" aca="1" ref="Y85" ca="1">IF($L85,
_xlfn.LET(
_xlpm._elementID,$O85,
_xlpm._isAssumption,$J85,
_xlpm._sheetRow,$W85,
_xlpm._sheetName,$X85,
_xlpm._elementIDColumnLetter,IF(_xlpm._isAssumption,INDEX(Table24[Element ID Column],_xlpm._sheetRow),INDEX(Table25[Element ID Column],_xlpm._sheetRow)),
MATCH(_xlpm._elementID,INDIRECT("'"&amp;_xlpm._sheetName&amp;"'!"&amp;_xlpm._elementIDColumnLetter&amp;":"&amp;_xlpm._elementIDColumnLetter),0)),
"")</f>
        <v/>
      </c>
      <c r="Z85" s="20" t="str" cm="1">
        <f t="array" aca="1" ref="Z85" ca="1">IF($A85="","",_xlfn.LET(
_xlpm._isAssumption,$J85,
_xlpm._isAdditionalElement,$L85,
_xlpm._sheetRow,$W85,
_xlpm._sheetName,$X85,
_xlpm._columnLetter,INDEX(IF(_xlpm._isAdditionalElement,Table24[Comment Column],Table25[Comment Column]),_xlpm._sheetRow),
_xlpm._sheetReference,IF(_xlpm._isAssumption,IF(_xlpm._isAdditionalElement,
CELL("address",INDEX(INDIRECT("'"&amp;_xlpm._sheetName&amp;"'!"&amp;_xlpm._columnLetter&amp;":"&amp;_xlpm._columnLetter),$Y85)),
CELL("address",INDEX(Assumptions!$A:$A,MATCH($A85,Assumptions!$A:$A,0),1))),
IF(_xlpm._isAdditionalElement,
CELL("address",INDEX(INDIRECT("'"&amp;_xlpm._sheetName&amp;"'!"&amp;_xlpm._columnLetter&amp;":"&amp;_xlpm._columnLetter),$Y85)),
CELL("address",INDEX(Countermeasures!$A:$A,MATCH($A85,Countermeasures!$A:$A,0),1)))),
_xlpm._start,FIND("]",_xlpm._sheetReference),
"'"&amp;SUBSTITUTE(SUBSTITUTE(RIGHT(_xlpm._sheetReference,LEN(_xlpm._sheetReference)-_xlpm._start),"'",""),"!","'!")))</f>
        <v/>
      </c>
      <c r="AA85" s="20" t="str" cm="1">
        <f t="array" aca="1" ref="AA85" ca="1">IF(NOT($L85),
_xlfn.LET(_xlpm._value,IF($A85="","",IF($J85,SimpleLookup($A85,Assumptions!$A:$AK),SimpleLookup($A85,Countermeasures!$A:$AN))),
IF(_xlpm._value="","",_xlpm._value)),
"")</f>
        <v/>
      </c>
      <c r="AB85" s="20" t="str" cm="1">
        <f t="array" aca="1" ref="AB85" ca="1">LookupNames(InverseLookup($A85,Mitigation!$AD$2,Mitigation!$A$2,1,Helper!$B$5,","),'Attack Steps'!$A:$B)</f>
        <v/>
      </c>
      <c r="AC85" s="20" t="str" cm="1">
        <f t="array" aca="1" ref="AC85" ca="1">IF($L85,
_xlfn.LET(
_xlpm._in,$A85,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85" s="20" t="str" cm="1">
        <f t="array" aca="1" ref="AD85" ca="1">_xlfn.LET(
_xlpm._countermeasures,InverseLookup($A85,Countermeasures!$AG$2,Countermeasures!$A$2,1,Helper!$B$4,","),
LookupNames(_xlpm._countermeasures,Countermeasures!$A:$B))</f>
        <v/>
      </c>
      <c r="AE85" s="20" t="str" cm="1">
        <f t="array" aca="1" ref="AE85" ca="1">IF($E85="","",_xlfn.LET(
_xlpm._id,$E85,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85" s="20" t="str" cm="1">
        <f t="array" aca="1" ref="AF85" ca="1">IF(OR($A85="",$L85),"",_xlfn.LET(
_xlpm._answers,IF($J85,SimpleLookup($A85,Assumptions!$A:$F),SimpleLookup($A85,Countermeasures!$A:$D)),
IF(_xlpm._answers="*",IF($J85,SimpleLookup($A85,Assumptions!$A:$C),SimpleLookup($A85,Countermeasures!$A:$C)),"")))</f>
        <v/>
      </c>
      <c r="AG85" s="20" t="str" cm="1">
        <f t="array" aca="1" ref="AG85" ca="1">IF(NOT($L85),"",_xlfn.LET(
_xlpm._mappedInMitigation,IFERROR(VLOOKUP($V85,'Attack Steps'!$A:$O,COLUMNS('Attack Steps'!$A:$O),FALSE),""),
CreateSearchString(_xlpm._mappedInMitigation)))</f>
        <v/>
      </c>
      <c r="AH85" s="20" t="b">
        <f ca="1">ROW()-ROW($AH$17)=Helper!$B$15</f>
        <v>0</v>
      </c>
      <c r="AI85" s="20" t="str">
        <f t="shared" ca="1" si="21"/>
        <v/>
      </c>
      <c r="AJ85" s="20" cm="1">
        <f t="array" aca="1" ref="AJ85" ca="1">CreateID($AJ$17,$AJ:$AJ,$AI85&lt;&gt;"")</f>
        <v>0</v>
      </c>
    </row>
    <row r="86" spans="1:36" x14ac:dyDescent="0.25">
      <c r="A86" s="33" t="str">
        <f ca="1">_xlfn.LET(
_xlpm._isAssumption,$J86,
_xlpm._row,$K86,
_xlpm._numActiveAssumptions,Helper!$B$8,
_xlpm._numActiveCountermeasures,Helper!$B$9,
_xlpm._numAdditionalAssumptions,Helper!$B$10,
_xlpm._numAdditionalCountermeasures,Helper!$B$11,
IF(_xlpm._isAssumption,
IF(_xlpm._row&gt;_xlpm._numActiveAssumptions,
$V86&amp;"-A"&amp;$Q86,
INDEX(Assumptions!A:A,MATCH(_xlpm._row,Assumptions!$AG:$AG,0))),
IF(_xlpm._row&gt;_xlpm._numActiveCountermeasures+_xlpm._numAdditionalCountermeasures,"",
IF(_xlpm._row&gt;_xlpm._numActiveCountermeasures,
$V86&amp;"-C"&amp;$Q86,
INDEX(Countermeasures!$A:$A,MATCH(_xlpm._row,Countermeasures!$AI:$AI,0))))))</f>
        <v/>
      </c>
      <c r="B86" s="33" t="str" cm="1">
        <f t="array" aca="1" ref="B86" ca="1">IF($A86="","",
_xlfn.LET(
_xlpm._isAssumption,$J86,
_xlpm._isAdditionalElement,$L86,
IF(_xlpm._isAdditionalElement,
IF(_xlpm._isAssumption,
ParseElementsFromComment($U86,Definitions!$AR$4,Definitions!$AS$4,Definitions!$AR$6,$Q86),
ParseElementsFromComment($U86,Definitions!$AR$5,Definitions!$AS$5,Definitions!$AR$6,$Q86)),
 _xlfn.LET(_xlpm._value,IF($A86="","",IF($J86,SimpleLookup($A86,Assumptions!$A:$B),SimpleLookup($A86,Countermeasures!$A:$B))),IF(_xlpm._value="","",_xlpm._value)))))</f>
        <v/>
      </c>
      <c r="C86" s="33" t="str" cm="1">
        <f t="array" aca="1" ref="C86" ca="1">IF($A86="","",IF($J86,IFERROR(SimpleLookup($A86,Assumptions!$A:$E),""),Definitions!$AO$4))</f>
        <v/>
      </c>
      <c r="D86" s="37" t="str">
        <f t="shared" ca="1" si="17"/>
        <v/>
      </c>
      <c r="E86" s="23"/>
      <c r="F86" s="59" t="str">
        <f t="shared" ca="1" si="18"/>
        <v/>
      </c>
      <c r="G86" s="122" t="str" cm="1">
        <f t="array" aca="1" ref="G86" ca="1">_xlfn.LET(_xlpm._val,IFERROR(SimpleLookup($A86,Countermeasures!$A:$R),IFERROR(SimpleLookup($A86,Assumptions!$A:$R),"")),IF(_xlpm._val="","",_xlpm._val))</f>
        <v/>
      </c>
      <c r="H86" s="33" t="str" cm="1">
        <f t="array" aca="1" ref="H86" ca="1">_xlfn.LET(_xlpm._value,IF($A86="","",IFERROR(IF($J86,SimpleLookup($A86,Assumptions!$A:$S),SimpleLookup($A86,Countermeasures!$A:$S)),"")),
IF(_xlpm._value="","",_xlpm._value))</f>
        <v/>
      </c>
      <c r="I86" s="10" cm="1">
        <f t="array" aca="1" ref="I86" ca="1">IF(ROW()=ROW($I$17)+1,0,INDEX($I:$I,ROW()-1))+IF($A86="",0,1)</f>
        <v>12</v>
      </c>
      <c r="J86" s="21" t="b">
        <f ca="1">_xlfn.LET(_xlpm._row,ROW()-ROW($K$17),
_xlpm._numActiveAssumptions,Helper!$B$8,
_xlpm._numAdditionalAssumptions,SUM(Table24['# Elements]),
_xlpm._row&lt;=_xlpm._numActiveAssumptions+_xlpm._numAdditionalAssumptions)</f>
        <v>0</v>
      </c>
      <c r="K86" s="21">
        <f ca="1">_xlfn.LET(_xlpm._row,ROW()-ROW($K$17),
_xlpm._numActiveAssumptions,Helper!$B$8,
_xlpm._numAdditionalAssumptions,Helper!$B$10,
_xlpm._isAssumption,$J86,
_xlpm._elementID,IF(_xlpm._isAssumption,_xlpm._row,_xlpm._row-_xlpm._numActiveAssumptions-_xlpm._numAdditionalAssumptions),
_xlpm._elementID)</f>
        <v>63</v>
      </c>
      <c r="L86"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86" s="20" cm="1">
        <f t="array" aca="1" ref="M86" ca="1">IF($L86,
IF(ROW()=ROW($M$17)+1,1,INDEX($M:$M,ROW()-1)+IF(INDEX($T:$T,ROW()-1),1,0)),
1)</f>
        <v>1</v>
      </c>
      <c r="N86" s="20" t="str" cm="1">
        <f t="array" aca="1" ref="N86" ca="1">IF($L86=TRUE,
_xlfn.LET(
_xlpm._isAssumption,$J86,
_xlpm._indexRange,IF(_xlpm._isAssumption,Table24['# Elements],Table25['# Elements]),
_xlpm._lookupRow,$W86,
INDEX(_xlpm._indexRange,_xlpm._lookupRow)),
"")</f>
        <v/>
      </c>
      <c r="O86" s="20" t="str" cm="1">
        <f t="array" aca="1" ref="O86" ca="1">IF($N86="","",_xlfn.LET(
_xlpm._prevRow,ROW()-1,
IF(OR(INDEX($N:$N,_xlpm._prevRow)&lt;&gt;$N86,INDEX($M:$M,_xlpm._prevRow)&lt;&gt;$M86),
1,
INDEX($O:$O,_xlpm._prevRow)+IF(INDEX($S:$S,_xlpm._prevRow),1,0))))</f>
        <v/>
      </c>
      <c r="P86" s="20" t="str" cm="1">
        <f t="array" aca="1" ref="P86" ca="1">IF($O86="","",_xlfn.LET(
_xlpm._isAssumption,$J86,
_xlpm._sheetRow,$W86,
_xlpm._sheetName,$X86,
_xlpm._elementIDRange,IF(_xlpm._isAssumption,Table24[Element ID Column],Table25[Element ID Column]),
_xlpm._numberOfElementsRange,IF(_xlpm._isAssumption,Table24[Number of Elements Column],Table25[Number of Elements Column]),
SimpleLookup($O86,INDIRECT("'"&amp;_xlpm._sheetName&amp;"'!"&amp;INDEX(_xlpm._elementIDRange,_xlpm._sheetRow)&amp;":"&amp;INDEX(_xlpm._numberOfElementsRange,_xlpm._sheetRow)))))</f>
        <v/>
      </c>
      <c r="Q86" s="20" t="str" cm="1">
        <f t="array" aca="1" ref="Q86" ca="1">IF($O86="","",IF(OR(INDEX($O:$O,ROW()-1)&lt;&gt;$O86,INDEX($M:$M,ROW()-1)&lt;&gt;$M86),1,INDEX($Q:$Q,ROW()-1)+1))</f>
        <v/>
      </c>
      <c r="R86" s="20">
        <f t="shared" ca="1" si="19"/>
        <v>0</v>
      </c>
      <c r="S86" s="20" t="str">
        <f t="shared" ca="1" si="20"/>
        <v/>
      </c>
      <c r="T86" s="20" t="b">
        <f ca="1">_xlfn.LET(
_xlpm._isAssumption,$J86,
_xlpm._numberOfElementsRange,IF(_xlpm._isAssumption,Table24['# Elements],Table25['# Elements]),
_xlpm._sheetRow,$W86,
IF($L86,AND($S86,$R86=$N86),FALSE))</f>
        <v>0</v>
      </c>
      <c r="U86" s="20" t="str" cm="1">
        <f t="array" aca="1" ref="U86" ca="1">IF($L86,
_xlfn.LET(
_xlpm._elementID,$O86,
_xlpm._isAssumption,$J86,
_xlpm._sheetRow,$W86,
_xlpm._sheetName,$X86,
_xlpm._elementRow,$Y86,
_xlpm._resultColumnLetter,IF(_xlpm._isAssumption,INDEX(Table24[Comment Column],_xlpm._sheetRow),INDEX(Table25[Comment Column],_xlpm._sheetRow)),
INDEX(INDIRECT("'"&amp;_xlpm._sheetName&amp;"'!"&amp;_xlpm._resultColumnLetter&amp;":"&amp;_xlpm._resultColumnLetter),_xlpm._elementRow)),
"")</f>
        <v/>
      </c>
      <c r="V86" s="20" t="str" cm="1">
        <f t="array" aca="1" ref="V86" ca="1">IF($L86,
_xlfn.LET(
_xlpm._elementID,$O86,
_xlpm._isAssumption,$J86,
_xlpm._sheetRow,$W86,
_xlpm._sheetName,$X86,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86" s="20" t="str">
        <f ca="1">IF($L86=TRUE,
_xlfn.LET(
_xlpm._isAssumption,$J86,
_xlpm._searchRange,IF(_xlpm._isAssumption,Table24[Task Sheet Shadow ID],Table25[Task Sheet Shadow ID]),
MATCH($M86,_xlpm._searchRange,0)),
"")</f>
        <v/>
      </c>
      <c r="X86" s="20" t="str" cm="1">
        <f t="array" aca="1" ref="X86" ca="1">IF($L86,
_xlfn.LET(
_xlpm._isAssumption,$J86,
_xlpm._sheetRow,$W86,
IF(_xlpm._isAssumption,INDEX(Table24[Sheet Name],_xlpm._sheetRow),INDEX(Table25[Sheet Name],_xlpm._sheetRow))),
"")</f>
        <v/>
      </c>
      <c r="Y86" s="20" t="str" cm="1">
        <f t="array" aca="1" ref="Y86" ca="1">IF($L86,
_xlfn.LET(
_xlpm._elementID,$O86,
_xlpm._isAssumption,$J86,
_xlpm._sheetRow,$W86,
_xlpm._sheetName,$X86,
_xlpm._elementIDColumnLetter,IF(_xlpm._isAssumption,INDEX(Table24[Element ID Column],_xlpm._sheetRow),INDEX(Table25[Element ID Column],_xlpm._sheetRow)),
MATCH(_xlpm._elementID,INDIRECT("'"&amp;_xlpm._sheetName&amp;"'!"&amp;_xlpm._elementIDColumnLetter&amp;":"&amp;_xlpm._elementIDColumnLetter),0)),
"")</f>
        <v/>
      </c>
      <c r="Z86" s="20" t="str" cm="1">
        <f t="array" aca="1" ref="Z86" ca="1">IF($A86="","",_xlfn.LET(
_xlpm._isAssumption,$J86,
_xlpm._isAdditionalElement,$L86,
_xlpm._sheetRow,$W86,
_xlpm._sheetName,$X86,
_xlpm._columnLetter,INDEX(IF(_xlpm._isAdditionalElement,Table24[Comment Column],Table25[Comment Column]),_xlpm._sheetRow),
_xlpm._sheetReference,IF(_xlpm._isAssumption,IF(_xlpm._isAdditionalElement,
CELL("address",INDEX(INDIRECT("'"&amp;_xlpm._sheetName&amp;"'!"&amp;_xlpm._columnLetter&amp;":"&amp;_xlpm._columnLetter),$Y86)),
CELL("address",INDEX(Assumptions!$A:$A,MATCH($A86,Assumptions!$A:$A,0),1))),
IF(_xlpm._isAdditionalElement,
CELL("address",INDEX(INDIRECT("'"&amp;_xlpm._sheetName&amp;"'!"&amp;_xlpm._columnLetter&amp;":"&amp;_xlpm._columnLetter),$Y86)),
CELL("address",INDEX(Countermeasures!$A:$A,MATCH($A86,Countermeasures!$A:$A,0),1)))),
_xlpm._start,FIND("]",_xlpm._sheetReference),
"'"&amp;SUBSTITUTE(SUBSTITUTE(RIGHT(_xlpm._sheetReference,LEN(_xlpm._sheetReference)-_xlpm._start),"'",""),"!","'!")))</f>
        <v/>
      </c>
      <c r="AA86" s="20" t="str" cm="1">
        <f t="array" aca="1" ref="AA86" ca="1">IF(NOT($L86),
_xlfn.LET(_xlpm._value,IF($A86="","",IF($J86,SimpleLookup($A86,Assumptions!$A:$AK),SimpleLookup($A86,Countermeasures!$A:$AN))),
IF(_xlpm._value="","",_xlpm._value)),
"")</f>
        <v/>
      </c>
      <c r="AB86" s="20" t="str" cm="1">
        <f t="array" aca="1" ref="AB86" ca="1">LookupNames(InverseLookup($A86,Mitigation!$AD$2,Mitigation!$A$2,1,Helper!$B$5,","),'Attack Steps'!$A:$B)</f>
        <v/>
      </c>
      <c r="AC86" s="20" t="str" cm="1">
        <f t="array" aca="1" ref="AC86" ca="1">IF($L86,
_xlfn.LET(
_xlpm._in,$A86,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86" s="20" t="str" cm="1">
        <f t="array" aca="1" ref="AD86" ca="1">_xlfn.LET(
_xlpm._countermeasures,InverseLookup($A86,Countermeasures!$AG$2,Countermeasures!$A$2,1,Helper!$B$4,","),
LookupNames(_xlpm._countermeasures,Countermeasures!$A:$B))</f>
        <v/>
      </c>
      <c r="AE86" s="20" t="str" cm="1">
        <f t="array" aca="1" ref="AE86" ca="1">IF($E86="","",_xlfn.LET(
_xlpm._id,$E86,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86" s="20" t="str" cm="1">
        <f t="array" aca="1" ref="AF86" ca="1">IF(OR($A86="",$L86),"",_xlfn.LET(
_xlpm._answers,IF($J86,SimpleLookup($A86,Assumptions!$A:$F),SimpleLookup($A86,Countermeasures!$A:$D)),
IF(_xlpm._answers="*",IF($J86,SimpleLookup($A86,Assumptions!$A:$C),SimpleLookup($A86,Countermeasures!$A:$C)),"")))</f>
        <v/>
      </c>
      <c r="AG86" s="20" t="str" cm="1">
        <f t="array" aca="1" ref="AG86" ca="1">IF(NOT($L86),"",_xlfn.LET(
_xlpm._mappedInMitigation,IFERROR(VLOOKUP($V86,'Attack Steps'!$A:$O,COLUMNS('Attack Steps'!$A:$O),FALSE),""),
CreateSearchString(_xlpm._mappedInMitigation)))</f>
        <v/>
      </c>
      <c r="AH86" s="20" t="b">
        <f ca="1">ROW()-ROW($AH$17)=Helper!$B$15</f>
        <v>0</v>
      </c>
      <c r="AI86" s="20" t="str">
        <f t="shared" ca="1" si="21"/>
        <v/>
      </c>
      <c r="AJ86" s="20" cm="1">
        <f t="array" aca="1" ref="AJ86" ca="1">CreateID($AJ$17,$AJ:$AJ,$AI86&lt;&gt;"")</f>
        <v>0</v>
      </c>
    </row>
    <row r="87" spans="1:36" x14ac:dyDescent="0.25">
      <c r="A87" s="33" t="str">
        <f ca="1">_xlfn.LET(
_xlpm._isAssumption,$J87,
_xlpm._row,$K87,
_xlpm._numActiveAssumptions,Helper!$B$8,
_xlpm._numActiveCountermeasures,Helper!$B$9,
_xlpm._numAdditionalAssumptions,Helper!$B$10,
_xlpm._numAdditionalCountermeasures,Helper!$B$11,
IF(_xlpm._isAssumption,
IF(_xlpm._row&gt;_xlpm._numActiveAssumptions,
$V87&amp;"-A"&amp;$Q87,
INDEX(Assumptions!A:A,MATCH(_xlpm._row,Assumptions!$AG:$AG,0))),
IF(_xlpm._row&gt;_xlpm._numActiveCountermeasures+_xlpm._numAdditionalCountermeasures,"",
IF(_xlpm._row&gt;_xlpm._numActiveCountermeasures,
$V87&amp;"-C"&amp;$Q87,
INDEX(Countermeasures!$A:$A,MATCH(_xlpm._row,Countermeasures!$AI:$AI,0))))))</f>
        <v/>
      </c>
      <c r="B87" s="33" t="str" cm="1">
        <f t="array" aca="1" ref="B87" ca="1">IF($A87="","",
_xlfn.LET(
_xlpm._isAssumption,$J87,
_xlpm._isAdditionalElement,$L87,
IF(_xlpm._isAdditionalElement,
IF(_xlpm._isAssumption,
ParseElementsFromComment($U87,Definitions!$AR$4,Definitions!$AS$4,Definitions!$AR$6,$Q87),
ParseElementsFromComment($U87,Definitions!$AR$5,Definitions!$AS$5,Definitions!$AR$6,$Q87)),
 _xlfn.LET(_xlpm._value,IF($A87="","",IF($J87,SimpleLookup($A87,Assumptions!$A:$B),SimpleLookup($A87,Countermeasures!$A:$B))),IF(_xlpm._value="","",_xlpm._value)))))</f>
        <v/>
      </c>
      <c r="C87" s="33" t="str" cm="1">
        <f t="array" aca="1" ref="C87" ca="1">IF($A87="","",IF($J87,IFERROR(SimpleLookup($A87,Assumptions!$A:$E),""),Definitions!$AO$4))</f>
        <v/>
      </c>
      <c r="D87" s="37" t="str">
        <f t="shared" ref="D87:D101" ca="1" si="22">_xlfn.LET(
_xlpm._dividerTop,REPT(_xlfn.UNICHAR(9552),63)&amp;CHAR(10),
_xlpm._dividerHeader,CHAR(10)&amp;REPT(CHAR(150),84)&amp;CHAR(10),
_xlpm._relatedQuestions,IF($AA87="","",_xlpm._dividerTop&amp;"Comments of related questions / answers:"&amp;_xlpm._dividerHeader&amp;$AA87),
_xlpm._assignedToAttackSteps,IF($AB87="","",_xlpm._dividerTop&amp;"Assigned to attack steps:"&amp;_xlpm._dividerHeader&amp;$AB87),
_xlpm._definedInContextOfElement,IF($AC87="","",_xlpm._dividerTop&amp;"Defined in the context of:"&amp;_xlpm._dividerHeader&amp;$AC87),
_xlpm._dependantCountermeasures,IF($AD87="","",_xlpm._dividerTop&amp;"Dependency of countermeasures:"&amp;_xlpm._dividerHeader&amp;$AD87),
_xlpm._defaultElementText,IF($AF87="","",_xlpm._dividerTop&amp;"Default "&amp;IF($J87,"assumption","countermeasure")&amp;":"&amp;_xlpm._dividerHeader&amp;$AF87),
_xlpm._relatedQuestions&amp;
IF(AND(_xlpm._relatedQuestions&lt;&gt;"",_xlpm._assignedToAttackSteps&lt;&gt;""),CHAR(10),"")&amp;_xlpm._assignedToAttackSteps&amp;
IF(AND(OR(_xlpm._relatedQuestions&lt;&gt;"",_xlpm._assignedToAttackSteps&lt;&gt;""),_xlpm._definedInContextOfElement&lt;&gt;""),CHAR(10),"")&amp;_xlpm._definedInContextOfElement&amp;
IF(AND(OR(_xlpm._relatedQuestions&lt;&gt;"",_xlpm._assignedToAttackSteps&lt;&gt;"",_xlpm._definedInContextOfElement&lt;&gt;""),_xlpm._dependantCountermeasures&lt;&gt;""),CHAR(10),"")&amp;_xlpm._dependantCountermeasures&amp;
IF(AND(OR(_xlpm._relatedQuestions&lt;&gt;"",_xlpm._assignedToAttackSteps&lt;&gt;"",_xlpm._definedInContextOfElement&lt;&gt;"",_xlpm._dependantCountermeasures&lt;&gt;""),_xlpm._defaultElementText&lt;&gt;""),CHAR(10),"")&amp;_xlpm._defaultElementText)</f>
        <v/>
      </c>
      <c r="E87" s="23"/>
      <c r="F87" s="59" t="str">
        <f t="shared" ref="F87:F101" ca="1" si="23">IF(AND($E87&lt;&gt;"",$AE87=""),"Error: Unknown ID: "&amp;$E87,
IF($A87="","",HYPERLINK("#"&amp;IF($AE87="",$Z87,$AE87),"click me")))</f>
        <v/>
      </c>
      <c r="G87" s="122" t="str" cm="1">
        <f t="array" aca="1" ref="G87" ca="1">_xlfn.LET(_xlpm._val,IFERROR(SimpleLookup($A87,Countermeasures!$A:$R),IFERROR(SimpleLookup($A87,Assumptions!$A:$R),"")),IF(_xlpm._val="","",_xlpm._val))</f>
        <v/>
      </c>
      <c r="H87" s="33" t="str" cm="1">
        <f t="array" aca="1" ref="H87" ca="1">_xlfn.LET(_xlpm._value,IF($A87="","",IFERROR(IF($J87,SimpleLookup($A87,Assumptions!$A:$S),SimpleLookup($A87,Countermeasures!$A:$S)),"")),
IF(_xlpm._value="","",_xlpm._value))</f>
        <v/>
      </c>
      <c r="I87" s="10" cm="1">
        <f t="array" aca="1" ref="I87" ca="1">IF(ROW()=ROW($I$17)+1,0,INDEX($I:$I,ROW()-1))+IF($A87="",0,1)</f>
        <v>12</v>
      </c>
      <c r="J87" s="21" t="b">
        <f ca="1">_xlfn.LET(_xlpm._row,ROW()-ROW($K$17),
_xlpm._numActiveAssumptions,Helper!$B$8,
_xlpm._numAdditionalAssumptions,SUM(Table24['# Elements]),
_xlpm._row&lt;=_xlpm._numActiveAssumptions+_xlpm._numAdditionalAssumptions)</f>
        <v>0</v>
      </c>
      <c r="K87" s="21">
        <f ca="1">_xlfn.LET(_xlpm._row,ROW()-ROW($K$17),
_xlpm._numActiveAssumptions,Helper!$B$8,
_xlpm._numAdditionalAssumptions,Helper!$B$10,
_xlpm._isAssumption,$J87,
_xlpm._elementID,IF(_xlpm._isAssumption,_xlpm._row,_xlpm._row-_xlpm._numActiveAssumptions-_xlpm._numAdditionalAssumptions),
_xlpm._elementID)</f>
        <v>64</v>
      </c>
      <c r="L87"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87" s="20" cm="1">
        <f t="array" aca="1" ref="M87" ca="1">IF($L87,
IF(ROW()=ROW($M$17)+1,1,INDEX($M:$M,ROW()-1)+IF(INDEX($T:$T,ROW()-1),1,0)),
1)</f>
        <v>1</v>
      </c>
      <c r="N87" s="20" t="str" cm="1">
        <f t="array" aca="1" ref="N87" ca="1">IF($L87=TRUE,
_xlfn.LET(
_xlpm._isAssumption,$J87,
_xlpm._indexRange,IF(_xlpm._isAssumption,Table24['# Elements],Table25['# Elements]),
_xlpm._lookupRow,$W87,
INDEX(_xlpm._indexRange,_xlpm._lookupRow)),
"")</f>
        <v/>
      </c>
      <c r="O87" s="20" t="str" cm="1">
        <f t="array" aca="1" ref="O87" ca="1">IF($N87="","",_xlfn.LET(
_xlpm._prevRow,ROW()-1,
IF(OR(INDEX($N:$N,_xlpm._prevRow)&lt;&gt;$N87,INDEX($M:$M,_xlpm._prevRow)&lt;&gt;$M87),
1,
INDEX($O:$O,_xlpm._prevRow)+IF(INDEX($S:$S,_xlpm._prevRow),1,0))))</f>
        <v/>
      </c>
      <c r="P87" s="20" t="str" cm="1">
        <f t="array" aca="1" ref="P87" ca="1">IF($O87="","",_xlfn.LET(
_xlpm._isAssumption,$J87,
_xlpm._sheetRow,$W87,
_xlpm._sheetName,$X87,
_xlpm._elementIDRange,IF(_xlpm._isAssumption,Table24[Element ID Column],Table25[Element ID Column]),
_xlpm._numberOfElementsRange,IF(_xlpm._isAssumption,Table24[Number of Elements Column],Table25[Number of Elements Column]),
SimpleLookup($O87,INDIRECT("'"&amp;_xlpm._sheetName&amp;"'!"&amp;INDEX(_xlpm._elementIDRange,_xlpm._sheetRow)&amp;":"&amp;INDEX(_xlpm._numberOfElementsRange,_xlpm._sheetRow)))))</f>
        <v/>
      </c>
      <c r="Q87" s="20" t="str" cm="1">
        <f t="array" aca="1" ref="Q87" ca="1">IF($O87="","",IF(OR(INDEX($O:$O,ROW()-1)&lt;&gt;$O87,INDEX($M:$M,ROW()-1)&lt;&gt;$M87),1,INDEX($Q:$Q,ROW()-1)+1))</f>
        <v/>
      </c>
      <c r="R87" s="20">
        <f t="shared" ref="R87:R101" ca="1" si="24">COUNTIFS(
OFFSET($L$17,1,0,ROW()-ROW($L$17),1),TRUE,
OFFSET($M$17,1,0,ROW()-ROW($M$17),1),$M87,
OFFSET($J$17,1,0,ROW()-ROW($J$17),1),$J87)</f>
        <v>0</v>
      </c>
      <c r="S87" s="20" t="str">
        <f t="shared" ref="S87:S101" ca="1" si="25">IF($L87,$P87=$Q87,"")</f>
        <v/>
      </c>
      <c r="T87" s="20" t="b">
        <f ca="1">_xlfn.LET(
_xlpm._isAssumption,$J87,
_xlpm._numberOfElementsRange,IF(_xlpm._isAssumption,Table24['# Elements],Table25['# Elements]),
_xlpm._sheetRow,$W87,
IF($L87,AND($S87,$R87=$N87),FALSE))</f>
        <v>0</v>
      </c>
      <c r="U87" s="20" t="str" cm="1">
        <f t="array" aca="1" ref="U87" ca="1">IF($L87,
_xlfn.LET(
_xlpm._elementID,$O87,
_xlpm._isAssumption,$J87,
_xlpm._sheetRow,$W87,
_xlpm._sheetName,$X87,
_xlpm._elementRow,$Y87,
_xlpm._resultColumnLetter,IF(_xlpm._isAssumption,INDEX(Table24[Comment Column],_xlpm._sheetRow),INDEX(Table25[Comment Column],_xlpm._sheetRow)),
INDEX(INDIRECT("'"&amp;_xlpm._sheetName&amp;"'!"&amp;_xlpm._resultColumnLetter&amp;":"&amp;_xlpm._resultColumnLetter),_xlpm._elementRow)),
"")</f>
        <v/>
      </c>
      <c r="V87" s="20" t="str" cm="1">
        <f t="array" aca="1" ref="V87" ca="1">IF($L87,
_xlfn.LET(
_xlpm._elementID,$O87,
_xlpm._isAssumption,$J87,
_xlpm._sheetRow,$W87,
_xlpm._sheetName,$X87,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87" s="20" t="str">
        <f ca="1">IF($L87=TRUE,
_xlfn.LET(
_xlpm._isAssumption,$J87,
_xlpm._searchRange,IF(_xlpm._isAssumption,Table24[Task Sheet Shadow ID],Table25[Task Sheet Shadow ID]),
MATCH($M87,_xlpm._searchRange,0)),
"")</f>
        <v/>
      </c>
      <c r="X87" s="20" t="str" cm="1">
        <f t="array" aca="1" ref="X87" ca="1">IF($L87,
_xlfn.LET(
_xlpm._isAssumption,$J87,
_xlpm._sheetRow,$W87,
IF(_xlpm._isAssumption,INDEX(Table24[Sheet Name],_xlpm._sheetRow),INDEX(Table25[Sheet Name],_xlpm._sheetRow))),
"")</f>
        <v/>
      </c>
      <c r="Y87" s="20" t="str" cm="1">
        <f t="array" aca="1" ref="Y87" ca="1">IF($L87,
_xlfn.LET(
_xlpm._elementID,$O87,
_xlpm._isAssumption,$J87,
_xlpm._sheetRow,$W87,
_xlpm._sheetName,$X87,
_xlpm._elementIDColumnLetter,IF(_xlpm._isAssumption,INDEX(Table24[Element ID Column],_xlpm._sheetRow),INDEX(Table25[Element ID Column],_xlpm._sheetRow)),
MATCH(_xlpm._elementID,INDIRECT("'"&amp;_xlpm._sheetName&amp;"'!"&amp;_xlpm._elementIDColumnLetter&amp;":"&amp;_xlpm._elementIDColumnLetter),0)),
"")</f>
        <v/>
      </c>
      <c r="Z87" s="20" t="str" cm="1">
        <f t="array" aca="1" ref="Z87" ca="1">IF($A87="","",_xlfn.LET(
_xlpm._isAssumption,$J87,
_xlpm._isAdditionalElement,$L87,
_xlpm._sheetRow,$W87,
_xlpm._sheetName,$X87,
_xlpm._columnLetter,INDEX(IF(_xlpm._isAdditionalElement,Table24[Comment Column],Table25[Comment Column]),_xlpm._sheetRow),
_xlpm._sheetReference,IF(_xlpm._isAssumption,IF(_xlpm._isAdditionalElement,
CELL("address",INDEX(INDIRECT("'"&amp;_xlpm._sheetName&amp;"'!"&amp;_xlpm._columnLetter&amp;":"&amp;_xlpm._columnLetter),$Y87)),
CELL("address",INDEX(Assumptions!$A:$A,MATCH($A87,Assumptions!$A:$A,0),1))),
IF(_xlpm._isAdditionalElement,
CELL("address",INDEX(INDIRECT("'"&amp;_xlpm._sheetName&amp;"'!"&amp;_xlpm._columnLetter&amp;":"&amp;_xlpm._columnLetter),$Y87)),
CELL("address",INDEX(Countermeasures!$A:$A,MATCH($A87,Countermeasures!$A:$A,0),1)))),
_xlpm._start,FIND("]",_xlpm._sheetReference),
"'"&amp;SUBSTITUTE(SUBSTITUTE(RIGHT(_xlpm._sheetReference,LEN(_xlpm._sheetReference)-_xlpm._start),"'",""),"!","'!")))</f>
        <v/>
      </c>
      <c r="AA87" s="20" t="str" cm="1">
        <f t="array" aca="1" ref="AA87" ca="1">IF(NOT($L87),
_xlfn.LET(_xlpm._value,IF($A87="","",IF($J87,SimpleLookup($A87,Assumptions!$A:$AK),SimpleLookup($A87,Countermeasures!$A:$AN))),
IF(_xlpm._value="","",_xlpm._value)),
"")</f>
        <v/>
      </c>
      <c r="AB87" s="20" t="str" cm="1">
        <f t="array" aca="1" ref="AB87" ca="1">LookupNames(InverseLookup($A87,Mitigation!$AD$2,Mitigation!$A$2,1,Helper!$B$5,","),'Attack Steps'!$A:$B)</f>
        <v/>
      </c>
      <c r="AC87" s="20" t="str" cm="1">
        <f t="array" aca="1" ref="AC87" ca="1">IF($L87,
_xlfn.LET(
_xlpm._in,$A87,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87" s="20" t="str" cm="1">
        <f t="array" aca="1" ref="AD87" ca="1">_xlfn.LET(
_xlpm._countermeasures,InverseLookup($A87,Countermeasures!$AG$2,Countermeasures!$A$2,1,Helper!$B$4,","),
LookupNames(_xlpm._countermeasures,Countermeasures!$A:$B))</f>
        <v/>
      </c>
      <c r="AE87" s="20" t="str" cm="1">
        <f t="array" aca="1" ref="AE87" ca="1">IF($E87="","",_xlfn.LET(
_xlpm._id,$E87,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87" s="20" t="str" cm="1">
        <f t="array" aca="1" ref="AF87" ca="1">IF(OR($A87="",$L87),"",_xlfn.LET(
_xlpm._answers,IF($J87,SimpleLookup($A87,Assumptions!$A:$F),SimpleLookup($A87,Countermeasures!$A:$D)),
IF(_xlpm._answers="*",IF($J87,SimpleLookup($A87,Assumptions!$A:$C),SimpleLookup($A87,Countermeasures!$A:$C)),"")))</f>
        <v/>
      </c>
      <c r="AG87" s="20" t="str" cm="1">
        <f t="array" aca="1" ref="AG87" ca="1">IF(NOT($L87),"",_xlfn.LET(
_xlpm._mappedInMitigation,IFERROR(VLOOKUP($V87,'Attack Steps'!$A:$O,COLUMNS('Attack Steps'!$A:$O),FALSE),""),
CreateSearchString(_xlpm._mappedInMitigation)))</f>
        <v/>
      </c>
      <c r="AH87" s="20" t="b">
        <f ca="1">ROW()-ROW($AH$17)=Helper!$B$15</f>
        <v>0</v>
      </c>
      <c r="AI87" s="20" t="str">
        <f t="shared" ref="AI87:AI101" ca="1" si="26">IF(IFERROR(MATCH(TRUE,$AH:$AH,0)&gt;0,FALSE),"",IF(OFFSET($AH87,1,0)="","Please enlarge the table!",""))</f>
        <v/>
      </c>
      <c r="AJ87" s="20" cm="1">
        <f t="array" aca="1" ref="AJ87" ca="1">CreateID($AJ$17,$AJ:$AJ,$AI87&lt;&gt;"")</f>
        <v>0</v>
      </c>
    </row>
    <row r="88" spans="1:36" x14ac:dyDescent="0.25">
      <c r="A88" s="33" t="str">
        <f ca="1">_xlfn.LET(
_xlpm._isAssumption,$J88,
_xlpm._row,$K88,
_xlpm._numActiveAssumptions,Helper!$B$8,
_xlpm._numActiveCountermeasures,Helper!$B$9,
_xlpm._numAdditionalAssumptions,Helper!$B$10,
_xlpm._numAdditionalCountermeasures,Helper!$B$11,
IF(_xlpm._isAssumption,
IF(_xlpm._row&gt;_xlpm._numActiveAssumptions,
$V88&amp;"-A"&amp;$Q88,
INDEX(Assumptions!A:A,MATCH(_xlpm._row,Assumptions!$AG:$AG,0))),
IF(_xlpm._row&gt;_xlpm._numActiveCountermeasures+_xlpm._numAdditionalCountermeasures,"",
IF(_xlpm._row&gt;_xlpm._numActiveCountermeasures,
$V88&amp;"-C"&amp;$Q88,
INDEX(Countermeasures!$A:$A,MATCH(_xlpm._row,Countermeasures!$AI:$AI,0))))))</f>
        <v/>
      </c>
      <c r="B88" s="33" t="str" cm="1">
        <f t="array" aca="1" ref="B88" ca="1">IF($A88="","",
_xlfn.LET(
_xlpm._isAssumption,$J88,
_xlpm._isAdditionalElement,$L88,
IF(_xlpm._isAdditionalElement,
IF(_xlpm._isAssumption,
ParseElementsFromComment($U88,Definitions!$AR$4,Definitions!$AS$4,Definitions!$AR$6,$Q88),
ParseElementsFromComment($U88,Definitions!$AR$5,Definitions!$AS$5,Definitions!$AR$6,$Q88)),
 _xlfn.LET(_xlpm._value,IF($A88="","",IF($J88,SimpleLookup($A88,Assumptions!$A:$B),SimpleLookup($A88,Countermeasures!$A:$B))),IF(_xlpm._value="","",_xlpm._value)))))</f>
        <v/>
      </c>
      <c r="C88" s="33" t="str" cm="1">
        <f t="array" aca="1" ref="C88" ca="1">IF($A88="","",IF($J88,IFERROR(SimpleLookup($A88,Assumptions!$A:$E),""),Definitions!$AO$4))</f>
        <v/>
      </c>
      <c r="D88" s="37" t="str">
        <f t="shared" ca="1" si="22"/>
        <v/>
      </c>
      <c r="E88" s="23"/>
      <c r="F88" s="59" t="str">
        <f t="shared" ca="1" si="23"/>
        <v/>
      </c>
      <c r="G88" s="122" t="str" cm="1">
        <f t="array" aca="1" ref="G88" ca="1">_xlfn.LET(_xlpm._val,IFERROR(SimpleLookup($A88,Countermeasures!$A:$R),IFERROR(SimpleLookup($A88,Assumptions!$A:$R),"")),IF(_xlpm._val="","",_xlpm._val))</f>
        <v/>
      </c>
      <c r="H88" s="33" t="str" cm="1">
        <f t="array" aca="1" ref="H88" ca="1">_xlfn.LET(_xlpm._value,IF($A88="","",IFERROR(IF($J88,SimpleLookup($A88,Assumptions!$A:$S),SimpleLookup($A88,Countermeasures!$A:$S)),"")),
IF(_xlpm._value="","",_xlpm._value))</f>
        <v/>
      </c>
      <c r="I88" s="10" cm="1">
        <f t="array" aca="1" ref="I88" ca="1">IF(ROW()=ROW($I$17)+1,0,INDEX($I:$I,ROW()-1))+IF($A88="",0,1)</f>
        <v>12</v>
      </c>
      <c r="J88" s="21" t="b">
        <f ca="1">_xlfn.LET(_xlpm._row,ROW()-ROW($K$17),
_xlpm._numActiveAssumptions,Helper!$B$8,
_xlpm._numAdditionalAssumptions,SUM(Table24['# Elements]),
_xlpm._row&lt;=_xlpm._numActiveAssumptions+_xlpm._numAdditionalAssumptions)</f>
        <v>0</v>
      </c>
      <c r="K88" s="21">
        <f ca="1">_xlfn.LET(_xlpm._row,ROW()-ROW($K$17),
_xlpm._numActiveAssumptions,Helper!$B$8,
_xlpm._numAdditionalAssumptions,Helper!$B$10,
_xlpm._isAssumption,$J88,
_xlpm._elementID,IF(_xlpm._isAssumption,_xlpm._row,_xlpm._row-_xlpm._numActiveAssumptions-_xlpm._numAdditionalAssumptions),
_xlpm._elementID)</f>
        <v>65</v>
      </c>
      <c r="L88"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88" s="20" cm="1">
        <f t="array" aca="1" ref="M88" ca="1">IF($L88,
IF(ROW()=ROW($M$17)+1,1,INDEX($M:$M,ROW()-1)+IF(INDEX($T:$T,ROW()-1),1,0)),
1)</f>
        <v>1</v>
      </c>
      <c r="N88" s="20" t="str" cm="1">
        <f t="array" aca="1" ref="N88" ca="1">IF($L88=TRUE,
_xlfn.LET(
_xlpm._isAssumption,$J88,
_xlpm._indexRange,IF(_xlpm._isAssumption,Table24['# Elements],Table25['# Elements]),
_xlpm._lookupRow,$W88,
INDEX(_xlpm._indexRange,_xlpm._lookupRow)),
"")</f>
        <v/>
      </c>
      <c r="O88" s="20" t="str" cm="1">
        <f t="array" aca="1" ref="O88" ca="1">IF($N88="","",_xlfn.LET(
_xlpm._prevRow,ROW()-1,
IF(OR(INDEX($N:$N,_xlpm._prevRow)&lt;&gt;$N88,INDEX($M:$M,_xlpm._prevRow)&lt;&gt;$M88),
1,
INDEX($O:$O,_xlpm._prevRow)+IF(INDEX($S:$S,_xlpm._prevRow),1,0))))</f>
        <v/>
      </c>
      <c r="P88" s="20" t="str" cm="1">
        <f t="array" aca="1" ref="P88" ca="1">IF($O88="","",_xlfn.LET(
_xlpm._isAssumption,$J88,
_xlpm._sheetRow,$W88,
_xlpm._sheetName,$X88,
_xlpm._elementIDRange,IF(_xlpm._isAssumption,Table24[Element ID Column],Table25[Element ID Column]),
_xlpm._numberOfElementsRange,IF(_xlpm._isAssumption,Table24[Number of Elements Column],Table25[Number of Elements Column]),
SimpleLookup($O88,INDIRECT("'"&amp;_xlpm._sheetName&amp;"'!"&amp;INDEX(_xlpm._elementIDRange,_xlpm._sheetRow)&amp;":"&amp;INDEX(_xlpm._numberOfElementsRange,_xlpm._sheetRow)))))</f>
        <v/>
      </c>
      <c r="Q88" s="20" t="str" cm="1">
        <f t="array" aca="1" ref="Q88" ca="1">IF($O88="","",IF(OR(INDEX($O:$O,ROW()-1)&lt;&gt;$O88,INDEX($M:$M,ROW()-1)&lt;&gt;$M88),1,INDEX($Q:$Q,ROW()-1)+1))</f>
        <v/>
      </c>
      <c r="R88" s="20">
        <f t="shared" ca="1" si="24"/>
        <v>0</v>
      </c>
      <c r="S88" s="20" t="str">
        <f t="shared" ca="1" si="25"/>
        <v/>
      </c>
      <c r="T88" s="20" t="b">
        <f ca="1">_xlfn.LET(
_xlpm._isAssumption,$J88,
_xlpm._numberOfElementsRange,IF(_xlpm._isAssumption,Table24['# Elements],Table25['# Elements]),
_xlpm._sheetRow,$W88,
IF($L88,AND($S88,$R88=$N88),FALSE))</f>
        <v>0</v>
      </c>
      <c r="U88" s="20" t="str" cm="1">
        <f t="array" aca="1" ref="U88" ca="1">IF($L88,
_xlfn.LET(
_xlpm._elementID,$O88,
_xlpm._isAssumption,$J88,
_xlpm._sheetRow,$W88,
_xlpm._sheetName,$X88,
_xlpm._elementRow,$Y88,
_xlpm._resultColumnLetter,IF(_xlpm._isAssumption,INDEX(Table24[Comment Column],_xlpm._sheetRow),INDEX(Table25[Comment Column],_xlpm._sheetRow)),
INDEX(INDIRECT("'"&amp;_xlpm._sheetName&amp;"'!"&amp;_xlpm._resultColumnLetter&amp;":"&amp;_xlpm._resultColumnLetter),_xlpm._elementRow)),
"")</f>
        <v/>
      </c>
      <c r="V88" s="20" t="str" cm="1">
        <f t="array" aca="1" ref="V88" ca="1">IF($L88,
_xlfn.LET(
_xlpm._elementID,$O88,
_xlpm._isAssumption,$J88,
_xlpm._sheetRow,$W88,
_xlpm._sheetName,$X88,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88" s="20" t="str">
        <f ca="1">IF($L88=TRUE,
_xlfn.LET(
_xlpm._isAssumption,$J88,
_xlpm._searchRange,IF(_xlpm._isAssumption,Table24[Task Sheet Shadow ID],Table25[Task Sheet Shadow ID]),
MATCH($M88,_xlpm._searchRange,0)),
"")</f>
        <v/>
      </c>
      <c r="X88" s="20" t="str" cm="1">
        <f t="array" aca="1" ref="X88" ca="1">IF($L88,
_xlfn.LET(
_xlpm._isAssumption,$J88,
_xlpm._sheetRow,$W88,
IF(_xlpm._isAssumption,INDEX(Table24[Sheet Name],_xlpm._sheetRow),INDEX(Table25[Sheet Name],_xlpm._sheetRow))),
"")</f>
        <v/>
      </c>
      <c r="Y88" s="20" t="str" cm="1">
        <f t="array" aca="1" ref="Y88" ca="1">IF($L88,
_xlfn.LET(
_xlpm._elementID,$O88,
_xlpm._isAssumption,$J88,
_xlpm._sheetRow,$W88,
_xlpm._sheetName,$X88,
_xlpm._elementIDColumnLetter,IF(_xlpm._isAssumption,INDEX(Table24[Element ID Column],_xlpm._sheetRow),INDEX(Table25[Element ID Column],_xlpm._sheetRow)),
MATCH(_xlpm._elementID,INDIRECT("'"&amp;_xlpm._sheetName&amp;"'!"&amp;_xlpm._elementIDColumnLetter&amp;":"&amp;_xlpm._elementIDColumnLetter),0)),
"")</f>
        <v/>
      </c>
      <c r="Z88" s="20" t="str" cm="1">
        <f t="array" aca="1" ref="Z88" ca="1">IF($A88="","",_xlfn.LET(
_xlpm._isAssumption,$J88,
_xlpm._isAdditionalElement,$L88,
_xlpm._sheetRow,$W88,
_xlpm._sheetName,$X88,
_xlpm._columnLetter,INDEX(IF(_xlpm._isAdditionalElement,Table24[Comment Column],Table25[Comment Column]),_xlpm._sheetRow),
_xlpm._sheetReference,IF(_xlpm._isAssumption,IF(_xlpm._isAdditionalElement,
CELL("address",INDEX(INDIRECT("'"&amp;_xlpm._sheetName&amp;"'!"&amp;_xlpm._columnLetter&amp;":"&amp;_xlpm._columnLetter),$Y88)),
CELL("address",INDEX(Assumptions!$A:$A,MATCH($A88,Assumptions!$A:$A,0),1))),
IF(_xlpm._isAdditionalElement,
CELL("address",INDEX(INDIRECT("'"&amp;_xlpm._sheetName&amp;"'!"&amp;_xlpm._columnLetter&amp;":"&amp;_xlpm._columnLetter),$Y88)),
CELL("address",INDEX(Countermeasures!$A:$A,MATCH($A88,Countermeasures!$A:$A,0),1)))),
_xlpm._start,FIND("]",_xlpm._sheetReference),
"'"&amp;SUBSTITUTE(SUBSTITUTE(RIGHT(_xlpm._sheetReference,LEN(_xlpm._sheetReference)-_xlpm._start),"'",""),"!","'!")))</f>
        <v/>
      </c>
      <c r="AA88" s="20" t="str" cm="1">
        <f t="array" aca="1" ref="AA88" ca="1">IF(NOT($L88),
_xlfn.LET(_xlpm._value,IF($A88="","",IF($J88,SimpleLookup($A88,Assumptions!$A:$AK),SimpleLookup($A88,Countermeasures!$A:$AN))),
IF(_xlpm._value="","",_xlpm._value)),
"")</f>
        <v/>
      </c>
      <c r="AB88" s="20" t="str" cm="1">
        <f t="array" aca="1" ref="AB88" ca="1">LookupNames(InverseLookup($A88,Mitigation!$AD$2,Mitigation!$A$2,1,Helper!$B$5,","),'Attack Steps'!$A:$B)</f>
        <v/>
      </c>
      <c r="AC88" s="20" t="str" cm="1">
        <f t="array" aca="1" ref="AC88" ca="1">IF($L88,
_xlfn.LET(
_xlpm._in,$A88,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88" s="20" t="str" cm="1">
        <f t="array" aca="1" ref="AD88" ca="1">_xlfn.LET(
_xlpm._countermeasures,InverseLookup($A88,Countermeasures!$AG$2,Countermeasures!$A$2,1,Helper!$B$4,","),
LookupNames(_xlpm._countermeasures,Countermeasures!$A:$B))</f>
        <v/>
      </c>
      <c r="AE88" s="20" t="str" cm="1">
        <f t="array" aca="1" ref="AE88" ca="1">IF($E88="","",_xlfn.LET(
_xlpm._id,$E88,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88" s="20" t="str" cm="1">
        <f t="array" aca="1" ref="AF88" ca="1">IF(OR($A88="",$L88),"",_xlfn.LET(
_xlpm._answers,IF($J88,SimpleLookup($A88,Assumptions!$A:$F),SimpleLookup($A88,Countermeasures!$A:$D)),
IF(_xlpm._answers="*",IF($J88,SimpleLookup($A88,Assumptions!$A:$C),SimpleLookup($A88,Countermeasures!$A:$C)),"")))</f>
        <v/>
      </c>
      <c r="AG88" s="20" t="str" cm="1">
        <f t="array" aca="1" ref="AG88" ca="1">IF(NOT($L88),"",_xlfn.LET(
_xlpm._mappedInMitigation,IFERROR(VLOOKUP($V88,'Attack Steps'!$A:$O,COLUMNS('Attack Steps'!$A:$O),FALSE),""),
CreateSearchString(_xlpm._mappedInMitigation)))</f>
        <v/>
      </c>
      <c r="AH88" s="20" t="b">
        <f ca="1">ROW()-ROW($AH$17)=Helper!$B$15</f>
        <v>0</v>
      </c>
      <c r="AI88" s="20" t="str">
        <f t="shared" ca="1" si="26"/>
        <v/>
      </c>
      <c r="AJ88" s="20" cm="1">
        <f t="array" aca="1" ref="AJ88" ca="1">CreateID($AJ$17,$AJ:$AJ,$AI88&lt;&gt;"")</f>
        <v>0</v>
      </c>
    </row>
    <row r="89" spans="1:36" x14ac:dyDescent="0.25">
      <c r="A89" s="33" t="str">
        <f ca="1">_xlfn.LET(
_xlpm._isAssumption,$J89,
_xlpm._row,$K89,
_xlpm._numActiveAssumptions,Helper!$B$8,
_xlpm._numActiveCountermeasures,Helper!$B$9,
_xlpm._numAdditionalAssumptions,Helper!$B$10,
_xlpm._numAdditionalCountermeasures,Helper!$B$11,
IF(_xlpm._isAssumption,
IF(_xlpm._row&gt;_xlpm._numActiveAssumptions,
$V89&amp;"-A"&amp;$Q89,
INDEX(Assumptions!A:A,MATCH(_xlpm._row,Assumptions!$AG:$AG,0))),
IF(_xlpm._row&gt;_xlpm._numActiveCountermeasures+_xlpm._numAdditionalCountermeasures,"",
IF(_xlpm._row&gt;_xlpm._numActiveCountermeasures,
$V89&amp;"-C"&amp;$Q89,
INDEX(Countermeasures!$A:$A,MATCH(_xlpm._row,Countermeasures!$AI:$AI,0))))))</f>
        <v/>
      </c>
      <c r="B89" s="33" t="str" cm="1">
        <f t="array" aca="1" ref="B89" ca="1">IF($A89="","",
_xlfn.LET(
_xlpm._isAssumption,$J89,
_xlpm._isAdditionalElement,$L89,
IF(_xlpm._isAdditionalElement,
IF(_xlpm._isAssumption,
ParseElementsFromComment($U89,Definitions!$AR$4,Definitions!$AS$4,Definitions!$AR$6,$Q89),
ParseElementsFromComment($U89,Definitions!$AR$5,Definitions!$AS$5,Definitions!$AR$6,$Q89)),
 _xlfn.LET(_xlpm._value,IF($A89="","",IF($J89,SimpleLookup($A89,Assumptions!$A:$B),SimpleLookup($A89,Countermeasures!$A:$B))),IF(_xlpm._value="","",_xlpm._value)))))</f>
        <v/>
      </c>
      <c r="C89" s="33" t="str" cm="1">
        <f t="array" aca="1" ref="C89" ca="1">IF($A89="","",IF($J89,IFERROR(SimpleLookup($A89,Assumptions!$A:$E),""),Definitions!$AO$4))</f>
        <v/>
      </c>
      <c r="D89" s="37" t="str">
        <f t="shared" ca="1" si="22"/>
        <v/>
      </c>
      <c r="E89" s="23"/>
      <c r="F89" s="59" t="str">
        <f t="shared" ca="1" si="23"/>
        <v/>
      </c>
      <c r="G89" s="122" t="str" cm="1">
        <f t="array" aca="1" ref="G89" ca="1">_xlfn.LET(_xlpm._val,IFERROR(SimpleLookup($A89,Countermeasures!$A:$R),IFERROR(SimpleLookup($A89,Assumptions!$A:$R),"")),IF(_xlpm._val="","",_xlpm._val))</f>
        <v/>
      </c>
      <c r="H89" s="33" t="str" cm="1">
        <f t="array" aca="1" ref="H89" ca="1">_xlfn.LET(_xlpm._value,IF($A89="","",IFERROR(IF($J89,SimpleLookup($A89,Assumptions!$A:$S),SimpleLookup($A89,Countermeasures!$A:$S)),"")),
IF(_xlpm._value="","",_xlpm._value))</f>
        <v/>
      </c>
      <c r="I89" s="10" cm="1">
        <f t="array" aca="1" ref="I89" ca="1">IF(ROW()=ROW($I$17)+1,0,INDEX($I:$I,ROW()-1))+IF($A89="",0,1)</f>
        <v>12</v>
      </c>
      <c r="J89" s="21" t="b">
        <f ca="1">_xlfn.LET(_xlpm._row,ROW()-ROW($K$17),
_xlpm._numActiveAssumptions,Helper!$B$8,
_xlpm._numAdditionalAssumptions,SUM(Table24['# Elements]),
_xlpm._row&lt;=_xlpm._numActiveAssumptions+_xlpm._numAdditionalAssumptions)</f>
        <v>0</v>
      </c>
      <c r="K89" s="21">
        <f ca="1">_xlfn.LET(_xlpm._row,ROW()-ROW($K$17),
_xlpm._numActiveAssumptions,Helper!$B$8,
_xlpm._numAdditionalAssumptions,Helper!$B$10,
_xlpm._isAssumption,$J89,
_xlpm._elementID,IF(_xlpm._isAssumption,_xlpm._row,_xlpm._row-_xlpm._numActiveAssumptions-_xlpm._numAdditionalAssumptions),
_xlpm._elementID)</f>
        <v>66</v>
      </c>
      <c r="L89"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89" s="20" cm="1">
        <f t="array" aca="1" ref="M89" ca="1">IF($L89,
IF(ROW()=ROW($M$17)+1,1,INDEX($M:$M,ROW()-1)+IF(INDEX($T:$T,ROW()-1),1,0)),
1)</f>
        <v>1</v>
      </c>
      <c r="N89" s="20" t="str" cm="1">
        <f t="array" aca="1" ref="N89" ca="1">IF($L89=TRUE,
_xlfn.LET(
_xlpm._isAssumption,$J89,
_xlpm._indexRange,IF(_xlpm._isAssumption,Table24['# Elements],Table25['# Elements]),
_xlpm._lookupRow,$W89,
INDEX(_xlpm._indexRange,_xlpm._lookupRow)),
"")</f>
        <v/>
      </c>
      <c r="O89" s="20" t="str" cm="1">
        <f t="array" aca="1" ref="O89" ca="1">IF($N89="","",_xlfn.LET(
_xlpm._prevRow,ROW()-1,
IF(OR(INDEX($N:$N,_xlpm._prevRow)&lt;&gt;$N89,INDEX($M:$M,_xlpm._prevRow)&lt;&gt;$M89),
1,
INDEX($O:$O,_xlpm._prevRow)+IF(INDEX($S:$S,_xlpm._prevRow),1,0))))</f>
        <v/>
      </c>
      <c r="P89" s="20" t="str" cm="1">
        <f t="array" aca="1" ref="P89" ca="1">IF($O89="","",_xlfn.LET(
_xlpm._isAssumption,$J89,
_xlpm._sheetRow,$W89,
_xlpm._sheetName,$X89,
_xlpm._elementIDRange,IF(_xlpm._isAssumption,Table24[Element ID Column],Table25[Element ID Column]),
_xlpm._numberOfElementsRange,IF(_xlpm._isAssumption,Table24[Number of Elements Column],Table25[Number of Elements Column]),
SimpleLookup($O89,INDIRECT("'"&amp;_xlpm._sheetName&amp;"'!"&amp;INDEX(_xlpm._elementIDRange,_xlpm._sheetRow)&amp;":"&amp;INDEX(_xlpm._numberOfElementsRange,_xlpm._sheetRow)))))</f>
        <v/>
      </c>
      <c r="Q89" s="20" t="str" cm="1">
        <f t="array" aca="1" ref="Q89" ca="1">IF($O89="","",IF(OR(INDEX($O:$O,ROW()-1)&lt;&gt;$O89,INDEX($M:$M,ROW()-1)&lt;&gt;$M89),1,INDEX($Q:$Q,ROW()-1)+1))</f>
        <v/>
      </c>
      <c r="R89" s="20">
        <f t="shared" ca="1" si="24"/>
        <v>0</v>
      </c>
      <c r="S89" s="20" t="str">
        <f t="shared" ca="1" si="25"/>
        <v/>
      </c>
      <c r="T89" s="20" t="b">
        <f ca="1">_xlfn.LET(
_xlpm._isAssumption,$J89,
_xlpm._numberOfElementsRange,IF(_xlpm._isAssumption,Table24['# Elements],Table25['# Elements]),
_xlpm._sheetRow,$W89,
IF($L89,AND($S89,$R89=$N89),FALSE))</f>
        <v>0</v>
      </c>
      <c r="U89" s="20" t="str" cm="1">
        <f t="array" aca="1" ref="U89" ca="1">IF($L89,
_xlfn.LET(
_xlpm._elementID,$O89,
_xlpm._isAssumption,$J89,
_xlpm._sheetRow,$W89,
_xlpm._sheetName,$X89,
_xlpm._elementRow,$Y89,
_xlpm._resultColumnLetter,IF(_xlpm._isAssumption,INDEX(Table24[Comment Column],_xlpm._sheetRow),INDEX(Table25[Comment Column],_xlpm._sheetRow)),
INDEX(INDIRECT("'"&amp;_xlpm._sheetName&amp;"'!"&amp;_xlpm._resultColumnLetter&amp;":"&amp;_xlpm._resultColumnLetter),_xlpm._elementRow)),
"")</f>
        <v/>
      </c>
      <c r="V89" s="20" t="str" cm="1">
        <f t="array" aca="1" ref="V89" ca="1">IF($L89,
_xlfn.LET(
_xlpm._elementID,$O89,
_xlpm._isAssumption,$J89,
_xlpm._sheetRow,$W89,
_xlpm._sheetName,$X89,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89" s="20" t="str">
        <f ca="1">IF($L89=TRUE,
_xlfn.LET(
_xlpm._isAssumption,$J89,
_xlpm._searchRange,IF(_xlpm._isAssumption,Table24[Task Sheet Shadow ID],Table25[Task Sheet Shadow ID]),
MATCH($M89,_xlpm._searchRange,0)),
"")</f>
        <v/>
      </c>
      <c r="X89" s="20" t="str" cm="1">
        <f t="array" aca="1" ref="X89" ca="1">IF($L89,
_xlfn.LET(
_xlpm._isAssumption,$J89,
_xlpm._sheetRow,$W89,
IF(_xlpm._isAssumption,INDEX(Table24[Sheet Name],_xlpm._sheetRow),INDEX(Table25[Sheet Name],_xlpm._sheetRow))),
"")</f>
        <v/>
      </c>
      <c r="Y89" s="20" t="str" cm="1">
        <f t="array" aca="1" ref="Y89" ca="1">IF($L89,
_xlfn.LET(
_xlpm._elementID,$O89,
_xlpm._isAssumption,$J89,
_xlpm._sheetRow,$W89,
_xlpm._sheetName,$X89,
_xlpm._elementIDColumnLetter,IF(_xlpm._isAssumption,INDEX(Table24[Element ID Column],_xlpm._sheetRow),INDEX(Table25[Element ID Column],_xlpm._sheetRow)),
MATCH(_xlpm._elementID,INDIRECT("'"&amp;_xlpm._sheetName&amp;"'!"&amp;_xlpm._elementIDColumnLetter&amp;":"&amp;_xlpm._elementIDColumnLetter),0)),
"")</f>
        <v/>
      </c>
      <c r="Z89" s="20" t="str" cm="1">
        <f t="array" aca="1" ref="Z89" ca="1">IF($A89="","",_xlfn.LET(
_xlpm._isAssumption,$J89,
_xlpm._isAdditionalElement,$L89,
_xlpm._sheetRow,$W89,
_xlpm._sheetName,$X89,
_xlpm._columnLetter,INDEX(IF(_xlpm._isAdditionalElement,Table24[Comment Column],Table25[Comment Column]),_xlpm._sheetRow),
_xlpm._sheetReference,IF(_xlpm._isAssumption,IF(_xlpm._isAdditionalElement,
CELL("address",INDEX(INDIRECT("'"&amp;_xlpm._sheetName&amp;"'!"&amp;_xlpm._columnLetter&amp;":"&amp;_xlpm._columnLetter),$Y89)),
CELL("address",INDEX(Assumptions!$A:$A,MATCH($A89,Assumptions!$A:$A,0),1))),
IF(_xlpm._isAdditionalElement,
CELL("address",INDEX(INDIRECT("'"&amp;_xlpm._sheetName&amp;"'!"&amp;_xlpm._columnLetter&amp;":"&amp;_xlpm._columnLetter),$Y89)),
CELL("address",INDEX(Countermeasures!$A:$A,MATCH($A89,Countermeasures!$A:$A,0),1)))),
_xlpm._start,FIND("]",_xlpm._sheetReference),
"'"&amp;SUBSTITUTE(SUBSTITUTE(RIGHT(_xlpm._sheetReference,LEN(_xlpm._sheetReference)-_xlpm._start),"'",""),"!","'!")))</f>
        <v/>
      </c>
      <c r="AA89" s="20" t="str" cm="1">
        <f t="array" aca="1" ref="AA89" ca="1">IF(NOT($L89),
_xlfn.LET(_xlpm._value,IF($A89="","",IF($J89,SimpleLookup($A89,Assumptions!$A:$AK),SimpleLookup($A89,Countermeasures!$A:$AN))),
IF(_xlpm._value="","",_xlpm._value)),
"")</f>
        <v/>
      </c>
      <c r="AB89" s="20" t="str" cm="1">
        <f t="array" aca="1" ref="AB89" ca="1">LookupNames(InverseLookup($A89,Mitigation!$AD$2,Mitigation!$A$2,1,Helper!$B$5,","),'Attack Steps'!$A:$B)</f>
        <v/>
      </c>
      <c r="AC89" s="20" t="str" cm="1">
        <f t="array" aca="1" ref="AC89" ca="1">IF($L89,
_xlfn.LET(
_xlpm._in,$A89,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89" s="20" t="str" cm="1">
        <f t="array" aca="1" ref="AD89" ca="1">_xlfn.LET(
_xlpm._countermeasures,InverseLookup($A89,Countermeasures!$AG$2,Countermeasures!$A$2,1,Helper!$B$4,","),
LookupNames(_xlpm._countermeasures,Countermeasures!$A:$B))</f>
        <v/>
      </c>
      <c r="AE89" s="20" t="str" cm="1">
        <f t="array" aca="1" ref="AE89" ca="1">IF($E89="","",_xlfn.LET(
_xlpm._id,$E89,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89" s="20" t="str" cm="1">
        <f t="array" aca="1" ref="AF89" ca="1">IF(OR($A89="",$L89),"",_xlfn.LET(
_xlpm._answers,IF($J89,SimpleLookup($A89,Assumptions!$A:$F),SimpleLookup($A89,Countermeasures!$A:$D)),
IF(_xlpm._answers="*",IF($J89,SimpleLookup($A89,Assumptions!$A:$C),SimpleLookup($A89,Countermeasures!$A:$C)),"")))</f>
        <v/>
      </c>
      <c r="AG89" s="20" t="str" cm="1">
        <f t="array" aca="1" ref="AG89" ca="1">IF(NOT($L89),"",_xlfn.LET(
_xlpm._mappedInMitigation,IFERROR(VLOOKUP($V89,'Attack Steps'!$A:$O,COLUMNS('Attack Steps'!$A:$O),FALSE),""),
CreateSearchString(_xlpm._mappedInMitigation)))</f>
        <v/>
      </c>
      <c r="AH89" s="20" t="b">
        <f ca="1">ROW()-ROW($AH$17)=Helper!$B$15</f>
        <v>0</v>
      </c>
      <c r="AI89" s="20" t="str">
        <f t="shared" ca="1" si="26"/>
        <v/>
      </c>
      <c r="AJ89" s="20" cm="1">
        <f t="array" aca="1" ref="AJ89" ca="1">CreateID($AJ$17,$AJ:$AJ,$AI89&lt;&gt;"")</f>
        <v>0</v>
      </c>
    </row>
    <row r="90" spans="1:36" x14ac:dyDescent="0.25">
      <c r="A90" s="33" t="str">
        <f ca="1">_xlfn.LET(
_xlpm._isAssumption,$J90,
_xlpm._row,$K90,
_xlpm._numActiveAssumptions,Helper!$B$8,
_xlpm._numActiveCountermeasures,Helper!$B$9,
_xlpm._numAdditionalAssumptions,Helper!$B$10,
_xlpm._numAdditionalCountermeasures,Helper!$B$11,
IF(_xlpm._isAssumption,
IF(_xlpm._row&gt;_xlpm._numActiveAssumptions,
$V90&amp;"-A"&amp;$Q90,
INDEX(Assumptions!A:A,MATCH(_xlpm._row,Assumptions!$AG:$AG,0))),
IF(_xlpm._row&gt;_xlpm._numActiveCountermeasures+_xlpm._numAdditionalCountermeasures,"",
IF(_xlpm._row&gt;_xlpm._numActiveCountermeasures,
$V90&amp;"-C"&amp;$Q90,
INDEX(Countermeasures!$A:$A,MATCH(_xlpm._row,Countermeasures!$AI:$AI,0))))))</f>
        <v/>
      </c>
      <c r="B90" s="33" t="str" cm="1">
        <f t="array" aca="1" ref="B90" ca="1">IF($A90="","",
_xlfn.LET(
_xlpm._isAssumption,$J90,
_xlpm._isAdditionalElement,$L90,
IF(_xlpm._isAdditionalElement,
IF(_xlpm._isAssumption,
ParseElementsFromComment($U90,Definitions!$AR$4,Definitions!$AS$4,Definitions!$AR$6,$Q90),
ParseElementsFromComment($U90,Definitions!$AR$5,Definitions!$AS$5,Definitions!$AR$6,$Q90)),
 _xlfn.LET(_xlpm._value,IF($A90="","",IF($J90,SimpleLookup($A90,Assumptions!$A:$B),SimpleLookup($A90,Countermeasures!$A:$B))),IF(_xlpm._value="","",_xlpm._value)))))</f>
        <v/>
      </c>
      <c r="C90" s="33" t="str" cm="1">
        <f t="array" aca="1" ref="C90" ca="1">IF($A90="","",IF($J90,IFERROR(SimpleLookup($A90,Assumptions!$A:$E),""),Definitions!$AO$4))</f>
        <v/>
      </c>
      <c r="D90" s="37" t="str">
        <f t="shared" ca="1" si="22"/>
        <v/>
      </c>
      <c r="E90" s="23"/>
      <c r="F90" s="59" t="str">
        <f t="shared" ca="1" si="23"/>
        <v/>
      </c>
      <c r="G90" s="122" t="str" cm="1">
        <f t="array" aca="1" ref="G90" ca="1">_xlfn.LET(_xlpm._val,IFERROR(SimpleLookup($A90,Countermeasures!$A:$R),IFERROR(SimpleLookup($A90,Assumptions!$A:$R),"")),IF(_xlpm._val="","",_xlpm._val))</f>
        <v/>
      </c>
      <c r="H90" s="33" t="str" cm="1">
        <f t="array" aca="1" ref="H90" ca="1">_xlfn.LET(_xlpm._value,IF($A90="","",IFERROR(IF($J90,SimpleLookup($A90,Assumptions!$A:$S),SimpleLookup($A90,Countermeasures!$A:$S)),"")),
IF(_xlpm._value="","",_xlpm._value))</f>
        <v/>
      </c>
      <c r="I90" s="10" cm="1">
        <f t="array" aca="1" ref="I90" ca="1">IF(ROW()=ROW($I$17)+1,0,INDEX($I:$I,ROW()-1))+IF($A90="",0,1)</f>
        <v>12</v>
      </c>
      <c r="J90" s="21" t="b">
        <f ca="1">_xlfn.LET(_xlpm._row,ROW()-ROW($K$17),
_xlpm._numActiveAssumptions,Helper!$B$8,
_xlpm._numAdditionalAssumptions,SUM(Table24['# Elements]),
_xlpm._row&lt;=_xlpm._numActiveAssumptions+_xlpm._numAdditionalAssumptions)</f>
        <v>0</v>
      </c>
      <c r="K90" s="21">
        <f ca="1">_xlfn.LET(_xlpm._row,ROW()-ROW($K$17),
_xlpm._numActiveAssumptions,Helper!$B$8,
_xlpm._numAdditionalAssumptions,Helper!$B$10,
_xlpm._isAssumption,$J90,
_xlpm._elementID,IF(_xlpm._isAssumption,_xlpm._row,_xlpm._row-_xlpm._numActiveAssumptions-_xlpm._numAdditionalAssumptions),
_xlpm._elementID)</f>
        <v>67</v>
      </c>
      <c r="L90"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90" s="20" cm="1">
        <f t="array" aca="1" ref="M90" ca="1">IF($L90,
IF(ROW()=ROW($M$17)+1,1,INDEX($M:$M,ROW()-1)+IF(INDEX($T:$T,ROW()-1),1,0)),
1)</f>
        <v>1</v>
      </c>
      <c r="N90" s="20" t="str" cm="1">
        <f t="array" aca="1" ref="N90" ca="1">IF($L90=TRUE,
_xlfn.LET(
_xlpm._isAssumption,$J90,
_xlpm._indexRange,IF(_xlpm._isAssumption,Table24['# Elements],Table25['# Elements]),
_xlpm._lookupRow,$W90,
INDEX(_xlpm._indexRange,_xlpm._lookupRow)),
"")</f>
        <v/>
      </c>
      <c r="O90" s="20" t="str" cm="1">
        <f t="array" aca="1" ref="O90" ca="1">IF($N90="","",_xlfn.LET(
_xlpm._prevRow,ROW()-1,
IF(OR(INDEX($N:$N,_xlpm._prevRow)&lt;&gt;$N90,INDEX($M:$M,_xlpm._prevRow)&lt;&gt;$M90),
1,
INDEX($O:$O,_xlpm._prevRow)+IF(INDEX($S:$S,_xlpm._prevRow),1,0))))</f>
        <v/>
      </c>
      <c r="P90" s="20" t="str" cm="1">
        <f t="array" aca="1" ref="P90" ca="1">IF($O90="","",_xlfn.LET(
_xlpm._isAssumption,$J90,
_xlpm._sheetRow,$W90,
_xlpm._sheetName,$X90,
_xlpm._elementIDRange,IF(_xlpm._isAssumption,Table24[Element ID Column],Table25[Element ID Column]),
_xlpm._numberOfElementsRange,IF(_xlpm._isAssumption,Table24[Number of Elements Column],Table25[Number of Elements Column]),
SimpleLookup($O90,INDIRECT("'"&amp;_xlpm._sheetName&amp;"'!"&amp;INDEX(_xlpm._elementIDRange,_xlpm._sheetRow)&amp;":"&amp;INDEX(_xlpm._numberOfElementsRange,_xlpm._sheetRow)))))</f>
        <v/>
      </c>
      <c r="Q90" s="20" t="str" cm="1">
        <f t="array" aca="1" ref="Q90" ca="1">IF($O90="","",IF(OR(INDEX($O:$O,ROW()-1)&lt;&gt;$O90,INDEX($M:$M,ROW()-1)&lt;&gt;$M90),1,INDEX($Q:$Q,ROW()-1)+1))</f>
        <v/>
      </c>
      <c r="R90" s="20">
        <f t="shared" ca="1" si="24"/>
        <v>0</v>
      </c>
      <c r="S90" s="20" t="str">
        <f t="shared" ca="1" si="25"/>
        <v/>
      </c>
      <c r="T90" s="20" t="b">
        <f ca="1">_xlfn.LET(
_xlpm._isAssumption,$J90,
_xlpm._numberOfElementsRange,IF(_xlpm._isAssumption,Table24['# Elements],Table25['# Elements]),
_xlpm._sheetRow,$W90,
IF($L90,AND($S90,$R90=$N90),FALSE))</f>
        <v>0</v>
      </c>
      <c r="U90" s="20" t="str" cm="1">
        <f t="array" aca="1" ref="U90" ca="1">IF($L90,
_xlfn.LET(
_xlpm._elementID,$O90,
_xlpm._isAssumption,$J90,
_xlpm._sheetRow,$W90,
_xlpm._sheetName,$X90,
_xlpm._elementRow,$Y90,
_xlpm._resultColumnLetter,IF(_xlpm._isAssumption,INDEX(Table24[Comment Column],_xlpm._sheetRow),INDEX(Table25[Comment Column],_xlpm._sheetRow)),
INDEX(INDIRECT("'"&amp;_xlpm._sheetName&amp;"'!"&amp;_xlpm._resultColumnLetter&amp;":"&amp;_xlpm._resultColumnLetter),_xlpm._elementRow)),
"")</f>
        <v/>
      </c>
      <c r="V90" s="20" t="str" cm="1">
        <f t="array" aca="1" ref="V90" ca="1">IF($L90,
_xlfn.LET(
_xlpm._elementID,$O90,
_xlpm._isAssumption,$J90,
_xlpm._sheetRow,$W90,
_xlpm._sheetName,$X90,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90" s="20" t="str">
        <f ca="1">IF($L90=TRUE,
_xlfn.LET(
_xlpm._isAssumption,$J90,
_xlpm._searchRange,IF(_xlpm._isAssumption,Table24[Task Sheet Shadow ID],Table25[Task Sheet Shadow ID]),
MATCH($M90,_xlpm._searchRange,0)),
"")</f>
        <v/>
      </c>
      <c r="X90" s="20" t="str" cm="1">
        <f t="array" aca="1" ref="X90" ca="1">IF($L90,
_xlfn.LET(
_xlpm._isAssumption,$J90,
_xlpm._sheetRow,$W90,
IF(_xlpm._isAssumption,INDEX(Table24[Sheet Name],_xlpm._sheetRow),INDEX(Table25[Sheet Name],_xlpm._sheetRow))),
"")</f>
        <v/>
      </c>
      <c r="Y90" s="20" t="str" cm="1">
        <f t="array" aca="1" ref="Y90" ca="1">IF($L90,
_xlfn.LET(
_xlpm._elementID,$O90,
_xlpm._isAssumption,$J90,
_xlpm._sheetRow,$W90,
_xlpm._sheetName,$X90,
_xlpm._elementIDColumnLetter,IF(_xlpm._isAssumption,INDEX(Table24[Element ID Column],_xlpm._sheetRow),INDEX(Table25[Element ID Column],_xlpm._sheetRow)),
MATCH(_xlpm._elementID,INDIRECT("'"&amp;_xlpm._sheetName&amp;"'!"&amp;_xlpm._elementIDColumnLetter&amp;":"&amp;_xlpm._elementIDColumnLetter),0)),
"")</f>
        <v/>
      </c>
      <c r="Z90" s="20" t="str" cm="1">
        <f t="array" aca="1" ref="Z90" ca="1">IF($A90="","",_xlfn.LET(
_xlpm._isAssumption,$J90,
_xlpm._isAdditionalElement,$L90,
_xlpm._sheetRow,$W90,
_xlpm._sheetName,$X90,
_xlpm._columnLetter,INDEX(IF(_xlpm._isAdditionalElement,Table24[Comment Column],Table25[Comment Column]),_xlpm._sheetRow),
_xlpm._sheetReference,IF(_xlpm._isAssumption,IF(_xlpm._isAdditionalElement,
CELL("address",INDEX(INDIRECT("'"&amp;_xlpm._sheetName&amp;"'!"&amp;_xlpm._columnLetter&amp;":"&amp;_xlpm._columnLetter),$Y90)),
CELL("address",INDEX(Assumptions!$A:$A,MATCH($A90,Assumptions!$A:$A,0),1))),
IF(_xlpm._isAdditionalElement,
CELL("address",INDEX(INDIRECT("'"&amp;_xlpm._sheetName&amp;"'!"&amp;_xlpm._columnLetter&amp;":"&amp;_xlpm._columnLetter),$Y90)),
CELL("address",INDEX(Countermeasures!$A:$A,MATCH($A90,Countermeasures!$A:$A,0),1)))),
_xlpm._start,FIND("]",_xlpm._sheetReference),
"'"&amp;SUBSTITUTE(SUBSTITUTE(RIGHT(_xlpm._sheetReference,LEN(_xlpm._sheetReference)-_xlpm._start),"'",""),"!","'!")))</f>
        <v/>
      </c>
      <c r="AA90" s="20" t="str" cm="1">
        <f t="array" aca="1" ref="AA90" ca="1">IF(NOT($L90),
_xlfn.LET(_xlpm._value,IF($A90="","",IF($J90,SimpleLookup($A90,Assumptions!$A:$AK),SimpleLookup($A90,Countermeasures!$A:$AN))),
IF(_xlpm._value="","",_xlpm._value)),
"")</f>
        <v/>
      </c>
      <c r="AB90" s="20" t="str" cm="1">
        <f t="array" aca="1" ref="AB90" ca="1">LookupNames(InverseLookup($A90,Mitigation!$AD$2,Mitigation!$A$2,1,Helper!$B$5,","),'Attack Steps'!$A:$B)</f>
        <v/>
      </c>
      <c r="AC90" s="20" t="str" cm="1">
        <f t="array" aca="1" ref="AC90" ca="1">IF($L90,
_xlfn.LET(
_xlpm._in,$A90,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90" s="20" t="str" cm="1">
        <f t="array" aca="1" ref="AD90" ca="1">_xlfn.LET(
_xlpm._countermeasures,InverseLookup($A90,Countermeasures!$AG$2,Countermeasures!$A$2,1,Helper!$B$4,","),
LookupNames(_xlpm._countermeasures,Countermeasures!$A:$B))</f>
        <v/>
      </c>
      <c r="AE90" s="20" t="str" cm="1">
        <f t="array" aca="1" ref="AE90" ca="1">IF($E90="","",_xlfn.LET(
_xlpm._id,$E90,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90" s="20" t="str" cm="1">
        <f t="array" aca="1" ref="AF90" ca="1">IF(OR($A90="",$L90),"",_xlfn.LET(
_xlpm._answers,IF($J90,SimpleLookup($A90,Assumptions!$A:$F),SimpleLookup($A90,Countermeasures!$A:$D)),
IF(_xlpm._answers="*",IF($J90,SimpleLookup($A90,Assumptions!$A:$C),SimpleLookup($A90,Countermeasures!$A:$C)),"")))</f>
        <v/>
      </c>
      <c r="AG90" s="20" t="str" cm="1">
        <f t="array" aca="1" ref="AG90" ca="1">IF(NOT($L90),"",_xlfn.LET(
_xlpm._mappedInMitigation,IFERROR(VLOOKUP($V90,'Attack Steps'!$A:$O,COLUMNS('Attack Steps'!$A:$O),FALSE),""),
CreateSearchString(_xlpm._mappedInMitigation)))</f>
        <v/>
      </c>
      <c r="AH90" s="20" t="b">
        <f ca="1">ROW()-ROW($AH$17)=Helper!$B$15</f>
        <v>0</v>
      </c>
      <c r="AI90" s="20" t="str">
        <f t="shared" ca="1" si="26"/>
        <v/>
      </c>
      <c r="AJ90" s="20" cm="1">
        <f t="array" aca="1" ref="AJ90" ca="1">CreateID($AJ$17,$AJ:$AJ,$AI90&lt;&gt;"")</f>
        <v>0</v>
      </c>
    </row>
    <row r="91" spans="1:36" x14ac:dyDescent="0.25">
      <c r="A91" s="33" t="str">
        <f ca="1">_xlfn.LET(
_xlpm._isAssumption,$J91,
_xlpm._row,$K91,
_xlpm._numActiveAssumptions,Helper!$B$8,
_xlpm._numActiveCountermeasures,Helper!$B$9,
_xlpm._numAdditionalAssumptions,Helper!$B$10,
_xlpm._numAdditionalCountermeasures,Helper!$B$11,
IF(_xlpm._isAssumption,
IF(_xlpm._row&gt;_xlpm._numActiveAssumptions,
$V91&amp;"-A"&amp;$Q91,
INDEX(Assumptions!A:A,MATCH(_xlpm._row,Assumptions!$AG:$AG,0))),
IF(_xlpm._row&gt;_xlpm._numActiveCountermeasures+_xlpm._numAdditionalCountermeasures,"",
IF(_xlpm._row&gt;_xlpm._numActiveCountermeasures,
$V91&amp;"-C"&amp;$Q91,
INDEX(Countermeasures!$A:$A,MATCH(_xlpm._row,Countermeasures!$AI:$AI,0))))))</f>
        <v/>
      </c>
      <c r="B91" s="33" t="str" cm="1">
        <f t="array" aca="1" ref="B91" ca="1">IF($A91="","",
_xlfn.LET(
_xlpm._isAssumption,$J91,
_xlpm._isAdditionalElement,$L91,
IF(_xlpm._isAdditionalElement,
IF(_xlpm._isAssumption,
ParseElementsFromComment($U91,Definitions!$AR$4,Definitions!$AS$4,Definitions!$AR$6,$Q91),
ParseElementsFromComment($U91,Definitions!$AR$5,Definitions!$AS$5,Definitions!$AR$6,$Q91)),
 _xlfn.LET(_xlpm._value,IF($A91="","",IF($J91,SimpleLookup($A91,Assumptions!$A:$B),SimpleLookup($A91,Countermeasures!$A:$B))),IF(_xlpm._value="","",_xlpm._value)))))</f>
        <v/>
      </c>
      <c r="C91" s="33" t="str" cm="1">
        <f t="array" aca="1" ref="C91" ca="1">IF($A91="","",IF($J91,IFERROR(SimpleLookup($A91,Assumptions!$A:$E),""),Definitions!$AO$4))</f>
        <v/>
      </c>
      <c r="D91" s="37" t="str">
        <f t="shared" ca="1" si="22"/>
        <v/>
      </c>
      <c r="E91" s="23"/>
      <c r="F91" s="59" t="str">
        <f t="shared" ca="1" si="23"/>
        <v/>
      </c>
      <c r="G91" s="122" t="str" cm="1">
        <f t="array" aca="1" ref="G91" ca="1">_xlfn.LET(_xlpm._val,IFERROR(SimpleLookup($A91,Countermeasures!$A:$R),IFERROR(SimpleLookup($A91,Assumptions!$A:$R),"")),IF(_xlpm._val="","",_xlpm._val))</f>
        <v/>
      </c>
      <c r="H91" s="33" t="str" cm="1">
        <f t="array" aca="1" ref="H91" ca="1">_xlfn.LET(_xlpm._value,IF($A91="","",IFERROR(IF($J91,SimpleLookup($A91,Assumptions!$A:$S),SimpleLookup($A91,Countermeasures!$A:$S)),"")),
IF(_xlpm._value="","",_xlpm._value))</f>
        <v/>
      </c>
      <c r="I91" s="10" cm="1">
        <f t="array" aca="1" ref="I91" ca="1">IF(ROW()=ROW($I$17)+1,0,INDEX($I:$I,ROW()-1))+IF($A91="",0,1)</f>
        <v>12</v>
      </c>
      <c r="J91" s="21" t="b">
        <f ca="1">_xlfn.LET(_xlpm._row,ROW()-ROW($K$17),
_xlpm._numActiveAssumptions,Helper!$B$8,
_xlpm._numAdditionalAssumptions,SUM(Table24['# Elements]),
_xlpm._row&lt;=_xlpm._numActiveAssumptions+_xlpm._numAdditionalAssumptions)</f>
        <v>0</v>
      </c>
      <c r="K91" s="21">
        <f ca="1">_xlfn.LET(_xlpm._row,ROW()-ROW($K$17),
_xlpm._numActiveAssumptions,Helper!$B$8,
_xlpm._numAdditionalAssumptions,Helper!$B$10,
_xlpm._isAssumption,$J91,
_xlpm._elementID,IF(_xlpm._isAssumption,_xlpm._row,_xlpm._row-_xlpm._numActiveAssumptions-_xlpm._numAdditionalAssumptions),
_xlpm._elementID)</f>
        <v>68</v>
      </c>
      <c r="L91"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91" s="20" cm="1">
        <f t="array" aca="1" ref="M91" ca="1">IF($L91,
IF(ROW()=ROW($M$17)+1,1,INDEX($M:$M,ROW()-1)+IF(INDEX($T:$T,ROW()-1),1,0)),
1)</f>
        <v>1</v>
      </c>
      <c r="N91" s="20" t="str" cm="1">
        <f t="array" aca="1" ref="N91" ca="1">IF($L91=TRUE,
_xlfn.LET(
_xlpm._isAssumption,$J91,
_xlpm._indexRange,IF(_xlpm._isAssumption,Table24['# Elements],Table25['# Elements]),
_xlpm._lookupRow,$W91,
INDEX(_xlpm._indexRange,_xlpm._lookupRow)),
"")</f>
        <v/>
      </c>
      <c r="O91" s="20" t="str" cm="1">
        <f t="array" aca="1" ref="O91" ca="1">IF($N91="","",_xlfn.LET(
_xlpm._prevRow,ROW()-1,
IF(OR(INDEX($N:$N,_xlpm._prevRow)&lt;&gt;$N91,INDEX($M:$M,_xlpm._prevRow)&lt;&gt;$M91),
1,
INDEX($O:$O,_xlpm._prevRow)+IF(INDEX($S:$S,_xlpm._prevRow),1,0))))</f>
        <v/>
      </c>
      <c r="P91" s="20" t="str" cm="1">
        <f t="array" aca="1" ref="P91" ca="1">IF($O91="","",_xlfn.LET(
_xlpm._isAssumption,$J91,
_xlpm._sheetRow,$W91,
_xlpm._sheetName,$X91,
_xlpm._elementIDRange,IF(_xlpm._isAssumption,Table24[Element ID Column],Table25[Element ID Column]),
_xlpm._numberOfElementsRange,IF(_xlpm._isAssumption,Table24[Number of Elements Column],Table25[Number of Elements Column]),
SimpleLookup($O91,INDIRECT("'"&amp;_xlpm._sheetName&amp;"'!"&amp;INDEX(_xlpm._elementIDRange,_xlpm._sheetRow)&amp;":"&amp;INDEX(_xlpm._numberOfElementsRange,_xlpm._sheetRow)))))</f>
        <v/>
      </c>
      <c r="Q91" s="20" t="str" cm="1">
        <f t="array" aca="1" ref="Q91" ca="1">IF($O91="","",IF(OR(INDEX($O:$O,ROW()-1)&lt;&gt;$O91,INDEX($M:$M,ROW()-1)&lt;&gt;$M91),1,INDEX($Q:$Q,ROW()-1)+1))</f>
        <v/>
      </c>
      <c r="R91" s="20">
        <f t="shared" ca="1" si="24"/>
        <v>0</v>
      </c>
      <c r="S91" s="20" t="str">
        <f t="shared" ca="1" si="25"/>
        <v/>
      </c>
      <c r="T91" s="20" t="b">
        <f ca="1">_xlfn.LET(
_xlpm._isAssumption,$J91,
_xlpm._numberOfElementsRange,IF(_xlpm._isAssumption,Table24['# Elements],Table25['# Elements]),
_xlpm._sheetRow,$W91,
IF($L91,AND($S91,$R91=$N91),FALSE))</f>
        <v>0</v>
      </c>
      <c r="U91" s="20" t="str" cm="1">
        <f t="array" aca="1" ref="U91" ca="1">IF($L91,
_xlfn.LET(
_xlpm._elementID,$O91,
_xlpm._isAssumption,$J91,
_xlpm._sheetRow,$W91,
_xlpm._sheetName,$X91,
_xlpm._elementRow,$Y91,
_xlpm._resultColumnLetter,IF(_xlpm._isAssumption,INDEX(Table24[Comment Column],_xlpm._sheetRow),INDEX(Table25[Comment Column],_xlpm._sheetRow)),
INDEX(INDIRECT("'"&amp;_xlpm._sheetName&amp;"'!"&amp;_xlpm._resultColumnLetter&amp;":"&amp;_xlpm._resultColumnLetter),_xlpm._elementRow)),
"")</f>
        <v/>
      </c>
      <c r="V91" s="20" t="str" cm="1">
        <f t="array" aca="1" ref="V91" ca="1">IF($L91,
_xlfn.LET(
_xlpm._elementID,$O91,
_xlpm._isAssumption,$J91,
_xlpm._sheetRow,$W91,
_xlpm._sheetName,$X91,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91" s="20" t="str">
        <f ca="1">IF($L91=TRUE,
_xlfn.LET(
_xlpm._isAssumption,$J91,
_xlpm._searchRange,IF(_xlpm._isAssumption,Table24[Task Sheet Shadow ID],Table25[Task Sheet Shadow ID]),
MATCH($M91,_xlpm._searchRange,0)),
"")</f>
        <v/>
      </c>
      <c r="X91" s="20" t="str" cm="1">
        <f t="array" aca="1" ref="X91" ca="1">IF($L91,
_xlfn.LET(
_xlpm._isAssumption,$J91,
_xlpm._sheetRow,$W91,
IF(_xlpm._isAssumption,INDEX(Table24[Sheet Name],_xlpm._sheetRow),INDEX(Table25[Sheet Name],_xlpm._sheetRow))),
"")</f>
        <v/>
      </c>
      <c r="Y91" s="20" t="str" cm="1">
        <f t="array" aca="1" ref="Y91" ca="1">IF($L91,
_xlfn.LET(
_xlpm._elementID,$O91,
_xlpm._isAssumption,$J91,
_xlpm._sheetRow,$W91,
_xlpm._sheetName,$X91,
_xlpm._elementIDColumnLetter,IF(_xlpm._isAssumption,INDEX(Table24[Element ID Column],_xlpm._sheetRow),INDEX(Table25[Element ID Column],_xlpm._sheetRow)),
MATCH(_xlpm._elementID,INDIRECT("'"&amp;_xlpm._sheetName&amp;"'!"&amp;_xlpm._elementIDColumnLetter&amp;":"&amp;_xlpm._elementIDColumnLetter),0)),
"")</f>
        <v/>
      </c>
      <c r="Z91" s="20" t="str" cm="1">
        <f t="array" aca="1" ref="Z91" ca="1">IF($A91="","",_xlfn.LET(
_xlpm._isAssumption,$J91,
_xlpm._isAdditionalElement,$L91,
_xlpm._sheetRow,$W91,
_xlpm._sheetName,$X91,
_xlpm._columnLetter,INDEX(IF(_xlpm._isAdditionalElement,Table24[Comment Column],Table25[Comment Column]),_xlpm._sheetRow),
_xlpm._sheetReference,IF(_xlpm._isAssumption,IF(_xlpm._isAdditionalElement,
CELL("address",INDEX(INDIRECT("'"&amp;_xlpm._sheetName&amp;"'!"&amp;_xlpm._columnLetter&amp;":"&amp;_xlpm._columnLetter),$Y91)),
CELL("address",INDEX(Assumptions!$A:$A,MATCH($A91,Assumptions!$A:$A,0),1))),
IF(_xlpm._isAdditionalElement,
CELL("address",INDEX(INDIRECT("'"&amp;_xlpm._sheetName&amp;"'!"&amp;_xlpm._columnLetter&amp;":"&amp;_xlpm._columnLetter),$Y91)),
CELL("address",INDEX(Countermeasures!$A:$A,MATCH($A91,Countermeasures!$A:$A,0),1)))),
_xlpm._start,FIND("]",_xlpm._sheetReference),
"'"&amp;SUBSTITUTE(SUBSTITUTE(RIGHT(_xlpm._sheetReference,LEN(_xlpm._sheetReference)-_xlpm._start),"'",""),"!","'!")))</f>
        <v/>
      </c>
      <c r="AA91" s="20" t="str" cm="1">
        <f t="array" aca="1" ref="AA91" ca="1">IF(NOT($L91),
_xlfn.LET(_xlpm._value,IF($A91="","",IF($J91,SimpleLookup($A91,Assumptions!$A:$AK),SimpleLookup($A91,Countermeasures!$A:$AN))),
IF(_xlpm._value="","",_xlpm._value)),
"")</f>
        <v/>
      </c>
      <c r="AB91" s="20" t="str" cm="1">
        <f t="array" aca="1" ref="AB91" ca="1">LookupNames(InverseLookup($A91,Mitigation!$AD$2,Mitigation!$A$2,1,Helper!$B$5,","),'Attack Steps'!$A:$B)</f>
        <v/>
      </c>
      <c r="AC91" s="20" t="str" cm="1">
        <f t="array" aca="1" ref="AC91" ca="1">IF($L91,
_xlfn.LET(
_xlpm._in,$A91,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91" s="20" t="str" cm="1">
        <f t="array" aca="1" ref="AD91" ca="1">_xlfn.LET(
_xlpm._countermeasures,InverseLookup($A91,Countermeasures!$AG$2,Countermeasures!$A$2,1,Helper!$B$4,","),
LookupNames(_xlpm._countermeasures,Countermeasures!$A:$B))</f>
        <v/>
      </c>
      <c r="AE91" s="20" t="str" cm="1">
        <f t="array" aca="1" ref="AE91" ca="1">IF($E91="","",_xlfn.LET(
_xlpm._id,$E91,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91" s="20" t="str" cm="1">
        <f t="array" aca="1" ref="AF91" ca="1">IF(OR($A91="",$L91),"",_xlfn.LET(
_xlpm._answers,IF($J91,SimpleLookup($A91,Assumptions!$A:$F),SimpleLookup($A91,Countermeasures!$A:$D)),
IF(_xlpm._answers="*",IF($J91,SimpleLookup($A91,Assumptions!$A:$C),SimpleLookup($A91,Countermeasures!$A:$C)),"")))</f>
        <v/>
      </c>
      <c r="AG91" s="20" t="str" cm="1">
        <f t="array" aca="1" ref="AG91" ca="1">IF(NOT($L91),"",_xlfn.LET(
_xlpm._mappedInMitigation,IFERROR(VLOOKUP($V91,'Attack Steps'!$A:$O,COLUMNS('Attack Steps'!$A:$O),FALSE),""),
CreateSearchString(_xlpm._mappedInMitigation)))</f>
        <v/>
      </c>
      <c r="AH91" s="20" t="b">
        <f ca="1">ROW()-ROW($AH$17)=Helper!$B$15</f>
        <v>0</v>
      </c>
      <c r="AI91" s="20" t="str">
        <f t="shared" ca="1" si="26"/>
        <v/>
      </c>
      <c r="AJ91" s="20" cm="1">
        <f t="array" aca="1" ref="AJ91" ca="1">CreateID($AJ$17,$AJ:$AJ,$AI91&lt;&gt;"")</f>
        <v>0</v>
      </c>
    </row>
    <row r="92" spans="1:36" x14ac:dyDescent="0.25">
      <c r="A92" s="33" t="str">
        <f ca="1">_xlfn.LET(
_xlpm._isAssumption,$J92,
_xlpm._row,$K92,
_xlpm._numActiveAssumptions,Helper!$B$8,
_xlpm._numActiveCountermeasures,Helper!$B$9,
_xlpm._numAdditionalAssumptions,Helper!$B$10,
_xlpm._numAdditionalCountermeasures,Helper!$B$11,
IF(_xlpm._isAssumption,
IF(_xlpm._row&gt;_xlpm._numActiveAssumptions,
$V92&amp;"-A"&amp;$Q92,
INDEX(Assumptions!A:A,MATCH(_xlpm._row,Assumptions!$AG:$AG,0))),
IF(_xlpm._row&gt;_xlpm._numActiveCountermeasures+_xlpm._numAdditionalCountermeasures,"",
IF(_xlpm._row&gt;_xlpm._numActiveCountermeasures,
$V92&amp;"-C"&amp;$Q92,
INDEX(Countermeasures!$A:$A,MATCH(_xlpm._row,Countermeasures!$AI:$AI,0))))))</f>
        <v/>
      </c>
      <c r="B92" s="33" t="str" cm="1">
        <f t="array" aca="1" ref="B92" ca="1">IF($A92="","",
_xlfn.LET(
_xlpm._isAssumption,$J92,
_xlpm._isAdditionalElement,$L92,
IF(_xlpm._isAdditionalElement,
IF(_xlpm._isAssumption,
ParseElementsFromComment($U92,Definitions!$AR$4,Definitions!$AS$4,Definitions!$AR$6,$Q92),
ParseElementsFromComment($U92,Definitions!$AR$5,Definitions!$AS$5,Definitions!$AR$6,$Q92)),
 _xlfn.LET(_xlpm._value,IF($A92="","",IF($J92,SimpleLookup($A92,Assumptions!$A:$B),SimpleLookup($A92,Countermeasures!$A:$B))),IF(_xlpm._value="","",_xlpm._value)))))</f>
        <v/>
      </c>
      <c r="C92" s="33" t="str" cm="1">
        <f t="array" aca="1" ref="C92" ca="1">IF($A92="","",IF($J92,IFERROR(SimpleLookup($A92,Assumptions!$A:$E),""),Definitions!$AO$4))</f>
        <v/>
      </c>
      <c r="D92" s="37" t="str">
        <f t="shared" ca="1" si="22"/>
        <v/>
      </c>
      <c r="E92" s="23"/>
      <c r="F92" s="59" t="str">
        <f t="shared" ca="1" si="23"/>
        <v/>
      </c>
      <c r="G92" s="122" t="str" cm="1">
        <f t="array" aca="1" ref="G92" ca="1">_xlfn.LET(_xlpm._val,IFERROR(SimpleLookup($A92,Countermeasures!$A:$R),IFERROR(SimpleLookup($A92,Assumptions!$A:$R),"")),IF(_xlpm._val="","",_xlpm._val))</f>
        <v/>
      </c>
      <c r="H92" s="33" t="str" cm="1">
        <f t="array" aca="1" ref="H92" ca="1">_xlfn.LET(_xlpm._value,IF($A92="","",IFERROR(IF($J92,SimpleLookup($A92,Assumptions!$A:$S),SimpleLookup($A92,Countermeasures!$A:$S)),"")),
IF(_xlpm._value="","",_xlpm._value))</f>
        <v/>
      </c>
      <c r="I92" s="10" cm="1">
        <f t="array" aca="1" ref="I92" ca="1">IF(ROW()=ROW($I$17)+1,0,INDEX($I:$I,ROW()-1))+IF($A92="",0,1)</f>
        <v>12</v>
      </c>
      <c r="J92" s="21" t="b">
        <f ca="1">_xlfn.LET(_xlpm._row,ROW()-ROW($K$17),
_xlpm._numActiveAssumptions,Helper!$B$8,
_xlpm._numAdditionalAssumptions,SUM(Table24['# Elements]),
_xlpm._row&lt;=_xlpm._numActiveAssumptions+_xlpm._numAdditionalAssumptions)</f>
        <v>0</v>
      </c>
      <c r="K92" s="21">
        <f ca="1">_xlfn.LET(_xlpm._row,ROW()-ROW($K$17),
_xlpm._numActiveAssumptions,Helper!$B$8,
_xlpm._numAdditionalAssumptions,Helper!$B$10,
_xlpm._isAssumption,$J92,
_xlpm._elementID,IF(_xlpm._isAssumption,_xlpm._row,_xlpm._row-_xlpm._numActiveAssumptions-_xlpm._numAdditionalAssumptions),
_xlpm._elementID)</f>
        <v>69</v>
      </c>
      <c r="L92"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92" s="20" cm="1">
        <f t="array" aca="1" ref="M92" ca="1">IF($L92,
IF(ROW()=ROW($M$17)+1,1,INDEX($M:$M,ROW()-1)+IF(INDEX($T:$T,ROW()-1),1,0)),
1)</f>
        <v>1</v>
      </c>
      <c r="N92" s="20" t="str" cm="1">
        <f t="array" aca="1" ref="N92" ca="1">IF($L92=TRUE,
_xlfn.LET(
_xlpm._isAssumption,$J92,
_xlpm._indexRange,IF(_xlpm._isAssumption,Table24['# Elements],Table25['# Elements]),
_xlpm._lookupRow,$W92,
INDEX(_xlpm._indexRange,_xlpm._lookupRow)),
"")</f>
        <v/>
      </c>
      <c r="O92" s="20" t="str" cm="1">
        <f t="array" aca="1" ref="O92" ca="1">IF($N92="","",_xlfn.LET(
_xlpm._prevRow,ROW()-1,
IF(OR(INDEX($N:$N,_xlpm._prevRow)&lt;&gt;$N92,INDEX($M:$M,_xlpm._prevRow)&lt;&gt;$M92),
1,
INDEX($O:$O,_xlpm._prevRow)+IF(INDEX($S:$S,_xlpm._prevRow),1,0))))</f>
        <v/>
      </c>
      <c r="P92" s="20" t="str" cm="1">
        <f t="array" aca="1" ref="P92" ca="1">IF($O92="","",_xlfn.LET(
_xlpm._isAssumption,$J92,
_xlpm._sheetRow,$W92,
_xlpm._sheetName,$X92,
_xlpm._elementIDRange,IF(_xlpm._isAssumption,Table24[Element ID Column],Table25[Element ID Column]),
_xlpm._numberOfElementsRange,IF(_xlpm._isAssumption,Table24[Number of Elements Column],Table25[Number of Elements Column]),
SimpleLookup($O92,INDIRECT("'"&amp;_xlpm._sheetName&amp;"'!"&amp;INDEX(_xlpm._elementIDRange,_xlpm._sheetRow)&amp;":"&amp;INDEX(_xlpm._numberOfElementsRange,_xlpm._sheetRow)))))</f>
        <v/>
      </c>
      <c r="Q92" s="20" t="str" cm="1">
        <f t="array" aca="1" ref="Q92" ca="1">IF($O92="","",IF(OR(INDEX($O:$O,ROW()-1)&lt;&gt;$O92,INDEX($M:$M,ROW()-1)&lt;&gt;$M92),1,INDEX($Q:$Q,ROW()-1)+1))</f>
        <v/>
      </c>
      <c r="R92" s="20">
        <f t="shared" ca="1" si="24"/>
        <v>0</v>
      </c>
      <c r="S92" s="20" t="str">
        <f t="shared" ca="1" si="25"/>
        <v/>
      </c>
      <c r="T92" s="20" t="b">
        <f ca="1">_xlfn.LET(
_xlpm._isAssumption,$J92,
_xlpm._numberOfElementsRange,IF(_xlpm._isAssumption,Table24['# Elements],Table25['# Elements]),
_xlpm._sheetRow,$W92,
IF($L92,AND($S92,$R92=$N92),FALSE))</f>
        <v>0</v>
      </c>
      <c r="U92" s="20" t="str" cm="1">
        <f t="array" aca="1" ref="U92" ca="1">IF($L92,
_xlfn.LET(
_xlpm._elementID,$O92,
_xlpm._isAssumption,$J92,
_xlpm._sheetRow,$W92,
_xlpm._sheetName,$X92,
_xlpm._elementRow,$Y92,
_xlpm._resultColumnLetter,IF(_xlpm._isAssumption,INDEX(Table24[Comment Column],_xlpm._sheetRow),INDEX(Table25[Comment Column],_xlpm._sheetRow)),
INDEX(INDIRECT("'"&amp;_xlpm._sheetName&amp;"'!"&amp;_xlpm._resultColumnLetter&amp;":"&amp;_xlpm._resultColumnLetter),_xlpm._elementRow)),
"")</f>
        <v/>
      </c>
      <c r="V92" s="20" t="str" cm="1">
        <f t="array" aca="1" ref="V92" ca="1">IF($L92,
_xlfn.LET(
_xlpm._elementID,$O92,
_xlpm._isAssumption,$J92,
_xlpm._sheetRow,$W92,
_xlpm._sheetName,$X92,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92" s="20" t="str">
        <f ca="1">IF($L92=TRUE,
_xlfn.LET(
_xlpm._isAssumption,$J92,
_xlpm._searchRange,IF(_xlpm._isAssumption,Table24[Task Sheet Shadow ID],Table25[Task Sheet Shadow ID]),
MATCH($M92,_xlpm._searchRange,0)),
"")</f>
        <v/>
      </c>
      <c r="X92" s="20" t="str" cm="1">
        <f t="array" aca="1" ref="X92" ca="1">IF($L92,
_xlfn.LET(
_xlpm._isAssumption,$J92,
_xlpm._sheetRow,$W92,
IF(_xlpm._isAssumption,INDEX(Table24[Sheet Name],_xlpm._sheetRow),INDEX(Table25[Sheet Name],_xlpm._sheetRow))),
"")</f>
        <v/>
      </c>
      <c r="Y92" s="20" t="str" cm="1">
        <f t="array" aca="1" ref="Y92" ca="1">IF($L92,
_xlfn.LET(
_xlpm._elementID,$O92,
_xlpm._isAssumption,$J92,
_xlpm._sheetRow,$W92,
_xlpm._sheetName,$X92,
_xlpm._elementIDColumnLetter,IF(_xlpm._isAssumption,INDEX(Table24[Element ID Column],_xlpm._sheetRow),INDEX(Table25[Element ID Column],_xlpm._sheetRow)),
MATCH(_xlpm._elementID,INDIRECT("'"&amp;_xlpm._sheetName&amp;"'!"&amp;_xlpm._elementIDColumnLetter&amp;":"&amp;_xlpm._elementIDColumnLetter),0)),
"")</f>
        <v/>
      </c>
      <c r="Z92" s="20" t="str" cm="1">
        <f t="array" aca="1" ref="Z92" ca="1">IF($A92="","",_xlfn.LET(
_xlpm._isAssumption,$J92,
_xlpm._isAdditionalElement,$L92,
_xlpm._sheetRow,$W92,
_xlpm._sheetName,$X92,
_xlpm._columnLetter,INDEX(IF(_xlpm._isAdditionalElement,Table24[Comment Column],Table25[Comment Column]),_xlpm._sheetRow),
_xlpm._sheetReference,IF(_xlpm._isAssumption,IF(_xlpm._isAdditionalElement,
CELL("address",INDEX(INDIRECT("'"&amp;_xlpm._sheetName&amp;"'!"&amp;_xlpm._columnLetter&amp;":"&amp;_xlpm._columnLetter),$Y92)),
CELL("address",INDEX(Assumptions!$A:$A,MATCH($A92,Assumptions!$A:$A,0),1))),
IF(_xlpm._isAdditionalElement,
CELL("address",INDEX(INDIRECT("'"&amp;_xlpm._sheetName&amp;"'!"&amp;_xlpm._columnLetter&amp;":"&amp;_xlpm._columnLetter),$Y92)),
CELL("address",INDEX(Countermeasures!$A:$A,MATCH($A92,Countermeasures!$A:$A,0),1)))),
_xlpm._start,FIND("]",_xlpm._sheetReference),
"'"&amp;SUBSTITUTE(SUBSTITUTE(RIGHT(_xlpm._sheetReference,LEN(_xlpm._sheetReference)-_xlpm._start),"'",""),"!","'!")))</f>
        <v/>
      </c>
      <c r="AA92" s="20" t="str" cm="1">
        <f t="array" aca="1" ref="AA92" ca="1">IF(NOT($L92),
_xlfn.LET(_xlpm._value,IF($A92="","",IF($J92,SimpleLookup($A92,Assumptions!$A:$AK),SimpleLookup($A92,Countermeasures!$A:$AN))),
IF(_xlpm._value="","",_xlpm._value)),
"")</f>
        <v/>
      </c>
      <c r="AB92" s="20" t="str" cm="1">
        <f t="array" aca="1" ref="AB92" ca="1">LookupNames(InverseLookup($A92,Mitigation!$AD$2,Mitigation!$A$2,1,Helper!$B$5,","),'Attack Steps'!$A:$B)</f>
        <v/>
      </c>
      <c r="AC92" s="20" t="str" cm="1">
        <f t="array" aca="1" ref="AC92" ca="1">IF($L92,
_xlfn.LET(
_xlpm._in,$A92,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92" s="20" t="str" cm="1">
        <f t="array" aca="1" ref="AD92" ca="1">_xlfn.LET(
_xlpm._countermeasures,InverseLookup($A92,Countermeasures!$AG$2,Countermeasures!$A$2,1,Helper!$B$4,","),
LookupNames(_xlpm._countermeasures,Countermeasures!$A:$B))</f>
        <v/>
      </c>
      <c r="AE92" s="20" t="str" cm="1">
        <f t="array" aca="1" ref="AE92" ca="1">IF($E92="","",_xlfn.LET(
_xlpm._id,$E92,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92" s="20" t="str" cm="1">
        <f t="array" aca="1" ref="AF92" ca="1">IF(OR($A92="",$L92),"",_xlfn.LET(
_xlpm._answers,IF($J92,SimpleLookup($A92,Assumptions!$A:$F),SimpleLookup($A92,Countermeasures!$A:$D)),
IF(_xlpm._answers="*",IF($J92,SimpleLookup($A92,Assumptions!$A:$C),SimpleLookup($A92,Countermeasures!$A:$C)),"")))</f>
        <v/>
      </c>
      <c r="AG92" s="20" t="str" cm="1">
        <f t="array" aca="1" ref="AG92" ca="1">IF(NOT($L92),"",_xlfn.LET(
_xlpm._mappedInMitigation,IFERROR(VLOOKUP($V92,'Attack Steps'!$A:$O,COLUMNS('Attack Steps'!$A:$O),FALSE),""),
CreateSearchString(_xlpm._mappedInMitigation)))</f>
        <v/>
      </c>
      <c r="AH92" s="20" t="b">
        <f ca="1">ROW()-ROW($AH$17)=Helper!$B$15</f>
        <v>0</v>
      </c>
      <c r="AI92" s="20" t="str">
        <f t="shared" ca="1" si="26"/>
        <v/>
      </c>
      <c r="AJ92" s="20" cm="1">
        <f t="array" aca="1" ref="AJ92" ca="1">CreateID($AJ$17,$AJ:$AJ,$AI92&lt;&gt;"")</f>
        <v>0</v>
      </c>
    </row>
    <row r="93" spans="1:36" x14ac:dyDescent="0.25">
      <c r="A93" s="33" t="str">
        <f ca="1">_xlfn.LET(
_xlpm._isAssumption,$J93,
_xlpm._row,$K93,
_xlpm._numActiveAssumptions,Helper!$B$8,
_xlpm._numActiveCountermeasures,Helper!$B$9,
_xlpm._numAdditionalAssumptions,Helper!$B$10,
_xlpm._numAdditionalCountermeasures,Helper!$B$11,
IF(_xlpm._isAssumption,
IF(_xlpm._row&gt;_xlpm._numActiveAssumptions,
$V93&amp;"-A"&amp;$Q93,
INDEX(Assumptions!A:A,MATCH(_xlpm._row,Assumptions!$AG:$AG,0))),
IF(_xlpm._row&gt;_xlpm._numActiveCountermeasures+_xlpm._numAdditionalCountermeasures,"",
IF(_xlpm._row&gt;_xlpm._numActiveCountermeasures,
$V93&amp;"-C"&amp;$Q93,
INDEX(Countermeasures!$A:$A,MATCH(_xlpm._row,Countermeasures!$AI:$AI,0))))))</f>
        <v/>
      </c>
      <c r="B93" s="33" t="str" cm="1">
        <f t="array" aca="1" ref="B93" ca="1">IF($A93="","",
_xlfn.LET(
_xlpm._isAssumption,$J93,
_xlpm._isAdditionalElement,$L93,
IF(_xlpm._isAdditionalElement,
IF(_xlpm._isAssumption,
ParseElementsFromComment($U93,Definitions!$AR$4,Definitions!$AS$4,Definitions!$AR$6,$Q93),
ParseElementsFromComment($U93,Definitions!$AR$5,Definitions!$AS$5,Definitions!$AR$6,$Q93)),
 _xlfn.LET(_xlpm._value,IF($A93="","",IF($J93,SimpleLookup($A93,Assumptions!$A:$B),SimpleLookup($A93,Countermeasures!$A:$B))),IF(_xlpm._value="","",_xlpm._value)))))</f>
        <v/>
      </c>
      <c r="C93" s="33" t="str" cm="1">
        <f t="array" aca="1" ref="C93" ca="1">IF($A93="","",IF($J93,IFERROR(SimpleLookup($A93,Assumptions!$A:$E),""),Definitions!$AO$4))</f>
        <v/>
      </c>
      <c r="D93" s="37" t="str">
        <f t="shared" ca="1" si="22"/>
        <v/>
      </c>
      <c r="E93" s="23"/>
      <c r="F93" s="59" t="str">
        <f t="shared" ca="1" si="23"/>
        <v/>
      </c>
      <c r="G93" s="122" t="str" cm="1">
        <f t="array" aca="1" ref="G93" ca="1">_xlfn.LET(_xlpm._val,IFERROR(SimpleLookup($A93,Countermeasures!$A:$R),IFERROR(SimpleLookup($A93,Assumptions!$A:$R),"")),IF(_xlpm._val="","",_xlpm._val))</f>
        <v/>
      </c>
      <c r="H93" s="33" t="str" cm="1">
        <f t="array" aca="1" ref="H93" ca="1">_xlfn.LET(_xlpm._value,IF($A93="","",IFERROR(IF($J93,SimpleLookup($A93,Assumptions!$A:$S),SimpleLookup($A93,Countermeasures!$A:$S)),"")),
IF(_xlpm._value="","",_xlpm._value))</f>
        <v/>
      </c>
      <c r="I93" s="10" cm="1">
        <f t="array" aca="1" ref="I93" ca="1">IF(ROW()=ROW($I$17)+1,0,INDEX($I:$I,ROW()-1))+IF($A93="",0,1)</f>
        <v>12</v>
      </c>
      <c r="J93" s="21" t="b">
        <f ca="1">_xlfn.LET(_xlpm._row,ROW()-ROW($K$17),
_xlpm._numActiveAssumptions,Helper!$B$8,
_xlpm._numAdditionalAssumptions,SUM(Table24['# Elements]),
_xlpm._row&lt;=_xlpm._numActiveAssumptions+_xlpm._numAdditionalAssumptions)</f>
        <v>0</v>
      </c>
      <c r="K93" s="21">
        <f ca="1">_xlfn.LET(_xlpm._row,ROW()-ROW($K$17),
_xlpm._numActiveAssumptions,Helper!$B$8,
_xlpm._numAdditionalAssumptions,Helper!$B$10,
_xlpm._isAssumption,$J93,
_xlpm._elementID,IF(_xlpm._isAssumption,_xlpm._row,_xlpm._row-_xlpm._numActiveAssumptions-_xlpm._numAdditionalAssumptions),
_xlpm._elementID)</f>
        <v>70</v>
      </c>
      <c r="L93"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93" s="20" cm="1">
        <f t="array" aca="1" ref="M93" ca="1">IF($L93,
IF(ROW()=ROW($M$17)+1,1,INDEX($M:$M,ROW()-1)+IF(INDEX($T:$T,ROW()-1),1,0)),
1)</f>
        <v>1</v>
      </c>
      <c r="N93" s="20" t="str" cm="1">
        <f t="array" aca="1" ref="N93" ca="1">IF($L93=TRUE,
_xlfn.LET(
_xlpm._isAssumption,$J93,
_xlpm._indexRange,IF(_xlpm._isAssumption,Table24['# Elements],Table25['# Elements]),
_xlpm._lookupRow,$W93,
INDEX(_xlpm._indexRange,_xlpm._lookupRow)),
"")</f>
        <v/>
      </c>
      <c r="O93" s="20" t="str" cm="1">
        <f t="array" aca="1" ref="O93" ca="1">IF($N93="","",_xlfn.LET(
_xlpm._prevRow,ROW()-1,
IF(OR(INDEX($N:$N,_xlpm._prevRow)&lt;&gt;$N93,INDEX($M:$M,_xlpm._prevRow)&lt;&gt;$M93),
1,
INDEX($O:$O,_xlpm._prevRow)+IF(INDEX($S:$S,_xlpm._prevRow),1,0))))</f>
        <v/>
      </c>
      <c r="P93" s="20" t="str" cm="1">
        <f t="array" aca="1" ref="P93" ca="1">IF($O93="","",_xlfn.LET(
_xlpm._isAssumption,$J93,
_xlpm._sheetRow,$W93,
_xlpm._sheetName,$X93,
_xlpm._elementIDRange,IF(_xlpm._isAssumption,Table24[Element ID Column],Table25[Element ID Column]),
_xlpm._numberOfElementsRange,IF(_xlpm._isAssumption,Table24[Number of Elements Column],Table25[Number of Elements Column]),
SimpleLookup($O93,INDIRECT("'"&amp;_xlpm._sheetName&amp;"'!"&amp;INDEX(_xlpm._elementIDRange,_xlpm._sheetRow)&amp;":"&amp;INDEX(_xlpm._numberOfElementsRange,_xlpm._sheetRow)))))</f>
        <v/>
      </c>
      <c r="Q93" s="20" t="str" cm="1">
        <f t="array" aca="1" ref="Q93" ca="1">IF($O93="","",IF(OR(INDEX($O:$O,ROW()-1)&lt;&gt;$O93,INDEX($M:$M,ROW()-1)&lt;&gt;$M93),1,INDEX($Q:$Q,ROW()-1)+1))</f>
        <v/>
      </c>
      <c r="R93" s="20">
        <f t="shared" ca="1" si="24"/>
        <v>0</v>
      </c>
      <c r="S93" s="20" t="str">
        <f t="shared" ca="1" si="25"/>
        <v/>
      </c>
      <c r="T93" s="20" t="b">
        <f ca="1">_xlfn.LET(
_xlpm._isAssumption,$J93,
_xlpm._numberOfElementsRange,IF(_xlpm._isAssumption,Table24['# Elements],Table25['# Elements]),
_xlpm._sheetRow,$W93,
IF($L93,AND($S93,$R93=$N93),FALSE))</f>
        <v>0</v>
      </c>
      <c r="U93" s="20" t="str" cm="1">
        <f t="array" aca="1" ref="U93" ca="1">IF($L93,
_xlfn.LET(
_xlpm._elementID,$O93,
_xlpm._isAssumption,$J93,
_xlpm._sheetRow,$W93,
_xlpm._sheetName,$X93,
_xlpm._elementRow,$Y93,
_xlpm._resultColumnLetter,IF(_xlpm._isAssumption,INDEX(Table24[Comment Column],_xlpm._sheetRow),INDEX(Table25[Comment Column],_xlpm._sheetRow)),
INDEX(INDIRECT("'"&amp;_xlpm._sheetName&amp;"'!"&amp;_xlpm._resultColumnLetter&amp;":"&amp;_xlpm._resultColumnLetter),_xlpm._elementRow)),
"")</f>
        <v/>
      </c>
      <c r="V93" s="20" t="str" cm="1">
        <f t="array" aca="1" ref="V93" ca="1">IF($L93,
_xlfn.LET(
_xlpm._elementID,$O93,
_xlpm._isAssumption,$J93,
_xlpm._sheetRow,$W93,
_xlpm._sheetName,$X93,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93" s="20" t="str">
        <f ca="1">IF($L93=TRUE,
_xlfn.LET(
_xlpm._isAssumption,$J93,
_xlpm._searchRange,IF(_xlpm._isAssumption,Table24[Task Sheet Shadow ID],Table25[Task Sheet Shadow ID]),
MATCH($M93,_xlpm._searchRange,0)),
"")</f>
        <v/>
      </c>
      <c r="X93" s="20" t="str" cm="1">
        <f t="array" aca="1" ref="X93" ca="1">IF($L93,
_xlfn.LET(
_xlpm._isAssumption,$J93,
_xlpm._sheetRow,$W93,
IF(_xlpm._isAssumption,INDEX(Table24[Sheet Name],_xlpm._sheetRow),INDEX(Table25[Sheet Name],_xlpm._sheetRow))),
"")</f>
        <v/>
      </c>
      <c r="Y93" s="20" t="str" cm="1">
        <f t="array" aca="1" ref="Y93" ca="1">IF($L93,
_xlfn.LET(
_xlpm._elementID,$O93,
_xlpm._isAssumption,$J93,
_xlpm._sheetRow,$W93,
_xlpm._sheetName,$X93,
_xlpm._elementIDColumnLetter,IF(_xlpm._isAssumption,INDEX(Table24[Element ID Column],_xlpm._sheetRow),INDEX(Table25[Element ID Column],_xlpm._sheetRow)),
MATCH(_xlpm._elementID,INDIRECT("'"&amp;_xlpm._sheetName&amp;"'!"&amp;_xlpm._elementIDColumnLetter&amp;":"&amp;_xlpm._elementIDColumnLetter),0)),
"")</f>
        <v/>
      </c>
      <c r="Z93" s="20" t="str" cm="1">
        <f t="array" aca="1" ref="Z93" ca="1">IF($A93="","",_xlfn.LET(
_xlpm._isAssumption,$J93,
_xlpm._isAdditionalElement,$L93,
_xlpm._sheetRow,$W93,
_xlpm._sheetName,$X93,
_xlpm._columnLetter,INDEX(IF(_xlpm._isAdditionalElement,Table24[Comment Column],Table25[Comment Column]),_xlpm._sheetRow),
_xlpm._sheetReference,IF(_xlpm._isAssumption,IF(_xlpm._isAdditionalElement,
CELL("address",INDEX(INDIRECT("'"&amp;_xlpm._sheetName&amp;"'!"&amp;_xlpm._columnLetter&amp;":"&amp;_xlpm._columnLetter),$Y93)),
CELL("address",INDEX(Assumptions!$A:$A,MATCH($A93,Assumptions!$A:$A,0),1))),
IF(_xlpm._isAdditionalElement,
CELL("address",INDEX(INDIRECT("'"&amp;_xlpm._sheetName&amp;"'!"&amp;_xlpm._columnLetter&amp;":"&amp;_xlpm._columnLetter),$Y93)),
CELL("address",INDEX(Countermeasures!$A:$A,MATCH($A93,Countermeasures!$A:$A,0),1)))),
_xlpm._start,FIND("]",_xlpm._sheetReference),
"'"&amp;SUBSTITUTE(SUBSTITUTE(RIGHT(_xlpm._sheetReference,LEN(_xlpm._sheetReference)-_xlpm._start),"'",""),"!","'!")))</f>
        <v/>
      </c>
      <c r="AA93" s="20" t="str" cm="1">
        <f t="array" aca="1" ref="AA93" ca="1">IF(NOT($L93),
_xlfn.LET(_xlpm._value,IF($A93="","",IF($J93,SimpleLookup($A93,Assumptions!$A:$AK),SimpleLookup($A93,Countermeasures!$A:$AN))),
IF(_xlpm._value="","",_xlpm._value)),
"")</f>
        <v/>
      </c>
      <c r="AB93" s="20" t="str" cm="1">
        <f t="array" aca="1" ref="AB93" ca="1">LookupNames(InverseLookup($A93,Mitigation!$AD$2,Mitigation!$A$2,1,Helper!$B$5,","),'Attack Steps'!$A:$B)</f>
        <v/>
      </c>
      <c r="AC93" s="20" t="str" cm="1">
        <f t="array" aca="1" ref="AC93" ca="1">IF($L93,
_xlfn.LET(
_xlpm._in,$A93,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93" s="20" t="str" cm="1">
        <f t="array" aca="1" ref="AD93" ca="1">_xlfn.LET(
_xlpm._countermeasures,InverseLookup($A93,Countermeasures!$AG$2,Countermeasures!$A$2,1,Helper!$B$4,","),
LookupNames(_xlpm._countermeasures,Countermeasures!$A:$B))</f>
        <v/>
      </c>
      <c r="AE93" s="20" t="str" cm="1">
        <f t="array" aca="1" ref="AE93" ca="1">IF($E93="","",_xlfn.LET(
_xlpm._id,$E93,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93" s="20" t="str" cm="1">
        <f t="array" aca="1" ref="AF93" ca="1">IF(OR($A93="",$L93),"",_xlfn.LET(
_xlpm._answers,IF($J93,SimpleLookup($A93,Assumptions!$A:$F),SimpleLookup($A93,Countermeasures!$A:$D)),
IF(_xlpm._answers="*",IF($J93,SimpleLookup($A93,Assumptions!$A:$C),SimpleLookup($A93,Countermeasures!$A:$C)),"")))</f>
        <v/>
      </c>
      <c r="AG93" s="20" t="str" cm="1">
        <f t="array" aca="1" ref="AG93" ca="1">IF(NOT($L93),"",_xlfn.LET(
_xlpm._mappedInMitigation,IFERROR(VLOOKUP($V93,'Attack Steps'!$A:$O,COLUMNS('Attack Steps'!$A:$O),FALSE),""),
CreateSearchString(_xlpm._mappedInMitigation)))</f>
        <v/>
      </c>
      <c r="AH93" s="20" t="b">
        <f ca="1">ROW()-ROW($AH$17)=Helper!$B$15</f>
        <v>0</v>
      </c>
      <c r="AI93" s="20" t="str">
        <f t="shared" ca="1" si="26"/>
        <v/>
      </c>
      <c r="AJ93" s="20" cm="1">
        <f t="array" aca="1" ref="AJ93" ca="1">CreateID($AJ$17,$AJ:$AJ,$AI93&lt;&gt;"")</f>
        <v>0</v>
      </c>
    </row>
    <row r="94" spans="1:36" x14ac:dyDescent="0.25">
      <c r="A94" s="33" t="str">
        <f ca="1">_xlfn.LET(
_xlpm._isAssumption,$J94,
_xlpm._row,$K94,
_xlpm._numActiveAssumptions,Helper!$B$8,
_xlpm._numActiveCountermeasures,Helper!$B$9,
_xlpm._numAdditionalAssumptions,Helper!$B$10,
_xlpm._numAdditionalCountermeasures,Helper!$B$11,
IF(_xlpm._isAssumption,
IF(_xlpm._row&gt;_xlpm._numActiveAssumptions,
$V94&amp;"-A"&amp;$Q94,
INDEX(Assumptions!A:A,MATCH(_xlpm._row,Assumptions!$AG:$AG,0))),
IF(_xlpm._row&gt;_xlpm._numActiveCountermeasures+_xlpm._numAdditionalCountermeasures,"",
IF(_xlpm._row&gt;_xlpm._numActiveCountermeasures,
$V94&amp;"-C"&amp;$Q94,
INDEX(Countermeasures!$A:$A,MATCH(_xlpm._row,Countermeasures!$AI:$AI,0))))))</f>
        <v/>
      </c>
      <c r="B94" s="33" t="str" cm="1">
        <f t="array" aca="1" ref="B94" ca="1">IF($A94="","",
_xlfn.LET(
_xlpm._isAssumption,$J94,
_xlpm._isAdditionalElement,$L94,
IF(_xlpm._isAdditionalElement,
IF(_xlpm._isAssumption,
ParseElementsFromComment($U94,Definitions!$AR$4,Definitions!$AS$4,Definitions!$AR$6,$Q94),
ParseElementsFromComment($U94,Definitions!$AR$5,Definitions!$AS$5,Definitions!$AR$6,$Q94)),
 _xlfn.LET(_xlpm._value,IF($A94="","",IF($J94,SimpleLookup($A94,Assumptions!$A:$B),SimpleLookup($A94,Countermeasures!$A:$B))),IF(_xlpm._value="","",_xlpm._value)))))</f>
        <v/>
      </c>
      <c r="C94" s="33" t="str" cm="1">
        <f t="array" aca="1" ref="C94" ca="1">IF($A94="","",IF($J94,IFERROR(SimpleLookup($A94,Assumptions!$A:$E),""),Definitions!$AO$4))</f>
        <v/>
      </c>
      <c r="D94" s="37" t="str">
        <f t="shared" ca="1" si="22"/>
        <v/>
      </c>
      <c r="E94" s="23"/>
      <c r="F94" s="59" t="str">
        <f t="shared" ca="1" si="23"/>
        <v/>
      </c>
      <c r="G94" s="122" t="str" cm="1">
        <f t="array" aca="1" ref="G94" ca="1">_xlfn.LET(_xlpm._val,IFERROR(SimpleLookup($A94,Countermeasures!$A:$R),IFERROR(SimpleLookup($A94,Assumptions!$A:$R),"")),IF(_xlpm._val="","",_xlpm._val))</f>
        <v/>
      </c>
      <c r="H94" s="33" t="str" cm="1">
        <f t="array" aca="1" ref="H94" ca="1">_xlfn.LET(_xlpm._value,IF($A94="","",IFERROR(IF($J94,SimpleLookup($A94,Assumptions!$A:$S),SimpleLookup($A94,Countermeasures!$A:$S)),"")),
IF(_xlpm._value="","",_xlpm._value))</f>
        <v/>
      </c>
      <c r="I94" s="10" cm="1">
        <f t="array" aca="1" ref="I94" ca="1">IF(ROW()=ROW($I$17)+1,0,INDEX($I:$I,ROW()-1))+IF($A94="",0,1)</f>
        <v>12</v>
      </c>
      <c r="J94" s="21" t="b">
        <f ca="1">_xlfn.LET(_xlpm._row,ROW()-ROW($K$17),
_xlpm._numActiveAssumptions,Helper!$B$8,
_xlpm._numAdditionalAssumptions,SUM(Table24['# Elements]),
_xlpm._row&lt;=_xlpm._numActiveAssumptions+_xlpm._numAdditionalAssumptions)</f>
        <v>0</v>
      </c>
      <c r="K94" s="21">
        <f ca="1">_xlfn.LET(_xlpm._row,ROW()-ROW($K$17),
_xlpm._numActiveAssumptions,Helper!$B$8,
_xlpm._numAdditionalAssumptions,Helper!$B$10,
_xlpm._isAssumption,$J94,
_xlpm._elementID,IF(_xlpm._isAssumption,_xlpm._row,_xlpm._row-_xlpm._numActiveAssumptions-_xlpm._numAdditionalAssumptions),
_xlpm._elementID)</f>
        <v>71</v>
      </c>
      <c r="L94"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94" s="20" cm="1">
        <f t="array" aca="1" ref="M94" ca="1">IF($L94,
IF(ROW()=ROW($M$17)+1,1,INDEX($M:$M,ROW()-1)+IF(INDEX($T:$T,ROW()-1),1,0)),
1)</f>
        <v>1</v>
      </c>
      <c r="N94" s="20" t="str" cm="1">
        <f t="array" aca="1" ref="N94" ca="1">IF($L94=TRUE,
_xlfn.LET(
_xlpm._isAssumption,$J94,
_xlpm._indexRange,IF(_xlpm._isAssumption,Table24['# Elements],Table25['# Elements]),
_xlpm._lookupRow,$W94,
INDEX(_xlpm._indexRange,_xlpm._lookupRow)),
"")</f>
        <v/>
      </c>
      <c r="O94" s="20" t="str" cm="1">
        <f t="array" aca="1" ref="O94" ca="1">IF($N94="","",_xlfn.LET(
_xlpm._prevRow,ROW()-1,
IF(OR(INDEX($N:$N,_xlpm._prevRow)&lt;&gt;$N94,INDEX($M:$M,_xlpm._prevRow)&lt;&gt;$M94),
1,
INDEX($O:$O,_xlpm._prevRow)+IF(INDEX($S:$S,_xlpm._prevRow),1,0))))</f>
        <v/>
      </c>
      <c r="P94" s="20" t="str" cm="1">
        <f t="array" aca="1" ref="P94" ca="1">IF($O94="","",_xlfn.LET(
_xlpm._isAssumption,$J94,
_xlpm._sheetRow,$W94,
_xlpm._sheetName,$X94,
_xlpm._elementIDRange,IF(_xlpm._isAssumption,Table24[Element ID Column],Table25[Element ID Column]),
_xlpm._numberOfElementsRange,IF(_xlpm._isAssumption,Table24[Number of Elements Column],Table25[Number of Elements Column]),
SimpleLookup($O94,INDIRECT("'"&amp;_xlpm._sheetName&amp;"'!"&amp;INDEX(_xlpm._elementIDRange,_xlpm._sheetRow)&amp;":"&amp;INDEX(_xlpm._numberOfElementsRange,_xlpm._sheetRow)))))</f>
        <v/>
      </c>
      <c r="Q94" s="20" t="str" cm="1">
        <f t="array" aca="1" ref="Q94" ca="1">IF($O94="","",IF(OR(INDEX($O:$O,ROW()-1)&lt;&gt;$O94,INDEX($M:$M,ROW()-1)&lt;&gt;$M94),1,INDEX($Q:$Q,ROW()-1)+1))</f>
        <v/>
      </c>
      <c r="R94" s="20">
        <f t="shared" ca="1" si="24"/>
        <v>0</v>
      </c>
      <c r="S94" s="20" t="str">
        <f t="shared" ca="1" si="25"/>
        <v/>
      </c>
      <c r="T94" s="20" t="b">
        <f ca="1">_xlfn.LET(
_xlpm._isAssumption,$J94,
_xlpm._numberOfElementsRange,IF(_xlpm._isAssumption,Table24['# Elements],Table25['# Elements]),
_xlpm._sheetRow,$W94,
IF($L94,AND($S94,$R94=$N94),FALSE))</f>
        <v>0</v>
      </c>
      <c r="U94" s="20" t="str" cm="1">
        <f t="array" aca="1" ref="U94" ca="1">IF($L94,
_xlfn.LET(
_xlpm._elementID,$O94,
_xlpm._isAssumption,$J94,
_xlpm._sheetRow,$W94,
_xlpm._sheetName,$X94,
_xlpm._elementRow,$Y94,
_xlpm._resultColumnLetter,IF(_xlpm._isAssumption,INDEX(Table24[Comment Column],_xlpm._sheetRow),INDEX(Table25[Comment Column],_xlpm._sheetRow)),
INDEX(INDIRECT("'"&amp;_xlpm._sheetName&amp;"'!"&amp;_xlpm._resultColumnLetter&amp;":"&amp;_xlpm._resultColumnLetter),_xlpm._elementRow)),
"")</f>
        <v/>
      </c>
      <c r="V94" s="20" t="str" cm="1">
        <f t="array" aca="1" ref="V94" ca="1">IF($L94,
_xlfn.LET(
_xlpm._elementID,$O94,
_xlpm._isAssumption,$J94,
_xlpm._sheetRow,$W94,
_xlpm._sheetName,$X94,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94" s="20" t="str">
        <f ca="1">IF($L94=TRUE,
_xlfn.LET(
_xlpm._isAssumption,$J94,
_xlpm._searchRange,IF(_xlpm._isAssumption,Table24[Task Sheet Shadow ID],Table25[Task Sheet Shadow ID]),
MATCH($M94,_xlpm._searchRange,0)),
"")</f>
        <v/>
      </c>
      <c r="X94" s="20" t="str" cm="1">
        <f t="array" aca="1" ref="X94" ca="1">IF($L94,
_xlfn.LET(
_xlpm._isAssumption,$J94,
_xlpm._sheetRow,$W94,
IF(_xlpm._isAssumption,INDEX(Table24[Sheet Name],_xlpm._sheetRow),INDEX(Table25[Sheet Name],_xlpm._sheetRow))),
"")</f>
        <v/>
      </c>
      <c r="Y94" s="20" t="str" cm="1">
        <f t="array" aca="1" ref="Y94" ca="1">IF($L94,
_xlfn.LET(
_xlpm._elementID,$O94,
_xlpm._isAssumption,$J94,
_xlpm._sheetRow,$W94,
_xlpm._sheetName,$X94,
_xlpm._elementIDColumnLetter,IF(_xlpm._isAssumption,INDEX(Table24[Element ID Column],_xlpm._sheetRow),INDEX(Table25[Element ID Column],_xlpm._sheetRow)),
MATCH(_xlpm._elementID,INDIRECT("'"&amp;_xlpm._sheetName&amp;"'!"&amp;_xlpm._elementIDColumnLetter&amp;":"&amp;_xlpm._elementIDColumnLetter),0)),
"")</f>
        <v/>
      </c>
      <c r="Z94" s="20" t="str" cm="1">
        <f t="array" aca="1" ref="Z94" ca="1">IF($A94="","",_xlfn.LET(
_xlpm._isAssumption,$J94,
_xlpm._isAdditionalElement,$L94,
_xlpm._sheetRow,$W94,
_xlpm._sheetName,$X94,
_xlpm._columnLetter,INDEX(IF(_xlpm._isAdditionalElement,Table24[Comment Column],Table25[Comment Column]),_xlpm._sheetRow),
_xlpm._sheetReference,IF(_xlpm._isAssumption,IF(_xlpm._isAdditionalElement,
CELL("address",INDEX(INDIRECT("'"&amp;_xlpm._sheetName&amp;"'!"&amp;_xlpm._columnLetter&amp;":"&amp;_xlpm._columnLetter),$Y94)),
CELL("address",INDEX(Assumptions!$A:$A,MATCH($A94,Assumptions!$A:$A,0),1))),
IF(_xlpm._isAdditionalElement,
CELL("address",INDEX(INDIRECT("'"&amp;_xlpm._sheetName&amp;"'!"&amp;_xlpm._columnLetter&amp;":"&amp;_xlpm._columnLetter),$Y94)),
CELL("address",INDEX(Countermeasures!$A:$A,MATCH($A94,Countermeasures!$A:$A,0),1)))),
_xlpm._start,FIND("]",_xlpm._sheetReference),
"'"&amp;SUBSTITUTE(SUBSTITUTE(RIGHT(_xlpm._sheetReference,LEN(_xlpm._sheetReference)-_xlpm._start),"'",""),"!","'!")))</f>
        <v/>
      </c>
      <c r="AA94" s="20" t="str" cm="1">
        <f t="array" aca="1" ref="AA94" ca="1">IF(NOT($L94),
_xlfn.LET(_xlpm._value,IF($A94="","",IF($J94,SimpleLookup($A94,Assumptions!$A:$AK),SimpleLookup($A94,Countermeasures!$A:$AN))),
IF(_xlpm._value="","",_xlpm._value)),
"")</f>
        <v/>
      </c>
      <c r="AB94" s="20" t="str" cm="1">
        <f t="array" aca="1" ref="AB94" ca="1">LookupNames(InverseLookup($A94,Mitigation!$AD$2,Mitigation!$A$2,1,Helper!$B$5,","),'Attack Steps'!$A:$B)</f>
        <v/>
      </c>
      <c r="AC94" s="20" t="str" cm="1">
        <f t="array" aca="1" ref="AC94" ca="1">IF($L94,
_xlfn.LET(
_xlpm._in,$A94,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94" s="20" t="str" cm="1">
        <f t="array" aca="1" ref="AD94" ca="1">_xlfn.LET(
_xlpm._countermeasures,InverseLookup($A94,Countermeasures!$AG$2,Countermeasures!$A$2,1,Helper!$B$4,","),
LookupNames(_xlpm._countermeasures,Countermeasures!$A:$B))</f>
        <v/>
      </c>
      <c r="AE94" s="20" t="str" cm="1">
        <f t="array" aca="1" ref="AE94" ca="1">IF($E94="","",_xlfn.LET(
_xlpm._id,$E94,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94" s="20" t="str" cm="1">
        <f t="array" aca="1" ref="AF94" ca="1">IF(OR($A94="",$L94),"",_xlfn.LET(
_xlpm._answers,IF($J94,SimpleLookup($A94,Assumptions!$A:$F),SimpleLookup($A94,Countermeasures!$A:$D)),
IF(_xlpm._answers="*",IF($J94,SimpleLookup($A94,Assumptions!$A:$C),SimpleLookup($A94,Countermeasures!$A:$C)),"")))</f>
        <v/>
      </c>
      <c r="AG94" s="20" t="str" cm="1">
        <f t="array" aca="1" ref="AG94" ca="1">IF(NOT($L94),"",_xlfn.LET(
_xlpm._mappedInMitigation,IFERROR(VLOOKUP($V94,'Attack Steps'!$A:$O,COLUMNS('Attack Steps'!$A:$O),FALSE),""),
CreateSearchString(_xlpm._mappedInMitigation)))</f>
        <v/>
      </c>
      <c r="AH94" s="20" t="b">
        <f ca="1">ROW()-ROW($AH$17)=Helper!$B$15</f>
        <v>0</v>
      </c>
      <c r="AI94" s="20" t="str">
        <f t="shared" ca="1" si="26"/>
        <v/>
      </c>
      <c r="AJ94" s="20" cm="1">
        <f t="array" aca="1" ref="AJ94" ca="1">CreateID($AJ$17,$AJ:$AJ,$AI94&lt;&gt;"")</f>
        <v>0</v>
      </c>
    </row>
    <row r="95" spans="1:36" x14ac:dyDescent="0.25">
      <c r="A95" s="33" t="str">
        <f ca="1">_xlfn.LET(
_xlpm._isAssumption,$J95,
_xlpm._row,$K95,
_xlpm._numActiveAssumptions,Helper!$B$8,
_xlpm._numActiveCountermeasures,Helper!$B$9,
_xlpm._numAdditionalAssumptions,Helper!$B$10,
_xlpm._numAdditionalCountermeasures,Helper!$B$11,
IF(_xlpm._isAssumption,
IF(_xlpm._row&gt;_xlpm._numActiveAssumptions,
$V95&amp;"-A"&amp;$Q95,
INDEX(Assumptions!A:A,MATCH(_xlpm._row,Assumptions!$AG:$AG,0))),
IF(_xlpm._row&gt;_xlpm._numActiveCountermeasures+_xlpm._numAdditionalCountermeasures,"",
IF(_xlpm._row&gt;_xlpm._numActiveCountermeasures,
$V95&amp;"-C"&amp;$Q95,
INDEX(Countermeasures!$A:$A,MATCH(_xlpm._row,Countermeasures!$AI:$AI,0))))))</f>
        <v/>
      </c>
      <c r="B95" s="33" t="str" cm="1">
        <f t="array" aca="1" ref="B95" ca="1">IF($A95="","",
_xlfn.LET(
_xlpm._isAssumption,$J95,
_xlpm._isAdditionalElement,$L95,
IF(_xlpm._isAdditionalElement,
IF(_xlpm._isAssumption,
ParseElementsFromComment($U95,Definitions!$AR$4,Definitions!$AS$4,Definitions!$AR$6,$Q95),
ParseElementsFromComment($U95,Definitions!$AR$5,Definitions!$AS$5,Definitions!$AR$6,$Q95)),
 _xlfn.LET(_xlpm._value,IF($A95="","",IF($J95,SimpleLookup($A95,Assumptions!$A:$B),SimpleLookup($A95,Countermeasures!$A:$B))),IF(_xlpm._value="","",_xlpm._value)))))</f>
        <v/>
      </c>
      <c r="C95" s="33" t="str" cm="1">
        <f t="array" aca="1" ref="C95" ca="1">IF($A95="","",IF($J95,IFERROR(SimpleLookup($A95,Assumptions!$A:$E),""),Definitions!$AO$4))</f>
        <v/>
      </c>
      <c r="D95" s="37" t="str">
        <f t="shared" ca="1" si="22"/>
        <v/>
      </c>
      <c r="E95" s="23"/>
      <c r="F95" s="59" t="str">
        <f t="shared" ca="1" si="23"/>
        <v/>
      </c>
      <c r="G95" s="122" t="str" cm="1">
        <f t="array" aca="1" ref="G95" ca="1">_xlfn.LET(_xlpm._val,IFERROR(SimpleLookup($A95,Countermeasures!$A:$R),IFERROR(SimpleLookup($A95,Assumptions!$A:$R),"")),IF(_xlpm._val="","",_xlpm._val))</f>
        <v/>
      </c>
      <c r="H95" s="33" t="str" cm="1">
        <f t="array" aca="1" ref="H95" ca="1">_xlfn.LET(_xlpm._value,IF($A95="","",IFERROR(IF($J95,SimpleLookup($A95,Assumptions!$A:$S),SimpleLookup($A95,Countermeasures!$A:$S)),"")),
IF(_xlpm._value="","",_xlpm._value))</f>
        <v/>
      </c>
      <c r="I95" s="10" cm="1">
        <f t="array" aca="1" ref="I95" ca="1">IF(ROW()=ROW($I$17)+1,0,INDEX($I:$I,ROW()-1))+IF($A95="",0,1)</f>
        <v>12</v>
      </c>
      <c r="J95" s="21" t="b">
        <f ca="1">_xlfn.LET(_xlpm._row,ROW()-ROW($K$17),
_xlpm._numActiveAssumptions,Helper!$B$8,
_xlpm._numAdditionalAssumptions,SUM(Table24['# Elements]),
_xlpm._row&lt;=_xlpm._numActiveAssumptions+_xlpm._numAdditionalAssumptions)</f>
        <v>0</v>
      </c>
      <c r="K95" s="21">
        <f ca="1">_xlfn.LET(_xlpm._row,ROW()-ROW($K$17),
_xlpm._numActiveAssumptions,Helper!$B$8,
_xlpm._numAdditionalAssumptions,Helper!$B$10,
_xlpm._isAssumption,$J95,
_xlpm._elementID,IF(_xlpm._isAssumption,_xlpm._row,_xlpm._row-_xlpm._numActiveAssumptions-_xlpm._numAdditionalAssumptions),
_xlpm._elementID)</f>
        <v>72</v>
      </c>
      <c r="L95"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95" s="20" cm="1">
        <f t="array" aca="1" ref="M95" ca="1">IF($L95,
IF(ROW()=ROW($M$17)+1,1,INDEX($M:$M,ROW()-1)+IF(INDEX($T:$T,ROW()-1),1,0)),
1)</f>
        <v>1</v>
      </c>
      <c r="N95" s="20" t="str" cm="1">
        <f t="array" aca="1" ref="N95" ca="1">IF($L95=TRUE,
_xlfn.LET(
_xlpm._isAssumption,$J95,
_xlpm._indexRange,IF(_xlpm._isAssumption,Table24['# Elements],Table25['# Elements]),
_xlpm._lookupRow,$W95,
INDEX(_xlpm._indexRange,_xlpm._lookupRow)),
"")</f>
        <v/>
      </c>
      <c r="O95" s="20" t="str" cm="1">
        <f t="array" aca="1" ref="O95" ca="1">IF($N95="","",_xlfn.LET(
_xlpm._prevRow,ROW()-1,
IF(OR(INDEX($N:$N,_xlpm._prevRow)&lt;&gt;$N95,INDEX($M:$M,_xlpm._prevRow)&lt;&gt;$M95),
1,
INDEX($O:$O,_xlpm._prevRow)+IF(INDEX($S:$S,_xlpm._prevRow),1,0))))</f>
        <v/>
      </c>
      <c r="P95" s="20" t="str" cm="1">
        <f t="array" aca="1" ref="P95" ca="1">IF($O95="","",_xlfn.LET(
_xlpm._isAssumption,$J95,
_xlpm._sheetRow,$W95,
_xlpm._sheetName,$X95,
_xlpm._elementIDRange,IF(_xlpm._isAssumption,Table24[Element ID Column],Table25[Element ID Column]),
_xlpm._numberOfElementsRange,IF(_xlpm._isAssumption,Table24[Number of Elements Column],Table25[Number of Elements Column]),
SimpleLookup($O95,INDIRECT("'"&amp;_xlpm._sheetName&amp;"'!"&amp;INDEX(_xlpm._elementIDRange,_xlpm._sheetRow)&amp;":"&amp;INDEX(_xlpm._numberOfElementsRange,_xlpm._sheetRow)))))</f>
        <v/>
      </c>
      <c r="Q95" s="20" t="str" cm="1">
        <f t="array" aca="1" ref="Q95" ca="1">IF($O95="","",IF(OR(INDEX($O:$O,ROW()-1)&lt;&gt;$O95,INDEX($M:$M,ROW()-1)&lt;&gt;$M95),1,INDEX($Q:$Q,ROW()-1)+1))</f>
        <v/>
      </c>
      <c r="R95" s="20">
        <f t="shared" ca="1" si="24"/>
        <v>0</v>
      </c>
      <c r="S95" s="20" t="str">
        <f t="shared" ca="1" si="25"/>
        <v/>
      </c>
      <c r="T95" s="20" t="b">
        <f ca="1">_xlfn.LET(
_xlpm._isAssumption,$J95,
_xlpm._numberOfElementsRange,IF(_xlpm._isAssumption,Table24['# Elements],Table25['# Elements]),
_xlpm._sheetRow,$W95,
IF($L95,AND($S95,$R95=$N95),FALSE))</f>
        <v>0</v>
      </c>
      <c r="U95" s="20" t="str" cm="1">
        <f t="array" aca="1" ref="U95" ca="1">IF($L95,
_xlfn.LET(
_xlpm._elementID,$O95,
_xlpm._isAssumption,$J95,
_xlpm._sheetRow,$W95,
_xlpm._sheetName,$X95,
_xlpm._elementRow,$Y95,
_xlpm._resultColumnLetter,IF(_xlpm._isAssumption,INDEX(Table24[Comment Column],_xlpm._sheetRow),INDEX(Table25[Comment Column],_xlpm._sheetRow)),
INDEX(INDIRECT("'"&amp;_xlpm._sheetName&amp;"'!"&amp;_xlpm._resultColumnLetter&amp;":"&amp;_xlpm._resultColumnLetter),_xlpm._elementRow)),
"")</f>
        <v/>
      </c>
      <c r="V95" s="20" t="str" cm="1">
        <f t="array" aca="1" ref="V95" ca="1">IF($L95,
_xlfn.LET(
_xlpm._elementID,$O95,
_xlpm._isAssumption,$J95,
_xlpm._sheetRow,$W95,
_xlpm._sheetName,$X95,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95" s="20" t="str">
        <f ca="1">IF($L95=TRUE,
_xlfn.LET(
_xlpm._isAssumption,$J95,
_xlpm._searchRange,IF(_xlpm._isAssumption,Table24[Task Sheet Shadow ID],Table25[Task Sheet Shadow ID]),
MATCH($M95,_xlpm._searchRange,0)),
"")</f>
        <v/>
      </c>
      <c r="X95" s="20" t="str" cm="1">
        <f t="array" aca="1" ref="X95" ca="1">IF($L95,
_xlfn.LET(
_xlpm._isAssumption,$J95,
_xlpm._sheetRow,$W95,
IF(_xlpm._isAssumption,INDEX(Table24[Sheet Name],_xlpm._sheetRow),INDEX(Table25[Sheet Name],_xlpm._sheetRow))),
"")</f>
        <v/>
      </c>
      <c r="Y95" s="20" t="str" cm="1">
        <f t="array" aca="1" ref="Y95" ca="1">IF($L95,
_xlfn.LET(
_xlpm._elementID,$O95,
_xlpm._isAssumption,$J95,
_xlpm._sheetRow,$W95,
_xlpm._sheetName,$X95,
_xlpm._elementIDColumnLetter,IF(_xlpm._isAssumption,INDEX(Table24[Element ID Column],_xlpm._sheetRow),INDEX(Table25[Element ID Column],_xlpm._sheetRow)),
MATCH(_xlpm._elementID,INDIRECT("'"&amp;_xlpm._sheetName&amp;"'!"&amp;_xlpm._elementIDColumnLetter&amp;":"&amp;_xlpm._elementIDColumnLetter),0)),
"")</f>
        <v/>
      </c>
      <c r="Z95" s="20" t="str" cm="1">
        <f t="array" aca="1" ref="Z95" ca="1">IF($A95="","",_xlfn.LET(
_xlpm._isAssumption,$J95,
_xlpm._isAdditionalElement,$L95,
_xlpm._sheetRow,$W95,
_xlpm._sheetName,$X95,
_xlpm._columnLetter,INDEX(IF(_xlpm._isAdditionalElement,Table24[Comment Column],Table25[Comment Column]),_xlpm._sheetRow),
_xlpm._sheetReference,IF(_xlpm._isAssumption,IF(_xlpm._isAdditionalElement,
CELL("address",INDEX(INDIRECT("'"&amp;_xlpm._sheetName&amp;"'!"&amp;_xlpm._columnLetter&amp;":"&amp;_xlpm._columnLetter),$Y95)),
CELL("address",INDEX(Assumptions!$A:$A,MATCH($A95,Assumptions!$A:$A,0),1))),
IF(_xlpm._isAdditionalElement,
CELL("address",INDEX(INDIRECT("'"&amp;_xlpm._sheetName&amp;"'!"&amp;_xlpm._columnLetter&amp;":"&amp;_xlpm._columnLetter),$Y95)),
CELL("address",INDEX(Countermeasures!$A:$A,MATCH($A95,Countermeasures!$A:$A,0),1)))),
_xlpm._start,FIND("]",_xlpm._sheetReference),
"'"&amp;SUBSTITUTE(SUBSTITUTE(RIGHT(_xlpm._sheetReference,LEN(_xlpm._sheetReference)-_xlpm._start),"'",""),"!","'!")))</f>
        <v/>
      </c>
      <c r="AA95" s="20" t="str" cm="1">
        <f t="array" aca="1" ref="AA95" ca="1">IF(NOT($L95),
_xlfn.LET(_xlpm._value,IF($A95="","",IF($J95,SimpleLookup($A95,Assumptions!$A:$AK),SimpleLookup($A95,Countermeasures!$A:$AN))),
IF(_xlpm._value="","",_xlpm._value)),
"")</f>
        <v/>
      </c>
      <c r="AB95" s="20" t="str" cm="1">
        <f t="array" aca="1" ref="AB95" ca="1">LookupNames(InverseLookup($A95,Mitigation!$AD$2,Mitigation!$A$2,1,Helper!$B$5,","),'Attack Steps'!$A:$B)</f>
        <v/>
      </c>
      <c r="AC95" s="20" t="str" cm="1">
        <f t="array" aca="1" ref="AC95" ca="1">IF($L95,
_xlfn.LET(
_xlpm._in,$A95,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95" s="20" t="str" cm="1">
        <f t="array" aca="1" ref="AD95" ca="1">_xlfn.LET(
_xlpm._countermeasures,InverseLookup($A95,Countermeasures!$AG$2,Countermeasures!$A$2,1,Helper!$B$4,","),
LookupNames(_xlpm._countermeasures,Countermeasures!$A:$B))</f>
        <v/>
      </c>
      <c r="AE95" s="20" t="str" cm="1">
        <f t="array" aca="1" ref="AE95" ca="1">IF($E95="","",_xlfn.LET(
_xlpm._id,$E95,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95" s="20" t="str" cm="1">
        <f t="array" aca="1" ref="AF95" ca="1">IF(OR($A95="",$L95),"",_xlfn.LET(
_xlpm._answers,IF($J95,SimpleLookup($A95,Assumptions!$A:$F),SimpleLookup($A95,Countermeasures!$A:$D)),
IF(_xlpm._answers="*",IF($J95,SimpleLookup($A95,Assumptions!$A:$C),SimpleLookup($A95,Countermeasures!$A:$C)),"")))</f>
        <v/>
      </c>
      <c r="AG95" s="20" t="str" cm="1">
        <f t="array" aca="1" ref="AG95" ca="1">IF(NOT($L95),"",_xlfn.LET(
_xlpm._mappedInMitigation,IFERROR(VLOOKUP($V95,'Attack Steps'!$A:$O,COLUMNS('Attack Steps'!$A:$O),FALSE),""),
CreateSearchString(_xlpm._mappedInMitigation)))</f>
        <v/>
      </c>
      <c r="AH95" s="20" t="b">
        <f ca="1">ROW()-ROW($AH$17)=Helper!$B$15</f>
        <v>0</v>
      </c>
      <c r="AI95" s="20" t="str">
        <f t="shared" ca="1" si="26"/>
        <v/>
      </c>
      <c r="AJ95" s="20" cm="1">
        <f t="array" aca="1" ref="AJ95" ca="1">CreateID($AJ$17,$AJ:$AJ,$AI95&lt;&gt;"")</f>
        <v>0</v>
      </c>
    </row>
    <row r="96" spans="1:36" x14ac:dyDescent="0.25">
      <c r="A96" s="33" t="str">
        <f ca="1">_xlfn.LET(
_xlpm._isAssumption,$J96,
_xlpm._row,$K96,
_xlpm._numActiveAssumptions,Helper!$B$8,
_xlpm._numActiveCountermeasures,Helper!$B$9,
_xlpm._numAdditionalAssumptions,Helper!$B$10,
_xlpm._numAdditionalCountermeasures,Helper!$B$11,
IF(_xlpm._isAssumption,
IF(_xlpm._row&gt;_xlpm._numActiveAssumptions,
$V96&amp;"-A"&amp;$Q96,
INDEX(Assumptions!A:A,MATCH(_xlpm._row,Assumptions!$AG:$AG,0))),
IF(_xlpm._row&gt;_xlpm._numActiveCountermeasures+_xlpm._numAdditionalCountermeasures,"",
IF(_xlpm._row&gt;_xlpm._numActiveCountermeasures,
$V96&amp;"-C"&amp;$Q96,
INDEX(Countermeasures!$A:$A,MATCH(_xlpm._row,Countermeasures!$AI:$AI,0))))))</f>
        <v/>
      </c>
      <c r="B96" s="33" t="str" cm="1">
        <f t="array" aca="1" ref="B96" ca="1">IF($A96="","",
_xlfn.LET(
_xlpm._isAssumption,$J96,
_xlpm._isAdditionalElement,$L96,
IF(_xlpm._isAdditionalElement,
IF(_xlpm._isAssumption,
ParseElementsFromComment($U96,Definitions!$AR$4,Definitions!$AS$4,Definitions!$AR$6,$Q96),
ParseElementsFromComment($U96,Definitions!$AR$5,Definitions!$AS$5,Definitions!$AR$6,$Q96)),
 _xlfn.LET(_xlpm._value,IF($A96="","",IF($J96,SimpleLookup($A96,Assumptions!$A:$B),SimpleLookup($A96,Countermeasures!$A:$B))),IF(_xlpm._value="","",_xlpm._value)))))</f>
        <v/>
      </c>
      <c r="C96" s="33" t="str" cm="1">
        <f t="array" aca="1" ref="C96" ca="1">IF($A96="","",IF($J96,IFERROR(SimpleLookup($A96,Assumptions!$A:$E),""),Definitions!$AO$4))</f>
        <v/>
      </c>
      <c r="D96" s="37" t="str">
        <f t="shared" ca="1" si="22"/>
        <v/>
      </c>
      <c r="E96" s="23"/>
      <c r="F96" s="59" t="str">
        <f t="shared" ca="1" si="23"/>
        <v/>
      </c>
      <c r="G96" s="122" t="str" cm="1">
        <f t="array" aca="1" ref="G96" ca="1">_xlfn.LET(_xlpm._val,IFERROR(SimpleLookup($A96,Countermeasures!$A:$R),IFERROR(SimpleLookup($A96,Assumptions!$A:$R),"")),IF(_xlpm._val="","",_xlpm._val))</f>
        <v/>
      </c>
      <c r="H96" s="33" t="str" cm="1">
        <f t="array" aca="1" ref="H96" ca="1">_xlfn.LET(_xlpm._value,IF($A96="","",IFERROR(IF($J96,SimpleLookup($A96,Assumptions!$A:$S),SimpleLookup($A96,Countermeasures!$A:$S)),"")),
IF(_xlpm._value="","",_xlpm._value))</f>
        <v/>
      </c>
      <c r="I96" s="10" cm="1">
        <f t="array" aca="1" ref="I96" ca="1">IF(ROW()=ROW($I$17)+1,0,INDEX($I:$I,ROW()-1))+IF($A96="",0,1)</f>
        <v>12</v>
      </c>
      <c r="J96" s="21" t="b">
        <f ca="1">_xlfn.LET(_xlpm._row,ROW()-ROW($K$17),
_xlpm._numActiveAssumptions,Helper!$B$8,
_xlpm._numAdditionalAssumptions,SUM(Table24['# Elements]),
_xlpm._row&lt;=_xlpm._numActiveAssumptions+_xlpm._numAdditionalAssumptions)</f>
        <v>0</v>
      </c>
      <c r="K96" s="21">
        <f ca="1">_xlfn.LET(_xlpm._row,ROW()-ROW($K$17),
_xlpm._numActiveAssumptions,Helper!$B$8,
_xlpm._numAdditionalAssumptions,Helper!$B$10,
_xlpm._isAssumption,$J96,
_xlpm._elementID,IF(_xlpm._isAssumption,_xlpm._row,_xlpm._row-_xlpm._numActiveAssumptions-_xlpm._numAdditionalAssumptions),
_xlpm._elementID)</f>
        <v>73</v>
      </c>
      <c r="L96"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96" s="20" cm="1">
        <f t="array" aca="1" ref="M96" ca="1">IF($L96,
IF(ROW()=ROW($M$17)+1,1,INDEX($M:$M,ROW()-1)+IF(INDEX($T:$T,ROW()-1),1,0)),
1)</f>
        <v>1</v>
      </c>
      <c r="N96" s="20" t="str" cm="1">
        <f t="array" aca="1" ref="N96" ca="1">IF($L96=TRUE,
_xlfn.LET(
_xlpm._isAssumption,$J96,
_xlpm._indexRange,IF(_xlpm._isAssumption,Table24['# Elements],Table25['# Elements]),
_xlpm._lookupRow,$W96,
INDEX(_xlpm._indexRange,_xlpm._lookupRow)),
"")</f>
        <v/>
      </c>
      <c r="O96" s="20" t="str" cm="1">
        <f t="array" aca="1" ref="O96" ca="1">IF($N96="","",_xlfn.LET(
_xlpm._prevRow,ROW()-1,
IF(OR(INDEX($N:$N,_xlpm._prevRow)&lt;&gt;$N96,INDEX($M:$M,_xlpm._prevRow)&lt;&gt;$M96),
1,
INDEX($O:$O,_xlpm._prevRow)+IF(INDEX($S:$S,_xlpm._prevRow),1,0))))</f>
        <v/>
      </c>
      <c r="P96" s="20" t="str" cm="1">
        <f t="array" aca="1" ref="P96" ca="1">IF($O96="","",_xlfn.LET(
_xlpm._isAssumption,$J96,
_xlpm._sheetRow,$W96,
_xlpm._sheetName,$X96,
_xlpm._elementIDRange,IF(_xlpm._isAssumption,Table24[Element ID Column],Table25[Element ID Column]),
_xlpm._numberOfElementsRange,IF(_xlpm._isAssumption,Table24[Number of Elements Column],Table25[Number of Elements Column]),
SimpleLookup($O96,INDIRECT("'"&amp;_xlpm._sheetName&amp;"'!"&amp;INDEX(_xlpm._elementIDRange,_xlpm._sheetRow)&amp;":"&amp;INDEX(_xlpm._numberOfElementsRange,_xlpm._sheetRow)))))</f>
        <v/>
      </c>
      <c r="Q96" s="20" t="str" cm="1">
        <f t="array" aca="1" ref="Q96" ca="1">IF($O96="","",IF(OR(INDEX($O:$O,ROW()-1)&lt;&gt;$O96,INDEX($M:$M,ROW()-1)&lt;&gt;$M96),1,INDEX($Q:$Q,ROW()-1)+1))</f>
        <v/>
      </c>
      <c r="R96" s="20">
        <f t="shared" ca="1" si="24"/>
        <v>0</v>
      </c>
      <c r="S96" s="20" t="str">
        <f t="shared" ca="1" si="25"/>
        <v/>
      </c>
      <c r="T96" s="20" t="b">
        <f ca="1">_xlfn.LET(
_xlpm._isAssumption,$J96,
_xlpm._numberOfElementsRange,IF(_xlpm._isAssumption,Table24['# Elements],Table25['# Elements]),
_xlpm._sheetRow,$W96,
IF($L96,AND($S96,$R96=$N96),FALSE))</f>
        <v>0</v>
      </c>
      <c r="U96" s="20" t="str" cm="1">
        <f t="array" aca="1" ref="U96" ca="1">IF($L96,
_xlfn.LET(
_xlpm._elementID,$O96,
_xlpm._isAssumption,$J96,
_xlpm._sheetRow,$W96,
_xlpm._sheetName,$X96,
_xlpm._elementRow,$Y96,
_xlpm._resultColumnLetter,IF(_xlpm._isAssumption,INDEX(Table24[Comment Column],_xlpm._sheetRow),INDEX(Table25[Comment Column],_xlpm._sheetRow)),
INDEX(INDIRECT("'"&amp;_xlpm._sheetName&amp;"'!"&amp;_xlpm._resultColumnLetter&amp;":"&amp;_xlpm._resultColumnLetter),_xlpm._elementRow)),
"")</f>
        <v/>
      </c>
      <c r="V96" s="20" t="str" cm="1">
        <f t="array" aca="1" ref="V96" ca="1">IF($L96,
_xlfn.LET(
_xlpm._elementID,$O96,
_xlpm._isAssumption,$J96,
_xlpm._sheetRow,$W96,
_xlpm._sheetName,$X96,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96" s="20" t="str">
        <f ca="1">IF($L96=TRUE,
_xlfn.LET(
_xlpm._isAssumption,$J96,
_xlpm._searchRange,IF(_xlpm._isAssumption,Table24[Task Sheet Shadow ID],Table25[Task Sheet Shadow ID]),
MATCH($M96,_xlpm._searchRange,0)),
"")</f>
        <v/>
      </c>
      <c r="X96" s="20" t="str" cm="1">
        <f t="array" aca="1" ref="X96" ca="1">IF($L96,
_xlfn.LET(
_xlpm._isAssumption,$J96,
_xlpm._sheetRow,$W96,
IF(_xlpm._isAssumption,INDEX(Table24[Sheet Name],_xlpm._sheetRow),INDEX(Table25[Sheet Name],_xlpm._sheetRow))),
"")</f>
        <v/>
      </c>
      <c r="Y96" s="20" t="str" cm="1">
        <f t="array" aca="1" ref="Y96" ca="1">IF($L96,
_xlfn.LET(
_xlpm._elementID,$O96,
_xlpm._isAssumption,$J96,
_xlpm._sheetRow,$W96,
_xlpm._sheetName,$X96,
_xlpm._elementIDColumnLetter,IF(_xlpm._isAssumption,INDEX(Table24[Element ID Column],_xlpm._sheetRow),INDEX(Table25[Element ID Column],_xlpm._sheetRow)),
MATCH(_xlpm._elementID,INDIRECT("'"&amp;_xlpm._sheetName&amp;"'!"&amp;_xlpm._elementIDColumnLetter&amp;":"&amp;_xlpm._elementIDColumnLetter),0)),
"")</f>
        <v/>
      </c>
      <c r="Z96" s="20" t="str" cm="1">
        <f t="array" aca="1" ref="Z96" ca="1">IF($A96="","",_xlfn.LET(
_xlpm._isAssumption,$J96,
_xlpm._isAdditionalElement,$L96,
_xlpm._sheetRow,$W96,
_xlpm._sheetName,$X96,
_xlpm._columnLetter,INDEX(IF(_xlpm._isAdditionalElement,Table24[Comment Column],Table25[Comment Column]),_xlpm._sheetRow),
_xlpm._sheetReference,IF(_xlpm._isAssumption,IF(_xlpm._isAdditionalElement,
CELL("address",INDEX(INDIRECT("'"&amp;_xlpm._sheetName&amp;"'!"&amp;_xlpm._columnLetter&amp;":"&amp;_xlpm._columnLetter),$Y96)),
CELL("address",INDEX(Assumptions!$A:$A,MATCH($A96,Assumptions!$A:$A,0),1))),
IF(_xlpm._isAdditionalElement,
CELL("address",INDEX(INDIRECT("'"&amp;_xlpm._sheetName&amp;"'!"&amp;_xlpm._columnLetter&amp;":"&amp;_xlpm._columnLetter),$Y96)),
CELL("address",INDEX(Countermeasures!$A:$A,MATCH($A96,Countermeasures!$A:$A,0),1)))),
_xlpm._start,FIND("]",_xlpm._sheetReference),
"'"&amp;SUBSTITUTE(SUBSTITUTE(RIGHT(_xlpm._sheetReference,LEN(_xlpm._sheetReference)-_xlpm._start),"'",""),"!","'!")))</f>
        <v/>
      </c>
      <c r="AA96" s="20" t="str" cm="1">
        <f t="array" aca="1" ref="AA96" ca="1">IF(NOT($L96),
_xlfn.LET(_xlpm._value,IF($A96="","",IF($J96,SimpleLookup($A96,Assumptions!$A:$AK),SimpleLookup($A96,Countermeasures!$A:$AN))),
IF(_xlpm._value="","",_xlpm._value)),
"")</f>
        <v/>
      </c>
      <c r="AB96" s="20" t="str" cm="1">
        <f t="array" aca="1" ref="AB96" ca="1">LookupNames(InverseLookup($A96,Mitigation!$AD$2,Mitigation!$A$2,1,Helper!$B$5,","),'Attack Steps'!$A:$B)</f>
        <v/>
      </c>
      <c r="AC96" s="20" t="str" cm="1">
        <f t="array" aca="1" ref="AC96" ca="1">IF($L96,
_xlfn.LET(
_xlpm._in,$A96,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96" s="20" t="str" cm="1">
        <f t="array" aca="1" ref="AD96" ca="1">_xlfn.LET(
_xlpm._countermeasures,InverseLookup($A96,Countermeasures!$AG$2,Countermeasures!$A$2,1,Helper!$B$4,","),
LookupNames(_xlpm._countermeasures,Countermeasures!$A:$B))</f>
        <v/>
      </c>
      <c r="AE96" s="20" t="str" cm="1">
        <f t="array" aca="1" ref="AE96" ca="1">IF($E96="","",_xlfn.LET(
_xlpm._id,$E96,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96" s="20" t="str" cm="1">
        <f t="array" aca="1" ref="AF96" ca="1">IF(OR($A96="",$L96),"",_xlfn.LET(
_xlpm._answers,IF($J96,SimpleLookup($A96,Assumptions!$A:$F),SimpleLookup($A96,Countermeasures!$A:$D)),
IF(_xlpm._answers="*",IF($J96,SimpleLookup($A96,Assumptions!$A:$C),SimpleLookup($A96,Countermeasures!$A:$C)),"")))</f>
        <v/>
      </c>
      <c r="AG96" s="20" t="str" cm="1">
        <f t="array" aca="1" ref="AG96" ca="1">IF(NOT($L96),"",_xlfn.LET(
_xlpm._mappedInMitigation,IFERROR(VLOOKUP($V96,'Attack Steps'!$A:$O,COLUMNS('Attack Steps'!$A:$O),FALSE),""),
CreateSearchString(_xlpm._mappedInMitigation)))</f>
        <v/>
      </c>
      <c r="AH96" s="20" t="b">
        <f ca="1">ROW()-ROW($AH$17)=Helper!$B$15</f>
        <v>0</v>
      </c>
      <c r="AI96" s="20" t="str">
        <f t="shared" ca="1" si="26"/>
        <v/>
      </c>
      <c r="AJ96" s="20" cm="1">
        <f t="array" aca="1" ref="AJ96" ca="1">CreateID($AJ$17,$AJ:$AJ,$AI96&lt;&gt;"")</f>
        <v>0</v>
      </c>
    </row>
    <row r="97" spans="1:36" x14ac:dyDescent="0.25">
      <c r="A97" s="33" t="str">
        <f ca="1">_xlfn.LET(
_xlpm._isAssumption,$J97,
_xlpm._row,$K97,
_xlpm._numActiveAssumptions,Helper!$B$8,
_xlpm._numActiveCountermeasures,Helper!$B$9,
_xlpm._numAdditionalAssumptions,Helper!$B$10,
_xlpm._numAdditionalCountermeasures,Helper!$B$11,
IF(_xlpm._isAssumption,
IF(_xlpm._row&gt;_xlpm._numActiveAssumptions,
$V97&amp;"-A"&amp;$Q97,
INDEX(Assumptions!A:A,MATCH(_xlpm._row,Assumptions!$AG:$AG,0))),
IF(_xlpm._row&gt;_xlpm._numActiveCountermeasures+_xlpm._numAdditionalCountermeasures,"",
IF(_xlpm._row&gt;_xlpm._numActiveCountermeasures,
$V97&amp;"-C"&amp;$Q97,
INDEX(Countermeasures!$A:$A,MATCH(_xlpm._row,Countermeasures!$AI:$AI,0))))))</f>
        <v/>
      </c>
      <c r="B97" s="33" t="str" cm="1">
        <f t="array" aca="1" ref="B97" ca="1">IF($A97="","",
_xlfn.LET(
_xlpm._isAssumption,$J97,
_xlpm._isAdditionalElement,$L97,
IF(_xlpm._isAdditionalElement,
IF(_xlpm._isAssumption,
ParseElementsFromComment($U97,Definitions!$AR$4,Definitions!$AS$4,Definitions!$AR$6,$Q97),
ParseElementsFromComment($U97,Definitions!$AR$5,Definitions!$AS$5,Definitions!$AR$6,$Q97)),
 _xlfn.LET(_xlpm._value,IF($A97="","",IF($J97,SimpleLookup($A97,Assumptions!$A:$B),SimpleLookup($A97,Countermeasures!$A:$B))),IF(_xlpm._value="","",_xlpm._value)))))</f>
        <v/>
      </c>
      <c r="C97" s="33" t="str" cm="1">
        <f t="array" aca="1" ref="C97" ca="1">IF($A97="","",IF($J97,IFERROR(SimpleLookup($A97,Assumptions!$A:$E),""),Definitions!$AO$4))</f>
        <v/>
      </c>
      <c r="D97" s="37" t="str">
        <f t="shared" ca="1" si="22"/>
        <v/>
      </c>
      <c r="E97" s="23"/>
      <c r="F97" s="59" t="str">
        <f t="shared" ca="1" si="23"/>
        <v/>
      </c>
      <c r="G97" s="122" t="str" cm="1">
        <f t="array" aca="1" ref="G97" ca="1">_xlfn.LET(_xlpm._val,IFERROR(SimpleLookup($A97,Countermeasures!$A:$R),IFERROR(SimpleLookup($A97,Assumptions!$A:$R),"")),IF(_xlpm._val="","",_xlpm._val))</f>
        <v/>
      </c>
      <c r="H97" s="33" t="str" cm="1">
        <f t="array" aca="1" ref="H97" ca="1">_xlfn.LET(_xlpm._value,IF($A97="","",IFERROR(IF($J97,SimpleLookup($A97,Assumptions!$A:$S),SimpleLookup($A97,Countermeasures!$A:$S)),"")),
IF(_xlpm._value="","",_xlpm._value))</f>
        <v/>
      </c>
      <c r="I97" s="10" cm="1">
        <f t="array" aca="1" ref="I97" ca="1">IF(ROW()=ROW($I$17)+1,0,INDEX($I:$I,ROW()-1))+IF($A97="",0,1)</f>
        <v>12</v>
      </c>
      <c r="J97" s="21" t="b">
        <f ca="1">_xlfn.LET(_xlpm._row,ROW()-ROW($K$17),
_xlpm._numActiveAssumptions,Helper!$B$8,
_xlpm._numAdditionalAssumptions,SUM(Table24['# Elements]),
_xlpm._row&lt;=_xlpm._numActiveAssumptions+_xlpm._numAdditionalAssumptions)</f>
        <v>0</v>
      </c>
      <c r="K97" s="21">
        <f ca="1">_xlfn.LET(_xlpm._row,ROW()-ROW($K$17),
_xlpm._numActiveAssumptions,Helper!$B$8,
_xlpm._numAdditionalAssumptions,Helper!$B$10,
_xlpm._isAssumption,$J97,
_xlpm._elementID,IF(_xlpm._isAssumption,_xlpm._row,_xlpm._row-_xlpm._numActiveAssumptions-_xlpm._numAdditionalAssumptions),
_xlpm._elementID)</f>
        <v>74</v>
      </c>
      <c r="L97"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97" s="20" cm="1">
        <f t="array" aca="1" ref="M97" ca="1">IF($L97,
IF(ROW()=ROW($M$17)+1,1,INDEX($M:$M,ROW()-1)+IF(INDEX($T:$T,ROW()-1),1,0)),
1)</f>
        <v>1</v>
      </c>
      <c r="N97" s="20" t="str" cm="1">
        <f t="array" aca="1" ref="N97" ca="1">IF($L97=TRUE,
_xlfn.LET(
_xlpm._isAssumption,$J97,
_xlpm._indexRange,IF(_xlpm._isAssumption,Table24['# Elements],Table25['# Elements]),
_xlpm._lookupRow,$W97,
INDEX(_xlpm._indexRange,_xlpm._lookupRow)),
"")</f>
        <v/>
      </c>
      <c r="O97" s="20" t="str" cm="1">
        <f t="array" aca="1" ref="O97" ca="1">IF($N97="","",_xlfn.LET(
_xlpm._prevRow,ROW()-1,
IF(OR(INDEX($N:$N,_xlpm._prevRow)&lt;&gt;$N97,INDEX($M:$M,_xlpm._prevRow)&lt;&gt;$M97),
1,
INDEX($O:$O,_xlpm._prevRow)+IF(INDEX($S:$S,_xlpm._prevRow),1,0))))</f>
        <v/>
      </c>
      <c r="P97" s="20" t="str" cm="1">
        <f t="array" aca="1" ref="P97" ca="1">IF($O97="","",_xlfn.LET(
_xlpm._isAssumption,$J97,
_xlpm._sheetRow,$W97,
_xlpm._sheetName,$X97,
_xlpm._elementIDRange,IF(_xlpm._isAssumption,Table24[Element ID Column],Table25[Element ID Column]),
_xlpm._numberOfElementsRange,IF(_xlpm._isAssumption,Table24[Number of Elements Column],Table25[Number of Elements Column]),
SimpleLookup($O97,INDIRECT("'"&amp;_xlpm._sheetName&amp;"'!"&amp;INDEX(_xlpm._elementIDRange,_xlpm._sheetRow)&amp;":"&amp;INDEX(_xlpm._numberOfElementsRange,_xlpm._sheetRow)))))</f>
        <v/>
      </c>
      <c r="Q97" s="20" t="str" cm="1">
        <f t="array" aca="1" ref="Q97" ca="1">IF($O97="","",IF(OR(INDEX($O:$O,ROW()-1)&lt;&gt;$O97,INDEX($M:$M,ROW()-1)&lt;&gt;$M97),1,INDEX($Q:$Q,ROW()-1)+1))</f>
        <v/>
      </c>
      <c r="R97" s="20">
        <f t="shared" ca="1" si="24"/>
        <v>0</v>
      </c>
      <c r="S97" s="20" t="str">
        <f t="shared" ca="1" si="25"/>
        <v/>
      </c>
      <c r="T97" s="20" t="b">
        <f ca="1">_xlfn.LET(
_xlpm._isAssumption,$J97,
_xlpm._numberOfElementsRange,IF(_xlpm._isAssumption,Table24['# Elements],Table25['# Elements]),
_xlpm._sheetRow,$W97,
IF($L97,AND($S97,$R97=$N97),FALSE))</f>
        <v>0</v>
      </c>
      <c r="U97" s="20" t="str" cm="1">
        <f t="array" aca="1" ref="U97" ca="1">IF($L97,
_xlfn.LET(
_xlpm._elementID,$O97,
_xlpm._isAssumption,$J97,
_xlpm._sheetRow,$W97,
_xlpm._sheetName,$X97,
_xlpm._elementRow,$Y97,
_xlpm._resultColumnLetter,IF(_xlpm._isAssumption,INDEX(Table24[Comment Column],_xlpm._sheetRow),INDEX(Table25[Comment Column],_xlpm._sheetRow)),
INDEX(INDIRECT("'"&amp;_xlpm._sheetName&amp;"'!"&amp;_xlpm._resultColumnLetter&amp;":"&amp;_xlpm._resultColumnLetter),_xlpm._elementRow)),
"")</f>
        <v/>
      </c>
      <c r="V97" s="20" t="str" cm="1">
        <f t="array" aca="1" ref="V97" ca="1">IF($L97,
_xlfn.LET(
_xlpm._elementID,$O97,
_xlpm._isAssumption,$J97,
_xlpm._sheetRow,$W97,
_xlpm._sheetName,$X97,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97" s="20" t="str">
        <f ca="1">IF($L97=TRUE,
_xlfn.LET(
_xlpm._isAssumption,$J97,
_xlpm._searchRange,IF(_xlpm._isAssumption,Table24[Task Sheet Shadow ID],Table25[Task Sheet Shadow ID]),
MATCH($M97,_xlpm._searchRange,0)),
"")</f>
        <v/>
      </c>
      <c r="X97" s="20" t="str" cm="1">
        <f t="array" aca="1" ref="X97" ca="1">IF($L97,
_xlfn.LET(
_xlpm._isAssumption,$J97,
_xlpm._sheetRow,$W97,
IF(_xlpm._isAssumption,INDEX(Table24[Sheet Name],_xlpm._sheetRow),INDEX(Table25[Sheet Name],_xlpm._sheetRow))),
"")</f>
        <v/>
      </c>
      <c r="Y97" s="20" t="str" cm="1">
        <f t="array" aca="1" ref="Y97" ca="1">IF($L97,
_xlfn.LET(
_xlpm._elementID,$O97,
_xlpm._isAssumption,$J97,
_xlpm._sheetRow,$W97,
_xlpm._sheetName,$X97,
_xlpm._elementIDColumnLetter,IF(_xlpm._isAssumption,INDEX(Table24[Element ID Column],_xlpm._sheetRow),INDEX(Table25[Element ID Column],_xlpm._sheetRow)),
MATCH(_xlpm._elementID,INDIRECT("'"&amp;_xlpm._sheetName&amp;"'!"&amp;_xlpm._elementIDColumnLetter&amp;":"&amp;_xlpm._elementIDColumnLetter),0)),
"")</f>
        <v/>
      </c>
      <c r="Z97" s="20" t="str" cm="1">
        <f t="array" aca="1" ref="Z97" ca="1">IF($A97="","",_xlfn.LET(
_xlpm._isAssumption,$J97,
_xlpm._isAdditionalElement,$L97,
_xlpm._sheetRow,$W97,
_xlpm._sheetName,$X97,
_xlpm._columnLetter,INDEX(IF(_xlpm._isAdditionalElement,Table24[Comment Column],Table25[Comment Column]),_xlpm._sheetRow),
_xlpm._sheetReference,IF(_xlpm._isAssumption,IF(_xlpm._isAdditionalElement,
CELL("address",INDEX(INDIRECT("'"&amp;_xlpm._sheetName&amp;"'!"&amp;_xlpm._columnLetter&amp;":"&amp;_xlpm._columnLetter),$Y97)),
CELL("address",INDEX(Assumptions!$A:$A,MATCH($A97,Assumptions!$A:$A,0),1))),
IF(_xlpm._isAdditionalElement,
CELL("address",INDEX(INDIRECT("'"&amp;_xlpm._sheetName&amp;"'!"&amp;_xlpm._columnLetter&amp;":"&amp;_xlpm._columnLetter),$Y97)),
CELL("address",INDEX(Countermeasures!$A:$A,MATCH($A97,Countermeasures!$A:$A,0),1)))),
_xlpm._start,FIND("]",_xlpm._sheetReference),
"'"&amp;SUBSTITUTE(SUBSTITUTE(RIGHT(_xlpm._sheetReference,LEN(_xlpm._sheetReference)-_xlpm._start),"'",""),"!","'!")))</f>
        <v/>
      </c>
      <c r="AA97" s="20" t="str" cm="1">
        <f t="array" aca="1" ref="AA97" ca="1">IF(NOT($L97),
_xlfn.LET(_xlpm._value,IF($A97="","",IF($J97,SimpleLookup($A97,Assumptions!$A:$AK),SimpleLookup($A97,Countermeasures!$A:$AN))),
IF(_xlpm._value="","",_xlpm._value)),
"")</f>
        <v/>
      </c>
      <c r="AB97" s="20" t="str" cm="1">
        <f t="array" aca="1" ref="AB97" ca="1">LookupNames(InverseLookup($A97,Mitigation!$AD$2,Mitigation!$A$2,1,Helper!$B$5,","),'Attack Steps'!$A:$B)</f>
        <v/>
      </c>
      <c r="AC97" s="20" t="str" cm="1">
        <f t="array" aca="1" ref="AC97" ca="1">IF($L97,
_xlfn.LET(
_xlpm._in,$A97,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97" s="20" t="str" cm="1">
        <f t="array" aca="1" ref="AD97" ca="1">_xlfn.LET(
_xlpm._countermeasures,InverseLookup($A97,Countermeasures!$AG$2,Countermeasures!$A$2,1,Helper!$B$4,","),
LookupNames(_xlpm._countermeasures,Countermeasures!$A:$B))</f>
        <v/>
      </c>
      <c r="AE97" s="20" t="str" cm="1">
        <f t="array" aca="1" ref="AE97" ca="1">IF($E97="","",_xlfn.LET(
_xlpm._id,$E97,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97" s="20" t="str" cm="1">
        <f t="array" aca="1" ref="AF97" ca="1">IF(OR($A97="",$L97),"",_xlfn.LET(
_xlpm._answers,IF($J97,SimpleLookup($A97,Assumptions!$A:$F),SimpleLookup($A97,Countermeasures!$A:$D)),
IF(_xlpm._answers="*",IF($J97,SimpleLookup($A97,Assumptions!$A:$C),SimpleLookup($A97,Countermeasures!$A:$C)),"")))</f>
        <v/>
      </c>
      <c r="AG97" s="20" t="str" cm="1">
        <f t="array" aca="1" ref="AG97" ca="1">IF(NOT($L97),"",_xlfn.LET(
_xlpm._mappedInMitigation,IFERROR(VLOOKUP($V97,'Attack Steps'!$A:$O,COLUMNS('Attack Steps'!$A:$O),FALSE),""),
CreateSearchString(_xlpm._mappedInMitigation)))</f>
        <v/>
      </c>
      <c r="AH97" s="20" t="b">
        <f ca="1">ROW()-ROW($AH$17)=Helper!$B$15</f>
        <v>0</v>
      </c>
      <c r="AI97" s="20" t="str">
        <f t="shared" ca="1" si="26"/>
        <v/>
      </c>
      <c r="AJ97" s="20" cm="1">
        <f t="array" aca="1" ref="AJ97" ca="1">CreateID($AJ$17,$AJ:$AJ,$AI97&lt;&gt;"")</f>
        <v>0</v>
      </c>
    </row>
    <row r="98" spans="1:36" x14ac:dyDescent="0.25">
      <c r="A98" s="33" t="str">
        <f ca="1">_xlfn.LET(
_xlpm._isAssumption,$J98,
_xlpm._row,$K98,
_xlpm._numActiveAssumptions,Helper!$B$8,
_xlpm._numActiveCountermeasures,Helper!$B$9,
_xlpm._numAdditionalAssumptions,Helper!$B$10,
_xlpm._numAdditionalCountermeasures,Helper!$B$11,
IF(_xlpm._isAssumption,
IF(_xlpm._row&gt;_xlpm._numActiveAssumptions,
$V98&amp;"-A"&amp;$Q98,
INDEX(Assumptions!A:A,MATCH(_xlpm._row,Assumptions!$AG:$AG,0))),
IF(_xlpm._row&gt;_xlpm._numActiveCountermeasures+_xlpm._numAdditionalCountermeasures,"",
IF(_xlpm._row&gt;_xlpm._numActiveCountermeasures,
$V98&amp;"-C"&amp;$Q98,
INDEX(Countermeasures!$A:$A,MATCH(_xlpm._row,Countermeasures!$AI:$AI,0))))))</f>
        <v/>
      </c>
      <c r="B98" s="33" t="str" cm="1">
        <f t="array" aca="1" ref="B98" ca="1">IF($A98="","",
_xlfn.LET(
_xlpm._isAssumption,$J98,
_xlpm._isAdditionalElement,$L98,
IF(_xlpm._isAdditionalElement,
IF(_xlpm._isAssumption,
ParseElementsFromComment($U98,Definitions!$AR$4,Definitions!$AS$4,Definitions!$AR$6,$Q98),
ParseElementsFromComment($U98,Definitions!$AR$5,Definitions!$AS$5,Definitions!$AR$6,$Q98)),
 _xlfn.LET(_xlpm._value,IF($A98="","",IF($J98,SimpleLookup($A98,Assumptions!$A:$B),SimpleLookup($A98,Countermeasures!$A:$B))),IF(_xlpm._value="","",_xlpm._value)))))</f>
        <v/>
      </c>
      <c r="C98" s="33" t="str" cm="1">
        <f t="array" aca="1" ref="C98" ca="1">IF($A98="","",IF($J98,IFERROR(SimpleLookup($A98,Assumptions!$A:$E),""),Definitions!$AO$4))</f>
        <v/>
      </c>
      <c r="D98" s="37" t="str">
        <f t="shared" ca="1" si="22"/>
        <v/>
      </c>
      <c r="E98" s="23"/>
      <c r="F98" s="59" t="str">
        <f t="shared" ca="1" si="23"/>
        <v/>
      </c>
      <c r="G98" s="122" t="str" cm="1">
        <f t="array" aca="1" ref="G98" ca="1">_xlfn.LET(_xlpm._val,IFERROR(SimpleLookup($A98,Countermeasures!$A:$R),IFERROR(SimpleLookup($A98,Assumptions!$A:$R),"")),IF(_xlpm._val="","",_xlpm._val))</f>
        <v/>
      </c>
      <c r="H98" s="33" t="str" cm="1">
        <f t="array" aca="1" ref="H98" ca="1">_xlfn.LET(_xlpm._value,IF($A98="","",IFERROR(IF($J98,SimpleLookup($A98,Assumptions!$A:$S),SimpleLookup($A98,Countermeasures!$A:$S)),"")),
IF(_xlpm._value="","",_xlpm._value))</f>
        <v/>
      </c>
      <c r="I98" s="10" cm="1">
        <f t="array" aca="1" ref="I98" ca="1">IF(ROW()=ROW($I$17)+1,0,INDEX($I:$I,ROW()-1))+IF($A98="",0,1)</f>
        <v>12</v>
      </c>
      <c r="J98" s="21" t="b">
        <f ca="1">_xlfn.LET(_xlpm._row,ROW()-ROW($K$17),
_xlpm._numActiveAssumptions,Helper!$B$8,
_xlpm._numAdditionalAssumptions,SUM(Table24['# Elements]),
_xlpm._row&lt;=_xlpm._numActiveAssumptions+_xlpm._numAdditionalAssumptions)</f>
        <v>0</v>
      </c>
      <c r="K98" s="21">
        <f ca="1">_xlfn.LET(_xlpm._row,ROW()-ROW($K$17),
_xlpm._numActiveAssumptions,Helper!$B$8,
_xlpm._numAdditionalAssumptions,Helper!$B$10,
_xlpm._isAssumption,$J98,
_xlpm._elementID,IF(_xlpm._isAssumption,_xlpm._row,_xlpm._row-_xlpm._numActiveAssumptions-_xlpm._numAdditionalAssumptions),
_xlpm._elementID)</f>
        <v>75</v>
      </c>
      <c r="L98"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98" s="20" cm="1">
        <f t="array" aca="1" ref="M98" ca="1">IF($L98,
IF(ROW()=ROW($M$17)+1,1,INDEX($M:$M,ROW()-1)+IF(INDEX($T:$T,ROW()-1),1,0)),
1)</f>
        <v>1</v>
      </c>
      <c r="N98" s="20" t="str" cm="1">
        <f t="array" aca="1" ref="N98" ca="1">IF($L98=TRUE,
_xlfn.LET(
_xlpm._isAssumption,$J98,
_xlpm._indexRange,IF(_xlpm._isAssumption,Table24['# Elements],Table25['# Elements]),
_xlpm._lookupRow,$W98,
INDEX(_xlpm._indexRange,_xlpm._lookupRow)),
"")</f>
        <v/>
      </c>
      <c r="O98" s="20" t="str" cm="1">
        <f t="array" aca="1" ref="O98" ca="1">IF($N98="","",_xlfn.LET(
_xlpm._prevRow,ROW()-1,
IF(OR(INDEX($N:$N,_xlpm._prevRow)&lt;&gt;$N98,INDEX($M:$M,_xlpm._prevRow)&lt;&gt;$M98),
1,
INDEX($O:$O,_xlpm._prevRow)+IF(INDEX($S:$S,_xlpm._prevRow),1,0))))</f>
        <v/>
      </c>
      <c r="P98" s="20" t="str" cm="1">
        <f t="array" aca="1" ref="P98" ca="1">IF($O98="","",_xlfn.LET(
_xlpm._isAssumption,$J98,
_xlpm._sheetRow,$W98,
_xlpm._sheetName,$X98,
_xlpm._elementIDRange,IF(_xlpm._isAssumption,Table24[Element ID Column],Table25[Element ID Column]),
_xlpm._numberOfElementsRange,IF(_xlpm._isAssumption,Table24[Number of Elements Column],Table25[Number of Elements Column]),
SimpleLookup($O98,INDIRECT("'"&amp;_xlpm._sheetName&amp;"'!"&amp;INDEX(_xlpm._elementIDRange,_xlpm._sheetRow)&amp;":"&amp;INDEX(_xlpm._numberOfElementsRange,_xlpm._sheetRow)))))</f>
        <v/>
      </c>
      <c r="Q98" s="20" t="str" cm="1">
        <f t="array" aca="1" ref="Q98" ca="1">IF($O98="","",IF(OR(INDEX($O:$O,ROW()-1)&lt;&gt;$O98,INDEX($M:$M,ROW()-1)&lt;&gt;$M98),1,INDEX($Q:$Q,ROW()-1)+1))</f>
        <v/>
      </c>
      <c r="R98" s="20">
        <f t="shared" ca="1" si="24"/>
        <v>0</v>
      </c>
      <c r="S98" s="20" t="str">
        <f t="shared" ca="1" si="25"/>
        <v/>
      </c>
      <c r="T98" s="20" t="b">
        <f ca="1">_xlfn.LET(
_xlpm._isAssumption,$J98,
_xlpm._numberOfElementsRange,IF(_xlpm._isAssumption,Table24['# Elements],Table25['# Elements]),
_xlpm._sheetRow,$W98,
IF($L98,AND($S98,$R98=$N98),FALSE))</f>
        <v>0</v>
      </c>
      <c r="U98" s="20" t="str" cm="1">
        <f t="array" aca="1" ref="U98" ca="1">IF($L98,
_xlfn.LET(
_xlpm._elementID,$O98,
_xlpm._isAssumption,$J98,
_xlpm._sheetRow,$W98,
_xlpm._sheetName,$X98,
_xlpm._elementRow,$Y98,
_xlpm._resultColumnLetter,IF(_xlpm._isAssumption,INDEX(Table24[Comment Column],_xlpm._sheetRow),INDEX(Table25[Comment Column],_xlpm._sheetRow)),
INDEX(INDIRECT("'"&amp;_xlpm._sheetName&amp;"'!"&amp;_xlpm._resultColumnLetter&amp;":"&amp;_xlpm._resultColumnLetter),_xlpm._elementRow)),
"")</f>
        <v/>
      </c>
      <c r="V98" s="20" t="str" cm="1">
        <f t="array" aca="1" ref="V98" ca="1">IF($L98,
_xlfn.LET(
_xlpm._elementID,$O98,
_xlpm._isAssumption,$J98,
_xlpm._sheetRow,$W98,
_xlpm._sheetName,$X98,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98" s="20" t="str">
        <f ca="1">IF($L98=TRUE,
_xlfn.LET(
_xlpm._isAssumption,$J98,
_xlpm._searchRange,IF(_xlpm._isAssumption,Table24[Task Sheet Shadow ID],Table25[Task Sheet Shadow ID]),
MATCH($M98,_xlpm._searchRange,0)),
"")</f>
        <v/>
      </c>
      <c r="X98" s="20" t="str" cm="1">
        <f t="array" aca="1" ref="X98" ca="1">IF($L98,
_xlfn.LET(
_xlpm._isAssumption,$J98,
_xlpm._sheetRow,$W98,
IF(_xlpm._isAssumption,INDEX(Table24[Sheet Name],_xlpm._sheetRow),INDEX(Table25[Sheet Name],_xlpm._sheetRow))),
"")</f>
        <v/>
      </c>
      <c r="Y98" s="20" t="str" cm="1">
        <f t="array" aca="1" ref="Y98" ca="1">IF($L98,
_xlfn.LET(
_xlpm._elementID,$O98,
_xlpm._isAssumption,$J98,
_xlpm._sheetRow,$W98,
_xlpm._sheetName,$X98,
_xlpm._elementIDColumnLetter,IF(_xlpm._isAssumption,INDEX(Table24[Element ID Column],_xlpm._sheetRow),INDEX(Table25[Element ID Column],_xlpm._sheetRow)),
MATCH(_xlpm._elementID,INDIRECT("'"&amp;_xlpm._sheetName&amp;"'!"&amp;_xlpm._elementIDColumnLetter&amp;":"&amp;_xlpm._elementIDColumnLetter),0)),
"")</f>
        <v/>
      </c>
      <c r="Z98" s="20" t="str" cm="1">
        <f t="array" aca="1" ref="Z98" ca="1">IF($A98="","",_xlfn.LET(
_xlpm._isAssumption,$J98,
_xlpm._isAdditionalElement,$L98,
_xlpm._sheetRow,$W98,
_xlpm._sheetName,$X98,
_xlpm._columnLetter,INDEX(IF(_xlpm._isAdditionalElement,Table24[Comment Column],Table25[Comment Column]),_xlpm._sheetRow),
_xlpm._sheetReference,IF(_xlpm._isAssumption,IF(_xlpm._isAdditionalElement,
CELL("address",INDEX(INDIRECT("'"&amp;_xlpm._sheetName&amp;"'!"&amp;_xlpm._columnLetter&amp;":"&amp;_xlpm._columnLetter),$Y98)),
CELL("address",INDEX(Assumptions!$A:$A,MATCH($A98,Assumptions!$A:$A,0),1))),
IF(_xlpm._isAdditionalElement,
CELL("address",INDEX(INDIRECT("'"&amp;_xlpm._sheetName&amp;"'!"&amp;_xlpm._columnLetter&amp;":"&amp;_xlpm._columnLetter),$Y98)),
CELL("address",INDEX(Countermeasures!$A:$A,MATCH($A98,Countermeasures!$A:$A,0),1)))),
_xlpm._start,FIND("]",_xlpm._sheetReference),
"'"&amp;SUBSTITUTE(SUBSTITUTE(RIGHT(_xlpm._sheetReference,LEN(_xlpm._sheetReference)-_xlpm._start),"'",""),"!","'!")))</f>
        <v/>
      </c>
      <c r="AA98" s="20" t="str" cm="1">
        <f t="array" aca="1" ref="AA98" ca="1">IF(NOT($L98),
_xlfn.LET(_xlpm._value,IF($A98="","",IF($J98,SimpleLookup($A98,Assumptions!$A:$AK),SimpleLookup($A98,Countermeasures!$A:$AN))),
IF(_xlpm._value="","",_xlpm._value)),
"")</f>
        <v/>
      </c>
      <c r="AB98" s="20" t="str" cm="1">
        <f t="array" aca="1" ref="AB98" ca="1">LookupNames(InverseLookup($A98,Mitigation!$AD$2,Mitigation!$A$2,1,Helper!$B$5,","),'Attack Steps'!$A:$B)</f>
        <v/>
      </c>
      <c r="AC98" s="20" t="str" cm="1">
        <f t="array" aca="1" ref="AC98" ca="1">IF($L98,
_xlfn.LET(
_xlpm._in,$A98,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98" s="20" t="str" cm="1">
        <f t="array" aca="1" ref="AD98" ca="1">_xlfn.LET(
_xlpm._countermeasures,InverseLookup($A98,Countermeasures!$AG$2,Countermeasures!$A$2,1,Helper!$B$4,","),
LookupNames(_xlpm._countermeasures,Countermeasures!$A:$B))</f>
        <v/>
      </c>
      <c r="AE98" s="20" t="str" cm="1">
        <f t="array" aca="1" ref="AE98" ca="1">IF($E98="","",_xlfn.LET(
_xlpm._id,$E98,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98" s="20" t="str" cm="1">
        <f t="array" aca="1" ref="AF98" ca="1">IF(OR($A98="",$L98),"",_xlfn.LET(
_xlpm._answers,IF($J98,SimpleLookup($A98,Assumptions!$A:$F),SimpleLookup($A98,Countermeasures!$A:$D)),
IF(_xlpm._answers="*",IF($J98,SimpleLookup($A98,Assumptions!$A:$C),SimpleLookup($A98,Countermeasures!$A:$C)),"")))</f>
        <v/>
      </c>
      <c r="AG98" s="20" t="str" cm="1">
        <f t="array" aca="1" ref="AG98" ca="1">IF(NOT($L98),"",_xlfn.LET(
_xlpm._mappedInMitigation,IFERROR(VLOOKUP($V98,'Attack Steps'!$A:$O,COLUMNS('Attack Steps'!$A:$O),FALSE),""),
CreateSearchString(_xlpm._mappedInMitigation)))</f>
        <v/>
      </c>
      <c r="AH98" s="20" t="b">
        <f ca="1">ROW()-ROW($AH$17)=Helper!$B$15</f>
        <v>0</v>
      </c>
      <c r="AI98" s="20" t="str">
        <f t="shared" ca="1" si="26"/>
        <v/>
      </c>
      <c r="AJ98" s="20" cm="1">
        <f t="array" aca="1" ref="AJ98" ca="1">CreateID($AJ$17,$AJ:$AJ,$AI98&lt;&gt;"")</f>
        <v>0</v>
      </c>
    </row>
    <row r="99" spans="1:36" x14ac:dyDescent="0.25">
      <c r="A99" s="33" t="str">
        <f ca="1">_xlfn.LET(
_xlpm._isAssumption,$J99,
_xlpm._row,$K99,
_xlpm._numActiveAssumptions,Helper!$B$8,
_xlpm._numActiveCountermeasures,Helper!$B$9,
_xlpm._numAdditionalAssumptions,Helper!$B$10,
_xlpm._numAdditionalCountermeasures,Helper!$B$11,
IF(_xlpm._isAssumption,
IF(_xlpm._row&gt;_xlpm._numActiveAssumptions,
$V99&amp;"-A"&amp;$Q99,
INDEX(Assumptions!A:A,MATCH(_xlpm._row,Assumptions!$AG:$AG,0))),
IF(_xlpm._row&gt;_xlpm._numActiveCountermeasures+_xlpm._numAdditionalCountermeasures,"",
IF(_xlpm._row&gt;_xlpm._numActiveCountermeasures,
$V99&amp;"-C"&amp;$Q99,
INDEX(Countermeasures!$A:$A,MATCH(_xlpm._row,Countermeasures!$AI:$AI,0))))))</f>
        <v/>
      </c>
      <c r="B99" s="33" t="str" cm="1">
        <f t="array" aca="1" ref="B99" ca="1">IF($A99="","",
_xlfn.LET(
_xlpm._isAssumption,$J99,
_xlpm._isAdditionalElement,$L99,
IF(_xlpm._isAdditionalElement,
IF(_xlpm._isAssumption,
ParseElementsFromComment($U99,Definitions!$AR$4,Definitions!$AS$4,Definitions!$AR$6,$Q99),
ParseElementsFromComment($U99,Definitions!$AR$5,Definitions!$AS$5,Definitions!$AR$6,$Q99)),
 _xlfn.LET(_xlpm._value,IF($A99="","",IF($J99,SimpleLookup($A99,Assumptions!$A:$B),SimpleLookup($A99,Countermeasures!$A:$B))),IF(_xlpm._value="","",_xlpm._value)))))</f>
        <v/>
      </c>
      <c r="C99" s="33" t="str" cm="1">
        <f t="array" aca="1" ref="C99" ca="1">IF($A99="","",IF($J99,IFERROR(SimpleLookup($A99,Assumptions!$A:$E),""),Definitions!$AO$4))</f>
        <v/>
      </c>
      <c r="D99" s="37" t="str">
        <f t="shared" ca="1" si="22"/>
        <v/>
      </c>
      <c r="E99" s="23"/>
      <c r="F99" s="59" t="str">
        <f t="shared" ca="1" si="23"/>
        <v/>
      </c>
      <c r="G99" s="122" t="str" cm="1">
        <f t="array" aca="1" ref="G99" ca="1">_xlfn.LET(_xlpm._val,IFERROR(SimpleLookup($A99,Countermeasures!$A:$R),IFERROR(SimpleLookup($A99,Assumptions!$A:$R),"")),IF(_xlpm._val="","",_xlpm._val))</f>
        <v/>
      </c>
      <c r="H99" s="33" t="str" cm="1">
        <f t="array" aca="1" ref="H99" ca="1">_xlfn.LET(_xlpm._value,IF($A99="","",IFERROR(IF($J99,SimpleLookup($A99,Assumptions!$A:$S),SimpleLookup($A99,Countermeasures!$A:$S)),"")),
IF(_xlpm._value="","",_xlpm._value))</f>
        <v/>
      </c>
      <c r="I99" s="10" cm="1">
        <f t="array" aca="1" ref="I99" ca="1">IF(ROW()=ROW($I$17)+1,0,INDEX($I:$I,ROW()-1))+IF($A99="",0,1)</f>
        <v>12</v>
      </c>
      <c r="J99" s="21" t="b">
        <f ca="1">_xlfn.LET(_xlpm._row,ROW()-ROW($K$17),
_xlpm._numActiveAssumptions,Helper!$B$8,
_xlpm._numAdditionalAssumptions,SUM(Table24['# Elements]),
_xlpm._row&lt;=_xlpm._numActiveAssumptions+_xlpm._numAdditionalAssumptions)</f>
        <v>0</v>
      </c>
      <c r="K99" s="21">
        <f ca="1">_xlfn.LET(_xlpm._row,ROW()-ROW($K$17),
_xlpm._numActiveAssumptions,Helper!$B$8,
_xlpm._numAdditionalAssumptions,Helper!$B$10,
_xlpm._isAssumption,$J99,
_xlpm._elementID,IF(_xlpm._isAssumption,_xlpm._row,_xlpm._row-_xlpm._numActiveAssumptions-_xlpm._numAdditionalAssumptions),
_xlpm._elementID)</f>
        <v>76</v>
      </c>
      <c r="L99"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99" s="20" cm="1">
        <f t="array" aca="1" ref="M99" ca="1">IF($L99,
IF(ROW()=ROW($M$17)+1,1,INDEX($M:$M,ROW()-1)+IF(INDEX($T:$T,ROW()-1),1,0)),
1)</f>
        <v>1</v>
      </c>
      <c r="N99" s="20" t="str" cm="1">
        <f t="array" aca="1" ref="N99" ca="1">IF($L99=TRUE,
_xlfn.LET(
_xlpm._isAssumption,$J99,
_xlpm._indexRange,IF(_xlpm._isAssumption,Table24['# Elements],Table25['# Elements]),
_xlpm._lookupRow,$W99,
INDEX(_xlpm._indexRange,_xlpm._lookupRow)),
"")</f>
        <v/>
      </c>
      <c r="O99" s="20" t="str" cm="1">
        <f t="array" aca="1" ref="O99" ca="1">IF($N99="","",_xlfn.LET(
_xlpm._prevRow,ROW()-1,
IF(OR(INDEX($N:$N,_xlpm._prevRow)&lt;&gt;$N99,INDEX($M:$M,_xlpm._prevRow)&lt;&gt;$M99),
1,
INDEX($O:$O,_xlpm._prevRow)+IF(INDEX($S:$S,_xlpm._prevRow),1,0))))</f>
        <v/>
      </c>
      <c r="P99" s="20" t="str" cm="1">
        <f t="array" aca="1" ref="P99" ca="1">IF($O99="","",_xlfn.LET(
_xlpm._isAssumption,$J99,
_xlpm._sheetRow,$W99,
_xlpm._sheetName,$X99,
_xlpm._elementIDRange,IF(_xlpm._isAssumption,Table24[Element ID Column],Table25[Element ID Column]),
_xlpm._numberOfElementsRange,IF(_xlpm._isAssumption,Table24[Number of Elements Column],Table25[Number of Elements Column]),
SimpleLookup($O99,INDIRECT("'"&amp;_xlpm._sheetName&amp;"'!"&amp;INDEX(_xlpm._elementIDRange,_xlpm._sheetRow)&amp;":"&amp;INDEX(_xlpm._numberOfElementsRange,_xlpm._sheetRow)))))</f>
        <v/>
      </c>
      <c r="Q99" s="20" t="str" cm="1">
        <f t="array" aca="1" ref="Q99" ca="1">IF($O99="","",IF(OR(INDEX($O:$O,ROW()-1)&lt;&gt;$O99,INDEX($M:$M,ROW()-1)&lt;&gt;$M99),1,INDEX($Q:$Q,ROW()-1)+1))</f>
        <v/>
      </c>
      <c r="R99" s="20">
        <f t="shared" ca="1" si="24"/>
        <v>0</v>
      </c>
      <c r="S99" s="20" t="str">
        <f t="shared" ca="1" si="25"/>
        <v/>
      </c>
      <c r="T99" s="20" t="b">
        <f ca="1">_xlfn.LET(
_xlpm._isAssumption,$J99,
_xlpm._numberOfElementsRange,IF(_xlpm._isAssumption,Table24['# Elements],Table25['# Elements]),
_xlpm._sheetRow,$W99,
IF($L99,AND($S99,$R99=$N99),FALSE))</f>
        <v>0</v>
      </c>
      <c r="U99" s="20" t="str" cm="1">
        <f t="array" aca="1" ref="U99" ca="1">IF($L99,
_xlfn.LET(
_xlpm._elementID,$O99,
_xlpm._isAssumption,$J99,
_xlpm._sheetRow,$W99,
_xlpm._sheetName,$X99,
_xlpm._elementRow,$Y99,
_xlpm._resultColumnLetter,IF(_xlpm._isAssumption,INDEX(Table24[Comment Column],_xlpm._sheetRow),INDEX(Table25[Comment Column],_xlpm._sheetRow)),
INDEX(INDIRECT("'"&amp;_xlpm._sheetName&amp;"'!"&amp;_xlpm._resultColumnLetter&amp;":"&amp;_xlpm._resultColumnLetter),_xlpm._elementRow)),
"")</f>
        <v/>
      </c>
      <c r="V99" s="20" t="str" cm="1">
        <f t="array" aca="1" ref="V99" ca="1">IF($L99,
_xlfn.LET(
_xlpm._elementID,$O99,
_xlpm._isAssumption,$J99,
_xlpm._sheetRow,$W99,
_xlpm._sheetName,$X99,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99" s="20" t="str">
        <f ca="1">IF($L99=TRUE,
_xlfn.LET(
_xlpm._isAssumption,$J99,
_xlpm._searchRange,IF(_xlpm._isAssumption,Table24[Task Sheet Shadow ID],Table25[Task Sheet Shadow ID]),
MATCH($M99,_xlpm._searchRange,0)),
"")</f>
        <v/>
      </c>
      <c r="X99" s="20" t="str" cm="1">
        <f t="array" aca="1" ref="X99" ca="1">IF($L99,
_xlfn.LET(
_xlpm._isAssumption,$J99,
_xlpm._sheetRow,$W99,
IF(_xlpm._isAssumption,INDEX(Table24[Sheet Name],_xlpm._sheetRow),INDEX(Table25[Sheet Name],_xlpm._sheetRow))),
"")</f>
        <v/>
      </c>
      <c r="Y99" s="20" t="str" cm="1">
        <f t="array" aca="1" ref="Y99" ca="1">IF($L99,
_xlfn.LET(
_xlpm._elementID,$O99,
_xlpm._isAssumption,$J99,
_xlpm._sheetRow,$W99,
_xlpm._sheetName,$X99,
_xlpm._elementIDColumnLetter,IF(_xlpm._isAssumption,INDEX(Table24[Element ID Column],_xlpm._sheetRow),INDEX(Table25[Element ID Column],_xlpm._sheetRow)),
MATCH(_xlpm._elementID,INDIRECT("'"&amp;_xlpm._sheetName&amp;"'!"&amp;_xlpm._elementIDColumnLetter&amp;":"&amp;_xlpm._elementIDColumnLetter),0)),
"")</f>
        <v/>
      </c>
      <c r="Z99" s="20" t="str" cm="1">
        <f t="array" aca="1" ref="Z99" ca="1">IF($A99="","",_xlfn.LET(
_xlpm._isAssumption,$J99,
_xlpm._isAdditionalElement,$L99,
_xlpm._sheetRow,$W99,
_xlpm._sheetName,$X99,
_xlpm._columnLetter,INDEX(IF(_xlpm._isAdditionalElement,Table24[Comment Column],Table25[Comment Column]),_xlpm._sheetRow),
_xlpm._sheetReference,IF(_xlpm._isAssumption,IF(_xlpm._isAdditionalElement,
CELL("address",INDEX(INDIRECT("'"&amp;_xlpm._sheetName&amp;"'!"&amp;_xlpm._columnLetter&amp;":"&amp;_xlpm._columnLetter),$Y99)),
CELL("address",INDEX(Assumptions!$A:$A,MATCH($A99,Assumptions!$A:$A,0),1))),
IF(_xlpm._isAdditionalElement,
CELL("address",INDEX(INDIRECT("'"&amp;_xlpm._sheetName&amp;"'!"&amp;_xlpm._columnLetter&amp;":"&amp;_xlpm._columnLetter),$Y99)),
CELL("address",INDEX(Countermeasures!$A:$A,MATCH($A99,Countermeasures!$A:$A,0),1)))),
_xlpm._start,FIND("]",_xlpm._sheetReference),
"'"&amp;SUBSTITUTE(SUBSTITUTE(RIGHT(_xlpm._sheetReference,LEN(_xlpm._sheetReference)-_xlpm._start),"'",""),"!","'!")))</f>
        <v/>
      </c>
      <c r="AA99" s="20" t="str" cm="1">
        <f t="array" aca="1" ref="AA99" ca="1">IF(NOT($L99),
_xlfn.LET(_xlpm._value,IF($A99="","",IF($J99,SimpleLookup($A99,Assumptions!$A:$AK),SimpleLookup($A99,Countermeasures!$A:$AN))),
IF(_xlpm._value="","",_xlpm._value)),
"")</f>
        <v/>
      </c>
      <c r="AB99" s="20" t="str" cm="1">
        <f t="array" aca="1" ref="AB99" ca="1">LookupNames(InverseLookup($A99,Mitigation!$AD$2,Mitigation!$A$2,1,Helper!$B$5,","),'Attack Steps'!$A:$B)</f>
        <v/>
      </c>
      <c r="AC99" s="20" t="str" cm="1">
        <f t="array" aca="1" ref="AC99" ca="1">IF($L99,
_xlfn.LET(
_xlpm._in,$A99,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99" s="20" t="str" cm="1">
        <f t="array" aca="1" ref="AD99" ca="1">_xlfn.LET(
_xlpm._countermeasures,InverseLookup($A99,Countermeasures!$AG$2,Countermeasures!$A$2,1,Helper!$B$4,","),
LookupNames(_xlpm._countermeasures,Countermeasures!$A:$B))</f>
        <v/>
      </c>
      <c r="AE99" s="20" t="str" cm="1">
        <f t="array" aca="1" ref="AE99" ca="1">IF($E99="","",_xlfn.LET(
_xlpm._id,$E99,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99" s="20" t="str" cm="1">
        <f t="array" aca="1" ref="AF99" ca="1">IF(OR($A99="",$L99),"",_xlfn.LET(
_xlpm._answers,IF($J99,SimpleLookup($A99,Assumptions!$A:$F),SimpleLookup($A99,Countermeasures!$A:$D)),
IF(_xlpm._answers="*",IF($J99,SimpleLookup($A99,Assumptions!$A:$C),SimpleLookup($A99,Countermeasures!$A:$C)),"")))</f>
        <v/>
      </c>
      <c r="AG99" s="20" t="str" cm="1">
        <f t="array" aca="1" ref="AG99" ca="1">IF(NOT($L99),"",_xlfn.LET(
_xlpm._mappedInMitigation,IFERROR(VLOOKUP($V99,'Attack Steps'!$A:$O,COLUMNS('Attack Steps'!$A:$O),FALSE),""),
CreateSearchString(_xlpm._mappedInMitigation)))</f>
        <v/>
      </c>
      <c r="AH99" s="20" t="b">
        <f ca="1">ROW()-ROW($AH$17)=Helper!$B$15</f>
        <v>0</v>
      </c>
      <c r="AI99" s="20" t="str">
        <f t="shared" ca="1" si="26"/>
        <v/>
      </c>
      <c r="AJ99" s="20" cm="1">
        <f t="array" aca="1" ref="AJ99" ca="1">CreateID($AJ$17,$AJ:$AJ,$AI99&lt;&gt;"")</f>
        <v>0</v>
      </c>
    </row>
    <row r="100" spans="1:36" x14ac:dyDescent="0.25">
      <c r="A100" s="33" t="str">
        <f ca="1">_xlfn.LET(
_xlpm._isAssumption,$J100,
_xlpm._row,$K100,
_xlpm._numActiveAssumptions,Helper!$B$8,
_xlpm._numActiveCountermeasures,Helper!$B$9,
_xlpm._numAdditionalAssumptions,Helper!$B$10,
_xlpm._numAdditionalCountermeasures,Helper!$B$11,
IF(_xlpm._isAssumption,
IF(_xlpm._row&gt;_xlpm._numActiveAssumptions,
$V100&amp;"-A"&amp;$Q100,
INDEX(Assumptions!A:A,MATCH(_xlpm._row,Assumptions!$AG:$AG,0))),
IF(_xlpm._row&gt;_xlpm._numActiveCountermeasures+_xlpm._numAdditionalCountermeasures,"",
IF(_xlpm._row&gt;_xlpm._numActiveCountermeasures,
$V100&amp;"-C"&amp;$Q100,
INDEX(Countermeasures!$A:$A,MATCH(_xlpm._row,Countermeasures!$AI:$AI,0))))))</f>
        <v/>
      </c>
      <c r="B100" s="33" t="str" cm="1">
        <f t="array" aca="1" ref="B100" ca="1">IF($A100="","",
_xlfn.LET(
_xlpm._isAssumption,$J100,
_xlpm._isAdditionalElement,$L100,
IF(_xlpm._isAdditionalElement,
IF(_xlpm._isAssumption,
ParseElementsFromComment($U100,Definitions!$AR$4,Definitions!$AS$4,Definitions!$AR$6,$Q100),
ParseElementsFromComment($U100,Definitions!$AR$5,Definitions!$AS$5,Definitions!$AR$6,$Q100)),
 _xlfn.LET(_xlpm._value,IF($A100="","",IF($J100,SimpleLookup($A100,Assumptions!$A:$B),SimpleLookup($A100,Countermeasures!$A:$B))),IF(_xlpm._value="","",_xlpm._value)))))</f>
        <v/>
      </c>
      <c r="C100" s="33" t="str" cm="1">
        <f t="array" aca="1" ref="C100" ca="1">IF($A100="","",IF($J100,IFERROR(SimpleLookup($A100,Assumptions!$A:$E),""),Definitions!$AO$4))</f>
        <v/>
      </c>
      <c r="D100" s="37" t="str">
        <f t="shared" ca="1" si="22"/>
        <v/>
      </c>
      <c r="E100" s="23"/>
      <c r="F100" s="59" t="str">
        <f t="shared" ca="1" si="23"/>
        <v/>
      </c>
      <c r="G100" s="122" t="str" cm="1">
        <f t="array" aca="1" ref="G100" ca="1">_xlfn.LET(_xlpm._val,IFERROR(SimpleLookup($A100,Countermeasures!$A:$R),IFERROR(SimpleLookup($A100,Assumptions!$A:$R),"")),IF(_xlpm._val="","",_xlpm._val))</f>
        <v/>
      </c>
      <c r="H100" s="33" t="str" cm="1">
        <f t="array" aca="1" ref="H100" ca="1">_xlfn.LET(_xlpm._value,IF($A100="","",IFERROR(IF($J100,SimpleLookup($A100,Assumptions!$A:$S),SimpleLookup($A100,Countermeasures!$A:$S)),"")),
IF(_xlpm._value="","",_xlpm._value))</f>
        <v/>
      </c>
      <c r="I100" s="10" cm="1">
        <f t="array" aca="1" ref="I100" ca="1">IF(ROW()=ROW($I$17)+1,0,INDEX($I:$I,ROW()-1))+IF($A100="",0,1)</f>
        <v>12</v>
      </c>
      <c r="J100" s="21" t="b">
        <f ca="1">_xlfn.LET(_xlpm._row,ROW()-ROW($K$17),
_xlpm._numActiveAssumptions,Helper!$B$8,
_xlpm._numAdditionalAssumptions,SUM(Table24['# Elements]),
_xlpm._row&lt;=_xlpm._numActiveAssumptions+_xlpm._numAdditionalAssumptions)</f>
        <v>0</v>
      </c>
      <c r="K100" s="21">
        <f ca="1">_xlfn.LET(_xlpm._row,ROW()-ROW($K$17),
_xlpm._numActiveAssumptions,Helper!$B$8,
_xlpm._numAdditionalAssumptions,Helper!$B$10,
_xlpm._isAssumption,$J100,
_xlpm._elementID,IF(_xlpm._isAssumption,_xlpm._row,_xlpm._row-_xlpm._numActiveAssumptions-_xlpm._numAdditionalAssumptions),
_xlpm._elementID)</f>
        <v>77</v>
      </c>
      <c r="L100"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100" s="20" cm="1">
        <f t="array" aca="1" ref="M100" ca="1">IF($L100,
IF(ROW()=ROW($M$17)+1,1,INDEX($M:$M,ROW()-1)+IF(INDEX($T:$T,ROW()-1),1,0)),
1)</f>
        <v>1</v>
      </c>
      <c r="N100" s="20" t="str" cm="1">
        <f t="array" aca="1" ref="N100" ca="1">IF($L100=TRUE,
_xlfn.LET(
_xlpm._isAssumption,$J100,
_xlpm._indexRange,IF(_xlpm._isAssumption,Table24['# Elements],Table25['# Elements]),
_xlpm._lookupRow,$W100,
INDEX(_xlpm._indexRange,_xlpm._lookupRow)),
"")</f>
        <v/>
      </c>
      <c r="O100" s="20" t="str" cm="1">
        <f t="array" aca="1" ref="O100" ca="1">IF($N100="","",_xlfn.LET(
_xlpm._prevRow,ROW()-1,
IF(OR(INDEX($N:$N,_xlpm._prevRow)&lt;&gt;$N100,INDEX($M:$M,_xlpm._prevRow)&lt;&gt;$M100),
1,
INDEX($O:$O,_xlpm._prevRow)+IF(INDEX($S:$S,_xlpm._prevRow),1,0))))</f>
        <v/>
      </c>
      <c r="P100" s="20" t="str" cm="1">
        <f t="array" aca="1" ref="P100" ca="1">IF($O100="","",_xlfn.LET(
_xlpm._isAssumption,$J100,
_xlpm._sheetRow,$W100,
_xlpm._sheetName,$X100,
_xlpm._elementIDRange,IF(_xlpm._isAssumption,Table24[Element ID Column],Table25[Element ID Column]),
_xlpm._numberOfElementsRange,IF(_xlpm._isAssumption,Table24[Number of Elements Column],Table25[Number of Elements Column]),
SimpleLookup($O100,INDIRECT("'"&amp;_xlpm._sheetName&amp;"'!"&amp;INDEX(_xlpm._elementIDRange,_xlpm._sheetRow)&amp;":"&amp;INDEX(_xlpm._numberOfElementsRange,_xlpm._sheetRow)))))</f>
        <v/>
      </c>
      <c r="Q100" s="20" t="str" cm="1">
        <f t="array" aca="1" ref="Q100" ca="1">IF($O100="","",IF(OR(INDEX($O:$O,ROW()-1)&lt;&gt;$O100,INDEX($M:$M,ROW()-1)&lt;&gt;$M100),1,INDEX($Q:$Q,ROW()-1)+1))</f>
        <v/>
      </c>
      <c r="R100" s="20">
        <f t="shared" ca="1" si="24"/>
        <v>0</v>
      </c>
      <c r="S100" s="20" t="str">
        <f t="shared" ca="1" si="25"/>
        <v/>
      </c>
      <c r="T100" s="20" t="b">
        <f ca="1">_xlfn.LET(
_xlpm._isAssumption,$J100,
_xlpm._numberOfElementsRange,IF(_xlpm._isAssumption,Table24['# Elements],Table25['# Elements]),
_xlpm._sheetRow,$W100,
IF($L100,AND($S100,$R100=$N100),FALSE))</f>
        <v>0</v>
      </c>
      <c r="U100" s="20" t="str" cm="1">
        <f t="array" aca="1" ref="U100" ca="1">IF($L100,
_xlfn.LET(
_xlpm._elementID,$O100,
_xlpm._isAssumption,$J100,
_xlpm._sheetRow,$W100,
_xlpm._sheetName,$X100,
_xlpm._elementRow,$Y100,
_xlpm._resultColumnLetter,IF(_xlpm._isAssumption,INDEX(Table24[Comment Column],_xlpm._sheetRow),INDEX(Table25[Comment Column],_xlpm._sheetRow)),
INDEX(INDIRECT("'"&amp;_xlpm._sheetName&amp;"'!"&amp;_xlpm._resultColumnLetter&amp;":"&amp;_xlpm._resultColumnLetter),_xlpm._elementRow)),
"")</f>
        <v/>
      </c>
      <c r="V100" s="20" t="str" cm="1">
        <f t="array" aca="1" ref="V100" ca="1">IF($L100,
_xlfn.LET(
_xlpm._elementID,$O100,
_xlpm._isAssumption,$J100,
_xlpm._sheetRow,$W100,
_xlpm._sheetName,$X100,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100" s="20" t="str">
        <f ca="1">IF($L100=TRUE,
_xlfn.LET(
_xlpm._isAssumption,$J100,
_xlpm._searchRange,IF(_xlpm._isAssumption,Table24[Task Sheet Shadow ID],Table25[Task Sheet Shadow ID]),
MATCH($M100,_xlpm._searchRange,0)),
"")</f>
        <v/>
      </c>
      <c r="X100" s="20" t="str" cm="1">
        <f t="array" aca="1" ref="X100" ca="1">IF($L100,
_xlfn.LET(
_xlpm._isAssumption,$J100,
_xlpm._sheetRow,$W100,
IF(_xlpm._isAssumption,INDEX(Table24[Sheet Name],_xlpm._sheetRow),INDEX(Table25[Sheet Name],_xlpm._sheetRow))),
"")</f>
        <v/>
      </c>
      <c r="Y100" s="20" t="str" cm="1">
        <f t="array" aca="1" ref="Y100" ca="1">IF($L100,
_xlfn.LET(
_xlpm._elementID,$O100,
_xlpm._isAssumption,$J100,
_xlpm._sheetRow,$W100,
_xlpm._sheetName,$X100,
_xlpm._elementIDColumnLetter,IF(_xlpm._isAssumption,INDEX(Table24[Element ID Column],_xlpm._sheetRow),INDEX(Table25[Element ID Column],_xlpm._sheetRow)),
MATCH(_xlpm._elementID,INDIRECT("'"&amp;_xlpm._sheetName&amp;"'!"&amp;_xlpm._elementIDColumnLetter&amp;":"&amp;_xlpm._elementIDColumnLetter),0)),
"")</f>
        <v/>
      </c>
      <c r="Z100" s="20" t="str" cm="1">
        <f t="array" aca="1" ref="Z100" ca="1">IF($A100="","",_xlfn.LET(
_xlpm._isAssumption,$J100,
_xlpm._isAdditionalElement,$L100,
_xlpm._sheetRow,$W100,
_xlpm._sheetName,$X100,
_xlpm._columnLetter,INDEX(IF(_xlpm._isAdditionalElement,Table24[Comment Column],Table25[Comment Column]),_xlpm._sheetRow),
_xlpm._sheetReference,IF(_xlpm._isAssumption,IF(_xlpm._isAdditionalElement,
CELL("address",INDEX(INDIRECT("'"&amp;_xlpm._sheetName&amp;"'!"&amp;_xlpm._columnLetter&amp;":"&amp;_xlpm._columnLetter),$Y100)),
CELL("address",INDEX(Assumptions!$A:$A,MATCH($A100,Assumptions!$A:$A,0),1))),
IF(_xlpm._isAdditionalElement,
CELL("address",INDEX(INDIRECT("'"&amp;_xlpm._sheetName&amp;"'!"&amp;_xlpm._columnLetter&amp;":"&amp;_xlpm._columnLetter),$Y100)),
CELL("address",INDEX(Countermeasures!$A:$A,MATCH($A100,Countermeasures!$A:$A,0),1)))),
_xlpm._start,FIND("]",_xlpm._sheetReference),
"'"&amp;SUBSTITUTE(SUBSTITUTE(RIGHT(_xlpm._sheetReference,LEN(_xlpm._sheetReference)-_xlpm._start),"'",""),"!","'!")))</f>
        <v/>
      </c>
      <c r="AA100" s="20" t="str" cm="1">
        <f t="array" aca="1" ref="AA100" ca="1">IF(NOT($L100),
_xlfn.LET(_xlpm._value,IF($A100="","",IF($J100,SimpleLookup($A100,Assumptions!$A:$AK),SimpleLookup($A100,Countermeasures!$A:$AN))),
IF(_xlpm._value="","",_xlpm._value)),
"")</f>
        <v/>
      </c>
      <c r="AB100" s="20" t="str" cm="1">
        <f t="array" aca="1" ref="AB100" ca="1">LookupNames(InverseLookup($A100,Mitigation!$AD$2,Mitigation!$A$2,1,Helper!$B$5,","),'Attack Steps'!$A:$B)</f>
        <v/>
      </c>
      <c r="AC100" s="20" t="str" cm="1">
        <f t="array" aca="1" ref="AC100" ca="1">IF($L100,
_xlfn.LET(
_xlpm._in,$A100,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100" s="20" t="str" cm="1">
        <f t="array" aca="1" ref="AD100" ca="1">_xlfn.LET(
_xlpm._countermeasures,InverseLookup($A100,Countermeasures!$AG$2,Countermeasures!$A$2,1,Helper!$B$4,","),
LookupNames(_xlpm._countermeasures,Countermeasures!$A:$B))</f>
        <v/>
      </c>
      <c r="AE100" s="20" t="str" cm="1">
        <f t="array" aca="1" ref="AE100" ca="1">IF($E100="","",_xlfn.LET(
_xlpm._id,$E100,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100" s="20" t="str" cm="1">
        <f t="array" aca="1" ref="AF100" ca="1">IF(OR($A100="",$L100),"",_xlfn.LET(
_xlpm._answers,IF($J100,SimpleLookup($A100,Assumptions!$A:$F),SimpleLookup($A100,Countermeasures!$A:$D)),
IF(_xlpm._answers="*",IF($J100,SimpleLookup($A100,Assumptions!$A:$C),SimpleLookup($A100,Countermeasures!$A:$C)),"")))</f>
        <v/>
      </c>
      <c r="AG100" s="20" t="str" cm="1">
        <f t="array" aca="1" ref="AG100" ca="1">IF(NOT($L100),"",_xlfn.LET(
_xlpm._mappedInMitigation,IFERROR(VLOOKUP($V100,'Attack Steps'!$A:$O,COLUMNS('Attack Steps'!$A:$O),FALSE),""),
CreateSearchString(_xlpm._mappedInMitigation)))</f>
        <v/>
      </c>
      <c r="AH100" s="20" t="b">
        <f ca="1">ROW()-ROW($AH$17)=Helper!$B$15</f>
        <v>0</v>
      </c>
      <c r="AI100" s="20" t="str">
        <f t="shared" ca="1" si="26"/>
        <v/>
      </c>
      <c r="AJ100" s="20" cm="1">
        <f t="array" aca="1" ref="AJ100" ca="1">CreateID($AJ$17,$AJ:$AJ,$AI100&lt;&gt;"")</f>
        <v>0</v>
      </c>
    </row>
    <row r="101" spans="1:36" x14ac:dyDescent="0.25">
      <c r="A101" s="33" t="str">
        <f ca="1">_xlfn.LET(
_xlpm._isAssumption,$J101,
_xlpm._row,$K101,
_xlpm._numActiveAssumptions,Helper!$B$8,
_xlpm._numActiveCountermeasures,Helper!$B$9,
_xlpm._numAdditionalAssumptions,Helper!$B$10,
_xlpm._numAdditionalCountermeasures,Helper!$B$11,
IF(_xlpm._isAssumption,
IF(_xlpm._row&gt;_xlpm._numActiveAssumptions,
$V101&amp;"-A"&amp;$Q101,
INDEX(Assumptions!A:A,MATCH(_xlpm._row,Assumptions!$AG:$AG,0))),
IF(_xlpm._row&gt;_xlpm._numActiveCountermeasures+_xlpm._numAdditionalCountermeasures,"",
IF(_xlpm._row&gt;_xlpm._numActiveCountermeasures,
$V101&amp;"-C"&amp;$Q101,
INDEX(Countermeasures!$A:$A,MATCH(_xlpm._row,Countermeasures!$AI:$AI,0))))))</f>
        <v/>
      </c>
      <c r="B101" s="33" t="str" cm="1">
        <f t="array" aca="1" ref="B101" ca="1">IF($A101="","",
_xlfn.LET(
_xlpm._isAssumption,$J101,
_xlpm._isAdditionalElement,$L101,
IF(_xlpm._isAdditionalElement,
IF(_xlpm._isAssumption,
ParseElementsFromComment($U101,Definitions!$AR$4,Definitions!$AS$4,Definitions!$AR$6,$Q101),
ParseElementsFromComment($U101,Definitions!$AR$5,Definitions!$AS$5,Definitions!$AR$6,$Q101)),
 _xlfn.LET(_xlpm._value,IF($A101="","",IF($J101,SimpleLookup($A101,Assumptions!$A:$B),SimpleLookup($A101,Countermeasures!$A:$B))),IF(_xlpm._value="","",_xlpm._value)))))</f>
        <v/>
      </c>
      <c r="C101" s="33" t="str" cm="1">
        <f t="array" aca="1" ref="C101" ca="1">IF($A101="","",IF($J101,IFERROR(SimpleLookup($A101,Assumptions!$A:$E),""),Definitions!$AO$4))</f>
        <v/>
      </c>
      <c r="D101" s="37" t="str">
        <f t="shared" ca="1" si="22"/>
        <v/>
      </c>
      <c r="E101" s="23"/>
      <c r="F101" s="59" t="str">
        <f t="shared" ca="1" si="23"/>
        <v/>
      </c>
      <c r="G101" s="122" t="str" cm="1">
        <f t="array" aca="1" ref="G101" ca="1">_xlfn.LET(_xlpm._val,IFERROR(SimpleLookup($A101,Countermeasures!$A:$R),IFERROR(SimpleLookup($A101,Assumptions!$A:$R),"")),IF(_xlpm._val="","",_xlpm._val))</f>
        <v/>
      </c>
      <c r="H101" s="33" t="str" cm="1">
        <f t="array" aca="1" ref="H101" ca="1">_xlfn.LET(_xlpm._value,IF($A101="","",IFERROR(IF($J101,SimpleLookup($A101,Assumptions!$A:$S),SimpleLookup($A101,Countermeasures!$A:$S)),"")),
IF(_xlpm._value="","",_xlpm._value))</f>
        <v/>
      </c>
      <c r="I101" s="10" cm="1">
        <f t="array" aca="1" ref="I101" ca="1">IF(ROW()=ROW($I$17)+1,0,INDEX($I:$I,ROW()-1))+IF($A101="",0,1)</f>
        <v>12</v>
      </c>
      <c r="J101" s="21" t="b">
        <f ca="1">_xlfn.LET(_xlpm._row,ROW()-ROW($K$17),
_xlpm._numActiveAssumptions,Helper!$B$8,
_xlpm._numAdditionalAssumptions,SUM(Table24['# Elements]),
_xlpm._row&lt;=_xlpm._numActiveAssumptions+_xlpm._numAdditionalAssumptions)</f>
        <v>0</v>
      </c>
      <c r="K101" s="21">
        <f ca="1">_xlfn.LET(_xlpm._row,ROW()-ROW($K$17),
_xlpm._numActiveAssumptions,Helper!$B$8,
_xlpm._numAdditionalAssumptions,Helper!$B$10,
_xlpm._isAssumption,$J101,
_xlpm._elementID,IF(_xlpm._isAssumption,_xlpm._row,_xlpm._row-_xlpm._numActiveAssumptions-_xlpm._numAdditionalAssumptions),
_xlpm._elementID)</f>
        <v>78</v>
      </c>
      <c r="L101" s="20" t="b">
        <f ca="1">_xlfn.LET(_xlpm._row,ROW()-ROW($K$17),
_xlpm._numActiveAssumptions,Helper!$B$8,
_xlpm._numActiveCountermeasures,Helper!$B$9,
_xlpm._numAdditionalAssumptions,Helper!$B$10,
_xlpm._numAdditionalCountermeasures,Helper!$B$11,
OR(AND(_xlpm._row&gt;_xlpm._numActiveAssumptions,_xlpm._row&lt;=_xlpm._numActiveAssumptions+_xlpm._numAdditionalAssumptions),
AND(_xlpm._row&gt;_xlpm._numActiveAssumptions+_xlpm._numAdditionalAssumptions+_xlpm._numActiveCountermeasures,_xlpm._row&lt;=_xlpm._numActiveAssumptions+_xlpm._numAdditionalAssumptions+_xlpm._numActiveCountermeasures+_xlpm._numAdditionalCountermeasures)))</f>
        <v>0</v>
      </c>
      <c r="M101" s="20" cm="1">
        <f t="array" aca="1" ref="M101" ca="1">IF($L101,
IF(ROW()=ROW($M$17)+1,1,INDEX($M:$M,ROW()-1)+IF(INDEX($T:$T,ROW()-1),1,0)),
1)</f>
        <v>1</v>
      </c>
      <c r="N101" s="20" t="str" cm="1">
        <f t="array" aca="1" ref="N101" ca="1">IF($L101=TRUE,
_xlfn.LET(
_xlpm._isAssumption,$J101,
_xlpm._indexRange,IF(_xlpm._isAssumption,Table24['# Elements],Table25['# Elements]),
_xlpm._lookupRow,$W101,
INDEX(_xlpm._indexRange,_xlpm._lookupRow)),
"")</f>
        <v/>
      </c>
      <c r="O101" s="20" t="str" cm="1">
        <f t="array" aca="1" ref="O101" ca="1">IF($N101="","",_xlfn.LET(
_xlpm._prevRow,ROW()-1,
IF(OR(INDEX($N:$N,_xlpm._prevRow)&lt;&gt;$N101,INDEX($M:$M,_xlpm._prevRow)&lt;&gt;$M101),
1,
INDEX($O:$O,_xlpm._prevRow)+IF(INDEX($S:$S,_xlpm._prevRow),1,0))))</f>
        <v/>
      </c>
      <c r="P101" s="20" t="str" cm="1">
        <f t="array" aca="1" ref="P101" ca="1">IF($O101="","",_xlfn.LET(
_xlpm._isAssumption,$J101,
_xlpm._sheetRow,$W101,
_xlpm._sheetName,$X101,
_xlpm._elementIDRange,IF(_xlpm._isAssumption,Table24[Element ID Column],Table25[Element ID Column]),
_xlpm._numberOfElementsRange,IF(_xlpm._isAssumption,Table24[Number of Elements Column],Table25[Number of Elements Column]),
SimpleLookup($O101,INDIRECT("'"&amp;_xlpm._sheetName&amp;"'!"&amp;INDEX(_xlpm._elementIDRange,_xlpm._sheetRow)&amp;":"&amp;INDEX(_xlpm._numberOfElementsRange,_xlpm._sheetRow)))))</f>
        <v/>
      </c>
      <c r="Q101" s="20" t="str" cm="1">
        <f t="array" aca="1" ref="Q101" ca="1">IF($O101="","",IF(OR(INDEX($O:$O,ROW()-1)&lt;&gt;$O101,INDEX($M:$M,ROW()-1)&lt;&gt;$M101),1,INDEX($Q:$Q,ROW()-1)+1))</f>
        <v/>
      </c>
      <c r="R101" s="20">
        <f t="shared" ca="1" si="24"/>
        <v>0</v>
      </c>
      <c r="S101" s="20" t="str">
        <f t="shared" ca="1" si="25"/>
        <v/>
      </c>
      <c r="T101" s="20" t="b">
        <f ca="1">_xlfn.LET(
_xlpm._isAssumption,$J101,
_xlpm._numberOfElementsRange,IF(_xlpm._isAssumption,Table24['# Elements],Table25['# Elements]),
_xlpm._sheetRow,$W101,
IF($L101,AND($S101,$R101=$N101),FALSE))</f>
        <v>0</v>
      </c>
      <c r="U101" s="20" t="str" cm="1">
        <f t="array" aca="1" ref="U101" ca="1">IF($L101,
_xlfn.LET(
_xlpm._elementID,$O101,
_xlpm._isAssumption,$J101,
_xlpm._sheetRow,$W101,
_xlpm._sheetName,$X101,
_xlpm._elementRow,$Y101,
_xlpm._resultColumnLetter,IF(_xlpm._isAssumption,INDEX(Table24[Comment Column],_xlpm._sheetRow),INDEX(Table25[Comment Column],_xlpm._sheetRow)),
INDEX(INDIRECT("'"&amp;_xlpm._sheetName&amp;"'!"&amp;_xlpm._resultColumnLetter&amp;":"&amp;_xlpm._resultColumnLetter),_xlpm._elementRow)),
"")</f>
        <v/>
      </c>
      <c r="V101" s="20" t="str" cm="1">
        <f t="array" aca="1" ref="V101" ca="1">IF($L101,
_xlfn.LET(
_xlpm._elementID,$O101,
_xlpm._isAssumption,$J101,
_xlpm._sheetRow,$W101,
_xlpm._sheetName,$X101,
_xlpm._resultColumnLetter,IF(_xlpm._isAssumption,INDEX(Table24[Sheet ID Column],_xlpm._sheetRow),INDEX(Table25[Sheet ID Column],_xlpm._sheetRow)),
_xlpm._elementIDColumnLetter,IF(_xlpm._isAssumption,INDEX(Table24[Element ID Column],_xlpm._sheetRow),INDEX(Table25[Element ID Column],_xlpm._sheetRow)),
INDEX(INDIRECT("'"&amp;_xlpm._sheetName&amp;"'!"&amp;_xlpm._resultColumnLetter&amp;":"&amp;_xlpm._resultColumnLetter),MATCH(_xlpm._elementID,INDIRECT("'"&amp;_xlpm._sheetName&amp;"'!"&amp;_xlpm._elementIDColumnLetter&amp;":"&amp;_xlpm._elementIDColumnLetter),0))),
"")</f>
        <v/>
      </c>
      <c r="W101" s="20" t="str">
        <f ca="1">IF($L101=TRUE,
_xlfn.LET(
_xlpm._isAssumption,$J101,
_xlpm._searchRange,IF(_xlpm._isAssumption,Table24[Task Sheet Shadow ID],Table25[Task Sheet Shadow ID]),
MATCH($M101,_xlpm._searchRange,0)),
"")</f>
        <v/>
      </c>
      <c r="X101" s="20" t="str" cm="1">
        <f t="array" aca="1" ref="X101" ca="1">IF($L101,
_xlfn.LET(
_xlpm._isAssumption,$J101,
_xlpm._sheetRow,$W101,
IF(_xlpm._isAssumption,INDEX(Table24[Sheet Name],_xlpm._sheetRow),INDEX(Table25[Sheet Name],_xlpm._sheetRow))),
"")</f>
        <v/>
      </c>
      <c r="Y101" s="20" t="str" cm="1">
        <f t="array" aca="1" ref="Y101" ca="1">IF($L101,
_xlfn.LET(
_xlpm._elementID,$O101,
_xlpm._isAssumption,$J101,
_xlpm._sheetRow,$W101,
_xlpm._sheetName,$X101,
_xlpm._elementIDColumnLetter,IF(_xlpm._isAssumption,INDEX(Table24[Element ID Column],_xlpm._sheetRow),INDEX(Table25[Element ID Column],_xlpm._sheetRow)),
MATCH(_xlpm._elementID,INDIRECT("'"&amp;_xlpm._sheetName&amp;"'!"&amp;_xlpm._elementIDColumnLetter&amp;":"&amp;_xlpm._elementIDColumnLetter),0)),
"")</f>
        <v/>
      </c>
      <c r="Z101" s="20" t="str" cm="1">
        <f t="array" aca="1" ref="Z101" ca="1">IF($A101="","",_xlfn.LET(
_xlpm._isAssumption,$J101,
_xlpm._isAdditionalElement,$L101,
_xlpm._sheetRow,$W101,
_xlpm._sheetName,$X101,
_xlpm._columnLetter,INDEX(IF(_xlpm._isAdditionalElement,Table24[Comment Column],Table25[Comment Column]),_xlpm._sheetRow),
_xlpm._sheetReference,IF(_xlpm._isAssumption,IF(_xlpm._isAdditionalElement,
CELL("address",INDEX(INDIRECT("'"&amp;_xlpm._sheetName&amp;"'!"&amp;_xlpm._columnLetter&amp;":"&amp;_xlpm._columnLetter),$Y101)),
CELL("address",INDEX(Assumptions!$A:$A,MATCH($A101,Assumptions!$A:$A,0),1))),
IF(_xlpm._isAdditionalElement,
CELL("address",INDEX(INDIRECT("'"&amp;_xlpm._sheetName&amp;"'!"&amp;_xlpm._columnLetter&amp;":"&amp;_xlpm._columnLetter),$Y101)),
CELL("address",INDEX(Countermeasures!$A:$A,MATCH($A101,Countermeasures!$A:$A,0),1)))),
_xlpm._start,FIND("]",_xlpm._sheetReference),
"'"&amp;SUBSTITUTE(SUBSTITUTE(RIGHT(_xlpm._sheetReference,LEN(_xlpm._sheetReference)-_xlpm._start),"'",""),"!","'!")))</f>
        <v/>
      </c>
      <c r="AA101" s="20" t="str" cm="1">
        <f t="array" aca="1" ref="AA101" ca="1">IF(NOT($L101),
_xlfn.LET(_xlpm._value,IF($A101="","",IF($J101,SimpleLookup($A101,Assumptions!$A:$AK),SimpleLookup($A101,Countermeasures!$A:$AN))),
IF(_xlpm._value="","",_xlpm._value)),
"")</f>
        <v/>
      </c>
      <c r="AB101" s="20" t="str" cm="1">
        <f t="array" aca="1" ref="AB101" ca="1">LookupNames(InverseLookup($A101,Mitigation!$AD$2,Mitigation!$A$2,1,Helper!$B$5,","),'Attack Steps'!$A:$B)</f>
        <v/>
      </c>
      <c r="AC101" s="20" t="str" cm="1">
        <f t="array" aca="1" ref="AC101" ca="1">IF($L101,
_xlfn.LET(
_xlpm._in,$A101,
_xlpm._lastDashNum,LEN(_xlpm._in)-LEN(SUBSTITUTE(_xlpm._in,"-","")),
_xlpm._lastDashPos,FIND(CHAR(1),SUBSTITUTE(_xlpm._in,"-",CHAR(1),_xlpm._lastDashNum)),
_xlpm._id,LEFT(_xlpm._in,_xlpm._lastDashPos-1),
_xlpm._id&amp;" "&amp;IFERROR(SimpleLookup(_xlpm._id,Questions!$A:$B),IFERROR(SimpleLookup(_xlpm._id,Mitigation!$A:$B),IFERROR(SimpleLookup(_xlpm._id,'Risk Treatment'!$C:$D),"Error: Unknown ID: "&amp;_xlpm._id)))),
"")</f>
        <v/>
      </c>
      <c r="AD101" s="20" t="str" cm="1">
        <f t="array" aca="1" ref="AD101" ca="1">_xlfn.LET(
_xlpm._countermeasures,InverseLookup($A101,Countermeasures!$AG$2,Countermeasures!$A$2,1,Helper!$B$4,","),
LookupNames(_xlpm._countermeasures,Countermeasures!$A:$B))</f>
        <v/>
      </c>
      <c r="AE101" s="20" t="str" cm="1">
        <f t="array" aca="1" ref="AE101" ca="1">IF($E101="","",_xlfn.LET(
_xlpm._id,$E101,
_xlpm._sheetReference,
IF(IFERROR(MATCH(_xlpm._id,Countermeasures!$A:$A,0)&gt;0,FALSE),CELL("address",INDEX(Countermeasures!$A:$A,MATCH(_xlpm._id,Countermeasures!$A:$A,0))),
IF(IFERROR(MATCH(_xlpm._id,Questionnaire!$A:$A,0)&gt;0,FALSE),CELL("address",INDEX(Questionnaire!$A:$A,MATCH(_xlpm._id,Questionnaire!$A:$A,0))),
IF(IFERROR(MATCH(_xlpm._id,Mitigation!$A:$A,0)&gt;0,FALSE),CELL("address",INDEX(Mitigation!$A:$A,MATCH(_xlpm._id,Mitigation!$A:$A,0))),
IF(IFERROR(MATCH(_xlpm._id,'Risk Treatment'!$C:$C,0)&gt;0,FALSE),CELL("address",INDEX('Risk Treatment'!$C:$C,MATCH(_xlpm._id,'Risk Treatment'!$C:$C,0))),
IF(IFERROR(MATCH(_xlpm._id,Assumptions!$A:$A,0)&gt;0,FALSE),CELL("address",INDEX(Assumptions!$A:$A,MATCH(_xlpm._id,Assumptions!$A:$A,0))),
""))))),
_xlpm._start,IF(_xlpm._sheetReference="",0,FIND("]",_xlpm._sheetReference)),
IF(_xlpm._sheetReference="","","'"&amp;SUBSTITUTE(SUBSTITUTE(RIGHT(_xlpm._sheetReference,LEN(_xlpm._sheetReference)-_xlpm._start),"'",""),"!","'!"))))</f>
        <v/>
      </c>
      <c r="AF101" s="20" t="str" cm="1">
        <f t="array" aca="1" ref="AF101" ca="1">IF(OR($A101="",$L101),"",_xlfn.LET(
_xlpm._answers,IF($J101,SimpleLookup($A101,Assumptions!$A:$F),SimpleLookup($A101,Countermeasures!$A:$D)),
IF(_xlpm._answers="*",IF($J101,SimpleLookup($A101,Assumptions!$A:$C),SimpleLookup($A101,Countermeasures!$A:$C)),"")))</f>
        <v/>
      </c>
      <c r="AG101" s="20" t="str" cm="1">
        <f t="array" aca="1" ref="AG101" ca="1">IF(NOT($L101),"",_xlfn.LET(
_xlpm._mappedInMitigation,IFERROR(VLOOKUP($V101,'Attack Steps'!$A:$O,COLUMNS('Attack Steps'!$A:$O),FALSE),""),
CreateSearchString(_xlpm._mappedInMitigation)))</f>
        <v/>
      </c>
      <c r="AH101" s="20" t="b">
        <f ca="1">ROW()-ROW($AH$17)=Helper!$B$15</f>
        <v>0</v>
      </c>
      <c r="AI101" s="20" t="str">
        <f t="shared" ca="1" si="26"/>
        <v/>
      </c>
      <c r="AJ101" s="20" cm="1">
        <f t="array" aca="1" ref="AJ101" ca="1">CreateID($AJ$17,$AJ:$AJ,$AI101&lt;&gt;"")</f>
        <v>0</v>
      </c>
    </row>
  </sheetData>
  <conditionalFormatting sqref="A1:H1048576">
    <cfRule type="expression" dxfId="17" priority="392">
      <formula>AND($J1=TRUE,$J2=FALSE)</formula>
    </cfRule>
  </conditionalFormatting>
  <conditionalFormatting sqref="A1048556:H1048576">
    <cfRule type="expression" dxfId="16" priority="426">
      <formula>AND($J1048556=TRUE,$J1=FALSE)</formula>
    </cfRule>
  </conditionalFormatting>
  <pageMargins left="0.7" right="0.7" top="0.75" bottom="0.75" header="0.3" footer="0.3"/>
  <pageSetup paperSize="9" orientation="portrait" r:id="rId1"/>
  <tableParts count="3">
    <tablePart r:id="rId2"/>
    <tablePart r:id="rId3"/>
    <tablePart r:id="rId4"/>
  </tableParts>
  <extLst>
    <ext xmlns:x14="http://schemas.microsoft.com/office/spreadsheetml/2009/9/main" uri="{78C0D931-6437-407d-A8EE-F0AAD7539E65}">
      <x14:conditionalFormattings>
        <x14:conditionalFormatting xmlns:xm="http://schemas.microsoft.com/office/excel/2006/main">
          <x14:cfRule type="expression" priority="1" id="{98E38282-2256-41F0-8B5E-A1AFEA704837}">
            <xm:f>AND(ROW(A1)&gt;ROW($A$17),ROW(A1)-ROW($A$17)&lt;=Helper!$B$15,$A1="")</xm:f>
            <x14:dxf>
              <fill>
                <patternFill>
                  <bgColor rgb="FFFFB9B9"/>
                </patternFill>
              </fill>
            </x14:dxf>
          </x14:cfRule>
          <xm:sqref>A1:H1048576</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00001-44BE-4993-9DE6-878422F50B2A}">
  <sheetPr>
    <tabColor theme="3"/>
  </sheetPr>
  <dimension ref="A1:H15"/>
  <sheetViews>
    <sheetView workbookViewId="0">
      <selection activeCell="F3" sqref="F3"/>
    </sheetView>
  </sheetViews>
  <sheetFormatPr defaultColWidth="9.140625" defaultRowHeight="15" x14ac:dyDescent="0.25"/>
  <cols>
    <col min="1" max="1" width="9.140625" style="2"/>
    <col min="2" max="2" width="60.7109375" style="2" customWidth="1"/>
    <col min="3" max="3" width="17.85546875" style="2" customWidth="1"/>
    <col min="4" max="4" width="60.7109375" style="12" customWidth="1"/>
    <col min="5" max="5" width="60.7109375" style="8" customWidth="1"/>
    <col min="6" max="6" width="45.7109375" style="2" customWidth="1"/>
    <col min="7" max="7" width="12.5703125" style="2" hidden="1" customWidth="1"/>
    <col min="8" max="8" width="9.42578125" style="2" hidden="1" customWidth="1"/>
    <col min="9" max="16384" width="9.140625" style="2"/>
  </cols>
  <sheetData>
    <row r="1" spans="1:8" s="115" customFormat="1" x14ac:dyDescent="0.25">
      <c r="A1" s="115"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HYPERLINK("#'"&amp;Helper!$G$2&amp;"'!"&amp;CHAR(CODE("A")+COLUMN(_xlpm._columnNameHeader)-1)&amp;_xlpm._entryOffset,Definitions!$AY$4)))(Helper!$G$16,A$2,README!$E:$E,README!$I$36,README!$B$36)</f>
        <v>◈</v>
      </c>
      <c r="B1" s="115"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HYPERLINK("#'"&amp;Helper!$G$2&amp;"'!"&amp;CHAR(CODE("A")+COLUMN(_xlpm._columnNameHeader)-1)&amp;_xlpm._entryOffset,Definitions!$AY$4)))(Helper!$G$16,B$2,README!$E:$E,README!$I$36,README!$B$36)</f>
        <v>◈</v>
      </c>
      <c r="C1" s="115"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HYPERLINK("#'"&amp;Helper!$G$2&amp;"'!"&amp;CHAR(CODE("A")+COLUMN(_xlpm._columnNameHeader)-1)&amp;_xlpm._entryOffset,Definitions!$AY$4)))(Helper!$G$16,C$2,README!$E:$E,README!$I$36,README!$B$36)</f>
        <v>◈</v>
      </c>
      <c r="D1" s="115"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HYPERLINK("#'"&amp;Helper!$G$2&amp;"'!"&amp;CHAR(CODE("A")+COLUMN(_xlpm._columnNameHeader)-1)&amp;_xlpm._entryOffset,Definitions!$AY$4)))(Helper!$G$16,D$2,README!$E:$E,README!$I$36,README!$B$36)</f>
        <v>◈</v>
      </c>
      <c r="E1" s="115"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HYPERLINK("#'"&amp;Helper!$G$2&amp;"'!"&amp;CHAR(CODE("A")+COLUMN(_xlpm._columnNameHeader)-1)&amp;_xlpm._entryOffset,Definitions!$AY$4)))(Helper!$G$16,E$2,README!$E:$E,README!$I$36,README!$B$36)</f>
        <v>◈</v>
      </c>
      <c r="F1" s="115"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HYPERLINK("#'"&amp;Helper!$G$2&amp;"'!"&amp;CHAR(CODE("A")+COLUMN(_xlpm._columnNameHeader)-1)&amp;_xlpm._entryOffset,Definitions!$AY$4)))(Helper!$G$16,F$2,README!$E:$E,README!$I$36,README!$B$36)</f>
        <v>◈</v>
      </c>
    </row>
    <row r="2" spans="1:8" x14ac:dyDescent="0.25">
      <c r="A2" s="13" t="s">
        <v>635</v>
      </c>
      <c r="B2" s="13" t="s">
        <v>640</v>
      </c>
      <c r="C2" s="16" t="s">
        <v>636</v>
      </c>
      <c r="D2" s="56" t="s">
        <v>643</v>
      </c>
      <c r="E2" s="16" t="s">
        <v>649</v>
      </c>
      <c r="F2" s="13" t="s">
        <v>3</v>
      </c>
      <c r="G2" s="13" t="s">
        <v>54</v>
      </c>
      <c r="H2" s="13" t="s">
        <v>230</v>
      </c>
    </row>
    <row r="3" spans="1:8" ht="30" x14ac:dyDescent="0.25">
      <c r="A3" s="13" t="s">
        <v>602</v>
      </c>
      <c r="B3" s="13" t="s">
        <v>1616</v>
      </c>
      <c r="C3" s="16" t="str" cm="1">
        <f t="array" aca="1" ref="C3" ca="1">_xlfn.LET(
_xlpm._countermeasures,InverseLookup($A3,Countermeasures!$AJ$2,Countermeasures!$A$2,1,Helper!$B$4,","),
_xlpm._assumptions,InverseLookup($A3,Assumptions!$AH$3,Assumptions!$A$3,1,Helper!$B$6,","),
_xlpm._indirectCountermeasures,InverseLookup($A3,Countermeasures!$AQ$2,Countermeasures!$A$2,1,Helper!$B$4,","),
_xlpm._indirectAssumptions,InverseLookup($A3,Assumptions!$AN$3,Assumptions!$A$3,1,Helper!$B$6,","),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f>
        <v/>
      </c>
      <c r="D3" s="36" t="str" cm="1">
        <f t="array" aca="1" ref="D3" ca="1">_xlfn.LET(
_xlpm._countermeasures,RemoveDelimiter(GetValuesIgnoreErrors(SanitizeInput($C3),Countermeasures!$A:$B," ",","&amp;CHAR(10),TRUE),","&amp;CHAR(10)),
_xlpm._assumptions,RemoveDelimiter(GetValuesIgnoreErrors(SanitizeInput($C3),Assumptions!$A:$AI," ",","&amp;CHAR(10),TRUE),","&amp;CHAR(10)),
_xlpm._delimiter,CHAR(10)&amp;REPT(CHAR(150),65)&amp;CHAR(10),
_xlpm._countermeasures&amp;IF(OR(_xlpm._countermeasures="",_xlpm._assumptions=""),"",_xlpm._delimiter)&amp;_xlpm._assumptions)</f>
        <v/>
      </c>
      <c r="E3" s="16" t="str" cm="1">
        <f t="array" aca="1" ref="E3" ca="1">RemoveDelimiter(InverseLookup($A3,'Risk Treatment'!$AF$4,'Risk Treatment'!$AG$4,1,10000,","&amp;CHAR(10)),","&amp;CHAR(10))</f>
        <v/>
      </c>
      <c r="F3" s="23"/>
      <c r="G3" s="23" cm="1">
        <f t="array" ref="G3">CreateID($G$2,$G:$G,$A3&lt;&gt;"")</f>
        <v>1</v>
      </c>
      <c r="H3" s="23" cm="1">
        <f t="array" ref="H3">CreateTaskID($H$2,$H:$H,Tasks!$B$17,$F3)</f>
        <v>0</v>
      </c>
    </row>
    <row r="4" spans="1:8" ht="75" x14ac:dyDescent="0.25">
      <c r="A4" s="13" t="s">
        <v>600</v>
      </c>
      <c r="B4" s="13" t="s">
        <v>1617</v>
      </c>
      <c r="C4" s="33" t="str" cm="1">
        <f t="array" aca="1" ref="C4" ca="1">_xlfn.LET(
_xlpm._countermeasures,InverseLookup($A4,Countermeasures!$AJ$2,Countermeasures!$A$2,1,Helper!$B$4,","),
_xlpm._assumptions,InverseLookup($A4,Assumptions!$AH$3,Assumptions!$A$3,1,Helper!$B$6,","),
_xlpm._indirectCountermeasures,InverseLookup($A4,Countermeasures!$AQ$2,Countermeasures!$A$2,1,Helper!$B$4,","),
_xlpm._indirectAssumptions,InverseLookup($A4,Assumptions!$AN$3,Assumptions!$A$3,1,Helper!$B$6,","),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f>
        <v>A34</v>
      </c>
      <c r="D4" s="37" t="str" cm="1">
        <f t="array" aca="1" ref="D4" ca="1">_xlfn.LET(
_xlpm._countermeasures,RemoveDelimiter(GetValuesIgnoreErrors(SanitizeInput($C4),Countermeasures!$A:$B," ",","&amp;CHAR(10),TRUE),","&amp;CHAR(10)),
_xlpm._assumptions,RemoveDelimiter(GetValuesIgnoreErrors(SanitizeInput($C4),Assumptions!$A:$AI," ",","&amp;CHAR(10),TRUE),","&amp;CHAR(10)),
_xlpm._delimiter,CHAR(10)&amp;REPT(CHAR(150),65)&amp;CHAR(10),
_xlpm._countermeasures&amp;IF(OR(_xlpm._countermeasures="",_xlpm._assumptions=""),"",_xlpm._delimiter)&amp;_xlpm._assumptions)</f>
        <v>A34 SDR 2.10 - The product is delivered with a secure by default configuration [&lt;OEM name&gt;]</v>
      </c>
      <c r="E4" s="33" t="str" cm="1">
        <f t="array" aca="1" ref="E4" ca="1">RemoveDelimiter(InverseLookup($A4,'Risk Treatment'!$AF$4,'Risk Treatment'!$AG$4,1,10000,","&amp;CHAR(10)),","&amp;CHAR(10))</f>
        <v/>
      </c>
      <c r="F4" s="23"/>
      <c r="G4" s="23" cm="1">
        <f t="array" ref="G4">CreateID($G$2,$G:$G,$A4&lt;&gt;"")</f>
        <v>2</v>
      </c>
      <c r="H4" s="23" cm="1">
        <f t="array" ref="H4">CreateTaskID($H$2,$H:$H,Tasks!$B$17,$F4)</f>
        <v>0</v>
      </c>
    </row>
    <row r="5" spans="1:8" ht="90" x14ac:dyDescent="0.25">
      <c r="A5" s="13" t="s">
        <v>605</v>
      </c>
      <c r="B5" s="13" t="s">
        <v>1618</v>
      </c>
      <c r="C5" s="33" t="str" cm="1">
        <f t="array" aca="1" ref="C5" ca="1">_xlfn.LET(
_xlpm._countermeasures,InverseLookup($A5,Countermeasures!$AJ$2,Countermeasures!$A$2,1,Helper!$B$4,","),
_xlpm._assumptions,InverseLookup($A5,Assumptions!$AH$3,Assumptions!$A$3,1,Helper!$B$6,","),
_xlpm._indirectCountermeasures,InverseLookup($A5,Countermeasures!$AQ$2,Countermeasures!$A$2,1,Helper!$B$4,","),
_xlpm._indirectAssumptions,InverseLookup($A5,Assumptions!$AN$3,Assumptions!$A$3,1,Helper!$B$6,","),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f>
        <v/>
      </c>
      <c r="D5" s="37" t="str" cm="1">
        <f t="array" aca="1" ref="D5" ca="1">_xlfn.LET(
_xlpm._countermeasures,RemoveDelimiter(GetValuesIgnoreErrors(SanitizeInput($C5),Countermeasures!$A:$B," ",","&amp;CHAR(10),TRUE),","&amp;CHAR(10)),
_xlpm._assumptions,RemoveDelimiter(GetValuesIgnoreErrors(SanitizeInput($C5),Assumptions!$A:$AI," ",","&amp;CHAR(10),TRUE),","&amp;CHAR(10)),
_xlpm._delimiter,CHAR(10)&amp;REPT(CHAR(150),65)&amp;CHAR(10),
_xlpm._countermeasures&amp;IF(OR(_xlpm._countermeasures="",_xlpm._assumptions=""),"",_xlpm._delimiter)&amp;_xlpm._assumptions)</f>
        <v/>
      </c>
      <c r="E5" s="33" t="str" cm="1">
        <f t="array" aca="1" ref="E5" ca="1">RemoveDelimiter(InverseLookup($A5,'Risk Treatment'!$AF$4,'Risk Treatment'!$AG$4,1,10000,","&amp;CHAR(10)),","&amp;CHAR(10))</f>
        <v/>
      </c>
      <c r="F5" s="23"/>
      <c r="G5" s="23" cm="1">
        <f t="array" ref="G5">CreateID($G$2,$G:$G,$A5&lt;&gt;"")</f>
        <v>3</v>
      </c>
      <c r="H5" s="23" cm="1">
        <f t="array" ref="H5">CreateTaskID($H$2,$H:$H,Tasks!$B$17,$F5)</f>
        <v>0</v>
      </c>
    </row>
    <row r="6" spans="1:8" ht="60" x14ac:dyDescent="0.25">
      <c r="A6" s="13" t="s">
        <v>607</v>
      </c>
      <c r="B6" s="13" t="s">
        <v>1619</v>
      </c>
      <c r="C6" s="16" t="str" cm="1">
        <f t="array" aca="1" ref="C6" ca="1">_xlfn.LET(
_xlpm._countermeasures,InverseLookup($A6,Countermeasures!$AJ$2,Countermeasures!$A$2,1,Helper!$B$4,","),
_xlpm._assumptions,InverseLookup($A6,Assumptions!$AH$3,Assumptions!$A$3,1,Helper!$B$6,","),
_xlpm._indirectCountermeasures,InverseLookup($A6,Countermeasures!$AQ$2,Countermeasures!$A$2,1,Helper!$B$4,","),
_xlpm._indirectAssumptions,InverseLookup($A6,Assumptions!$AN$3,Assumptions!$A$3,1,Helper!$B$6,","),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f>
        <v/>
      </c>
      <c r="D6" s="36" t="str" cm="1">
        <f t="array" aca="1" ref="D6" ca="1">_xlfn.LET(
_xlpm._countermeasures,RemoveDelimiter(GetValuesIgnoreErrors(SanitizeInput($C6),Countermeasures!$A:$B," ",","&amp;CHAR(10),TRUE),","&amp;CHAR(10)),
_xlpm._assumptions,RemoveDelimiter(GetValuesIgnoreErrors(SanitizeInput($C6),Assumptions!$A:$AI," ",","&amp;CHAR(10),TRUE),","&amp;CHAR(10)),
_xlpm._delimiter,CHAR(10)&amp;REPT(CHAR(150),65)&amp;CHAR(10),
_xlpm._countermeasures&amp;IF(OR(_xlpm._countermeasures="",_xlpm._assumptions=""),"",_xlpm._delimiter)&amp;_xlpm._assumptions)</f>
        <v/>
      </c>
      <c r="E6" s="16" t="str" cm="1">
        <f t="array" aca="1" ref="E6" ca="1">RemoveDelimiter(InverseLookup($A6,'Risk Treatment'!$AF$4,'Risk Treatment'!$AG$4,1,10000,","&amp;CHAR(10)),","&amp;CHAR(10))</f>
        <v/>
      </c>
      <c r="F6" s="23"/>
      <c r="G6" s="23" cm="1">
        <f t="array" ref="G6">CreateID($G$2,$G:$G,$A6&lt;&gt;"")</f>
        <v>4</v>
      </c>
      <c r="H6" s="23" cm="1">
        <f t="array" ref="H6">CreateTaskID($H$2,$H:$H,Tasks!$B$17,$F6)</f>
        <v>0</v>
      </c>
    </row>
    <row r="7" spans="1:8" ht="60" x14ac:dyDescent="0.25">
      <c r="A7" s="13" t="s">
        <v>608</v>
      </c>
      <c r="B7" s="13" t="s">
        <v>1620</v>
      </c>
      <c r="C7" s="16" t="str" cm="1">
        <f t="array" aca="1" ref="C7" ca="1">_xlfn.LET(
_xlpm._countermeasures,InverseLookup($A7,Countermeasures!$AJ$2,Countermeasures!$A$2,1,Helper!$B$4,","),
_xlpm._assumptions,InverseLookup($A7,Assumptions!$AH$3,Assumptions!$A$3,1,Helper!$B$6,","),
_xlpm._indirectCountermeasures,InverseLookup($A7,Countermeasures!$AQ$2,Countermeasures!$A$2,1,Helper!$B$4,","),
_xlpm._indirectAssumptions,InverseLookup($A7,Assumptions!$AN$3,Assumptions!$A$3,1,Helper!$B$6,","),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f>
        <v/>
      </c>
      <c r="D7" s="36" t="str" cm="1">
        <f t="array" aca="1" ref="D7" ca="1">_xlfn.LET(
_xlpm._countermeasures,RemoveDelimiter(GetValuesIgnoreErrors(SanitizeInput($C7),Countermeasures!$A:$B," ",","&amp;CHAR(10),TRUE),","&amp;CHAR(10)),
_xlpm._assumptions,RemoveDelimiter(GetValuesIgnoreErrors(SanitizeInput($C7),Assumptions!$A:$AI," ",","&amp;CHAR(10),TRUE),","&amp;CHAR(10)),
_xlpm._delimiter,CHAR(10)&amp;REPT(CHAR(150),65)&amp;CHAR(10),
_xlpm._countermeasures&amp;IF(OR(_xlpm._countermeasures="",_xlpm._assumptions=""),"",_xlpm._delimiter)&amp;_xlpm._assumptions)</f>
        <v/>
      </c>
      <c r="E7" s="16" t="str" cm="1">
        <f t="array" aca="1" ref="E7" ca="1">RemoveDelimiter(InverseLookup($A7,'Risk Treatment'!$AF$4,'Risk Treatment'!$AG$4,1,10000,","&amp;CHAR(10)),","&amp;CHAR(10))</f>
        <v/>
      </c>
      <c r="F7" s="23"/>
      <c r="G7" s="23" cm="1">
        <f t="array" ref="G7">CreateID($G$2,$G:$G,$A7&lt;&gt;"")</f>
        <v>5</v>
      </c>
      <c r="H7" s="23" cm="1">
        <f t="array" ref="H7">CreateTaskID($H$2,$H:$H,Tasks!$B$17,$F7)</f>
        <v>0</v>
      </c>
    </row>
    <row r="8" spans="1:8" ht="60" x14ac:dyDescent="0.25">
      <c r="A8" s="13" t="s">
        <v>604</v>
      </c>
      <c r="B8" s="13" t="s">
        <v>1621</v>
      </c>
      <c r="C8" s="16" t="str" cm="1">
        <f t="array" aca="1" ref="C8" ca="1">_xlfn.LET(
_xlpm._countermeasures,InverseLookup($A8,Countermeasures!$AJ$2,Countermeasures!$A$2,1,Helper!$B$4,","),
_xlpm._assumptions,InverseLookup($A8,Assumptions!$AH$3,Assumptions!$A$3,1,Helper!$B$6,","),
_xlpm._indirectCountermeasures,InverseLookup($A8,Countermeasures!$AQ$2,Countermeasures!$A$2,1,Helper!$B$4,","),
_xlpm._indirectAssumptions,InverseLookup($A8,Assumptions!$AN$3,Assumptions!$A$3,1,Helper!$B$6,","),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f>
        <v>C13</v>
      </c>
      <c r="D8" s="36" t="str" cm="1">
        <f t="array" aca="1" ref="D8" ca="1">_xlfn.LET(
_xlpm._countermeasures,RemoveDelimiter(GetValuesIgnoreErrors(SanitizeInput($C8),Countermeasures!$A:$B," ",","&amp;CHAR(10),TRUE),","&amp;CHAR(10)),
_xlpm._assumptions,RemoveDelimiter(GetValuesIgnoreErrors(SanitizeInput($C8),Assumptions!$A:$AI," ",","&amp;CHAR(10),TRUE),","&amp;CHAR(10)),
_xlpm._delimiter,CHAR(10)&amp;REPT(CHAR(150),65)&amp;CHAR(10),
_xlpm._countermeasures&amp;IF(OR(_xlpm._countermeasures="",_xlpm._assumptions=""),"",_xlpm._delimiter)&amp;_xlpm._assumptions)</f>
        <v>C13 CR 3.3 – Security functionality verification</v>
      </c>
      <c r="E8" s="16" t="str" cm="1">
        <f t="array" aca="1" ref="E8" ca="1">RemoveDelimiter(InverseLookup($A8,'Risk Treatment'!$AF$4,'Risk Treatment'!$AG$4,1,10000,","&amp;CHAR(10)),","&amp;CHAR(10))</f>
        <v/>
      </c>
      <c r="F8" s="23"/>
      <c r="G8" s="23" cm="1">
        <f t="array" ref="G8">CreateID($G$2,$G:$G,$A8&lt;&gt;"")</f>
        <v>6</v>
      </c>
      <c r="H8" s="23" cm="1">
        <f t="array" ref="H8">CreateTaskID($H$2,$H:$H,Tasks!$B$17,$F8)</f>
        <v>0</v>
      </c>
    </row>
    <row r="9" spans="1:8" ht="45" x14ac:dyDescent="0.25">
      <c r="A9" s="13" t="s">
        <v>609</v>
      </c>
      <c r="B9" s="13" t="s">
        <v>1622</v>
      </c>
      <c r="C9" s="16" t="str" cm="1">
        <f t="array" aca="1" ref="C9" ca="1">_xlfn.LET(
_xlpm._countermeasures,InverseLookup($A9,Countermeasures!$AJ$2,Countermeasures!$A$2,1,Helper!$B$4,","),
_xlpm._assumptions,InverseLookup($A9,Assumptions!$AH$3,Assumptions!$A$3,1,Helper!$B$6,","),
_xlpm._indirectCountermeasures,InverseLookup($A9,Countermeasures!$AQ$2,Countermeasures!$A$2,1,Helper!$B$4,","),
_xlpm._indirectAssumptions,InverseLookup($A9,Assumptions!$AN$3,Assumptions!$A$3,1,Helper!$B$6,","),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f>
        <v>C33, C34</v>
      </c>
      <c r="D9" s="36" t="str" cm="1">
        <f t="array" aca="1" ref="D9" ca="1">_xlfn.LET(
_xlpm._countermeasures,RemoveDelimiter(GetValuesIgnoreErrors(SanitizeInput($C9),Countermeasures!$A:$B," ",","&amp;CHAR(10),TRUE),","&amp;CHAR(10)),
_xlpm._assumptions,RemoveDelimiter(GetValuesIgnoreErrors(SanitizeInput($C9),Assumptions!$A:$AI," ",","&amp;CHAR(10),TRUE),","&amp;CHAR(10)),
_xlpm._delimiter,CHAR(10)&amp;REPT(CHAR(150),65)&amp;CHAR(10),
_xlpm._countermeasures&amp;IF(OR(_xlpm._countermeasures="",_xlpm._assumptions=""),"",_xlpm._delimiter)&amp;_xlpm._assumptions)</f>
        <v>C33 SCR 1.1 - Processed personal data,
C34 SCR 1.2 - Telemetry data</v>
      </c>
      <c r="E9" s="16" t="str" cm="1">
        <f t="array" aca="1" ref="E9" ca="1">RemoveDelimiter(InverseLookup($A9,'Risk Treatment'!$AF$4,'Risk Treatment'!$AG$4,1,10000,","&amp;CHAR(10)),","&amp;CHAR(10))</f>
        <v/>
      </c>
      <c r="F9" s="23"/>
      <c r="G9" s="23" cm="1">
        <f t="array" ref="G9">CreateID($G$2,$G:$G,$A9&lt;&gt;"")</f>
        <v>7</v>
      </c>
      <c r="H9" s="23" cm="1">
        <f t="array" ref="H9">CreateTaskID($H$2,$H:$H,Tasks!$B$17,$F9)</f>
        <v>0</v>
      </c>
    </row>
    <row r="10" spans="1:8" ht="45" x14ac:dyDescent="0.25">
      <c r="A10" s="13" t="s">
        <v>603</v>
      </c>
      <c r="B10" s="13" t="s">
        <v>1623</v>
      </c>
      <c r="C10" s="16" t="str" cm="1">
        <f t="array" aca="1" ref="C10" ca="1">_xlfn.LET(
_xlpm._countermeasures,InverseLookup($A10,Countermeasures!$AJ$2,Countermeasures!$A$2,1,Helper!$B$4,","),
_xlpm._assumptions,InverseLookup($A10,Assumptions!$AH$3,Assumptions!$A$3,1,Helper!$B$6,","),
_xlpm._indirectCountermeasures,InverseLookup($A10,Countermeasures!$AQ$2,Countermeasures!$A$2,1,Helper!$B$4,","),
_xlpm._indirectAssumptions,InverseLookup($A10,Assumptions!$AN$3,Assumptions!$A$3,1,Helper!$B$6,","),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f>
        <v/>
      </c>
      <c r="D10" s="36" t="str" cm="1">
        <f t="array" aca="1" ref="D10" ca="1">_xlfn.LET(
_xlpm._countermeasures,RemoveDelimiter(GetValuesIgnoreErrors(SanitizeInput($C10),Countermeasures!$A:$B," ",","&amp;CHAR(10),TRUE),","&amp;CHAR(10)),
_xlpm._assumptions,RemoveDelimiter(GetValuesIgnoreErrors(SanitizeInput($C10),Assumptions!$A:$AI," ",","&amp;CHAR(10),TRUE),","&amp;CHAR(10)),
_xlpm._delimiter,CHAR(10)&amp;REPT(CHAR(150),65)&amp;CHAR(10),
_xlpm._countermeasures&amp;IF(OR(_xlpm._countermeasures="",_xlpm._assumptions=""),"",_xlpm._delimiter)&amp;_xlpm._assumptions)</f>
        <v/>
      </c>
      <c r="E10" s="16" t="str" cm="1">
        <f t="array" aca="1" ref="E10" ca="1">RemoveDelimiter(InverseLookup($A10,'Risk Treatment'!$AF$4,'Risk Treatment'!$AG$4,1,10000,","&amp;CHAR(10)),","&amp;CHAR(10))</f>
        <v/>
      </c>
      <c r="F10" s="23"/>
      <c r="G10" s="23" cm="1">
        <f t="array" ref="G10">CreateID($G$2,$G:$G,$A10&lt;&gt;"")</f>
        <v>8</v>
      </c>
      <c r="H10" s="23" cm="1">
        <f t="array" ref="H10">CreateTaskID($H$2,$H:$H,Tasks!$B$17,$F10)</f>
        <v>0</v>
      </c>
    </row>
    <row r="11" spans="1:8" ht="45" x14ac:dyDescent="0.25">
      <c r="A11" s="13" t="s">
        <v>606</v>
      </c>
      <c r="B11" s="13" t="s">
        <v>1624</v>
      </c>
      <c r="C11" s="16" t="str" cm="1">
        <f t="array" aca="1" ref="C11" ca="1">_xlfn.LET(
_xlpm._countermeasures,InverseLookup($A11,Countermeasures!$AJ$2,Countermeasures!$A$2,1,Helper!$B$4,","),
_xlpm._assumptions,InverseLookup($A11,Assumptions!$AH$3,Assumptions!$A$3,1,Helper!$B$6,","),
_xlpm._indirectCountermeasures,InverseLookup($A11,Countermeasures!$AQ$2,Countermeasures!$A$2,1,Helper!$B$4,","),
_xlpm._indirectAssumptions,InverseLookup($A11,Assumptions!$AN$3,Assumptions!$A$3,1,Helper!$B$6,","),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f>
        <v>A31</v>
      </c>
      <c r="D11" s="36" t="str" cm="1">
        <f t="array" aca="1" ref="D11" ca="1">_xlfn.LET(
_xlpm._countermeasures,RemoveDelimiter(GetValuesIgnoreErrors(SanitizeInput($C11),Countermeasures!$A:$B," ",","&amp;CHAR(10),TRUE),","&amp;CHAR(10)),
_xlpm._assumptions,RemoveDelimiter(GetValuesIgnoreErrors(SanitizeInput($C11),Assumptions!$A:$AI," ",","&amp;CHAR(10),TRUE),","&amp;CHAR(10)),
_xlpm._delimiter,CHAR(10)&amp;REPT(CHAR(150),65)&amp;CHAR(10),
_xlpm._countermeasures&amp;IF(OR(_xlpm._countermeasures="",_xlpm._assumptions=""),"",_xlpm._delimiter)&amp;_xlpm._assumptions)</f>
        <v>A31 SDR 1.5 - The product's availability is not relevant for safety [Customer]</v>
      </c>
      <c r="E11" s="16" t="str" cm="1">
        <f t="array" aca="1" ref="E11" ca="1">RemoveDelimiter(InverseLookup($A11,'Risk Treatment'!$AF$4,'Risk Treatment'!$AG$4,1,10000,","&amp;CHAR(10)),","&amp;CHAR(10))</f>
        <v/>
      </c>
      <c r="F11" s="23"/>
      <c r="G11" s="23" cm="1">
        <f t="array" ref="G11">CreateID($G$2,$G:$G,$A11&lt;&gt;"")</f>
        <v>9</v>
      </c>
      <c r="H11" s="23" cm="1">
        <f t="array" ref="H11">CreateTaskID($H$2,$H:$H,Tasks!$B$17,$F11)</f>
        <v>0</v>
      </c>
    </row>
    <row r="12" spans="1:8" ht="48.75" x14ac:dyDescent="0.25">
      <c r="A12" s="13" t="s">
        <v>637</v>
      </c>
      <c r="B12" s="13" t="s">
        <v>641</v>
      </c>
      <c r="C12" s="16" t="str" cm="1">
        <f t="array" aca="1" ref="C12" ca="1">_xlfn.LET(
_xlpm._countermeasures,InverseLookup($A12,Countermeasures!$AJ$2,Countermeasures!$A$2,1,Helper!$B$4,","),
_xlpm._assumptions,InverseLookup($A12,Assumptions!$AH$3,Assumptions!$A$3,1,Helper!$B$6,","),
_xlpm._indirectCountermeasures,InverseLookup($A12,Countermeasures!$AQ$2,Countermeasures!$A$2,1,Helper!$B$4,","),
_xlpm._indirectAssumptions,InverseLookup($A12,Assumptions!$AN$3,Assumptions!$A$3,1,Helper!$B$6,","),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f>
        <v>C15, C24, A38</v>
      </c>
      <c r="D12" s="36" t="str" cm="1">
        <f t="array" aca="1" ref="D12" ca="1">_xlfn.LET(
_xlpm._countermeasures,RemoveDelimiter(GetValuesIgnoreErrors(SanitizeInput($C12),Countermeasures!$A:$B," ",","&amp;CHAR(10),TRUE),","&amp;CHAR(10)),
_xlpm._assumptions,RemoveDelimiter(GetValuesIgnoreErrors(SanitizeInput($C12),Assumptions!$A:$AI," ",","&amp;CHAR(10),TRUE),","&amp;CHAR(10)),
_xlpm._delimiter,CHAR(10)&amp;REPT(CHAR(150),65)&amp;CHAR(10),
_xlpm._countermeasures&amp;IF(OR(_xlpm._countermeasures="",_xlpm._assumptions=""),"",_xlpm._delimiter)&amp;_xlpm._assumptions)</f>
        <v>C15 CR 3.5 – Input validation,
C24 CR 7.7 – Least functionality
–––––––––––––––––––––––––––––––––––––––––––––––––––––––––––––––––
A38 SDR 1.20 - Least privilege for provided credentials [Customer]</v>
      </c>
      <c r="E12" s="16" t="str" cm="1">
        <f t="array" aca="1" ref="E12" ca="1">RemoveDelimiter(InverseLookup($A12,'Risk Treatment'!$AF$4,'Risk Treatment'!$AG$4,1,10000,","&amp;CHAR(10)),","&amp;CHAR(10))</f>
        <v/>
      </c>
      <c r="F12" s="23"/>
      <c r="G12" s="23" cm="1">
        <f t="array" ref="G12">CreateID($G$2,$G:$G,$A12&lt;&gt;"")</f>
        <v>10</v>
      </c>
      <c r="H12" s="23" cm="1">
        <f t="array" ref="H12">CreateTaskID($H$2,$H:$H,Tasks!$B$17,$F12)</f>
        <v>0</v>
      </c>
    </row>
    <row r="13" spans="1:8" ht="45" x14ac:dyDescent="0.25">
      <c r="A13" s="13" t="s">
        <v>601</v>
      </c>
      <c r="B13" s="13" t="s">
        <v>642</v>
      </c>
      <c r="C13" s="16" t="str" cm="1">
        <f t="array" aca="1" ref="C13" ca="1">_xlfn.LET(
_xlpm._countermeasures,InverseLookup($A13,Countermeasures!$AJ$2,Countermeasures!$A$2,1,Helper!$B$4,","),
_xlpm._assumptions,InverseLookup($A13,Assumptions!$AH$3,Assumptions!$A$3,1,Helper!$B$6,","),
_xlpm._indirectCountermeasures,InverseLookup($A13,Countermeasures!$AQ$2,Countermeasures!$A$2,1,Helper!$B$4,","),
_xlpm._indirectAssumptions,InverseLookup($A13,Assumptions!$AN$3,Assumptions!$A$3,1,Helper!$B$6,","),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f>
        <v>C15</v>
      </c>
      <c r="D13" s="36" t="str" cm="1">
        <f t="array" aca="1" ref="D13" ca="1">_xlfn.LET(
_xlpm._countermeasures,RemoveDelimiter(GetValuesIgnoreErrors(SanitizeInput($C13),Countermeasures!$A:$B," ",","&amp;CHAR(10),TRUE),","&amp;CHAR(10)),
_xlpm._assumptions,RemoveDelimiter(GetValuesIgnoreErrors(SanitizeInput($C13),Assumptions!$A:$AI," ",","&amp;CHAR(10),TRUE),","&amp;CHAR(10)),
_xlpm._delimiter,CHAR(10)&amp;REPT(CHAR(150),65)&amp;CHAR(10),
_xlpm._countermeasures&amp;IF(OR(_xlpm._countermeasures="",_xlpm._assumptions=""),"",_xlpm._delimiter)&amp;_xlpm._assumptions)</f>
        <v>C15 CR 3.5 – Input validation</v>
      </c>
      <c r="E13" s="16" t="str" cm="1">
        <f t="array" aca="1" ref="E13" ca="1">RemoveDelimiter(InverseLookup($A13,'Risk Treatment'!$AF$4,'Risk Treatment'!$AG$4,1,10000,","&amp;CHAR(10)),","&amp;CHAR(10))</f>
        <v/>
      </c>
      <c r="F13" s="23"/>
      <c r="G13" s="23" cm="1">
        <f t="array" ref="G13">CreateID($G$2,$G:$G,$A13&lt;&gt;"")</f>
        <v>11</v>
      </c>
      <c r="H13" s="23" cm="1">
        <f t="array" ref="H13">CreateTaskID($H$2,$H:$H,Tasks!$B$17,$F13)</f>
        <v>0</v>
      </c>
    </row>
    <row r="14" spans="1:8" ht="60" x14ac:dyDescent="0.25">
      <c r="A14" s="13" t="s">
        <v>1613</v>
      </c>
      <c r="B14" s="13" t="s">
        <v>1625</v>
      </c>
      <c r="C14" s="16" t="str" cm="1">
        <f t="array" aca="1" ref="C14" ca="1">_xlfn.LET(
_xlpm._countermeasures,InverseLookup($A14,Countermeasures!$AJ$2,Countermeasures!$A$2,1,Helper!$B$4,","),
_xlpm._assumptions,InverseLookup($A14,Assumptions!$AH$3,Assumptions!$A$3,1,Helper!$B$6,","),
_xlpm._indirectCountermeasures,InverseLookup($A14,Countermeasures!$AQ$2,Countermeasures!$A$2,1,Helper!$B$4,","),
_xlpm._indirectAssumptions,InverseLookup($A14,Assumptions!$AN$3,Assumptions!$A$3,1,Helper!$B$6,","),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f>
        <v/>
      </c>
      <c r="D14" s="36" t="str" cm="1">
        <f t="array" aca="1" ref="D14" ca="1">_xlfn.LET(
_xlpm._countermeasures,RemoveDelimiter(GetValuesIgnoreErrors(SanitizeInput($C14),Countermeasures!$A:$B," ",","&amp;CHAR(10),TRUE),","&amp;CHAR(10)),
_xlpm._assumptions,RemoveDelimiter(GetValuesIgnoreErrors(SanitizeInput($C14),Assumptions!$A:$AI," ",","&amp;CHAR(10),TRUE),","&amp;CHAR(10)),
_xlpm._delimiter,CHAR(10)&amp;REPT(CHAR(150),65)&amp;CHAR(10),
_xlpm._countermeasures&amp;IF(OR(_xlpm._countermeasures="",_xlpm._assumptions=""),"",_xlpm._delimiter)&amp;_xlpm._assumptions)</f>
        <v/>
      </c>
      <c r="E14" s="16" t="str" cm="1">
        <f t="array" aca="1" ref="E14" ca="1">RemoveDelimiter(InverseLookup($A14,'Risk Treatment'!$AF$4,'Risk Treatment'!$AG$4,1,10000,","&amp;CHAR(10)),","&amp;CHAR(10))</f>
        <v/>
      </c>
      <c r="F14" s="23"/>
      <c r="G14" s="23" cm="1">
        <f t="array" ref="G14">CreateID($G$2,$G:$G,$A14&lt;&gt;"")</f>
        <v>12</v>
      </c>
      <c r="H14" s="23" cm="1">
        <f t="array" ref="H14">CreateTaskID($H$2,$H:$H,Tasks!$B$17,$F14)</f>
        <v>0</v>
      </c>
    </row>
    <row r="15" spans="1:8" ht="60" x14ac:dyDescent="0.25">
      <c r="A15" s="13" t="s">
        <v>1614</v>
      </c>
      <c r="B15" s="13" t="s">
        <v>1615</v>
      </c>
      <c r="C15" s="16" t="str" cm="1">
        <f t="array" aca="1" ref="C15" ca="1">_xlfn.LET(
_xlpm._countermeasures,InverseLookup($A15,Countermeasures!$AJ$2,Countermeasures!$A$2,1,Helper!$B$4,","),
_xlpm._assumptions,InverseLookup($A15,Assumptions!$AH$3,Assumptions!$A$3,1,Helper!$B$6,","),
_xlpm._indirectCountermeasures,InverseLookup($A15,Countermeasures!$AQ$2,Countermeasures!$A$2,1,Helper!$B$4,","),
_xlpm._indirectAssumptions,InverseLookup($A15,Assumptions!$AN$3,Assumptions!$A$3,1,Helper!$B$6,","),
_xlpm._sortedCountermeasures,SortList(_xlpm._countermeasures&amp;_xlpm._indirectCountermeasures,Countermeasures!$A:$T,Helper!$B$4,"",",",TRUE),
_xlpm._sortedAssumptions,SortList(_xlpm._assumptions&amp;_xlpm._indirectAssumptions,Assumptions!$A:$T,Helper!$B$6,"",",",TRUE),
SUBSTITUTE(RemoveDelimiter(_xlpm._sortedCountermeasures&amp;_xlpm._sortedAssumptions,","),",",", "))</f>
        <v/>
      </c>
      <c r="D15" s="36" t="str" cm="1">
        <f t="array" aca="1" ref="D15" ca="1">_xlfn.LET(
_xlpm._countermeasures,RemoveDelimiter(GetValuesIgnoreErrors(SanitizeInput($C15),Countermeasures!$A:$B," ",","&amp;CHAR(10),TRUE),","&amp;CHAR(10)),
_xlpm._assumptions,RemoveDelimiter(GetValuesIgnoreErrors(SanitizeInput($C15),Assumptions!$A:$AI," ",","&amp;CHAR(10),TRUE),","&amp;CHAR(10)),
_xlpm._delimiter,CHAR(10)&amp;REPT(CHAR(150),65)&amp;CHAR(10),
_xlpm._countermeasures&amp;IF(OR(_xlpm._countermeasures="",_xlpm._assumptions=""),"",_xlpm._delimiter)&amp;_xlpm._assumptions)</f>
        <v/>
      </c>
      <c r="E15" s="16" t="str" cm="1">
        <f t="array" aca="1" ref="E15" ca="1">RemoveDelimiter(InverseLookup($A15,'Risk Treatment'!$AF$4,'Risk Treatment'!$AG$4,1,10000,","&amp;CHAR(10)),","&amp;CHAR(10))</f>
        <v/>
      </c>
      <c r="F15" s="23"/>
      <c r="G15" s="23" cm="1">
        <f t="array" ref="G15">CreateID($G$2,$G:$G,$A15&lt;&gt;"")</f>
        <v>13</v>
      </c>
      <c r="H15" s="23" cm="1">
        <f t="array" ref="H15">CreateTaskID($H$2,$H:$H,Tasks!$B$17,$F15)</f>
        <v>0</v>
      </c>
    </row>
  </sheetData>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1" id="{BA12B5EA-8195-40D5-9E8D-B9B8FFDCC98F}">
            <xm:f>IFERROR(FIND(Tasks!$B$17,F2)&gt;0,FALSE)</xm:f>
            <x14:dxf>
              <font>
                <b/>
                <i val="0"/>
                <color rgb="FF99FFCC"/>
              </font>
            </x14:dxf>
          </x14:cfRule>
          <xm:sqref>F2:F1048576</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15E6A-5FFD-4600-A3C1-F71A7DD7417F}">
  <sheetPr>
    <tabColor theme="1" tint="0.14999847407452621"/>
  </sheetPr>
  <dimension ref="A1:AF72"/>
  <sheetViews>
    <sheetView workbookViewId="0">
      <pane xSplit="3" ySplit="5" topLeftCell="E6" activePane="bottomRight" state="frozen"/>
      <selection pane="topRight" activeCell="E1" sqref="E1"/>
      <selection pane="bottomLeft" activeCell="A5" sqref="A5"/>
      <selection pane="bottomRight" activeCell="C1" sqref="C1"/>
    </sheetView>
  </sheetViews>
  <sheetFormatPr defaultColWidth="9.140625" defaultRowHeight="15" outlineLevelCol="1" x14ac:dyDescent="0.25"/>
  <cols>
    <col min="1" max="1" width="4.7109375" style="115" customWidth="1"/>
    <col min="2" max="2" width="15.7109375" style="4" customWidth="1"/>
    <col min="3" max="3" width="60.7109375" style="4" customWidth="1"/>
    <col min="4" max="4" width="60.7109375" style="4" hidden="1" customWidth="1" outlineLevel="1"/>
    <col min="5" max="5" width="15.7109375" style="4" customWidth="1" collapsed="1"/>
    <col min="6" max="6" width="35.7109375" style="4" hidden="1" customWidth="1" outlineLevel="1"/>
    <col min="7" max="7" width="15.7109375" style="4" customWidth="1" collapsed="1"/>
    <col min="8" max="8" width="45.7109375" style="4" customWidth="1"/>
    <col min="9" max="9" width="15.7109375" style="4" customWidth="1"/>
    <col min="10" max="10" width="45.7109375" style="4" customWidth="1"/>
    <col min="11" max="11" width="60.7109375" style="4" hidden="1" customWidth="1" outlineLevel="1"/>
    <col min="12" max="12" width="15.7109375" style="4" customWidth="1" collapsed="1"/>
    <col min="13" max="13" width="35.7109375" style="4" hidden="1" customWidth="1" outlineLevel="1"/>
    <col min="14" max="14" width="15.7109375" style="4" customWidth="1" collapsed="1"/>
    <col min="15" max="18" width="15.7109375" style="4" customWidth="1"/>
    <col min="19" max="19" width="60.7109375" style="4" customWidth="1"/>
    <col min="20" max="20" width="45.7109375" style="4" customWidth="1"/>
    <col min="21" max="21" width="12.5703125" style="2" hidden="1" customWidth="1"/>
    <col min="22" max="22" width="9.140625" style="2" hidden="1" customWidth="1"/>
    <col min="23" max="23" width="15" style="2" hidden="1" customWidth="1"/>
    <col min="24" max="24" width="24.7109375" style="2" hidden="1" customWidth="1"/>
    <col min="25" max="25" width="20.85546875" style="2" hidden="1" customWidth="1"/>
    <col min="26" max="26" width="17.28515625" style="2" hidden="1" customWidth="1"/>
    <col min="27" max="27" width="23" style="2" hidden="1" customWidth="1"/>
    <col min="28" max="28" width="26.85546875" style="2" hidden="1" customWidth="1"/>
    <col min="29" max="29" width="9.140625" style="2" hidden="1" customWidth="1"/>
    <col min="30" max="30" width="34.140625" style="2" hidden="1" customWidth="1"/>
    <col min="31" max="31" width="19.140625" style="2" hidden="1" customWidth="1"/>
    <col min="32" max="32" width="10.42578125" style="2" hidden="1" customWidth="1"/>
    <col min="33" max="16384" width="9.140625" style="2"/>
  </cols>
  <sheetData>
    <row r="1" spans="1:32" x14ac:dyDescent="0.25">
      <c r="A1" s="115"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HYPERLINK("#'"&amp;Helper!$G$2&amp;"'!"&amp;CHAR(CODE("A")+COLUMN(_xlpm._columnNameHeader)-1)&amp;_xlpm._entryOffset,Definitions!$AY$4)))(Helper!$G$21,B1,README!$E:$E,README!$I$36,README!$B$36)</f>
        <v>◈</v>
      </c>
      <c r="B1" s="124" t="s">
        <v>1473</v>
      </c>
      <c r="C1" s="123"/>
    </row>
    <row r="2" spans="1:32" ht="30" x14ac:dyDescent="0.25">
      <c r="A2" s="115" t="str" cm="1">
        <f t="array" aca="1" ref="A2"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HYPERLINK("#'"&amp;Helper!$G$2&amp;"'!"&amp;CHAR(CODE("A")+COLUMN(_xlpm._columnNameHeader)-1)&amp;_xlpm._entryOffset,Definitions!$AY$4)))(Helper!$G$21,B2,README!$E:$E,README!$I$36,README!$B$36)</f>
        <v>◈</v>
      </c>
      <c r="B2" s="125" t="s">
        <v>1472</v>
      </c>
      <c r="C2" s="126" t="str" cm="1">
        <f t="array" aca="1" ref="C2" ca="1">RemoveDelimiter(FilterElementsFromList(Helper!$J$3,Helper!$J$4,FALSE,", "),", ")</f>
        <v>A21, A30, A31, A34, A38, A43, C0, C13, C15, C24, C33, C34</v>
      </c>
    </row>
    <row r="3" spans="1:32" x14ac:dyDescent="0.25">
      <c r="A3" s="115" t="str" cm="1">
        <f t="array" aca="1" ref="A3"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HYPERLINK("#'"&amp;Helper!$G$2&amp;"'!"&amp;CHAR(CODE("A")+COLUMN(_xlpm._columnNameHeader)-1)&amp;_xlpm._entryOffset,Definitions!$AY$4)))(Helper!$G$21,B3,README!$E:$E,README!$I$36,README!$B$36)</f>
        <v>◈</v>
      </c>
      <c r="B3" s="124" t="s">
        <v>1414</v>
      </c>
      <c r="C3" s="123"/>
    </row>
    <row r="4" spans="1:32" s="115" customFormat="1" x14ac:dyDescent="0.25">
      <c r="B4" s="114" t="str" cm="1">
        <f t="array" aca="1" ref="B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HYPERLINK("#'"&amp;Helper!$G$2&amp;"'!"&amp;CHAR(CODE("A")+COLUMN(_xlpm._columnNameHeader)-1)&amp;_xlpm._entryOffset,Definitions!$AY$4)))(Helper!$G$21,B$5,README!$E:$E,README!$I$36,README!$B$36)</f>
        <v>◈</v>
      </c>
      <c r="C4" s="114" t="str" cm="1">
        <f t="array" aca="1" ref="C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HYPERLINK("#'"&amp;Helper!$G$2&amp;"'!"&amp;CHAR(CODE("A")+COLUMN(_xlpm._columnNameHeader)-1)&amp;_xlpm._entryOffset,Definitions!$AY$4)))(Helper!$G$21,C$5,README!$E:$E,README!$I$36,README!$B$36)</f>
        <v>◈</v>
      </c>
      <c r="D4" s="114" t="str" cm="1">
        <f t="array" aca="1" ref="D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HYPERLINK("#'"&amp;Helper!$G$2&amp;"'!"&amp;CHAR(CODE("A")+COLUMN(_xlpm._columnNameHeader)-1)&amp;_xlpm._entryOffset,Definitions!$AY$4)))(Helper!$G$21,D$5,README!$E:$E,README!$I$36,README!$B$36)</f>
        <v>◈</v>
      </c>
      <c r="E4" s="114" t="str" cm="1">
        <f t="array" aca="1" ref="E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HYPERLINK("#'"&amp;Helper!$G$2&amp;"'!"&amp;CHAR(CODE("A")+COLUMN(_xlpm._columnNameHeader)-1)&amp;_xlpm._entryOffset,Definitions!$AY$4)))(Helper!$G$21,E$5,README!$E:$E,README!$I$36,README!$B$36)</f>
        <v>◈</v>
      </c>
      <c r="F4" s="114" t="str" cm="1">
        <f t="array" aca="1" ref="F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HYPERLINK("#'"&amp;Helper!$G$2&amp;"'!"&amp;CHAR(CODE("A")+COLUMN(_xlpm._columnNameHeader)-1)&amp;_xlpm._entryOffset,Definitions!$AY$4)))(Helper!$G$21,F$5,README!$E:$E,README!$I$36,README!$B$36)</f>
        <v>◈</v>
      </c>
      <c r="G4" s="114" t="str" cm="1">
        <f t="array" aca="1" ref="G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HYPERLINK("#'"&amp;Helper!$G$2&amp;"'!"&amp;CHAR(CODE("A")+COLUMN(_xlpm._columnNameHeader)-1)&amp;_xlpm._entryOffset,Definitions!$AY$4)))(Helper!$G$21,G$5,README!$E:$E,README!$I$36,README!$B$36)</f>
        <v>◈</v>
      </c>
      <c r="H4" s="114"/>
      <c r="I4" s="114" t="str" cm="1">
        <f t="array" aca="1" ref="I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HYPERLINK("#'"&amp;Helper!$G$2&amp;"'!"&amp;CHAR(CODE("A")+COLUMN(_xlpm._columnNameHeader)-1)&amp;_xlpm._entryOffset,Definitions!$AY$4)))(Helper!$G$21,I$5,README!$E:$E,README!$I$36,README!$B$36)</f>
        <v>◈</v>
      </c>
      <c r="J4" s="114" t="str" cm="1">
        <f t="array" aca="1" ref="J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HYPERLINK("#'"&amp;Helper!$G$2&amp;"'!"&amp;CHAR(CODE("A")+COLUMN(_xlpm._columnNameHeader)-1)&amp;_xlpm._entryOffset,Definitions!$AY$4)))(Helper!$G$21,J$5,README!$E:$E,README!$I$36,README!$B$36)</f>
        <v>◈</v>
      </c>
      <c r="K4" s="114" t="str" cm="1">
        <f t="array" aca="1" ref="K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HYPERLINK("#'"&amp;Helper!$G$2&amp;"'!"&amp;CHAR(CODE("A")+COLUMN(_xlpm._columnNameHeader)-1)&amp;_xlpm._entryOffset,Definitions!$AY$4)))(Helper!$G$21,K$5,README!$E:$E,README!$I$36,README!$B$36)</f>
        <v>◈</v>
      </c>
      <c r="L4" s="114" t="str" cm="1">
        <f t="array" aca="1" ref="L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HYPERLINK("#'"&amp;Helper!$G$2&amp;"'!"&amp;CHAR(CODE("A")+COLUMN(_xlpm._columnNameHeader)-1)&amp;_xlpm._entryOffset,Definitions!$AY$4)))(Helper!$G$21,L$5,README!$E:$E,README!$I$36,README!$B$36)</f>
        <v>◈</v>
      </c>
      <c r="M4" s="114" t="str" cm="1">
        <f t="array" aca="1" ref="M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HYPERLINK("#'"&amp;Helper!$G$2&amp;"'!"&amp;CHAR(CODE("A")+COLUMN(_xlpm._columnNameHeader)-1)&amp;_xlpm._entryOffset,Definitions!$AY$4)))(Helper!$G$21,M$5,README!$E:$E,README!$I$36,README!$B$36)</f>
        <v>◈</v>
      </c>
      <c r="N4" s="114" t="str" cm="1">
        <f t="array" aca="1" ref="N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HYPERLINK("#'"&amp;Helper!$G$2&amp;"'!"&amp;CHAR(CODE("A")+COLUMN(_xlpm._columnNameHeader)-1)&amp;_xlpm._entryOffset,Definitions!$AY$4)))(Helper!$G$21,N$5,README!$E:$E,README!$I$36,README!$B$36)</f>
        <v>◈</v>
      </c>
      <c r="O4" s="114" t="str" cm="1">
        <f t="array" aca="1" ref="O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HYPERLINK("#'"&amp;Helper!$G$2&amp;"'!"&amp;CHAR(CODE("A")+COLUMN(_xlpm._columnNameHeader)-1)&amp;_xlpm._entryOffset,Definitions!$AY$4)))(Helper!$G$21,O$5,README!$E:$E,README!$I$36,README!$B$36)</f>
        <v>◈</v>
      </c>
      <c r="P4" s="114" t="str" cm="1">
        <f t="array" aca="1" ref="P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HYPERLINK("#'"&amp;Helper!$G$2&amp;"'!"&amp;CHAR(CODE("A")+COLUMN(_xlpm._columnNameHeader)-1)&amp;_xlpm._entryOffset,Definitions!$AY$4)))(Helper!$G$21,P$5,README!$E:$E,README!$I$36,README!$B$36)</f>
        <v>◈</v>
      </c>
      <c r="Q4" s="114" t="str" cm="1">
        <f t="array" aca="1" ref="Q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HYPERLINK("#'"&amp;Helper!$G$2&amp;"'!"&amp;CHAR(CODE("A")+COLUMN(_xlpm._columnNameHeader)-1)&amp;_xlpm._entryOffset,Definitions!$AY$4)))(Helper!$G$21,Q$5,README!$E:$E,README!$I$36,README!$B$36)</f>
        <v>◈</v>
      </c>
      <c r="R4" s="114" t="str" cm="1">
        <f t="array" aca="1" ref="R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HYPERLINK("#'"&amp;Helper!$G$2&amp;"'!"&amp;CHAR(CODE("A")+COLUMN(_xlpm._columnNameHeader)-1)&amp;_xlpm._entryOffset,Definitions!$AY$4)))(Helper!$G$21,R$5,README!$E:$E,README!$I$36,README!$B$36)</f>
        <v>◈</v>
      </c>
      <c r="S4" s="114" t="str" cm="1">
        <f t="array" aca="1" ref="S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HYPERLINK("#'"&amp;Helper!$G$2&amp;"'!"&amp;CHAR(CODE("A")+COLUMN(_xlpm._columnNameHeader)-1)&amp;_xlpm._entryOffset,Definitions!$AY$4)))(Helper!$G$21,S$5,README!$E:$E,README!$I$36,README!$B$36)</f>
        <v>◈</v>
      </c>
      <c r="T4" s="114" t="str" cm="1">
        <f t="array" aca="1" ref="T4"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HYPERLINK("#'"&amp;Helper!$G$2&amp;"'!"&amp;CHAR(CODE("A")+COLUMN(_xlpm._columnNameHeader)-1)&amp;_xlpm._entryOffset,Definitions!$AY$4)))(Helper!$G$21,T$5,README!$E:$E,README!$I$36,README!$B$36)</f>
        <v>◈</v>
      </c>
    </row>
    <row r="5" spans="1:32" ht="30" x14ac:dyDescent="0.25">
      <c r="B5" s="16" t="s">
        <v>176</v>
      </c>
      <c r="C5" s="16" t="s">
        <v>105</v>
      </c>
      <c r="D5" s="16" t="s">
        <v>157</v>
      </c>
      <c r="E5" s="16" t="s">
        <v>187</v>
      </c>
      <c r="F5" s="16" t="s">
        <v>575</v>
      </c>
      <c r="G5" s="16" t="s">
        <v>188</v>
      </c>
      <c r="H5" s="16" t="s">
        <v>1411</v>
      </c>
      <c r="I5" s="16" t="s">
        <v>1412</v>
      </c>
      <c r="J5" s="16" t="s">
        <v>1413</v>
      </c>
      <c r="K5" s="16" t="s">
        <v>468</v>
      </c>
      <c r="L5" s="16" t="s">
        <v>447</v>
      </c>
      <c r="M5" s="16" t="s">
        <v>574</v>
      </c>
      <c r="N5" s="16" t="s">
        <v>446</v>
      </c>
      <c r="O5" s="16" t="s">
        <v>566</v>
      </c>
      <c r="P5" s="16" t="s">
        <v>475</v>
      </c>
      <c r="Q5" s="13" t="s">
        <v>476</v>
      </c>
      <c r="R5" s="16" t="s">
        <v>477</v>
      </c>
      <c r="S5" s="13" t="s">
        <v>478</v>
      </c>
      <c r="T5" s="13" t="s">
        <v>3</v>
      </c>
      <c r="U5" s="10" t="s">
        <v>54</v>
      </c>
      <c r="V5" s="10" t="s">
        <v>230</v>
      </c>
      <c r="W5" s="10" t="s">
        <v>1429</v>
      </c>
      <c r="X5" s="10" t="s">
        <v>1466</v>
      </c>
      <c r="Y5" s="10" t="s">
        <v>1432</v>
      </c>
      <c r="Z5" s="10" t="s">
        <v>1433</v>
      </c>
      <c r="AA5" s="10" t="s">
        <v>1434</v>
      </c>
      <c r="AB5" s="10" t="s">
        <v>1467</v>
      </c>
      <c r="AC5" s="10" t="s">
        <v>104</v>
      </c>
      <c r="AD5" s="10" t="s">
        <v>1288</v>
      </c>
      <c r="AE5" s="10" t="s">
        <v>1289</v>
      </c>
      <c r="AF5" s="10" t="s">
        <v>479</v>
      </c>
    </row>
    <row r="6" spans="1:32" x14ac:dyDescent="0.25">
      <c r="B6" s="16" t="str">
        <f ca="1">OFFSET(Risks!$A$2,ROW()-ROW($B$5),0)</f>
        <v/>
      </c>
      <c r="C6" s="16" t="str" cm="1">
        <f t="array" aca="1" ref="C6" ca="1">IF($B6="","",IFERROR(SimpleLookup($B6,'Risk Treatment'!$C:D),"Please ensure that all risks are covered in the "&amp;Helper!$G$14&amp;" sheet. Currently, these risks are not covered: "&amp;'Risk Treatment'!$D$2&amp;"."))</f>
        <v/>
      </c>
      <c r="D6" s="36" t="str" cm="1">
        <f t="array" aca="1" ref="D6" ca="1">IF($B6="","",IFERROR(SimpleLookup($B6,'Risk Treatment'!$C:K),"Please ensure that all risks are covered in the "&amp;Helper!$G$14&amp;" sheet. Currently, these risks are not covered: "&amp;'Risk Treatment'!$D$2&amp;"."))</f>
        <v/>
      </c>
      <c r="E6" s="16" t="str" cm="1">
        <f t="array" aca="1" ref="E6" ca="1">IF($B6="","",IFERROR(SimpleLookup($B6,'Risk Treatment'!$C:L),"Please ensure that all risks are covered in the "&amp;Helper!$G$14&amp;" sheet. Currently, these risks are not covered: "&amp;'Risk Treatment'!$D$2&amp;"."))</f>
        <v/>
      </c>
      <c r="F6" s="34" t="str" cm="1">
        <f t="array" aca="1" ref="F6" ca="1">IF($B6="","",IFERROR(SimpleLookup($B6,'Risk Treatment'!$C:M),"Please ensure that all risks are covered in the "&amp;Helper!$G$14&amp;" sheet. Currently, these risks are not covered: "&amp;'Risk Treatment'!$D$2&amp;"."))</f>
        <v/>
      </c>
      <c r="G6" s="16" t="str" cm="1">
        <f t="array" aca="1" ref="G6" ca="1">IF($B6="","",IFERROR(SimpleLookup($B6,'Risk Treatment'!$C:N),"Please ensure that all risks are covered in the "&amp;Helper!$G$14&amp;" sheet. Currently, these risks are not covered: "&amp;'Risk Treatment'!$D$2&amp;"."))</f>
        <v/>
      </c>
      <c r="H6" s="16" t="str" cm="1">
        <f t="array" aca="1" ref="H6" ca="1">IF($B6="","",IFERROR(SimpleLookup($B6,'Risk Treatment'!$C:J),"Please ensure that all risks are covered in the "&amp;Helper!$G$14&amp;" sheet. Currently, these risks are not covered: "&amp;'Risk Treatment'!$D$2&amp;"."))</f>
        <v/>
      </c>
      <c r="I6" s="16" t="str" cm="1">
        <f t="array" aca="1" ref="I6" ca="1">IF($B6="","",IFERROR(SimpleLookup($B6,'Risk Treatment'!$C:O),"Please ensure that all risks are covered in the "&amp;Helper!$G$14&amp;" sheet. Currently, these risks are not covered: "&amp;'Risk Treatment'!$D$2&amp;"."))</f>
        <v/>
      </c>
      <c r="J6" s="16" t="str" cm="1">
        <f t="array" aca="1" ref="J6" ca="1">_xlfn.LET(
_xlpm._assignedMitigations,IF($B6="","",IFERROR(RemoveDelimiter(GetValuesWithFallback($Z6,Countermeasures!$A:$B,Assumptions!$A:$B," ",","&amp;CHAR(10),TRUE),","&amp;CHAR(10)),"Error: Unknown risk ID "&amp;$B6)),
_xlpm._inlineMitigations,$AE6,
_xlpm._assignedMitigations&amp;
IF(OR(_xlpm._assignedMitigations="",_xlpm._inlineMitigations=""),"",","&amp;CHAR(10))&amp;
_xlpm._inlineMitigations)</f>
        <v/>
      </c>
      <c r="K6" s="36" t="str" cm="1">
        <f t="array" aca="1" ref="K6" ca="1">IF($AC6=-1,"",RemoveDelimiter(GetValues(INDEX(Risks!BN:BN,$AC6),'DS Overview'!$A:$B," ",","&amp;CHAR(10),TRUE),","&amp;CHAR(10)))</f>
        <v/>
      </c>
      <c r="L6" s="16" t="str" cm="1">
        <f t="array" aca="1" ref="L6" ca="1">IF($AC6=-1,"",INDEX(Risks!BP:BP,$AC6))</f>
        <v/>
      </c>
      <c r="M6" s="19" t="str" cm="1">
        <f t="array" aca="1" ref="M6" ca="1">_xlfn.LET(
_xlpm._calculatedRAP,IFERROR(SimpleLookup($B6,Risks!$A:$BG),""),
_xlpm._inlineRAP,IFERROR(SimpleLookup($B6,Risks!$A:$BH),""),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
_xlpm._mitigationSheetName&amp;" sheet "&amp;_xlfn.UNICHAR(8702)&amp;" Comment column:"&amp;CHAR(10)&amp;$AE6)))</f>
        <v/>
      </c>
      <c r="N6" s="16" t="str" cm="1">
        <f t="array" aca="1" ref="N6" ca="1">IF($AC6=-1,"",INDEX(Risks!CN:CN,$AC6))</f>
        <v>Basic</v>
      </c>
      <c r="O6" s="16" t="str" cm="1">
        <f t="array" aca="1" ref="O6" ca="1">IF($AC6=-1,"",INDEX(Risks!CO:CO,$AC6))</f>
        <v>No Risk</v>
      </c>
      <c r="P6" s="16" t="str">
        <f ca="1">IF($C6="","",IF($AF6&lt;=Definitions!$AF$6,Definitions!$M$4,""))</f>
        <v/>
      </c>
      <c r="Q6" s="13"/>
      <c r="R6" s="16" t="str">
        <f t="shared" ref="R6:R37" ca="1" si="0">IF($Q6="",$P6,$Q6)</f>
        <v/>
      </c>
      <c r="S6" s="13"/>
      <c r="T6" s="13"/>
      <c r="U6" s="10" cm="1">
        <f t="array" aca="1" ref="U6" ca="1">GenerateShadowID(ROW(),$U$5,$U:$U,0,B6&lt;&gt;"")</f>
        <v>0</v>
      </c>
      <c r="V6" s="10" cm="1">
        <f t="array" ref="V6">CreateTaskID($V$5,$V:$V,Tasks!$B$17,$T6)</f>
        <v>0</v>
      </c>
      <c r="W6" s="14" t="str" cm="1">
        <f t="array" aca="1" ref="W6" ca="1">IF($B6="","",SimpleLookup($B6,'Risk Treatment'!$C:$AW))</f>
        <v/>
      </c>
      <c r="X6" s="127" t="str" cm="1">
        <f t="array" aca="1" ref="X6" ca="1">IF($B6="","",_xlfn.LET(_xlpm._attackSteps,SimpleLookup($B6,'Risk Treatment'!$C:$Y),GetValues(_xlpm._attackSteps,Mitigation!$A:$AG,"",CHAR(1),FALSE)))</f>
        <v/>
      </c>
      <c r="Y6" s="14" t="str" cm="1">
        <f t="array" aca="1" ref="Y6"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ParseInlineMitigationString(_xlpm._remainingString,_xlpm._delimiter))))($X6,CHAR(1))</f>
        <v/>
      </c>
      <c r="Z6" s="14" t="str" cm="1">
        <f t="array" aca="1" ref="Z6" ca="1">FilterElementsFromList($W6,Helper!$J$4,TRUE,",")</f>
        <v/>
      </c>
      <c r="AA6" s="14" t="str" cm="1">
        <f t="array" aca="1" ref="AA6" ca="1">FilterElementsFromList($Y6,Helper!$J$4,TRUE,",")</f>
        <v/>
      </c>
      <c r="AB6" s="20" t="str" cm="1">
        <f t="array" aca="1" ref="AB6"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CreateConfirmedInlineMitigations(_xlpm._remainingString,_xlpm._confirmedCandAIDs,_xlpm._delimiterSearchString,_xlpm._delimiterResultString))))($X6,CreateSearchString($AA6),CHAR(1),","&amp;CHAR(10))</f>
        <v/>
      </c>
      <c r="AC6" s="128">
        <f ca="1">IFERROR(MATCH($B6,Risks!$A:$A,0),-1)</f>
        <v>3</v>
      </c>
      <c r="AD6" s="20" t="str" cm="1">
        <f t="array" aca="1" ref="AD6" ca="1">IF($B6="","",_xlfn.LET(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_xlpm._factorFunction($B6,Risks!$A:CA,Definitions!$Y:$Y,Definitions!$AB:$AB,1)&amp;CHAR(10)&amp;
_xlpm._factorFunction($B6,Risks!$A:CB,Definitions!$Y:$Y,Definitions!$AB:$AB,2)&amp;CHAR(10)&amp;
_xlpm._factorFunction($B6,Risks!$A:CC,Definitions!$Y:$Y,Definitions!$AB:$AB,3)&amp;CHAR(10)&amp;
_xlpm._factorFunction($B6,Risks!$A:CD,Definitions!$Y:$Y,Definitions!$AB:$AB,4)&amp;CHAR(10)&amp;
_xlpm._factorFunction($B6,Risks!$A:CE,Definitions!$Y:$Y,Definitions!$AB:$AB,5)))</f>
        <v/>
      </c>
      <c r="AE6" s="20" t="str" cm="1">
        <f t="array" aca="1" ref="AE6" ca="1">RemoveDelimiter(SUBSTITUTE(SUBSTITUTE($AB6,"{",""),"}",""),","&amp;CHAR(10))</f>
        <v/>
      </c>
      <c r="AF6" s="20" cm="1">
        <f t="array" aca="1" ref="AF6" ca="1">IF($O6="",0,SimpleLookup($O6,Definitions!$AE:$AF))</f>
        <v>0</v>
      </c>
    </row>
    <row r="7" spans="1:32" x14ac:dyDescent="0.25">
      <c r="B7" s="16" t="str">
        <f ca="1">OFFSET(Risks!$A$2,ROW()-ROW($B$5),0)</f>
        <v/>
      </c>
      <c r="C7" s="33" t="str" cm="1">
        <f t="array" aca="1" ref="C7" ca="1">IF($B7="","",IFERROR(SimpleLookup($B7,'Risk Treatment'!$C:D),"Please ensure that all risks are covered in the "&amp;Helper!$G$14&amp;" sheet. Currently, these risks are not covered: "&amp;'Risk Treatment'!$D$2&amp;"."))</f>
        <v/>
      </c>
      <c r="D7" s="37" t="str" cm="1">
        <f t="array" aca="1" ref="D7" ca="1">IF($B7="","",IFERROR(SimpleLookup($B7,'Risk Treatment'!$C:K),"Please ensure that all risks are covered in the "&amp;Helper!$G$14&amp;" sheet. Currently, these risks are not covered: "&amp;'Risk Treatment'!$D$2&amp;"."))</f>
        <v/>
      </c>
      <c r="E7" s="16" t="str" cm="1">
        <f t="array" aca="1" ref="E7" ca="1">IF($B7="","",IFERROR(SimpleLookup($B7,'Risk Treatment'!$C:L),"Please ensure that all risks are covered in the "&amp;Helper!$G$14&amp;" sheet. Currently, these risks are not covered: "&amp;'Risk Treatment'!$D$2&amp;"."))</f>
        <v/>
      </c>
      <c r="F7" s="34" t="str" cm="1">
        <f t="array" aca="1" ref="F7" ca="1">IF($B7="","",IFERROR(SimpleLookup($B7,'Risk Treatment'!$C:M),"Please ensure that all risks are covered in the "&amp;Helper!$G$14&amp;" sheet. Currently, these risks are not covered: "&amp;'Risk Treatment'!$D$2&amp;"."))</f>
        <v/>
      </c>
      <c r="G7" s="16" t="str" cm="1">
        <f t="array" aca="1" ref="G7" ca="1">IF($B7="","",IFERROR(SimpleLookup($B7,'Risk Treatment'!$C:N),"Please ensure that all risks are covered in the "&amp;Helper!$G$14&amp;" sheet. Currently, these risks are not covered: "&amp;'Risk Treatment'!$D$2&amp;"."))</f>
        <v/>
      </c>
      <c r="H7" s="16" t="str" cm="1">
        <f t="array" aca="1" ref="H7" ca="1">IF($B7="","",IFERROR(SimpleLookup($B7,'Risk Treatment'!$C:J),"Please ensure that all risks are covered in the "&amp;Helper!$G$14&amp;" sheet. Currently, these risks are not covered: "&amp;'Risk Treatment'!$D$2&amp;"."))</f>
        <v/>
      </c>
      <c r="I7" s="33" t="str" cm="1">
        <f t="array" aca="1" ref="I7" ca="1">IF($B7="","",IFERROR(SimpleLookup($B7,'Risk Treatment'!$C:O),"Please ensure that all risks are covered in the "&amp;Helper!$G$14&amp;" sheet. Currently, these risks are not covered: "&amp;'Risk Treatment'!$D$2&amp;"."))</f>
        <v/>
      </c>
      <c r="J7" s="33" t="str" cm="1">
        <f t="array" aca="1" ref="J7" ca="1">_xlfn.LET(
_xlpm._assignedMitigations,IF($B7="","",IFERROR(RemoveDelimiter(GetValuesWithFallback($Z7,Countermeasures!$A:$B,Assumptions!$A:$B," ",","&amp;CHAR(10),TRUE),","&amp;CHAR(10)),"Error: Unknown risk ID "&amp;$B7)),
_xlpm._inlineMitigations,$AE7,
_xlpm._assignedMitigations&amp;
IF(OR(_xlpm._assignedMitigations="",_xlpm._inlineMitigations=""),"",","&amp;CHAR(10))&amp;
_xlpm._inlineMitigations)</f>
        <v/>
      </c>
      <c r="K7" s="37" t="str" cm="1">
        <f t="array" aca="1" ref="K7" ca="1">IF($AC7=-1,"",RemoveDelimiter(GetValues(INDEX(Risks!BN:BN,$AC7),'DS Overview'!$A:$B," ",","&amp;CHAR(10),TRUE),","&amp;CHAR(10)))</f>
        <v/>
      </c>
      <c r="L7" s="33" t="str" cm="1">
        <f t="array" aca="1" ref="L7" ca="1">IF($AC7=-1,"",INDEX(Risks!BP:BP,$AC7))</f>
        <v/>
      </c>
      <c r="M7" s="34" t="str" cm="1">
        <f t="array" aca="1" ref="M7" ca="1">_xlfn.LET(
_xlpm._calculatedRAP,IFERROR(SimpleLookup($B7,Risks!$A:$BG),""),
_xlpm._inlineRAP,IFERROR(SimpleLookup($B7,Risks!$A:$BH),""),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IF(_xlpm._calculatedValue&gt;=_xlpm._inlineValue,$AD7,
_xlpm._mitigationSheetName&amp;" sheet "&amp;_xlfn.UNICHAR(8702)&amp;" Comment column:"&amp;CHAR(10)&amp;$AE7)))</f>
        <v/>
      </c>
      <c r="N7" s="33" t="str" cm="1">
        <f t="array" aca="1" ref="N7" ca="1">IF($AC7=-1,"",INDEX(Risks!CN:CN,$AC7))</f>
        <v>Basic</v>
      </c>
      <c r="O7" s="33" t="str" cm="1">
        <f t="array" aca="1" ref="O7" ca="1">IF($AC7=-1,"",INDEX(Risks!CO:CO,$AC7))</f>
        <v>No Risk</v>
      </c>
      <c r="P7" s="33" t="str">
        <f ca="1">IF($C7="","",IF($AF7&lt;=Definitions!$AF$6,Definitions!$M$4,""))</f>
        <v/>
      </c>
      <c r="Q7" s="23"/>
      <c r="R7" s="33" t="str">
        <f t="shared" ca="1" si="0"/>
        <v/>
      </c>
      <c r="S7" s="23"/>
      <c r="T7" s="13"/>
      <c r="U7" s="10" cm="1">
        <f t="array" aca="1" ref="U7" ca="1">GenerateShadowID(ROW(),$U$5,$U:$U,0,B7&lt;&gt;"")</f>
        <v>0</v>
      </c>
      <c r="V7" s="10" cm="1">
        <f t="array" ref="V7">CreateTaskID($V$5,$V:$V,Tasks!$B$17,$T7)</f>
        <v>0</v>
      </c>
      <c r="W7" s="14" t="str" cm="1">
        <f t="array" aca="1" ref="W7" ca="1">IF($B7="","",SimpleLookup($B7,'Risk Treatment'!$C:$AW))</f>
        <v/>
      </c>
      <c r="X7" s="14" t="str" cm="1">
        <f t="array" aca="1" ref="X7" ca="1">IF($B7="","",_xlfn.LET(_xlpm._attackSteps,SimpleLookup($B7,'Risk Treatment'!$C:$Y),GetValues(_xlpm._attackSteps,Mitigation!$A:$AG,"",CHAR(1),FALSE)))</f>
        <v/>
      </c>
      <c r="Y7" s="14" t="str" cm="1">
        <f t="array" aca="1" ref="Y7"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ParseInlineMitigationString(_xlpm._remainingString,_xlpm._delimiter))))($X7,CHAR(1))</f>
        <v/>
      </c>
      <c r="Z7" s="14" t="str" cm="1">
        <f t="array" aca="1" ref="Z7" ca="1">FilterElementsFromList($W7,Helper!$J$4,TRUE,",")</f>
        <v/>
      </c>
      <c r="AA7" s="14" t="str" cm="1">
        <f t="array" aca="1" ref="AA7" ca="1">FilterElementsFromList($Y7,Helper!$J$4,TRUE,",")</f>
        <v/>
      </c>
      <c r="AB7" s="20" t="str" cm="1">
        <f t="array" aca="1" ref="AB7"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CreateConfirmedInlineMitigations(_xlpm._remainingString,_xlpm._confirmedCandAIDs,_xlpm._delimiterSearchString,_xlpm._delimiterResultString))))($X7,CreateSearchString($AA7),CHAR(1),","&amp;CHAR(10))</f>
        <v/>
      </c>
      <c r="AC7" s="20">
        <f ca="1">IFERROR(MATCH($B7,Risks!$A:$A,0),-1)</f>
        <v>3</v>
      </c>
      <c r="AD7" s="20" t="str" cm="1">
        <f t="array" aca="1" ref="AD7" ca="1">IF($B7="","",_xlfn.LET(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_xlpm._factorFunction($B7,Risks!$A:CA,Definitions!$Y:$Y,Definitions!$AB:$AB,1)&amp;CHAR(10)&amp;
_xlpm._factorFunction($B7,Risks!$A:CB,Definitions!$Y:$Y,Definitions!$AB:$AB,2)&amp;CHAR(10)&amp;
_xlpm._factorFunction($B7,Risks!$A:CC,Definitions!$Y:$Y,Definitions!$AB:$AB,3)&amp;CHAR(10)&amp;
_xlpm._factorFunction($B7,Risks!$A:CD,Definitions!$Y:$Y,Definitions!$AB:$AB,4)&amp;CHAR(10)&amp;
_xlpm._factorFunction($B7,Risks!$A:CE,Definitions!$Y:$Y,Definitions!$AB:$AB,5)))</f>
        <v/>
      </c>
      <c r="AE7" s="20" t="str" cm="1">
        <f t="array" aca="1" ref="AE7" ca="1">RemoveDelimiter(SUBSTITUTE(SUBSTITUTE($AB7,"{",""),"}",""),","&amp;CHAR(10))</f>
        <v/>
      </c>
      <c r="AF7" s="20" cm="1">
        <f t="array" aca="1" ref="AF7" ca="1">IF($O7="",0,SimpleLookup($O7,Definitions!$AE:$AF))</f>
        <v>0</v>
      </c>
    </row>
    <row r="8" spans="1:32" x14ac:dyDescent="0.25">
      <c r="B8" s="16" t="str">
        <f ca="1">OFFSET(Risks!$A$2,ROW()-ROW($B$5),0)</f>
        <v/>
      </c>
      <c r="C8" s="33" t="str" cm="1">
        <f t="array" aca="1" ref="C8" ca="1">IF($B8="","",IFERROR(SimpleLookup($B8,'Risk Treatment'!$C:D),"Please ensure that all risks are covered in the "&amp;Helper!$G$14&amp;" sheet. Currently, these risks are not covered: "&amp;'Risk Treatment'!$D$2&amp;"."))</f>
        <v/>
      </c>
      <c r="D8" s="37" t="str" cm="1">
        <f t="array" aca="1" ref="D8" ca="1">IF($B8="","",IFERROR(SimpleLookup($B8,'Risk Treatment'!$C:K),"Please ensure that all risks are covered in the "&amp;Helper!$G$14&amp;" sheet. Currently, these risks are not covered: "&amp;'Risk Treatment'!$D$2&amp;"."))</f>
        <v/>
      </c>
      <c r="E8" s="16" t="str" cm="1">
        <f t="array" aca="1" ref="E8" ca="1">IF($B8="","",IFERROR(SimpleLookup($B8,'Risk Treatment'!$C:L),"Please ensure that all risks are covered in the "&amp;Helper!$G$14&amp;" sheet. Currently, these risks are not covered: "&amp;'Risk Treatment'!$D$2&amp;"."))</f>
        <v/>
      </c>
      <c r="F8" s="34" t="str" cm="1">
        <f t="array" aca="1" ref="F8" ca="1">IF($B8="","",IFERROR(SimpleLookup($B8,'Risk Treatment'!$C:M),"Please ensure that all risks are covered in the "&amp;Helper!$G$14&amp;" sheet. Currently, these risks are not covered: "&amp;'Risk Treatment'!$D$2&amp;"."))</f>
        <v/>
      </c>
      <c r="G8" s="16" t="str" cm="1">
        <f t="array" aca="1" ref="G8" ca="1">IF($B8="","",IFERROR(SimpleLookup($B8,'Risk Treatment'!$C:N),"Please ensure that all risks are covered in the "&amp;Helper!$G$14&amp;" sheet. Currently, these risks are not covered: "&amp;'Risk Treatment'!$D$2&amp;"."))</f>
        <v/>
      </c>
      <c r="H8" s="16" t="str" cm="1">
        <f t="array" aca="1" ref="H8" ca="1">IF($B8="","",IFERROR(SimpleLookup($B8,'Risk Treatment'!$C:J),"Please ensure that all risks are covered in the "&amp;Helper!$G$14&amp;" sheet. Currently, these risks are not covered: "&amp;'Risk Treatment'!$D$2&amp;"."))</f>
        <v/>
      </c>
      <c r="I8" s="33" t="str" cm="1">
        <f t="array" aca="1" ref="I8" ca="1">IF($B8="","",IFERROR(SimpleLookup($B8,'Risk Treatment'!$C:O),"Please ensure that all risks are covered in the "&amp;Helper!$G$14&amp;" sheet. Currently, these risks are not covered: "&amp;'Risk Treatment'!$D$2&amp;"."))</f>
        <v/>
      </c>
      <c r="J8" s="33" t="str" cm="1">
        <f t="array" aca="1" ref="J8" ca="1">_xlfn.LET(
_xlpm._assignedMitigations,IF($B8="","",IFERROR(RemoveDelimiter(GetValuesWithFallback($Z8,Countermeasures!$A:$B,Assumptions!$A:$B," ",","&amp;CHAR(10),TRUE),","&amp;CHAR(10)),"Error: Unknown risk ID "&amp;$B8)),
_xlpm._inlineMitigations,$AE8,
_xlpm._assignedMitigations&amp;
IF(OR(_xlpm._assignedMitigations="",_xlpm._inlineMitigations=""),"",","&amp;CHAR(10))&amp;
_xlpm._inlineMitigations)</f>
        <v/>
      </c>
      <c r="K8" s="37" t="str" cm="1">
        <f t="array" aca="1" ref="K8" ca="1">IF($AC8=-1,"",RemoveDelimiter(GetValues(INDEX(Risks!BN:BN,$AC8),'DS Overview'!$A:$B," ",","&amp;CHAR(10),TRUE),","&amp;CHAR(10)))</f>
        <v/>
      </c>
      <c r="L8" s="33" t="str" cm="1">
        <f t="array" aca="1" ref="L8" ca="1">IF($AC8=-1,"",INDEX(Risks!BP:BP,$AC8))</f>
        <v/>
      </c>
      <c r="M8" s="34" t="str" cm="1">
        <f t="array" aca="1" ref="M8" ca="1">_xlfn.LET(
_xlpm._calculatedRAP,IFERROR(SimpleLookup($B8,Risks!$A:$BG),""),
_xlpm._inlineRAP,IFERROR(SimpleLookup($B8,Risks!$A:$BH),""),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IF(_xlpm._calculatedValue&gt;=_xlpm._inlineValue,$AD8,
_xlpm._mitigationSheetName&amp;" sheet "&amp;_xlfn.UNICHAR(8702)&amp;" Comment column:"&amp;CHAR(10)&amp;$AE8)))</f>
        <v/>
      </c>
      <c r="N8" s="33" t="str" cm="1">
        <f t="array" aca="1" ref="N8" ca="1">IF($AC8=-1,"",INDEX(Risks!CN:CN,$AC8))</f>
        <v>Basic</v>
      </c>
      <c r="O8" s="33" t="str" cm="1">
        <f t="array" aca="1" ref="O8" ca="1">IF($AC8=-1,"",INDEX(Risks!CO:CO,$AC8))</f>
        <v>No Risk</v>
      </c>
      <c r="P8" s="33" t="str">
        <f ca="1">IF($C8="","",IF($AF8&lt;=Definitions!$AF$6,Definitions!$M$4,""))</f>
        <v/>
      </c>
      <c r="Q8" s="23"/>
      <c r="R8" s="33" t="str">
        <f t="shared" ca="1" si="0"/>
        <v/>
      </c>
      <c r="S8" s="23"/>
      <c r="T8" s="13"/>
      <c r="U8" s="10" cm="1">
        <f t="array" aca="1" ref="U8" ca="1">GenerateShadowID(ROW(),$U$5,$U:$U,0,B8&lt;&gt;"")</f>
        <v>0</v>
      </c>
      <c r="V8" s="10" cm="1">
        <f t="array" ref="V8">CreateTaskID($V$5,$V:$V,Tasks!$B$17,$T8)</f>
        <v>0</v>
      </c>
      <c r="W8" s="14" t="str" cm="1">
        <f t="array" aca="1" ref="W8" ca="1">IF($B8="","",SimpleLookup($B8,'Risk Treatment'!$C:$AW))</f>
        <v/>
      </c>
      <c r="X8" s="14" t="str" cm="1">
        <f t="array" aca="1" ref="X8" ca="1">IF($B8="","",_xlfn.LET(_xlpm._attackSteps,SimpleLookup($B8,'Risk Treatment'!$C:$Y),GetValues(_xlpm._attackSteps,Mitigation!$A:$AG,"",CHAR(1),FALSE)))</f>
        <v/>
      </c>
      <c r="Y8" s="14" t="str" cm="1">
        <f t="array" aca="1" ref="Y8"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ParseInlineMitigationString(_xlpm._remainingString,_xlpm._delimiter))))($X8,CHAR(1))</f>
        <v/>
      </c>
      <c r="Z8" s="14" t="str" cm="1">
        <f t="array" aca="1" ref="Z8" ca="1">FilterElementsFromList($W8,Helper!$J$4,TRUE,",")</f>
        <v/>
      </c>
      <c r="AA8" s="14" t="str" cm="1">
        <f t="array" aca="1" ref="AA8" ca="1">FilterElementsFromList($Y8,Helper!$J$4,TRUE,",")</f>
        <v/>
      </c>
      <c r="AB8" s="20" t="str" cm="1">
        <f t="array" aca="1" ref="AB8"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CreateConfirmedInlineMitigations(_xlpm._remainingString,_xlpm._confirmedCandAIDs,_xlpm._delimiterSearchString,_xlpm._delimiterResultString))))($X8,CreateSearchString($AA8),CHAR(1),","&amp;CHAR(10))</f>
        <v/>
      </c>
      <c r="AC8" s="20">
        <f ca="1">IFERROR(MATCH($B8,Risks!$A:$A,0),-1)</f>
        <v>3</v>
      </c>
      <c r="AD8" s="20" t="str" cm="1">
        <f t="array" aca="1" ref="AD8" ca="1">IF($B8="","",_xlfn.LET(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_xlpm._factorFunction($B8,Risks!$A:CA,Definitions!$Y:$Y,Definitions!$AB:$AB,1)&amp;CHAR(10)&amp;
_xlpm._factorFunction($B8,Risks!$A:CB,Definitions!$Y:$Y,Definitions!$AB:$AB,2)&amp;CHAR(10)&amp;
_xlpm._factorFunction($B8,Risks!$A:CC,Definitions!$Y:$Y,Definitions!$AB:$AB,3)&amp;CHAR(10)&amp;
_xlpm._factorFunction($B8,Risks!$A:CD,Definitions!$Y:$Y,Definitions!$AB:$AB,4)&amp;CHAR(10)&amp;
_xlpm._factorFunction($B8,Risks!$A:CE,Definitions!$Y:$Y,Definitions!$AB:$AB,5)))</f>
        <v/>
      </c>
      <c r="AE8" s="20" t="str" cm="1">
        <f t="array" aca="1" ref="AE8" ca="1">RemoveDelimiter(SUBSTITUTE(SUBSTITUTE($AB8,"{",""),"}",""),","&amp;CHAR(10))</f>
        <v/>
      </c>
      <c r="AF8" s="20" cm="1">
        <f t="array" aca="1" ref="AF8" ca="1">IF($O8="",0,SimpleLookup($O8,Definitions!$AE:$AF))</f>
        <v>0</v>
      </c>
    </row>
    <row r="9" spans="1:32" x14ac:dyDescent="0.25">
      <c r="B9" s="16" t="str">
        <f ca="1">OFFSET(Risks!$A$2,ROW()-ROW($B$5),0)</f>
        <v/>
      </c>
      <c r="C9" s="33" t="str" cm="1">
        <f t="array" aca="1" ref="C9" ca="1">IF($B9="","",IFERROR(SimpleLookup($B9,'Risk Treatment'!$C:D),"Please ensure that all risks are covered in the "&amp;Helper!$G$14&amp;" sheet. Currently, these risks are not covered: "&amp;'Risk Treatment'!$D$2&amp;"."))</f>
        <v/>
      </c>
      <c r="D9" s="37" t="str" cm="1">
        <f t="array" aca="1" ref="D9" ca="1">IF($B9="","",IFERROR(SimpleLookup($B9,'Risk Treatment'!$C:K),"Please ensure that all risks are covered in the "&amp;Helper!$G$14&amp;" sheet. Currently, these risks are not covered: "&amp;'Risk Treatment'!$D$2&amp;"."))</f>
        <v/>
      </c>
      <c r="E9" s="16" t="str" cm="1">
        <f t="array" aca="1" ref="E9" ca="1">IF($B9="","",IFERROR(SimpleLookup($B9,'Risk Treatment'!$C:L),"Please ensure that all risks are covered in the "&amp;Helper!$G$14&amp;" sheet. Currently, these risks are not covered: "&amp;'Risk Treatment'!$D$2&amp;"."))</f>
        <v/>
      </c>
      <c r="F9" s="34" t="str" cm="1">
        <f t="array" aca="1" ref="F9" ca="1">IF($B9="","",IFERROR(SimpleLookup($B9,'Risk Treatment'!$C:M),"Please ensure that all risks are covered in the "&amp;Helper!$G$14&amp;" sheet. Currently, these risks are not covered: "&amp;'Risk Treatment'!$D$2&amp;"."))</f>
        <v/>
      </c>
      <c r="G9" s="16" t="str" cm="1">
        <f t="array" aca="1" ref="G9" ca="1">IF($B9="","",IFERROR(SimpleLookup($B9,'Risk Treatment'!$C:N),"Please ensure that all risks are covered in the "&amp;Helper!$G$14&amp;" sheet. Currently, these risks are not covered: "&amp;'Risk Treatment'!$D$2&amp;"."))</f>
        <v/>
      </c>
      <c r="H9" s="16" t="str" cm="1">
        <f t="array" aca="1" ref="H9" ca="1">IF($B9="","",IFERROR(SimpleLookup($B9,'Risk Treatment'!$C:J),"Please ensure that all risks are covered in the "&amp;Helper!$G$14&amp;" sheet. Currently, these risks are not covered: "&amp;'Risk Treatment'!$D$2&amp;"."))</f>
        <v/>
      </c>
      <c r="I9" s="33" t="str" cm="1">
        <f t="array" aca="1" ref="I9" ca="1">IF($B9="","",IFERROR(SimpleLookup($B9,'Risk Treatment'!$C:O),"Please ensure that all risks are covered in the "&amp;Helper!$G$14&amp;" sheet. Currently, these risks are not covered: "&amp;'Risk Treatment'!$D$2&amp;"."))</f>
        <v/>
      </c>
      <c r="J9" s="33" t="str" cm="1">
        <f t="array" aca="1" ref="J9" ca="1">_xlfn.LET(
_xlpm._assignedMitigations,IF($B9="","",IFERROR(RemoveDelimiter(GetValuesWithFallback($Z9,Countermeasures!$A:$B,Assumptions!$A:$B," ",","&amp;CHAR(10),TRUE),","&amp;CHAR(10)),"Error: Unknown risk ID "&amp;$B9)),
_xlpm._inlineMitigations,$AE9,
_xlpm._assignedMitigations&amp;
IF(OR(_xlpm._assignedMitigations="",_xlpm._inlineMitigations=""),"",","&amp;CHAR(10))&amp;
_xlpm._inlineMitigations)</f>
        <v/>
      </c>
      <c r="K9" s="37" t="str" cm="1">
        <f t="array" aca="1" ref="K9" ca="1">IF($AC9=-1,"",RemoveDelimiter(GetValues(INDEX(Risks!BN:BN,$AC9),'DS Overview'!$A:$B," ",","&amp;CHAR(10),TRUE),","&amp;CHAR(10)))</f>
        <v/>
      </c>
      <c r="L9" s="33" t="str" cm="1">
        <f t="array" aca="1" ref="L9" ca="1">IF($AC9=-1,"",INDEX(Risks!BP:BP,$AC9))</f>
        <v/>
      </c>
      <c r="M9" s="34" t="str" cm="1">
        <f t="array" aca="1" ref="M9" ca="1">_xlfn.LET(
_xlpm._calculatedRAP,IFERROR(SimpleLookup($B9,Risks!$A:$BG),""),
_xlpm._inlineRAP,IFERROR(SimpleLookup($B9,Risks!$A:$BH),""),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IF(_xlpm._calculatedValue&gt;=_xlpm._inlineValue,$AD9,
_xlpm._mitigationSheetName&amp;" sheet "&amp;_xlfn.UNICHAR(8702)&amp;" Comment column:"&amp;CHAR(10)&amp;$AE9)))</f>
        <v/>
      </c>
      <c r="N9" s="33" t="str" cm="1">
        <f t="array" aca="1" ref="N9" ca="1">IF($AC9=-1,"",INDEX(Risks!CN:CN,$AC9))</f>
        <v>Basic</v>
      </c>
      <c r="O9" s="33" t="str" cm="1">
        <f t="array" aca="1" ref="O9" ca="1">IF($AC9=-1,"",INDEX(Risks!CO:CO,$AC9))</f>
        <v>No Risk</v>
      </c>
      <c r="P9" s="33" t="str">
        <f ca="1">IF($C9="","",IF($AF9&lt;=Definitions!$AF$6,Definitions!$M$4,""))</f>
        <v/>
      </c>
      <c r="Q9" s="23"/>
      <c r="R9" s="33" t="str">
        <f t="shared" ca="1" si="0"/>
        <v/>
      </c>
      <c r="S9" s="23"/>
      <c r="T9" s="13"/>
      <c r="U9" s="10" cm="1">
        <f t="array" aca="1" ref="U9" ca="1">GenerateShadowID(ROW(),$U$5,$U:$U,0,B9&lt;&gt;"")</f>
        <v>0</v>
      </c>
      <c r="V9" s="10" cm="1">
        <f t="array" ref="V9">CreateTaskID($V$5,$V:$V,Tasks!$B$17,$T9)</f>
        <v>0</v>
      </c>
      <c r="W9" s="14" t="str" cm="1">
        <f t="array" aca="1" ref="W9" ca="1">IF($B9="","",SimpleLookup($B9,'Risk Treatment'!$C:$AW))</f>
        <v/>
      </c>
      <c r="X9" s="14" t="str" cm="1">
        <f t="array" aca="1" ref="X9" ca="1">IF($B9="","",_xlfn.LET(_xlpm._attackSteps,SimpleLookup($B9,'Risk Treatment'!$C:$Y),GetValues(_xlpm._attackSteps,Mitigation!$A:$AG,"",CHAR(1),FALSE)))</f>
        <v/>
      </c>
      <c r="Y9" s="14" t="str" cm="1">
        <f t="array" aca="1" ref="Y9"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ParseInlineMitigationString(_xlpm._remainingString,_xlpm._delimiter))))($X9,CHAR(1))</f>
        <v/>
      </c>
      <c r="Z9" s="14" t="str" cm="1">
        <f t="array" aca="1" ref="Z9" ca="1">FilterElementsFromList($W9,Helper!$J$4,TRUE,",")</f>
        <v/>
      </c>
      <c r="AA9" s="14" t="str" cm="1">
        <f t="array" aca="1" ref="AA9" ca="1">FilterElementsFromList($Y9,Helper!$J$4,TRUE,",")</f>
        <v/>
      </c>
      <c r="AB9" s="20" t="str" cm="1">
        <f t="array" aca="1" ref="AB9"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CreateConfirmedInlineMitigations(_xlpm._remainingString,_xlpm._confirmedCandAIDs,_xlpm._delimiterSearchString,_xlpm._delimiterResultString))))($X9,CreateSearchString($AA9),CHAR(1),","&amp;CHAR(10))</f>
        <v/>
      </c>
      <c r="AC9" s="20">
        <f ca="1">IFERROR(MATCH($B9,Risks!$A:$A,0),-1)</f>
        <v>3</v>
      </c>
      <c r="AD9" s="20" t="str" cm="1">
        <f t="array" aca="1" ref="AD9" ca="1">IF($B9="","",_xlfn.LET(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_xlpm._factorFunction($B9,Risks!$A:CA,Definitions!$Y:$Y,Definitions!$AB:$AB,1)&amp;CHAR(10)&amp;
_xlpm._factorFunction($B9,Risks!$A:CB,Definitions!$Y:$Y,Definitions!$AB:$AB,2)&amp;CHAR(10)&amp;
_xlpm._factorFunction($B9,Risks!$A:CC,Definitions!$Y:$Y,Definitions!$AB:$AB,3)&amp;CHAR(10)&amp;
_xlpm._factorFunction($B9,Risks!$A:CD,Definitions!$Y:$Y,Definitions!$AB:$AB,4)&amp;CHAR(10)&amp;
_xlpm._factorFunction($B9,Risks!$A:CE,Definitions!$Y:$Y,Definitions!$AB:$AB,5)))</f>
        <v/>
      </c>
      <c r="AE9" s="20" t="str" cm="1">
        <f t="array" aca="1" ref="AE9" ca="1">RemoveDelimiter(SUBSTITUTE(SUBSTITUTE($AB9,"{",""),"}",""),","&amp;CHAR(10))</f>
        <v/>
      </c>
      <c r="AF9" s="20" cm="1">
        <f t="array" aca="1" ref="AF9" ca="1">IF($O9="",0,SimpleLookup($O9,Definitions!$AE:$AF))</f>
        <v>0</v>
      </c>
    </row>
    <row r="10" spans="1:32" x14ac:dyDescent="0.25">
      <c r="B10" s="16" t="str">
        <f ca="1">OFFSET(Risks!$A$2,ROW()-ROW($B$5),0)</f>
        <v/>
      </c>
      <c r="C10" s="33" t="str" cm="1">
        <f t="array" aca="1" ref="C10" ca="1">IF($B10="","",IFERROR(SimpleLookup($B10,'Risk Treatment'!$C:D),"Please ensure that all risks are covered in the "&amp;Helper!$G$14&amp;" sheet. Currently, these risks are not covered: "&amp;'Risk Treatment'!$D$2&amp;"."))</f>
        <v/>
      </c>
      <c r="D10" s="37" t="str" cm="1">
        <f t="array" aca="1" ref="D10" ca="1">IF($B10="","",IFERROR(SimpleLookup($B10,'Risk Treatment'!$C:K),"Please ensure that all risks are covered in the "&amp;Helper!$G$14&amp;" sheet. Currently, these risks are not covered: "&amp;'Risk Treatment'!$D$2&amp;"."))</f>
        <v/>
      </c>
      <c r="E10" s="16" t="str" cm="1">
        <f t="array" aca="1" ref="E10" ca="1">IF($B10="","",IFERROR(SimpleLookup($B10,'Risk Treatment'!$C:L),"Please ensure that all risks are covered in the "&amp;Helper!$G$14&amp;" sheet. Currently, these risks are not covered: "&amp;'Risk Treatment'!$D$2&amp;"."))</f>
        <v/>
      </c>
      <c r="F10" s="34" t="str" cm="1">
        <f t="array" aca="1" ref="F10" ca="1">IF($B10="","",IFERROR(SimpleLookup($B10,'Risk Treatment'!$C:M),"Please ensure that all risks are covered in the "&amp;Helper!$G$14&amp;" sheet. Currently, these risks are not covered: "&amp;'Risk Treatment'!$D$2&amp;"."))</f>
        <v/>
      </c>
      <c r="G10" s="16" t="str" cm="1">
        <f t="array" aca="1" ref="G10" ca="1">IF($B10="","",IFERROR(SimpleLookup($B10,'Risk Treatment'!$C:N),"Please ensure that all risks are covered in the "&amp;Helper!$G$14&amp;" sheet. Currently, these risks are not covered: "&amp;'Risk Treatment'!$D$2&amp;"."))</f>
        <v/>
      </c>
      <c r="H10" s="16" t="str" cm="1">
        <f t="array" aca="1" ref="H10" ca="1">IF($B10="","",IFERROR(SimpleLookup($B10,'Risk Treatment'!$C:J),"Please ensure that all risks are covered in the "&amp;Helper!$G$14&amp;" sheet. Currently, these risks are not covered: "&amp;'Risk Treatment'!$D$2&amp;"."))</f>
        <v/>
      </c>
      <c r="I10" s="33" t="str" cm="1">
        <f t="array" aca="1" ref="I10" ca="1">IF($B10="","",IFERROR(SimpleLookup($B10,'Risk Treatment'!$C:O),"Please ensure that all risks are covered in the "&amp;Helper!$G$14&amp;" sheet. Currently, these risks are not covered: "&amp;'Risk Treatment'!$D$2&amp;"."))</f>
        <v/>
      </c>
      <c r="J10" s="33" t="str" cm="1">
        <f t="array" aca="1" ref="J10" ca="1">_xlfn.LET(
_xlpm._assignedMitigations,IF($B10="","",IFERROR(RemoveDelimiter(GetValuesWithFallback($Z10,Countermeasures!$A:$B,Assumptions!$A:$B," ",","&amp;CHAR(10),TRUE),","&amp;CHAR(10)),"Error: Unknown risk ID "&amp;$B10)),
_xlpm._inlineMitigations,$AE10,
_xlpm._assignedMitigations&amp;
IF(OR(_xlpm._assignedMitigations="",_xlpm._inlineMitigations=""),"",","&amp;CHAR(10))&amp;
_xlpm._inlineMitigations)</f>
        <v/>
      </c>
      <c r="K10" s="37" t="str" cm="1">
        <f t="array" aca="1" ref="K10" ca="1">IF($AC10=-1,"",RemoveDelimiter(GetValues(INDEX(Risks!BN:BN,$AC10),'DS Overview'!$A:$B," ",","&amp;CHAR(10),TRUE),","&amp;CHAR(10)))</f>
        <v/>
      </c>
      <c r="L10" s="33" t="str" cm="1">
        <f t="array" aca="1" ref="L10" ca="1">IF($AC10=-1,"",INDEX(Risks!BP:BP,$AC10))</f>
        <v/>
      </c>
      <c r="M10" s="34" t="str" cm="1">
        <f t="array" aca="1" ref="M10" ca="1">_xlfn.LET(
_xlpm._calculatedRAP,IFERROR(SimpleLookup($B10,Risks!$A:$BG),""),
_xlpm._inlineRAP,IFERROR(SimpleLookup($B10,Risks!$A:$BH),""),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IF(_xlpm._calculatedValue&gt;=_xlpm._inlineValue,$AD10,
_xlpm._mitigationSheetName&amp;" sheet "&amp;_xlfn.UNICHAR(8702)&amp;" Comment column:"&amp;CHAR(10)&amp;$AE10)))</f>
        <v/>
      </c>
      <c r="N10" s="33" t="str" cm="1">
        <f t="array" aca="1" ref="N10" ca="1">IF($AC10=-1,"",INDEX(Risks!CN:CN,$AC10))</f>
        <v>Basic</v>
      </c>
      <c r="O10" s="33" t="str" cm="1">
        <f t="array" aca="1" ref="O10" ca="1">IF($AC10=-1,"",INDEX(Risks!CO:CO,$AC10))</f>
        <v>No Risk</v>
      </c>
      <c r="P10" s="33" t="str">
        <f ca="1">IF($C10="","",IF($AF10&lt;=Definitions!$AF$6,Definitions!$M$4,""))</f>
        <v/>
      </c>
      <c r="Q10" s="23"/>
      <c r="R10" s="33" t="str">
        <f t="shared" ca="1" si="0"/>
        <v/>
      </c>
      <c r="S10" s="23"/>
      <c r="T10" s="13"/>
      <c r="U10" s="10" cm="1">
        <f t="array" aca="1" ref="U10" ca="1">GenerateShadowID(ROW(),$U$5,$U:$U,0,B10&lt;&gt;"")</f>
        <v>0</v>
      </c>
      <c r="V10" s="10" cm="1">
        <f t="array" ref="V10">CreateTaskID($V$5,$V:$V,Tasks!$B$17,$T10)</f>
        <v>0</v>
      </c>
      <c r="W10" s="14" t="str" cm="1">
        <f t="array" aca="1" ref="W10" ca="1">IF($B10="","",SimpleLookup($B10,'Risk Treatment'!$C:$AW))</f>
        <v/>
      </c>
      <c r="X10" s="14" t="str" cm="1">
        <f t="array" aca="1" ref="X10" ca="1">IF($B10="","",_xlfn.LET(_xlpm._attackSteps,SimpleLookup($B10,'Risk Treatment'!$C:$Y),GetValues(_xlpm._attackSteps,Mitigation!$A:$AG,"",CHAR(1),FALSE)))</f>
        <v/>
      </c>
      <c r="Y10" s="14" t="str" cm="1">
        <f t="array" aca="1" ref="Y10"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ParseInlineMitigationString(_xlpm._remainingString,_xlpm._delimiter))))($X10,CHAR(1))</f>
        <v/>
      </c>
      <c r="Z10" s="14" t="str" cm="1">
        <f t="array" aca="1" ref="Z10" ca="1">FilterElementsFromList($W10,Helper!$J$4,TRUE,",")</f>
        <v/>
      </c>
      <c r="AA10" s="14" t="str" cm="1">
        <f t="array" aca="1" ref="AA10" ca="1">FilterElementsFromList($Y10,Helper!$J$4,TRUE,",")</f>
        <v/>
      </c>
      <c r="AB10" s="20" t="str" cm="1">
        <f t="array" aca="1" ref="AB10"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CreateConfirmedInlineMitigations(_xlpm._remainingString,_xlpm._confirmedCandAIDs,_xlpm._delimiterSearchString,_xlpm._delimiterResultString))))($X10,CreateSearchString($AA10),CHAR(1),","&amp;CHAR(10))</f>
        <v/>
      </c>
      <c r="AC10" s="20">
        <f ca="1">IFERROR(MATCH($B10,Risks!$A:$A,0),-1)</f>
        <v>3</v>
      </c>
      <c r="AD10" s="20" t="str" cm="1">
        <f t="array" aca="1" ref="AD10" ca="1">IF($B10="","",_xlfn.LET(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_xlpm._factorFunction($B10,Risks!$A:CA,Definitions!$Y:$Y,Definitions!$AB:$AB,1)&amp;CHAR(10)&amp;
_xlpm._factorFunction($B10,Risks!$A:CB,Definitions!$Y:$Y,Definitions!$AB:$AB,2)&amp;CHAR(10)&amp;
_xlpm._factorFunction($B10,Risks!$A:CC,Definitions!$Y:$Y,Definitions!$AB:$AB,3)&amp;CHAR(10)&amp;
_xlpm._factorFunction($B10,Risks!$A:CD,Definitions!$Y:$Y,Definitions!$AB:$AB,4)&amp;CHAR(10)&amp;
_xlpm._factorFunction($B10,Risks!$A:CE,Definitions!$Y:$Y,Definitions!$AB:$AB,5)))</f>
        <v/>
      </c>
      <c r="AE10" s="20" t="str" cm="1">
        <f t="array" aca="1" ref="AE10" ca="1">RemoveDelimiter(SUBSTITUTE(SUBSTITUTE($AB10,"{",""),"}",""),","&amp;CHAR(10))</f>
        <v/>
      </c>
      <c r="AF10" s="20" cm="1">
        <f t="array" aca="1" ref="AF10" ca="1">IF($O10="",0,SimpleLookup($O10,Definitions!$AE:$AF))</f>
        <v>0</v>
      </c>
    </row>
    <row r="11" spans="1:32" x14ac:dyDescent="0.25">
      <c r="B11" s="16" t="str">
        <f ca="1">OFFSET(Risks!$A$2,ROW()-ROW($B$5),0)</f>
        <v/>
      </c>
      <c r="C11" s="33" t="str" cm="1">
        <f t="array" aca="1" ref="C11" ca="1">IF($B11="","",IFERROR(SimpleLookup($B11,'Risk Treatment'!$C:D),"Please ensure that all risks are covered in the "&amp;Helper!$G$14&amp;" sheet. Currently, these risks are not covered: "&amp;'Risk Treatment'!$D$2&amp;"."))</f>
        <v/>
      </c>
      <c r="D11" s="37" t="str" cm="1">
        <f t="array" aca="1" ref="D11" ca="1">IF($B11="","",IFERROR(SimpleLookup($B11,'Risk Treatment'!$C:K),"Please ensure that all risks are covered in the "&amp;Helper!$G$14&amp;" sheet. Currently, these risks are not covered: "&amp;'Risk Treatment'!$D$2&amp;"."))</f>
        <v/>
      </c>
      <c r="E11" s="16" t="str" cm="1">
        <f t="array" aca="1" ref="E11" ca="1">IF($B11="","",IFERROR(SimpleLookup($B11,'Risk Treatment'!$C:L),"Please ensure that all risks are covered in the "&amp;Helper!$G$14&amp;" sheet. Currently, these risks are not covered: "&amp;'Risk Treatment'!$D$2&amp;"."))</f>
        <v/>
      </c>
      <c r="F11" s="34" t="str" cm="1">
        <f t="array" aca="1" ref="F11" ca="1">IF($B11="","",IFERROR(SimpleLookup($B11,'Risk Treatment'!$C:M),"Please ensure that all risks are covered in the "&amp;Helper!$G$14&amp;" sheet. Currently, these risks are not covered: "&amp;'Risk Treatment'!$D$2&amp;"."))</f>
        <v/>
      </c>
      <c r="G11" s="16" t="str" cm="1">
        <f t="array" aca="1" ref="G11" ca="1">IF($B11="","",IFERROR(SimpleLookup($B11,'Risk Treatment'!$C:N),"Please ensure that all risks are covered in the "&amp;Helper!$G$14&amp;" sheet. Currently, these risks are not covered: "&amp;'Risk Treatment'!$D$2&amp;"."))</f>
        <v/>
      </c>
      <c r="H11" s="16" t="str" cm="1">
        <f t="array" aca="1" ref="H11" ca="1">IF($B11="","",IFERROR(SimpleLookup($B11,'Risk Treatment'!$C:J),"Please ensure that all risks are covered in the "&amp;Helper!$G$14&amp;" sheet. Currently, these risks are not covered: "&amp;'Risk Treatment'!$D$2&amp;"."))</f>
        <v/>
      </c>
      <c r="I11" s="33" t="str" cm="1">
        <f t="array" aca="1" ref="I11" ca="1">IF($B11="","",IFERROR(SimpleLookup($B11,'Risk Treatment'!$C:O),"Please ensure that all risks are covered in the "&amp;Helper!$G$14&amp;" sheet. Currently, these risks are not covered: "&amp;'Risk Treatment'!$D$2&amp;"."))</f>
        <v/>
      </c>
      <c r="J11" s="33" t="str" cm="1">
        <f t="array" aca="1" ref="J11" ca="1">_xlfn.LET(
_xlpm._assignedMitigations,IF($B11="","",IFERROR(RemoveDelimiter(GetValuesWithFallback($Z11,Countermeasures!$A:$B,Assumptions!$A:$B," ",","&amp;CHAR(10),TRUE),","&amp;CHAR(10)),"Error: Unknown risk ID "&amp;$B11)),
_xlpm._inlineMitigations,$AE11,
_xlpm._assignedMitigations&amp;
IF(OR(_xlpm._assignedMitigations="",_xlpm._inlineMitigations=""),"",","&amp;CHAR(10))&amp;
_xlpm._inlineMitigations)</f>
        <v/>
      </c>
      <c r="K11" s="37" t="str" cm="1">
        <f t="array" aca="1" ref="K11" ca="1">IF($AC11=-1,"",RemoveDelimiter(GetValues(INDEX(Risks!BN:BN,$AC11),'DS Overview'!$A:$B," ",","&amp;CHAR(10),TRUE),","&amp;CHAR(10)))</f>
        <v/>
      </c>
      <c r="L11" s="33" t="str" cm="1">
        <f t="array" aca="1" ref="L11" ca="1">IF($AC11=-1,"",INDEX(Risks!BP:BP,$AC11))</f>
        <v/>
      </c>
      <c r="M11" s="34" t="str" cm="1">
        <f t="array" aca="1" ref="M11" ca="1">_xlfn.LET(
_xlpm._calculatedRAP,IFERROR(SimpleLookup($B11,Risks!$A:$BG),""),
_xlpm._inlineRAP,IFERROR(SimpleLookup($B11,Risks!$A:$BH),""),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IF(_xlpm._calculatedValue&gt;=_xlpm._inlineValue,$AD11,
_xlpm._mitigationSheetName&amp;" sheet "&amp;_xlfn.UNICHAR(8702)&amp;" Comment column:"&amp;CHAR(10)&amp;$AE11)))</f>
        <v/>
      </c>
      <c r="N11" s="33" t="str" cm="1">
        <f t="array" aca="1" ref="N11" ca="1">IF($AC11=-1,"",INDEX(Risks!CN:CN,$AC11))</f>
        <v>Basic</v>
      </c>
      <c r="O11" s="33" t="str" cm="1">
        <f t="array" aca="1" ref="O11" ca="1">IF($AC11=-1,"",INDEX(Risks!CO:CO,$AC11))</f>
        <v>No Risk</v>
      </c>
      <c r="P11" s="33" t="str">
        <f ca="1">IF($C11="","",IF($AF11&lt;=Definitions!$AF$6,Definitions!$M$4,""))</f>
        <v/>
      </c>
      <c r="Q11" s="23"/>
      <c r="R11" s="33" t="str">
        <f t="shared" ca="1" si="0"/>
        <v/>
      </c>
      <c r="S11" s="23"/>
      <c r="T11" s="13"/>
      <c r="U11" s="10" cm="1">
        <f t="array" aca="1" ref="U11" ca="1">GenerateShadowID(ROW(),$U$5,$U:$U,0,B11&lt;&gt;"")</f>
        <v>0</v>
      </c>
      <c r="V11" s="10" cm="1">
        <f t="array" ref="V11">CreateTaskID($V$5,$V:$V,Tasks!$B$17,$T11)</f>
        <v>0</v>
      </c>
      <c r="W11" s="14" t="str" cm="1">
        <f t="array" aca="1" ref="W11" ca="1">IF($B11="","",SimpleLookup($B11,'Risk Treatment'!$C:$AW))</f>
        <v/>
      </c>
      <c r="X11" s="14" t="str" cm="1">
        <f t="array" aca="1" ref="X11" ca="1">IF($B11="","",_xlfn.LET(_xlpm._attackSteps,SimpleLookup($B11,'Risk Treatment'!$C:$Y),GetValues(_xlpm._attackSteps,Mitigation!$A:$AG,"",CHAR(1),FALSE)))</f>
        <v/>
      </c>
      <c r="Y11" s="14" t="str" cm="1">
        <f t="array" aca="1" ref="Y11"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ParseInlineMitigationString(_xlpm._remainingString,_xlpm._delimiter))))($X11,CHAR(1))</f>
        <v/>
      </c>
      <c r="Z11" s="14" t="str" cm="1">
        <f t="array" aca="1" ref="Z11" ca="1">FilterElementsFromList($W11,Helper!$J$4,TRUE,",")</f>
        <v/>
      </c>
      <c r="AA11" s="14" t="str" cm="1">
        <f t="array" aca="1" ref="AA11" ca="1">FilterElementsFromList($Y11,Helper!$J$4,TRUE,",")</f>
        <v/>
      </c>
      <c r="AB11" s="20" t="str" cm="1">
        <f t="array" aca="1" ref="AB11"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CreateConfirmedInlineMitigations(_xlpm._remainingString,_xlpm._confirmedCandAIDs,_xlpm._delimiterSearchString,_xlpm._delimiterResultString))))($X11,CreateSearchString($AA11),CHAR(1),","&amp;CHAR(10))</f>
        <v/>
      </c>
      <c r="AC11" s="20">
        <f ca="1">IFERROR(MATCH($B11,Risks!$A:$A,0),-1)</f>
        <v>3</v>
      </c>
      <c r="AD11" s="20" t="str" cm="1">
        <f t="array" aca="1" ref="AD11" ca="1">IF($B11="","",_xlfn.LET(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_xlpm._factorFunction($B11,Risks!$A:CA,Definitions!$Y:$Y,Definitions!$AB:$AB,1)&amp;CHAR(10)&amp;
_xlpm._factorFunction($B11,Risks!$A:CB,Definitions!$Y:$Y,Definitions!$AB:$AB,2)&amp;CHAR(10)&amp;
_xlpm._factorFunction($B11,Risks!$A:CC,Definitions!$Y:$Y,Definitions!$AB:$AB,3)&amp;CHAR(10)&amp;
_xlpm._factorFunction($B11,Risks!$A:CD,Definitions!$Y:$Y,Definitions!$AB:$AB,4)&amp;CHAR(10)&amp;
_xlpm._factorFunction($B11,Risks!$A:CE,Definitions!$Y:$Y,Definitions!$AB:$AB,5)))</f>
        <v/>
      </c>
      <c r="AE11" s="20" t="str" cm="1">
        <f t="array" aca="1" ref="AE11" ca="1">RemoveDelimiter(SUBSTITUTE(SUBSTITUTE($AB11,"{",""),"}",""),","&amp;CHAR(10))</f>
        <v/>
      </c>
      <c r="AF11" s="20" cm="1">
        <f t="array" aca="1" ref="AF11" ca="1">IF($O11="",0,SimpleLookup($O11,Definitions!$AE:$AF))</f>
        <v>0</v>
      </c>
    </row>
    <row r="12" spans="1:32" x14ac:dyDescent="0.25">
      <c r="B12" s="16" t="str">
        <f ca="1">OFFSET(Risks!$A$2,ROW()-ROW($B$5),0)</f>
        <v/>
      </c>
      <c r="C12" s="33" t="str" cm="1">
        <f t="array" aca="1" ref="C12" ca="1">IF($B12="","",IFERROR(SimpleLookup($B12,'Risk Treatment'!$C:D),"Please ensure that all risks are covered in the "&amp;Helper!$G$14&amp;" sheet. Currently, these risks are not covered: "&amp;'Risk Treatment'!$D$2&amp;"."))</f>
        <v/>
      </c>
      <c r="D12" s="37" t="str" cm="1">
        <f t="array" aca="1" ref="D12" ca="1">IF($B12="","",IFERROR(SimpleLookup($B12,'Risk Treatment'!$C:K),"Please ensure that all risks are covered in the "&amp;Helper!$G$14&amp;" sheet. Currently, these risks are not covered: "&amp;'Risk Treatment'!$D$2&amp;"."))</f>
        <v/>
      </c>
      <c r="E12" s="16" t="str" cm="1">
        <f t="array" aca="1" ref="E12" ca="1">IF($B12="","",IFERROR(SimpleLookup($B12,'Risk Treatment'!$C:L),"Please ensure that all risks are covered in the "&amp;Helper!$G$14&amp;" sheet. Currently, these risks are not covered: "&amp;'Risk Treatment'!$D$2&amp;"."))</f>
        <v/>
      </c>
      <c r="F12" s="34" t="str" cm="1">
        <f t="array" aca="1" ref="F12" ca="1">IF($B12="","",IFERROR(SimpleLookup($B12,'Risk Treatment'!$C:M),"Please ensure that all risks are covered in the "&amp;Helper!$G$14&amp;" sheet. Currently, these risks are not covered: "&amp;'Risk Treatment'!$D$2&amp;"."))</f>
        <v/>
      </c>
      <c r="G12" s="16" t="str" cm="1">
        <f t="array" aca="1" ref="G12" ca="1">IF($B12="","",IFERROR(SimpleLookup($B12,'Risk Treatment'!$C:N),"Please ensure that all risks are covered in the "&amp;Helper!$G$14&amp;" sheet. Currently, these risks are not covered: "&amp;'Risk Treatment'!$D$2&amp;"."))</f>
        <v/>
      </c>
      <c r="H12" s="16" t="str" cm="1">
        <f t="array" aca="1" ref="H12" ca="1">IF($B12="","",IFERROR(SimpleLookup($B12,'Risk Treatment'!$C:J),"Please ensure that all risks are covered in the "&amp;Helper!$G$14&amp;" sheet. Currently, these risks are not covered: "&amp;'Risk Treatment'!$D$2&amp;"."))</f>
        <v/>
      </c>
      <c r="I12" s="33" t="str" cm="1">
        <f t="array" aca="1" ref="I12" ca="1">IF($B12="","",IFERROR(SimpleLookup($B12,'Risk Treatment'!$C:O),"Please ensure that all risks are covered in the "&amp;Helper!$G$14&amp;" sheet. Currently, these risks are not covered: "&amp;'Risk Treatment'!$D$2&amp;"."))</f>
        <v/>
      </c>
      <c r="J12" s="33" t="str" cm="1">
        <f t="array" aca="1" ref="J12" ca="1">_xlfn.LET(
_xlpm._assignedMitigations,IF($B12="","",IFERROR(RemoveDelimiter(GetValuesWithFallback($Z12,Countermeasures!$A:$B,Assumptions!$A:$B," ",","&amp;CHAR(10),TRUE),","&amp;CHAR(10)),"Error: Unknown risk ID "&amp;$B12)),
_xlpm._inlineMitigations,$AE12,
_xlpm._assignedMitigations&amp;
IF(OR(_xlpm._assignedMitigations="",_xlpm._inlineMitigations=""),"",","&amp;CHAR(10))&amp;
_xlpm._inlineMitigations)</f>
        <v/>
      </c>
      <c r="K12" s="37" t="str" cm="1">
        <f t="array" aca="1" ref="K12" ca="1">IF($AC12=-1,"",RemoveDelimiter(GetValues(INDEX(Risks!BN:BN,$AC12),'DS Overview'!$A:$B," ",","&amp;CHAR(10),TRUE),","&amp;CHAR(10)))</f>
        <v/>
      </c>
      <c r="L12" s="33" t="str" cm="1">
        <f t="array" aca="1" ref="L12" ca="1">IF($AC12=-1,"",INDEX(Risks!BP:BP,$AC12))</f>
        <v/>
      </c>
      <c r="M12" s="34" t="str" cm="1">
        <f t="array" aca="1" ref="M12" ca="1">_xlfn.LET(
_xlpm._calculatedRAP,IFERROR(SimpleLookup($B12,Risks!$A:$BG),""),
_xlpm._inlineRAP,IFERROR(SimpleLookup($B12,Risks!$A:$BH),""),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IF(_xlpm._calculatedValue&gt;=_xlpm._inlineValue,$AD12,
_xlpm._mitigationSheetName&amp;" sheet "&amp;_xlfn.UNICHAR(8702)&amp;" Comment column:"&amp;CHAR(10)&amp;$AE12)))</f>
        <v/>
      </c>
      <c r="N12" s="33" t="str" cm="1">
        <f t="array" aca="1" ref="N12" ca="1">IF($AC12=-1,"",INDEX(Risks!CN:CN,$AC12))</f>
        <v>Basic</v>
      </c>
      <c r="O12" s="33" t="str" cm="1">
        <f t="array" aca="1" ref="O12" ca="1">IF($AC12=-1,"",INDEX(Risks!CO:CO,$AC12))</f>
        <v>No Risk</v>
      </c>
      <c r="P12" s="33" t="str">
        <f ca="1">IF($C12="","",IF($AF12&lt;=Definitions!$AF$6,Definitions!$M$4,""))</f>
        <v/>
      </c>
      <c r="Q12" s="23"/>
      <c r="R12" s="33" t="str">
        <f t="shared" ca="1" si="0"/>
        <v/>
      </c>
      <c r="S12" s="23"/>
      <c r="T12" s="13"/>
      <c r="U12" s="10" cm="1">
        <f t="array" aca="1" ref="U12" ca="1">GenerateShadowID(ROW(),$U$5,$U:$U,0,B12&lt;&gt;"")</f>
        <v>0</v>
      </c>
      <c r="V12" s="10" cm="1">
        <f t="array" ref="V12">CreateTaskID($V$5,$V:$V,Tasks!$B$17,$T12)</f>
        <v>0</v>
      </c>
      <c r="W12" s="14" t="str" cm="1">
        <f t="array" aca="1" ref="W12" ca="1">IF($B12="","",SimpleLookup($B12,'Risk Treatment'!$C:$AW))</f>
        <v/>
      </c>
      <c r="X12" s="14" t="str" cm="1">
        <f t="array" aca="1" ref="X12" ca="1">IF($B12="","",_xlfn.LET(_xlpm._attackSteps,SimpleLookup($B12,'Risk Treatment'!$C:$Y),GetValues(_xlpm._attackSteps,Mitigation!$A:$AG,"",CHAR(1),FALSE)))</f>
        <v/>
      </c>
      <c r="Y12" s="14" t="str" cm="1">
        <f t="array" aca="1" ref="Y12"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ParseInlineMitigationString(_xlpm._remainingString,_xlpm._delimiter))))($X12,CHAR(1))</f>
        <v/>
      </c>
      <c r="Z12" s="14" t="str" cm="1">
        <f t="array" aca="1" ref="Z12" ca="1">FilterElementsFromList($W12,Helper!$J$4,TRUE,",")</f>
        <v/>
      </c>
      <c r="AA12" s="14" t="str" cm="1">
        <f t="array" aca="1" ref="AA12" ca="1">FilterElementsFromList($Y12,Helper!$J$4,TRUE,",")</f>
        <v/>
      </c>
      <c r="AB12" s="20" t="str" cm="1">
        <f t="array" aca="1" ref="AB12"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CreateConfirmedInlineMitigations(_xlpm._remainingString,_xlpm._confirmedCandAIDs,_xlpm._delimiterSearchString,_xlpm._delimiterResultString))))($X12,CreateSearchString($AA12),CHAR(1),","&amp;CHAR(10))</f>
        <v/>
      </c>
      <c r="AC12" s="20">
        <f ca="1">IFERROR(MATCH($B12,Risks!$A:$A,0),-1)</f>
        <v>3</v>
      </c>
      <c r="AD12" s="20" t="str" cm="1">
        <f t="array" aca="1" ref="AD12" ca="1">IF($B12="","",_xlfn.LET(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_xlpm._factorFunction($B12,Risks!$A:CA,Definitions!$Y:$Y,Definitions!$AB:$AB,1)&amp;CHAR(10)&amp;
_xlpm._factorFunction($B12,Risks!$A:CB,Definitions!$Y:$Y,Definitions!$AB:$AB,2)&amp;CHAR(10)&amp;
_xlpm._factorFunction($B12,Risks!$A:CC,Definitions!$Y:$Y,Definitions!$AB:$AB,3)&amp;CHAR(10)&amp;
_xlpm._factorFunction($B12,Risks!$A:CD,Definitions!$Y:$Y,Definitions!$AB:$AB,4)&amp;CHAR(10)&amp;
_xlpm._factorFunction($B12,Risks!$A:CE,Definitions!$Y:$Y,Definitions!$AB:$AB,5)))</f>
        <v/>
      </c>
      <c r="AE12" s="20" t="str" cm="1">
        <f t="array" aca="1" ref="AE12" ca="1">RemoveDelimiter(SUBSTITUTE(SUBSTITUTE($AB12,"{",""),"}",""),","&amp;CHAR(10))</f>
        <v/>
      </c>
      <c r="AF12" s="20" cm="1">
        <f t="array" aca="1" ref="AF12" ca="1">IF($O12="",0,SimpleLookup($O12,Definitions!$AE:$AF))</f>
        <v>0</v>
      </c>
    </row>
    <row r="13" spans="1:32" x14ac:dyDescent="0.25">
      <c r="B13" s="16" t="str">
        <f ca="1">OFFSET(Risks!$A$2,ROW()-ROW($B$5),0)</f>
        <v/>
      </c>
      <c r="C13" s="33" t="str" cm="1">
        <f t="array" aca="1" ref="C13" ca="1">IF($B13="","",IFERROR(SimpleLookup($B13,'Risk Treatment'!$C:D),"Please ensure that all risks are covered in the "&amp;Helper!$G$14&amp;" sheet. Currently, these risks are not covered: "&amp;'Risk Treatment'!$D$2&amp;"."))</f>
        <v/>
      </c>
      <c r="D13" s="37" t="str" cm="1">
        <f t="array" aca="1" ref="D13" ca="1">IF($B13="","",IFERROR(SimpleLookup($B13,'Risk Treatment'!$C:K),"Please ensure that all risks are covered in the "&amp;Helper!$G$14&amp;" sheet. Currently, these risks are not covered: "&amp;'Risk Treatment'!$D$2&amp;"."))</f>
        <v/>
      </c>
      <c r="E13" s="16" t="str" cm="1">
        <f t="array" aca="1" ref="E13" ca="1">IF($B13="","",IFERROR(SimpleLookup($B13,'Risk Treatment'!$C:L),"Please ensure that all risks are covered in the "&amp;Helper!$G$14&amp;" sheet. Currently, these risks are not covered: "&amp;'Risk Treatment'!$D$2&amp;"."))</f>
        <v/>
      </c>
      <c r="F13" s="34" t="str" cm="1">
        <f t="array" aca="1" ref="F13" ca="1">IF($B13="","",IFERROR(SimpleLookup($B13,'Risk Treatment'!$C:M),"Please ensure that all risks are covered in the "&amp;Helper!$G$14&amp;" sheet. Currently, these risks are not covered: "&amp;'Risk Treatment'!$D$2&amp;"."))</f>
        <v/>
      </c>
      <c r="G13" s="16" t="str" cm="1">
        <f t="array" aca="1" ref="G13" ca="1">IF($B13="","",IFERROR(SimpleLookup($B13,'Risk Treatment'!$C:N),"Please ensure that all risks are covered in the "&amp;Helper!$G$14&amp;" sheet. Currently, these risks are not covered: "&amp;'Risk Treatment'!$D$2&amp;"."))</f>
        <v/>
      </c>
      <c r="H13" s="16" t="str" cm="1">
        <f t="array" aca="1" ref="H13" ca="1">IF($B13="","",IFERROR(SimpleLookup($B13,'Risk Treatment'!$C:J),"Please ensure that all risks are covered in the "&amp;Helper!$G$14&amp;" sheet. Currently, these risks are not covered: "&amp;'Risk Treatment'!$D$2&amp;"."))</f>
        <v/>
      </c>
      <c r="I13" s="33" t="str" cm="1">
        <f t="array" aca="1" ref="I13" ca="1">IF($B13="","",IFERROR(SimpleLookup($B13,'Risk Treatment'!$C:O),"Please ensure that all risks are covered in the "&amp;Helper!$G$14&amp;" sheet. Currently, these risks are not covered: "&amp;'Risk Treatment'!$D$2&amp;"."))</f>
        <v/>
      </c>
      <c r="J13" s="33" t="str" cm="1">
        <f t="array" aca="1" ref="J13" ca="1">_xlfn.LET(
_xlpm._assignedMitigations,IF($B13="","",IFERROR(RemoveDelimiter(GetValuesWithFallback($Z13,Countermeasures!$A:$B,Assumptions!$A:$B," ",","&amp;CHAR(10),TRUE),","&amp;CHAR(10)),"Error: Unknown risk ID "&amp;$B13)),
_xlpm._inlineMitigations,$AE13,
_xlpm._assignedMitigations&amp;
IF(OR(_xlpm._assignedMitigations="",_xlpm._inlineMitigations=""),"",","&amp;CHAR(10))&amp;
_xlpm._inlineMitigations)</f>
        <v/>
      </c>
      <c r="K13" s="37" t="str" cm="1">
        <f t="array" aca="1" ref="K13" ca="1">IF($AC13=-1,"",RemoveDelimiter(GetValues(INDEX(Risks!BN:BN,$AC13),'DS Overview'!$A:$B," ",","&amp;CHAR(10),TRUE),","&amp;CHAR(10)))</f>
        <v/>
      </c>
      <c r="L13" s="33" t="str" cm="1">
        <f t="array" aca="1" ref="L13" ca="1">IF($AC13=-1,"",INDEX(Risks!BP:BP,$AC13))</f>
        <v/>
      </c>
      <c r="M13" s="34" t="str" cm="1">
        <f t="array" aca="1" ref="M13" ca="1">_xlfn.LET(
_xlpm._calculatedRAP,IFERROR(SimpleLookup($B13,Risks!$A:$BG),""),
_xlpm._inlineRAP,IFERROR(SimpleLookup($B13,Risks!$A:$BH),""),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IF(_xlpm._calculatedValue&gt;=_xlpm._inlineValue,$AD13,
_xlpm._mitigationSheetName&amp;" sheet "&amp;_xlfn.UNICHAR(8702)&amp;" Comment column:"&amp;CHAR(10)&amp;$AE13)))</f>
        <v/>
      </c>
      <c r="N13" s="33" t="str" cm="1">
        <f t="array" aca="1" ref="N13" ca="1">IF($AC13=-1,"",INDEX(Risks!CN:CN,$AC13))</f>
        <v>Basic</v>
      </c>
      <c r="O13" s="33" t="str" cm="1">
        <f t="array" aca="1" ref="O13" ca="1">IF($AC13=-1,"",INDEX(Risks!CO:CO,$AC13))</f>
        <v>No Risk</v>
      </c>
      <c r="P13" s="33" t="str">
        <f ca="1">IF($C13="","",IF($AF13&lt;=Definitions!$AF$6,Definitions!$M$4,""))</f>
        <v/>
      </c>
      <c r="Q13" s="23"/>
      <c r="R13" s="33" t="str">
        <f t="shared" ca="1" si="0"/>
        <v/>
      </c>
      <c r="S13" s="23"/>
      <c r="T13" s="13"/>
      <c r="U13" s="10" cm="1">
        <f t="array" aca="1" ref="U13" ca="1">GenerateShadowID(ROW(),$U$5,$U:$U,0,B13&lt;&gt;"")</f>
        <v>0</v>
      </c>
      <c r="V13" s="10" cm="1">
        <f t="array" ref="V13">CreateTaskID($V$5,$V:$V,Tasks!$B$17,$T13)</f>
        <v>0</v>
      </c>
      <c r="W13" s="14" t="str" cm="1">
        <f t="array" aca="1" ref="W13" ca="1">IF($B13="","",SimpleLookup($B13,'Risk Treatment'!$C:$AW))</f>
        <v/>
      </c>
      <c r="X13" s="14" t="str" cm="1">
        <f t="array" aca="1" ref="X13" ca="1">IF($B13="","",_xlfn.LET(_xlpm._attackSteps,SimpleLookup($B13,'Risk Treatment'!$C:$Y),GetValues(_xlpm._attackSteps,Mitigation!$A:$AG,"",CHAR(1),FALSE)))</f>
        <v/>
      </c>
      <c r="Y13" s="14" t="str" cm="1">
        <f t="array" aca="1" ref="Y13"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ParseInlineMitigationString(_xlpm._remainingString,_xlpm._delimiter))))($X13,CHAR(1))</f>
        <v/>
      </c>
      <c r="Z13" s="14" t="str" cm="1">
        <f t="array" aca="1" ref="Z13" ca="1">FilterElementsFromList($W13,Helper!$J$4,TRUE,",")</f>
        <v/>
      </c>
      <c r="AA13" s="14" t="str" cm="1">
        <f t="array" aca="1" ref="AA13" ca="1">FilterElementsFromList($Y13,Helper!$J$4,TRUE,",")</f>
        <v/>
      </c>
      <c r="AB13" s="20" t="str" cm="1">
        <f t="array" aca="1" ref="AB13"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CreateConfirmedInlineMitigations(_xlpm._remainingString,_xlpm._confirmedCandAIDs,_xlpm._delimiterSearchString,_xlpm._delimiterResultString))))($X13,CreateSearchString($AA13),CHAR(1),","&amp;CHAR(10))</f>
        <v/>
      </c>
      <c r="AC13" s="20">
        <f ca="1">IFERROR(MATCH($B13,Risks!$A:$A,0),-1)</f>
        <v>3</v>
      </c>
      <c r="AD13" s="20" t="str" cm="1">
        <f t="array" aca="1" ref="AD13" ca="1">IF($B13="","",_xlfn.LET(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_xlpm._factorFunction($B13,Risks!$A:CA,Definitions!$Y:$Y,Definitions!$AB:$AB,1)&amp;CHAR(10)&amp;
_xlpm._factorFunction($B13,Risks!$A:CB,Definitions!$Y:$Y,Definitions!$AB:$AB,2)&amp;CHAR(10)&amp;
_xlpm._factorFunction($B13,Risks!$A:CC,Definitions!$Y:$Y,Definitions!$AB:$AB,3)&amp;CHAR(10)&amp;
_xlpm._factorFunction($B13,Risks!$A:CD,Definitions!$Y:$Y,Definitions!$AB:$AB,4)&amp;CHAR(10)&amp;
_xlpm._factorFunction($B13,Risks!$A:CE,Definitions!$Y:$Y,Definitions!$AB:$AB,5)))</f>
        <v/>
      </c>
      <c r="AE13" s="20" t="str" cm="1">
        <f t="array" aca="1" ref="AE13" ca="1">RemoveDelimiter(SUBSTITUTE(SUBSTITUTE($AB13,"{",""),"}",""),","&amp;CHAR(10))</f>
        <v/>
      </c>
      <c r="AF13" s="20" cm="1">
        <f t="array" aca="1" ref="AF13" ca="1">IF($O13="",0,SimpleLookup($O13,Definitions!$AE:$AF))</f>
        <v>0</v>
      </c>
    </row>
    <row r="14" spans="1:32" x14ac:dyDescent="0.25">
      <c r="B14" s="16" t="str">
        <f ca="1">OFFSET(Risks!$A$2,ROW()-ROW($B$5),0)</f>
        <v/>
      </c>
      <c r="C14" s="33" t="str" cm="1">
        <f t="array" aca="1" ref="C14" ca="1">IF($B14="","",IFERROR(SimpleLookup($B14,'Risk Treatment'!$C:D),"Please ensure that all risks are covered in the "&amp;Helper!$G$14&amp;" sheet. Currently, these risks are not covered: "&amp;'Risk Treatment'!$D$2&amp;"."))</f>
        <v/>
      </c>
      <c r="D14" s="37" t="str" cm="1">
        <f t="array" aca="1" ref="D14" ca="1">IF($B14="","",IFERROR(SimpleLookup($B14,'Risk Treatment'!$C:K),"Please ensure that all risks are covered in the "&amp;Helper!$G$14&amp;" sheet. Currently, these risks are not covered: "&amp;'Risk Treatment'!$D$2&amp;"."))</f>
        <v/>
      </c>
      <c r="E14" s="16" t="str" cm="1">
        <f t="array" aca="1" ref="E14" ca="1">IF($B14="","",IFERROR(SimpleLookup($B14,'Risk Treatment'!$C:L),"Please ensure that all risks are covered in the "&amp;Helper!$G$14&amp;" sheet. Currently, these risks are not covered: "&amp;'Risk Treatment'!$D$2&amp;"."))</f>
        <v/>
      </c>
      <c r="F14" s="34" t="str" cm="1">
        <f t="array" aca="1" ref="F14" ca="1">IF($B14="","",IFERROR(SimpleLookup($B14,'Risk Treatment'!$C:M),"Please ensure that all risks are covered in the "&amp;Helper!$G$14&amp;" sheet. Currently, these risks are not covered: "&amp;'Risk Treatment'!$D$2&amp;"."))</f>
        <v/>
      </c>
      <c r="G14" s="16" t="str" cm="1">
        <f t="array" aca="1" ref="G14" ca="1">IF($B14="","",IFERROR(SimpleLookup($B14,'Risk Treatment'!$C:N),"Please ensure that all risks are covered in the "&amp;Helper!$G$14&amp;" sheet. Currently, these risks are not covered: "&amp;'Risk Treatment'!$D$2&amp;"."))</f>
        <v/>
      </c>
      <c r="H14" s="16" t="str" cm="1">
        <f t="array" aca="1" ref="H14" ca="1">IF($B14="","",IFERROR(SimpleLookup($B14,'Risk Treatment'!$C:J),"Please ensure that all risks are covered in the "&amp;Helper!$G$14&amp;" sheet. Currently, these risks are not covered: "&amp;'Risk Treatment'!$D$2&amp;"."))</f>
        <v/>
      </c>
      <c r="I14" s="33" t="str" cm="1">
        <f t="array" aca="1" ref="I14" ca="1">IF($B14="","",IFERROR(SimpleLookup($B14,'Risk Treatment'!$C:O),"Please ensure that all risks are covered in the "&amp;Helper!$G$14&amp;" sheet. Currently, these risks are not covered: "&amp;'Risk Treatment'!$D$2&amp;"."))</f>
        <v/>
      </c>
      <c r="J14" s="33" t="str" cm="1">
        <f t="array" aca="1" ref="J14" ca="1">_xlfn.LET(
_xlpm._assignedMitigations,IF($B14="","",IFERROR(RemoveDelimiter(GetValuesWithFallback($Z14,Countermeasures!$A:$B,Assumptions!$A:$B," ",","&amp;CHAR(10),TRUE),","&amp;CHAR(10)),"Error: Unknown risk ID "&amp;$B14)),
_xlpm._inlineMitigations,$AE14,
_xlpm._assignedMitigations&amp;
IF(OR(_xlpm._assignedMitigations="",_xlpm._inlineMitigations=""),"",","&amp;CHAR(10))&amp;
_xlpm._inlineMitigations)</f>
        <v/>
      </c>
      <c r="K14" s="37" t="str" cm="1">
        <f t="array" aca="1" ref="K14" ca="1">IF($AC14=-1,"",RemoveDelimiter(GetValues(INDEX(Risks!BN:BN,$AC14),'DS Overview'!$A:$B," ",","&amp;CHAR(10),TRUE),","&amp;CHAR(10)))</f>
        <v/>
      </c>
      <c r="L14" s="33" t="str" cm="1">
        <f t="array" aca="1" ref="L14" ca="1">IF($AC14=-1,"",INDEX(Risks!BP:BP,$AC14))</f>
        <v/>
      </c>
      <c r="M14" s="34" t="str" cm="1">
        <f t="array" aca="1" ref="M14" ca="1">_xlfn.LET(
_xlpm._calculatedRAP,IFERROR(SimpleLookup($B14,Risks!$A:$BG),""),
_xlpm._inlineRAP,IFERROR(SimpleLookup($B14,Risks!$A:$BH),""),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IF(_xlpm._calculatedValue&gt;=_xlpm._inlineValue,$AD14,
_xlpm._mitigationSheetName&amp;" sheet "&amp;_xlfn.UNICHAR(8702)&amp;" Comment column:"&amp;CHAR(10)&amp;$AE14)))</f>
        <v/>
      </c>
      <c r="N14" s="33" t="str" cm="1">
        <f t="array" aca="1" ref="N14" ca="1">IF($AC14=-1,"",INDEX(Risks!CN:CN,$AC14))</f>
        <v>Basic</v>
      </c>
      <c r="O14" s="33" t="str" cm="1">
        <f t="array" aca="1" ref="O14" ca="1">IF($AC14=-1,"",INDEX(Risks!CO:CO,$AC14))</f>
        <v>No Risk</v>
      </c>
      <c r="P14" s="33" t="str">
        <f ca="1">IF($C14="","",IF($AF14&lt;=Definitions!$AF$6,Definitions!$M$4,""))</f>
        <v/>
      </c>
      <c r="Q14" s="23"/>
      <c r="R14" s="33" t="str">
        <f t="shared" ca="1" si="0"/>
        <v/>
      </c>
      <c r="S14" s="23"/>
      <c r="T14" s="13"/>
      <c r="U14" s="10" cm="1">
        <f t="array" aca="1" ref="U14" ca="1">GenerateShadowID(ROW(),$U$5,$U:$U,0,B14&lt;&gt;"")</f>
        <v>0</v>
      </c>
      <c r="V14" s="10" cm="1">
        <f t="array" ref="V14">CreateTaskID($V$5,$V:$V,Tasks!$B$17,$T14)</f>
        <v>0</v>
      </c>
      <c r="W14" s="14" t="str" cm="1">
        <f t="array" aca="1" ref="W14" ca="1">IF($B14="","",SimpleLookup($B14,'Risk Treatment'!$C:$AW))</f>
        <v/>
      </c>
      <c r="X14" s="14" t="str" cm="1">
        <f t="array" aca="1" ref="X14" ca="1">IF($B14="","",_xlfn.LET(_xlpm._attackSteps,SimpleLookup($B14,'Risk Treatment'!$C:$Y),GetValues(_xlpm._attackSteps,Mitigation!$A:$AG,"",CHAR(1),FALSE)))</f>
        <v/>
      </c>
      <c r="Y14" s="14" t="str" cm="1">
        <f t="array" aca="1" ref="Y14"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ParseInlineMitigationString(_xlpm._remainingString,_xlpm._delimiter))))($X14,CHAR(1))</f>
        <v/>
      </c>
      <c r="Z14" s="14" t="str" cm="1">
        <f t="array" aca="1" ref="Z14" ca="1">FilterElementsFromList($W14,Helper!$J$4,TRUE,",")</f>
        <v/>
      </c>
      <c r="AA14" s="14" t="str" cm="1">
        <f t="array" aca="1" ref="AA14" ca="1">FilterElementsFromList($Y14,Helper!$J$4,TRUE,",")</f>
        <v/>
      </c>
      <c r="AB14" s="20" t="str" cm="1">
        <f t="array" aca="1" ref="AB14"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CreateConfirmedInlineMitigations(_xlpm._remainingString,_xlpm._confirmedCandAIDs,_xlpm._delimiterSearchString,_xlpm._delimiterResultString))))($X14,CreateSearchString($AA14),CHAR(1),","&amp;CHAR(10))</f>
        <v/>
      </c>
      <c r="AC14" s="20">
        <f ca="1">IFERROR(MATCH($B14,Risks!$A:$A,0),-1)</f>
        <v>3</v>
      </c>
      <c r="AD14" s="20" t="str" cm="1">
        <f t="array" aca="1" ref="AD14" ca="1">IF($B14="","",_xlfn.LET(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_xlpm._factorFunction($B14,Risks!$A:CA,Definitions!$Y:$Y,Definitions!$AB:$AB,1)&amp;CHAR(10)&amp;
_xlpm._factorFunction($B14,Risks!$A:CB,Definitions!$Y:$Y,Definitions!$AB:$AB,2)&amp;CHAR(10)&amp;
_xlpm._factorFunction($B14,Risks!$A:CC,Definitions!$Y:$Y,Definitions!$AB:$AB,3)&amp;CHAR(10)&amp;
_xlpm._factorFunction($B14,Risks!$A:CD,Definitions!$Y:$Y,Definitions!$AB:$AB,4)&amp;CHAR(10)&amp;
_xlpm._factorFunction($B14,Risks!$A:CE,Definitions!$Y:$Y,Definitions!$AB:$AB,5)))</f>
        <v/>
      </c>
      <c r="AE14" s="20" t="str" cm="1">
        <f t="array" aca="1" ref="AE14" ca="1">RemoveDelimiter(SUBSTITUTE(SUBSTITUTE($AB14,"{",""),"}",""),","&amp;CHAR(10))</f>
        <v/>
      </c>
      <c r="AF14" s="20" cm="1">
        <f t="array" aca="1" ref="AF14" ca="1">IF($O14="",0,SimpleLookup($O14,Definitions!$AE:$AF))</f>
        <v>0</v>
      </c>
    </row>
    <row r="15" spans="1:32" x14ac:dyDescent="0.25">
      <c r="B15" s="16" t="str">
        <f ca="1">OFFSET(Risks!$A$2,ROW()-ROW($B$5),0)</f>
        <v/>
      </c>
      <c r="C15" s="33" t="str" cm="1">
        <f t="array" aca="1" ref="C15" ca="1">IF($B15="","",IFERROR(SimpleLookup($B15,'Risk Treatment'!$C:D),"Please ensure that all risks are covered in the "&amp;Helper!$G$14&amp;" sheet. Currently, these risks are not covered: "&amp;'Risk Treatment'!$D$2&amp;"."))</f>
        <v/>
      </c>
      <c r="D15" s="37" t="str" cm="1">
        <f t="array" aca="1" ref="D15" ca="1">IF($B15="","",IFERROR(SimpleLookup($B15,'Risk Treatment'!$C:K),"Please ensure that all risks are covered in the "&amp;Helper!$G$14&amp;" sheet. Currently, these risks are not covered: "&amp;'Risk Treatment'!$D$2&amp;"."))</f>
        <v/>
      </c>
      <c r="E15" s="16" t="str" cm="1">
        <f t="array" aca="1" ref="E15" ca="1">IF($B15="","",IFERROR(SimpleLookup($B15,'Risk Treatment'!$C:L),"Please ensure that all risks are covered in the "&amp;Helper!$G$14&amp;" sheet. Currently, these risks are not covered: "&amp;'Risk Treatment'!$D$2&amp;"."))</f>
        <v/>
      </c>
      <c r="F15" s="34" t="str" cm="1">
        <f t="array" aca="1" ref="F15" ca="1">IF($B15="","",IFERROR(SimpleLookup($B15,'Risk Treatment'!$C:M),"Please ensure that all risks are covered in the "&amp;Helper!$G$14&amp;" sheet. Currently, these risks are not covered: "&amp;'Risk Treatment'!$D$2&amp;"."))</f>
        <v/>
      </c>
      <c r="G15" s="16" t="str" cm="1">
        <f t="array" aca="1" ref="G15" ca="1">IF($B15="","",IFERROR(SimpleLookup($B15,'Risk Treatment'!$C:N),"Please ensure that all risks are covered in the "&amp;Helper!$G$14&amp;" sheet. Currently, these risks are not covered: "&amp;'Risk Treatment'!$D$2&amp;"."))</f>
        <v/>
      </c>
      <c r="H15" s="16" t="str" cm="1">
        <f t="array" aca="1" ref="H15" ca="1">IF($B15="","",IFERROR(SimpleLookup($B15,'Risk Treatment'!$C:J),"Please ensure that all risks are covered in the "&amp;Helper!$G$14&amp;" sheet. Currently, these risks are not covered: "&amp;'Risk Treatment'!$D$2&amp;"."))</f>
        <v/>
      </c>
      <c r="I15" s="33" t="str" cm="1">
        <f t="array" aca="1" ref="I15" ca="1">IF($B15="","",IFERROR(SimpleLookup($B15,'Risk Treatment'!$C:O),"Please ensure that all risks are covered in the "&amp;Helper!$G$14&amp;" sheet. Currently, these risks are not covered: "&amp;'Risk Treatment'!$D$2&amp;"."))</f>
        <v/>
      </c>
      <c r="J15" s="33" t="str" cm="1">
        <f t="array" aca="1" ref="J15" ca="1">_xlfn.LET(
_xlpm._assignedMitigations,IF($B15="","",IFERROR(RemoveDelimiter(GetValuesWithFallback($Z15,Countermeasures!$A:$B,Assumptions!$A:$B," ",","&amp;CHAR(10),TRUE),","&amp;CHAR(10)),"Error: Unknown risk ID "&amp;$B15)),
_xlpm._inlineMitigations,$AE15,
_xlpm._assignedMitigations&amp;
IF(OR(_xlpm._assignedMitigations="",_xlpm._inlineMitigations=""),"",","&amp;CHAR(10))&amp;
_xlpm._inlineMitigations)</f>
        <v/>
      </c>
      <c r="K15" s="37" t="str" cm="1">
        <f t="array" aca="1" ref="K15" ca="1">IF($AC15=-1,"",RemoveDelimiter(GetValues(INDEX(Risks!BN:BN,$AC15),'DS Overview'!$A:$B," ",","&amp;CHAR(10),TRUE),","&amp;CHAR(10)))</f>
        <v/>
      </c>
      <c r="L15" s="33" t="str" cm="1">
        <f t="array" aca="1" ref="L15" ca="1">IF($AC15=-1,"",INDEX(Risks!BP:BP,$AC15))</f>
        <v/>
      </c>
      <c r="M15" s="34" t="str" cm="1">
        <f t="array" aca="1" ref="M15" ca="1">_xlfn.LET(
_xlpm._calculatedRAP,IFERROR(SimpleLookup($B15,Risks!$A:$BG),""),
_xlpm._inlineRAP,IFERROR(SimpleLookup($B15,Risks!$A:$BH),""),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IF(_xlpm._calculatedValue&gt;=_xlpm._inlineValue,$AD15,
_xlpm._mitigationSheetName&amp;" sheet "&amp;_xlfn.UNICHAR(8702)&amp;" Comment column:"&amp;CHAR(10)&amp;$AE15)))</f>
        <v/>
      </c>
      <c r="N15" s="33" t="str" cm="1">
        <f t="array" aca="1" ref="N15" ca="1">IF($AC15=-1,"",INDEX(Risks!CN:CN,$AC15))</f>
        <v>Basic</v>
      </c>
      <c r="O15" s="33" t="str" cm="1">
        <f t="array" aca="1" ref="O15" ca="1">IF($AC15=-1,"",INDEX(Risks!CO:CO,$AC15))</f>
        <v>No Risk</v>
      </c>
      <c r="P15" s="33" t="str">
        <f ca="1">IF($C15="","",IF($AF15&lt;=Definitions!$AF$6,Definitions!$M$4,""))</f>
        <v/>
      </c>
      <c r="Q15" s="23"/>
      <c r="R15" s="33" t="str">
        <f t="shared" ca="1" si="0"/>
        <v/>
      </c>
      <c r="S15" s="23"/>
      <c r="T15" s="13"/>
      <c r="U15" s="10" cm="1">
        <f t="array" aca="1" ref="U15" ca="1">GenerateShadowID(ROW(),$U$5,$U:$U,0,B15&lt;&gt;"")</f>
        <v>0</v>
      </c>
      <c r="V15" s="10" cm="1">
        <f t="array" ref="V15">CreateTaskID($V$5,$V:$V,Tasks!$B$17,$T15)</f>
        <v>0</v>
      </c>
      <c r="W15" s="14" t="str" cm="1">
        <f t="array" aca="1" ref="W15" ca="1">IF($B15="","",SimpleLookup($B15,'Risk Treatment'!$C:$AW))</f>
        <v/>
      </c>
      <c r="X15" s="14" t="str" cm="1">
        <f t="array" aca="1" ref="X15" ca="1">IF($B15="","",_xlfn.LET(_xlpm._attackSteps,SimpleLookup($B15,'Risk Treatment'!$C:$Y),GetValues(_xlpm._attackSteps,Mitigation!$A:$AG,"",CHAR(1),FALSE)))</f>
        <v/>
      </c>
      <c r="Y15" s="14" t="str" cm="1">
        <f t="array" aca="1" ref="Y15"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ParseInlineMitigationString(_xlpm._remainingString,_xlpm._delimiter))))($X15,CHAR(1))</f>
        <v/>
      </c>
      <c r="Z15" s="14" t="str" cm="1">
        <f t="array" aca="1" ref="Z15" ca="1">FilterElementsFromList($W15,Helper!$J$4,TRUE,",")</f>
        <v/>
      </c>
      <c r="AA15" s="14" t="str" cm="1">
        <f t="array" aca="1" ref="AA15" ca="1">FilterElementsFromList($Y15,Helper!$J$4,TRUE,",")</f>
        <v/>
      </c>
      <c r="AB15" s="20" t="str" cm="1">
        <f t="array" aca="1" ref="AB15"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CreateConfirmedInlineMitigations(_xlpm._remainingString,_xlpm._confirmedCandAIDs,_xlpm._delimiterSearchString,_xlpm._delimiterResultString))))($X15,CreateSearchString($AA15),CHAR(1),","&amp;CHAR(10))</f>
        <v/>
      </c>
      <c r="AC15" s="20">
        <f ca="1">IFERROR(MATCH($B15,Risks!$A:$A,0),-1)</f>
        <v>3</v>
      </c>
      <c r="AD15" s="20" t="str" cm="1">
        <f t="array" aca="1" ref="AD15" ca="1">IF($B15="","",_xlfn.LET(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_xlpm._factorFunction($B15,Risks!$A:CA,Definitions!$Y:$Y,Definitions!$AB:$AB,1)&amp;CHAR(10)&amp;
_xlpm._factorFunction($B15,Risks!$A:CB,Definitions!$Y:$Y,Definitions!$AB:$AB,2)&amp;CHAR(10)&amp;
_xlpm._factorFunction($B15,Risks!$A:CC,Definitions!$Y:$Y,Definitions!$AB:$AB,3)&amp;CHAR(10)&amp;
_xlpm._factorFunction($B15,Risks!$A:CD,Definitions!$Y:$Y,Definitions!$AB:$AB,4)&amp;CHAR(10)&amp;
_xlpm._factorFunction($B15,Risks!$A:CE,Definitions!$Y:$Y,Definitions!$AB:$AB,5)))</f>
        <v/>
      </c>
      <c r="AE15" s="20" t="str" cm="1">
        <f t="array" aca="1" ref="AE15" ca="1">RemoveDelimiter(SUBSTITUTE(SUBSTITUTE($AB15,"{",""),"}",""),","&amp;CHAR(10))</f>
        <v/>
      </c>
      <c r="AF15" s="20" cm="1">
        <f t="array" aca="1" ref="AF15" ca="1">IF($O15="",0,SimpleLookup($O15,Definitions!$AE:$AF))</f>
        <v>0</v>
      </c>
    </row>
    <row r="16" spans="1:32" x14ac:dyDescent="0.25">
      <c r="B16" s="16" t="str">
        <f ca="1">OFFSET(Risks!$A$2,ROW()-ROW($B$5),0)</f>
        <v/>
      </c>
      <c r="C16" s="33" t="str" cm="1">
        <f t="array" aca="1" ref="C16" ca="1">IF($B16="","",IFERROR(SimpleLookup($B16,'Risk Treatment'!$C:D),"Please ensure that all risks are covered in the "&amp;Helper!$G$14&amp;" sheet. Currently, these risks are not covered: "&amp;'Risk Treatment'!$D$2&amp;"."))</f>
        <v/>
      </c>
      <c r="D16" s="37" t="str" cm="1">
        <f t="array" aca="1" ref="D16" ca="1">IF($B16="","",IFERROR(SimpleLookup($B16,'Risk Treatment'!$C:K),"Please ensure that all risks are covered in the "&amp;Helper!$G$14&amp;" sheet. Currently, these risks are not covered: "&amp;'Risk Treatment'!$D$2&amp;"."))</f>
        <v/>
      </c>
      <c r="E16" s="16" t="str" cm="1">
        <f t="array" aca="1" ref="E16" ca="1">IF($B16="","",IFERROR(SimpleLookup($B16,'Risk Treatment'!$C:L),"Please ensure that all risks are covered in the "&amp;Helper!$G$14&amp;" sheet. Currently, these risks are not covered: "&amp;'Risk Treatment'!$D$2&amp;"."))</f>
        <v/>
      </c>
      <c r="F16" s="34" t="str" cm="1">
        <f t="array" aca="1" ref="F16" ca="1">IF($B16="","",IFERROR(SimpleLookup($B16,'Risk Treatment'!$C:M),"Please ensure that all risks are covered in the "&amp;Helper!$G$14&amp;" sheet. Currently, these risks are not covered: "&amp;'Risk Treatment'!$D$2&amp;"."))</f>
        <v/>
      </c>
      <c r="G16" s="16" t="str" cm="1">
        <f t="array" aca="1" ref="G16" ca="1">IF($B16="","",IFERROR(SimpleLookup($B16,'Risk Treatment'!$C:N),"Please ensure that all risks are covered in the "&amp;Helper!$G$14&amp;" sheet. Currently, these risks are not covered: "&amp;'Risk Treatment'!$D$2&amp;"."))</f>
        <v/>
      </c>
      <c r="H16" s="16" t="str" cm="1">
        <f t="array" aca="1" ref="H16" ca="1">IF($B16="","",IFERROR(SimpleLookup($B16,'Risk Treatment'!$C:J),"Please ensure that all risks are covered in the "&amp;Helper!$G$14&amp;" sheet. Currently, these risks are not covered: "&amp;'Risk Treatment'!$D$2&amp;"."))</f>
        <v/>
      </c>
      <c r="I16" s="33" t="str" cm="1">
        <f t="array" aca="1" ref="I16" ca="1">IF($B16="","",IFERROR(SimpleLookup($B16,'Risk Treatment'!$C:O),"Please ensure that all risks are covered in the "&amp;Helper!$G$14&amp;" sheet. Currently, these risks are not covered: "&amp;'Risk Treatment'!$D$2&amp;"."))</f>
        <v/>
      </c>
      <c r="J16" s="33" t="str" cm="1">
        <f t="array" aca="1" ref="J16" ca="1">_xlfn.LET(
_xlpm._assignedMitigations,IF($B16="","",IFERROR(RemoveDelimiter(GetValuesWithFallback($Z16,Countermeasures!$A:$B,Assumptions!$A:$B," ",","&amp;CHAR(10),TRUE),","&amp;CHAR(10)),"Error: Unknown risk ID "&amp;$B16)),
_xlpm._inlineMitigations,$AE16,
_xlpm._assignedMitigations&amp;
IF(OR(_xlpm._assignedMitigations="",_xlpm._inlineMitigations=""),"",","&amp;CHAR(10))&amp;
_xlpm._inlineMitigations)</f>
        <v/>
      </c>
      <c r="K16" s="37" t="str" cm="1">
        <f t="array" aca="1" ref="K16" ca="1">IF($AC16=-1,"",RemoveDelimiter(GetValues(INDEX(Risks!BN:BN,$AC16),'DS Overview'!$A:$B," ",","&amp;CHAR(10),TRUE),","&amp;CHAR(10)))</f>
        <v/>
      </c>
      <c r="L16" s="33" t="str" cm="1">
        <f t="array" aca="1" ref="L16" ca="1">IF($AC16=-1,"",INDEX(Risks!BP:BP,$AC16))</f>
        <v/>
      </c>
      <c r="M16" s="34" t="str" cm="1">
        <f t="array" aca="1" ref="M16" ca="1">_xlfn.LET(
_xlpm._calculatedRAP,IFERROR(SimpleLookup($B16,Risks!$A:$BG),""),
_xlpm._inlineRAP,IFERROR(SimpleLookup($B16,Risks!$A:$BH),""),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IF(_xlpm._calculatedValue&gt;=_xlpm._inlineValue,$AD16,
_xlpm._mitigationSheetName&amp;" sheet "&amp;_xlfn.UNICHAR(8702)&amp;" Comment column:"&amp;CHAR(10)&amp;$AE16)))</f>
        <v/>
      </c>
      <c r="N16" s="33" t="str" cm="1">
        <f t="array" aca="1" ref="N16" ca="1">IF($AC16=-1,"",INDEX(Risks!CN:CN,$AC16))</f>
        <v>Basic</v>
      </c>
      <c r="O16" s="33" t="str" cm="1">
        <f t="array" aca="1" ref="O16" ca="1">IF($AC16=-1,"",INDEX(Risks!CO:CO,$AC16))</f>
        <v>No Risk</v>
      </c>
      <c r="P16" s="33" t="str">
        <f ca="1">IF($C16="","",IF($AF16&lt;=Definitions!$AF$6,Definitions!$M$4,""))</f>
        <v/>
      </c>
      <c r="Q16" s="23"/>
      <c r="R16" s="33" t="str">
        <f t="shared" ca="1" si="0"/>
        <v/>
      </c>
      <c r="S16" s="23"/>
      <c r="T16" s="13"/>
      <c r="U16" s="10" cm="1">
        <f t="array" aca="1" ref="U16" ca="1">GenerateShadowID(ROW(),$U$5,$U:$U,0,B16&lt;&gt;"")</f>
        <v>0</v>
      </c>
      <c r="V16" s="10" cm="1">
        <f t="array" ref="V16">CreateTaskID($V$5,$V:$V,Tasks!$B$17,$T16)</f>
        <v>0</v>
      </c>
      <c r="W16" s="14" t="str" cm="1">
        <f t="array" aca="1" ref="W16" ca="1">IF($B16="","",SimpleLookup($B16,'Risk Treatment'!$C:$AW))</f>
        <v/>
      </c>
      <c r="X16" s="14" t="str" cm="1">
        <f t="array" aca="1" ref="X16" ca="1">IF($B16="","",_xlfn.LET(_xlpm._attackSteps,SimpleLookup($B16,'Risk Treatment'!$C:$Y),GetValues(_xlpm._attackSteps,Mitigation!$A:$AG,"",CHAR(1),FALSE)))</f>
        <v/>
      </c>
      <c r="Y16" s="14" t="str" cm="1">
        <f t="array" aca="1" ref="Y16"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ParseInlineMitigationString(_xlpm._remainingString,_xlpm._delimiter))))($X16,CHAR(1))</f>
        <v/>
      </c>
      <c r="Z16" s="14" t="str" cm="1">
        <f t="array" aca="1" ref="Z16" ca="1">FilterElementsFromList($W16,Helper!$J$4,TRUE,",")</f>
        <v/>
      </c>
      <c r="AA16" s="14" t="str" cm="1">
        <f t="array" aca="1" ref="AA16" ca="1">FilterElementsFromList($Y16,Helper!$J$4,TRUE,",")</f>
        <v/>
      </c>
      <c r="AB16" s="20" t="str" cm="1">
        <f t="array" aca="1" ref="AB16"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CreateConfirmedInlineMitigations(_xlpm._remainingString,_xlpm._confirmedCandAIDs,_xlpm._delimiterSearchString,_xlpm._delimiterResultString))))($X16,CreateSearchString($AA16),CHAR(1),","&amp;CHAR(10))</f>
        <v/>
      </c>
      <c r="AC16" s="20">
        <f ca="1">IFERROR(MATCH($B16,Risks!$A:$A,0),-1)</f>
        <v>3</v>
      </c>
      <c r="AD16" s="20" t="str" cm="1">
        <f t="array" aca="1" ref="AD16" ca="1">IF($B16="","",_xlfn.LET(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_xlpm._factorFunction($B16,Risks!$A:CA,Definitions!$Y:$Y,Definitions!$AB:$AB,1)&amp;CHAR(10)&amp;
_xlpm._factorFunction($B16,Risks!$A:CB,Definitions!$Y:$Y,Definitions!$AB:$AB,2)&amp;CHAR(10)&amp;
_xlpm._factorFunction($B16,Risks!$A:CC,Definitions!$Y:$Y,Definitions!$AB:$AB,3)&amp;CHAR(10)&amp;
_xlpm._factorFunction($B16,Risks!$A:CD,Definitions!$Y:$Y,Definitions!$AB:$AB,4)&amp;CHAR(10)&amp;
_xlpm._factorFunction($B16,Risks!$A:CE,Definitions!$Y:$Y,Definitions!$AB:$AB,5)))</f>
        <v/>
      </c>
      <c r="AE16" s="20" t="str" cm="1">
        <f t="array" aca="1" ref="AE16" ca="1">RemoveDelimiter(SUBSTITUTE(SUBSTITUTE($AB16,"{",""),"}",""),","&amp;CHAR(10))</f>
        <v/>
      </c>
      <c r="AF16" s="20" cm="1">
        <f t="array" aca="1" ref="AF16" ca="1">IF($O16="",0,SimpleLookup($O16,Definitions!$AE:$AF))</f>
        <v>0</v>
      </c>
    </row>
    <row r="17" spans="2:32" x14ac:dyDescent="0.25">
      <c r="B17" s="16" t="str">
        <f ca="1">OFFSET(Risks!$A$2,ROW()-ROW($B$5),0)</f>
        <v/>
      </c>
      <c r="C17" s="33" t="str" cm="1">
        <f t="array" aca="1" ref="C17" ca="1">IF($B17="","",IFERROR(SimpleLookup($B17,'Risk Treatment'!$C:D),"Please ensure that all risks are covered in the "&amp;Helper!$G$14&amp;" sheet. Currently, these risks are not covered: "&amp;'Risk Treatment'!$D$2&amp;"."))</f>
        <v/>
      </c>
      <c r="D17" s="37" t="str" cm="1">
        <f t="array" aca="1" ref="D17" ca="1">IF($B17="","",IFERROR(SimpleLookup($B17,'Risk Treatment'!$C:K),"Please ensure that all risks are covered in the "&amp;Helper!$G$14&amp;" sheet. Currently, these risks are not covered: "&amp;'Risk Treatment'!$D$2&amp;"."))</f>
        <v/>
      </c>
      <c r="E17" s="16" t="str" cm="1">
        <f t="array" aca="1" ref="E17" ca="1">IF($B17="","",IFERROR(SimpleLookup($B17,'Risk Treatment'!$C:L),"Please ensure that all risks are covered in the "&amp;Helper!$G$14&amp;" sheet. Currently, these risks are not covered: "&amp;'Risk Treatment'!$D$2&amp;"."))</f>
        <v/>
      </c>
      <c r="F17" s="34" t="str" cm="1">
        <f t="array" aca="1" ref="F17" ca="1">IF($B17="","",IFERROR(SimpleLookup($B17,'Risk Treatment'!$C:M),"Please ensure that all risks are covered in the "&amp;Helper!$G$14&amp;" sheet. Currently, these risks are not covered: "&amp;'Risk Treatment'!$D$2&amp;"."))</f>
        <v/>
      </c>
      <c r="G17" s="16" t="str" cm="1">
        <f t="array" aca="1" ref="G17" ca="1">IF($B17="","",IFERROR(SimpleLookup($B17,'Risk Treatment'!$C:N),"Please ensure that all risks are covered in the "&amp;Helper!$G$14&amp;" sheet. Currently, these risks are not covered: "&amp;'Risk Treatment'!$D$2&amp;"."))</f>
        <v/>
      </c>
      <c r="H17" s="16" t="str" cm="1">
        <f t="array" aca="1" ref="H17" ca="1">IF($B17="","",IFERROR(SimpleLookup($B17,'Risk Treatment'!$C:J),"Please ensure that all risks are covered in the "&amp;Helper!$G$14&amp;" sheet. Currently, these risks are not covered: "&amp;'Risk Treatment'!$D$2&amp;"."))</f>
        <v/>
      </c>
      <c r="I17" s="33" t="str" cm="1">
        <f t="array" aca="1" ref="I17" ca="1">IF($B17="","",IFERROR(SimpleLookup($B17,'Risk Treatment'!$C:O),"Please ensure that all risks are covered in the "&amp;Helper!$G$14&amp;" sheet. Currently, these risks are not covered: "&amp;'Risk Treatment'!$D$2&amp;"."))</f>
        <v/>
      </c>
      <c r="J17" s="33" t="str" cm="1">
        <f t="array" aca="1" ref="J17" ca="1">_xlfn.LET(
_xlpm._assignedMitigations,IF($B17="","",IFERROR(RemoveDelimiter(GetValuesWithFallback($Z17,Countermeasures!$A:$B,Assumptions!$A:$B," ",","&amp;CHAR(10),TRUE),","&amp;CHAR(10)),"Error: Unknown risk ID "&amp;$B17)),
_xlpm._inlineMitigations,$AE17,
_xlpm._assignedMitigations&amp;
IF(OR(_xlpm._assignedMitigations="",_xlpm._inlineMitigations=""),"",","&amp;CHAR(10))&amp;
_xlpm._inlineMitigations)</f>
        <v/>
      </c>
      <c r="K17" s="37" t="str" cm="1">
        <f t="array" aca="1" ref="K17" ca="1">IF($AC17=-1,"",RemoveDelimiter(GetValues(INDEX(Risks!BN:BN,$AC17),'DS Overview'!$A:$B," ",","&amp;CHAR(10),TRUE),","&amp;CHAR(10)))</f>
        <v/>
      </c>
      <c r="L17" s="33" t="str" cm="1">
        <f t="array" aca="1" ref="L17" ca="1">IF($AC17=-1,"",INDEX(Risks!BP:BP,$AC17))</f>
        <v/>
      </c>
      <c r="M17" s="34" t="str" cm="1">
        <f t="array" aca="1" ref="M17" ca="1">_xlfn.LET(
_xlpm._calculatedRAP,IFERROR(SimpleLookup($B17,Risks!$A:$BG),""),
_xlpm._inlineRAP,IFERROR(SimpleLookup($B17,Risks!$A:$BH),""),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IF(_xlpm._calculatedValue&gt;=_xlpm._inlineValue,$AD17,
_xlpm._mitigationSheetName&amp;" sheet "&amp;_xlfn.UNICHAR(8702)&amp;" Comment column:"&amp;CHAR(10)&amp;$AE17)))</f>
        <v/>
      </c>
      <c r="N17" s="33" t="str" cm="1">
        <f t="array" aca="1" ref="N17" ca="1">IF($AC17=-1,"",INDEX(Risks!CN:CN,$AC17))</f>
        <v>Basic</v>
      </c>
      <c r="O17" s="33" t="str" cm="1">
        <f t="array" aca="1" ref="O17" ca="1">IF($AC17=-1,"",INDEX(Risks!CO:CO,$AC17))</f>
        <v>No Risk</v>
      </c>
      <c r="P17" s="33" t="str">
        <f ca="1">IF($C17="","",IF($AF17&lt;=Definitions!$AF$6,Definitions!$M$4,""))</f>
        <v/>
      </c>
      <c r="Q17" s="23"/>
      <c r="R17" s="33" t="str">
        <f t="shared" ca="1" si="0"/>
        <v/>
      </c>
      <c r="S17" s="23"/>
      <c r="T17" s="13"/>
      <c r="U17" s="10" cm="1">
        <f t="array" aca="1" ref="U17" ca="1">GenerateShadowID(ROW(),$U$5,$U:$U,0,B17&lt;&gt;"")</f>
        <v>0</v>
      </c>
      <c r="V17" s="10" cm="1">
        <f t="array" ref="V17">CreateTaskID($V$5,$V:$V,Tasks!$B$17,$T17)</f>
        <v>0</v>
      </c>
      <c r="W17" s="14" t="str" cm="1">
        <f t="array" aca="1" ref="W17" ca="1">IF($B17="","",SimpleLookup($B17,'Risk Treatment'!$C:$AW))</f>
        <v/>
      </c>
      <c r="X17" s="14" t="str" cm="1">
        <f t="array" aca="1" ref="X17" ca="1">IF($B17="","",_xlfn.LET(_xlpm._attackSteps,SimpleLookup($B17,'Risk Treatment'!$C:$Y),GetValues(_xlpm._attackSteps,Mitigation!$A:$AG,"",CHAR(1),FALSE)))</f>
        <v/>
      </c>
      <c r="Y17" s="14" t="str" cm="1">
        <f t="array" aca="1" ref="Y17"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ParseInlineMitigationString(_xlpm._remainingString,_xlpm._delimiter))))($X17,CHAR(1))</f>
        <v/>
      </c>
      <c r="Z17" s="14" t="str" cm="1">
        <f t="array" aca="1" ref="Z17" ca="1">FilterElementsFromList($W17,Helper!$J$4,TRUE,",")</f>
        <v/>
      </c>
      <c r="AA17" s="14" t="str" cm="1">
        <f t="array" aca="1" ref="AA17" ca="1">FilterElementsFromList($Y17,Helper!$J$4,TRUE,",")</f>
        <v/>
      </c>
      <c r="AB17" s="20" t="str" cm="1">
        <f t="array" aca="1" ref="AB17"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CreateConfirmedInlineMitigations(_xlpm._remainingString,_xlpm._confirmedCandAIDs,_xlpm._delimiterSearchString,_xlpm._delimiterResultString))))($X17,CreateSearchString($AA17),CHAR(1),","&amp;CHAR(10))</f>
        <v/>
      </c>
      <c r="AC17" s="20">
        <f ca="1">IFERROR(MATCH($B17,Risks!$A:$A,0),-1)</f>
        <v>3</v>
      </c>
      <c r="AD17" s="20" t="str" cm="1">
        <f t="array" aca="1" ref="AD17" ca="1">IF($B17="","",_xlfn.LET(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_xlpm._factorFunction($B17,Risks!$A:CA,Definitions!$Y:$Y,Definitions!$AB:$AB,1)&amp;CHAR(10)&amp;
_xlpm._factorFunction($B17,Risks!$A:CB,Definitions!$Y:$Y,Definitions!$AB:$AB,2)&amp;CHAR(10)&amp;
_xlpm._factorFunction($B17,Risks!$A:CC,Definitions!$Y:$Y,Definitions!$AB:$AB,3)&amp;CHAR(10)&amp;
_xlpm._factorFunction($B17,Risks!$A:CD,Definitions!$Y:$Y,Definitions!$AB:$AB,4)&amp;CHAR(10)&amp;
_xlpm._factorFunction($B17,Risks!$A:CE,Definitions!$Y:$Y,Definitions!$AB:$AB,5)))</f>
        <v/>
      </c>
      <c r="AE17" s="20" t="str" cm="1">
        <f t="array" aca="1" ref="AE17" ca="1">RemoveDelimiter(SUBSTITUTE(SUBSTITUTE($AB17,"{",""),"}",""),","&amp;CHAR(10))</f>
        <v/>
      </c>
      <c r="AF17" s="20" cm="1">
        <f t="array" aca="1" ref="AF17" ca="1">IF($O17="",0,SimpleLookup($O17,Definitions!$AE:$AF))</f>
        <v>0</v>
      </c>
    </row>
    <row r="18" spans="2:32" x14ac:dyDescent="0.25">
      <c r="B18" s="16" t="str">
        <f ca="1">OFFSET(Risks!$A$2,ROW()-ROW($B$5),0)</f>
        <v/>
      </c>
      <c r="C18" s="33" t="str" cm="1">
        <f t="array" aca="1" ref="C18" ca="1">IF($B18="","",IFERROR(SimpleLookup($B18,'Risk Treatment'!$C:D),"Please ensure that all risks are covered in the "&amp;Helper!$G$14&amp;" sheet. Currently, these risks are not covered: "&amp;'Risk Treatment'!$D$2&amp;"."))</f>
        <v/>
      </c>
      <c r="D18" s="37" t="str" cm="1">
        <f t="array" aca="1" ref="D18" ca="1">IF($B18="","",IFERROR(SimpleLookup($B18,'Risk Treatment'!$C:K),"Please ensure that all risks are covered in the "&amp;Helper!$G$14&amp;" sheet. Currently, these risks are not covered: "&amp;'Risk Treatment'!$D$2&amp;"."))</f>
        <v/>
      </c>
      <c r="E18" s="16" t="str" cm="1">
        <f t="array" aca="1" ref="E18" ca="1">IF($B18="","",IFERROR(SimpleLookup($B18,'Risk Treatment'!$C:L),"Please ensure that all risks are covered in the "&amp;Helper!$G$14&amp;" sheet. Currently, these risks are not covered: "&amp;'Risk Treatment'!$D$2&amp;"."))</f>
        <v/>
      </c>
      <c r="F18" s="34" t="str" cm="1">
        <f t="array" aca="1" ref="F18" ca="1">IF($B18="","",IFERROR(SimpleLookup($B18,'Risk Treatment'!$C:M),"Please ensure that all risks are covered in the "&amp;Helper!$G$14&amp;" sheet. Currently, these risks are not covered: "&amp;'Risk Treatment'!$D$2&amp;"."))</f>
        <v/>
      </c>
      <c r="G18" s="16" t="str" cm="1">
        <f t="array" aca="1" ref="G18" ca="1">IF($B18="","",IFERROR(SimpleLookup($B18,'Risk Treatment'!$C:N),"Please ensure that all risks are covered in the "&amp;Helper!$G$14&amp;" sheet. Currently, these risks are not covered: "&amp;'Risk Treatment'!$D$2&amp;"."))</f>
        <v/>
      </c>
      <c r="H18" s="16" t="str" cm="1">
        <f t="array" aca="1" ref="H18" ca="1">IF($B18="","",IFERROR(SimpleLookup($B18,'Risk Treatment'!$C:J),"Please ensure that all risks are covered in the "&amp;Helper!$G$14&amp;" sheet. Currently, these risks are not covered: "&amp;'Risk Treatment'!$D$2&amp;"."))</f>
        <v/>
      </c>
      <c r="I18" s="33" t="str" cm="1">
        <f t="array" aca="1" ref="I18" ca="1">IF($B18="","",IFERROR(SimpleLookup($B18,'Risk Treatment'!$C:O),"Please ensure that all risks are covered in the "&amp;Helper!$G$14&amp;" sheet. Currently, these risks are not covered: "&amp;'Risk Treatment'!$D$2&amp;"."))</f>
        <v/>
      </c>
      <c r="J18" s="33" t="str" cm="1">
        <f t="array" aca="1" ref="J18" ca="1">_xlfn.LET(
_xlpm._assignedMitigations,IF($B18="","",IFERROR(RemoveDelimiter(GetValuesWithFallback($Z18,Countermeasures!$A:$B,Assumptions!$A:$B," ",","&amp;CHAR(10),TRUE),","&amp;CHAR(10)),"Error: Unknown risk ID "&amp;$B18)),
_xlpm._inlineMitigations,$AE18,
_xlpm._assignedMitigations&amp;
IF(OR(_xlpm._assignedMitigations="",_xlpm._inlineMitigations=""),"",","&amp;CHAR(10))&amp;
_xlpm._inlineMitigations)</f>
        <v/>
      </c>
      <c r="K18" s="37" t="str" cm="1">
        <f t="array" aca="1" ref="K18" ca="1">IF($AC18=-1,"",RemoveDelimiter(GetValues(INDEX(Risks!BN:BN,$AC18),'DS Overview'!$A:$B," ",","&amp;CHAR(10),TRUE),","&amp;CHAR(10)))</f>
        <v/>
      </c>
      <c r="L18" s="33" t="str" cm="1">
        <f t="array" aca="1" ref="L18" ca="1">IF($AC18=-1,"",INDEX(Risks!BP:BP,$AC18))</f>
        <v/>
      </c>
      <c r="M18" s="34" t="str" cm="1">
        <f t="array" aca="1" ref="M18" ca="1">_xlfn.LET(
_xlpm._calculatedRAP,IFERROR(SimpleLookup($B18,Risks!$A:$BG),""),
_xlpm._inlineRAP,IFERROR(SimpleLookup($B18,Risks!$A:$BH),""),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IF(_xlpm._calculatedValue&gt;=_xlpm._inlineValue,$AD18,
_xlpm._mitigationSheetName&amp;" sheet "&amp;_xlfn.UNICHAR(8702)&amp;" Comment column:"&amp;CHAR(10)&amp;$AE18)))</f>
        <v/>
      </c>
      <c r="N18" s="33" t="str" cm="1">
        <f t="array" aca="1" ref="N18" ca="1">IF($AC18=-1,"",INDEX(Risks!CN:CN,$AC18))</f>
        <v>Basic</v>
      </c>
      <c r="O18" s="33" t="str" cm="1">
        <f t="array" aca="1" ref="O18" ca="1">IF($AC18=-1,"",INDEX(Risks!CO:CO,$AC18))</f>
        <v>No Risk</v>
      </c>
      <c r="P18" s="33" t="str">
        <f ca="1">IF($C18="","",IF($AF18&lt;=Definitions!$AF$6,Definitions!$M$4,""))</f>
        <v/>
      </c>
      <c r="Q18" s="23"/>
      <c r="R18" s="33" t="str">
        <f t="shared" ca="1" si="0"/>
        <v/>
      </c>
      <c r="S18" s="23"/>
      <c r="T18" s="13"/>
      <c r="U18" s="10" cm="1">
        <f t="array" aca="1" ref="U18" ca="1">GenerateShadowID(ROW(),$U$5,$U:$U,0,B18&lt;&gt;"")</f>
        <v>0</v>
      </c>
      <c r="V18" s="10" cm="1">
        <f t="array" ref="V18">CreateTaskID($V$5,$V:$V,Tasks!$B$17,$T18)</f>
        <v>0</v>
      </c>
      <c r="W18" s="14" t="str" cm="1">
        <f t="array" aca="1" ref="W18" ca="1">IF($B18="","",SimpleLookup($B18,'Risk Treatment'!$C:$AW))</f>
        <v/>
      </c>
      <c r="X18" s="14" t="str" cm="1">
        <f t="array" aca="1" ref="X18" ca="1">IF($B18="","",_xlfn.LET(_xlpm._attackSteps,SimpleLookup($B18,'Risk Treatment'!$C:$Y),GetValues(_xlpm._attackSteps,Mitigation!$A:$AG,"",CHAR(1),FALSE)))</f>
        <v/>
      </c>
      <c r="Y18" s="14" t="str" cm="1">
        <f t="array" aca="1" ref="Y18"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ParseInlineMitigationString(_xlpm._remainingString,_xlpm._delimiter))))($X18,CHAR(1))</f>
        <v/>
      </c>
      <c r="Z18" s="14" t="str" cm="1">
        <f t="array" aca="1" ref="Z18" ca="1">FilterElementsFromList($W18,Helper!$J$4,TRUE,",")</f>
        <v/>
      </c>
      <c r="AA18" s="14" t="str" cm="1">
        <f t="array" aca="1" ref="AA18" ca="1">FilterElementsFromList($Y18,Helper!$J$4,TRUE,",")</f>
        <v/>
      </c>
      <c r="AB18" s="20" t="str" cm="1">
        <f t="array" aca="1" ref="AB18"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CreateConfirmedInlineMitigations(_xlpm._remainingString,_xlpm._confirmedCandAIDs,_xlpm._delimiterSearchString,_xlpm._delimiterResultString))))($X18,CreateSearchString($AA18),CHAR(1),","&amp;CHAR(10))</f>
        <v/>
      </c>
      <c r="AC18" s="20">
        <f ca="1">IFERROR(MATCH($B18,Risks!$A:$A,0),-1)</f>
        <v>3</v>
      </c>
      <c r="AD18" s="20" t="str" cm="1">
        <f t="array" aca="1" ref="AD18" ca="1">IF($B18="","",_xlfn.LET(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_xlpm._factorFunction($B18,Risks!$A:CA,Definitions!$Y:$Y,Definitions!$AB:$AB,1)&amp;CHAR(10)&amp;
_xlpm._factorFunction($B18,Risks!$A:CB,Definitions!$Y:$Y,Definitions!$AB:$AB,2)&amp;CHAR(10)&amp;
_xlpm._factorFunction($B18,Risks!$A:CC,Definitions!$Y:$Y,Definitions!$AB:$AB,3)&amp;CHAR(10)&amp;
_xlpm._factorFunction($B18,Risks!$A:CD,Definitions!$Y:$Y,Definitions!$AB:$AB,4)&amp;CHAR(10)&amp;
_xlpm._factorFunction($B18,Risks!$A:CE,Definitions!$Y:$Y,Definitions!$AB:$AB,5)))</f>
        <v/>
      </c>
      <c r="AE18" s="20" t="str" cm="1">
        <f t="array" aca="1" ref="AE18" ca="1">RemoveDelimiter(SUBSTITUTE(SUBSTITUTE($AB18,"{",""),"}",""),","&amp;CHAR(10))</f>
        <v/>
      </c>
      <c r="AF18" s="20" cm="1">
        <f t="array" aca="1" ref="AF18" ca="1">IF($O18="",0,SimpleLookup($O18,Definitions!$AE:$AF))</f>
        <v>0</v>
      </c>
    </row>
    <row r="19" spans="2:32" x14ac:dyDescent="0.25">
      <c r="B19" s="16" t="str">
        <f ca="1">OFFSET(Risks!$A$2,ROW()-ROW($B$5),0)</f>
        <v/>
      </c>
      <c r="C19" s="33" t="str" cm="1">
        <f t="array" aca="1" ref="C19" ca="1">IF($B19="","",IFERROR(SimpleLookup($B19,'Risk Treatment'!$C:D),"Please ensure that all risks are covered in the "&amp;Helper!$G$14&amp;" sheet. Currently, these risks are not covered: "&amp;'Risk Treatment'!$D$2&amp;"."))</f>
        <v/>
      </c>
      <c r="D19" s="37" t="str" cm="1">
        <f t="array" aca="1" ref="D19" ca="1">IF($B19="","",IFERROR(SimpleLookup($B19,'Risk Treatment'!$C:K),"Please ensure that all risks are covered in the "&amp;Helper!$G$14&amp;" sheet. Currently, these risks are not covered: "&amp;'Risk Treatment'!$D$2&amp;"."))</f>
        <v/>
      </c>
      <c r="E19" s="16" t="str" cm="1">
        <f t="array" aca="1" ref="E19" ca="1">IF($B19="","",IFERROR(SimpleLookup($B19,'Risk Treatment'!$C:L),"Please ensure that all risks are covered in the "&amp;Helper!$G$14&amp;" sheet. Currently, these risks are not covered: "&amp;'Risk Treatment'!$D$2&amp;"."))</f>
        <v/>
      </c>
      <c r="F19" s="34" t="str" cm="1">
        <f t="array" aca="1" ref="F19" ca="1">IF($B19="","",IFERROR(SimpleLookup($B19,'Risk Treatment'!$C:M),"Please ensure that all risks are covered in the "&amp;Helper!$G$14&amp;" sheet. Currently, these risks are not covered: "&amp;'Risk Treatment'!$D$2&amp;"."))</f>
        <v/>
      </c>
      <c r="G19" s="16" t="str" cm="1">
        <f t="array" aca="1" ref="G19" ca="1">IF($B19="","",IFERROR(SimpleLookup($B19,'Risk Treatment'!$C:N),"Please ensure that all risks are covered in the "&amp;Helper!$G$14&amp;" sheet. Currently, these risks are not covered: "&amp;'Risk Treatment'!$D$2&amp;"."))</f>
        <v/>
      </c>
      <c r="H19" s="16" t="str" cm="1">
        <f t="array" aca="1" ref="H19" ca="1">IF($B19="","",IFERROR(SimpleLookup($B19,'Risk Treatment'!$C:J),"Please ensure that all risks are covered in the "&amp;Helper!$G$14&amp;" sheet. Currently, these risks are not covered: "&amp;'Risk Treatment'!$D$2&amp;"."))</f>
        <v/>
      </c>
      <c r="I19" s="33" t="str" cm="1">
        <f t="array" aca="1" ref="I19" ca="1">IF($B19="","",IFERROR(SimpleLookup($B19,'Risk Treatment'!$C:O),"Please ensure that all risks are covered in the "&amp;Helper!$G$14&amp;" sheet. Currently, these risks are not covered: "&amp;'Risk Treatment'!$D$2&amp;"."))</f>
        <v/>
      </c>
      <c r="J19" s="33" t="str" cm="1">
        <f t="array" aca="1" ref="J19" ca="1">_xlfn.LET(
_xlpm._assignedMitigations,IF($B19="","",IFERROR(RemoveDelimiter(GetValuesWithFallback($Z19,Countermeasures!$A:$B,Assumptions!$A:$B," ",","&amp;CHAR(10),TRUE),","&amp;CHAR(10)),"Error: Unknown risk ID "&amp;$B19)),
_xlpm._inlineMitigations,$AE19,
_xlpm._assignedMitigations&amp;
IF(OR(_xlpm._assignedMitigations="",_xlpm._inlineMitigations=""),"",","&amp;CHAR(10))&amp;
_xlpm._inlineMitigations)</f>
        <v/>
      </c>
      <c r="K19" s="37" t="str" cm="1">
        <f t="array" aca="1" ref="K19" ca="1">IF($AC19=-1,"",RemoveDelimiter(GetValues(INDEX(Risks!BN:BN,$AC19),'DS Overview'!$A:$B," ",","&amp;CHAR(10),TRUE),","&amp;CHAR(10)))</f>
        <v/>
      </c>
      <c r="L19" s="33" t="str" cm="1">
        <f t="array" aca="1" ref="L19" ca="1">IF($AC19=-1,"",INDEX(Risks!BP:BP,$AC19))</f>
        <v/>
      </c>
      <c r="M19" s="34" t="str" cm="1">
        <f t="array" aca="1" ref="M19" ca="1">_xlfn.LET(
_xlpm._calculatedRAP,IFERROR(SimpleLookup($B19,Risks!$A:$BG),""),
_xlpm._inlineRAP,IFERROR(SimpleLookup($B19,Risks!$A:$BH),""),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IF(_xlpm._calculatedValue&gt;=_xlpm._inlineValue,$AD19,
_xlpm._mitigationSheetName&amp;" sheet "&amp;_xlfn.UNICHAR(8702)&amp;" Comment column:"&amp;CHAR(10)&amp;$AE19)))</f>
        <v/>
      </c>
      <c r="N19" s="33" t="str" cm="1">
        <f t="array" aca="1" ref="N19" ca="1">IF($AC19=-1,"",INDEX(Risks!CN:CN,$AC19))</f>
        <v>Basic</v>
      </c>
      <c r="O19" s="33" t="str" cm="1">
        <f t="array" aca="1" ref="O19" ca="1">IF($AC19=-1,"",INDEX(Risks!CO:CO,$AC19))</f>
        <v>No Risk</v>
      </c>
      <c r="P19" s="33" t="str">
        <f ca="1">IF($C19="","",IF($AF19&lt;=Definitions!$AF$6,Definitions!$M$4,""))</f>
        <v/>
      </c>
      <c r="Q19" s="23"/>
      <c r="R19" s="33" t="str">
        <f t="shared" ca="1" si="0"/>
        <v/>
      </c>
      <c r="S19" s="23"/>
      <c r="T19" s="13"/>
      <c r="U19" s="10" cm="1">
        <f t="array" aca="1" ref="U19" ca="1">GenerateShadowID(ROW(),$U$5,$U:$U,0,B19&lt;&gt;"")</f>
        <v>0</v>
      </c>
      <c r="V19" s="10" cm="1">
        <f t="array" ref="V19">CreateTaskID($V$5,$V:$V,Tasks!$B$17,$T19)</f>
        <v>0</v>
      </c>
      <c r="W19" s="14" t="str" cm="1">
        <f t="array" aca="1" ref="W19" ca="1">IF($B19="","",SimpleLookup($B19,'Risk Treatment'!$C:$AW))</f>
        <v/>
      </c>
      <c r="X19" s="14" t="str" cm="1">
        <f t="array" aca="1" ref="X19" ca="1">IF($B19="","",_xlfn.LET(_xlpm._attackSteps,SimpleLookup($B19,'Risk Treatment'!$C:$Y),GetValues(_xlpm._attackSteps,Mitigation!$A:$AG,"",CHAR(1),FALSE)))</f>
        <v/>
      </c>
      <c r="Y19" s="14" t="str" cm="1">
        <f t="array" aca="1" ref="Y19"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ParseInlineMitigationString(_xlpm._remainingString,_xlpm._delimiter))))($X19,CHAR(1))</f>
        <v/>
      </c>
      <c r="Z19" s="14" t="str" cm="1">
        <f t="array" aca="1" ref="Z19" ca="1">FilterElementsFromList($W19,Helper!$J$4,TRUE,",")</f>
        <v/>
      </c>
      <c r="AA19" s="14" t="str" cm="1">
        <f t="array" aca="1" ref="AA19" ca="1">FilterElementsFromList($Y19,Helper!$J$4,TRUE,",")</f>
        <v/>
      </c>
      <c r="AB19" s="20" t="str" cm="1">
        <f t="array" aca="1" ref="AB19"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CreateConfirmedInlineMitigations(_xlpm._remainingString,_xlpm._confirmedCandAIDs,_xlpm._delimiterSearchString,_xlpm._delimiterResultString))))($X19,CreateSearchString($AA19),CHAR(1),","&amp;CHAR(10))</f>
        <v/>
      </c>
      <c r="AC19" s="20">
        <f ca="1">IFERROR(MATCH($B19,Risks!$A:$A,0),-1)</f>
        <v>3</v>
      </c>
      <c r="AD19" s="20" t="str" cm="1">
        <f t="array" aca="1" ref="AD19" ca="1">IF($B19="","",_xlfn.LET(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_xlpm._factorFunction($B19,Risks!$A:CA,Definitions!$Y:$Y,Definitions!$AB:$AB,1)&amp;CHAR(10)&amp;
_xlpm._factorFunction($B19,Risks!$A:CB,Definitions!$Y:$Y,Definitions!$AB:$AB,2)&amp;CHAR(10)&amp;
_xlpm._factorFunction($B19,Risks!$A:CC,Definitions!$Y:$Y,Definitions!$AB:$AB,3)&amp;CHAR(10)&amp;
_xlpm._factorFunction($B19,Risks!$A:CD,Definitions!$Y:$Y,Definitions!$AB:$AB,4)&amp;CHAR(10)&amp;
_xlpm._factorFunction($B19,Risks!$A:CE,Definitions!$Y:$Y,Definitions!$AB:$AB,5)))</f>
        <v/>
      </c>
      <c r="AE19" s="20" t="str" cm="1">
        <f t="array" aca="1" ref="AE19" ca="1">RemoveDelimiter(SUBSTITUTE(SUBSTITUTE($AB19,"{",""),"}",""),","&amp;CHAR(10))</f>
        <v/>
      </c>
      <c r="AF19" s="20" cm="1">
        <f t="array" aca="1" ref="AF19" ca="1">IF($O19="",0,SimpleLookup($O19,Definitions!$AE:$AF))</f>
        <v>0</v>
      </c>
    </row>
    <row r="20" spans="2:32" x14ac:dyDescent="0.25">
      <c r="B20" s="16" t="str">
        <f ca="1">OFFSET(Risks!$A$2,ROW()-ROW($B$5),0)</f>
        <v/>
      </c>
      <c r="C20" s="33" t="str" cm="1">
        <f t="array" aca="1" ref="C20" ca="1">IF($B20="","",IFERROR(SimpleLookup($B20,'Risk Treatment'!$C:D),"Please ensure that all risks are covered in the "&amp;Helper!$G$14&amp;" sheet. Currently, these risks are not covered: "&amp;'Risk Treatment'!$D$2&amp;"."))</f>
        <v/>
      </c>
      <c r="D20" s="37" t="str" cm="1">
        <f t="array" aca="1" ref="D20" ca="1">IF($B20="","",IFERROR(SimpleLookup($B20,'Risk Treatment'!$C:K),"Please ensure that all risks are covered in the "&amp;Helper!$G$14&amp;" sheet. Currently, these risks are not covered: "&amp;'Risk Treatment'!$D$2&amp;"."))</f>
        <v/>
      </c>
      <c r="E20" s="16" t="str" cm="1">
        <f t="array" aca="1" ref="E20" ca="1">IF($B20="","",IFERROR(SimpleLookup($B20,'Risk Treatment'!$C:L),"Please ensure that all risks are covered in the "&amp;Helper!$G$14&amp;" sheet. Currently, these risks are not covered: "&amp;'Risk Treatment'!$D$2&amp;"."))</f>
        <v/>
      </c>
      <c r="F20" s="34" t="str" cm="1">
        <f t="array" aca="1" ref="F20" ca="1">IF($B20="","",IFERROR(SimpleLookup($B20,'Risk Treatment'!$C:M),"Please ensure that all risks are covered in the "&amp;Helper!$G$14&amp;" sheet. Currently, these risks are not covered: "&amp;'Risk Treatment'!$D$2&amp;"."))</f>
        <v/>
      </c>
      <c r="G20" s="16" t="str" cm="1">
        <f t="array" aca="1" ref="G20" ca="1">IF($B20="","",IFERROR(SimpleLookup($B20,'Risk Treatment'!$C:N),"Please ensure that all risks are covered in the "&amp;Helper!$G$14&amp;" sheet. Currently, these risks are not covered: "&amp;'Risk Treatment'!$D$2&amp;"."))</f>
        <v/>
      </c>
      <c r="H20" s="16" t="str" cm="1">
        <f t="array" aca="1" ref="H20" ca="1">IF($B20="","",IFERROR(SimpleLookup($B20,'Risk Treatment'!$C:J),"Please ensure that all risks are covered in the "&amp;Helper!$G$14&amp;" sheet. Currently, these risks are not covered: "&amp;'Risk Treatment'!$D$2&amp;"."))</f>
        <v/>
      </c>
      <c r="I20" s="33" t="str" cm="1">
        <f t="array" aca="1" ref="I20" ca="1">IF($B20="","",IFERROR(SimpleLookup($B20,'Risk Treatment'!$C:O),"Please ensure that all risks are covered in the "&amp;Helper!$G$14&amp;" sheet. Currently, these risks are not covered: "&amp;'Risk Treatment'!$D$2&amp;"."))</f>
        <v/>
      </c>
      <c r="J20" s="33" t="str" cm="1">
        <f t="array" aca="1" ref="J20" ca="1">_xlfn.LET(
_xlpm._assignedMitigations,IF($B20="","",IFERROR(RemoveDelimiter(GetValuesWithFallback($Z20,Countermeasures!$A:$B,Assumptions!$A:$B," ",","&amp;CHAR(10),TRUE),","&amp;CHAR(10)),"Error: Unknown risk ID "&amp;$B20)),
_xlpm._inlineMitigations,$AE20,
_xlpm._assignedMitigations&amp;
IF(OR(_xlpm._assignedMitigations="",_xlpm._inlineMitigations=""),"",","&amp;CHAR(10))&amp;
_xlpm._inlineMitigations)</f>
        <v/>
      </c>
      <c r="K20" s="37" t="str" cm="1">
        <f t="array" aca="1" ref="K20" ca="1">IF($AC20=-1,"",RemoveDelimiter(GetValues(INDEX(Risks!BN:BN,$AC20),'DS Overview'!$A:$B," ",","&amp;CHAR(10),TRUE),","&amp;CHAR(10)))</f>
        <v/>
      </c>
      <c r="L20" s="33" t="str" cm="1">
        <f t="array" aca="1" ref="L20" ca="1">IF($AC20=-1,"",INDEX(Risks!BP:BP,$AC20))</f>
        <v/>
      </c>
      <c r="M20" s="34" t="str" cm="1">
        <f t="array" aca="1" ref="M20" ca="1">_xlfn.LET(
_xlpm._calculatedRAP,IFERROR(SimpleLookup($B20,Risks!$A:$BG),""),
_xlpm._inlineRAP,IFERROR(SimpleLookup($B20,Risks!$A:$BH),""),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IF(_xlpm._calculatedValue&gt;=_xlpm._inlineValue,$AD20,
_xlpm._mitigationSheetName&amp;" sheet "&amp;_xlfn.UNICHAR(8702)&amp;" Comment column:"&amp;CHAR(10)&amp;$AE20)))</f>
        <v/>
      </c>
      <c r="N20" s="33" t="str" cm="1">
        <f t="array" aca="1" ref="N20" ca="1">IF($AC20=-1,"",INDEX(Risks!CN:CN,$AC20))</f>
        <v>Basic</v>
      </c>
      <c r="O20" s="33" t="str" cm="1">
        <f t="array" aca="1" ref="O20" ca="1">IF($AC20=-1,"",INDEX(Risks!CO:CO,$AC20))</f>
        <v>No Risk</v>
      </c>
      <c r="P20" s="33" t="str">
        <f ca="1">IF($C20="","",IF($AF20&lt;=Definitions!$AF$6,Definitions!$M$4,""))</f>
        <v/>
      </c>
      <c r="Q20" s="23"/>
      <c r="R20" s="33" t="str">
        <f t="shared" ca="1" si="0"/>
        <v/>
      </c>
      <c r="S20" s="23"/>
      <c r="T20" s="13"/>
      <c r="U20" s="10" cm="1">
        <f t="array" aca="1" ref="U20" ca="1">GenerateShadowID(ROW(),$U$5,$U:$U,0,B20&lt;&gt;"")</f>
        <v>0</v>
      </c>
      <c r="V20" s="10" cm="1">
        <f t="array" ref="V20">CreateTaskID($V$5,$V:$V,Tasks!$B$17,$T20)</f>
        <v>0</v>
      </c>
      <c r="W20" s="14" t="str" cm="1">
        <f t="array" aca="1" ref="W20" ca="1">IF($B20="","",SimpleLookup($B20,'Risk Treatment'!$C:$AW))</f>
        <v/>
      </c>
      <c r="X20" s="14" t="str" cm="1">
        <f t="array" aca="1" ref="X20" ca="1">IF($B20="","",_xlfn.LET(_xlpm._attackSteps,SimpleLookup($B20,'Risk Treatment'!$C:$Y),GetValues(_xlpm._attackSteps,Mitigation!$A:$AG,"",CHAR(1),FALSE)))</f>
        <v/>
      </c>
      <c r="Y20" s="14" t="str" cm="1">
        <f t="array" aca="1" ref="Y20"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ParseInlineMitigationString(_xlpm._remainingString,_xlpm._delimiter))))($X20,CHAR(1))</f>
        <v/>
      </c>
      <c r="Z20" s="14" t="str" cm="1">
        <f t="array" aca="1" ref="Z20" ca="1">FilterElementsFromList($W20,Helper!$J$4,TRUE,",")</f>
        <v/>
      </c>
      <c r="AA20" s="14" t="str" cm="1">
        <f t="array" aca="1" ref="AA20" ca="1">FilterElementsFromList($Y20,Helper!$J$4,TRUE,",")</f>
        <v/>
      </c>
      <c r="AB20" s="20" t="str" cm="1">
        <f t="array" aca="1" ref="AB20"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CreateConfirmedInlineMitigations(_xlpm._remainingString,_xlpm._confirmedCandAIDs,_xlpm._delimiterSearchString,_xlpm._delimiterResultString))))($X20,CreateSearchString($AA20),CHAR(1),","&amp;CHAR(10))</f>
        <v/>
      </c>
      <c r="AC20" s="20">
        <f ca="1">IFERROR(MATCH($B20,Risks!$A:$A,0),-1)</f>
        <v>3</v>
      </c>
      <c r="AD20" s="20" t="str" cm="1">
        <f t="array" aca="1" ref="AD20" ca="1">IF($B20="","",_xlfn.LET(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_xlpm._factorFunction($B20,Risks!$A:CA,Definitions!$Y:$Y,Definitions!$AB:$AB,1)&amp;CHAR(10)&amp;
_xlpm._factorFunction($B20,Risks!$A:CB,Definitions!$Y:$Y,Definitions!$AB:$AB,2)&amp;CHAR(10)&amp;
_xlpm._factorFunction($B20,Risks!$A:CC,Definitions!$Y:$Y,Definitions!$AB:$AB,3)&amp;CHAR(10)&amp;
_xlpm._factorFunction($B20,Risks!$A:CD,Definitions!$Y:$Y,Definitions!$AB:$AB,4)&amp;CHAR(10)&amp;
_xlpm._factorFunction($B20,Risks!$A:CE,Definitions!$Y:$Y,Definitions!$AB:$AB,5)))</f>
        <v/>
      </c>
      <c r="AE20" s="20" t="str" cm="1">
        <f t="array" aca="1" ref="AE20" ca="1">RemoveDelimiter(SUBSTITUTE(SUBSTITUTE($AB20,"{",""),"}",""),","&amp;CHAR(10))</f>
        <v/>
      </c>
      <c r="AF20" s="20" cm="1">
        <f t="array" aca="1" ref="AF20" ca="1">IF($O20="",0,SimpleLookup($O20,Definitions!$AE:$AF))</f>
        <v>0</v>
      </c>
    </row>
    <row r="21" spans="2:32" x14ac:dyDescent="0.25">
      <c r="B21" s="16" t="str">
        <f ca="1">OFFSET(Risks!$A$2,ROW()-ROW($B$5),0)</f>
        <v/>
      </c>
      <c r="C21" s="33" t="str" cm="1">
        <f t="array" aca="1" ref="C21" ca="1">IF($B21="","",IFERROR(SimpleLookup($B21,'Risk Treatment'!$C:D),"Please ensure that all risks are covered in the "&amp;Helper!$G$14&amp;" sheet. Currently, these risks are not covered: "&amp;'Risk Treatment'!$D$2&amp;"."))</f>
        <v/>
      </c>
      <c r="D21" s="37" t="str" cm="1">
        <f t="array" aca="1" ref="D21" ca="1">IF($B21="","",IFERROR(SimpleLookup($B21,'Risk Treatment'!$C:K),"Please ensure that all risks are covered in the "&amp;Helper!$G$14&amp;" sheet. Currently, these risks are not covered: "&amp;'Risk Treatment'!$D$2&amp;"."))</f>
        <v/>
      </c>
      <c r="E21" s="16" t="str" cm="1">
        <f t="array" aca="1" ref="E21" ca="1">IF($B21="","",IFERROR(SimpleLookup($B21,'Risk Treatment'!$C:L),"Please ensure that all risks are covered in the "&amp;Helper!$G$14&amp;" sheet. Currently, these risks are not covered: "&amp;'Risk Treatment'!$D$2&amp;"."))</f>
        <v/>
      </c>
      <c r="F21" s="34" t="str" cm="1">
        <f t="array" aca="1" ref="F21" ca="1">IF($B21="","",IFERROR(SimpleLookup($B21,'Risk Treatment'!$C:M),"Please ensure that all risks are covered in the "&amp;Helper!$G$14&amp;" sheet. Currently, these risks are not covered: "&amp;'Risk Treatment'!$D$2&amp;"."))</f>
        <v/>
      </c>
      <c r="G21" s="16" t="str" cm="1">
        <f t="array" aca="1" ref="G21" ca="1">IF($B21="","",IFERROR(SimpleLookup($B21,'Risk Treatment'!$C:N),"Please ensure that all risks are covered in the "&amp;Helper!$G$14&amp;" sheet. Currently, these risks are not covered: "&amp;'Risk Treatment'!$D$2&amp;"."))</f>
        <v/>
      </c>
      <c r="H21" s="16" t="str" cm="1">
        <f t="array" aca="1" ref="H21" ca="1">IF($B21="","",IFERROR(SimpleLookup($B21,'Risk Treatment'!$C:J),"Please ensure that all risks are covered in the "&amp;Helper!$G$14&amp;" sheet. Currently, these risks are not covered: "&amp;'Risk Treatment'!$D$2&amp;"."))</f>
        <v/>
      </c>
      <c r="I21" s="33" t="str" cm="1">
        <f t="array" aca="1" ref="I21" ca="1">IF($B21="","",IFERROR(SimpleLookup($B21,'Risk Treatment'!$C:O),"Please ensure that all risks are covered in the "&amp;Helper!$G$14&amp;" sheet. Currently, these risks are not covered: "&amp;'Risk Treatment'!$D$2&amp;"."))</f>
        <v/>
      </c>
      <c r="J21" s="33" t="str" cm="1">
        <f t="array" aca="1" ref="J21" ca="1">_xlfn.LET(
_xlpm._assignedMitigations,IF($B21="","",IFERROR(RemoveDelimiter(GetValuesWithFallback($Z21,Countermeasures!$A:$B,Assumptions!$A:$B," ",","&amp;CHAR(10),TRUE),","&amp;CHAR(10)),"Error: Unknown risk ID "&amp;$B21)),
_xlpm._inlineMitigations,$AE21,
_xlpm._assignedMitigations&amp;
IF(OR(_xlpm._assignedMitigations="",_xlpm._inlineMitigations=""),"",","&amp;CHAR(10))&amp;
_xlpm._inlineMitigations)</f>
        <v/>
      </c>
      <c r="K21" s="37" t="str" cm="1">
        <f t="array" aca="1" ref="K21" ca="1">IF($AC21=-1,"",RemoveDelimiter(GetValues(INDEX(Risks!BN:BN,$AC21),'DS Overview'!$A:$B," ",","&amp;CHAR(10),TRUE),","&amp;CHAR(10)))</f>
        <v/>
      </c>
      <c r="L21" s="33" t="str" cm="1">
        <f t="array" aca="1" ref="L21" ca="1">IF($AC21=-1,"",INDEX(Risks!BP:BP,$AC21))</f>
        <v/>
      </c>
      <c r="M21" s="34" t="str" cm="1">
        <f t="array" aca="1" ref="M21" ca="1">_xlfn.LET(
_xlpm._calculatedRAP,IFERROR(SimpleLookup($B21,Risks!$A:$BG),""),
_xlpm._inlineRAP,IFERROR(SimpleLookup($B21,Risks!$A:$BH),""),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IF(_xlpm._calculatedValue&gt;=_xlpm._inlineValue,$AD21,
_xlpm._mitigationSheetName&amp;" sheet "&amp;_xlfn.UNICHAR(8702)&amp;" Comment column:"&amp;CHAR(10)&amp;$AE21)))</f>
        <v/>
      </c>
      <c r="N21" s="33" t="str" cm="1">
        <f t="array" aca="1" ref="N21" ca="1">IF($AC21=-1,"",INDEX(Risks!CN:CN,$AC21))</f>
        <v>Basic</v>
      </c>
      <c r="O21" s="33" t="str" cm="1">
        <f t="array" aca="1" ref="O21" ca="1">IF($AC21=-1,"",INDEX(Risks!CO:CO,$AC21))</f>
        <v>No Risk</v>
      </c>
      <c r="P21" s="33" t="str">
        <f ca="1">IF($C21="","",IF($AF21&lt;=Definitions!$AF$6,Definitions!$M$4,""))</f>
        <v/>
      </c>
      <c r="Q21" s="23"/>
      <c r="R21" s="33" t="str">
        <f t="shared" ca="1" si="0"/>
        <v/>
      </c>
      <c r="S21" s="23"/>
      <c r="T21" s="13"/>
      <c r="U21" s="10" cm="1">
        <f t="array" aca="1" ref="U21" ca="1">GenerateShadowID(ROW(),$U$5,$U:$U,0,B21&lt;&gt;"")</f>
        <v>0</v>
      </c>
      <c r="V21" s="10" cm="1">
        <f t="array" ref="V21">CreateTaskID($V$5,$V:$V,Tasks!$B$17,$T21)</f>
        <v>0</v>
      </c>
      <c r="W21" s="14" t="str" cm="1">
        <f t="array" aca="1" ref="W21" ca="1">IF($B21="","",SimpleLookup($B21,'Risk Treatment'!$C:$AW))</f>
        <v/>
      </c>
      <c r="X21" s="14" t="str" cm="1">
        <f t="array" aca="1" ref="X21" ca="1">IF($B21="","",_xlfn.LET(_xlpm._attackSteps,SimpleLookup($B21,'Risk Treatment'!$C:$Y),GetValues(_xlpm._attackSteps,Mitigation!$A:$AG,"",CHAR(1),FALSE)))</f>
        <v/>
      </c>
      <c r="Y21" s="14" t="str" cm="1">
        <f t="array" aca="1" ref="Y21"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ParseInlineMitigationString(_xlpm._remainingString,_xlpm._delimiter))))($X21,CHAR(1))</f>
        <v/>
      </c>
      <c r="Z21" s="14" t="str" cm="1">
        <f t="array" aca="1" ref="Z21" ca="1">FilterElementsFromList($W21,Helper!$J$4,TRUE,",")</f>
        <v/>
      </c>
      <c r="AA21" s="14" t="str" cm="1">
        <f t="array" aca="1" ref="AA21" ca="1">FilterElementsFromList($Y21,Helper!$J$4,TRUE,",")</f>
        <v/>
      </c>
      <c r="AB21" s="20" t="str" cm="1">
        <f t="array" aca="1" ref="AB21"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CreateConfirmedInlineMitigations(_xlpm._remainingString,_xlpm._confirmedCandAIDs,_xlpm._delimiterSearchString,_xlpm._delimiterResultString))))($X21,CreateSearchString($AA21),CHAR(1),","&amp;CHAR(10))</f>
        <v/>
      </c>
      <c r="AC21" s="20">
        <f ca="1">IFERROR(MATCH($B21,Risks!$A:$A,0),-1)</f>
        <v>3</v>
      </c>
      <c r="AD21" s="20" t="str" cm="1">
        <f t="array" aca="1" ref="AD21" ca="1">IF($B21="","",_xlfn.LET(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_xlpm._factorFunction($B21,Risks!$A:CA,Definitions!$Y:$Y,Definitions!$AB:$AB,1)&amp;CHAR(10)&amp;
_xlpm._factorFunction($B21,Risks!$A:CB,Definitions!$Y:$Y,Definitions!$AB:$AB,2)&amp;CHAR(10)&amp;
_xlpm._factorFunction($B21,Risks!$A:CC,Definitions!$Y:$Y,Definitions!$AB:$AB,3)&amp;CHAR(10)&amp;
_xlpm._factorFunction($B21,Risks!$A:CD,Definitions!$Y:$Y,Definitions!$AB:$AB,4)&amp;CHAR(10)&amp;
_xlpm._factorFunction($B21,Risks!$A:CE,Definitions!$Y:$Y,Definitions!$AB:$AB,5)))</f>
        <v/>
      </c>
      <c r="AE21" s="20" t="str" cm="1">
        <f t="array" aca="1" ref="AE21" ca="1">RemoveDelimiter(SUBSTITUTE(SUBSTITUTE($AB21,"{",""),"}",""),","&amp;CHAR(10))</f>
        <v/>
      </c>
      <c r="AF21" s="20" cm="1">
        <f t="array" aca="1" ref="AF21" ca="1">IF($O21="",0,SimpleLookup($O21,Definitions!$AE:$AF))</f>
        <v>0</v>
      </c>
    </row>
    <row r="22" spans="2:32" x14ac:dyDescent="0.25">
      <c r="B22" s="16" t="str">
        <f ca="1">OFFSET(Risks!$A$2,ROW()-ROW($B$5),0)</f>
        <v/>
      </c>
      <c r="C22" s="33" t="str" cm="1">
        <f t="array" aca="1" ref="C22" ca="1">IF($B22="","",IFERROR(SimpleLookup($B22,'Risk Treatment'!$C:D),"Please ensure that all risks are covered in the "&amp;Helper!$G$14&amp;" sheet. Currently, these risks are not covered: "&amp;'Risk Treatment'!$D$2&amp;"."))</f>
        <v/>
      </c>
      <c r="D22" s="37" t="str" cm="1">
        <f t="array" aca="1" ref="D22" ca="1">IF($B22="","",IFERROR(SimpleLookup($B22,'Risk Treatment'!$C:K),"Please ensure that all risks are covered in the "&amp;Helper!$G$14&amp;" sheet. Currently, these risks are not covered: "&amp;'Risk Treatment'!$D$2&amp;"."))</f>
        <v/>
      </c>
      <c r="E22" s="16" t="str" cm="1">
        <f t="array" aca="1" ref="E22" ca="1">IF($B22="","",IFERROR(SimpleLookup($B22,'Risk Treatment'!$C:L),"Please ensure that all risks are covered in the "&amp;Helper!$G$14&amp;" sheet. Currently, these risks are not covered: "&amp;'Risk Treatment'!$D$2&amp;"."))</f>
        <v/>
      </c>
      <c r="F22" s="34" t="str" cm="1">
        <f t="array" aca="1" ref="F22" ca="1">IF($B22="","",IFERROR(SimpleLookup($B22,'Risk Treatment'!$C:M),"Please ensure that all risks are covered in the "&amp;Helper!$G$14&amp;" sheet. Currently, these risks are not covered: "&amp;'Risk Treatment'!$D$2&amp;"."))</f>
        <v/>
      </c>
      <c r="G22" s="16" t="str" cm="1">
        <f t="array" aca="1" ref="G22" ca="1">IF($B22="","",IFERROR(SimpleLookup($B22,'Risk Treatment'!$C:N),"Please ensure that all risks are covered in the "&amp;Helper!$G$14&amp;" sheet. Currently, these risks are not covered: "&amp;'Risk Treatment'!$D$2&amp;"."))</f>
        <v/>
      </c>
      <c r="H22" s="16" t="str" cm="1">
        <f t="array" aca="1" ref="H22" ca="1">IF($B22="","",IFERROR(SimpleLookup($B22,'Risk Treatment'!$C:J),"Please ensure that all risks are covered in the "&amp;Helper!$G$14&amp;" sheet. Currently, these risks are not covered: "&amp;'Risk Treatment'!$D$2&amp;"."))</f>
        <v/>
      </c>
      <c r="I22" s="33" t="str" cm="1">
        <f t="array" aca="1" ref="I22" ca="1">IF($B22="","",IFERROR(SimpleLookup($B22,'Risk Treatment'!$C:O),"Please ensure that all risks are covered in the "&amp;Helper!$G$14&amp;" sheet. Currently, these risks are not covered: "&amp;'Risk Treatment'!$D$2&amp;"."))</f>
        <v/>
      </c>
      <c r="J22" s="33" t="str" cm="1">
        <f t="array" aca="1" ref="J22" ca="1">_xlfn.LET(
_xlpm._assignedMitigations,IF($B22="","",IFERROR(RemoveDelimiter(GetValuesWithFallback($Z22,Countermeasures!$A:$B,Assumptions!$A:$B," ",","&amp;CHAR(10),TRUE),","&amp;CHAR(10)),"Error: Unknown risk ID "&amp;$B22)),
_xlpm._inlineMitigations,$AE22,
_xlpm._assignedMitigations&amp;
IF(OR(_xlpm._assignedMitigations="",_xlpm._inlineMitigations=""),"",","&amp;CHAR(10))&amp;
_xlpm._inlineMitigations)</f>
        <v/>
      </c>
      <c r="K22" s="37" t="str" cm="1">
        <f t="array" aca="1" ref="K22" ca="1">IF($AC22=-1,"",RemoveDelimiter(GetValues(INDEX(Risks!BN:BN,$AC22),'DS Overview'!$A:$B," ",","&amp;CHAR(10),TRUE),","&amp;CHAR(10)))</f>
        <v/>
      </c>
      <c r="L22" s="33" t="str" cm="1">
        <f t="array" aca="1" ref="L22" ca="1">IF($AC22=-1,"",INDEX(Risks!BP:BP,$AC22))</f>
        <v/>
      </c>
      <c r="M22" s="34" t="str" cm="1">
        <f t="array" aca="1" ref="M22" ca="1">_xlfn.LET(
_xlpm._calculatedRAP,IFERROR(SimpleLookup($B22,Risks!$A:$BG),""),
_xlpm._inlineRAP,IFERROR(SimpleLookup($B22,Risks!$A:$BH),""),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IF(_xlpm._calculatedValue&gt;=_xlpm._inlineValue,$AD22,
_xlpm._mitigationSheetName&amp;" sheet "&amp;_xlfn.UNICHAR(8702)&amp;" Comment column:"&amp;CHAR(10)&amp;$AE22)))</f>
        <v/>
      </c>
      <c r="N22" s="33" t="str" cm="1">
        <f t="array" aca="1" ref="N22" ca="1">IF($AC22=-1,"",INDEX(Risks!CN:CN,$AC22))</f>
        <v>Basic</v>
      </c>
      <c r="O22" s="33" t="str" cm="1">
        <f t="array" aca="1" ref="O22" ca="1">IF($AC22=-1,"",INDEX(Risks!CO:CO,$AC22))</f>
        <v>No Risk</v>
      </c>
      <c r="P22" s="33" t="str">
        <f ca="1">IF($C22="","",IF($AF22&lt;=Definitions!$AF$6,Definitions!$M$4,""))</f>
        <v/>
      </c>
      <c r="Q22" s="23"/>
      <c r="R22" s="33" t="str">
        <f t="shared" ca="1" si="0"/>
        <v/>
      </c>
      <c r="S22" s="23"/>
      <c r="T22" s="13"/>
      <c r="U22" s="10" cm="1">
        <f t="array" aca="1" ref="U22" ca="1">GenerateShadowID(ROW(),$U$5,$U:$U,0,B22&lt;&gt;"")</f>
        <v>0</v>
      </c>
      <c r="V22" s="10" cm="1">
        <f t="array" ref="V22">CreateTaskID($V$5,$V:$V,Tasks!$B$17,$T22)</f>
        <v>0</v>
      </c>
      <c r="W22" s="14" t="str" cm="1">
        <f t="array" aca="1" ref="W22" ca="1">IF($B22="","",SimpleLookup($B22,'Risk Treatment'!$C:$AW))</f>
        <v/>
      </c>
      <c r="X22" s="14" t="str" cm="1">
        <f t="array" aca="1" ref="X22" ca="1">IF($B22="","",_xlfn.LET(_xlpm._attackSteps,SimpleLookup($B22,'Risk Treatment'!$C:$Y),GetValues(_xlpm._attackSteps,Mitigation!$A:$AG,"",CHAR(1),FALSE)))</f>
        <v/>
      </c>
      <c r="Y22" s="14" t="str" cm="1">
        <f t="array" aca="1" ref="Y22"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ParseInlineMitigationString(_xlpm._remainingString,_xlpm._delimiter))))($X22,CHAR(1))</f>
        <v/>
      </c>
      <c r="Z22" s="14" t="str" cm="1">
        <f t="array" aca="1" ref="Z22" ca="1">FilterElementsFromList($W22,Helper!$J$4,TRUE,",")</f>
        <v/>
      </c>
      <c r="AA22" s="14" t="str" cm="1">
        <f t="array" aca="1" ref="AA22" ca="1">FilterElementsFromList($Y22,Helper!$J$4,TRUE,",")</f>
        <v/>
      </c>
      <c r="AB22" s="20" t="str" cm="1">
        <f t="array" aca="1" ref="AB22"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CreateConfirmedInlineMitigations(_xlpm._remainingString,_xlpm._confirmedCandAIDs,_xlpm._delimiterSearchString,_xlpm._delimiterResultString))))($X22,CreateSearchString($AA22),CHAR(1),","&amp;CHAR(10))</f>
        <v/>
      </c>
      <c r="AC22" s="20">
        <f ca="1">IFERROR(MATCH($B22,Risks!$A:$A,0),-1)</f>
        <v>3</v>
      </c>
      <c r="AD22" s="20" t="str" cm="1">
        <f t="array" aca="1" ref="AD22" ca="1">IF($B22="","",_xlfn.LET(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_xlpm._factorFunction($B22,Risks!$A:CA,Definitions!$Y:$Y,Definitions!$AB:$AB,1)&amp;CHAR(10)&amp;
_xlpm._factorFunction($B22,Risks!$A:CB,Definitions!$Y:$Y,Definitions!$AB:$AB,2)&amp;CHAR(10)&amp;
_xlpm._factorFunction($B22,Risks!$A:CC,Definitions!$Y:$Y,Definitions!$AB:$AB,3)&amp;CHAR(10)&amp;
_xlpm._factorFunction($B22,Risks!$A:CD,Definitions!$Y:$Y,Definitions!$AB:$AB,4)&amp;CHAR(10)&amp;
_xlpm._factorFunction($B22,Risks!$A:CE,Definitions!$Y:$Y,Definitions!$AB:$AB,5)))</f>
        <v/>
      </c>
      <c r="AE22" s="20" t="str" cm="1">
        <f t="array" aca="1" ref="AE22" ca="1">RemoveDelimiter(SUBSTITUTE(SUBSTITUTE($AB22,"{",""),"}",""),","&amp;CHAR(10))</f>
        <v/>
      </c>
      <c r="AF22" s="20" cm="1">
        <f t="array" aca="1" ref="AF22" ca="1">IF($O22="",0,SimpleLookup($O22,Definitions!$AE:$AF))</f>
        <v>0</v>
      </c>
    </row>
    <row r="23" spans="2:32" x14ac:dyDescent="0.25">
      <c r="B23" s="16" t="str">
        <f ca="1">OFFSET(Risks!$A$2,ROW()-ROW($B$5),0)</f>
        <v/>
      </c>
      <c r="C23" s="33" t="str" cm="1">
        <f t="array" aca="1" ref="C23" ca="1">IF($B23="","",IFERROR(SimpleLookup($B23,'Risk Treatment'!$C:D),"Please ensure that all risks are covered in the "&amp;Helper!$G$14&amp;" sheet. Currently, these risks are not covered: "&amp;'Risk Treatment'!$D$2&amp;"."))</f>
        <v/>
      </c>
      <c r="D23" s="37" t="str" cm="1">
        <f t="array" aca="1" ref="D23" ca="1">IF($B23="","",IFERROR(SimpleLookup($B23,'Risk Treatment'!$C:K),"Please ensure that all risks are covered in the "&amp;Helper!$G$14&amp;" sheet. Currently, these risks are not covered: "&amp;'Risk Treatment'!$D$2&amp;"."))</f>
        <v/>
      </c>
      <c r="E23" s="16" t="str" cm="1">
        <f t="array" aca="1" ref="E23" ca="1">IF($B23="","",IFERROR(SimpleLookup($B23,'Risk Treatment'!$C:L),"Please ensure that all risks are covered in the "&amp;Helper!$G$14&amp;" sheet. Currently, these risks are not covered: "&amp;'Risk Treatment'!$D$2&amp;"."))</f>
        <v/>
      </c>
      <c r="F23" s="34" t="str" cm="1">
        <f t="array" aca="1" ref="F23" ca="1">IF($B23="","",IFERROR(SimpleLookup($B23,'Risk Treatment'!$C:M),"Please ensure that all risks are covered in the "&amp;Helper!$G$14&amp;" sheet. Currently, these risks are not covered: "&amp;'Risk Treatment'!$D$2&amp;"."))</f>
        <v/>
      </c>
      <c r="G23" s="16" t="str" cm="1">
        <f t="array" aca="1" ref="G23" ca="1">IF($B23="","",IFERROR(SimpleLookup($B23,'Risk Treatment'!$C:N),"Please ensure that all risks are covered in the "&amp;Helper!$G$14&amp;" sheet. Currently, these risks are not covered: "&amp;'Risk Treatment'!$D$2&amp;"."))</f>
        <v/>
      </c>
      <c r="H23" s="16" t="str" cm="1">
        <f t="array" aca="1" ref="H23" ca="1">IF($B23="","",IFERROR(SimpleLookup($B23,'Risk Treatment'!$C:J),"Please ensure that all risks are covered in the "&amp;Helper!$G$14&amp;" sheet. Currently, these risks are not covered: "&amp;'Risk Treatment'!$D$2&amp;"."))</f>
        <v/>
      </c>
      <c r="I23" s="33" t="str" cm="1">
        <f t="array" aca="1" ref="I23" ca="1">IF($B23="","",IFERROR(SimpleLookup($B23,'Risk Treatment'!$C:O),"Please ensure that all risks are covered in the "&amp;Helper!$G$14&amp;" sheet. Currently, these risks are not covered: "&amp;'Risk Treatment'!$D$2&amp;"."))</f>
        <v/>
      </c>
      <c r="J23" s="33" t="str" cm="1">
        <f t="array" aca="1" ref="J23" ca="1">_xlfn.LET(
_xlpm._assignedMitigations,IF($B23="","",IFERROR(RemoveDelimiter(GetValuesWithFallback($Z23,Countermeasures!$A:$B,Assumptions!$A:$B," ",","&amp;CHAR(10),TRUE),","&amp;CHAR(10)),"Error: Unknown risk ID "&amp;$B23)),
_xlpm._inlineMitigations,$AE23,
_xlpm._assignedMitigations&amp;
IF(OR(_xlpm._assignedMitigations="",_xlpm._inlineMitigations=""),"",","&amp;CHAR(10))&amp;
_xlpm._inlineMitigations)</f>
        <v/>
      </c>
      <c r="K23" s="37" t="str" cm="1">
        <f t="array" aca="1" ref="K23" ca="1">IF($AC23=-1,"",RemoveDelimiter(GetValues(INDEX(Risks!BN:BN,$AC23),'DS Overview'!$A:$B," ",","&amp;CHAR(10),TRUE),","&amp;CHAR(10)))</f>
        <v/>
      </c>
      <c r="L23" s="33" t="str" cm="1">
        <f t="array" aca="1" ref="L23" ca="1">IF($AC23=-1,"",INDEX(Risks!BP:BP,$AC23))</f>
        <v/>
      </c>
      <c r="M23" s="34" t="str" cm="1">
        <f t="array" aca="1" ref="M23" ca="1">_xlfn.LET(
_xlpm._calculatedRAP,IFERROR(SimpleLookup($B23,Risks!$A:$BG),""),
_xlpm._inlineRAP,IFERROR(SimpleLookup($B23,Risks!$A:$BH),""),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IF(_xlpm._calculatedValue&gt;=_xlpm._inlineValue,$AD23,
_xlpm._mitigationSheetName&amp;" sheet "&amp;_xlfn.UNICHAR(8702)&amp;" Comment column:"&amp;CHAR(10)&amp;$AE23)))</f>
        <v/>
      </c>
      <c r="N23" s="33" t="str" cm="1">
        <f t="array" aca="1" ref="N23" ca="1">IF($AC23=-1,"",INDEX(Risks!CN:CN,$AC23))</f>
        <v>Basic</v>
      </c>
      <c r="O23" s="33" t="str" cm="1">
        <f t="array" aca="1" ref="O23" ca="1">IF($AC23=-1,"",INDEX(Risks!CO:CO,$AC23))</f>
        <v>No Risk</v>
      </c>
      <c r="P23" s="33" t="str">
        <f ca="1">IF($C23="","",IF($AF23&lt;=Definitions!$AF$6,Definitions!$M$4,""))</f>
        <v/>
      </c>
      <c r="Q23" s="23"/>
      <c r="R23" s="33" t="str">
        <f t="shared" ca="1" si="0"/>
        <v/>
      </c>
      <c r="S23" s="23"/>
      <c r="T23" s="13"/>
      <c r="U23" s="10" cm="1">
        <f t="array" aca="1" ref="U23" ca="1">GenerateShadowID(ROW(),$U$5,$U:$U,0,B23&lt;&gt;"")</f>
        <v>0</v>
      </c>
      <c r="V23" s="10" cm="1">
        <f t="array" ref="V23">CreateTaskID($V$5,$V:$V,Tasks!$B$17,$T23)</f>
        <v>0</v>
      </c>
      <c r="W23" s="14" t="str" cm="1">
        <f t="array" aca="1" ref="W23" ca="1">IF($B23="","",SimpleLookup($B23,'Risk Treatment'!$C:$AW))</f>
        <v/>
      </c>
      <c r="X23" s="14" t="str" cm="1">
        <f t="array" aca="1" ref="X23" ca="1">IF($B23="","",_xlfn.LET(_xlpm._attackSteps,SimpleLookup($B23,'Risk Treatment'!$C:$Y),GetValues(_xlpm._attackSteps,Mitigation!$A:$AG,"",CHAR(1),FALSE)))</f>
        <v/>
      </c>
      <c r="Y23" s="14" t="str" cm="1">
        <f t="array" aca="1" ref="Y23"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ParseInlineMitigationString(_xlpm._remainingString,_xlpm._delimiter))))($X23,CHAR(1))</f>
        <v/>
      </c>
      <c r="Z23" s="14" t="str" cm="1">
        <f t="array" aca="1" ref="Z23" ca="1">FilterElementsFromList($W23,Helper!$J$4,TRUE,",")</f>
        <v/>
      </c>
      <c r="AA23" s="14" t="str" cm="1">
        <f t="array" aca="1" ref="AA23" ca="1">FilterElementsFromList($Y23,Helper!$J$4,TRUE,",")</f>
        <v/>
      </c>
      <c r="AB23" s="20" t="str" cm="1">
        <f t="array" aca="1" ref="AB23"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CreateConfirmedInlineMitigations(_xlpm._remainingString,_xlpm._confirmedCandAIDs,_xlpm._delimiterSearchString,_xlpm._delimiterResultString))))($X23,CreateSearchString($AA23),CHAR(1),","&amp;CHAR(10))</f>
        <v/>
      </c>
      <c r="AC23" s="20">
        <f ca="1">IFERROR(MATCH($B23,Risks!$A:$A,0),-1)</f>
        <v>3</v>
      </c>
      <c r="AD23" s="20" t="str" cm="1">
        <f t="array" aca="1" ref="AD23" ca="1">IF($B23="","",_xlfn.LET(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_xlpm._factorFunction($B23,Risks!$A:CA,Definitions!$Y:$Y,Definitions!$AB:$AB,1)&amp;CHAR(10)&amp;
_xlpm._factorFunction($B23,Risks!$A:CB,Definitions!$Y:$Y,Definitions!$AB:$AB,2)&amp;CHAR(10)&amp;
_xlpm._factorFunction($B23,Risks!$A:CC,Definitions!$Y:$Y,Definitions!$AB:$AB,3)&amp;CHAR(10)&amp;
_xlpm._factorFunction($B23,Risks!$A:CD,Definitions!$Y:$Y,Definitions!$AB:$AB,4)&amp;CHAR(10)&amp;
_xlpm._factorFunction($B23,Risks!$A:CE,Definitions!$Y:$Y,Definitions!$AB:$AB,5)))</f>
        <v/>
      </c>
      <c r="AE23" s="20" t="str" cm="1">
        <f t="array" aca="1" ref="AE23" ca="1">RemoveDelimiter(SUBSTITUTE(SUBSTITUTE($AB23,"{",""),"}",""),","&amp;CHAR(10))</f>
        <v/>
      </c>
      <c r="AF23" s="20" cm="1">
        <f t="array" aca="1" ref="AF23" ca="1">IF($O23="",0,SimpleLookup($O23,Definitions!$AE:$AF))</f>
        <v>0</v>
      </c>
    </row>
    <row r="24" spans="2:32" x14ac:dyDescent="0.25">
      <c r="B24" s="16" t="str">
        <f ca="1">OFFSET(Risks!$A$2,ROW()-ROW($B$5),0)</f>
        <v/>
      </c>
      <c r="C24" s="33" t="str" cm="1">
        <f t="array" aca="1" ref="C24" ca="1">IF($B24="","",IFERROR(SimpleLookup($B24,'Risk Treatment'!$C:D),"Please ensure that all risks are covered in the "&amp;Helper!$G$14&amp;" sheet. Currently, these risks are not covered: "&amp;'Risk Treatment'!$D$2&amp;"."))</f>
        <v/>
      </c>
      <c r="D24" s="37" t="str" cm="1">
        <f t="array" aca="1" ref="D24" ca="1">IF($B24="","",IFERROR(SimpleLookup($B24,'Risk Treatment'!$C:K),"Please ensure that all risks are covered in the "&amp;Helper!$G$14&amp;" sheet. Currently, these risks are not covered: "&amp;'Risk Treatment'!$D$2&amp;"."))</f>
        <v/>
      </c>
      <c r="E24" s="16" t="str" cm="1">
        <f t="array" aca="1" ref="E24" ca="1">IF($B24="","",IFERROR(SimpleLookup($B24,'Risk Treatment'!$C:L),"Please ensure that all risks are covered in the "&amp;Helper!$G$14&amp;" sheet. Currently, these risks are not covered: "&amp;'Risk Treatment'!$D$2&amp;"."))</f>
        <v/>
      </c>
      <c r="F24" s="34" t="str" cm="1">
        <f t="array" aca="1" ref="F24" ca="1">IF($B24="","",IFERROR(SimpleLookup($B24,'Risk Treatment'!$C:M),"Please ensure that all risks are covered in the "&amp;Helper!$G$14&amp;" sheet. Currently, these risks are not covered: "&amp;'Risk Treatment'!$D$2&amp;"."))</f>
        <v/>
      </c>
      <c r="G24" s="16" t="str" cm="1">
        <f t="array" aca="1" ref="G24" ca="1">IF($B24="","",IFERROR(SimpleLookup($B24,'Risk Treatment'!$C:N),"Please ensure that all risks are covered in the "&amp;Helper!$G$14&amp;" sheet. Currently, these risks are not covered: "&amp;'Risk Treatment'!$D$2&amp;"."))</f>
        <v/>
      </c>
      <c r="H24" s="16" t="str" cm="1">
        <f t="array" aca="1" ref="H24" ca="1">IF($B24="","",IFERROR(SimpleLookup($B24,'Risk Treatment'!$C:J),"Please ensure that all risks are covered in the "&amp;Helper!$G$14&amp;" sheet. Currently, these risks are not covered: "&amp;'Risk Treatment'!$D$2&amp;"."))</f>
        <v/>
      </c>
      <c r="I24" s="33" t="str" cm="1">
        <f t="array" aca="1" ref="I24" ca="1">IF($B24="","",IFERROR(SimpleLookup($B24,'Risk Treatment'!$C:O),"Please ensure that all risks are covered in the "&amp;Helper!$G$14&amp;" sheet. Currently, these risks are not covered: "&amp;'Risk Treatment'!$D$2&amp;"."))</f>
        <v/>
      </c>
      <c r="J24" s="33" t="str" cm="1">
        <f t="array" aca="1" ref="J24" ca="1">_xlfn.LET(
_xlpm._assignedMitigations,IF($B24="","",IFERROR(RemoveDelimiter(GetValuesWithFallback($Z24,Countermeasures!$A:$B,Assumptions!$A:$B," ",","&amp;CHAR(10),TRUE),","&amp;CHAR(10)),"Error: Unknown risk ID "&amp;$B24)),
_xlpm._inlineMitigations,$AE24,
_xlpm._assignedMitigations&amp;
IF(OR(_xlpm._assignedMitigations="",_xlpm._inlineMitigations=""),"",","&amp;CHAR(10))&amp;
_xlpm._inlineMitigations)</f>
        <v/>
      </c>
      <c r="K24" s="37" t="str" cm="1">
        <f t="array" aca="1" ref="K24" ca="1">IF($AC24=-1,"",RemoveDelimiter(GetValues(INDEX(Risks!BN:BN,$AC24),'DS Overview'!$A:$B," ",","&amp;CHAR(10),TRUE),","&amp;CHAR(10)))</f>
        <v/>
      </c>
      <c r="L24" s="33" t="str" cm="1">
        <f t="array" aca="1" ref="L24" ca="1">IF($AC24=-1,"",INDEX(Risks!BP:BP,$AC24))</f>
        <v/>
      </c>
      <c r="M24" s="34" t="str" cm="1">
        <f t="array" aca="1" ref="M24" ca="1">_xlfn.LET(
_xlpm._calculatedRAP,IFERROR(SimpleLookup($B24,Risks!$A:$BG),""),
_xlpm._inlineRAP,IFERROR(SimpleLookup($B24,Risks!$A:$BH),""),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IF(_xlpm._calculatedValue&gt;=_xlpm._inlineValue,$AD24,
_xlpm._mitigationSheetName&amp;" sheet "&amp;_xlfn.UNICHAR(8702)&amp;" Comment column:"&amp;CHAR(10)&amp;$AE24)))</f>
        <v/>
      </c>
      <c r="N24" s="33" t="str" cm="1">
        <f t="array" aca="1" ref="N24" ca="1">IF($AC24=-1,"",INDEX(Risks!CN:CN,$AC24))</f>
        <v>Basic</v>
      </c>
      <c r="O24" s="33" t="str" cm="1">
        <f t="array" aca="1" ref="O24" ca="1">IF($AC24=-1,"",INDEX(Risks!CO:CO,$AC24))</f>
        <v>No Risk</v>
      </c>
      <c r="P24" s="33" t="str">
        <f ca="1">IF($C24="","",IF($AF24&lt;=Definitions!$AF$6,Definitions!$M$4,""))</f>
        <v/>
      </c>
      <c r="Q24" s="23"/>
      <c r="R24" s="33" t="str">
        <f t="shared" ca="1" si="0"/>
        <v/>
      </c>
      <c r="S24" s="23"/>
      <c r="T24" s="13"/>
      <c r="U24" s="10" cm="1">
        <f t="array" aca="1" ref="U24" ca="1">GenerateShadowID(ROW(),$U$5,$U:$U,0,B24&lt;&gt;"")</f>
        <v>0</v>
      </c>
      <c r="V24" s="10" cm="1">
        <f t="array" ref="V24">CreateTaskID($V$5,$V:$V,Tasks!$B$17,$T24)</f>
        <v>0</v>
      </c>
      <c r="W24" s="14" t="str" cm="1">
        <f t="array" aca="1" ref="W24" ca="1">IF($B24="","",SimpleLookup($B24,'Risk Treatment'!$C:$AW))</f>
        <v/>
      </c>
      <c r="X24" s="14" t="str" cm="1">
        <f t="array" aca="1" ref="X24" ca="1">IF($B24="","",_xlfn.LET(_xlpm._attackSteps,SimpleLookup($B24,'Risk Treatment'!$C:$Y),GetValues(_xlpm._attackSteps,Mitigation!$A:$AG,"",CHAR(1),FALSE)))</f>
        <v/>
      </c>
      <c r="Y24" s="14" t="str" cm="1">
        <f t="array" aca="1" ref="Y24"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ParseInlineMitigationString(_xlpm._remainingString,_xlpm._delimiter))))($X24,CHAR(1))</f>
        <v/>
      </c>
      <c r="Z24" s="14" t="str" cm="1">
        <f t="array" aca="1" ref="Z24" ca="1">FilterElementsFromList($W24,Helper!$J$4,TRUE,",")</f>
        <v/>
      </c>
      <c r="AA24" s="14" t="str" cm="1">
        <f t="array" aca="1" ref="AA24" ca="1">FilterElementsFromList($Y24,Helper!$J$4,TRUE,",")</f>
        <v/>
      </c>
      <c r="AB24" s="20" t="str" cm="1">
        <f t="array" aca="1" ref="AB24"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CreateConfirmedInlineMitigations(_xlpm._remainingString,_xlpm._confirmedCandAIDs,_xlpm._delimiterSearchString,_xlpm._delimiterResultString))))($X24,CreateSearchString($AA24),CHAR(1),","&amp;CHAR(10))</f>
        <v/>
      </c>
      <c r="AC24" s="20">
        <f ca="1">IFERROR(MATCH($B24,Risks!$A:$A,0),-1)</f>
        <v>3</v>
      </c>
      <c r="AD24" s="20" t="str" cm="1">
        <f t="array" aca="1" ref="AD24" ca="1">IF($B24="","",_xlfn.LET(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_xlpm._factorFunction($B24,Risks!$A:CA,Definitions!$Y:$Y,Definitions!$AB:$AB,1)&amp;CHAR(10)&amp;
_xlpm._factorFunction($B24,Risks!$A:CB,Definitions!$Y:$Y,Definitions!$AB:$AB,2)&amp;CHAR(10)&amp;
_xlpm._factorFunction($B24,Risks!$A:CC,Definitions!$Y:$Y,Definitions!$AB:$AB,3)&amp;CHAR(10)&amp;
_xlpm._factorFunction($B24,Risks!$A:CD,Definitions!$Y:$Y,Definitions!$AB:$AB,4)&amp;CHAR(10)&amp;
_xlpm._factorFunction($B24,Risks!$A:CE,Definitions!$Y:$Y,Definitions!$AB:$AB,5)))</f>
        <v/>
      </c>
      <c r="AE24" s="20" t="str" cm="1">
        <f t="array" aca="1" ref="AE24" ca="1">RemoveDelimiter(SUBSTITUTE(SUBSTITUTE($AB24,"{",""),"}",""),","&amp;CHAR(10))</f>
        <v/>
      </c>
      <c r="AF24" s="20" cm="1">
        <f t="array" aca="1" ref="AF24" ca="1">IF($O24="",0,SimpleLookup($O24,Definitions!$AE:$AF))</f>
        <v>0</v>
      </c>
    </row>
    <row r="25" spans="2:32" x14ac:dyDescent="0.25">
      <c r="B25" s="16" t="str">
        <f ca="1">OFFSET(Risks!$A$2,ROW()-ROW($B$5),0)</f>
        <v/>
      </c>
      <c r="C25" s="33" t="str" cm="1">
        <f t="array" aca="1" ref="C25" ca="1">IF($B25="","",IFERROR(SimpleLookup($B25,'Risk Treatment'!$C:D),"Please ensure that all risks are covered in the "&amp;Helper!$G$14&amp;" sheet. Currently, these risks are not covered: "&amp;'Risk Treatment'!$D$2&amp;"."))</f>
        <v/>
      </c>
      <c r="D25" s="37" t="str" cm="1">
        <f t="array" aca="1" ref="D25" ca="1">IF($B25="","",IFERROR(SimpleLookup($B25,'Risk Treatment'!$C:K),"Please ensure that all risks are covered in the "&amp;Helper!$G$14&amp;" sheet. Currently, these risks are not covered: "&amp;'Risk Treatment'!$D$2&amp;"."))</f>
        <v/>
      </c>
      <c r="E25" s="16" t="str" cm="1">
        <f t="array" aca="1" ref="E25" ca="1">IF($B25="","",IFERROR(SimpleLookup($B25,'Risk Treatment'!$C:L),"Please ensure that all risks are covered in the "&amp;Helper!$G$14&amp;" sheet. Currently, these risks are not covered: "&amp;'Risk Treatment'!$D$2&amp;"."))</f>
        <v/>
      </c>
      <c r="F25" s="34" t="str" cm="1">
        <f t="array" aca="1" ref="F25" ca="1">IF($B25="","",IFERROR(SimpleLookup($B25,'Risk Treatment'!$C:M),"Please ensure that all risks are covered in the "&amp;Helper!$G$14&amp;" sheet. Currently, these risks are not covered: "&amp;'Risk Treatment'!$D$2&amp;"."))</f>
        <v/>
      </c>
      <c r="G25" s="16" t="str" cm="1">
        <f t="array" aca="1" ref="G25" ca="1">IF($B25="","",IFERROR(SimpleLookup($B25,'Risk Treatment'!$C:N),"Please ensure that all risks are covered in the "&amp;Helper!$G$14&amp;" sheet. Currently, these risks are not covered: "&amp;'Risk Treatment'!$D$2&amp;"."))</f>
        <v/>
      </c>
      <c r="H25" s="16" t="str" cm="1">
        <f t="array" aca="1" ref="H25" ca="1">IF($B25="","",IFERROR(SimpleLookup($B25,'Risk Treatment'!$C:J),"Please ensure that all risks are covered in the "&amp;Helper!$G$14&amp;" sheet. Currently, these risks are not covered: "&amp;'Risk Treatment'!$D$2&amp;"."))</f>
        <v/>
      </c>
      <c r="I25" s="33" t="str" cm="1">
        <f t="array" aca="1" ref="I25" ca="1">IF($B25="","",IFERROR(SimpleLookup($B25,'Risk Treatment'!$C:O),"Please ensure that all risks are covered in the "&amp;Helper!$G$14&amp;" sheet. Currently, these risks are not covered: "&amp;'Risk Treatment'!$D$2&amp;"."))</f>
        <v/>
      </c>
      <c r="J25" s="33" t="str" cm="1">
        <f t="array" aca="1" ref="J25" ca="1">_xlfn.LET(
_xlpm._assignedMitigations,IF($B25="","",IFERROR(RemoveDelimiter(GetValuesWithFallback($Z25,Countermeasures!$A:$B,Assumptions!$A:$B," ",","&amp;CHAR(10),TRUE),","&amp;CHAR(10)),"Error: Unknown risk ID "&amp;$B25)),
_xlpm._inlineMitigations,$AE25,
_xlpm._assignedMitigations&amp;
IF(OR(_xlpm._assignedMitigations="",_xlpm._inlineMitigations=""),"",","&amp;CHAR(10))&amp;
_xlpm._inlineMitigations)</f>
        <v/>
      </c>
      <c r="K25" s="37" t="str" cm="1">
        <f t="array" aca="1" ref="K25" ca="1">IF($AC25=-1,"",RemoveDelimiter(GetValues(INDEX(Risks!BN:BN,$AC25),'DS Overview'!$A:$B," ",","&amp;CHAR(10),TRUE),","&amp;CHAR(10)))</f>
        <v/>
      </c>
      <c r="L25" s="33" t="str" cm="1">
        <f t="array" aca="1" ref="L25" ca="1">IF($AC25=-1,"",INDEX(Risks!BP:BP,$AC25))</f>
        <v/>
      </c>
      <c r="M25" s="34" t="str" cm="1">
        <f t="array" aca="1" ref="M25" ca="1">_xlfn.LET(
_xlpm._calculatedRAP,IFERROR(SimpleLookup($B25,Risks!$A:$BG),""),
_xlpm._inlineRAP,IFERROR(SimpleLookup($B25,Risks!$A:$BH),""),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IF(_xlpm._calculatedValue&gt;=_xlpm._inlineValue,$AD25,
_xlpm._mitigationSheetName&amp;" sheet "&amp;_xlfn.UNICHAR(8702)&amp;" Comment column:"&amp;CHAR(10)&amp;$AE25)))</f>
        <v/>
      </c>
      <c r="N25" s="33" t="str" cm="1">
        <f t="array" aca="1" ref="N25" ca="1">IF($AC25=-1,"",INDEX(Risks!CN:CN,$AC25))</f>
        <v>Basic</v>
      </c>
      <c r="O25" s="33" t="str" cm="1">
        <f t="array" aca="1" ref="O25" ca="1">IF($AC25=-1,"",INDEX(Risks!CO:CO,$AC25))</f>
        <v>No Risk</v>
      </c>
      <c r="P25" s="33" t="str">
        <f ca="1">IF($C25="","",IF($AF25&lt;=Definitions!$AF$6,Definitions!$M$4,""))</f>
        <v/>
      </c>
      <c r="Q25" s="23"/>
      <c r="R25" s="33" t="str">
        <f t="shared" ca="1" si="0"/>
        <v/>
      </c>
      <c r="S25" s="23"/>
      <c r="T25" s="13"/>
      <c r="U25" s="10" cm="1">
        <f t="array" aca="1" ref="U25" ca="1">GenerateShadowID(ROW(),$U$5,$U:$U,0,B25&lt;&gt;"")</f>
        <v>0</v>
      </c>
      <c r="V25" s="10" cm="1">
        <f t="array" ref="V25">CreateTaskID($V$5,$V:$V,Tasks!$B$17,$T25)</f>
        <v>0</v>
      </c>
      <c r="W25" s="14" t="str" cm="1">
        <f t="array" aca="1" ref="W25" ca="1">IF($B25="","",SimpleLookup($B25,'Risk Treatment'!$C:$AW))</f>
        <v/>
      </c>
      <c r="X25" s="14" t="str" cm="1">
        <f t="array" aca="1" ref="X25" ca="1">IF($B25="","",_xlfn.LET(_xlpm._attackSteps,SimpleLookup($B25,'Risk Treatment'!$C:$Y),GetValues(_xlpm._attackSteps,Mitigation!$A:$AG,"",CHAR(1),FALSE)))</f>
        <v/>
      </c>
      <c r="Y25" s="14" t="str" cm="1">
        <f t="array" aca="1" ref="Y25"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ParseInlineMitigationString(_xlpm._remainingString,_xlpm._delimiter))))($X25,CHAR(1))</f>
        <v/>
      </c>
      <c r="Z25" s="14" t="str" cm="1">
        <f t="array" aca="1" ref="Z25" ca="1">FilterElementsFromList($W25,Helper!$J$4,TRUE,",")</f>
        <v/>
      </c>
      <c r="AA25" s="14" t="str" cm="1">
        <f t="array" aca="1" ref="AA25" ca="1">FilterElementsFromList($Y25,Helper!$J$4,TRUE,",")</f>
        <v/>
      </c>
      <c r="AB25" s="20" t="str" cm="1">
        <f t="array" aca="1" ref="AB25"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CreateConfirmedInlineMitigations(_xlpm._remainingString,_xlpm._confirmedCandAIDs,_xlpm._delimiterSearchString,_xlpm._delimiterResultString))))($X25,CreateSearchString($AA25),CHAR(1),","&amp;CHAR(10))</f>
        <v/>
      </c>
      <c r="AC25" s="20">
        <f ca="1">IFERROR(MATCH($B25,Risks!$A:$A,0),-1)</f>
        <v>3</v>
      </c>
      <c r="AD25" s="20" t="str" cm="1">
        <f t="array" aca="1" ref="AD25" ca="1">IF($B25="","",_xlfn.LET(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_xlpm._factorFunction($B25,Risks!$A:CA,Definitions!$Y:$Y,Definitions!$AB:$AB,1)&amp;CHAR(10)&amp;
_xlpm._factorFunction($B25,Risks!$A:CB,Definitions!$Y:$Y,Definitions!$AB:$AB,2)&amp;CHAR(10)&amp;
_xlpm._factorFunction($B25,Risks!$A:CC,Definitions!$Y:$Y,Definitions!$AB:$AB,3)&amp;CHAR(10)&amp;
_xlpm._factorFunction($B25,Risks!$A:CD,Definitions!$Y:$Y,Definitions!$AB:$AB,4)&amp;CHAR(10)&amp;
_xlpm._factorFunction($B25,Risks!$A:CE,Definitions!$Y:$Y,Definitions!$AB:$AB,5)))</f>
        <v/>
      </c>
      <c r="AE25" s="20" t="str" cm="1">
        <f t="array" aca="1" ref="AE25" ca="1">RemoveDelimiter(SUBSTITUTE(SUBSTITUTE($AB25,"{",""),"}",""),","&amp;CHAR(10))</f>
        <v/>
      </c>
      <c r="AF25" s="20" cm="1">
        <f t="array" aca="1" ref="AF25" ca="1">IF($O25="",0,SimpleLookup($O25,Definitions!$AE:$AF))</f>
        <v>0</v>
      </c>
    </row>
    <row r="26" spans="2:32" x14ac:dyDescent="0.25">
      <c r="B26" s="16" t="str">
        <f ca="1">OFFSET(Risks!$A$2,ROW()-ROW($B$5),0)</f>
        <v/>
      </c>
      <c r="C26" s="33" t="str" cm="1">
        <f t="array" aca="1" ref="C26" ca="1">IF($B26="","",IFERROR(SimpleLookup($B26,'Risk Treatment'!$C:D),"Please ensure that all risks are covered in the "&amp;Helper!$G$14&amp;" sheet. Currently, these risks are not covered: "&amp;'Risk Treatment'!$D$2&amp;"."))</f>
        <v/>
      </c>
      <c r="D26" s="37" t="str" cm="1">
        <f t="array" aca="1" ref="D26" ca="1">IF($B26="","",IFERROR(SimpleLookup($B26,'Risk Treatment'!$C:K),"Please ensure that all risks are covered in the "&amp;Helper!$G$14&amp;" sheet. Currently, these risks are not covered: "&amp;'Risk Treatment'!$D$2&amp;"."))</f>
        <v/>
      </c>
      <c r="E26" s="16" t="str" cm="1">
        <f t="array" aca="1" ref="E26" ca="1">IF($B26="","",IFERROR(SimpleLookup($B26,'Risk Treatment'!$C:L),"Please ensure that all risks are covered in the "&amp;Helper!$G$14&amp;" sheet. Currently, these risks are not covered: "&amp;'Risk Treatment'!$D$2&amp;"."))</f>
        <v/>
      </c>
      <c r="F26" s="34" t="str" cm="1">
        <f t="array" aca="1" ref="F26" ca="1">IF($B26="","",IFERROR(SimpleLookup($B26,'Risk Treatment'!$C:M),"Please ensure that all risks are covered in the "&amp;Helper!$G$14&amp;" sheet. Currently, these risks are not covered: "&amp;'Risk Treatment'!$D$2&amp;"."))</f>
        <v/>
      </c>
      <c r="G26" s="16" t="str" cm="1">
        <f t="array" aca="1" ref="G26" ca="1">IF($B26="","",IFERROR(SimpleLookup($B26,'Risk Treatment'!$C:N),"Please ensure that all risks are covered in the "&amp;Helper!$G$14&amp;" sheet. Currently, these risks are not covered: "&amp;'Risk Treatment'!$D$2&amp;"."))</f>
        <v/>
      </c>
      <c r="H26" s="16" t="str" cm="1">
        <f t="array" aca="1" ref="H26" ca="1">IF($B26="","",IFERROR(SimpleLookup($B26,'Risk Treatment'!$C:J),"Please ensure that all risks are covered in the "&amp;Helper!$G$14&amp;" sheet. Currently, these risks are not covered: "&amp;'Risk Treatment'!$D$2&amp;"."))</f>
        <v/>
      </c>
      <c r="I26" s="33" t="str" cm="1">
        <f t="array" aca="1" ref="I26" ca="1">IF($B26="","",IFERROR(SimpleLookup($B26,'Risk Treatment'!$C:O),"Please ensure that all risks are covered in the "&amp;Helper!$G$14&amp;" sheet. Currently, these risks are not covered: "&amp;'Risk Treatment'!$D$2&amp;"."))</f>
        <v/>
      </c>
      <c r="J26" s="33" t="str" cm="1">
        <f t="array" aca="1" ref="J26" ca="1">_xlfn.LET(
_xlpm._assignedMitigations,IF($B26="","",IFERROR(RemoveDelimiter(GetValuesWithFallback($Z26,Countermeasures!$A:$B,Assumptions!$A:$B," ",","&amp;CHAR(10),TRUE),","&amp;CHAR(10)),"Error: Unknown risk ID "&amp;$B26)),
_xlpm._inlineMitigations,$AE26,
_xlpm._assignedMitigations&amp;
IF(OR(_xlpm._assignedMitigations="",_xlpm._inlineMitigations=""),"",","&amp;CHAR(10))&amp;
_xlpm._inlineMitigations)</f>
        <v/>
      </c>
      <c r="K26" s="37" t="str" cm="1">
        <f t="array" aca="1" ref="K26" ca="1">IF($AC26=-1,"",RemoveDelimiter(GetValues(INDEX(Risks!BN:BN,$AC26),'DS Overview'!$A:$B," ",","&amp;CHAR(10),TRUE),","&amp;CHAR(10)))</f>
        <v/>
      </c>
      <c r="L26" s="33" t="str" cm="1">
        <f t="array" aca="1" ref="L26" ca="1">IF($AC26=-1,"",INDEX(Risks!BP:BP,$AC26))</f>
        <v/>
      </c>
      <c r="M26" s="34" t="str" cm="1">
        <f t="array" aca="1" ref="M26" ca="1">_xlfn.LET(
_xlpm._calculatedRAP,IFERROR(SimpleLookup($B26,Risks!$A:$BG),""),
_xlpm._inlineRAP,IFERROR(SimpleLookup($B26,Risks!$A:$BH),""),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IF(_xlpm._calculatedValue&gt;=_xlpm._inlineValue,$AD26,
_xlpm._mitigationSheetName&amp;" sheet "&amp;_xlfn.UNICHAR(8702)&amp;" Comment column:"&amp;CHAR(10)&amp;$AE26)))</f>
        <v/>
      </c>
      <c r="N26" s="33" t="str" cm="1">
        <f t="array" aca="1" ref="N26" ca="1">IF($AC26=-1,"",INDEX(Risks!CN:CN,$AC26))</f>
        <v>Basic</v>
      </c>
      <c r="O26" s="33" t="str" cm="1">
        <f t="array" aca="1" ref="O26" ca="1">IF($AC26=-1,"",INDEX(Risks!CO:CO,$AC26))</f>
        <v>No Risk</v>
      </c>
      <c r="P26" s="33" t="str">
        <f ca="1">IF($C26="","",IF($AF26&lt;=Definitions!$AF$6,Definitions!$M$4,""))</f>
        <v/>
      </c>
      <c r="Q26" s="23"/>
      <c r="R26" s="33" t="str">
        <f t="shared" ca="1" si="0"/>
        <v/>
      </c>
      <c r="S26" s="23"/>
      <c r="T26" s="13"/>
      <c r="U26" s="10" cm="1">
        <f t="array" aca="1" ref="U26" ca="1">GenerateShadowID(ROW(),$U$5,$U:$U,0,B26&lt;&gt;"")</f>
        <v>0</v>
      </c>
      <c r="V26" s="10" cm="1">
        <f t="array" ref="V26">CreateTaskID($V$5,$V:$V,Tasks!$B$17,$T26)</f>
        <v>0</v>
      </c>
      <c r="W26" s="14" t="str" cm="1">
        <f t="array" aca="1" ref="W26" ca="1">IF($B26="","",SimpleLookup($B26,'Risk Treatment'!$C:$AW))</f>
        <v/>
      </c>
      <c r="X26" s="14" t="str" cm="1">
        <f t="array" aca="1" ref="X26" ca="1">IF($B26="","",_xlfn.LET(_xlpm._attackSteps,SimpleLookup($B26,'Risk Treatment'!$C:$Y),GetValues(_xlpm._attackSteps,Mitigation!$A:$AG,"",CHAR(1),FALSE)))</f>
        <v/>
      </c>
      <c r="Y26" s="14" t="str" cm="1">
        <f t="array" aca="1" ref="Y26"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ParseInlineMitigationString(_xlpm._remainingString,_xlpm._delimiter))))($X26,CHAR(1))</f>
        <v/>
      </c>
      <c r="Z26" s="14" t="str" cm="1">
        <f t="array" aca="1" ref="Z26" ca="1">FilterElementsFromList($W26,Helper!$J$4,TRUE,",")</f>
        <v/>
      </c>
      <c r="AA26" s="14" t="str" cm="1">
        <f t="array" aca="1" ref="AA26" ca="1">FilterElementsFromList($Y26,Helper!$J$4,TRUE,",")</f>
        <v/>
      </c>
      <c r="AB26" s="20" t="str" cm="1">
        <f t="array" aca="1" ref="AB26"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CreateConfirmedInlineMitigations(_xlpm._remainingString,_xlpm._confirmedCandAIDs,_xlpm._delimiterSearchString,_xlpm._delimiterResultString))))($X26,CreateSearchString($AA26),CHAR(1),","&amp;CHAR(10))</f>
        <v/>
      </c>
      <c r="AC26" s="20">
        <f ca="1">IFERROR(MATCH($B26,Risks!$A:$A,0),-1)</f>
        <v>3</v>
      </c>
      <c r="AD26" s="20" t="str" cm="1">
        <f t="array" aca="1" ref="AD26" ca="1">IF($B26="","",_xlfn.LET(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_xlpm._factorFunction($B26,Risks!$A:CA,Definitions!$Y:$Y,Definitions!$AB:$AB,1)&amp;CHAR(10)&amp;
_xlpm._factorFunction($B26,Risks!$A:CB,Definitions!$Y:$Y,Definitions!$AB:$AB,2)&amp;CHAR(10)&amp;
_xlpm._factorFunction($B26,Risks!$A:CC,Definitions!$Y:$Y,Definitions!$AB:$AB,3)&amp;CHAR(10)&amp;
_xlpm._factorFunction($B26,Risks!$A:CD,Definitions!$Y:$Y,Definitions!$AB:$AB,4)&amp;CHAR(10)&amp;
_xlpm._factorFunction($B26,Risks!$A:CE,Definitions!$Y:$Y,Definitions!$AB:$AB,5)))</f>
        <v/>
      </c>
      <c r="AE26" s="20" t="str" cm="1">
        <f t="array" aca="1" ref="AE26" ca="1">RemoveDelimiter(SUBSTITUTE(SUBSTITUTE($AB26,"{",""),"}",""),","&amp;CHAR(10))</f>
        <v/>
      </c>
      <c r="AF26" s="20" cm="1">
        <f t="array" aca="1" ref="AF26" ca="1">IF($O26="",0,SimpleLookup($O26,Definitions!$AE:$AF))</f>
        <v>0</v>
      </c>
    </row>
    <row r="27" spans="2:32" x14ac:dyDescent="0.25">
      <c r="B27" s="16" t="str">
        <f ca="1">OFFSET(Risks!$A$2,ROW()-ROW($B$5),0)</f>
        <v/>
      </c>
      <c r="C27" s="33" t="str" cm="1">
        <f t="array" aca="1" ref="C27" ca="1">IF($B27="","",IFERROR(SimpleLookup($B27,'Risk Treatment'!$C:D),"Please ensure that all risks are covered in the "&amp;Helper!$G$14&amp;" sheet. Currently, these risks are not covered: "&amp;'Risk Treatment'!$D$2&amp;"."))</f>
        <v/>
      </c>
      <c r="D27" s="37" t="str" cm="1">
        <f t="array" aca="1" ref="D27" ca="1">IF($B27="","",IFERROR(SimpleLookup($B27,'Risk Treatment'!$C:K),"Please ensure that all risks are covered in the "&amp;Helper!$G$14&amp;" sheet. Currently, these risks are not covered: "&amp;'Risk Treatment'!$D$2&amp;"."))</f>
        <v/>
      </c>
      <c r="E27" s="16" t="str" cm="1">
        <f t="array" aca="1" ref="E27" ca="1">IF($B27="","",IFERROR(SimpleLookup($B27,'Risk Treatment'!$C:L),"Please ensure that all risks are covered in the "&amp;Helper!$G$14&amp;" sheet. Currently, these risks are not covered: "&amp;'Risk Treatment'!$D$2&amp;"."))</f>
        <v/>
      </c>
      <c r="F27" s="34" t="str" cm="1">
        <f t="array" aca="1" ref="F27" ca="1">IF($B27="","",IFERROR(SimpleLookup($B27,'Risk Treatment'!$C:M),"Please ensure that all risks are covered in the "&amp;Helper!$G$14&amp;" sheet. Currently, these risks are not covered: "&amp;'Risk Treatment'!$D$2&amp;"."))</f>
        <v/>
      </c>
      <c r="G27" s="16" t="str" cm="1">
        <f t="array" aca="1" ref="G27" ca="1">IF($B27="","",IFERROR(SimpleLookup($B27,'Risk Treatment'!$C:N),"Please ensure that all risks are covered in the "&amp;Helper!$G$14&amp;" sheet. Currently, these risks are not covered: "&amp;'Risk Treatment'!$D$2&amp;"."))</f>
        <v/>
      </c>
      <c r="H27" s="16" t="str" cm="1">
        <f t="array" aca="1" ref="H27" ca="1">IF($B27="","",IFERROR(SimpleLookup($B27,'Risk Treatment'!$C:J),"Please ensure that all risks are covered in the "&amp;Helper!$G$14&amp;" sheet. Currently, these risks are not covered: "&amp;'Risk Treatment'!$D$2&amp;"."))</f>
        <v/>
      </c>
      <c r="I27" s="33" t="str" cm="1">
        <f t="array" aca="1" ref="I27" ca="1">IF($B27="","",IFERROR(SimpleLookup($B27,'Risk Treatment'!$C:O),"Please ensure that all risks are covered in the "&amp;Helper!$G$14&amp;" sheet. Currently, these risks are not covered: "&amp;'Risk Treatment'!$D$2&amp;"."))</f>
        <v/>
      </c>
      <c r="J27" s="33" t="str" cm="1">
        <f t="array" aca="1" ref="J27" ca="1">_xlfn.LET(
_xlpm._assignedMitigations,IF($B27="","",IFERROR(RemoveDelimiter(GetValuesWithFallback($Z27,Countermeasures!$A:$B,Assumptions!$A:$B," ",","&amp;CHAR(10),TRUE),","&amp;CHAR(10)),"Error: Unknown risk ID "&amp;$B27)),
_xlpm._inlineMitigations,$AE27,
_xlpm._assignedMitigations&amp;
IF(OR(_xlpm._assignedMitigations="",_xlpm._inlineMitigations=""),"",","&amp;CHAR(10))&amp;
_xlpm._inlineMitigations)</f>
        <v/>
      </c>
      <c r="K27" s="37" t="str" cm="1">
        <f t="array" aca="1" ref="K27" ca="1">IF($AC27=-1,"",RemoveDelimiter(GetValues(INDEX(Risks!BN:BN,$AC27),'DS Overview'!$A:$B," ",","&amp;CHAR(10),TRUE),","&amp;CHAR(10)))</f>
        <v/>
      </c>
      <c r="L27" s="33" t="str" cm="1">
        <f t="array" aca="1" ref="L27" ca="1">IF($AC27=-1,"",INDEX(Risks!BP:BP,$AC27))</f>
        <v/>
      </c>
      <c r="M27" s="34" t="str" cm="1">
        <f t="array" aca="1" ref="M27" ca="1">_xlfn.LET(
_xlpm._calculatedRAP,IFERROR(SimpleLookup($B27,Risks!$A:$BG),""),
_xlpm._inlineRAP,IFERROR(SimpleLookup($B27,Risks!$A:$BH),""),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IF(_xlpm._calculatedValue&gt;=_xlpm._inlineValue,$AD27,
_xlpm._mitigationSheetName&amp;" sheet "&amp;_xlfn.UNICHAR(8702)&amp;" Comment column:"&amp;CHAR(10)&amp;$AE27)))</f>
        <v/>
      </c>
      <c r="N27" s="33" t="str" cm="1">
        <f t="array" aca="1" ref="N27" ca="1">IF($AC27=-1,"",INDEX(Risks!CN:CN,$AC27))</f>
        <v>Basic</v>
      </c>
      <c r="O27" s="33" t="str" cm="1">
        <f t="array" aca="1" ref="O27" ca="1">IF($AC27=-1,"",INDEX(Risks!CO:CO,$AC27))</f>
        <v>No Risk</v>
      </c>
      <c r="P27" s="33" t="str">
        <f ca="1">IF($C27="","",IF($AF27&lt;=Definitions!$AF$6,Definitions!$M$4,""))</f>
        <v/>
      </c>
      <c r="Q27" s="23"/>
      <c r="R27" s="33" t="str">
        <f t="shared" ca="1" si="0"/>
        <v/>
      </c>
      <c r="S27" s="23"/>
      <c r="T27" s="13"/>
      <c r="U27" s="10" cm="1">
        <f t="array" aca="1" ref="U27" ca="1">GenerateShadowID(ROW(),$U$5,$U:$U,0,B27&lt;&gt;"")</f>
        <v>0</v>
      </c>
      <c r="V27" s="10" cm="1">
        <f t="array" ref="V27">CreateTaskID($V$5,$V:$V,Tasks!$B$17,$T27)</f>
        <v>0</v>
      </c>
      <c r="W27" s="14" t="str" cm="1">
        <f t="array" aca="1" ref="W27" ca="1">IF($B27="","",SimpleLookup($B27,'Risk Treatment'!$C:$AW))</f>
        <v/>
      </c>
      <c r="X27" s="14" t="str" cm="1">
        <f t="array" aca="1" ref="X27" ca="1">IF($B27="","",_xlfn.LET(_xlpm._attackSteps,SimpleLookup($B27,'Risk Treatment'!$C:$Y),GetValues(_xlpm._attackSteps,Mitigation!$A:$AG,"",CHAR(1),FALSE)))</f>
        <v/>
      </c>
      <c r="Y27" s="14" t="str" cm="1">
        <f t="array" aca="1" ref="Y27"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ParseInlineMitigationString(_xlpm._remainingString,_xlpm._delimiter))))($X27,CHAR(1))</f>
        <v/>
      </c>
      <c r="Z27" s="14" t="str" cm="1">
        <f t="array" aca="1" ref="Z27" ca="1">FilterElementsFromList($W27,Helper!$J$4,TRUE,",")</f>
        <v/>
      </c>
      <c r="AA27" s="14" t="str" cm="1">
        <f t="array" aca="1" ref="AA27" ca="1">FilterElementsFromList($Y27,Helper!$J$4,TRUE,",")</f>
        <v/>
      </c>
      <c r="AB27" s="20" t="str" cm="1">
        <f t="array" aca="1" ref="AB27"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CreateConfirmedInlineMitigations(_xlpm._remainingString,_xlpm._confirmedCandAIDs,_xlpm._delimiterSearchString,_xlpm._delimiterResultString))))($X27,CreateSearchString($AA27),CHAR(1),","&amp;CHAR(10))</f>
        <v/>
      </c>
      <c r="AC27" s="20">
        <f ca="1">IFERROR(MATCH($B27,Risks!$A:$A,0),-1)</f>
        <v>3</v>
      </c>
      <c r="AD27" s="20" t="str" cm="1">
        <f t="array" aca="1" ref="AD27" ca="1">IF($B27="","",_xlfn.LET(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_xlpm._factorFunction($B27,Risks!$A:CA,Definitions!$Y:$Y,Definitions!$AB:$AB,1)&amp;CHAR(10)&amp;
_xlpm._factorFunction($B27,Risks!$A:CB,Definitions!$Y:$Y,Definitions!$AB:$AB,2)&amp;CHAR(10)&amp;
_xlpm._factorFunction($B27,Risks!$A:CC,Definitions!$Y:$Y,Definitions!$AB:$AB,3)&amp;CHAR(10)&amp;
_xlpm._factorFunction($B27,Risks!$A:CD,Definitions!$Y:$Y,Definitions!$AB:$AB,4)&amp;CHAR(10)&amp;
_xlpm._factorFunction($B27,Risks!$A:CE,Definitions!$Y:$Y,Definitions!$AB:$AB,5)))</f>
        <v/>
      </c>
      <c r="AE27" s="20" t="str" cm="1">
        <f t="array" aca="1" ref="AE27" ca="1">RemoveDelimiter(SUBSTITUTE(SUBSTITUTE($AB27,"{",""),"}",""),","&amp;CHAR(10))</f>
        <v/>
      </c>
      <c r="AF27" s="20" cm="1">
        <f t="array" aca="1" ref="AF27" ca="1">IF($O27="",0,SimpleLookup($O27,Definitions!$AE:$AF))</f>
        <v>0</v>
      </c>
    </row>
    <row r="28" spans="2:32" x14ac:dyDescent="0.25">
      <c r="B28" s="16" t="str">
        <f ca="1">OFFSET(Risks!$A$2,ROW()-ROW($B$5),0)</f>
        <v/>
      </c>
      <c r="C28" s="33" t="str" cm="1">
        <f t="array" aca="1" ref="C28" ca="1">IF($B28="","",IFERROR(SimpleLookup($B28,'Risk Treatment'!$C:D),"Please ensure that all risks are covered in the "&amp;Helper!$G$14&amp;" sheet. Currently, these risks are not covered: "&amp;'Risk Treatment'!$D$2&amp;"."))</f>
        <v/>
      </c>
      <c r="D28" s="37" t="str" cm="1">
        <f t="array" aca="1" ref="D28" ca="1">IF($B28="","",IFERROR(SimpleLookup($B28,'Risk Treatment'!$C:K),"Please ensure that all risks are covered in the "&amp;Helper!$G$14&amp;" sheet. Currently, these risks are not covered: "&amp;'Risk Treatment'!$D$2&amp;"."))</f>
        <v/>
      </c>
      <c r="E28" s="16" t="str" cm="1">
        <f t="array" aca="1" ref="E28" ca="1">IF($B28="","",IFERROR(SimpleLookup($B28,'Risk Treatment'!$C:L),"Please ensure that all risks are covered in the "&amp;Helper!$G$14&amp;" sheet. Currently, these risks are not covered: "&amp;'Risk Treatment'!$D$2&amp;"."))</f>
        <v/>
      </c>
      <c r="F28" s="34" t="str" cm="1">
        <f t="array" aca="1" ref="F28" ca="1">IF($B28="","",IFERROR(SimpleLookup($B28,'Risk Treatment'!$C:M),"Please ensure that all risks are covered in the "&amp;Helper!$G$14&amp;" sheet. Currently, these risks are not covered: "&amp;'Risk Treatment'!$D$2&amp;"."))</f>
        <v/>
      </c>
      <c r="G28" s="16" t="str" cm="1">
        <f t="array" aca="1" ref="G28" ca="1">IF($B28="","",IFERROR(SimpleLookup($B28,'Risk Treatment'!$C:N),"Please ensure that all risks are covered in the "&amp;Helper!$G$14&amp;" sheet. Currently, these risks are not covered: "&amp;'Risk Treatment'!$D$2&amp;"."))</f>
        <v/>
      </c>
      <c r="H28" s="16" t="str" cm="1">
        <f t="array" aca="1" ref="H28" ca="1">IF($B28="","",IFERROR(SimpleLookup($B28,'Risk Treatment'!$C:J),"Please ensure that all risks are covered in the "&amp;Helper!$G$14&amp;" sheet. Currently, these risks are not covered: "&amp;'Risk Treatment'!$D$2&amp;"."))</f>
        <v/>
      </c>
      <c r="I28" s="33" t="str" cm="1">
        <f t="array" aca="1" ref="I28" ca="1">IF($B28="","",IFERROR(SimpleLookup($B28,'Risk Treatment'!$C:O),"Please ensure that all risks are covered in the "&amp;Helper!$G$14&amp;" sheet. Currently, these risks are not covered: "&amp;'Risk Treatment'!$D$2&amp;"."))</f>
        <v/>
      </c>
      <c r="J28" s="33" t="str" cm="1">
        <f t="array" aca="1" ref="J28" ca="1">_xlfn.LET(
_xlpm._assignedMitigations,IF($B28="","",IFERROR(RemoveDelimiter(GetValuesWithFallback($Z28,Countermeasures!$A:$B,Assumptions!$A:$B," ",","&amp;CHAR(10),TRUE),","&amp;CHAR(10)),"Error: Unknown risk ID "&amp;$B28)),
_xlpm._inlineMitigations,$AE28,
_xlpm._assignedMitigations&amp;
IF(OR(_xlpm._assignedMitigations="",_xlpm._inlineMitigations=""),"",","&amp;CHAR(10))&amp;
_xlpm._inlineMitigations)</f>
        <v/>
      </c>
      <c r="K28" s="37" t="str" cm="1">
        <f t="array" aca="1" ref="K28" ca="1">IF($AC28=-1,"",RemoveDelimiter(GetValues(INDEX(Risks!BN:BN,$AC28),'DS Overview'!$A:$B," ",","&amp;CHAR(10),TRUE),","&amp;CHAR(10)))</f>
        <v/>
      </c>
      <c r="L28" s="33" t="str" cm="1">
        <f t="array" aca="1" ref="L28" ca="1">IF($AC28=-1,"",INDEX(Risks!BP:BP,$AC28))</f>
        <v/>
      </c>
      <c r="M28" s="34" t="str" cm="1">
        <f t="array" aca="1" ref="M28" ca="1">_xlfn.LET(
_xlpm._calculatedRAP,IFERROR(SimpleLookup($B28,Risks!$A:$BG),""),
_xlpm._inlineRAP,IFERROR(SimpleLookup($B28,Risks!$A:$BH),""),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IF(_xlpm._calculatedValue&gt;=_xlpm._inlineValue,$AD28,
_xlpm._mitigationSheetName&amp;" sheet "&amp;_xlfn.UNICHAR(8702)&amp;" Comment column:"&amp;CHAR(10)&amp;$AE28)))</f>
        <v/>
      </c>
      <c r="N28" s="33" t="str" cm="1">
        <f t="array" aca="1" ref="N28" ca="1">IF($AC28=-1,"",INDEX(Risks!CN:CN,$AC28))</f>
        <v>Basic</v>
      </c>
      <c r="O28" s="33" t="str" cm="1">
        <f t="array" aca="1" ref="O28" ca="1">IF($AC28=-1,"",INDEX(Risks!CO:CO,$AC28))</f>
        <v>No Risk</v>
      </c>
      <c r="P28" s="33" t="str">
        <f ca="1">IF($C28="","",IF($AF28&lt;=Definitions!$AF$6,Definitions!$M$4,""))</f>
        <v/>
      </c>
      <c r="Q28" s="23"/>
      <c r="R28" s="33" t="str">
        <f t="shared" ca="1" si="0"/>
        <v/>
      </c>
      <c r="S28" s="23"/>
      <c r="T28" s="13"/>
      <c r="U28" s="10" cm="1">
        <f t="array" aca="1" ref="U28" ca="1">GenerateShadowID(ROW(),$U$5,$U:$U,0,B28&lt;&gt;"")</f>
        <v>0</v>
      </c>
      <c r="V28" s="10" cm="1">
        <f t="array" ref="V28">CreateTaskID($V$5,$V:$V,Tasks!$B$17,$T28)</f>
        <v>0</v>
      </c>
      <c r="W28" s="14" t="str" cm="1">
        <f t="array" aca="1" ref="W28" ca="1">IF($B28="","",SimpleLookup($B28,'Risk Treatment'!$C:$AW))</f>
        <v/>
      </c>
      <c r="X28" s="14" t="str" cm="1">
        <f t="array" aca="1" ref="X28" ca="1">IF($B28="","",_xlfn.LET(_xlpm._attackSteps,SimpleLookup($B28,'Risk Treatment'!$C:$Y),GetValues(_xlpm._attackSteps,Mitigation!$A:$AG,"",CHAR(1),FALSE)))</f>
        <v/>
      </c>
      <c r="Y28" s="14" t="str" cm="1">
        <f t="array" aca="1" ref="Y28"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ParseInlineMitigationString(_xlpm._remainingString,_xlpm._delimiter))))($X28,CHAR(1))</f>
        <v/>
      </c>
      <c r="Z28" s="14" t="str" cm="1">
        <f t="array" aca="1" ref="Z28" ca="1">FilterElementsFromList($W28,Helper!$J$4,TRUE,",")</f>
        <v/>
      </c>
      <c r="AA28" s="14" t="str" cm="1">
        <f t="array" aca="1" ref="AA28" ca="1">FilterElementsFromList($Y28,Helper!$J$4,TRUE,",")</f>
        <v/>
      </c>
      <c r="AB28" s="20" t="str" cm="1">
        <f t="array" aca="1" ref="AB28"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CreateConfirmedInlineMitigations(_xlpm._remainingString,_xlpm._confirmedCandAIDs,_xlpm._delimiterSearchString,_xlpm._delimiterResultString))))($X28,CreateSearchString($AA28),CHAR(1),","&amp;CHAR(10))</f>
        <v/>
      </c>
      <c r="AC28" s="20">
        <f ca="1">IFERROR(MATCH($B28,Risks!$A:$A,0),-1)</f>
        <v>3</v>
      </c>
      <c r="AD28" s="20" t="str" cm="1">
        <f t="array" aca="1" ref="AD28" ca="1">IF($B28="","",_xlfn.LET(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_xlpm._factorFunction($B28,Risks!$A:CA,Definitions!$Y:$Y,Definitions!$AB:$AB,1)&amp;CHAR(10)&amp;
_xlpm._factorFunction($B28,Risks!$A:CB,Definitions!$Y:$Y,Definitions!$AB:$AB,2)&amp;CHAR(10)&amp;
_xlpm._factorFunction($B28,Risks!$A:CC,Definitions!$Y:$Y,Definitions!$AB:$AB,3)&amp;CHAR(10)&amp;
_xlpm._factorFunction($B28,Risks!$A:CD,Definitions!$Y:$Y,Definitions!$AB:$AB,4)&amp;CHAR(10)&amp;
_xlpm._factorFunction($B28,Risks!$A:CE,Definitions!$Y:$Y,Definitions!$AB:$AB,5)))</f>
        <v/>
      </c>
      <c r="AE28" s="20" t="str" cm="1">
        <f t="array" aca="1" ref="AE28" ca="1">RemoveDelimiter(SUBSTITUTE(SUBSTITUTE($AB28,"{",""),"}",""),","&amp;CHAR(10))</f>
        <v/>
      </c>
      <c r="AF28" s="20" cm="1">
        <f t="array" aca="1" ref="AF28" ca="1">IF($O28="",0,SimpleLookup($O28,Definitions!$AE:$AF))</f>
        <v>0</v>
      </c>
    </row>
    <row r="29" spans="2:32" x14ac:dyDescent="0.25">
      <c r="B29" s="16" t="str">
        <f ca="1">OFFSET(Risks!$A$2,ROW()-ROW($B$5),0)</f>
        <v/>
      </c>
      <c r="C29" s="33" t="str" cm="1">
        <f t="array" aca="1" ref="C29" ca="1">IF($B29="","",IFERROR(SimpleLookup($B29,'Risk Treatment'!$C:D),"Please ensure that all risks are covered in the "&amp;Helper!$G$14&amp;" sheet. Currently, these risks are not covered: "&amp;'Risk Treatment'!$D$2&amp;"."))</f>
        <v/>
      </c>
      <c r="D29" s="37" t="str" cm="1">
        <f t="array" aca="1" ref="D29" ca="1">IF($B29="","",IFERROR(SimpleLookup($B29,'Risk Treatment'!$C:K),"Please ensure that all risks are covered in the "&amp;Helper!$G$14&amp;" sheet. Currently, these risks are not covered: "&amp;'Risk Treatment'!$D$2&amp;"."))</f>
        <v/>
      </c>
      <c r="E29" s="16" t="str" cm="1">
        <f t="array" aca="1" ref="E29" ca="1">IF($B29="","",IFERROR(SimpleLookup($B29,'Risk Treatment'!$C:L),"Please ensure that all risks are covered in the "&amp;Helper!$G$14&amp;" sheet. Currently, these risks are not covered: "&amp;'Risk Treatment'!$D$2&amp;"."))</f>
        <v/>
      </c>
      <c r="F29" s="34" t="str" cm="1">
        <f t="array" aca="1" ref="F29" ca="1">IF($B29="","",IFERROR(SimpleLookup($B29,'Risk Treatment'!$C:M),"Please ensure that all risks are covered in the "&amp;Helper!$G$14&amp;" sheet. Currently, these risks are not covered: "&amp;'Risk Treatment'!$D$2&amp;"."))</f>
        <v/>
      </c>
      <c r="G29" s="16" t="str" cm="1">
        <f t="array" aca="1" ref="G29" ca="1">IF($B29="","",IFERROR(SimpleLookup($B29,'Risk Treatment'!$C:N),"Please ensure that all risks are covered in the "&amp;Helper!$G$14&amp;" sheet. Currently, these risks are not covered: "&amp;'Risk Treatment'!$D$2&amp;"."))</f>
        <v/>
      </c>
      <c r="H29" s="16" t="str" cm="1">
        <f t="array" aca="1" ref="H29" ca="1">IF($B29="","",IFERROR(SimpleLookup($B29,'Risk Treatment'!$C:J),"Please ensure that all risks are covered in the "&amp;Helper!$G$14&amp;" sheet. Currently, these risks are not covered: "&amp;'Risk Treatment'!$D$2&amp;"."))</f>
        <v/>
      </c>
      <c r="I29" s="33" t="str" cm="1">
        <f t="array" aca="1" ref="I29" ca="1">IF($B29="","",IFERROR(SimpleLookup($B29,'Risk Treatment'!$C:O),"Please ensure that all risks are covered in the "&amp;Helper!$G$14&amp;" sheet. Currently, these risks are not covered: "&amp;'Risk Treatment'!$D$2&amp;"."))</f>
        <v/>
      </c>
      <c r="J29" s="33" t="str" cm="1">
        <f t="array" aca="1" ref="J29" ca="1">_xlfn.LET(
_xlpm._assignedMitigations,IF($B29="","",IFERROR(RemoveDelimiter(GetValuesWithFallback($Z29,Countermeasures!$A:$B,Assumptions!$A:$B," ",","&amp;CHAR(10),TRUE),","&amp;CHAR(10)),"Error: Unknown risk ID "&amp;$B29)),
_xlpm._inlineMitigations,$AE29,
_xlpm._assignedMitigations&amp;
IF(OR(_xlpm._assignedMitigations="",_xlpm._inlineMitigations=""),"",","&amp;CHAR(10))&amp;
_xlpm._inlineMitigations)</f>
        <v/>
      </c>
      <c r="K29" s="37" t="str" cm="1">
        <f t="array" aca="1" ref="K29" ca="1">IF($AC29=-1,"",RemoveDelimiter(GetValues(INDEX(Risks!BN:BN,$AC29),'DS Overview'!$A:$B," ",","&amp;CHAR(10),TRUE),","&amp;CHAR(10)))</f>
        <v/>
      </c>
      <c r="L29" s="33" t="str" cm="1">
        <f t="array" aca="1" ref="L29" ca="1">IF($AC29=-1,"",INDEX(Risks!BP:BP,$AC29))</f>
        <v/>
      </c>
      <c r="M29" s="34" t="str" cm="1">
        <f t="array" aca="1" ref="M29" ca="1">_xlfn.LET(
_xlpm._calculatedRAP,IFERROR(SimpleLookup($B29,Risks!$A:$BG),""),
_xlpm._inlineRAP,IFERROR(SimpleLookup($B29,Risks!$A:$BH),""),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IF(_xlpm._calculatedValue&gt;=_xlpm._inlineValue,$AD29,
_xlpm._mitigationSheetName&amp;" sheet "&amp;_xlfn.UNICHAR(8702)&amp;" Comment column:"&amp;CHAR(10)&amp;$AE29)))</f>
        <v/>
      </c>
      <c r="N29" s="33" t="str" cm="1">
        <f t="array" aca="1" ref="N29" ca="1">IF($AC29=-1,"",INDEX(Risks!CN:CN,$AC29))</f>
        <v>Basic</v>
      </c>
      <c r="O29" s="33" t="str" cm="1">
        <f t="array" aca="1" ref="O29" ca="1">IF($AC29=-1,"",INDEX(Risks!CO:CO,$AC29))</f>
        <v>No Risk</v>
      </c>
      <c r="P29" s="33" t="str">
        <f ca="1">IF($C29="","",IF($AF29&lt;=Definitions!$AF$6,Definitions!$M$4,""))</f>
        <v/>
      </c>
      <c r="Q29" s="23"/>
      <c r="R29" s="33" t="str">
        <f t="shared" ca="1" si="0"/>
        <v/>
      </c>
      <c r="S29" s="23"/>
      <c r="T29" s="13"/>
      <c r="U29" s="10" cm="1">
        <f t="array" aca="1" ref="U29" ca="1">GenerateShadowID(ROW(),$U$5,$U:$U,0,B29&lt;&gt;"")</f>
        <v>0</v>
      </c>
      <c r="V29" s="10" cm="1">
        <f t="array" ref="V29">CreateTaskID($V$5,$V:$V,Tasks!$B$17,$T29)</f>
        <v>0</v>
      </c>
      <c r="W29" s="14" t="str" cm="1">
        <f t="array" aca="1" ref="W29" ca="1">IF($B29="","",SimpleLookup($B29,'Risk Treatment'!$C:$AW))</f>
        <v/>
      </c>
      <c r="X29" s="14" t="str" cm="1">
        <f t="array" aca="1" ref="X29" ca="1">IF($B29="","",_xlfn.LET(_xlpm._attackSteps,SimpleLookup($B29,'Risk Treatment'!$C:$Y),GetValues(_xlpm._attackSteps,Mitigation!$A:$AG,"",CHAR(1),FALSE)))</f>
        <v/>
      </c>
      <c r="Y29" s="14" t="str" cm="1">
        <f t="array" aca="1" ref="Y29"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ParseInlineMitigationString(_xlpm._remainingString,_xlpm._delimiter))))($X29,CHAR(1))</f>
        <v/>
      </c>
      <c r="Z29" s="14" t="str" cm="1">
        <f t="array" aca="1" ref="Z29" ca="1">FilterElementsFromList($W29,Helper!$J$4,TRUE,",")</f>
        <v/>
      </c>
      <c r="AA29" s="14" t="str" cm="1">
        <f t="array" aca="1" ref="AA29" ca="1">FilterElementsFromList($Y29,Helper!$J$4,TRUE,",")</f>
        <v/>
      </c>
      <c r="AB29" s="20" t="str" cm="1">
        <f t="array" aca="1" ref="AB29"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CreateConfirmedInlineMitigations(_xlpm._remainingString,_xlpm._confirmedCandAIDs,_xlpm._delimiterSearchString,_xlpm._delimiterResultString))))($X29,CreateSearchString($AA29),CHAR(1),","&amp;CHAR(10))</f>
        <v/>
      </c>
      <c r="AC29" s="20">
        <f ca="1">IFERROR(MATCH($B29,Risks!$A:$A,0),-1)</f>
        <v>3</v>
      </c>
      <c r="AD29" s="20" t="str" cm="1">
        <f t="array" aca="1" ref="AD29" ca="1">IF($B29="","",_xlfn.LET(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_xlpm._factorFunction($B29,Risks!$A:CA,Definitions!$Y:$Y,Definitions!$AB:$AB,1)&amp;CHAR(10)&amp;
_xlpm._factorFunction($B29,Risks!$A:CB,Definitions!$Y:$Y,Definitions!$AB:$AB,2)&amp;CHAR(10)&amp;
_xlpm._factorFunction($B29,Risks!$A:CC,Definitions!$Y:$Y,Definitions!$AB:$AB,3)&amp;CHAR(10)&amp;
_xlpm._factorFunction($B29,Risks!$A:CD,Definitions!$Y:$Y,Definitions!$AB:$AB,4)&amp;CHAR(10)&amp;
_xlpm._factorFunction($B29,Risks!$A:CE,Definitions!$Y:$Y,Definitions!$AB:$AB,5)))</f>
        <v/>
      </c>
      <c r="AE29" s="20" t="str" cm="1">
        <f t="array" aca="1" ref="AE29" ca="1">RemoveDelimiter(SUBSTITUTE(SUBSTITUTE($AB29,"{",""),"}",""),","&amp;CHAR(10))</f>
        <v/>
      </c>
      <c r="AF29" s="20" cm="1">
        <f t="array" aca="1" ref="AF29" ca="1">IF($O29="",0,SimpleLookup($O29,Definitions!$AE:$AF))</f>
        <v>0</v>
      </c>
    </row>
    <row r="30" spans="2:32" x14ac:dyDescent="0.25">
      <c r="B30" s="16" t="str">
        <f ca="1">OFFSET(Risks!$A$2,ROW()-ROW($B$5),0)</f>
        <v/>
      </c>
      <c r="C30" s="33" t="str" cm="1">
        <f t="array" aca="1" ref="C30" ca="1">IF($B30="","",IFERROR(SimpleLookup($B30,'Risk Treatment'!$C:D),"Please ensure that all risks are covered in the "&amp;Helper!$G$14&amp;" sheet. Currently, these risks are not covered: "&amp;'Risk Treatment'!$D$2&amp;"."))</f>
        <v/>
      </c>
      <c r="D30" s="37" t="str" cm="1">
        <f t="array" aca="1" ref="D30" ca="1">IF($B30="","",IFERROR(SimpleLookup($B30,'Risk Treatment'!$C:K),"Please ensure that all risks are covered in the "&amp;Helper!$G$14&amp;" sheet. Currently, these risks are not covered: "&amp;'Risk Treatment'!$D$2&amp;"."))</f>
        <v/>
      </c>
      <c r="E30" s="16" t="str" cm="1">
        <f t="array" aca="1" ref="E30" ca="1">IF($B30="","",IFERROR(SimpleLookup($B30,'Risk Treatment'!$C:L),"Please ensure that all risks are covered in the "&amp;Helper!$G$14&amp;" sheet. Currently, these risks are not covered: "&amp;'Risk Treatment'!$D$2&amp;"."))</f>
        <v/>
      </c>
      <c r="F30" s="34" t="str" cm="1">
        <f t="array" aca="1" ref="F30" ca="1">IF($B30="","",IFERROR(SimpleLookup($B30,'Risk Treatment'!$C:M),"Please ensure that all risks are covered in the "&amp;Helper!$G$14&amp;" sheet. Currently, these risks are not covered: "&amp;'Risk Treatment'!$D$2&amp;"."))</f>
        <v/>
      </c>
      <c r="G30" s="16" t="str" cm="1">
        <f t="array" aca="1" ref="G30" ca="1">IF($B30="","",IFERROR(SimpleLookup($B30,'Risk Treatment'!$C:N),"Please ensure that all risks are covered in the "&amp;Helper!$G$14&amp;" sheet. Currently, these risks are not covered: "&amp;'Risk Treatment'!$D$2&amp;"."))</f>
        <v/>
      </c>
      <c r="H30" s="16" t="str" cm="1">
        <f t="array" aca="1" ref="H30" ca="1">IF($B30="","",IFERROR(SimpleLookup($B30,'Risk Treatment'!$C:J),"Please ensure that all risks are covered in the "&amp;Helper!$G$14&amp;" sheet. Currently, these risks are not covered: "&amp;'Risk Treatment'!$D$2&amp;"."))</f>
        <v/>
      </c>
      <c r="I30" s="33" t="str" cm="1">
        <f t="array" aca="1" ref="I30" ca="1">IF($B30="","",IFERROR(SimpleLookup($B30,'Risk Treatment'!$C:O),"Please ensure that all risks are covered in the "&amp;Helper!$G$14&amp;" sheet. Currently, these risks are not covered: "&amp;'Risk Treatment'!$D$2&amp;"."))</f>
        <v/>
      </c>
      <c r="J30" s="33" t="str" cm="1">
        <f t="array" aca="1" ref="J30" ca="1">_xlfn.LET(
_xlpm._assignedMitigations,IF($B30="","",IFERROR(RemoveDelimiter(GetValuesWithFallback($Z30,Countermeasures!$A:$B,Assumptions!$A:$B," ",","&amp;CHAR(10),TRUE),","&amp;CHAR(10)),"Error: Unknown risk ID "&amp;$B30)),
_xlpm._inlineMitigations,$AE30,
_xlpm._assignedMitigations&amp;
IF(OR(_xlpm._assignedMitigations="",_xlpm._inlineMitigations=""),"",","&amp;CHAR(10))&amp;
_xlpm._inlineMitigations)</f>
        <v/>
      </c>
      <c r="K30" s="37" t="str" cm="1">
        <f t="array" aca="1" ref="K30" ca="1">IF($AC30=-1,"",RemoveDelimiter(GetValues(INDEX(Risks!BN:BN,$AC30),'DS Overview'!$A:$B," ",","&amp;CHAR(10),TRUE),","&amp;CHAR(10)))</f>
        <v/>
      </c>
      <c r="L30" s="33" t="str" cm="1">
        <f t="array" aca="1" ref="L30" ca="1">IF($AC30=-1,"",INDEX(Risks!BP:BP,$AC30))</f>
        <v/>
      </c>
      <c r="M30" s="34" t="str" cm="1">
        <f t="array" aca="1" ref="M30" ca="1">_xlfn.LET(
_xlpm._calculatedRAP,IFERROR(SimpleLookup($B30,Risks!$A:$BG),""),
_xlpm._inlineRAP,IFERROR(SimpleLookup($B30,Risks!$A:$BH),""),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IF(_xlpm._calculatedValue&gt;=_xlpm._inlineValue,$AD30,
_xlpm._mitigationSheetName&amp;" sheet "&amp;_xlfn.UNICHAR(8702)&amp;" Comment column:"&amp;CHAR(10)&amp;$AE30)))</f>
        <v/>
      </c>
      <c r="N30" s="33" t="str" cm="1">
        <f t="array" aca="1" ref="N30" ca="1">IF($AC30=-1,"",INDEX(Risks!CN:CN,$AC30))</f>
        <v>Basic</v>
      </c>
      <c r="O30" s="33" t="str" cm="1">
        <f t="array" aca="1" ref="O30" ca="1">IF($AC30=-1,"",INDEX(Risks!CO:CO,$AC30))</f>
        <v>No Risk</v>
      </c>
      <c r="P30" s="33" t="str">
        <f ca="1">IF($C30="","",IF($AF30&lt;=Definitions!$AF$6,Definitions!$M$4,""))</f>
        <v/>
      </c>
      <c r="Q30" s="23"/>
      <c r="R30" s="33" t="str">
        <f t="shared" ca="1" si="0"/>
        <v/>
      </c>
      <c r="S30" s="23"/>
      <c r="T30" s="13"/>
      <c r="U30" s="10" cm="1">
        <f t="array" aca="1" ref="U30" ca="1">GenerateShadowID(ROW(),$U$5,$U:$U,0,B30&lt;&gt;"")</f>
        <v>0</v>
      </c>
      <c r="V30" s="10" cm="1">
        <f t="array" ref="V30">CreateTaskID($V$5,$V:$V,Tasks!$B$17,$T30)</f>
        <v>0</v>
      </c>
      <c r="W30" s="14" t="str" cm="1">
        <f t="array" aca="1" ref="W30" ca="1">IF($B30="","",SimpleLookup($B30,'Risk Treatment'!$C:$AW))</f>
        <v/>
      </c>
      <c r="X30" s="14" t="str" cm="1">
        <f t="array" aca="1" ref="X30" ca="1">IF($B30="","",_xlfn.LET(_xlpm._attackSteps,SimpleLookup($B30,'Risk Treatment'!$C:$Y),GetValues(_xlpm._attackSteps,Mitigation!$A:$AG,"",CHAR(1),FALSE)))</f>
        <v/>
      </c>
      <c r="Y30" s="14" t="str" cm="1">
        <f t="array" aca="1" ref="Y30"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ParseInlineMitigationString(_xlpm._remainingString,_xlpm._delimiter))))($X30,CHAR(1))</f>
        <v/>
      </c>
      <c r="Z30" s="14" t="str" cm="1">
        <f t="array" aca="1" ref="Z30" ca="1">FilterElementsFromList($W30,Helper!$J$4,TRUE,",")</f>
        <v/>
      </c>
      <c r="AA30" s="14" t="str" cm="1">
        <f t="array" aca="1" ref="AA30" ca="1">FilterElementsFromList($Y30,Helper!$J$4,TRUE,",")</f>
        <v/>
      </c>
      <c r="AB30" s="20" t="str" cm="1">
        <f t="array" aca="1" ref="AB30"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CreateConfirmedInlineMitigations(_xlpm._remainingString,_xlpm._confirmedCandAIDs,_xlpm._delimiterSearchString,_xlpm._delimiterResultString))))($X30,CreateSearchString($AA30),CHAR(1),","&amp;CHAR(10))</f>
        <v/>
      </c>
      <c r="AC30" s="20">
        <f ca="1">IFERROR(MATCH($B30,Risks!$A:$A,0),-1)</f>
        <v>3</v>
      </c>
      <c r="AD30" s="20" t="str" cm="1">
        <f t="array" aca="1" ref="AD30" ca="1">IF($B30="","",_xlfn.LET(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_xlpm._factorFunction($B30,Risks!$A:CA,Definitions!$Y:$Y,Definitions!$AB:$AB,1)&amp;CHAR(10)&amp;
_xlpm._factorFunction($B30,Risks!$A:CB,Definitions!$Y:$Y,Definitions!$AB:$AB,2)&amp;CHAR(10)&amp;
_xlpm._factorFunction($B30,Risks!$A:CC,Definitions!$Y:$Y,Definitions!$AB:$AB,3)&amp;CHAR(10)&amp;
_xlpm._factorFunction($B30,Risks!$A:CD,Definitions!$Y:$Y,Definitions!$AB:$AB,4)&amp;CHAR(10)&amp;
_xlpm._factorFunction($B30,Risks!$A:CE,Definitions!$Y:$Y,Definitions!$AB:$AB,5)))</f>
        <v/>
      </c>
      <c r="AE30" s="20" t="str" cm="1">
        <f t="array" aca="1" ref="AE30" ca="1">RemoveDelimiter(SUBSTITUTE(SUBSTITUTE($AB30,"{",""),"}",""),","&amp;CHAR(10))</f>
        <v/>
      </c>
      <c r="AF30" s="20" cm="1">
        <f t="array" aca="1" ref="AF30" ca="1">IF($O30="",0,SimpleLookup($O30,Definitions!$AE:$AF))</f>
        <v>0</v>
      </c>
    </row>
    <row r="31" spans="2:32" x14ac:dyDescent="0.25">
      <c r="B31" s="16" t="str">
        <f ca="1">OFFSET(Risks!$A$2,ROW()-ROW($B$5),0)</f>
        <v/>
      </c>
      <c r="C31" s="33" t="str" cm="1">
        <f t="array" aca="1" ref="C31" ca="1">IF($B31="","",IFERROR(SimpleLookup($B31,'Risk Treatment'!$C:D),"Please ensure that all risks are covered in the "&amp;Helper!$G$14&amp;" sheet. Currently, these risks are not covered: "&amp;'Risk Treatment'!$D$2&amp;"."))</f>
        <v/>
      </c>
      <c r="D31" s="37" t="str" cm="1">
        <f t="array" aca="1" ref="D31" ca="1">IF($B31="","",IFERROR(SimpleLookup($B31,'Risk Treatment'!$C:K),"Please ensure that all risks are covered in the "&amp;Helper!$G$14&amp;" sheet. Currently, these risks are not covered: "&amp;'Risk Treatment'!$D$2&amp;"."))</f>
        <v/>
      </c>
      <c r="E31" s="16" t="str" cm="1">
        <f t="array" aca="1" ref="E31" ca="1">IF($B31="","",IFERROR(SimpleLookup($B31,'Risk Treatment'!$C:L),"Please ensure that all risks are covered in the "&amp;Helper!$G$14&amp;" sheet. Currently, these risks are not covered: "&amp;'Risk Treatment'!$D$2&amp;"."))</f>
        <v/>
      </c>
      <c r="F31" s="34" t="str" cm="1">
        <f t="array" aca="1" ref="F31" ca="1">IF($B31="","",IFERROR(SimpleLookup($B31,'Risk Treatment'!$C:M),"Please ensure that all risks are covered in the "&amp;Helper!$G$14&amp;" sheet. Currently, these risks are not covered: "&amp;'Risk Treatment'!$D$2&amp;"."))</f>
        <v/>
      </c>
      <c r="G31" s="16" t="str" cm="1">
        <f t="array" aca="1" ref="G31" ca="1">IF($B31="","",IFERROR(SimpleLookup($B31,'Risk Treatment'!$C:N),"Please ensure that all risks are covered in the "&amp;Helper!$G$14&amp;" sheet. Currently, these risks are not covered: "&amp;'Risk Treatment'!$D$2&amp;"."))</f>
        <v/>
      </c>
      <c r="H31" s="16" t="str" cm="1">
        <f t="array" aca="1" ref="H31" ca="1">IF($B31="","",IFERROR(SimpleLookup($B31,'Risk Treatment'!$C:J),"Please ensure that all risks are covered in the "&amp;Helper!$G$14&amp;" sheet. Currently, these risks are not covered: "&amp;'Risk Treatment'!$D$2&amp;"."))</f>
        <v/>
      </c>
      <c r="I31" s="33" t="str" cm="1">
        <f t="array" aca="1" ref="I31" ca="1">IF($B31="","",IFERROR(SimpleLookup($B31,'Risk Treatment'!$C:O),"Please ensure that all risks are covered in the "&amp;Helper!$G$14&amp;" sheet. Currently, these risks are not covered: "&amp;'Risk Treatment'!$D$2&amp;"."))</f>
        <v/>
      </c>
      <c r="J31" s="33" t="str" cm="1">
        <f t="array" aca="1" ref="J31" ca="1">_xlfn.LET(
_xlpm._assignedMitigations,IF($B31="","",IFERROR(RemoveDelimiter(GetValuesWithFallback($Z31,Countermeasures!$A:$B,Assumptions!$A:$B," ",","&amp;CHAR(10),TRUE),","&amp;CHAR(10)),"Error: Unknown risk ID "&amp;$B31)),
_xlpm._inlineMitigations,$AE31,
_xlpm._assignedMitigations&amp;
IF(OR(_xlpm._assignedMitigations="",_xlpm._inlineMitigations=""),"",","&amp;CHAR(10))&amp;
_xlpm._inlineMitigations)</f>
        <v/>
      </c>
      <c r="K31" s="37" t="str" cm="1">
        <f t="array" aca="1" ref="K31" ca="1">IF($AC31=-1,"",RemoveDelimiter(GetValues(INDEX(Risks!BN:BN,$AC31),'DS Overview'!$A:$B," ",","&amp;CHAR(10),TRUE),","&amp;CHAR(10)))</f>
        <v/>
      </c>
      <c r="L31" s="33" t="str" cm="1">
        <f t="array" aca="1" ref="L31" ca="1">IF($AC31=-1,"",INDEX(Risks!BP:BP,$AC31))</f>
        <v/>
      </c>
      <c r="M31" s="34" t="str" cm="1">
        <f t="array" aca="1" ref="M31" ca="1">_xlfn.LET(
_xlpm._calculatedRAP,IFERROR(SimpleLookup($B31,Risks!$A:$BG),""),
_xlpm._inlineRAP,IFERROR(SimpleLookup($B31,Risks!$A:$BH),""),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IF(_xlpm._calculatedValue&gt;=_xlpm._inlineValue,$AD31,
_xlpm._mitigationSheetName&amp;" sheet "&amp;_xlfn.UNICHAR(8702)&amp;" Comment column:"&amp;CHAR(10)&amp;$AE31)))</f>
        <v/>
      </c>
      <c r="N31" s="33" t="str" cm="1">
        <f t="array" aca="1" ref="N31" ca="1">IF($AC31=-1,"",INDEX(Risks!CN:CN,$AC31))</f>
        <v>Basic</v>
      </c>
      <c r="O31" s="33" t="str" cm="1">
        <f t="array" aca="1" ref="O31" ca="1">IF($AC31=-1,"",INDEX(Risks!CO:CO,$AC31))</f>
        <v>No Risk</v>
      </c>
      <c r="P31" s="33" t="str">
        <f ca="1">IF($C31="","",IF($AF31&lt;=Definitions!$AF$6,Definitions!$M$4,""))</f>
        <v/>
      </c>
      <c r="Q31" s="23"/>
      <c r="R31" s="33" t="str">
        <f t="shared" ca="1" si="0"/>
        <v/>
      </c>
      <c r="S31" s="23"/>
      <c r="T31" s="13"/>
      <c r="U31" s="10" cm="1">
        <f t="array" aca="1" ref="U31" ca="1">GenerateShadowID(ROW(),$U$5,$U:$U,0,B31&lt;&gt;"")</f>
        <v>0</v>
      </c>
      <c r="V31" s="10" cm="1">
        <f t="array" ref="V31">CreateTaskID($V$5,$V:$V,Tasks!$B$17,$T31)</f>
        <v>0</v>
      </c>
      <c r="W31" s="14" t="str" cm="1">
        <f t="array" aca="1" ref="W31" ca="1">IF($B31="","",SimpleLookup($B31,'Risk Treatment'!$C:$AW))</f>
        <v/>
      </c>
      <c r="X31" s="14" t="str" cm="1">
        <f t="array" aca="1" ref="X31" ca="1">IF($B31="","",_xlfn.LET(_xlpm._attackSteps,SimpleLookup($B31,'Risk Treatment'!$C:$Y),GetValues(_xlpm._attackSteps,Mitigation!$A:$AG,"",CHAR(1),FALSE)))</f>
        <v/>
      </c>
      <c r="Y31" s="14" t="str" cm="1">
        <f t="array" aca="1" ref="Y31"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ParseInlineMitigationString(_xlpm._remainingString,_xlpm._delimiter))))($X31,CHAR(1))</f>
        <v/>
      </c>
      <c r="Z31" s="14" t="str" cm="1">
        <f t="array" aca="1" ref="Z31" ca="1">FilterElementsFromList($W31,Helper!$J$4,TRUE,",")</f>
        <v/>
      </c>
      <c r="AA31" s="14" t="str" cm="1">
        <f t="array" aca="1" ref="AA31" ca="1">FilterElementsFromList($Y31,Helper!$J$4,TRUE,",")</f>
        <v/>
      </c>
      <c r="AB31" s="20" t="str" cm="1">
        <f t="array" aca="1" ref="AB31"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CreateConfirmedInlineMitigations(_xlpm._remainingString,_xlpm._confirmedCandAIDs,_xlpm._delimiterSearchString,_xlpm._delimiterResultString))))($X31,CreateSearchString($AA31),CHAR(1),","&amp;CHAR(10))</f>
        <v/>
      </c>
      <c r="AC31" s="20">
        <f ca="1">IFERROR(MATCH($B31,Risks!$A:$A,0),-1)</f>
        <v>3</v>
      </c>
      <c r="AD31" s="20" t="str" cm="1">
        <f t="array" aca="1" ref="AD31" ca="1">IF($B31="","",_xlfn.LET(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_xlpm._factorFunction($B31,Risks!$A:CA,Definitions!$Y:$Y,Definitions!$AB:$AB,1)&amp;CHAR(10)&amp;
_xlpm._factorFunction($B31,Risks!$A:CB,Definitions!$Y:$Y,Definitions!$AB:$AB,2)&amp;CHAR(10)&amp;
_xlpm._factorFunction($B31,Risks!$A:CC,Definitions!$Y:$Y,Definitions!$AB:$AB,3)&amp;CHAR(10)&amp;
_xlpm._factorFunction($B31,Risks!$A:CD,Definitions!$Y:$Y,Definitions!$AB:$AB,4)&amp;CHAR(10)&amp;
_xlpm._factorFunction($B31,Risks!$A:CE,Definitions!$Y:$Y,Definitions!$AB:$AB,5)))</f>
        <v/>
      </c>
      <c r="AE31" s="20" t="str" cm="1">
        <f t="array" aca="1" ref="AE31" ca="1">RemoveDelimiter(SUBSTITUTE(SUBSTITUTE($AB31,"{",""),"}",""),","&amp;CHAR(10))</f>
        <v/>
      </c>
      <c r="AF31" s="20" cm="1">
        <f t="array" aca="1" ref="AF31" ca="1">IF($O31="",0,SimpleLookup($O31,Definitions!$AE:$AF))</f>
        <v>0</v>
      </c>
    </row>
    <row r="32" spans="2:32" x14ac:dyDescent="0.25">
      <c r="B32" s="16" t="str">
        <f ca="1">OFFSET(Risks!$A$2,ROW()-ROW($B$5),0)</f>
        <v/>
      </c>
      <c r="C32" s="33" t="str" cm="1">
        <f t="array" aca="1" ref="C32" ca="1">IF($B32="","",IFERROR(SimpleLookup($B32,'Risk Treatment'!$C:D),"Please ensure that all risks are covered in the "&amp;Helper!$G$14&amp;" sheet. Currently, these risks are not covered: "&amp;'Risk Treatment'!$D$2&amp;"."))</f>
        <v/>
      </c>
      <c r="D32" s="37" t="str" cm="1">
        <f t="array" aca="1" ref="D32" ca="1">IF($B32="","",IFERROR(SimpleLookup($B32,'Risk Treatment'!$C:K),"Please ensure that all risks are covered in the "&amp;Helper!$G$14&amp;" sheet. Currently, these risks are not covered: "&amp;'Risk Treatment'!$D$2&amp;"."))</f>
        <v/>
      </c>
      <c r="E32" s="16" t="str" cm="1">
        <f t="array" aca="1" ref="E32" ca="1">IF($B32="","",IFERROR(SimpleLookup($B32,'Risk Treatment'!$C:L),"Please ensure that all risks are covered in the "&amp;Helper!$G$14&amp;" sheet. Currently, these risks are not covered: "&amp;'Risk Treatment'!$D$2&amp;"."))</f>
        <v/>
      </c>
      <c r="F32" s="34" t="str" cm="1">
        <f t="array" aca="1" ref="F32" ca="1">IF($B32="","",IFERROR(SimpleLookup($B32,'Risk Treatment'!$C:M),"Please ensure that all risks are covered in the "&amp;Helper!$G$14&amp;" sheet. Currently, these risks are not covered: "&amp;'Risk Treatment'!$D$2&amp;"."))</f>
        <v/>
      </c>
      <c r="G32" s="16" t="str" cm="1">
        <f t="array" aca="1" ref="G32" ca="1">IF($B32="","",IFERROR(SimpleLookup($B32,'Risk Treatment'!$C:N),"Please ensure that all risks are covered in the "&amp;Helper!$G$14&amp;" sheet. Currently, these risks are not covered: "&amp;'Risk Treatment'!$D$2&amp;"."))</f>
        <v/>
      </c>
      <c r="H32" s="16" t="str" cm="1">
        <f t="array" aca="1" ref="H32" ca="1">IF($B32="","",IFERROR(SimpleLookup($B32,'Risk Treatment'!$C:J),"Please ensure that all risks are covered in the "&amp;Helper!$G$14&amp;" sheet. Currently, these risks are not covered: "&amp;'Risk Treatment'!$D$2&amp;"."))</f>
        <v/>
      </c>
      <c r="I32" s="33" t="str" cm="1">
        <f t="array" aca="1" ref="I32" ca="1">IF($B32="","",IFERROR(SimpleLookup($B32,'Risk Treatment'!$C:O),"Please ensure that all risks are covered in the "&amp;Helper!$G$14&amp;" sheet. Currently, these risks are not covered: "&amp;'Risk Treatment'!$D$2&amp;"."))</f>
        <v/>
      </c>
      <c r="J32" s="33" t="str" cm="1">
        <f t="array" aca="1" ref="J32" ca="1">_xlfn.LET(
_xlpm._assignedMitigations,IF($B32="","",IFERROR(RemoveDelimiter(GetValuesWithFallback($Z32,Countermeasures!$A:$B,Assumptions!$A:$B," ",","&amp;CHAR(10),TRUE),","&amp;CHAR(10)),"Error: Unknown risk ID "&amp;$B32)),
_xlpm._inlineMitigations,$AE32,
_xlpm._assignedMitigations&amp;
IF(OR(_xlpm._assignedMitigations="",_xlpm._inlineMitigations=""),"",","&amp;CHAR(10))&amp;
_xlpm._inlineMitigations)</f>
        <v/>
      </c>
      <c r="K32" s="37" t="str" cm="1">
        <f t="array" aca="1" ref="K32" ca="1">IF($AC32=-1,"",RemoveDelimiter(GetValues(INDEX(Risks!BN:BN,$AC32),'DS Overview'!$A:$B," ",","&amp;CHAR(10),TRUE),","&amp;CHAR(10)))</f>
        <v/>
      </c>
      <c r="L32" s="33" t="str" cm="1">
        <f t="array" aca="1" ref="L32" ca="1">IF($AC32=-1,"",INDEX(Risks!BP:BP,$AC32))</f>
        <v/>
      </c>
      <c r="M32" s="34" t="str" cm="1">
        <f t="array" aca="1" ref="M32" ca="1">_xlfn.LET(
_xlpm._calculatedRAP,IFERROR(SimpleLookup($B32,Risks!$A:$BG),""),
_xlpm._inlineRAP,IFERROR(SimpleLookup($B32,Risks!$A:$BH),""),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IF(_xlpm._calculatedValue&gt;=_xlpm._inlineValue,$AD32,
_xlpm._mitigationSheetName&amp;" sheet "&amp;_xlfn.UNICHAR(8702)&amp;" Comment column:"&amp;CHAR(10)&amp;$AE32)))</f>
        <v/>
      </c>
      <c r="N32" s="33" t="str" cm="1">
        <f t="array" aca="1" ref="N32" ca="1">IF($AC32=-1,"",INDEX(Risks!CN:CN,$AC32))</f>
        <v>Basic</v>
      </c>
      <c r="O32" s="33" t="str" cm="1">
        <f t="array" aca="1" ref="O32" ca="1">IF($AC32=-1,"",INDEX(Risks!CO:CO,$AC32))</f>
        <v>No Risk</v>
      </c>
      <c r="P32" s="33" t="str">
        <f ca="1">IF($C32="","",IF($AF32&lt;=Definitions!$AF$6,Definitions!$M$4,""))</f>
        <v/>
      </c>
      <c r="Q32" s="23"/>
      <c r="R32" s="33" t="str">
        <f t="shared" ca="1" si="0"/>
        <v/>
      </c>
      <c r="S32" s="23"/>
      <c r="T32" s="13"/>
      <c r="U32" s="10" cm="1">
        <f t="array" aca="1" ref="U32" ca="1">GenerateShadowID(ROW(),$U$5,$U:$U,0,B32&lt;&gt;"")</f>
        <v>0</v>
      </c>
      <c r="V32" s="10" cm="1">
        <f t="array" ref="V32">CreateTaskID($V$5,$V:$V,Tasks!$B$17,$T32)</f>
        <v>0</v>
      </c>
      <c r="W32" s="14" t="str" cm="1">
        <f t="array" aca="1" ref="W32" ca="1">IF($B32="","",SimpleLookup($B32,'Risk Treatment'!$C:$AW))</f>
        <v/>
      </c>
      <c r="X32" s="14" t="str" cm="1">
        <f t="array" aca="1" ref="X32" ca="1">IF($B32="","",_xlfn.LET(_xlpm._attackSteps,SimpleLookup($B32,'Risk Treatment'!$C:$Y),GetValues(_xlpm._attackSteps,Mitigation!$A:$AG,"",CHAR(1),FALSE)))</f>
        <v/>
      </c>
      <c r="Y32" s="14" t="str" cm="1">
        <f t="array" aca="1" ref="Y32"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ParseInlineMitigationString(_xlpm._remainingString,_xlpm._delimiter))))($X32,CHAR(1))</f>
        <v/>
      </c>
      <c r="Z32" s="14" t="str" cm="1">
        <f t="array" aca="1" ref="Z32" ca="1">FilterElementsFromList($W32,Helper!$J$4,TRUE,",")</f>
        <v/>
      </c>
      <c r="AA32" s="14" t="str" cm="1">
        <f t="array" aca="1" ref="AA32" ca="1">FilterElementsFromList($Y32,Helper!$J$4,TRUE,",")</f>
        <v/>
      </c>
      <c r="AB32" s="20" t="str" cm="1">
        <f t="array" aca="1" ref="AB32"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CreateConfirmedInlineMitigations(_xlpm._remainingString,_xlpm._confirmedCandAIDs,_xlpm._delimiterSearchString,_xlpm._delimiterResultString))))($X32,CreateSearchString($AA32),CHAR(1),","&amp;CHAR(10))</f>
        <v/>
      </c>
      <c r="AC32" s="20">
        <f ca="1">IFERROR(MATCH($B32,Risks!$A:$A,0),-1)</f>
        <v>3</v>
      </c>
      <c r="AD32" s="20" t="str" cm="1">
        <f t="array" aca="1" ref="AD32" ca="1">IF($B32="","",_xlfn.LET(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_xlpm._factorFunction($B32,Risks!$A:CA,Definitions!$Y:$Y,Definitions!$AB:$AB,1)&amp;CHAR(10)&amp;
_xlpm._factorFunction($B32,Risks!$A:CB,Definitions!$Y:$Y,Definitions!$AB:$AB,2)&amp;CHAR(10)&amp;
_xlpm._factorFunction($B32,Risks!$A:CC,Definitions!$Y:$Y,Definitions!$AB:$AB,3)&amp;CHAR(10)&amp;
_xlpm._factorFunction($B32,Risks!$A:CD,Definitions!$Y:$Y,Definitions!$AB:$AB,4)&amp;CHAR(10)&amp;
_xlpm._factorFunction($B32,Risks!$A:CE,Definitions!$Y:$Y,Definitions!$AB:$AB,5)))</f>
        <v/>
      </c>
      <c r="AE32" s="20" t="str" cm="1">
        <f t="array" aca="1" ref="AE32" ca="1">RemoveDelimiter(SUBSTITUTE(SUBSTITUTE($AB32,"{",""),"}",""),","&amp;CHAR(10))</f>
        <v/>
      </c>
      <c r="AF32" s="20" cm="1">
        <f t="array" aca="1" ref="AF32" ca="1">IF($O32="",0,SimpleLookup($O32,Definitions!$AE:$AF))</f>
        <v>0</v>
      </c>
    </row>
    <row r="33" spans="2:32" x14ac:dyDescent="0.25">
      <c r="B33" s="16" t="str">
        <f ca="1">OFFSET(Risks!$A$2,ROW()-ROW($B$5),0)</f>
        <v/>
      </c>
      <c r="C33" s="33" t="str" cm="1">
        <f t="array" aca="1" ref="C33" ca="1">IF($B33="","",IFERROR(SimpleLookup($B33,'Risk Treatment'!$C:D),"Please ensure that all risks are covered in the "&amp;Helper!$G$14&amp;" sheet. Currently, these risks are not covered: "&amp;'Risk Treatment'!$D$2&amp;"."))</f>
        <v/>
      </c>
      <c r="D33" s="37" t="str" cm="1">
        <f t="array" aca="1" ref="D33" ca="1">IF($B33="","",IFERROR(SimpleLookup($B33,'Risk Treatment'!$C:K),"Please ensure that all risks are covered in the "&amp;Helper!$G$14&amp;" sheet. Currently, these risks are not covered: "&amp;'Risk Treatment'!$D$2&amp;"."))</f>
        <v/>
      </c>
      <c r="E33" s="16" t="str" cm="1">
        <f t="array" aca="1" ref="E33" ca="1">IF($B33="","",IFERROR(SimpleLookup($B33,'Risk Treatment'!$C:L),"Please ensure that all risks are covered in the "&amp;Helper!$G$14&amp;" sheet. Currently, these risks are not covered: "&amp;'Risk Treatment'!$D$2&amp;"."))</f>
        <v/>
      </c>
      <c r="F33" s="34" t="str" cm="1">
        <f t="array" aca="1" ref="F33" ca="1">IF($B33="","",IFERROR(SimpleLookup($B33,'Risk Treatment'!$C:M),"Please ensure that all risks are covered in the "&amp;Helper!$G$14&amp;" sheet. Currently, these risks are not covered: "&amp;'Risk Treatment'!$D$2&amp;"."))</f>
        <v/>
      </c>
      <c r="G33" s="16" t="str" cm="1">
        <f t="array" aca="1" ref="G33" ca="1">IF($B33="","",IFERROR(SimpleLookup($B33,'Risk Treatment'!$C:N),"Please ensure that all risks are covered in the "&amp;Helper!$G$14&amp;" sheet. Currently, these risks are not covered: "&amp;'Risk Treatment'!$D$2&amp;"."))</f>
        <v/>
      </c>
      <c r="H33" s="16" t="str" cm="1">
        <f t="array" aca="1" ref="H33" ca="1">IF($B33="","",IFERROR(SimpleLookup($B33,'Risk Treatment'!$C:J),"Please ensure that all risks are covered in the "&amp;Helper!$G$14&amp;" sheet. Currently, these risks are not covered: "&amp;'Risk Treatment'!$D$2&amp;"."))</f>
        <v/>
      </c>
      <c r="I33" s="33" t="str" cm="1">
        <f t="array" aca="1" ref="I33" ca="1">IF($B33="","",IFERROR(SimpleLookup($B33,'Risk Treatment'!$C:O),"Please ensure that all risks are covered in the "&amp;Helper!$G$14&amp;" sheet. Currently, these risks are not covered: "&amp;'Risk Treatment'!$D$2&amp;"."))</f>
        <v/>
      </c>
      <c r="J33" s="33" t="str" cm="1">
        <f t="array" aca="1" ref="J33" ca="1">_xlfn.LET(
_xlpm._assignedMitigations,IF($B33="","",IFERROR(RemoveDelimiter(GetValuesWithFallback($Z33,Countermeasures!$A:$B,Assumptions!$A:$B," ",","&amp;CHAR(10),TRUE),","&amp;CHAR(10)),"Error: Unknown risk ID "&amp;$B33)),
_xlpm._inlineMitigations,$AE33,
_xlpm._assignedMitigations&amp;
IF(OR(_xlpm._assignedMitigations="",_xlpm._inlineMitigations=""),"",","&amp;CHAR(10))&amp;
_xlpm._inlineMitigations)</f>
        <v/>
      </c>
      <c r="K33" s="37" t="str" cm="1">
        <f t="array" aca="1" ref="K33" ca="1">IF($AC33=-1,"",RemoveDelimiter(GetValues(INDEX(Risks!BN:BN,$AC33),'DS Overview'!$A:$B," ",","&amp;CHAR(10),TRUE),","&amp;CHAR(10)))</f>
        <v/>
      </c>
      <c r="L33" s="33" t="str" cm="1">
        <f t="array" aca="1" ref="L33" ca="1">IF($AC33=-1,"",INDEX(Risks!BP:BP,$AC33))</f>
        <v/>
      </c>
      <c r="M33" s="34" t="str" cm="1">
        <f t="array" aca="1" ref="M33" ca="1">_xlfn.LET(
_xlpm._calculatedRAP,IFERROR(SimpleLookup($B33,Risks!$A:$BG),""),
_xlpm._inlineRAP,IFERROR(SimpleLookup($B33,Risks!$A:$BH),""),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IF(_xlpm._calculatedValue&gt;=_xlpm._inlineValue,$AD33,
_xlpm._mitigationSheetName&amp;" sheet "&amp;_xlfn.UNICHAR(8702)&amp;" Comment column:"&amp;CHAR(10)&amp;$AE33)))</f>
        <v/>
      </c>
      <c r="N33" s="33" t="str" cm="1">
        <f t="array" aca="1" ref="N33" ca="1">IF($AC33=-1,"",INDEX(Risks!CN:CN,$AC33))</f>
        <v>Basic</v>
      </c>
      <c r="O33" s="33" t="str" cm="1">
        <f t="array" aca="1" ref="O33" ca="1">IF($AC33=-1,"",INDEX(Risks!CO:CO,$AC33))</f>
        <v>No Risk</v>
      </c>
      <c r="P33" s="33" t="str">
        <f ca="1">IF($C33="","",IF($AF33&lt;=Definitions!$AF$6,Definitions!$M$4,""))</f>
        <v/>
      </c>
      <c r="Q33" s="23"/>
      <c r="R33" s="33" t="str">
        <f t="shared" ca="1" si="0"/>
        <v/>
      </c>
      <c r="S33" s="23"/>
      <c r="T33" s="13"/>
      <c r="U33" s="10" cm="1">
        <f t="array" aca="1" ref="U33" ca="1">GenerateShadowID(ROW(),$U$5,$U:$U,0,B33&lt;&gt;"")</f>
        <v>0</v>
      </c>
      <c r="V33" s="10" cm="1">
        <f t="array" ref="V33">CreateTaskID($V$5,$V:$V,Tasks!$B$17,$T33)</f>
        <v>0</v>
      </c>
      <c r="W33" s="14" t="str" cm="1">
        <f t="array" aca="1" ref="W33" ca="1">IF($B33="","",SimpleLookup($B33,'Risk Treatment'!$C:$AW))</f>
        <v/>
      </c>
      <c r="X33" s="14" t="str" cm="1">
        <f t="array" aca="1" ref="X33" ca="1">IF($B33="","",_xlfn.LET(_xlpm._attackSteps,SimpleLookup($B33,'Risk Treatment'!$C:$Y),GetValues(_xlpm._attackSteps,Mitigation!$A:$AG,"",CHAR(1),FALSE)))</f>
        <v/>
      </c>
      <c r="Y33" s="14" t="str" cm="1">
        <f t="array" aca="1" ref="Y33"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ParseInlineMitigationString(_xlpm._remainingString,_xlpm._delimiter))))($X33,CHAR(1))</f>
        <v/>
      </c>
      <c r="Z33" s="14" t="str" cm="1">
        <f t="array" aca="1" ref="Z33" ca="1">FilterElementsFromList($W33,Helper!$J$4,TRUE,",")</f>
        <v/>
      </c>
      <c r="AA33" s="14" t="str" cm="1">
        <f t="array" aca="1" ref="AA33" ca="1">FilterElementsFromList($Y33,Helper!$J$4,TRUE,",")</f>
        <v/>
      </c>
      <c r="AB33" s="20" t="str" cm="1">
        <f t="array" aca="1" ref="AB33"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CreateConfirmedInlineMitigations(_xlpm._remainingString,_xlpm._confirmedCandAIDs,_xlpm._delimiterSearchString,_xlpm._delimiterResultString))))($X33,CreateSearchString($AA33),CHAR(1),","&amp;CHAR(10))</f>
        <v/>
      </c>
      <c r="AC33" s="20">
        <f ca="1">IFERROR(MATCH($B33,Risks!$A:$A,0),-1)</f>
        <v>3</v>
      </c>
      <c r="AD33" s="20" t="str" cm="1">
        <f t="array" aca="1" ref="AD33" ca="1">IF($B33="","",_xlfn.LET(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_xlpm._factorFunction($B33,Risks!$A:CA,Definitions!$Y:$Y,Definitions!$AB:$AB,1)&amp;CHAR(10)&amp;
_xlpm._factorFunction($B33,Risks!$A:CB,Definitions!$Y:$Y,Definitions!$AB:$AB,2)&amp;CHAR(10)&amp;
_xlpm._factorFunction($B33,Risks!$A:CC,Definitions!$Y:$Y,Definitions!$AB:$AB,3)&amp;CHAR(10)&amp;
_xlpm._factorFunction($B33,Risks!$A:CD,Definitions!$Y:$Y,Definitions!$AB:$AB,4)&amp;CHAR(10)&amp;
_xlpm._factorFunction($B33,Risks!$A:CE,Definitions!$Y:$Y,Definitions!$AB:$AB,5)))</f>
        <v/>
      </c>
      <c r="AE33" s="20" t="str" cm="1">
        <f t="array" aca="1" ref="AE33" ca="1">RemoveDelimiter(SUBSTITUTE(SUBSTITUTE($AB33,"{",""),"}",""),","&amp;CHAR(10))</f>
        <v/>
      </c>
      <c r="AF33" s="20" cm="1">
        <f t="array" aca="1" ref="AF33" ca="1">IF($O33="",0,SimpleLookup($O33,Definitions!$AE:$AF))</f>
        <v>0</v>
      </c>
    </row>
    <row r="34" spans="2:32" x14ac:dyDescent="0.25">
      <c r="B34" s="16" t="str">
        <f ca="1">OFFSET(Risks!$A$2,ROW()-ROW($B$5),0)</f>
        <v/>
      </c>
      <c r="C34" s="33" t="str" cm="1">
        <f t="array" aca="1" ref="C34" ca="1">IF($B34="","",IFERROR(SimpleLookup($B34,'Risk Treatment'!$C:D),"Please ensure that all risks are covered in the "&amp;Helper!$G$14&amp;" sheet. Currently, these risks are not covered: "&amp;'Risk Treatment'!$D$2&amp;"."))</f>
        <v/>
      </c>
      <c r="D34" s="37" t="str" cm="1">
        <f t="array" aca="1" ref="D34" ca="1">IF($B34="","",IFERROR(SimpleLookup($B34,'Risk Treatment'!$C:K),"Please ensure that all risks are covered in the "&amp;Helper!$G$14&amp;" sheet. Currently, these risks are not covered: "&amp;'Risk Treatment'!$D$2&amp;"."))</f>
        <v/>
      </c>
      <c r="E34" s="16" t="str" cm="1">
        <f t="array" aca="1" ref="E34" ca="1">IF($B34="","",IFERROR(SimpleLookup($B34,'Risk Treatment'!$C:L),"Please ensure that all risks are covered in the "&amp;Helper!$G$14&amp;" sheet. Currently, these risks are not covered: "&amp;'Risk Treatment'!$D$2&amp;"."))</f>
        <v/>
      </c>
      <c r="F34" s="34" t="str" cm="1">
        <f t="array" aca="1" ref="F34" ca="1">IF($B34="","",IFERROR(SimpleLookup($B34,'Risk Treatment'!$C:M),"Please ensure that all risks are covered in the "&amp;Helper!$G$14&amp;" sheet. Currently, these risks are not covered: "&amp;'Risk Treatment'!$D$2&amp;"."))</f>
        <v/>
      </c>
      <c r="G34" s="16" t="str" cm="1">
        <f t="array" aca="1" ref="G34" ca="1">IF($B34="","",IFERROR(SimpleLookup($B34,'Risk Treatment'!$C:N),"Please ensure that all risks are covered in the "&amp;Helper!$G$14&amp;" sheet. Currently, these risks are not covered: "&amp;'Risk Treatment'!$D$2&amp;"."))</f>
        <v/>
      </c>
      <c r="H34" s="16" t="str" cm="1">
        <f t="array" aca="1" ref="H34" ca="1">IF($B34="","",IFERROR(SimpleLookup($B34,'Risk Treatment'!$C:J),"Please ensure that all risks are covered in the "&amp;Helper!$G$14&amp;" sheet. Currently, these risks are not covered: "&amp;'Risk Treatment'!$D$2&amp;"."))</f>
        <v/>
      </c>
      <c r="I34" s="33" t="str" cm="1">
        <f t="array" aca="1" ref="I34" ca="1">IF($B34="","",IFERROR(SimpleLookup($B34,'Risk Treatment'!$C:O),"Please ensure that all risks are covered in the "&amp;Helper!$G$14&amp;" sheet. Currently, these risks are not covered: "&amp;'Risk Treatment'!$D$2&amp;"."))</f>
        <v/>
      </c>
      <c r="J34" s="33" t="str" cm="1">
        <f t="array" aca="1" ref="J34" ca="1">_xlfn.LET(
_xlpm._assignedMitigations,IF($B34="","",IFERROR(RemoveDelimiter(GetValuesWithFallback($Z34,Countermeasures!$A:$B,Assumptions!$A:$B," ",","&amp;CHAR(10),TRUE),","&amp;CHAR(10)),"Error: Unknown risk ID "&amp;$B34)),
_xlpm._inlineMitigations,$AE34,
_xlpm._assignedMitigations&amp;
IF(OR(_xlpm._assignedMitigations="",_xlpm._inlineMitigations=""),"",","&amp;CHAR(10))&amp;
_xlpm._inlineMitigations)</f>
        <v/>
      </c>
      <c r="K34" s="37" t="str" cm="1">
        <f t="array" aca="1" ref="K34" ca="1">IF($AC34=-1,"",RemoveDelimiter(GetValues(INDEX(Risks!BN:BN,$AC34),'DS Overview'!$A:$B," ",","&amp;CHAR(10),TRUE),","&amp;CHAR(10)))</f>
        <v/>
      </c>
      <c r="L34" s="33" t="str" cm="1">
        <f t="array" aca="1" ref="L34" ca="1">IF($AC34=-1,"",INDEX(Risks!BP:BP,$AC34))</f>
        <v/>
      </c>
      <c r="M34" s="34" t="str" cm="1">
        <f t="array" aca="1" ref="M34" ca="1">_xlfn.LET(
_xlpm._calculatedRAP,IFERROR(SimpleLookup($B34,Risks!$A:$BG),""),
_xlpm._inlineRAP,IFERROR(SimpleLookup($B34,Risks!$A:$BH),""),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IF(_xlpm._calculatedValue&gt;=_xlpm._inlineValue,$AD34,
_xlpm._mitigationSheetName&amp;" sheet "&amp;_xlfn.UNICHAR(8702)&amp;" Comment column:"&amp;CHAR(10)&amp;$AE34)))</f>
        <v/>
      </c>
      <c r="N34" s="33" t="str" cm="1">
        <f t="array" aca="1" ref="N34" ca="1">IF($AC34=-1,"",INDEX(Risks!CN:CN,$AC34))</f>
        <v>Basic</v>
      </c>
      <c r="O34" s="33" t="str" cm="1">
        <f t="array" aca="1" ref="O34" ca="1">IF($AC34=-1,"",INDEX(Risks!CO:CO,$AC34))</f>
        <v>No Risk</v>
      </c>
      <c r="P34" s="33" t="str">
        <f ca="1">IF($C34="","",IF($AF34&lt;=Definitions!$AF$6,Definitions!$M$4,""))</f>
        <v/>
      </c>
      <c r="Q34" s="23"/>
      <c r="R34" s="33" t="str">
        <f t="shared" ca="1" si="0"/>
        <v/>
      </c>
      <c r="S34" s="23"/>
      <c r="T34" s="13"/>
      <c r="U34" s="10" cm="1">
        <f t="array" aca="1" ref="U34" ca="1">GenerateShadowID(ROW(),$U$5,$U:$U,0,B34&lt;&gt;"")</f>
        <v>0</v>
      </c>
      <c r="V34" s="10" cm="1">
        <f t="array" ref="V34">CreateTaskID($V$5,$V:$V,Tasks!$B$17,$T34)</f>
        <v>0</v>
      </c>
      <c r="W34" s="14" t="str" cm="1">
        <f t="array" aca="1" ref="W34" ca="1">IF($B34="","",SimpleLookup($B34,'Risk Treatment'!$C:$AW))</f>
        <v/>
      </c>
      <c r="X34" s="14" t="str" cm="1">
        <f t="array" aca="1" ref="X34" ca="1">IF($B34="","",_xlfn.LET(_xlpm._attackSteps,SimpleLookup($B34,'Risk Treatment'!$C:$Y),GetValues(_xlpm._attackSteps,Mitigation!$A:$AG,"",CHAR(1),FALSE)))</f>
        <v/>
      </c>
      <c r="Y34" s="14" t="str" cm="1">
        <f t="array" aca="1" ref="Y34"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ParseInlineMitigationString(_xlpm._remainingString,_xlpm._delimiter))))($X34,CHAR(1))</f>
        <v/>
      </c>
      <c r="Z34" s="14" t="str" cm="1">
        <f t="array" aca="1" ref="Z34" ca="1">FilterElementsFromList($W34,Helper!$J$4,TRUE,",")</f>
        <v/>
      </c>
      <c r="AA34" s="14" t="str" cm="1">
        <f t="array" aca="1" ref="AA34" ca="1">FilterElementsFromList($Y34,Helper!$J$4,TRUE,",")</f>
        <v/>
      </c>
      <c r="AB34" s="20" t="str" cm="1">
        <f t="array" aca="1" ref="AB34"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CreateConfirmedInlineMitigations(_xlpm._remainingString,_xlpm._confirmedCandAIDs,_xlpm._delimiterSearchString,_xlpm._delimiterResultString))))($X34,CreateSearchString($AA34),CHAR(1),","&amp;CHAR(10))</f>
        <v/>
      </c>
      <c r="AC34" s="20">
        <f ca="1">IFERROR(MATCH($B34,Risks!$A:$A,0),-1)</f>
        <v>3</v>
      </c>
      <c r="AD34" s="20" t="str" cm="1">
        <f t="array" aca="1" ref="AD34" ca="1">IF($B34="","",_xlfn.LET(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_xlpm._factorFunction($B34,Risks!$A:CA,Definitions!$Y:$Y,Definitions!$AB:$AB,1)&amp;CHAR(10)&amp;
_xlpm._factorFunction($B34,Risks!$A:CB,Definitions!$Y:$Y,Definitions!$AB:$AB,2)&amp;CHAR(10)&amp;
_xlpm._factorFunction($B34,Risks!$A:CC,Definitions!$Y:$Y,Definitions!$AB:$AB,3)&amp;CHAR(10)&amp;
_xlpm._factorFunction($B34,Risks!$A:CD,Definitions!$Y:$Y,Definitions!$AB:$AB,4)&amp;CHAR(10)&amp;
_xlpm._factorFunction($B34,Risks!$A:CE,Definitions!$Y:$Y,Definitions!$AB:$AB,5)))</f>
        <v/>
      </c>
      <c r="AE34" s="20" t="str" cm="1">
        <f t="array" aca="1" ref="AE34" ca="1">RemoveDelimiter(SUBSTITUTE(SUBSTITUTE($AB34,"{",""),"}",""),","&amp;CHAR(10))</f>
        <v/>
      </c>
      <c r="AF34" s="20" cm="1">
        <f t="array" aca="1" ref="AF34" ca="1">IF($O34="",0,SimpleLookup($O34,Definitions!$AE:$AF))</f>
        <v>0</v>
      </c>
    </row>
    <row r="35" spans="2:32" x14ac:dyDescent="0.25">
      <c r="B35" s="16" t="str">
        <f ca="1">OFFSET(Risks!$A$2,ROW()-ROW($B$5),0)</f>
        <v/>
      </c>
      <c r="C35" s="33" t="str" cm="1">
        <f t="array" aca="1" ref="C35" ca="1">IF($B35="","",IFERROR(SimpleLookup($B35,'Risk Treatment'!$C:D),"Please ensure that all risks are covered in the "&amp;Helper!$G$14&amp;" sheet. Currently, these risks are not covered: "&amp;'Risk Treatment'!$D$2&amp;"."))</f>
        <v/>
      </c>
      <c r="D35" s="37" t="str" cm="1">
        <f t="array" aca="1" ref="D35" ca="1">IF($B35="","",IFERROR(SimpleLookup($B35,'Risk Treatment'!$C:K),"Please ensure that all risks are covered in the "&amp;Helper!$G$14&amp;" sheet. Currently, these risks are not covered: "&amp;'Risk Treatment'!$D$2&amp;"."))</f>
        <v/>
      </c>
      <c r="E35" s="16" t="str" cm="1">
        <f t="array" aca="1" ref="E35" ca="1">IF($B35="","",IFERROR(SimpleLookup($B35,'Risk Treatment'!$C:L),"Please ensure that all risks are covered in the "&amp;Helper!$G$14&amp;" sheet. Currently, these risks are not covered: "&amp;'Risk Treatment'!$D$2&amp;"."))</f>
        <v/>
      </c>
      <c r="F35" s="34" t="str" cm="1">
        <f t="array" aca="1" ref="F35" ca="1">IF($B35="","",IFERROR(SimpleLookup($B35,'Risk Treatment'!$C:M),"Please ensure that all risks are covered in the "&amp;Helper!$G$14&amp;" sheet. Currently, these risks are not covered: "&amp;'Risk Treatment'!$D$2&amp;"."))</f>
        <v/>
      </c>
      <c r="G35" s="16" t="str" cm="1">
        <f t="array" aca="1" ref="G35" ca="1">IF($B35="","",IFERROR(SimpleLookup($B35,'Risk Treatment'!$C:N),"Please ensure that all risks are covered in the "&amp;Helper!$G$14&amp;" sheet. Currently, these risks are not covered: "&amp;'Risk Treatment'!$D$2&amp;"."))</f>
        <v/>
      </c>
      <c r="H35" s="16" t="str" cm="1">
        <f t="array" aca="1" ref="H35" ca="1">IF($B35="","",IFERROR(SimpleLookup($B35,'Risk Treatment'!$C:J),"Please ensure that all risks are covered in the "&amp;Helper!$G$14&amp;" sheet. Currently, these risks are not covered: "&amp;'Risk Treatment'!$D$2&amp;"."))</f>
        <v/>
      </c>
      <c r="I35" s="33" t="str" cm="1">
        <f t="array" aca="1" ref="I35" ca="1">IF($B35="","",IFERROR(SimpleLookup($B35,'Risk Treatment'!$C:O),"Please ensure that all risks are covered in the "&amp;Helper!$G$14&amp;" sheet. Currently, these risks are not covered: "&amp;'Risk Treatment'!$D$2&amp;"."))</f>
        <v/>
      </c>
      <c r="J35" s="33" t="str" cm="1">
        <f t="array" aca="1" ref="J35" ca="1">_xlfn.LET(
_xlpm._assignedMitigations,IF($B35="","",IFERROR(RemoveDelimiter(GetValuesWithFallback($Z35,Countermeasures!$A:$B,Assumptions!$A:$B," ",","&amp;CHAR(10),TRUE),","&amp;CHAR(10)),"Error: Unknown risk ID "&amp;$B35)),
_xlpm._inlineMitigations,$AE35,
_xlpm._assignedMitigations&amp;
IF(OR(_xlpm._assignedMitigations="",_xlpm._inlineMitigations=""),"",","&amp;CHAR(10))&amp;
_xlpm._inlineMitigations)</f>
        <v/>
      </c>
      <c r="K35" s="37" t="str" cm="1">
        <f t="array" aca="1" ref="K35" ca="1">IF($AC35=-1,"",RemoveDelimiter(GetValues(INDEX(Risks!BN:BN,$AC35),'DS Overview'!$A:$B," ",","&amp;CHAR(10),TRUE),","&amp;CHAR(10)))</f>
        <v/>
      </c>
      <c r="L35" s="33" t="str" cm="1">
        <f t="array" aca="1" ref="L35" ca="1">IF($AC35=-1,"",INDEX(Risks!BP:BP,$AC35))</f>
        <v/>
      </c>
      <c r="M35" s="34" t="str" cm="1">
        <f t="array" aca="1" ref="M35" ca="1">_xlfn.LET(
_xlpm._calculatedRAP,IFERROR(SimpleLookup($B35,Risks!$A:$BG),""),
_xlpm._inlineRAP,IFERROR(SimpleLookup($B35,Risks!$A:$BH),""),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IF(_xlpm._calculatedValue&gt;=_xlpm._inlineValue,$AD35,
_xlpm._mitigationSheetName&amp;" sheet "&amp;_xlfn.UNICHAR(8702)&amp;" Comment column:"&amp;CHAR(10)&amp;$AE35)))</f>
        <v/>
      </c>
      <c r="N35" s="33" t="str" cm="1">
        <f t="array" aca="1" ref="N35" ca="1">IF($AC35=-1,"",INDEX(Risks!CN:CN,$AC35))</f>
        <v>Basic</v>
      </c>
      <c r="O35" s="33" t="str" cm="1">
        <f t="array" aca="1" ref="O35" ca="1">IF($AC35=-1,"",INDEX(Risks!CO:CO,$AC35))</f>
        <v>No Risk</v>
      </c>
      <c r="P35" s="33" t="str">
        <f ca="1">IF($C35="","",IF($AF35&lt;=Definitions!$AF$6,Definitions!$M$4,""))</f>
        <v/>
      </c>
      <c r="Q35" s="23"/>
      <c r="R35" s="33" t="str">
        <f t="shared" ca="1" si="0"/>
        <v/>
      </c>
      <c r="S35" s="23"/>
      <c r="T35" s="13"/>
      <c r="U35" s="10" cm="1">
        <f t="array" aca="1" ref="U35" ca="1">GenerateShadowID(ROW(),$U$5,$U:$U,0,B35&lt;&gt;"")</f>
        <v>0</v>
      </c>
      <c r="V35" s="10" cm="1">
        <f t="array" ref="V35">CreateTaskID($V$5,$V:$V,Tasks!$B$17,$T35)</f>
        <v>0</v>
      </c>
      <c r="W35" s="14" t="str" cm="1">
        <f t="array" aca="1" ref="W35" ca="1">IF($B35="","",SimpleLookup($B35,'Risk Treatment'!$C:$AW))</f>
        <v/>
      </c>
      <c r="X35" s="14" t="str" cm="1">
        <f t="array" aca="1" ref="X35" ca="1">IF($B35="","",_xlfn.LET(_xlpm._attackSteps,SimpleLookup($B35,'Risk Treatment'!$C:$Y),GetValues(_xlpm._attackSteps,Mitigation!$A:$AG,"",CHAR(1),FALSE)))</f>
        <v/>
      </c>
      <c r="Y35" s="14" t="str" cm="1">
        <f t="array" aca="1" ref="Y35"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ParseInlineMitigationString(_xlpm._remainingString,_xlpm._delimiter))))($X35,CHAR(1))</f>
        <v/>
      </c>
      <c r="Z35" s="14" t="str" cm="1">
        <f t="array" aca="1" ref="Z35" ca="1">FilterElementsFromList($W35,Helper!$J$4,TRUE,",")</f>
        <v/>
      </c>
      <c r="AA35" s="14" t="str" cm="1">
        <f t="array" aca="1" ref="AA35" ca="1">FilterElementsFromList($Y35,Helper!$J$4,TRUE,",")</f>
        <v/>
      </c>
      <c r="AB35" s="20" t="str" cm="1">
        <f t="array" aca="1" ref="AB35"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CreateConfirmedInlineMitigations(_xlpm._remainingString,_xlpm._confirmedCandAIDs,_xlpm._delimiterSearchString,_xlpm._delimiterResultString))))($X35,CreateSearchString($AA35),CHAR(1),","&amp;CHAR(10))</f>
        <v/>
      </c>
      <c r="AC35" s="20">
        <f ca="1">IFERROR(MATCH($B35,Risks!$A:$A,0),-1)</f>
        <v>3</v>
      </c>
      <c r="AD35" s="20" t="str" cm="1">
        <f t="array" aca="1" ref="AD35" ca="1">IF($B35="","",_xlfn.LET(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_xlpm._factorFunction($B35,Risks!$A:CA,Definitions!$Y:$Y,Definitions!$AB:$AB,1)&amp;CHAR(10)&amp;
_xlpm._factorFunction($B35,Risks!$A:CB,Definitions!$Y:$Y,Definitions!$AB:$AB,2)&amp;CHAR(10)&amp;
_xlpm._factorFunction($B35,Risks!$A:CC,Definitions!$Y:$Y,Definitions!$AB:$AB,3)&amp;CHAR(10)&amp;
_xlpm._factorFunction($B35,Risks!$A:CD,Definitions!$Y:$Y,Definitions!$AB:$AB,4)&amp;CHAR(10)&amp;
_xlpm._factorFunction($B35,Risks!$A:CE,Definitions!$Y:$Y,Definitions!$AB:$AB,5)))</f>
        <v/>
      </c>
      <c r="AE35" s="20" t="str" cm="1">
        <f t="array" aca="1" ref="AE35" ca="1">RemoveDelimiter(SUBSTITUTE(SUBSTITUTE($AB35,"{",""),"}",""),","&amp;CHAR(10))</f>
        <v/>
      </c>
      <c r="AF35" s="20" cm="1">
        <f t="array" aca="1" ref="AF35" ca="1">IF($O35="",0,SimpleLookup($O35,Definitions!$AE:$AF))</f>
        <v>0</v>
      </c>
    </row>
    <row r="36" spans="2:32" x14ac:dyDescent="0.25">
      <c r="B36" s="16" t="str">
        <f ca="1">OFFSET(Risks!$A$2,ROW()-ROW($B$5),0)</f>
        <v/>
      </c>
      <c r="C36" s="33" t="str" cm="1">
        <f t="array" aca="1" ref="C36" ca="1">IF($B36="","",IFERROR(SimpleLookup($B36,'Risk Treatment'!$C:D),"Please ensure that all risks are covered in the "&amp;Helper!$G$14&amp;" sheet. Currently, these risks are not covered: "&amp;'Risk Treatment'!$D$2&amp;"."))</f>
        <v/>
      </c>
      <c r="D36" s="37" t="str" cm="1">
        <f t="array" aca="1" ref="D36" ca="1">IF($B36="","",IFERROR(SimpleLookup($B36,'Risk Treatment'!$C:K),"Please ensure that all risks are covered in the "&amp;Helper!$G$14&amp;" sheet. Currently, these risks are not covered: "&amp;'Risk Treatment'!$D$2&amp;"."))</f>
        <v/>
      </c>
      <c r="E36" s="16" t="str" cm="1">
        <f t="array" aca="1" ref="E36" ca="1">IF($B36="","",IFERROR(SimpleLookup($B36,'Risk Treatment'!$C:L),"Please ensure that all risks are covered in the "&amp;Helper!$G$14&amp;" sheet. Currently, these risks are not covered: "&amp;'Risk Treatment'!$D$2&amp;"."))</f>
        <v/>
      </c>
      <c r="F36" s="34" t="str" cm="1">
        <f t="array" aca="1" ref="F36" ca="1">IF($B36="","",IFERROR(SimpleLookup($B36,'Risk Treatment'!$C:M),"Please ensure that all risks are covered in the "&amp;Helper!$G$14&amp;" sheet. Currently, these risks are not covered: "&amp;'Risk Treatment'!$D$2&amp;"."))</f>
        <v/>
      </c>
      <c r="G36" s="16" t="str" cm="1">
        <f t="array" aca="1" ref="G36" ca="1">IF($B36="","",IFERROR(SimpleLookup($B36,'Risk Treatment'!$C:N),"Please ensure that all risks are covered in the "&amp;Helper!$G$14&amp;" sheet. Currently, these risks are not covered: "&amp;'Risk Treatment'!$D$2&amp;"."))</f>
        <v/>
      </c>
      <c r="H36" s="16" t="str" cm="1">
        <f t="array" aca="1" ref="H36" ca="1">IF($B36="","",IFERROR(SimpleLookup($B36,'Risk Treatment'!$C:J),"Please ensure that all risks are covered in the "&amp;Helper!$G$14&amp;" sheet. Currently, these risks are not covered: "&amp;'Risk Treatment'!$D$2&amp;"."))</f>
        <v/>
      </c>
      <c r="I36" s="33" t="str" cm="1">
        <f t="array" aca="1" ref="I36" ca="1">IF($B36="","",IFERROR(SimpleLookup($B36,'Risk Treatment'!$C:O),"Please ensure that all risks are covered in the "&amp;Helper!$G$14&amp;" sheet. Currently, these risks are not covered: "&amp;'Risk Treatment'!$D$2&amp;"."))</f>
        <v/>
      </c>
      <c r="J36" s="33" t="str" cm="1">
        <f t="array" aca="1" ref="J36" ca="1">_xlfn.LET(
_xlpm._assignedMitigations,IF($B36="","",IFERROR(RemoveDelimiter(GetValuesWithFallback($Z36,Countermeasures!$A:$B,Assumptions!$A:$B," ",","&amp;CHAR(10),TRUE),","&amp;CHAR(10)),"Error: Unknown risk ID "&amp;$B36)),
_xlpm._inlineMitigations,$AE36,
_xlpm._assignedMitigations&amp;
IF(OR(_xlpm._assignedMitigations="",_xlpm._inlineMitigations=""),"",","&amp;CHAR(10))&amp;
_xlpm._inlineMitigations)</f>
        <v/>
      </c>
      <c r="K36" s="37" t="str" cm="1">
        <f t="array" aca="1" ref="K36" ca="1">IF($AC36=-1,"",RemoveDelimiter(GetValues(INDEX(Risks!BN:BN,$AC36),'DS Overview'!$A:$B," ",","&amp;CHAR(10),TRUE),","&amp;CHAR(10)))</f>
        <v/>
      </c>
      <c r="L36" s="33" t="str" cm="1">
        <f t="array" aca="1" ref="L36" ca="1">IF($AC36=-1,"",INDEX(Risks!BP:BP,$AC36))</f>
        <v/>
      </c>
      <c r="M36" s="34" t="str" cm="1">
        <f t="array" aca="1" ref="M36" ca="1">_xlfn.LET(
_xlpm._calculatedRAP,IFERROR(SimpleLookup($B36,Risks!$A:$BG),""),
_xlpm._inlineRAP,IFERROR(SimpleLookup($B36,Risks!$A:$BH),""),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IF(_xlpm._calculatedValue&gt;=_xlpm._inlineValue,$AD36,
_xlpm._mitigationSheetName&amp;" sheet "&amp;_xlfn.UNICHAR(8702)&amp;" Comment column:"&amp;CHAR(10)&amp;$AE36)))</f>
        <v/>
      </c>
      <c r="N36" s="33" t="str" cm="1">
        <f t="array" aca="1" ref="N36" ca="1">IF($AC36=-1,"",INDEX(Risks!CN:CN,$AC36))</f>
        <v>Basic</v>
      </c>
      <c r="O36" s="33" t="str" cm="1">
        <f t="array" aca="1" ref="O36" ca="1">IF($AC36=-1,"",INDEX(Risks!CO:CO,$AC36))</f>
        <v>No Risk</v>
      </c>
      <c r="P36" s="33" t="str">
        <f ca="1">IF($C36="","",IF($AF36&lt;=Definitions!$AF$6,Definitions!$M$4,""))</f>
        <v/>
      </c>
      <c r="Q36" s="23"/>
      <c r="R36" s="33" t="str">
        <f t="shared" ca="1" si="0"/>
        <v/>
      </c>
      <c r="S36" s="23"/>
      <c r="T36" s="13"/>
      <c r="U36" s="10" cm="1">
        <f t="array" aca="1" ref="U36" ca="1">GenerateShadowID(ROW(),$U$5,$U:$U,0,B36&lt;&gt;"")</f>
        <v>0</v>
      </c>
      <c r="V36" s="10" cm="1">
        <f t="array" ref="V36">CreateTaskID($V$5,$V:$V,Tasks!$B$17,$T36)</f>
        <v>0</v>
      </c>
      <c r="W36" s="14" t="str" cm="1">
        <f t="array" aca="1" ref="W36" ca="1">IF($B36="","",SimpleLookup($B36,'Risk Treatment'!$C:$AW))</f>
        <v/>
      </c>
      <c r="X36" s="14" t="str" cm="1">
        <f t="array" aca="1" ref="X36" ca="1">IF($B36="","",_xlfn.LET(_xlpm._attackSteps,SimpleLookup($B36,'Risk Treatment'!$C:$Y),GetValues(_xlpm._attackSteps,Mitigation!$A:$AG,"",CHAR(1),FALSE)))</f>
        <v/>
      </c>
      <c r="Y36" s="14" t="str" cm="1">
        <f t="array" aca="1" ref="Y36"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ParseInlineMitigationString(_xlpm._remainingString,_xlpm._delimiter))))($X36,CHAR(1))</f>
        <v/>
      </c>
      <c r="Z36" s="14" t="str" cm="1">
        <f t="array" aca="1" ref="Z36" ca="1">FilterElementsFromList($W36,Helper!$J$4,TRUE,",")</f>
        <v/>
      </c>
      <c r="AA36" s="14" t="str" cm="1">
        <f t="array" aca="1" ref="AA36" ca="1">FilterElementsFromList($Y36,Helper!$J$4,TRUE,",")</f>
        <v/>
      </c>
      <c r="AB36" s="20" t="str" cm="1">
        <f t="array" aca="1" ref="AB36"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CreateConfirmedInlineMitigations(_xlpm._remainingString,_xlpm._confirmedCandAIDs,_xlpm._delimiterSearchString,_xlpm._delimiterResultString))))($X36,CreateSearchString($AA36),CHAR(1),","&amp;CHAR(10))</f>
        <v/>
      </c>
      <c r="AC36" s="20">
        <f ca="1">IFERROR(MATCH($B36,Risks!$A:$A,0),-1)</f>
        <v>3</v>
      </c>
      <c r="AD36" s="20" t="str" cm="1">
        <f t="array" aca="1" ref="AD36" ca="1">IF($B36="","",_xlfn.LET(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_xlpm._factorFunction($B36,Risks!$A:CA,Definitions!$Y:$Y,Definitions!$AB:$AB,1)&amp;CHAR(10)&amp;
_xlpm._factorFunction($B36,Risks!$A:CB,Definitions!$Y:$Y,Definitions!$AB:$AB,2)&amp;CHAR(10)&amp;
_xlpm._factorFunction($B36,Risks!$A:CC,Definitions!$Y:$Y,Definitions!$AB:$AB,3)&amp;CHAR(10)&amp;
_xlpm._factorFunction($B36,Risks!$A:CD,Definitions!$Y:$Y,Definitions!$AB:$AB,4)&amp;CHAR(10)&amp;
_xlpm._factorFunction($B36,Risks!$A:CE,Definitions!$Y:$Y,Definitions!$AB:$AB,5)))</f>
        <v/>
      </c>
      <c r="AE36" s="20" t="str" cm="1">
        <f t="array" aca="1" ref="AE36" ca="1">RemoveDelimiter(SUBSTITUTE(SUBSTITUTE($AB36,"{",""),"}",""),","&amp;CHAR(10))</f>
        <v/>
      </c>
      <c r="AF36" s="20" cm="1">
        <f t="array" aca="1" ref="AF36" ca="1">IF($O36="",0,SimpleLookup($O36,Definitions!$AE:$AF))</f>
        <v>0</v>
      </c>
    </row>
    <row r="37" spans="2:32" x14ac:dyDescent="0.25">
      <c r="B37" s="16" t="str">
        <f ca="1">OFFSET(Risks!$A$2,ROW()-ROW($B$5),0)</f>
        <v/>
      </c>
      <c r="C37" s="33" t="str" cm="1">
        <f t="array" aca="1" ref="C37" ca="1">IF($B37="","",IFERROR(SimpleLookup($B37,'Risk Treatment'!$C:D),"Please ensure that all risks are covered in the "&amp;Helper!$G$14&amp;" sheet. Currently, these risks are not covered: "&amp;'Risk Treatment'!$D$2&amp;"."))</f>
        <v/>
      </c>
      <c r="D37" s="37" t="str" cm="1">
        <f t="array" aca="1" ref="D37" ca="1">IF($B37="","",IFERROR(SimpleLookup($B37,'Risk Treatment'!$C:K),"Please ensure that all risks are covered in the "&amp;Helper!$G$14&amp;" sheet. Currently, these risks are not covered: "&amp;'Risk Treatment'!$D$2&amp;"."))</f>
        <v/>
      </c>
      <c r="E37" s="16" t="str" cm="1">
        <f t="array" aca="1" ref="E37" ca="1">IF($B37="","",IFERROR(SimpleLookup($B37,'Risk Treatment'!$C:L),"Please ensure that all risks are covered in the "&amp;Helper!$G$14&amp;" sheet. Currently, these risks are not covered: "&amp;'Risk Treatment'!$D$2&amp;"."))</f>
        <v/>
      </c>
      <c r="F37" s="34" t="str" cm="1">
        <f t="array" aca="1" ref="F37" ca="1">IF($B37="","",IFERROR(SimpleLookup($B37,'Risk Treatment'!$C:M),"Please ensure that all risks are covered in the "&amp;Helper!$G$14&amp;" sheet. Currently, these risks are not covered: "&amp;'Risk Treatment'!$D$2&amp;"."))</f>
        <v/>
      </c>
      <c r="G37" s="16" t="str" cm="1">
        <f t="array" aca="1" ref="G37" ca="1">IF($B37="","",IFERROR(SimpleLookup($B37,'Risk Treatment'!$C:N),"Please ensure that all risks are covered in the "&amp;Helper!$G$14&amp;" sheet. Currently, these risks are not covered: "&amp;'Risk Treatment'!$D$2&amp;"."))</f>
        <v/>
      </c>
      <c r="H37" s="16" t="str" cm="1">
        <f t="array" aca="1" ref="H37" ca="1">IF($B37="","",IFERROR(SimpleLookup($B37,'Risk Treatment'!$C:J),"Please ensure that all risks are covered in the "&amp;Helper!$G$14&amp;" sheet. Currently, these risks are not covered: "&amp;'Risk Treatment'!$D$2&amp;"."))</f>
        <v/>
      </c>
      <c r="I37" s="33" t="str" cm="1">
        <f t="array" aca="1" ref="I37" ca="1">IF($B37="","",IFERROR(SimpleLookup($B37,'Risk Treatment'!$C:O),"Please ensure that all risks are covered in the "&amp;Helper!$G$14&amp;" sheet. Currently, these risks are not covered: "&amp;'Risk Treatment'!$D$2&amp;"."))</f>
        <v/>
      </c>
      <c r="J37" s="33" t="str" cm="1">
        <f t="array" aca="1" ref="J37" ca="1">_xlfn.LET(
_xlpm._assignedMitigations,IF($B37="","",IFERROR(RemoveDelimiter(GetValuesWithFallback($Z37,Countermeasures!$A:$B,Assumptions!$A:$B," ",","&amp;CHAR(10),TRUE),","&amp;CHAR(10)),"Error: Unknown risk ID "&amp;$B37)),
_xlpm._inlineMitigations,$AE37,
_xlpm._assignedMitigations&amp;
IF(OR(_xlpm._assignedMitigations="",_xlpm._inlineMitigations=""),"",","&amp;CHAR(10))&amp;
_xlpm._inlineMitigations)</f>
        <v/>
      </c>
      <c r="K37" s="37" t="str" cm="1">
        <f t="array" aca="1" ref="K37" ca="1">IF($AC37=-1,"",RemoveDelimiter(GetValues(INDEX(Risks!BN:BN,$AC37),'DS Overview'!$A:$B," ",","&amp;CHAR(10),TRUE),","&amp;CHAR(10)))</f>
        <v/>
      </c>
      <c r="L37" s="33" t="str" cm="1">
        <f t="array" aca="1" ref="L37" ca="1">IF($AC37=-1,"",INDEX(Risks!BP:BP,$AC37))</f>
        <v/>
      </c>
      <c r="M37" s="34" t="str" cm="1">
        <f t="array" aca="1" ref="M37" ca="1">_xlfn.LET(
_xlpm._calculatedRAP,IFERROR(SimpleLookup($B37,Risks!$A:$BG),""),
_xlpm._inlineRAP,IFERROR(SimpleLookup($B37,Risks!$A:$BH),""),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IF(_xlpm._calculatedValue&gt;=_xlpm._inlineValue,$AD37,
_xlpm._mitigationSheetName&amp;" sheet "&amp;_xlfn.UNICHAR(8702)&amp;" Comment column:"&amp;CHAR(10)&amp;$AE37)))</f>
        <v/>
      </c>
      <c r="N37" s="33" t="str" cm="1">
        <f t="array" aca="1" ref="N37" ca="1">IF($AC37=-1,"",INDEX(Risks!CN:CN,$AC37))</f>
        <v>Basic</v>
      </c>
      <c r="O37" s="33" t="str" cm="1">
        <f t="array" aca="1" ref="O37" ca="1">IF($AC37=-1,"",INDEX(Risks!CO:CO,$AC37))</f>
        <v>No Risk</v>
      </c>
      <c r="P37" s="33" t="str">
        <f ca="1">IF($C37="","",IF($AF37&lt;=Definitions!$AF$6,Definitions!$M$4,""))</f>
        <v/>
      </c>
      <c r="Q37" s="23"/>
      <c r="R37" s="33" t="str">
        <f t="shared" ca="1" si="0"/>
        <v/>
      </c>
      <c r="S37" s="23"/>
      <c r="T37" s="13"/>
      <c r="U37" s="10" cm="1">
        <f t="array" aca="1" ref="U37" ca="1">GenerateShadowID(ROW(),$U$5,$U:$U,0,B37&lt;&gt;"")</f>
        <v>0</v>
      </c>
      <c r="V37" s="10" cm="1">
        <f t="array" ref="V37">CreateTaskID($V$5,$V:$V,Tasks!$B$17,$T37)</f>
        <v>0</v>
      </c>
      <c r="W37" s="14" t="str" cm="1">
        <f t="array" aca="1" ref="W37" ca="1">IF($B37="","",SimpleLookup($B37,'Risk Treatment'!$C:$AW))</f>
        <v/>
      </c>
      <c r="X37" s="14" t="str" cm="1">
        <f t="array" aca="1" ref="X37" ca="1">IF($B37="","",_xlfn.LET(_xlpm._attackSteps,SimpleLookup($B37,'Risk Treatment'!$C:$Y),GetValues(_xlpm._attackSteps,Mitigation!$A:$AG,"",CHAR(1),FALSE)))</f>
        <v/>
      </c>
      <c r="Y37" s="14" t="str" cm="1">
        <f t="array" aca="1" ref="Y37"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ParseInlineMitigationString(_xlpm._remainingString,_xlpm._delimiter))))($X37,CHAR(1))</f>
        <v/>
      </c>
      <c r="Z37" s="14" t="str" cm="1">
        <f t="array" aca="1" ref="Z37" ca="1">FilterElementsFromList($W37,Helper!$J$4,TRUE,",")</f>
        <v/>
      </c>
      <c r="AA37" s="14" t="str" cm="1">
        <f t="array" aca="1" ref="AA37" ca="1">FilterElementsFromList($Y37,Helper!$J$4,TRUE,",")</f>
        <v/>
      </c>
      <c r="AB37" s="20" t="str" cm="1">
        <f t="array" aca="1" ref="AB37"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CreateConfirmedInlineMitigations(_xlpm._remainingString,_xlpm._confirmedCandAIDs,_xlpm._delimiterSearchString,_xlpm._delimiterResultString))))($X37,CreateSearchString($AA37),CHAR(1),","&amp;CHAR(10))</f>
        <v/>
      </c>
      <c r="AC37" s="20">
        <f ca="1">IFERROR(MATCH($B37,Risks!$A:$A,0),-1)</f>
        <v>3</v>
      </c>
      <c r="AD37" s="20" t="str" cm="1">
        <f t="array" aca="1" ref="AD37" ca="1">IF($B37="","",_xlfn.LET(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_xlpm._factorFunction($B37,Risks!$A:CA,Definitions!$Y:$Y,Definitions!$AB:$AB,1)&amp;CHAR(10)&amp;
_xlpm._factorFunction($B37,Risks!$A:CB,Definitions!$Y:$Y,Definitions!$AB:$AB,2)&amp;CHAR(10)&amp;
_xlpm._factorFunction($B37,Risks!$A:CC,Definitions!$Y:$Y,Definitions!$AB:$AB,3)&amp;CHAR(10)&amp;
_xlpm._factorFunction($B37,Risks!$A:CD,Definitions!$Y:$Y,Definitions!$AB:$AB,4)&amp;CHAR(10)&amp;
_xlpm._factorFunction($B37,Risks!$A:CE,Definitions!$Y:$Y,Definitions!$AB:$AB,5)))</f>
        <v/>
      </c>
      <c r="AE37" s="20" t="str" cm="1">
        <f t="array" aca="1" ref="AE37" ca="1">RemoveDelimiter(SUBSTITUTE(SUBSTITUTE($AB37,"{",""),"}",""),","&amp;CHAR(10))</f>
        <v/>
      </c>
      <c r="AF37" s="20" cm="1">
        <f t="array" aca="1" ref="AF37" ca="1">IF($O37="",0,SimpleLookup($O37,Definitions!$AE:$AF))</f>
        <v>0</v>
      </c>
    </row>
    <row r="38" spans="2:32" x14ac:dyDescent="0.25">
      <c r="B38" s="16" t="str">
        <f ca="1">OFFSET(Risks!$A$2,ROW()-ROW($B$5),0)</f>
        <v/>
      </c>
      <c r="C38" s="33" t="str" cm="1">
        <f t="array" aca="1" ref="C38" ca="1">IF($B38="","",IFERROR(SimpleLookup($B38,'Risk Treatment'!$C:D),"Please ensure that all risks are covered in the "&amp;Helper!$G$14&amp;" sheet. Currently, these risks are not covered: "&amp;'Risk Treatment'!$D$2&amp;"."))</f>
        <v/>
      </c>
      <c r="D38" s="37" t="str" cm="1">
        <f t="array" aca="1" ref="D38" ca="1">IF($B38="","",IFERROR(SimpleLookup($B38,'Risk Treatment'!$C:K),"Please ensure that all risks are covered in the "&amp;Helper!$G$14&amp;" sheet. Currently, these risks are not covered: "&amp;'Risk Treatment'!$D$2&amp;"."))</f>
        <v/>
      </c>
      <c r="E38" s="16" t="str" cm="1">
        <f t="array" aca="1" ref="E38" ca="1">IF($B38="","",IFERROR(SimpleLookup($B38,'Risk Treatment'!$C:L),"Please ensure that all risks are covered in the "&amp;Helper!$G$14&amp;" sheet. Currently, these risks are not covered: "&amp;'Risk Treatment'!$D$2&amp;"."))</f>
        <v/>
      </c>
      <c r="F38" s="34" t="str" cm="1">
        <f t="array" aca="1" ref="F38" ca="1">IF($B38="","",IFERROR(SimpleLookup($B38,'Risk Treatment'!$C:M),"Please ensure that all risks are covered in the "&amp;Helper!$G$14&amp;" sheet. Currently, these risks are not covered: "&amp;'Risk Treatment'!$D$2&amp;"."))</f>
        <v/>
      </c>
      <c r="G38" s="16" t="str" cm="1">
        <f t="array" aca="1" ref="G38" ca="1">IF($B38="","",IFERROR(SimpleLookup($B38,'Risk Treatment'!$C:N),"Please ensure that all risks are covered in the "&amp;Helper!$G$14&amp;" sheet. Currently, these risks are not covered: "&amp;'Risk Treatment'!$D$2&amp;"."))</f>
        <v/>
      </c>
      <c r="H38" s="16" t="str" cm="1">
        <f t="array" aca="1" ref="H38" ca="1">IF($B38="","",IFERROR(SimpleLookup($B38,'Risk Treatment'!$C:J),"Please ensure that all risks are covered in the "&amp;Helper!$G$14&amp;" sheet. Currently, these risks are not covered: "&amp;'Risk Treatment'!$D$2&amp;"."))</f>
        <v/>
      </c>
      <c r="I38" s="33" t="str" cm="1">
        <f t="array" aca="1" ref="I38" ca="1">IF($B38="","",IFERROR(SimpleLookup($B38,'Risk Treatment'!$C:O),"Please ensure that all risks are covered in the "&amp;Helper!$G$14&amp;" sheet. Currently, these risks are not covered: "&amp;'Risk Treatment'!$D$2&amp;"."))</f>
        <v/>
      </c>
      <c r="J38" s="33" t="str" cm="1">
        <f t="array" aca="1" ref="J38" ca="1">_xlfn.LET(
_xlpm._assignedMitigations,IF($B38="","",IFERROR(RemoveDelimiter(GetValuesWithFallback($Z38,Countermeasures!$A:$B,Assumptions!$A:$B," ",","&amp;CHAR(10),TRUE),","&amp;CHAR(10)),"Error: Unknown risk ID "&amp;$B38)),
_xlpm._inlineMitigations,$AE38,
_xlpm._assignedMitigations&amp;
IF(OR(_xlpm._assignedMitigations="",_xlpm._inlineMitigations=""),"",","&amp;CHAR(10))&amp;
_xlpm._inlineMitigations)</f>
        <v/>
      </c>
      <c r="K38" s="37" t="str" cm="1">
        <f t="array" aca="1" ref="K38" ca="1">IF($AC38=-1,"",RemoveDelimiter(GetValues(INDEX(Risks!BN:BN,$AC38),'DS Overview'!$A:$B," ",","&amp;CHAR(10),TRUE),","&amp;CHAR(10)))</f>
        <v/>
      </c>
      <c r="L38" s="33" t="str" cm="1">
        <f t="array" aca="1" ref="L38" ca="1">IF($AC38=-1,"",INDEX(Risks!BP:BP,$AC38))</f>
        <v/>
      </c>
      <c r="M38" s="34" t="str" cm="1">
        <f t="array" aca="1" ref="M38" ca="1">_xlfn.LET(
_xlpm._calculatedRAP,IFERROR(SimpleLookup($B38,Risks!$A:$BG),""),
_xlpm._inlineRAP,IFERROR(SimpleLookup($B38,Risks!$A:$BH),""),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IF(_xlpm._calculatedValue&gt;=_xlpm._inlineValue,$AD38,
_xlpm._mitigationSheetName&amp;" sheet "&amp;_xlfn.UNICHAR(8702)&amp;" Comment column:"&amp;CHAR(10)&amp;$AE38)))</f>
        <v/>
      </c>
      <c r="N38" s="33" t="str" cm="1">
        <f t="array" aca="1" ref="N38" ca="1">IF($AC38=-1,"",INDEX(Risks!CN:CN,$AC38))</f>
        <v>Basic</v>
      </c>
      <c r="O38" s="33" t="str" cm="1">
        <f t="array" aca="1" ref="O38" ca="1">IF($AC38=-1,"",INDEX(Risks!CO:CO,$AC38))</f>
        <v>No Risk</v>
      </c>
      <c r="P38" s="33" t="str">
        <f ca="1">IF($C38="","",IF($AF38&lt;=Definitions!$AF$6,Definitions!$M$4,""))</f>
        <v/>
      </c>
      <c r="Q38" s="23"/>
      <c r="R38" s="33" t="str">
        <f t="shared" ref="R38:R72" ca="1" si="1">IF($Q38="",$P38,$Q38)</f>
        <v/>
      </c>
      <c r="S38" s="23"/>
      <c r="T38" s="13"/>
      <c r="U38" s="10" cm="1">
        <f t="array" aca="1" ref="U38" ca="1">GenerateShadowID(ROW(),$U$5,$U:$U,0,B38&lt;&gt;"")</f>
        <v>0</v>
      </c>
      <c r="V38" s="10" cm="1">
        <f t="array" ref="V38">CreateTaskID($V$5,$V:$V,Tasks!$B$17,$T38)</f>
        <v>0</v>
      </c>
      <c r="W38" s="14" t="str" cm="1">
        <f t="array" aca="1" ref="W38" ca="1">IF($B38="","",SimpleLookup($B38,'Risk Treatment'!$C:$AW))</f>
        <v/>
      </c>
      <c r="X38" s="14" t="str" cm="1">
        <f t="array" aca="1" ref="X38" ca="1">IF($B38="","",_xlfn.LET(_xlpm._attackSteps,SimpleLookup($B38,'Risk Treatment'!$C:$Y),GetValues(_xlpm._attackSteps,Mitigation!$A:$AG,"",CHAR(1),FALSE)))</f>
        <v/>
      </c>
      <c r="Y38" s="14" t="str" cm="1">
        <f t="array" aca="1" ref="Y38"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ParseInlineMitigationString(_xlpm._remainingString,_xlpm._delimiter))))($X38,CHAR(1))</f>
        <v/>
      </c>
      <c r="Z38" s="14" t="str" cm="1">
        <f t="array" aca="1" ref="Z38" ca="1">FilterElementsFromList($W38,Helper!$J$4,TRUE,",")</f>
        <v/>
      </c>
      <c r="AA38" s="14" t="str" cm="1">
        <f t="array" aca="1" ref="AA38" ca="1">FilterElementsFromList($Y38,Helper!$J$4,TRUE,",")</f>
        <v/>
      </c>
      <c r="AB38" s="20" t="str" cm="1">
        <f t="array" aca="1" ref="AB38"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CreateConfirmedInlineMitigations(_xlpm._remainingString,_xlpm._confirmedCandAIDs,_xlpm._delimiterSearchString,_xlpm._delimiterResultString))))($X38,CreateSearchString($AA38),CHAR(1),","&amp;CHAR(10))</f>
        <v/>
      </c>
      <c r="AC38" s="20">
        <f ca="1">IFERROR(MATCH($B38,Risks!$A:$A,0),-1)</f>
        <v>3</v>
      </c>
      <c r="AD38" s="20" t="str" cm="1">
        <f t="array" aca="1" ref="AD38" ca="1">IF($B38="","",_xlfn.LET(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_xlpm._factorFunction($B38,Risks!$A:CA,Definitions!$Y:$Y,Definitions!$AB:$AB,1)&amp;CHAR(10)&amp;
_xlpm._factorFunction($B38,Risks!$A:CB,Definitions!$Y:$Y,Definitions!$AB:$AB,2)&amp;CHAR(10)&amp;
_xlpm._factorFunction($B38,Risks!$A:CC,Definitions!$Y:$Y,Definitions!$AB:$AB,3)&amp;CHAR(10)&amp;
_xlpm._factorFunction($B38,Risks!$A:CD,Definitions!$Y:$Y,Definitions!$AB:$AB,4)&amp;CHAR(10)&amp;
_xlpm._factorFunction($B38,Risks!$A:CE,Definitions!$Y:$Y,Definitions!$AB:$AB,5)))</f>
        <v/>
      </c>
      <c r="AE38" s="20" t="str" cm="1">
        <f t="array" aca="1" ref="AE38" ca="1">RemoveDelimiter(SUBSTITUTE(SUBSTITUTE($AB38,"{",""),"}",""),","&amp;CHAR(10))</f>
        <v/>
      </c>
      <c r="AF38" s="20" cm="1">
        <f t="array" aca="1" ref="AF38" ca="1">IF($O38="",0,SimpleLookup($O38,Definitions!$AE:$AF))</f>
        <v>0</v>
      </c>
    </row>
    <row r="39" spans="2:32" x14ac:dyDescent="0.25">
      <c r="B39" s="16" t="str">
        <f ca="1">OFFSET(Risks!$A$2,ROW()-ROW($B$5),0)</f>
        <v/>
      </c>
      <c r="C39" s="33" t="str" cm="1">
        <f t="array" aca="1" ref="C39" ca="1">IF($B39="","",IFERROR(SimpleLookup($B39,'Risk Treatment'!$C:D),"Please ensure that all risks are covered in the "&amp;Helper!$G$14&amp;" sheet. Currently, these risks are not covered: "&amp;'Risk Treatment'!$D$2&amp;"."))</f>
        <v/>
      </c>
      <c r="D39" s="37" t="str" cm="1">
        <f t="array" aca="1" ref="D39" ca="1">IF($B39="","",IFERROR(SimpleLookup($B39,'Risk Treatment'!$C:K),"Please ensure that all risks are covered in the "&amp;Helper!$G$14&amp;" sheet. Currently, these risks are not covered: "&amp;'Risk Treatment'!$D$2&amp;"."))</f>
        <v/>
      </c>
      <c r="E39" s="16" t="str" cm="1">
        <f t="array" aca="1" ref="E39" ca="1">IF($B39="","",IFERROR(SimpleLookup($B39,'Risk Treatment'!$C:L),"Please ensure that all risks are covered in the "&amp;Helper!$G$14&amp;" sheet. Currently, these risks are not covered: "&amp;'Risk Treatment'!$D$2&amp;"."))</f>
        <v/>
      </c>
      <c r="F39" s="34" t="str" cm="1">
        <f t="array" aca="1" ref="F39" ca="1">IF($B39="","",IFERROR(SimpleLookup($B39,'Risk Treatment'!$C:M),"Please ensure that all risks are covered in the "&amp;Helper!$G$14&amp;" sheet. Currently, these risks are not covered: "&amp;'Risk Treatment'!$D$2&amp;"."))</f>
        <v/>
      </c>
      <c r="G39" s="16" t="str" cm="1">
        <f t="array" aca="1" ref="G39" ca="1">IF($B39="","",IFERROR(SimpleLookup($B39,'Risk Treatment'!$C:N),"Please ensure that all risks are covered in the "&amp;Helper!$G$14&amp;" sheet. Currently, these risks are not covered: "&amp;'Risk Treatment'!$D$2&amp;"."))</f>
        <v/>
      </c>
      <c r="H39" s="16" t="str" cm="1">
        <f t="array" aca="1" ref="H39" ca="1">IF($B39="","",IFERROR(SimpleLookup($B39,'Risk Treatment'!$C:J),"Please ensure that all risks are covered in the "&amp;Helper!$G$14&amp;" sheet. Currently, these risks are not covered: "&amp;'Risk Treatment'!$D$2&amp;"."))</f>
        <v/>
      </c>
      <c r="I39" s="33" t="str" cm="1">
        <f t="array" aca="1" ref="I39" ca="1">IF($B39="","",IFERROR(SimpleLookup($B39,'Risk Treatment'!$C:O),"Please ensure that all risks are covered in the "&amp;Helper!$G$14&amp;" sheet. Currently, these risks are not covered: "&amp;'Risk Treatment'!$D$2&amp;"."))</f>
        <v/>
      </c>
      <c r="J39" s="33" t="str" cm="1">
        <f t="array" aca="1" ref="J39" ca="1">_xlfn.LET(
_xlpm._assignedMitigations,IF($B39="","",IFERROR(RemoveDelimiter(GetValuesWithFallback($Z39,Countermeasures!$A:$B,Assumptions!$A:$B," ",","&amp;CHAR(10),TRUE),","&amp;CHAR(10)),"Error: Unknown risk ID "&amp;$B39)),
_xlpm._inlineMitigations,$AE39,
_xlpm._assignedMitigations&amp;
IF(OR(_xlpm._assignedMitigations="",_xlpm._inlineMitigations=""),"",","&amp;CHAR(10))&amp;
_xlpm._inlineMitigations)</f>
        <v/>
      </c>
      <c r="K39" s="37" t="str" cm="1">
        <f t="array" aca="1" ref="K39" ca="1">IF($AC39=-1,"",RemoveDelimiter(GetValues(INDEX(Risks!BN:BN,$AC39),'DS Overview'!$A:$B," ",","&amp;CHAR(10),TRUE),","&amp;CHAR(10)))</f>
        <v/>
      </c>
      <c r="L39" s="33" t="str" cm="1">
        <f t="array" aca="1" ref="L39" ca="1">IF($AC39=-1,"",INDEX(Risks!BP:BP,$AC39))</f>
        <v/>
      </c>
      <c r="M39" s="34" t="str" cm="1">
        <f t="array" aca="1" ref="M39" ca="1">_xlfn.LET(
_xlpm._calculatedRAP,IFERROR(SimpleLookup($B39,Risks!$A:$BG),""),
_xlpm._inlineRAP,IFERROR(SimpleLookup($B39,Risks!$A:$BH),""),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IF(_xlpm._calculatedValue&gt;=_xlpm._inlineValue,$AD39,
_xlpm._mitigationSheetName&amp;" sheet "&amp;_xlfn.UNICHAR(8702)&amp;" Comment column:"&amp;CHAR(10)&amp;$AE39)))</f>
        <v/>
      </c>
      <c r="N39" s="33" t="str" cm="1">
        <f t="array" aca="1" ref="N39" ca="1">IF($AC39=-1,"",INDEX(Risks!CN:CN,$AC39))</f>
        <v>Basic</v>
      </c>
      <c r="O39" s="33" t="str" cm="1">
        <f t="array" aca="1" ref="O39" ca="1">IF($AC39=-1,"",INDEX(Risks!CO:CO,$AC39))</f>
        <v>No Risk</v>
      </c>
      <c r="P39" s="33" t="str">
        <f ca="1">IF($C39="","",IF($AF39&lt;=Definitions!$AF$6,Definitions!$M$4,""))</f>
        <v/>
      </c>
      <c r="Q39" s="23"/>
      <c r="R39" s="33" t="str">
        <f t="shared" ca="1" si="1"/>
        <v/>
      </c>
      <c r="S39" s="23"/>
      <c r="T39" s="13"/>
      <c r="U39" s="10" cm="1">
        <f t="array" aca="1" ref="U39" ca="1">GenerateShadowID(ROW(),$U$5,$U:$U,0,B39&lt;&gt;"")</f>
        <v>0</v>
      </c>
      <c r="V39" s="10" cm="1">
        <f t="array" ref="V39">CreateTaskID($V$5,$V:$V,Tasks!$B$17,$T39)</f>
        <v>0</v>
      </c>
      <c r="W39" s="14" t="str" cm="1">
        <f t="array" aca="1" ref="W39" ca="1">IF($B39="","",SimpleLookup($B39,'Risk Treatment'!$C:$AW))</f>
        <v/>
      </c>
      <c r="X39" s="14" t="str" cm="1">
        <f t="array" aca="1" ref="X39" ca="1">IF($B39="","",_xlfn.LET(_xlpm._attackSteps,SimpleLookup($B39,'Risk Treatment'!$C:$Y),GetValues(_xlpm._attackSteps,Mitigation!$A:$AG,"",CHAR(1),FALSE)))</f>
        <v/>
      </c>
      <c r="Y39" s="14" t="str" cm="1">
        <f t="array" aca="1" ref="Y39"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ParseInlineMitigationString(_xlpm._remainingString,_xlpm._delimiter))))($X39,CHAR(1))</f>
        <v/>
      </c>
      <c r="Z39" s="14" t="str" cm="1">
        <f t="array" aca="1" ref="Z39" ca="1">FilterElementsFromList($W39,Helper!$J$4,TRUE,",")</f>
        <v/>
      </c>
      <c r="AA39" s="14" t="str" cm="1">
        <f t="array" aca="1" ref="AA39" ca="1">FilterElementsFromList($Y39,Helper!$J$4,TRUE,",")</f>
        <v/>
      </c>
      <c r="AB39" s="20" t="str" cm="1">
        <f t="array" aca="1" ref="AB39"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CreateConfirmedInlineMitigations(_xlpm._remainingString,_xlpm._confirmedCandAIDs,_xlpm._delimiterSearchString,_xlpm._delimiterResultString))))($X39,CreateSearchString($AA39),CHAR(1),","&amp;CHAR(10))</f>
        <v/>
      </c>
      <c r="AC39" s="20">
        <f ca="1">IFERROR(MATCH($B39,Risks!$A:$A,0),-1)</f>
        <v>3</v>
      </c>
      <c r="AD39" s="20" t="str" cm="1">
        <f t="array" aca="1" ref="AD39" ca="1">IF($B39="","",_xlfn.LET(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_xlpm._factorFunction($B39,Risks!$A:CA,Definitions!$Y:$Y,Definitions!$AB:$AB,1)&amp;CHAR(10)&amp;
_xlpm._factorFunction($B39,Risks!$A:CB,Definitions!$Y:$Y,Definitions!$AB:$AB,2)&amp;CHAR(10)&amp;
_xlpm._factorFunction($B39,Risks!$A:CC,Definitions!$Y:$Y,Definitions!$AB:$AB,3)&amp;CHAR(10)&amp;
_xlpm._factorFunction($B39,Risks!$A:CD,Definitions!$Y:$Y,Definitions!$AB:$AB,4)&amp;CHAR(10)&amp;
_xlpm._factorFunction($B39,Risks!$A:CE,Definitions!$Y:$Y,Definitions!$AB:$AB,5)))</f>
        <v/>
      </c>
      <c r="AE39" s="20" t="str" cm="1">
        <f t="array" aca="1" ref="AE39" ca="1">RemoveDelimiter(SUBSTITUTE(SUBSTITUTE($AB39,"{",""),"}",""),","&amp;CHAR(10))</f>
        <v/>
      </c>
      <c r="AF39" s="20" cm="1">
        <f t="array" aca="1" ref="AF39" ca="1">IF($O39="",0,SimpleLookup($O39,Definitions!$AE:$AF))</f>
        <v>0</v>
      </c>
    </row>
    <row r="40" spans="2:32" x14ac:dyDescent="0.25">
      <c r="B40" s="16" t="str">
        <f ca="1">OFFSET(Risks!$A$2,ROW()-ROW($B$5),0)</f>
        <v/>
      </c>
      <c r="C40" s="33" t="str" cm="1">
        <f t="array" aca="1" ref="C40" ca="1">IF($B40="","",IFERROR(SimpleLookup($B40,'Risk Treatment'!$C:D),"Please ensure that all risks are covered in the "&amp;Helper!$G$14&amp;" sheet. Currently, these risks are not covered: "&amp;'Risk Treatment'!$D$2&amp;"."))</f>
        <v/>
      </c>
      <c r="D40" s="37" t="str" cm="1">
        <f t="array" aca="1" ref="D40" ca="1">IF($B40="","",IFERROR(SimpleLookup($B40,'Risk Treatment'!$C:K),"Please ensure that all risks are covered in the "&amp;Helper!$G$14&amp;" sheet. Currently, these risks are not covered: "&amp;'Risk Treatment'!$D$2&amp;"."))</f>
        <v/>
      </c>
      <c r="E40" s="16" t="str" cm="1">
        <f t="array" aca="1" ref="E40" ca="1">IF($B40="","",IFERROR(SimpleLookup($B40,'Risk Treatment'!$C:L),"Please ensure that all risks are covered in the "&amp;Helper!$G$14&amp;" sheet. Currently, these risks are not covered: "&amp;'Risk Treatment'!$D$2&amp;"."))</f>
        <v/>
      </c>
      <c r="F40" s="34" t="str" cm="1">
        <f t="array" aca="1" ref="F40" ca="1">IF($B40="","",IFERROR(SimpleLookup($B40,'Risk Treatment'!$C:M),"Please ensure that all risks are covered in the "&amp;Helper!$G$14&amp;" sheet. Currently, these risks are not covered: "&amp;'Risk Treatment'!$D$2&amp;"."))</f>
        <v/>
      </c>
      <c r="G40" s="16" t="str" cm="1">
        <f t="array" aca="1" ref="G40" ca="1">IF($B40="","",IFERROR(SimpleLookup($B40,'Risk Treatment'!$C:N),"Please ensure that all risks are covered in the "&amp;Helper!$G$14&amp;" sheet. Currently, these risks are not covered: "&amp;'Risk Treatment'!$D$2&amp;"."))</f>
        <v/>
      </c>
      <c r="H40" s="16" t="str" cm="1">
        <f t="array" aca="1" ref="H40" ca="1">IF($B40="","",IFERROR(SimpleLookup($B40,'Risk Treatment'!$C:J),"Please ensure that all risks are covered in the "&amp;Helper!$G$14&amp;" sheet. Currently, these risks are not covered: "&amp;'Risk Treatment'!$D$2&amp;"."))</f>
        <v/>
      </c>
      <c r="I40" s="33" t="str" cm="1">
        <f t="array" aca="1" ref="I40" ca="1">IF($B40="","",IFERROR(SimpleLookup($B40,'Risk Treatment'!$C:O),"Please ensure that all risks are covered in the "&amp;Helper!$G$14&amp;" sheet. Currently, these risks are not covered: "&amp;'Risk Treatment'!$D$2&amp;"."))</f>
        <v/>
      </c>
      <c r="J40" s="33" t="str" cm="1">
        <f t="array" aca="1" ref="J40" ca="1">_xlfn.LET(
_xlpm._assignedMitigations,IF($B40="","",IFERROR(RemoveDelimiter(GetValuesWithFallback($Z40,Countermeasures!$A:$B,Assumptions!$A:$B," ",","&amp;CHAR(10),TRUE),","&amp;CHAR(10)),"Error: Unknown risk ID "&amp;$B40)),
_xlpm._inlineMitigations,$AE40,
_xlpm._assignedMitigations&amp;
IF(OR(_xlpm._assignedMitigations="",_xlpm._inlineMitigations=""),"",","&amp;CHAR(10))&amp;
_xlpm._inlineMitigations)</f>
        <v/>
      </c>
      <c r="K40" s="37" t="str" cm="1">
        <f t="array" aca="1" ref="K40" ca="1">IF($AC40=-1,"",RemoveDelimiter(GetValues(INDEX(Risks!BN:BN,$AC40),'DS Overview'!$A:$B," ",","&amp;CHAR(10),TRUE),","&amp;CHAR(10)))</f>
        <v/>
      </c>
      <c r="L40" s="33" t="str" cm="1">
        <f t="array" aca="1" ref="L40" ca="1">IF($AC40=-1,"",INDEX(Risks!BP:BP,$AC40))</f>
        <v/>
      </c>
      <c r="M40" s="34" t="str" cm="1">
        <f t="array" aca="1" ref="M40" ca="1">_xlfn.LET(
_xlpm._calculatedRAP,IFERROR(SimpleLookup($B40,Risks!$A:$BG),""),
_xlpm._inlineRAP,IFERROR(SimpleLookup($B40,Risks!$A:$BH),""),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IF(_xlpm._calculatedValue&gt;=_xlpm._inlineValue,$AD40,
_xlpm._mitigationSheetName&amp;" sheet "&amp;_xlfn.UNICHAR(8702)&amp;" Comment column:"&amp;CHAR(10)&amp;$AE40)))</f>
        <v/>
      </c>
      <c r="N40" s="33" t="str" cm="1">
        <f t="array" aca="1" ref="N40" ca="1">IF($AC40=-1,"",INDEX(Risks!CN:CN,$AC40))</f>
        <v>Basic</v>
      </c>
      <c r="O40" s="33" t="str" cm="1">
        <f t="array" aca="1" ref="O40" ca="1">IF($AC40=-1,"",INDEX(Risks!CO:CO,$AC40))</f>
        <v>No Risk</v>
      </c>
      <c r="P40" s="33" t="str">
        <f ca="1">IF($C40="","",IF($AF40&lt;=Definitions!$AF$6,Definitions!$M$4,""))</f>
        <v/>
      </c>
      <c r="Q40" s="23"/>
      <c r="R40" s="33" t="str">
        <f t="shared" ca="1" si="1"/>
        <v/>
      </c>
      <c r="S40" s="23"/>
      <c r="T40" s="13"/>
      <c r="U40" s="10" cm="1">
        <f t="array" aca="1" ref="U40" ca="1">GenerateShadowID(ROW(),$U$5,$U:$U,0,B40&lt;&gt;"")</f>
        <v>0</v>
      </c>
      <c r="V40" s="10" cm="1">
        <f t="array" ref="V40">CreateTaskID($V$5,$V:$V,Tasks!$B$17,$T40)</f>
        <v>0</v>
      </c>
      <c r="W40" s="14" t="str" cm="1">
        <f t="array" aca="1" ref="W40" ca="1">IF($B40="","",SimpleLookup($B40,'Risk Treatment'!$C:$AW))</f>
        <v/>
      </c>
      <c r="X40" s="14" t="str" cm="1">
        <f t="array" aca="1" ref="X40" ca="1">IF($B40="","",_xlfn.LET(_xlpm._attackSteps,SimpleLookup($B40,'Risk Treatment'!$C:$Y),GetValues(_xlpm._attackSteps,Mitigation!$A:$AG,"",CHAR(1),FALSE)))</f>
        <v/>
      </c>
      <c r="Y40" s="14" t="str" cm="1">
        <f t="array" aca="1" ref="Y40"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ParseInlineMitigationString(_xlpm._remainingString,_xlpm._delimiter))))($X40,CHAR(1))</f>
        <v/>
      </c>
      <c r="Z40" s="14" t="str" cm="1">
        <f t="array" aca="1" ref="Z40" ca="1">FilterElementsFromList($W40,Helper!$J$4,TRUE,",")</f>
        <v/>
      </c>
      <c r="AA40" s="14" t="str" cm="1">
        <f t="array" aca="1" ref="AA40" ca="1">FilterElementsFromList($Y40,Helper!$J$4,TRUE,",")</f>
        <v/>
      </c>
      <c r="AB40" s="20" t="str" cm="1">
        <f t="array" aca="1" ref="AB40"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CreateConfirmedInlineMitigations(_xlpm._remainingString,_xlpm._confirmedCandAIDs,_xlpm._delimiterSearchString,_xlpm._delimiterResultString))))($X40,CreateSearchString($AA40),CHAR(1),","&amp;CHAR(10))</f>
        <v/>
      </c>
      <c r="AC40" s="20">
        <f ca="1">IFERROR(MATCH($B40,Risks!$A:$A,0),-1)</f>
        <v>3</v>
      </c>
      <c r="AD40" s="20" t="str" cm="1">
        <f t="array" aca="1" ref="AD40" ca="1">IF($B40="","",_xlfn.LET(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_xlpm._factorFunction($B40,Risks!$A:CA,Definitions!$Y:$Y,Definitions!$AB:$AB,1)&amp;CHAR(10)&amp;
_xlpm._factorFunction($B40,Risks!$A:CB,Definitions!$Y:$Y,Definitions!$AB:$AB,2)&amp;CHAR(10)&amp;
_xlpm._factorFunction($B40,Risks!$A:CC,Definitions!$Y:$Y,Definitions!$AB:$AB,3)&amp;CHAR(10)&amp;
_xlpm._factorFunction($B40,Risks!$A:CD,Definitions!$Y:$Y,Definitions!$AB:$AB,4)&amp;CHAR(10)&amp;
_xlpm._factorFunction($B40,Risks!$A:CE,Definitions!$Y:$Y,Definitions!$AB:$AB,5)))</f>
        <v/>
      </c>
      <c r="AE40" s="20" t="str" cm="1">
        <f t="array" aca="1" ref="AE40" ca="1">RemoveDelimiter(SUBSTITUTE(SUBSTITUTE($AB40,"{",""),"}",""),","&amp;CHAR(10))</f>
        <v/>
      </c>
      <c r="AF40" s="20" cm="1">
        <f t="array" aca="1" ref="AF40" ca="1">IF($O40="",0,SimpleLookup($O40,Definitions!$AE:$AF))</f>
        <v>0</v>
      </c>
    </row>
    <row r="41" spans="2:32" x14ac:dyDescent="0.25">
      <c r="B41" s="16" t="str">
        <f ca="1">OFFSET(Risks!$A$2,ROW()-ROW($B$5),0)</f>
        <v/>
      </c>
      <c r="C41" s="33" t="str" cm="1">
        <f t="array" aca="1" ref="C41" ca="1">IF($B41="","",IFERROR(SimpleLookup($B41,'Risk Treatment'!$C:D),"Please ensure that all risks are covered in the "&amp;Helper!$G$14&amp;" sheet. Currently, these risks are not covered: "&amp;'Risk Treatment'!$D$2&amp;"."))</f>
        <v/>
      </c>
      <c r="D41" s="37" t="str" cm="1">
        <f t="array" aca="1" ref="D41" ca="1">IF($B41="","",IFERROR(SimpleLookup($B41,'Risk Treatment'!$C:K),"Please ensure that all risks are covered in the "&amp;Helper!$G$14&amp;" sheet. Currently, these risks are not covered: "&amp;'Risk Treatment'!$D$2&amp;"."))</f>
        <v/>
      </c>
      <c r="E41" s="16" t="str" cm="1">
        <f t="array" aca="1" ref="E41" ca="1">IF($B41="","",IFERROR(SimpleLookup($B41,'Risk Treatment'!$C:L),"Please ensure that all risks are covered in the "&amp;Helper!$G$14&amp;" sheet. Currently, these risks are not covered: "&amp;'Risk Treatment'!$D$2&amp;"."))</f>
        <v/>
      </c>
      <c r="F41" s="34" t="str" cm="1">
        <f t="array" aca="1" ref="F41" ca="1">IF($B41="","",IFERROR(SimpleLookup($B41,'Risk Treatment'!$C:M),"Please ensure that all risks are covered in the "&amp;Helper!$G$14&amp;" sheet. Currently, these risks are not covered: "&amp;'Risk Treatment'!$D$2&amp;"."))</f>
        <v/>
      </c>
      <c r="G41" s="16" t="str" cm="1">
        <f t="array" aca="1" ref="G41" ca="1">IF($B41="","",IFERROR(SimpleLookup($B41,'Risk Treatment'!$C:N),"Please ensure that all risks are covered in the "&amp;Helper!$G$14&amp;" sheet. Currently, these risks are not covered: "&amp;'Risk Treatment'!$D$2&amp;"."))</f>
        <v/>
      </c>
      <c r="H41" s="16" t="str" cm="1">
        <f t="array" aca="1" ref="H41" ca="1">IF($B41="","",IFERROR(SimpleLookup($B41,'Risk Treatment'!$C:J),"Please ensure that all risks are covered in the "&amp;Helper!$G$14&amp;" sheet. Currently, these risks are not covered: "&amp;'Risk Treatment'!$D$2&amp;"."))</f>
        <v/>
      </c>
      <c r="I41" s="33" t="str" cm="1">
        <f t="array" aca="1" ref="I41" ca="1">IF($B41="","",IFERROR(SimpleLookup($B41,'Risk Treatment'!$C:O),"Please ensure that all risks are covered in the "&amp;Helper!$G$14&amp;" sheet. Currently, these risks are not covered: "&amp;'Risk Treatment'!$D$2&amp;"."))</f>
        <v/>
      </c>
      <c r="J41" s="33" t="str" cm="1">
        <f t="array" aca="1" ref="J41" ca="1">_xlfn.LET(
_xlpm._assignedMitigations,IF($B41="","",IFERROR(RemoveDelimiter(GetValuesWithFallback($Z41,Countermeasures!$A:$B,Assumptions!$A:$B," ",","&amp;CHAR(10),TRUE),","&amp;CHAR(10)),"Error: Unknown risk ID "&amp;$B41)),
_xlpm._inlineMitigations,$AE41,
_xlpm._assignedMitigations&amp;
IF(OR(_xlpm._assignedMitigations="",_xlpm._inlineMitigations=""),"",","&amp;CHAR(10))&amp;
_xlpm._inlineMitigations)</f>
        <v/>
      </c>
      <c r="K41" s="37" t="str" cm="1">
        <f t="array" aca="1" ref="K41" ca="1">IF($AC41=-1,"",RemoveDelimiter(GetValues(INDEX(Risks!BN:BN,$AC41),'DS Overview'!$A:$B," ",","&amp;CHAR(10),TRUE),","&amp;CHAR(10)))</f>
        <v/>
      </c>
      <c r="L41" s="33" t="str" cm="1">
        <f t="array" aca="1" ref="L41" ca="1">IF($AC41=-1,"",INDEX(Risks!BP:BP,$AC41))</f>
        <v/>
      </c>
      <c r="M41" s="34" t="str" cm="1">
        <f t="array" aca="1" ref="M41" ca="1">_xlfn.LET(
_xlpm._calculatedRAP,IFERROR(SimpleLookup($B41,Risks!$A:$BG),""),
_xlpm._inlineRAP,IFERROR(SimpleLookup($B41,Risks!$A:$BH),""),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IF(_xlpm._calculatedValue&gt;=_xlpm._inlineValue,$AD41,
_xlpm._mitigationSheetName&amp;" sheet "&amp;_xlfn.UNICHAR(8702)&amp;" Comment column:"&amp;CHAR(10)&amp;$AE41)))</f>
        <v/>
      </c>
      <c r="N41" s="33" t="str" cm="1">
        <f t="array" aca="1" ref="N41" ca="1">IF($AC41=-1,"",INDEX(Risks!CN:CN,$AC41))</f>
        <v>Basic</v>
      </c>
      <c r="O41" s="33" t="str" cm="1">
        <f t="array" aca="1" ref="O41" ca="1">IF($AC41=-1,"",INDEX(Risks!CO:CO,$AC41))</f>
        <v>No Risk</v>
      </c>
      <c r="P41" s="33" t="str">
        <f ca="1">IF($C41="","",IF($AF41&lt;=Definitions!$AF$6,Definitions!$M$4,""))</f>
        <v/>
      </c>
      <c r="Q41" s="23"/>
      <c r="R41" s="33" t="str">
        <f t="shared" ca="1" si="1"/>
        <v/>
      </c>
      <c r="S41" s="23"/>
      <c r="T41" s="13"/>
      <c r="U41" s="10" cm="1">
        <f t="array" aca="1" ref="U41" ca="1">GenerateShadowID(ROW(),$U$5,$U:$U,0,B41&lt;&gt;"")</f>
        <v>0</v>
      </c>
      <c r="V41" s="10" cm="1">
        <f t="array" ref="V41">CreateTaskID($V$5,$V:$V,Tasks!$B$17,$T41)</f>
        <v>0</v>
      </c>
      <c r="W41" s="14" t="str" cm="1">
        <f t="array" aca="1" ref="W41" ca="1">IF($B41="","",SimpleLookup($B41,'Risk Treatment'!$C:$AW))</f>
        <v/>
      </c>
      <c r="X41" s="14" t="str" cm="1">
        <f t="array" aca="1" ref="X41" ca="1">IF($B41="","",_xlfn.LET(_xlpm._attackSteps,SimpleLookup($B41,'Risk Treatment'!$C:$Y),GetValues(_xlpm._attackSteps,Mitigation!$A:$AG,"",CHAR(1),FALSE)))</f>
        <v/>
      </c>
      <c r="Y41" s="14" t="str" cm="1">
        <f t="array" aca="1" ref="Y41"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ParseInlineMitigationString(_xlpm._remainingString,_xlpm._delimiter))))($X41,CHAR(1))</f>
        <v/>
      </c>
      <c r="Z41" s="14" t="str" cm="1">
        <f t="array" aca="1" ref="Z41" ca="1">FilterElementsFromList($W41,Helper!$J$4,TRUE,",")</f>
        <v/>
      </c>
      <c r="AA41" s="14" t="str" cm="1">
        <f t="array" aca="1" ref="AA41" ca="1">FilterElementsFromList($Y41,Helper!$J$4,TRUE,",")</f>
        <v/>
      </c>
      <c r="AB41" s="20" t="str" cm="1">
        <f t="array" aca="1" ref="AB41"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CreateConfirmedInlineMitigations(_xlpm._remainingString,_xlpm._confirmedCandAIDs,_xlpm._delimiterSearchString,_xlpm._delimiterResultString))))($X41,CreateSearchString($AA41),CHAR(1),","&amp;CHAR(10))</f>
        <v/>
      </c>
      <c r="AC41" s="20">
        <f ca="1">IFERROR(MATCH($B41,Risks!$A:$A,0),-1)</f>
        <v>3</v>
      </c>
      <c r="AD41" s="20" t="str" cm="1">
        <f t="array" aca="1" ref="AD41" ca="1">IF($B41="","",_xlfn.LET(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_xlpm._factorFunction($B41,Risks!$A:CA,Definitions!$Y:$Y,Definitions!$AB:$AB,1)&amp;CHAR(10)&amp;
_xlpm._factorFunction($B41,Risks!$A:CB,Definitions!$Y:$Y,Definitions!$AB:$AB,2)&amp;CHAR(10)&amp;
_xlpm._factorFunction($B41,Risks!$A:CC,Definitions!$Y:$Y,Definitions!$AB:$AB,3)&amp;CHAR(10)&amp;
_xlpm._factorFunction($B41,Risks!$A:CD,Definitions!$Y:$Y,Definitions!$AB:$AB,4)&amp;CHAR(10)&amp;
_xlpm._factorFunction($B41,Risks!$A:CE,Definitions!$Y:$Y,Definitions!$AB:$AB,5)))</f>
        <v/>
      </c>
      <c r="AE41" s="20" t="str" cm="1">
        <f t="array" aca="1" ref="AE41" ca="1">RemoveDelimiter(SUBSTITUTE(SUBSTITUTE($AB41,"{",""),"}",""),","&amp;CHAR(10))</f>
        <v/>
      </c>
      <c r="AF41" s="20" cm="1">
        <f t="array" aca="1" ref="AF41" ca="1">IF($O41="",0,SimpleLookup($O41,Definitions!$AE:$AF))</f>
        <v>0</v>
      </c>
    </row>
    <row r="42" spans="2:32" x14ac:dyDescent="0.25">
      <c r="B42" s="16" t="str">
        <f ca="1">OFFSET(Risks!$A$2,ROW()-ROW($B$5),0)</f>
        <v/>
      </c>
      <c r="C42" s="33" t="str" cm="1">
        <f t="array" aca="1" ref="C42" ca="1">IF($B42="","",IFERROR(SimpleLookup($B42,'Risk Treatment'!$C:D),"Please ensure that all risks are covered in the "&amp;Helper!$G$14&amp;" sheet. Currently, these risks are not covered: "&amp;'Risk Treatment'!$D$2&amp;"."))</f>
        <v/>
      </c>
      <c r="D42" s="37" t="str" cm="1">
        <f t="array" aca="1" ref="D42" ca="1">IF($B42="","",IFERROR(SimpleLookup($B42,'Risk Treatment'!$C:K),"Please ensure that all risks are covered in the "&amp;Helper!$G$14&amp;" sheet. Currently, these risks are not covered: "&amp;'Risk Treatment'!$D$2&amp;"."))</f>
        <v/>
      </c>
      <c r="E42" s="16" t="str" cm="1">
        <f t="array" aca="1" ref="E42" ca="1">IF($B42="","",IFERROR(SimpleLookup($B42,'Risk Treatment'!$C:L),"Please ensure that all risks are covered in the "&amp;Helper!$G$14&amp;" sheet. Currently, these risks are not covered: "&amp;'Risk Treatment'!$D$2&amp;"."))</f>
        <v/>
      </c>
      <c r="F42" s="34" t="str" cm="1">
        <f t="array" aca="1" ref="F42" ca="1">IF($B42="","",IFERROR(SimpleLookup($B42,'Risk Treatment'!$C:M),"Please ensure that all risks are covered in the "&amp;Helper!$G$14&amp;" sheet. Currently, these risks are not covered: "&amp;'Risk Treatment'!$D$2&amp;"."))</f>
        <v/>
      </c>
      <c r="G42" s="16" t="str" cm="1">
        <f t="array" aca="1" ref="G42" ca="1">IF($B42="","",IFERROR(SimpleLookup($B42,'Risk Treatment'!$C:N),"Please ensure that all risks are covered in the "&amp;Helper!$G$14&amp;" sheet. Currently, these risks are not covered: "&amp;'Risk Treatment'!$D$2&amp;"."))</f>
        <v/>
      </c>
      <c r="H42" s="16" t="str" cm="1">
        <f t="array" aca="1" ref="H42" ca="1">IF($B42="","",IFERROR(SimpleLookup($B42,'Risk Treatment'!$C:J),"Please ensure that all risks are covered in the "&amp;Helper!$G$14&amp;" sheet. Currently, these risks are not covered: "&amp;'Risk Treatment'!$D$2&amp;"."))</f>
        <v/>
      </c>
      <c r="I42" s="33" t="str" cm="1">
        <f t="array" aca="1" ref="I42" ca="1">IF($B42="","",IFERROR(SimpleLookup($B42,'Risk Treatment'!$C:O),"Please ensure that all risks are covered in the "&amp;Helper!$G$14&amp;" sheet. Currently, these risks are not covered: "&amp;'Risk Treatment'!$D$2&amp;"."))</f>
        <v/>
      </c>
      <c r="J42" s="33" t="str" cm="1">
        <f t="array" aca="1" ref="J42" ca="1">_xlfn.LET(
_xlpm._assignedMitigations,IF($B42="","",IFERROR(RemoveDelimiter(GetValuesWithFallback($Z42,Countermeasures!$A:$B,Assumptions!$A:$B," ",","&amp;CHAR(10),TRUE),","&amp;CHAR(10)),"Error: Unknown risk ID "&amp;$B42)),
_xlpm._inlineMitigations,$AE42,
_xlpm._assignedMitigations&amp;
IF(OR(_xlpm._assignedMitigations="",_xlpm._inlineMitigations=""),"",","&amp;CHAR(10))&amp;
_xlpm._inlineMitigations)</f>
        <v/>
      </c>
      <c r="K42" s="37" t="str" cm="1">
        <f t="array" aca="1" ref="K42" ca="1">IF($AC42=-1,"",RemoveDelimiter(GetValues(INDEX(Risks!BN:BN,$AC42),'DS Overview'!$A:$B," ",","&amp;CHAR(10),TRUE),","&amp;CHAR(10)))</f>
        <v/>
      </c>
      <c r="L42" s="33" t="str" cm="1">
        <f t="array" aca="1" ref="L42" ca="1">IF($AC42=-1,"",INDEX(Risks!BP:BP,$AC42))</f>
        <v/>
      </c>
      <c r="M42" s="34" t="str" cm="1">
        <f t="array" aca="1" ref="M42" ca="1">_xlfn.LET(
_xlpm._calculatedRAP,IFERROR(SimpleLookup($B42,Risks!$A:$BG),""),
_xlpm._inlineRAP,IFERROR(SimpleLookup($B42,Risks!$A:$BH),""),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IF(_xlpm._calculatedValue&gt;=_xlpm._inlineValue,$AD42,
_xlpm._mitigationSheetName&amp;" sheet "&amp;_xlfn.UNICHAR(8702)&amp;" Comment column:"&amp;CHAR(10)&amp;$AE42)))</f>
        <v/>
      </c>
      <c r="N42" s="33" t="str" cm="1">
        <f t="array" aca="1" ref="N42" ca="1">IF($AC42=-1,"",INDEX(Risks!CN:CN,$AC42))</f>
        <v>Basic</v>
      </c>
      <c r="O42" s="33" t="str" cm="1">
        <f t="array" aca="1" ref="O42" ca="1">IF($AC42=-1,"",INDEX(Risks!CO:CO,$AC42))</f>
        <v>No Risk</v>
      </c>
      <c r="P42" s="33" t="str">
        <f ca="1">IF($C42="","",IF($AF42&lt;=Definitions!$AF$6,Definitions!$M$4,""))</f>
        <v/>
      </c>
      <c r="Q42" s="23"/>
      <c r="R42" s="33" t="str">
        <f t="shared" ca="1" si="1"/>
        <v/>
      </c>
      <c r="S42" s="23"/>
      <c r="T42" s="13"/>
      <c r="U42" s="10" cm="1">
        <f t="array" aca="1" ref="U42" ca="1">GenerateShadowID(ROW(),$U$5,$U:$U,0,B42&lt;&gt;"")</f>
        <v>0</v>
      </c>
      <c r="V42" s="10" cm="1">
        <f t="array" ref="V42">CreateTaskID($V$5,$V:$V,Tasks!$B$17,$T42)</f>
        <v>0</v>
      </c>
      <c r="W42" s="14" t="str" cm="1">
        <f t="array" aca="1" ref="W42" ca="1">IF($B42="","",SimpleLookup($B42,'Risk Treatment'!$C:$AW))</f>
        <v/>
      </c>
      <c r="X42" s="14" t="str" cm="1">
        <f t="array" aca="1" ref="X42" ca="1">IF($B42="","",_xlfn.LET(_xlpm._attackSteps,SimpleLookup($B42,'Risk Treatment'!$C:$Y),GetValues(_xlpm._attackSteps,Mitigation!$A:$AG,"",CHAR(1),FALSE)))</f>
        <v/>
      </c>
      <c r="Y42" s="14" t="str" cm="1">
        <f t="array" aca="1" ref="Y42"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ParseInlineMitigationString(_xlpm._remainingString,_xlpm._delimiter))))($X42,CHAR(1))</f>
        <v/>
      </c>
      <c r="Z42" s="14" t="str" cm="1">
        <f t="array" aca="1" ref="Z42" ca="1">FilterElementsFromList($W42,Helper!$J$4,TRUE,",")</f>
        <v/>
      </c>
      <c r="AA42" s="14" t="str" cm="1">
        <f t="array" aca="1" ref="AA42" ca="1">FilterElementsFromList($Y42,Helper!$J$4,TRUE,",")</f>
        <v/>
      </c>
      <c r="AB42" s="20" t="str" cm="1">
        <f t="array" aca="1" ref="AB42"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CreateConfirmedInlineMitigations(_xlpm._remainingString,_xlpm._confirmedCandAIDs,_xlpm._delimiterSearchString,_xlpm._delimiterResultString))))($X42,CreateSearchString($AA42),CHAR(1),","&amp;CHAR(10))</f>
        <v/>
      </c>
      <c r="AC42" s="20">
        <f ca="1">IFERROR(MATCH($B42,Risks!$A:$A,0),-1)</f>
        <v>3</v>
      </c>
      <c r="AD42" s="20" t="str" cm="1">
        <f t="array" aca="1" ref="AD42" ca="1">IF($B42="","",_xlfn.LET(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_xlpm._factorFunction($B42,Risks!$A:CA,Definitions!$Y:$Y,Definitions!$AB:$AB,1)&amp;CHAR(10)&amp;
_xlpm._factorFunction($B42,Risks!$A:CB,Definitions!$Y:$Y,Definitions!$AB:$AB,2)&amp;CHAR(10)&amp;
_xlpm._factorFunction($B42,Risks!$A:CC,Definitions!$Y:$Y,Definitions!$AB:$AB,3)&amp;CHAR(10)&amp;
_xlpm._factorFunction($B42,Risks!$A:CD,Definitions!$Y:$Y,Definitions!$AB:$AB,4)&amp;CHAR(10)&amp;
_xlpm._factorFunction($B42,Risks!$A:CE,Definitions!$Y:$Y,Definitions!$AB:$AB,5)))</f>
        <v/>
      </c>
      <c r="AE42" s="20" t="str" cm="1">
        <f t="array" aca="1" ref="AE42" ca="1">RemoveDelimiter(SUBSTITUTE(SUBSTITUTE($AB42,"{",""),"}",""),","&amp;CHAR(10))</f>
        <v/>
      </c>
      <c r="AF42" s="20" cm="1">
        <f t="array" aca="1" ref="AF42" ca="1">IF($O42="",0,SimpleLookup($O42,Definitions!$AE:$AF))</f>
        <v>0</v>
      </c>
    </row>
    <row r="43" spans="2:32" x14ac:dyDescent="0.25">
      <c r="B43" s="16" t="str">
        <f ca="1">OFFSET(Risks!$A$2,ROW()-ROW($B$5),0)</f>
        <v/>
      </c>
      <c r="C43" s="33" t="str" cm="1">
        <f t="array" aca="1" ref="C43" ca="1">IF($B43="","",IFERROR(SimpleLookup($B43,'Risk Treatment'!$C:D),"Please ensure that all risks are covered in the "&amp;Helper!$G$14&amp;" sheet. Currently, these risks are not covered: "&amp;'Risk Treatment'!$D$2&amp;"."))</f>
        <v/>
      </c>
      <c r="D43" s="37" t="str" cm="1">
        <f t="array" aca="1" ref="D43" ca="1">IF($B43="","",IFERROR(SimpleLookup($B43,'Risk Treatment'!$C:K),"Please ensure that all risks are covered in the "&amp;Helper!$G$14&amp;" sheet. Currently, these risks are not covered: "&amp;'Risk Treatment'!$D$2&amp;"."))</f>
        <v/>
      </c>
      <c r="E43" s="16" t="str" cm="1">
        <f t="array" aca="1" ref="E43" ca="1">IF($B43="","",IFERROR(SimpleLookup($B43,'Risk Treatment'!$C:L),"Please ensure that all risks are covered in the "&amp;Helper!$G$14&amp;" sheet. Currently, these risks are not covered: "&amp;'Risk Treatment'!$D$2&amp;"."))</f>
        <v/>
      </c>
      <c r="F43" s="34" t="str" cm="1">
        <f t="array" aca="1" ref="F43" ca="1">IF($B43="","",IFERROR(SimpleLookup($B43,'Risk Treatment'!$C:M),"Please ensure that all risks are covered in the "&amp;Helper!$G$14&amp;" sheet. Currently, these risks are not covered: "&amp;'Risk Treatment'!$D$2&amp;"."))</f>
        <v/>
      </c>
      <c r="G43" s="16" t="str" cm="1">
        <f t="array" aca="1" ref="G43" ca="1">IF($B43="","",IFERROR(SimpleLookup($B43,'Risk Treatment'!$C:N),"Please ensure that all risks are covered in the "&amp;Helper!$G$14&amp;" sheet. Currently, these risks are not covered: "&amp;'Risk Treatment'!$D$2&amp;"."))</f>
        <v/>
      </c>
      <c r="H43" s="16" t="str" cm="1">
        <f t="array" aca="1" ref="H43" ca="1">IF($B43="","",IFERROR(SimpleLookup($B43,'Risk Treatment'!$C:J),"Please ensure that all risks are covered in the "&amp;Helper!$G$14&amp;" sheet. Currently, these risks are not covered: "&amp;'Risk Treatment'!$D$2&amp;"."))</f>
        <v/>
      </c>
      <c r="I43" s="33" t="str" cm="1">
        <f t="array" aca="1" ref="I43" ca="1">IF($B43="","",IFERROR(SimpleLookup($B43,'Risk Treatment'!$C:O),"Please ensure that all risks are covered in the "&amp;Helper!$G$14&amp;" sheet. Currently, these risks are not covered: "&amp;'Risk Treatment'!$D$2&amp;"."))</f>
        <v/>
      </c>
      <c r="J43" s="33" t="str" cm="1">
        <f t="array" aca="1" ref="J43" ca="1">_xlfn.LET(
_xlpm._assignedMitigations,IF($B43="","",IFERROR(RemoveDelimiter(GetValuesWithFallback($Z43,Countermeasures!$A:$B,Assumptions!$A:$B," ",","&amp;CHAR(10),TRUE),","&amp;CHAR(10)),"Error: Unknown risk ID "&amp;$B43)),
_xlpm._inlineMitigations,$AE43,
_xlpm._assignedMitigations&amp;
IF(OR(_xlpm._assignedMitigations="",_xlpm._inlineMitigations=""),"",","&amp;CHAR(10))&amp;
_xlpm._inlineMitigations)</f>
        <v/>
      </c>
      <c r="K43" s="37" t="str" cm="1">
        <f t="array" aca="1" ref="K43" ca="1">IF($AC43=-1,"",RemoveDelimiter(GetValues(INDEX(Risks!BN:BN,$AC43),'DS Overview'!$A:$B," ",","&amp;CHAR(10),TRUE),","&amp;CHAR(10)))</f>
        <v/>
      </c>
      <c r="L43" s="33" t="str" cm="1">
        <f t="array" aca="1" ref="L43" ca="1">IF($AC43=-1,"",INDEX(Risks!BP:BP,$AC43))</f>
        <v/>
      </c>
      <c r="M43" s="34" t="str" cm="1">
        <f t="array" aca="1" ref="M43" ca="1">_xlfn.LET(
_xlpm._calculatedRAP,IFERROR(SimpleLookup($B43,Risks!$A:$BG),""),
_xlpm._inlineRAP,IFERROR(SimpleLookup($B43,Risks!$A:$BH),""),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IF(_xlpm._calculatedValue&gt;=_xlpm._inlineValue,$AD43,
_xlpm._mitigationSheetName&amp;" sheet "&amp;_xlfn.UNICHAR(8702)&amp;" Comment column:"&amp;CHAR(10)&amp;$AE43)))</f>
        <v/>
      </c>
      <c r="N43" s="33" t="str" cm="1">
        <f t="array" aca="1" ref="N43" ca="1">IF($AC43=-1,"",INDEX(Risks!CN:CN,$AC43))</f>
        <v>Basic</v>
      </c>
      <c r="O43" s="33" t="str" cm="1">
        <f t="array" aca="1" ref="O43" ca="1">IF($AC43=-1,"",INDEX(Risks!CO:CO,$AC43))</f>
        <v>No Risk</v>
      </c>
      <c r="P43" s="33" t="str">
        <f ca="1">IF($C43="","",IF($AF43&lt;=Definitions!$AF$6,Definitions!$M$4,""))</f>
        <v/>
      </c>
      <c r="Q43" s="23"/>
      <c r="R43" s="33" t="str">
        <f t="shared" ca="1" si="1"/>
        <v/>
      </c>
      <c r="S43" s="23"/>
      <c r="T43" s="13"/>
      <c r="U43" s="10" cm="1">
        <f t="array" aca="1" ref="U43" ca="1">GenerateShadowID(ROW(),$U$5,$U:$U,0,B43&lt;&gt;"")</f>
        <v>0</v>
      </c>
      <c r="V43" s="10" cm="1">
        <f t="array" ref="V43">CreateTaskID($V$5,$V:$V,Tasks!$B$17,$T43)</f>
        <v>0</v>
      </c>
      <c r="W43" s="14" t="str" cm="1">
        <f t="array" aca="1" ref="W43" ca="1">IF($B43="","",SimpleLookup($B43,'Risk Treatment'!$C:$AW))</f>
        <v/>
      </c>
      <c r="X43" s="14" t="str" cm="1">
        <f t="array" aca="1" ref="X43" ca="1">IF($B43="","",_xlfn.LET(_xlpm._attackSteps,SimpleLookup($B43,'Risk Treatment'!$C:$Y),GetValues(_xlpm._attackSteps,Mitigation!$A:$AG,"",CHAR(1),FALSE)))</f>
        <v/>
      </c>
      <c r="Y43" s="14" t="str" cm="1">
        <f t="array" aca="1" ref="Y43"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ParseInlineMitigationString(_xlpm._remainingString,_xlpm._delimiter))))($X43,CHAR(1))</f>
        <v/>
      </c>
      <c r="Z43" s="14" t="str" cm="1">
        <f t="array" aca="1" ref="Z43" ca="1">FilterElementsFromList($W43,Helper!$J$4,TRUE,",")</f>
        <v/>
      </c>
      <c r="AA43" s="14" t="str" cm="1">
        <f t="array" aca="1" ref="AA43" ca="1">FilterElementsFromList($Y43,Helper!$J$4,TRUE,",")</f>
        <v/>
      </c>
      <c r="AB43" s="20" t="str" cm="1">
        <f t="array" aca="1" ref="AB43"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CreateConfirmedInlineMitigations(_xlpm._remainingString,_xlpm._confirmedCandAIDs,_xlpm._delimiterSearchString,_xlpm._delimiterResultString))))($X43,CreateSearchString($AA43),CHAR(1),","&amp;CHAR(10))</f>
        <v/>
      </c>
      <c r="AC43" s="20">
        <f ca="1">IFERROR(MATCH($B43,Risks!$A:$A,0),-1)</f>
        <v>3</v>
      </c>
      <c r="AD43" s="20" t="str" cm="1">
        <f t="array" aca="1" ref="AD43" ca="1">IF($B43="","",_xlfn.LET(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_xlpm._factorFunction($B43,Risks!$A:CA,Definitions!$Y:$Y,Definitions!$AB:$AB,1)&amp;CHAR(10)&amp;
_xlpm._factorFunction($B43,Risks!$A:CB,Definitions!$Y:$Y,Definitions!$AB:$AB,2)&amp;CHAR(10)&amp;
_xlpm._factorFunction($B43,Risks!$A:CC,Definitions!$Y:$Y,Definitions!$AB:$AB,3)&amp;CHAR(10)&amp;
_xlpm._factorFunction($B43,Risks!$A:CD,Definitions!$Y:$Y,Definitions!$AB:$AB,4)&amp;CHAR(10)&amp;
_xlpm._factorFunction($B43,Risks!$A:CE,Definitions!$Y:$Y,Definitions!$AB:$AB,5)))</f>
        <v/>
      </c>
      <c r="AE43" s="20" t="str" cm="1">
        <f t="array" aca="1" ref="AE43" ca="1">RemoveDelimiter(SUBSTITUTE(SUBSTITUTE($AB43,"{",""),"}",""),","&amp;CHAR(10))</f>
        <v/>
      </c>
      <c r="AF43" s="20" cm="1">
        <f t="array" aca="1" ref="AF43" ca="1">IF($O43="",0,SimpleLookup($O43,Definitions!$AE:$AF))</f>
        <v>0</v>
      </c>
    </row>
    <row r="44" spans="2:32" x14ac:dyDescent="0.25">
      <c r="B44" s="16" t="str">
        <f ca="1">OFFSET(Risks!$A$2,ROW()-ROW($B$5),0)</f>
        <v/>
      </c>
      <c r="C44" s="33" t="str" cm="1">
        <f t="array" aca="1" ref="C44" ca="1">IF($B44="","",IFERROR(SimpleLookup($B44,'Risk Treatment'!$C:D),"Please ensure that all risks are covered in the "&amp;Helper!$G$14&amp;" sheet. Currently, these risks are not covered: "&amp;'Risk Treatment'!$D$2&amp;"."))</f>
        <v/>
      </c>
      <c r="D44" s="37" t="str" cm="1">
        <f t="array" aca="1" ref="D44" ca="1">IF($B44="","",IFERROR(SimpleLookup($B44,'Risk Treatment'!$C:K),"Please ensure that all risks are covered in the "&amp;Helper!$G$14&amp;" sheet. Currently, these risks are not covered: "&amp;'Risk Treatment'!$D$2&amp;"."))</f>
        <v/>
      </c>
      <c r="E44" s="16" t="str" cm="1">
        <f t="array" aca="1" ref="E44" ca="1">IF($B44="","",IFERROR(SimpleLookup($B44,'Risk Treatment'!$C:L),"Please ensure that all risks are covered in the "&amp;Helper!$G$14&amp;" sheet. Currently, these risks are not covered: "&amp;'Risk Treatment'!$D$2&amp;"."))</f>
        <v/>
      </c>
      <c r="F44" s="34" t="str" cm="1">
        <f t="array" aca="1" ref="F44" ca="1">IF($B44="","",IFERROR(SimpleLookup($B44,'Risk Treatment'!$C:M),"Please ensure that all risks are covered in the "&amp;Helper!$G$14&amp;" sheet. Currently, these risks are not covered: "&amp;'Risk Treatment'!$D$2&amp;"."))</f>
        <v/>
      </c>
      <c r="G44" s="16" t="str" cm="1">
        <f t="array" aca="1" ref="G44" ca="1">IF($B44="","",IFERROR(SimpleLookup($B44,'Risk Treatment'!$C:N),"Please ensure that all risks are covered in the "&amp;Helper!$G$14&amp;" sheet. Currently, these risks are not covered: "&amp;'Risk Treatment'!$D$2&amp;"."))</f>
        <v/>
      </c>
      <c r="H44" s="16" t="str" cm="1">
        <f t="array" aca="1" ref="H44" ca="1">IF($B44="","",IFERROR(SimpleLookup($B44,'Risk Treatment'!$C:J),"Please ensure that all risks are covered in the "&amp;Helper!$G$14&amp;" sheet. Currently, these risks are not covered: "&amp;'Risk Treatment'!$D$2&amp;"."))</f>
        <v/>
      </c>
      <c r="I44" s="33" t="str" cm="1">
        <f t="array" aca="1" ref="I44" ca="1">IF($B44="","",IFERROR(SimpleLookup($B44,'Risk Treatment'!$C:O),"Please ensure that all risks are covered in the "&amp;Helper!$G$14&amp;" sheet. Currently, these risks are not covered: "&amp;'Risk Treatment'!$D$2&amp;"."))</f>
        <v/>
      </c>
      <c r="J44" s="33" t="str" cm="1">
        <f t="array" aca="1" ref="J44" ca="1">_xlfn.LET(
_xlpm._assignedMitigations,IF($B44="","",IFERROR(RemoveDelimiter(GetValuesWithFallback($Z44,Countermeasures!$A:$B,Assumptions!$A:$B," ",","&amp;CHAR(10),TRUE),","&amp;CHAR(10)),"Error: Unknown risk ID "&amp;$B44)),
_xlpm._inlineMitigations,$AE44,
_xlpm._assignedMitigations&amp;
IF(OR(_xlpm._assignedMitigations="",_xlpm._inlineMitigations=""),"",","&amp;CHAR(10))&amp;
_xlpm._inlineMitigations)</f>
        <v/>
      </c>
      <c r="K44" s="37" t="str" cm="1">
        <f t="array" aca="1" ref="K44" ca="1">IF($AC44=-1,"",RemoveDelimiter(GetValues(INDEX(Risks!BN:BN,$AC44),'DS Overview'!$A:$B," ",","&amp;CHAR(10),TRUE),","&amp;CHAR(10)))</f>
        <v/>
      </c>
      <c r="L44" s="33" t="str" cm="1">
        <f t="array" aca="1" ref="L44" ca="1">IF($AC44=-1,"",INDEX(Risks!BP:BP,$AC44))</f>
        <v/>
      </c>
      <c r="M44" s="34" t="str" cm="1">
        <f t="array" aca="1" ref="M44" ca="1">_xlfn.LET(
_xlpm._calculatedRAP,IFERROR(SimpleLookup($B44,Risks!$A:$BG),""),
_xlpm._inlineRAP,IFERROR(SimpleLookup($B44,Risks!$A:$BH),""),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IF(_xlpm._calculatedValue&gt;=_xlpm._inlineValue,$AD44,
_xlpm._mitigationSheetName&amp;" sheet "&amp;_xlfn.UNICHAR(8702)&amp;" Comment column:"&amp;CHAR(10)&amp;$AE44)))</f>
        <v/>
      </c>
      <c r="N44" s="33" t="str" cm="1">
        <f t="array" aca="1" ref="N44" ca="1">IF($AC44=-1,"",INDEX(Risks!CN:CN,$AC44))</f>
        <v>Basic</v>
      </c>
      <c r="O44" s="33" t="str" cm="1">
        <f t="array" aca="1" ref="O44" ca="1">IF($AC44=-1,"",INDEX(Risks!CO:CO,$AC44))</f>
        <v>No Risk</v>
      </c>
      <c r="P44" s="33" t="str">
        <f ca="1">IF($C44="","",IF($AF44&lt;=Definitions!$AF$6,Definitions!$M$4,""))</f>
        <v/>
      </c>
      <c r="Q44" s="23"/>
      <c r="R44" s="33" t="str">
        <f t="shared" ca="1" si="1"/>
        <v/>
      </c>
      <c r="S44" s="23"/>
      <c r="T44" s="13"/>
      <c r="U44" s="10" cm="1">
        <f t="array" aca="1" ref="U44" ca="1">GenerateShadowID(ROW(),$U$5,$U:$U,0,B44&lt;&gt;"")</f>
        <v>0</v>
      </c>
      <c r="V44" s="10" cm="1">
        <f t="array" ref="V44">CreateTaskID($V$5,$V:$V,Tasks!$B$17,$T44)</f>
        <v>0</v>
      </c>
      <c r="W44" s="14" t="str" cm="1">
        <f t="array" aca="1" ref="W44" ca="1">IF($B44="","",SimpleLookup($B44,'Risk Treatment'!$C:$AW))</f>
        <v/>
      </c>
      <c r="X44" s="14" t="str" cm="1">
        <f t="array" aca="1" ref="X44" ca="1">IF($B44="","",_xlfn.LET(_xlpm._attackSteps,SimpleLookup($B44,'Risk Treatment'!$C:$Y),GetValues(_xlpm._attackSteps,Mitigation!$A:$AG,"",CHAR(1),FALSE)))</f>
        <v/>
      </c>
      <c r="Y44" s="14" t="str" cm="1">
        <f t="array" aca="1" ref="Y44"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ParseInlineMitigationString(_xlpm._remainingString,_xlpm._delimiter))))($X44,CHAR(1))</f>
        <v/>
      </c>
      <c r="Z44" s="14" t="str" cm="1">
        <f t="array" aca="1" ref="Z44" ca="1">FilterElementsFromList($W44,Helper!$J$4,TRUE,",")</f>
        <v/>
      </c>
      <c r="AA44" s="14" t="str" cm="1">
        <f t="array" aca="1" ref="AA44" ca="1">FilterElementsFromList($Y44,Helper!$J$4,TRUE,",")</f>
        <v/>
      </c>
      <c r="AB44" s="20" t="str" cm="1">
        <f t="array" aca="1" ref="AB44"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CreateConfirmedInlineMitigations(_xlpm._remainingString,_xlpm._confirmedCandAIDs,_xlpm._delimiterSearchString,_xlpm._delimiterResultString))))($X44,CreateSearchString($AA44),CHAR(1),","&amp;CHAR(10))</f>
        <v/>
      </c>
      <c r="AC44" s="20">
        <f ca="1">IFERROR(MATCH($B44,Risks!$A:$A,0),-1)</f>
        <v>3</v>
      </c>
      <c r="AD44" s="20" t="str" cm="1">
        <f t="array" aca="1" ref="AD44" ca="1">IF($B44="","",_xlfn.LET(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_xlpm._factorFunction($B44,Risks!$A:CA,Definitions!$Y:$Y,Definitions!$AB:$AB,1)&amp;CHAR(10)&amp;
_xlpm._factorFunction($B44,Risks!$A:CB,Definitions!$Y:$Y,Definitions!$AB:$AB,2)&amp;CHAR(10)&amp;
_xlpm._factorFunction($B44,Risks!$A:CC,Definitions!$Y:$Y,Definitions!$AB:$AB,3)&amp;CHAR(10)&amp;
_xlpm._factorFunction($B44,Risks!$A:CD,Definitions!$Y:$Y,Definitions!$AB:$AB,4)&amp;CHAR(10)&amp;
_xlpm._factorFunction($B44,Risks!$A:CE,Definitions!$Y:$Y,Definitions!$AB:$AB,5)))</f>
        <v/>
      </c>
      <c r="AE44" s="20" t="str" cm="1">
        <f t="array" aca="1" ref="AE44" ca="1">RemoveDelimiter(SUBSTITUTE(SUBSTITUTE($AB44,"{",""),"}",""),","&amp;CHAR(10))</f>
        <v/>
      </c>
      <c r="AF44" s="20" cm="1">
        <f t="array" aca="1" ref="AF44" ca="1">IF($O44="",0,SimpleLookup($O44,Definitions!$AE:$AF))</f>
        <v>0</v>
      </c>
    </row>
    <row r="45" spans="2:32" x14ac:dyDescent="0.25">
      <c r="B45" s="16" t="str">
        <f ca="1">OFFSET(Risks!$A$2,ROW()-ROW($B$5),0)</f>
        <v/>
      </c>
      <c r="C45" s="33" t="str" cm="1">
        <f t="array" aca="1" ref="C45" ca="1">IF($B45="","",IFERROR(SimpleLookup($B45,'Risk Treatment'!$C:D),"Please ensure that all risks are covered in the "&amp;Helper!$G$14&amp;" sheet. Currently, these risks are not covered: "&amp;'Risk Treatment'!$D$2&amp;"."))</f>
        <v/>
      </c>
      <c r="D45" s="37" t="str" cm="1">
        <f t="array" aca="1" ref="D45" ca="1">IF($B45="","",IFERROR(SimpleLookup($B45,'Risk Treatment'!$C:K),"Please ensure that all risks are covered in the "&amp;Helper!$G$14&amp;" sheet. Currently, these risks are not covered: "&amp;'Risk Treatment'!$D$2&amp;"."))</f>
        <v/>
      </c>
      <c r="E45" s="16" t="str" cm="1">
        <f t="array" aca="1" ref="E45" ca="1">IF($B45="","",IFERROR(SimpleLookup($B45,'Risk Treatment'!$C:L),"Please ensure that all risks are covered in the "&amp;Helper!$G$14&amp;" sheet. Currently, these risks are not covered: "&amp;'Risk Treatment'!$D$2&amp;"."))</f>
        <v/>
      </c>
      <c r="F45" s="34" t="str" cm="1">
        <f t="array" aca="1" ref="F45" ca="1">IF($B45="","",IFERROR(SimpleLookup($B45,'Risk Treatment'!$C:M),"Please ensure that all risks are covered in the "&amp;Helper!$G$14&amp;" sheet. Currently, these risks are not covered: "&amp;'Risk Treatment'!$D$2&amp;"."))</f>
        <v/>
      </c>
      <c r="G45" s="16" t="str" cm="1">
        <f t="array" aca="1" ref="G45" ca="1">IF($B45="","",IFERROR(SimpleLookup($B45,'Risk Treatment'!$C:N),"Please ensure that all risks are covered in the "&amp;Helper!$G$14&amp;" sheet. Currently, these risks are not covered: "&amp;'Risk Treatment'!$D$2&amp;"."))</f>
        <v/>
      </c>
      <c r="H45" s="16" t="str" cm="1">
        <f t="array" aca="1" ref="H45" ca="1">IF($B45="","",IFERROR(SimpleLookup($B45,'Risk Treatment'!$C:J),"Please ensure that all risks are covered in the "&amp;Helper!$G$14&amp;" sheet. Currently, these risks are not covered: "&amp;'Risk Treatment'!$D$2&amp;"."))</f>
        <v/>
      </c>
      <c r="I45" s="33" t="str" cm="1">
        <f t="array" aca="1" ref="I45" ca="1">IF($B45="","",IFERROR(SimpleLookup($B45,'Risk Treatment'!$C:O),"Please ensure that all risks are covered in the "&amp;Helper!$G$14&amp;" sheet. Currently, these risks are not covered: "&amp;'Risk Treatment'!$D$2&amp;"."))</f>
        <v/>
      </c>
      <c r="J45" s="33" t="str" cm="1">
        <f t="array" aca="1" ref="J45" ca="1">_xlfn.LET(
_xlpm._assignedMitigations,IF($B45="","",IFERROR(RemoveDelimiter(GetValuesWithFallback($Z45,Countermeasures!$A:$B,Assumptions!$A:$B," ",","&amp;CHAR(10),TRUE),","&amp;CHAR(10)),"Error: Unknown risk ID "&amp;$B45)),
_xlpm._inlineMitigations,$AE45,
_xlpm._assignedMitigations&amp;
IF(OR(_xlpm._assignedMitigations="",_xlpm._inlineMitigations=""),"",","&amp;CHAR(10))&amp;
_xlpm._inlineMitigations)</f>
        <v/>
      </c>
      <c r="K45" s="37" t="str" cm="1">
        <f t="array" aca="1" ref="K45" ca="1">IF($AC45=-1,"",RemoveDelimiter(GetValues(INDEX(Risks!BN:BN,$AC45),'DS Overview'!$A:$B," ",","&amp;CHAR(10),TRUE),","&amp;CHAR(10)))</f>
        <v/>
      </c>
      <c r="L45" s="33" t="str" cm="1">
        <f t="array" aca="1" ref="L45" ca="1">IF($AC45=-1,"",INDEX(Risks!BP:BP,$AC45))</f>
        <v/>
      </c>
      <c r="M45" s="34" t="str" cm="1">
        <f t="array" aca="1" ref="M45" ca="1">_xlfn.LET(
_xlpm._calculatedRAP,IFERROR(SimpleLookup($B45,Risks!$A:$BG),""),
_xlpm._inlineRAP,IFERROR(SimpleLookup($B45,Risks!$A:$BH),""),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IF(_xlpm._calculatedValue&gt;=_xlpm._inlineValue,$AD45,
_xlpm._mitigationSheetName&amp;" sheet "&amp;_xlfn.UNICHAR(8702)&amp;" Comment column:"&amp;CHAR(10)&amp;$AE45)))</f>
        <v/>
      </c>
      <c r="N45" s="33" t="str" cm="1">
        <f t="array" aca="1" ref="N45" ca="1">IF($AC45=-1,"",INDEX(Risks!CN:CN,$AC45))</f>
        <v>Basic</v>
      </c>
      <c r="O45" s="33" t="str" cm="1">
        <f t="array" aca="1" ref="O45" ca="1">IF($AC45=-1,"",INDEX(Risks!CO:CO,$AC45))</f>
        <v>No Risk</v>
      </c>
      <c r="P45" s="33" t="str">
        <f ca="1">IF($C45="","",IF($AF45&lt;=Definitions!$AF$6,Definitions!$M$4,""))</f>
        <v/>
      </c>
      <c r="Q45" s="23"/>
      <c r="R45" s="33" t="str">
        <f t="shared" ca="1" si="1"/>
        <v/>
      </c>
      <c r="S45" s="23"/>
      <c r="T45" s="13"/>
      <c r="U45" s="10" cm="1">
        <f t="array" aca="1" ref="U45" ca="1">GenerateShadowID(ROW(),$U$5,$U:$U,0,B45&lt;&gt;"")</f>
        <v>0</v>
      </c>
      <c r="V45" s="10" cm="1">
        <f t="array" ref="V45">CreateTaskID($V$5,$V:$V,Tasks!$B$17,$T45)</f>
        <v>0</v>
      </c>
      <c r="W45" s="14" t="str" cm="1">
        <f t="array" aca="1" ref="W45" ca="1">IF($B45="","",SimpleLookup($B45,'Risk Treatment'!$C:$AW))</f>
        <v/>
      </c>
      <c r="X45" s="14" t="str" cm="1">
        <f t="array" aca="1" ref="X45" ca="1">IF($B45="","",_xlfn.LET(_xlpm._attackSteps,SimpleLookup($B45,'Risk Treatment'!$C:$Y),GetValues(_xlpm._attackSteps,Mitigation!$A:$AG,"",CHAR(1),FALSE)))</f>
        <v/>
      </c>
      <c r="Y45" s="14" t="str" cm="1">
        <f t="array" aca="1" ref="Y45"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ParseInlineMitigationString(_xlpm._remainingString,_xlpm._delimiter))))($X45,CHAR(1))</f>
        <v/>
      </c>
      <c r="Z45" s="14" t="str" cm="1">
        <f t="array" aca="1" ref="Z45" ca="1">FilterElementsFromList($W45,Helper!$J$4,TRUE,",")</f>
        <v/>
      </c>
      <c r="AA45" s="14" t="str" cm="1">
        <f t="array" aca="1" ref="AA45" ca="1">FilterElementsFromList($Y45,Helper!$J$4,TRUE,",")</f>
        <v/>
      </c>
      <c r="AB45" s="20" t="str" cm="1">
        <f t="array" aca="1" ref="AB45"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CreateConfirmedInlineMitigations(_xlpm._remainingString,_xlpm._confirmedCandAIDs,_xlpm._delimiterSearchString,_xlpm._delimiterResultString))))($X45,CreateSearchString($AA45),CHAR(1),","&amp;CHAR(10))</f>
        <v/>
      </c>
      <c r="AC45" s="20">
        <f ca="1">IFERROR(MATCH($B45,Risks!$A:$A,0),-1)</f>
        <v>3</v>
      </c>
      <c r="AD45" s="20" t="str" cm="1">
        <f t="array" aca="1" ref="AD45" ca="1">IF($B45="","",_xlfn.LET(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_xlpm._factorFunction($B45,Risks!$A:CA,Definitions!$Y:$Y,Definitions!$AB:$AB,1)&amp;CHAR(10)&amp;
_xlpm._factorFunction($B45,Risks!$A:CB,Definitions!$Y:$Y,Definitions!$AB:$AB,2)&amp;CHAR(10)&amp;
_xlpm._factorFunction($B45,Risks!$A:CC,Definitions!$Y:$Y,Definitions!$AB:$AB,3)&amp;CHAR(10)&amp;
_xlpm._factorFunction($B45,Risks!$A:CD,Definitions!$Y:$Y,Definitions!$AB:$AB,4)&amp;CHAR(10)&amp;
_xlpm._factorFunction($B45,Risks!$A:CE,Definitions!$Y:$Y,Definitions!$AB:$AB,5)))</f>
        <v/>
      </c>
      <c r="AE45" s="20" t="str" cm="1">
        <f t="array" aca="1" ref="AE45" ca="1">RemoveDelimiter(SUBSTITUTE(SUBSTITUTE($AB45,"{",""),"}",""),","&amp;CHAR(10))</f>
        <v/>
      </c>
      <c r="AF45" s="20" cm="1">
        <f t="array" aca="1" ref="AF45" ca="1">IF($O45="",0,SimpleLookup($O45,Definitions!$AE:$AF))</f>
        <v>0</v>
      </c>
    </row>
    <row r="46" spans="2:32" x14ac:dyDescent="0.25">
      <c r="B46" s="16" t="str">
        <f ca="1">OFFSET(Risks!$A$2,ROW()-ROW($B$5),0)</f>
        <v/>
      </c>
      <c r="C46" s="33" t="str" cm="1">
        <f t="array" aca="1" ref="C46" ca="1">IF($B46="","",IFERROR(SimpleLookup($B46,'Risk Treatment'!$C:D),"Please ensure that all risks are covered in the "&amp;Helper!$G$14&amp;" sheet. Currently, these risks are not covered: "&amp;'Risk Treatment'!$D$2&amp;"."))</f>
        <v/>
      </c>
      <c r="D46" s="37" t="str" cm="1">
        <f t="array" aca="1" ref="D46" ca="1">IF($B46="","",IFERROR(SimpleLookup($B46,'Risk Treatment'!$C:K),"Please ensure that all risks are covered in the "&amp;Helper!$G$14&amp;" sheet. Currently, these risks are not covered: "&amp;'Risk Treatment'!$D$2&amp;"."))</f>
        <v/>
      </c>
      <c r="E46" s="16" t="str" cm="1">
        <f t="array" aca="1" ref="E46" ca="1">IF($B46="","",IFERROR(SimpleLookup($B46,'Risk Treatment'!$C:L),"Please ensure that all risks are covered in the "&amp;Helper!$G$14&amp;" sheet. Currently, these risks are not covered: "&amp;'Risk Treatment'!$D$2&amp;"."))</f>
        <v/>
      </c>
      <c r="F46" s="34" t="str" cm="1">
        <f t="array" aca="1" ref="F46" ca="1">IF($B46="","",IFERROR(SimpleLookup($B46,'Risk Treatment'!$C:M),"Please ensure that all risks are covered in the "&amp;Helper!$G$14&amp;" sheet. Currently, these risks are not covered: "&amp;'Risk Treatment'!$D$2&amp;"."))</f>
        <v/>
      </c>
      <c r="G46" s="16" t="str" cm="1">
        <f t="array" aca="1" ref="G46" ca="1">IF($B46="","",IFERROR(SimpleLookup($B46,'Risk Treatment'!$C:N),"Please ensure that all risks are covered in the "&amp;Helper!$G$14&amp;" sheet. Currently, these risks are not covered: "&amp;'Risk Treatment'!$D$2&amp;"."))</f>
        <v/>
      </c>
      <c r="H46" s="16" t="str" cm="1">
        <f t="array" aca="1" ref="H46" ca="1">IF($B46="","",IFERROR(SimpleLookup($B46,'Risk Treatment'!$C:J),"Please ensure that all risks are covered in the "&amp;Helper!$G$14&amp;" sheet. Currently, these risks are not covered: "&amp;'Risk Treatment'!$D$2&amp;"."))</f>
        <v/>
      </c>
      <c r="I46" s="33" t="str" cm="1">
        <f t="array" aca="1" ref="I46" ca="1">IF($B46="","",IFERROR(SimpleLookup($B46,'Risk Treatment'!$C:O),"Please ensure that all risks are covered in the "&amp;Helper!$G$14&amp;" sheet. Currently, these risks are not covered: "&amp;'Risk Treatment'!$D$2&amp;"."))</f>
        <v/>
      </c>
      <c r="J46" s="33" t="str" cm="1">
        <f t="array" aca="1" ref="J46" ca="1">_xlfn.LET(
_xlpm._assignedMitigations,IF($B46="","",IFERROR(RemoveDelimiter(GetValuesWithFallback($Z46,Countermeasures!$A:$B,Assumptions!$A:$B," ",","&amp;CHAR(10),TRUE),","&amp;CHAR(10)),"Error: Unknown risk ID "&amp;$B46)),
_xlpm._inlineMitigations,$AE46,
_xlpm._assignedMitigations&amp;
IF(OR(_xlpm._assignedMitigations="",_xlpm._inlineMitigations=""),"",","&amp;CHAR(10))&amp;
_xlpm._inlineMitigations)</f>
        <v/>
      </c>
      <c r="K46" s="37" t="str" cm="1">
        <f t="array" aca="1" ref="K46" ca="1">IF($AC46=-1,"",RemoveDelimiter(GetValues(INDEX(Risks!BN:BN,$AC46),'DS Overview'!$A:$B," ",","&amp;CHAR(10),TRUE),","&amp;CHAR(10)))</f>
        <v/>
      </c>
      <c r="L46" s="33" t="str" cm="1">
        <f t="array" aca="1" ref="L46" ca="1">IF($AC46=-1,"",INDEX(Risks!BP:BP,$AC46))</f>
        <v/>
      </c>
      <c r="M46" s="34" t="str" cm="1">
        <f t="array" aca="1" ref="M46" ca="1">_xlfn.LET(
_xlpm._calculatedRAP,IFERROR(SimpleLookup($B46,Risks!$A:$BG),""),
_xlpm._inlineRAP,IFERROR(SimpleLookup($B46,Risks!$A:$BH),""),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IF(_xlpm._calculatedValue&gt;=_xlpm._inlineValue,$AD46,
_xlpm._mitigationSheetName&amp;" sheet "&amp;_xlfn.UNICHAR(8702)&amp;" Comment column:"&amp;CHAR(10)&amp;$AE46)))</f>
        <v/>
      </c>
      <c r="N46" s="33" t="str" cm="1">
        <f t="array" aca="1" ref="N46" ca="1">IF($AC46=-1,"",INDEX(Risks!CN:CN,$AC46))</f>
        <v>Basic</v>
      </c>
      <c r="O46" s="33" t="str" cm="1">
        <f t="array" aca="1" ref="O46" ca="1">IF($AC46=-1,"",INDEX(Risks!CO:CO,$AC46))</f>
        <v>No Risk</v>
      </c>
      <c r="P46" s="33" t="str">
        <f ca="1">IF($C46="","",IF($AF46&lt;=Definitions!$AF$6,Definitions!$M$4,""))</f>
        <v/>
      </c>
      <c r="Q46" s="23"/>
      <c r="R46" s="33" t="str">
        <f t="shared" ca="1" si="1"/>
        <v/>
      </c>
      <c r="S46" s="23"/>
      <c r="T46" s="13"/>
      <c r="U46" s="10" cm="1">
        <f t="array" aca="1" ref="U46" ca="1">GenerateShadowID(ROW(),$U$5,$U:$U,0,B46&lt;&gt;"")</f>
        <v>0</v>
      </c>
      <c r="V46" s="10" cm="1">
        <f t="array" ref="V46">CreateTaskID($V$5,$V:$V,Tasks!$B$17,$T46)</f>
        <v>0</v>
      </c>
      <c r="W46" s="14" t="str" cm="1">
        <f t="array" aca="1" ref="W46" ca="1">IF($B46="","",SimpleLookup($B46,'Risk Treatment'!$C:$AW))</f>
        <v/>
      </c>
      <c r="X46" s="14" t="str" cm="1">
        <f t="array" aca="1" ref="X46" ca="1">IF($B46="","",_xlfn.LET(_xlpm._attackSteps,SimpleLookup($B46,'Risk Treatment'!$C:$Y),GetValues(_xlpm._attackSteps,Mitigation!$A:$AG,"",CHAR(1),FALSE)))</f>
        <v/>
      </c>
      <c r="Y46" s="14" t="str" cm="1">
        <f t="array" aca="1" ref="Y46"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ParseInlineMitigationString(_xlpm._remainingString,_xlpm._delimiter))))($X46,CHAR(1))</f>
        <v/>
      </c>
      <c r="Z46" s="14" t="str" cm="1">
        <f t="array" aca="1" ref="Z46" ca="1">FilterElementsFromList($W46,Helper!$J$4,TRUE,",")</f>
        <v/>
      </c>
      <c r="AA46" s="14" t="str" cm="1">
        <f t="array" aca="1" ref="AA46" ca="1">FilterElementsFromList($Y46,Helper!$J$4,TRUE,",")</f>
        <v/>
      </c>
      <c r="AB46" s="20" t="str" cm="1">
        <f t="array" aca="1" ref="AB46"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CreateConfirmedInlineMitigations(_xlpm._remainingString,_xlpm._confirmedCandAIDs,_xlpm._delimiterSearchString,_xlpm._delimiterResultString))))($X46,CreateSearchString($AA46),CHAR(1),","&amp;CHAR(10))</f>
        <v/>
      </c>
      <c r="AC46" s="20">
        <f ca="1">IFERROR(MATCH($B46,Risks!$A:$A,0),-1)</f>
        <v>3</v>
      </c>
      <c r="AD46" s="20" t="str" cm="1">
        <f t="array" aca="1" ref="AD46" ca="1">IF($B46="","",_xlfn.LET(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_xlpm._factorFunction($B46,Risks!$A:CA,Definitions!$Y:$Y,Definitions!$AB:$AB,1)&amp;CHAR(10)&amp;
_xlpm._factorFunction($B46,Risks!$A:CB,Definitions!$Y:$Y,Definitions!$AB:$AB,2)&amp;CHAR(10)&amp;
_xlpm._factorFunction($B46,Risks!$A:CC,Definitions!$Y:$Y,Definitions!$AB:$AB,3)&amp;CHAR(10)&amp;
_xlpm._factorFunction($B46,Risks!$A:CD,Definitions!$Y:$Y,Definitions!$AB:$AB,4)&amp;CHAR(10)&amp;
_xlpm._factorFunction($B46,Risks!$A:CE,Definitions!$Y:$Y,Definitions!$AB:$AB,5)))</f>
        <v/>
      </c>
      <c r="AE46" s="20" t="str" cm="1">
        <f t="array" aca="1" ref="AE46" ca="1">RemoveDelimiter(SUBSTITUTE(SUBSTITUTE($AB46,"{",""),"}",""),","&amp;CHAR(10))</f>
        <v/>
      </c>
      <c r="AF46" s="20" cm="1">
        <f t="array" aca="1" ref="AF46" ca="1">IF($O46="",0,SimpleLookup($O46,Definitions!$AE:$AF))</f>
        <v>0</v>
      </c>
    </row>
    <row r="47" spans="2:32" x14ac:dyDescent="0.25">
      <c r="B47" s="16" t="str">
        <f ca="1">OFFSET(Risks!$A$2,ROW()-ROW($B$5),0)</f>
        <v/>
      </c>
      <c r="C47" s="33" t="str" cm="1">
        <f t="array" aca="1" ref="C47" ca="1">IF($B47="","",IFERROR(SimpleLookup($B47,'Risk Treatment'!$C:D),"Please ensure that all risks are covered in the "&amp;Helper!$G$14&amp;" sheet. Currently, these risks are not covered: "&amp;'Risk Treatment'!$D$2&amp;"."))</f>
        <v/>
      </c>
      <c r="D47" s="37" t="str" cm="1">
        <f t="array" aca="1" ref="D47" ca="1">IF($B47="","",IFERROR(SimpleLookup($B47,'Risk Treatment'!$C:K),"Please ensure that all risks are covered in the "&amp;Helper!$G$14&amp;" sheet. Currently, these risks are not covered: "&amp;'Risk Treatment'!$D$2&amp;"."))</f>
        <v/>
      </c>
      <c r="E47" s="16" t="str" cm="1">
        <f t="array" aca="1" ref="E47" ca="1">IF($B47="","",IFERROR(SimpleLookup($B47,'Risk Treatment'!$C:L),"Please ensure that all risks are covered in the "&amp;Helper!$G$14&amp;" sheet. Currently, these risks are not covered: "&amp;'Risk Treatment'!$D$2&amp;"."))</f>
        <v/>
      </c>
      <c r="F47" s="34" t="str" cm="1">
        <f t="array" aca="1" ref="F47" ca="1">IF($B47="","",IFERROR(SimpleLookup($B47,'Risk Treatment'!$C:M),"Please ensure that all risks are covered in the "&amp;Helper!$G$14&amp;" sheet. Currently, these risks are not covered: "&amp;'Risk Treatment'!$D$2&amp;"."))</f>
        <v/>
      </c>
      <c r="G47" s="16" t="str" cm="1">
        <f t="array" aca="1" ref="G47" ca="1">IF($B47="","",IFERROR(SimpleLookup($B47,'Risk Treatment'!$C:N),"Please ensure that all risks are covered in the "&amp;Helper!$G$14&amp;" sheet. Currently, these risks are not covered: "&amp;'Risk Treatment'!$D$2&amp;"."))</f>
        <v/>
      </c>
      <c r="H47" s="16" t="str" cm="1">
        <f t="array" aca="1" ref="H47" ca="1">IF($B47="","",IFERROR(SimpleLookup($B47,'Risk Treatment'!$C:J),"Please ensure that all risks are covered in the "&amp;Helper!$G$14&amp;" sheet. Currently, these risks are not covered: "&amp;'Risk Treatment'!$D$2&amp;"."))</f>
        <v/>
      </c>
      <c r="I47" s="33" t="str" cm="1">
        <f t="array" aca="1" ref="I47" ca="1">IF($B47="","",IFERROR(SimpleLookup($B47,'Risk Treatment'!$C:O),"Please ensure that all risks are covered in the "&amp;Helper!$G$14&amp;" sheet. Currently, these risks are not covered: "&amp;'Risk Treatment'!$D$2&amp;"."))</f>
        <v/>
      </c>
      <c r="J47" s="33" t="str" cm="1">
        <f t="array" aca="1" ref="J47" ca="1">_xlfn.LET(
_xlpm._assignedMitigations,IF($B47="","",IFERROR(RemoveDelimiter(GetValuesWithFallback($Z47,Countermeasures!$A:$B,Assumptions!$A:$B," ",","&amp;CHAR(10),TRUE),","&amp;CHAR(10)),"Error: Unknown risk ID "&amp;$B47)),
_xlpm._inlineMitigations,$AE47,
_xlpm._assignedMitigations&amp;
IF(OR(_xlpm._assignedMitigations="",_xlpm._inlineMitigations=""),"",","&amp;CHAR(10))&amp;
_xlpm._inlineMitigations)</f>
        <v/>
      </c>
      <c r="K47" s="37" t="str" cm="1">
        <f t="array" aca="1" ref="K47" ca="1">IF($AC47=-1,"",RemoveDelimiter(GetValues(INDEX(Risks!BN:BN,$AC47),'DS Overview'!$A:$B," ",","&amp;CHAR(10),TRUE),","&amp;CHAR(10)))</f>
        <v/>
      </c>
      <c r="L47" s="33" t="str" cm="1">
        <f t="array" aca="1" ref="L47" ca="1">IF($AC47=-1,"",INDEX(Risks!BP:BP,$AC47))</f>
        <v/>
      </c>
      <c r="M47" s="34" t="str" cm="1">
        <f t="array" aca="1" ref="M47" ca="1">_xlfn.LET(
_xlpm._calculatedRAP,IFERROR(SimpleLookup($B47,Risks!$A:$BG),""),
_xlpm._inlineRAP,IFERROR(SimpleLookup($B47,Risks!$A:$BH),""),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IF(_xlpm._calculatedValue&gt;=_xlpm._inlineValue,$AD47,
_xlpm._mitigationSheetName&amp;" sheet "&amp;_xlfn.UNICHAR(8702)&amp;" Comment column:"&amp;CHAR(10)&amp;$AE47)))</f>
        <v/>
      </c>
      <c r="N47" s="33" t="str" cm="1">
        <f t="array" aca="1" ref="N47" ca="1">IF($AC47=-1,"",INDEX(Risks!CN:CN,$AC47))</f>
        <v>Basic</v>
      </c>
      <c r="O47" s="33" t="str" cm="1">
        <f t="array" aca="1" ref="O47" ca="1">IF($AC47=-1,"",INDEX(Risks!CO:CO,$AC47))</f>
        <v>No Risk</v>
      </c>
      <c r="P47" s="33" t="str">
        <f ca="1">IF($C47="","",IF($AF47&lt;=Definitions!$AF$6,Definitions!$M$4,""))</f>
        <v/>
      </c>
      <c r="Q47" s="23"/>
      <c r="R47" s="33" t="str">
        <f t="shared" ca="1" si="1"/>
        <v/>
      </c>
      <c r="S47" s="23"/>
      <c r="T47" s="13"/>
      <c r="U47" s="10" cm="1">
        <f t="array" aca="1" ref="U47" ca="1">GenerateShadowID(ROW(),$U$5,$U:$U,0,B47&lt;&gt;"")</f>
        <v>0</v>
      </c>
      <c r="V47" s="10" cm="1">
        <f t="array" ref="V47">CreateTaskID($V$5,$V:$V,Tasks!$B$17,$T47)</f>
        <v>0</v>
      </c>
      <c r="W47" s="14" t="str" cm="1">
        <f t="array" aca="1" ref="W47" ca="1">IF($B47="","",SimpleLookup($B47,'Risk Treatment'!$C:$AW))</f>
        <v/>
      </c>
      <c r="X47" s="14" t="str" cm="1">
        <f t="array" aca="1" ref="X47" ca="1">IF($B47="","",_xlfn.LET(_xlpm._attackSteps,SimpleLookup($B47,'Risk Treatment'!$C:$Y),GetValues(_xlpm._attackSteps,Mitigation!$A:$AG,"",CHAR(1),FALSE)))</f>
        <v/>
      </c>
      <c r="Y47" s="14" t="str" cm="1">
        <f t="array" aca="1" ref="Y47"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ParseInlineMitigationString(_xlpm._remainingString,_xlpm._delimiter))))($X47,CHAR(1))</f>
        <v/>
      </c>
      <c r="Z47" s="14" t="str" cm="1">
        <f t="array" aca="1" ref="Z47" ca="1">FilterElementsFromList($W47,Helper!$J$4,TRUE,",")</f>
        <v/>
      </c>
      <c r="AA47" s="14" t="str" cm="1">
        <f t="array" aca="1" ref="AA47" ca="1">FilterElementsFromList($Y47,Helper!$J$4,TRUE,",")</f>
        <v/>
      </c>
      <c r="AB47" s="20" t="str" cm="1">
        <f t="array" aca="1" ref="AB47"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CreateConfirmedInlineMitigations(_xlpm._remainingString,_xlpm._confirmedCandAIDs,_xlpm._delimiterSearchString,_xlpm._delimiterResultString))))($X47,CreateSearchString($AA47),CHAR(1),","&amp;CHAR(10))</f>
        <v/>
      </c>
      <c r="AC47" s="20">
        <f ca="1">IFERROR(MATCH($B47,Risks!$A:$A,0),-1)</f>
        <v>3</v>
      </c>
      <c r="AD47" s="20" t="str" cm="1">
        <f t="array" aca="1" ref="AD47" ca="1">IF($B47="","",_xlfn.LET(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_xlpm._factorFunction($B47,Risks!$A:CA,Definitions!$Y:$Y,Definitions!$AB:$AB,1)&amp;CHAR(10)&amp;
_xlpm._factorFunction($B47,Risks!$A:CB,Definitions!$Y:$Y,Definitions!$AB:$AB,2)&amp;CHAR(10)&amp;
_xlpm._factorFunction($B47,Risks!$A:CC,Definitions!$Y:$Y,Definitions!$AB:$AB,3)&amp;CHAR(10)&amp;
_xlpm._factorFunction($B47,Risks!$A:CD,Definitions!$Y:$Y,Definitions!$AB:$AB,4)&amp;CHAR(10)&amp;
_xlpm._factorFunction($B47,Risks!$A:CE,Definitions!$Y:$Y,Definitions!$AB:$AB,5)))</f>
        <v/>
      </c>
      <c r="AE47" s="20" t="str" cm="1">
        <f t="array" aca="1" ref="AE47" ca="1">RemoveDelimiter(SUBSTITUTE(SUBSTITUTE($AB47,"{",""),"}",""),","&amp;CHAR(10))</f>
        <v/>
      </c>
      <c r="AF47" s="20" cm="1">
        <f t="array" aca="1" ref="AF47" ca="1">IF($O47="",0,SimpleLookup($O47,Definitions!$AE:$AF))</f>
        <v>0</v>
      </c>
    </row>
    <row r="48" spans="2:32" x14ac:dyDescent="0.25">
      <c r="B48" s="16" t="str">
        <f ca="1">OFFSET(Risks!$A$2,ROW()-ROW($B$5),0)</f>
        <v/>
      </c>
      <c r="C48" s="33" t="str" cm="1">
        <f t="array" aca="1" ref="C48" ca="1">IF($B48="","",IFERROR(SimpleLookup($B48,'Risk Treatment'!$C:D),"Please ensure that all risks are covered in the "&amp;Helper!$G$14&amp;" sheet. Currently, these risks are not covered: "&amp;'Risk Treatment'!$D$2&amp;"."))</f>
        <v/>
      </c>
      <c r="D48" s="37" t="str" cm="1">
        <f t="array" aca="1" ref="D48" ca="1">IF($B48="","",IFERROR(SimpleLookup($B48,'Risk Treatment'!$C:K),"Please ensure that all risks are covered in the "&amp;Helper!$G$14&amp;" sheet. Currently, these risks are not covered: "&amp;'Risk Treatment'!$D$2&amp;"."))</f>
        <v/>
      </c>
      <c r="E48" s="16" t="str" cm="1">
        <f t="array" aca="1" ref="E48" ca="1">IF($B48="","",IFERROR(SimpleLookup($B48,'Risk Treatment'!$C:L),"Please ensure that all risks are covered in the "&amp;Helper!$G$14&amp;" sheet. Currently, these risks are not covered: "&amp;'Risk Treatment'!$D$2&amp;"."))</f>
        <v/>
      </c>
      <c r="F48" s="34" t="str" cm="1">
        <f t="array" aca="1" ref="F48" ca="1">IF($B48="","",IFERROR(SimpleLookup($B48,'Risk Treatment'!$C:M),"Please ensure that all risks are covered in the "&amp;Helper!$G$14&amp;" sheet. Currently, these risks are not covered: "&amp;'Risk Treatment'!$D$2&amp;"."))</f>
        <v/>
      </c>
      <c r="G48" s="16" t="str" cm="1">
        <f t="array" aca="1" ref="G48" ca="1">IF($B48="","",IFERROR(SimpleLookup($B48,'Risk Treatment'!$C:N),"Please ensure that all risks are covered in the "&amp;Helper!$G$14&amp;" sheet. Currently, these risks are not covered: "&amp;'Risk Treatment'!$D$2&amp;"."))</f>
        <v/>
      </c>
      <c r="H48" s="16" t="str" cm="1">
        <f t="array" aca="1" ref="H48" ca="1">IF($B48="","",IFERROR(SimpleLookup($B48,'Risk Treatment'!$C:J),"Please ensure that all risks are covered in the "&amp;Helper!$G$14&amp;" sheet. Currently, these risks are not covered: "&amp;'Risk Treatment'!$D$2&amp;"."))</f>
        <v/>
      </c>
      <c r="I48" s="33" t="str" cm="1">
        <f t="array" aca="1" ref="I48" ca="1">IF($B48="","",IFERROR(SimpleLookup($B48,'Risk Treatment'!$C:O),"Please ensure that all risks are covered in the "&amp;Helper!$G$14&amp;" sheet. Currently, these risks are not covered: "&amp;'Risk Treatment'!$D$2&amp;"."))</f>
        <v/>
      </c>
      <c r="J48" s="33" t="str" cm="1">
        <f t="array" aca="1" ref="J48" ca="1">_xlfn.LET(
_xlpm._assignedMitigations,IF($B48="","",IFERROR(RemoveDelimiter(GetValuesWithFallback($Z48,Countermeasures!$A:$B,Assumptions!$A:$B," ",","&amp;CHAR(10),TRUE),","&amp;CHAR(10)),"Error: Unknown risk ID "&amp;$B48)),
_xlpm._inlineMitigations,$AE48,
_xlpm._assignedMitigations&amp;
IF(OR(_xlpm._assignedMitigations="",_xlpm._inlineMitigations=""),"",","&amp;CHAR(10))&amp;
_xlpm._inlineMitigations)</f>
        <v/>
      </c>
      <c r="K48" s="37" t="str" cm="1">
        <f t="array" aca="1" ref="K48" ca="1">IF($AC48=-1,"",RemoveDelimiter(GetValues(INDEX(Risks!BN:BN,$AC48),'DS Overview'!$A:$B," ",","&amp;CHAR(10),TRUE),","&amp;CHAR(10)))</f>
        <v/>
      </c>
      <c r="L48" s="33" t="str" cm="1">
        <f t="array" aca="1" ref="L48" ca="1">IF($AC48=-1,"",INDEX(Risks!BP:BP,$AC48))</f>
        <v/>
      </c>
      <c r="M48" s="34" t="str" cm="1">
        <f t="array" aca="1" ref="M48" ca="1">_xlfn.LET(
_xlpm._calculatedRAP,IFERROR(SimpleLookup($B48,Risks!$A:$BG),""),
_xlpm._inlineRAP,IFERROR(SimpleLookup($B48,Risks!$A:$BH),""),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IF(_xlpm._calculatedValue&gt;=_xlpm._inlineValue,$AD48,
_xlpm._mitigationSheetName&amp;" sheet "&amp;_xlfn.UNICHAR(8702)&amp;" Comment column:"&amp;CHAR(10)&amp;$AE48)))</f>
        <v/>
      </c>
      <c r="N48" s="33" t="str" cm="1">
        <f t="array" aca="1" ref="N48" ca="1">IF($AC48=-1,"",INDEX(Risks!CN:CN,$AC48))</f>
        <v>Basic</v>
      </c>
      <c r="O48" s="33" t="str" cm="1">
        <f t="array" aca="1" ref="O48" ca="1">IF($AC48=-1,"",INDEX(Risks!CO:CO,$AC48))</f>
        <v>No Risk</v>
      </c>
      <c r="P48" s="33" t="str">
        <f ca="1">IF($C48="","",IF($AF48&lt;=Definitions!$AF$6,Definitions!$M$4,""))</f>
        <v/>
      </c>
      <c r="Q48" s="23"/>
      <c r="R48" s="33" t="str">
        <f t="shared" ca="1" si="1"/>
        <v/>
      </c>
      <c r="S48" s="23"/>
      <c r="T48" s="13"/>
      <c r="U48" s="10" cm="1">
        <f t="array" aca="1" ref="U48" ca="1">GenerateShadowID(ROW(),$U$5,$U:$U,0,B48&lt;&gt;"")</f>
        <v>0</v>
      </c>
      <c r="V48" s="10" cm="1">
        <f t="array" ref="V48">CreateTaskID($V$5,$V:$V,Tasks!$B$17,$T48)</f>
        <v>0</v>
      </c>
      <c r="W48" s="14" t="str" cm="1">
        <f t="array" aca="1" ref="W48" ca="1">IF($B48="","",SimpleLookup($B48,'Risk Treatment'!$C:$AW))</f>
        <v/>
      </c>
      <c r="X48" s="14" t="str" cm="1">
        <f t="array" aca="1" ref="X48" ca="1">IF($B48="","",_xlfn.LET(_xlpm._attackSteps,SimpleLookup($B48,'Risk Treatment'!$C:$Y),GetValues(_xlpm._attackSteps,Mitigation!$A:$AG,"",CHAR(1),FALSE)))</f>
        <v/>
      </c>
      <c r="Y48" s="14" t="str" cm="1">
        <f t="array" aca="1" ref="Y48"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ParseInlineMitigationString(_xlpm._remainingString,_xlpm._delimiter))))($X48,CHAR(1))</f>
        <v/>
      </c>
      <c r="Z48" s="14" t="str" cm="1">
        <f t="array" aca="1" ref="Z48" ca="1">FilterElementsFromList($W48,Helper!$J$4,TRUE,",")</f>
        <v/>
      </c>
      <c r="AA48" s="14" t="str" cm="1">
        <f t="array" aca="1" ref="AA48" ca="1">FilterElementsFromList($Y48,Helper!$J$4,TRUE,",")</f>
        <v/>
      </c>
      <c r="AB48" s="20" t="str" cm="1">
        <f t="array" aca="1" ref="AB48"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CreateConfirmedInlineMitigations(_xlpm._remainingString,_xlpm._confirmedCandAIDs,_xlpm._delimiterSearchString,_xlpm._delimiterResultString))))($X48,CreateSearchString($AA48),CHAR(1),","&amp;CHAR(10))</f>
        <v/>
      </c>
      <c r="AC48" s="20">
        <f ca="1">IFERROR(MATCH($B48,Risks!$A:$A,0),-1)</f>
        <v>3</v>
      </c>
      <c r="AD48" s="20" t="str" cm="1">
        <f t="array" aca="1" ref="AD48" ca="1">IF($B48="","",_xlfn.LET(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_xlpm._factorFunction($B48,Risks!$A:CA,Definitions!$Y:$Y,Definitions!$AB:$AB,1)&amp;CHAR(10)&amp;
_xlpm._factorFunction($B48,Risks!$A:CB,Definitions!$Y:$Y,Definitions!$AB:$AB,2)&amp;CHAR(10)&amp;
_xlpm._factorFunction($B48,Risks!$A:CC,Definitions!$Y:$Y,Definitions!$AB:$AB,3)&amp;CHAR(10)&amp;
_xlpm._factorFunction($B48,Risks!$A:CD,Definitions!$Y:$Y,Definitions!$AB:$AB,4)&amp;CHAR(10)&amp;
_xlpm._factorFunction($B48,Risks!$A:CE,Definitions!$Y:$Y,Definitions!$AB:$AB,5)))</f>
        <v/>
      </c>
      <c r="AE48" s="20" t="str" cm="1">
        <f t="array" aca="1" ref="AE48" ca="1">RemoveDelimiter(SUBSTITUTE(SUBSTITUTE($AB48,"{",""),"}",""),","&amp;CHAR(10))</f>
        <v/>
      </c>
      <c r="AF48" s="20" cm="1">
        <f t="array" aca="1" ref="AF48" ca="1">IF($O48="",0,SimpleLookup($O48,Definitions!$AE:$AF))</f>
        <v>0</v>
      </c>
    </row>
    <row r="49" spans="2:32" x14ac:dyDescent="0.25">
      <c r="B49" s="16" t="str">
        <f ca="1">OFFSET(Risks!$A$2,ROW()-ROW($B$5),0)</f>
        <v/>
      </c>
      <c r="C49" s="33" t="str" cm="1">
        <f t="array" aca="1" ref="C49" ca="1">IF($B49="","",IFERROR(SimpleLookup($B49,'Risk Treatment'!$C:D),"Please ensure that all risks are covered in the "&amp;Helper!$G$14&amp;" sheet. Currently, these risks are not covered: "&amp;'Risk Treatment'!$D$2&amp;"."))</f>
        <v/>
      </c>
      <c r="D49" s="37" t="str" cm="1">
        <f t="array" aca="1" ref="D49" ca="1">IF($B49="","",IFERROR(SimpleLookup($B49,'Risk Treatment'!$C:K),"Please ensure that all risks are covered in the "&amp;Helper!$G$14&amp;" sheet. Currently, these risks are not covered: "&amp;'Risk Treatment'!$D$2&amp;"."))</f>
        <v/>
      </c>
      <c r="E49" s="16" t="str" cm="1">
        <f t="array" aca="1" ref="E49" ca="1">IF($B49="","",IFERROR(SimpleLookup($B49,'Risk Treatment'!$C:L),"Please ensure that all risks are covered in the "&amp;Helper!$G$14&amp;" sheet. Currently, these risks are not covered: "&amp;'Risk Treatment'!$D$2&amp;"."))</f>
        <v/>
      </c>
      <c r="F49" s="34" t="str" cm="1">
        <f t="array" aca="1" ref="F49" ca="1">IF($B49="","",IFERROR(SimpleLookup($B49,'Risk Treatment'!$C:M),"Please ensure that all risks are covered in the "&amp;Helper!$G$14&amp;" sheet. Currently, these risks are not covered: "&amp;'Risk Treatment'!$D$2&amp;"."))</f>
        <v/>
      </c>
      <c r="G49" s="16" t="str" cm="1">
        <f t="array" aca="1" ref="G49" ca="1">IF($B49="","",IFERROR(SimpleLookup($B49,'Risk Treatment'!$C:N),"Please ensure that all risks are covered in the "&amp;Helper!$G$14&amp;" sheet. Currently, these risks are not covered: "&amp;'Risk Treatment'!$D$2&amp;"."))</f>
        <v/>
      </c>
      <c r="H49" s="16" t="str" cm="1">
        <f t="array" aca="1" ref="H49" ca="1">IF($B49="","",IFERROR(SimpleLookup($B49,'Risk Treatment'!$C:J),"Please ensure that all risks are covered in the "&amp;Helper!$G$14&amp;" sheet. Currently, these risks are not covered: "&amp;'Risk Treatment'!$D$2&amp;"."))</f>
        <v/>
      </c>
      <c r="I49" s="33" t="str" cm="1">
        <f t="array" aca="1" ref="I49" ca="1">IF($B49="","",IFERROR(SimpleLookup($B49,'Risk Treatment'!$C:O),"Please ensure that all risks are covered in the "&amp;Helper!$G$14&amp;" sheet. Currently, these risks are not covered: "&amp;'Risk Treatment'!$D$2&amp;"."))</f>
        <v/>
      </c>
      <c r="J49" s="33" t="str" cm="1">
        <f t="array" aca="1" ref="J49" ca="1">_xlfn.LET(
_xlpm._assignedMitigations,IF($B49="","",IFERROR(RemoveDelimiter(GetValuesWithFallback($Z49,Countermeasures!$A:$B,Assumptions!$A:$B," ",","&amp;CHAR(10),TRUE),","&amp;CHAR(10)),"Error: Unknown risk ID "&amp;$B49)),
_xlpm._inlineMitigations,$AE49,
_xlpm._assignedMitigations&amp;
IF(OR(_xlpm._assignedMitigations="",_xlpm._inlineMitigations=""),"",","&amp;CHAR(10))&amp;
_xlpm._inlineMitigations)</f>
        <v/>
      </c>
      <c r="K49" s="37" t="str" cm="1">
        <f t="array" aca="1" ref="K49" ca="1">IF($AC49=-1,"",RemoveDelimiter(GetValues(INDEX(Risks!BN:BN,$AC49),'DS Overview'!$A:$B," ",","&amp;CHAR(10),TRUE),","&amp;CHAR(10)))</f>
        <v/>
      </c>
      <c r="L49" s="33" t="str" cm="1">
        <f t="array" aca="1" ref="L49" ca="1">IF($AC49=-1,"",INDEX(Risks!BP:BP,$AC49))</f>
        <v/>
      </c>
      <c r="M49" s="34" t="str" cm="1">
        <f t="array" aca="1" ref="M49" ca="1">_xlfn.LET(
_xlpm._calculatedRAP,IFERROR(SimpleLookup($B49,Risks!$A:$BG),""),
_xlpm._inlineRAP,IFERROR(SimpleLookup($B49,Risks!$A:$BH),""),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IF(_xlpm._calculatedValue&gt;=_xlpm._inlineValue,$AD49,
_xlpm._mitigationSheetName&amp;" sheet "&amp;_xlfn.UNICHAR(8702)&amp;" Comment column:"&amp;CHAR(10)&amp;$AE49)))</f>
        <v/>
      </c>
      <c r="N49" s="33" t="str" cm="1">
        <f t="array" aca="1" ref="N49" ca="1">IF($AC49=-1,"",INDEX(Risks!CN:CN,$AC49))</f>
        <v>Basic</v>
      </c>
      <c r="O49" s="33" t="str" cm="1">
        <f t="array" aca="1" ref="O49" ca="1">IF($AC49=-1,"",INDEX(Risks!CO:CO,$AC49))</f>
        <v>No Risk</v>
      </c>
      <c r="P49" s="33" t="str">
        <f ca="1">IF($C49="","",IF($AF49&lt;=Definitions!$AF$6,Definitions!$M$4,""))</f>
        <v/>
      </c>
      <c r="Q49" s="23"/>
      <c r="R49" s="33" t="str">
        <f t="shared" ca="1" si="1"/>
        <v/>
      </c>
      <c r="S49" s="23"/>
      <c r="T49" s="13"/>
      <c r="U49" s="10" cm="1">
        <f t="array" aca="1" ref="U49" ca="1">GenerateShadowID(ROW(),$U$5,$U:$U,0,B49&lt;&gt;"")</f>
        <v>0</v>
      </c>
      <c r="V49" s="10" cm="1">
        <f t="array" ref="V49">CreateTaskID($V$5,$V:$V,Tasks!$B$17,$T49)</f>
        <v>0</v>
      </c>
      <c r="W49" s="14" t="str" cm="1">
        <f t="array" aca="1" ref="W49" ca="1">IF($B49="","",SimpleLookup($B49,'Risk Treatment'!$C:$AW))</f>
        <v/>
      </c>
      <c r="X49" s="14" t="str" cm="1">
        <f t="array" aca="1" ref="X49" ca="1">IF($B49="","",_xlfn.LET(_xlpm._attackSteps,SimpleLookup($B49,'Risk Treatment'!$C:$Y),GetValues(_xlpm._attackSteps,Mitigation!$A:$AG,"",CHAR(1),FALSE)))</f>
        <v/>
      </c>
      <c r="Y49" s="14" t="str" cm="1">
        <f t="array" aca="1" ref="Y49"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ParseInlineMitigationString(_xlpm._remainingString,_xlpm._delimiter))))($X49,CHAR(1))</f>
        <v/>
      </c>
      <c r="Z49" s="14" t="str" cm="1">
        <f t="array" aca="1" ref="Z49" ca="1">FilterElementsFromList($W49,Helper!$J$4,TRUE,",")</f>
        <v/>
      </c>
      <c r="AA49" s="14" t="str" cm="1">
        <f t="array" aca="1" ref="AA49" ca="1">FilterElementsFromList($Y49,Helper!$J$4,TRUE,",")</f>
        <v/>
      </c>
      <c r="AB49" s="20" t="str" cm="1">
        <f t="array" aca="1" ref="AB49"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CreateConfirmedInlineMitigations(_xlpm._remainingString,_xlpm._confirmedCandAIDs,_xlpm._delimiterSearchString,_xlpm._delimiterResultString))))($X49,CreateSearchString($AA49),CHAR(1),","&amp;CHAR(10))</f>
        <v/>
      </c>
      <c r="AC49" s="20">
        <f ca="1">IFERROR(MATCH($B49,Risks!$A:$A,0),-1)</f>
        <v>3</v>
      </c>
      <c r="AD49" s="20" t="str" cm="1">
        <f t="array" aca="1" ref="AD49" ca="1">IF($B49="","",_xlfn.LET(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_xlpm._factorFunction($B49,Risks!$A:CA,Definitions!$Y:$Y,Definitions!$AB:$AB,1)&amp;CHAR(10)&amp;
_xlpm._factorFunction($B49,Risks!$A:CB,Definitions!$Y:$Y,Definitions!$AB:$AB,2)&amp;CHAR(10)&amp;
_xlpm._factorFunction($B49,Risks!$A:CC,Definitions!$Y:$Y,Definitions!$AB:$AB,3)&amp;CHAR(10)&amp;
_xlpm._factorFunction($B49,Risks!$A:CD,Definitions!$Y:$Y,Definitions!$AB:$AB,4)&amp;CHAR(10)&amp;
_xlpm._factorFunction($B49,Risks!$A:CE,Definitions!$Y:$Y,Definitions!$AB:$AB,5)))</f>
        <v/>
      </c>
      <c r="AE49" s="20" t="str" cm="1">
        <f t="array" aca="1" ref="AE49" ca="1">RemoveDelimiter(SUBSTITUTE(SUBSTITUTE($AB49,"{",""),"}",""),","&amp;CHAR(10))</f>
        <v/>
      </c>
      <c r="AF49" s="20" cm="1">
        <f t="array" aca="1" ref="AF49" ca="1">IF($O49="",0,SimpleLookup($O49,Definitions!$AE:$AF))</f>
        <v>0</v>
      </c>
    </row>
    <row r="50" spans="2:32" x14ac:dyDescent="0.25">
      <c r="B50" s="16" t="str">
        <f ca="1">OFFSET(Risks!$A$2,ROW()-ROW($B$5),0)</f>
        <v/>
      </c>
      <c r="C50" s="33" t="str" cm="1">
        <f t="array" aca="1" ref="C50" ca="1">IF($B50="","",IFERROR(SimpleLookup($B50,'Risk Treatment'!$C:D),"Please ensure that all risks are covered in the "&amp;Helper!$G$14&amp;" sheet. Currently, these risks are not covered: "&amp;'Risk Treatment'!$D$2&amp;"."))</f>
        <v/>
      </c>
      <c r="D50" s="37" t="str" cm="1">
        <f t="array" aca="1" ref="D50" ca="1">IF($B50="","",IFERROR(SimpleLookup($B50,'Risk Treatment'!$C:K),"Please ensure that all risks are covered in the "&amp;Helper!$G$14&amp;" sheet. Currently, these risks are not covered: "&amp;'Risk Treatment'!$D$2&amp;"."))</f>
        <v/>
      </c>
      <c r="E50" s="16" t="str" cm="1">
        <f t="array" aca="1" ref="E50" ca="1">IF($B50="","",IFERROR(SimpleLookup($B50,'Risk Treatment'!$C:L),"Please ensure that all risks are covered in the "&amp;Helper!$G$14&amp;" sheet. Currently, these risks are not covered: "&amp;'Risk Treatment'!$D$2&amp;"."))</f>
        <v/>
      </c>
      <c r="F50" s="34" t="str" cm="1">
        <f t="array" aca="1" ref="F50" ca="1">IF($B50="","",IFERROR(SimpleLookup($B50,'Risk Treatment'!$C:M),"Please ensure that all risks are covered in the "&amp;Helper!$G$14&amp;" sheet. Currently, these risks are not covered: "&amp;'Risk Treatment'!$D$2&amp;"."))</f>
        <v/>
      </c>
      <c r="G50" s="16" t="str" cm="1">
        <f t="array" aca="1" ref="G50" ca="1">IF($B50="","",IFERROR(SimpleLookup($B50,'Risk Treatment'!$C:N),"Please ensure that all risks are covered in the "&amp;Helper!$G$14&amp;" sheet. Currently, these risks are not covered: "&amp;'Risk Treatment'!$D$2&amp;"."))</f>
        <v/>
      </c>
      <c r="H50" s="16" t="str" cm="1">
        <f t="array" aca="1" ref="H50" ca="1">IF($B50="","",IFERROR(SimpleLookup($B50,'Risk Treatment'!$C:J),"Please ensure that all risks are covered in the "&amp;Helper!$G$14&amp;" sheet. Currently, these risks are not covered: "&amp;'Risk Treatment'!$D$2&amp;"."))</f>
        <v/>
      </c>
      <c r="I50" s="33" t="str" cm="1">
        <f t="array" aca="1" ref="I50" ca="1">IF($B50="","",IFERROR(SimpleLookup($B50,'Risk Treatment'!$C:O),"Please ensure that all risks are covered in the "&amp;Helper!$G$14&amp;" sheet. Currently, these risks are not covered: "&amp;'Risk Treatment'!$D$2&amp;"."))</f>
        <v/>
      </c>
      <c r="J50" s="33" t="str" cm="1">
        <f t="array" aca="1" ref="J50" ca="1">_xlfn.LET(
_xlpm._assignedMitigations,IF($B50="","",IFERROR(RemoveDelimiter(GetValuesWithFallback($Z50,Countermeasures!$A:$B,Assumptions!$A:$B," ",","&amp;CHAR(10),TRUE),","&amp;CHAR(10)),"Error: Unknown risk ID "&amp;$B50)),
_xlpm._inlineMitigations,$AE50,
_xlpm._assignedMitigations&amp;
IF(OR(_xlpm._assignedMitigations="",_xlpm._inlineMitigations=""),"",","&amp;CHAR(10))&amp;
_xlpm._inlineMitigations)</f>
        <v/>
      </c>
      <c r="K50" s="37" t="str" cm="1">
        <f t="array" aca="1" ref="K50" ca="1">IF($AC50=-1,"",RemoveDelimiter(GetValues(INDEX(Risks!BN:BN,$AC50),'DS Overview'!$A:$B," ",","&amp;CHAR(10),TRUE),","&amp;CHAR(10)))</f>
        <v/>
      </c>
      <c r="L50" s="33" t="str" cm="1">
        <f t="array" aca="1" ref="L50" ca="1">IF($AC50=-1,"",INDEX(Risks!BP:BP,$AC50))</f>
        <v/>
      </c>
      <c r="M50" s="34" t="str" cm="1">
        <f t="array" aca="1" ref="M50" ca="1">_xlfn.LET(
_xlpm._calculatedRAP,IFERROR(SimpleLookup($B50,Risks!$A:$BG),""),
_xlpm._inlineRAP,IFERROR(SimpleLookup($B50,Risks!$A:$BH),""),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IF(_xlpm._calculatedValue&gt;=_xlpm._inlineValue,$AD50,
_xlpm._mitigationSheetName&amp;" sheet "&amp;_xlfn.UNICHAR(8702)&amp;" Comment column:"&amp;CHAR(10)&amp;$AE50)))</f>
        <v/>
      </c>
      <c r="N50" s="33" t="str" cm="1">
        <f t="array" aca="1" ref="N50" ca="1">IF($AC50=-1,"",INDEX(Risks!CN:CN,$AC50))</f>
        <v>Basic</v>
      </c>
      <c r="O50" s="33" t="str" cm="1">
        <f t="array" aca="1" ref="O50" ca="1">IF($AC50=-1,"",INDEX(Risks!CO:CO,$AC50))</f>
        <v>No Risk</v>
      </c>
      <c r="P50" s="33" t="str">
        <f ca="1">IF($C50="","",IF($AF50&lt;=Definitions!$AF$6,Definitions!$M$4,""))</f>
        <v/>
      </c>
      <c r="Q50" s="23"/>
      <c r="R50" s="33" t="str">
        <f t="shared" ca="1" si="1"/>
        <v/>
      </c>
      <c r="S50" s="23"/>
      <c r="T50" s="13"/>
      <c r="U50" s="10" cm="1">
        <f t="array" aca="1" ref="U50" ca="1">GenerateShadowID(ROW(),$U$5,$U:$U,0,B50&lt;&gt;"")</f>
        <v>0</v>
      </c>
      <c r="V50" s="10" cm="1">
        <f t="array" ref="V50">CreateTaskID($V$5,$V:$V,Tasks!$B$17,$T50)</f>
        <v>0</v>
      </c>
      <c r="W50" s="14" t="str" cm="1">
        <f t="array" aca="1" ref="W50" ca="1">IF($B50="","",SimpleLookup($B50,'Risk Treatment'!$C:$AW))</f>
        <v/>
      </c>
      <c r="X50" s="14" t="str" cm="1">
        <f t="array" aca="1" ref="X50" ca="1">IF($B50="","",_xlfn.LET(_xlpm._attackSteps,SimpleLookup($B50,'Risk Treatment'!$C:$Y),GetValues(_xlpm._attackSteps,Mitigation!$A:$AG,"",CHAR(1),FALSE)))</f>
        <v/>
      </c>
      <c r="Y50" s="14" t="str" cm="1">
        <f t="array" aca="1" ref="Y50"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ParseInlineMitigationString(_xlpm._remainingString,_xlpm._delimiter))))($X50,CHAR(1))</f>
        <v/>
      </c>
      <c r="Z50" s="14" t="str" cm="1">
        <f t="array" aca="1" ref="Z50" ca="1">FilterElementsFromList($W50,Helper!$J$4,TRUE,",")</f>
        <v/>
      </c>
      <c r="AA50" s="14" t="str" cm="1">
        <f t="array" aca="1" ref="AA50" ca="1">FilterElementsFromList($Y50,Helper!$J$4,TRUE,",")</f>
        <v/>
      </c>
      <c r="AB50" s="20" t="str" cm="1">
        <f t="array" aca="1" ref="AB50"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CreateConfirmedInlineMitigations(_xlpm._remainingString,_xlpm._confirmedCandAIDs,_xlpm._delimiterSearchString,_xlpm._delimiterResultString))))($X50,CreateSearchString($AA50),CHAR(1),","&amp;CHAR(10))</f>
        <v/>
      </c>
      <c r="AC50" s="20">
        <f ca="1">IFERROR(MATCH($B50,Risks!$A:$A,0),-1)</f>
        <v>3</v>
      </c>
      <c r="AD50" s="20" t="str" cm="1">
        <f t="array" aca="1" ref="AD50" ca="1">IF($B50="","",_xlfn.LET(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_xlpm._factorFunction($B50,Risks!$A:CA,Definitions!$Y:$Y,Definitions!$AB:$AB,1)&amp;CHAR(10)&amp;
_xlpm._factorFunction($B50,Risks!$A:CB,Definitions!$Y:$Y,Definitions!$AB:$AB,2)&amp;CHAR(10)&amp;
_xlpm._factorFunction($B50,Risks!$A:CC,Definitions!$Y:$Y,Definitions!$AB:$AB,3)&amp;CHAR(10)&amp;
_xlpm._factorFunction($B50,Risks!$A:CD,Definitions!$Y:$Y,Definitions!$AB:$AB,4)&amp;CHAR(10)&amp;
_xlpm._factorFunction($B50,Risks!$A:CE,Definitions!$Y:$Y,Definitions!$AB:$AB,5)))</f>
        <v/>
      </c>
      <c r="AE50" s="20" t="str" cm="1">
        <f t="array" aca="1" ref="AE50" ca="1">RemoveDelimiter(SUBSTITUTE(SUBSTITUTE($AB50,"{",""),"}",""),","&amp;CHAR(10))</f>
        <v/>
      </c>
      <c r="AF50" s="20" cm="1">
        <f t="array" aca="1" ref="AF50" ca="1">IF($O50="",0,SimpleLookup($O50,Definitions!$AE:$AF))</f>
        <v>0</v>
      </c>
    </row>
    <row r="51" spans="2:32" x14ac:dyDescent="0.25">
      <c r="B51" s="16" t="str">
        <f ca="1">OFFSET(Risks!$A$2,ROW()-ROW($B$5),0)</f>
        <v/>
      </c>
      <c r="C51" s="33" t="str" cm="1">
        <f t="array" aca="1" ref="C51" ca="1">IF($B51="","",IFERROR(SimpleLookup($B51,'Risk Treatment'!$C:D),"Please ensure that all risks are covered in the "&amp;Helper!$G$14&amp;" sheet. Currently, these risks are not covered: "&amp;'Risk Treatment'!$D$2&amp;"."))</f>
        <v/>
      </c>
      <c r="D51" s="37" t="str" cm="1">
        <f t="array" aca="1" ref="D51" ca="1">IF($B51="","",IFERROR(SimpleLookup($B51,'Risk Treatment'!$C:K),"Please ensure that all risks are covered in the "&amp;Helper!$G$14&amp;" sheet. Currently, these risks are not covered: "&amp;'Risk Treatment'!$D$2&amp;"."))</f>
        <v/>
      </c>
      <c r="E51" s="16" t="str" cm="1">
        <f t="array" aca="1" ref="E51" ca="1">IF($B51="","",IFERROR(SimpleLookup($B51,'Risk Treatment'!$C:L),"Please ensure that all risks are covered in the "&amp;Helper!$G$14&amp;" sheet. Currently, these risks are not covered: "&amp;'Risk Treatment'!$D$2&amp;"."))</f>
        <v/>
      </c>
      <c r="F51" s="34" t="str" cm="1">
        <f t="array" aca="1" ref="F51" ca="1">IF($B51="","",IFERROR(SimpleLookup($B51,'Risk Treatment'!$C:M),"Please ensure that all risks are covered in the "&amp;Helper!$G$14&amp;" sheet. Currently, these risks are not covered: "&amp;'Risk Treatment'!$D$2&amp;"."))</f>
        <v/>
      </c>
      <c r="G51" s="16" t="str" cm="1">
        <f t="array" aca="1" ref="G51" ca="1">IF($B51="","",IFERROR(SimpleLookup($B51,'Risk Treatment'!$C:N),"Please ensure that all risks are covered in the "&amp;Helper!$G$14&amp;" sheet. Currently, these risks are not covered: "&amp;'Risk Treatment'!$D$2&amp;"."))</f>
        <v/>
      </c>
      <c r="H51" s="16" t="str" cm="1">
        <f t="array" aca="1" ref="H51" ca="1">IF($B51="","",IFERROR(SimpleLookup($B51,'Risk Treatment'!$C:J),"Please ensure that all risks are covered in the "&amp;Helper!$G$14&amp;" sheet. Currently, these risks are not covered: "&amp;'Risk Treatment'!$D$2&amp;"."))</f>
        <v/>
      </c>
      <c r="I51" s="33" t="str" cm="1">
        <f t="array" aca="1" ref="I51" ca="1">IF($B51="","",IFERROR(SimpleLookup($B51,'Risk Treatment'!$C:O),"Please ensure that all risks are covered in the "&amp;Helper!$G$14&amp;" sheet. Currently, these risks are not covered: "&amp;'Risk Treatment'!$D$2&amp;"."))</f>
        <v/>
      </c>
      <c r="J51" s="33" t="str" cm="1">
        <f t="array" aca="1" ref="J51" ca="1">_xlfn.LET(
_xlpm._assignedMitigations,IF($B51="","",IFERROR(RemoveDelimiter(GetValuesWithFallback($Z51,Countermeasures!$A:$B,Assumptions!$A:$B," ",","&amp;CHAR(10),TRUE),","&amp;CHAR(10)),"Error: Unknown risk ID "&amp;$B51)),
_xlpm._inlineMitigations,$AE51,
_xlpm._assignedMitigations&amp;
IF(OR(_xlpm._assignedMitigations="",_xlpm._inlineMitigations=""),"",","&amp;CHAR(10))&amp;
_xlpm._inlineMitigations)</f>
        <v/>
      </c>
      <c r="K51" s="37" t="str" cm="1">
        <f t="array" aca="1" ref="K51" ca="1">IF($AC51=-1,"",RemoveDelimiter(GetValues(INDEX(Risks!BN:BN,$AC51),'DS Overview'!$A:$B," ",","&amp;CHAR(10),TRUE),","&amp;CHAR(10)))</f>
        <v/>
      </c>
      <c r="L51" s="33" t="str" cm="1">
        <f t="array" aca="1" ref="L51" ca="1">IF($AC51=-1,"",INDEX(Risks!BP:BP,$AC51))</f>
        <v/>
      </c>
      <c r="M51" s="34" t="str" cm="1">
        <f t="array" aca="1" ref="M51" ca="1">_xlfn.LET(
_xlpm._calculatedRAP,IFERROR(SimpleLookup($B51,Risks!$A:$BG),""),
_xlpm._inlineRAP,IFERROR(SimpleLookup($B51,Risks!$A:$BH),""),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IF(_xlpm._calculatedValue&gt;=_xlpm._inlineValue,$AD51,
_xlpm._mitigationSheetName&amp;" sheet "&amp;_xlfn.UNICHAR(8702)&amp;" Comment column:"&amp;CHAR(10)&amp;$AE51)))</f>
        <v/>
      </c>
      <c r="N51" s="33" t="str" cm="1">
        <f t="array" aca="1" ref="N51" ca="1">IF($AC51=-1,"",INDEX(Risks!CN:CN,$AC51))</f>
        <v>Basic</v>
      </c>
      <c r="O51" s="33" t="str" cm="1">
        <f t="array" aca="1" ref="O51" ca="1">IF($AC51=-1,"",INDEX(Risks!CO:CO,$AC51))</f>
        <v>No Risk</v>
      </c>
      <c r="P51" s="33" t="str">
        <f ca="1">IF($C51="","",IF($AF51&lt;=Definitions!$AF$6,Definitions!$M$4,""))</f>
        <v/>
      </c>
      <c r="Q51" s="23"/>
      <c r="R51" s="33" t="str">
        <f t="shared" ca="1" si="1"/>
        <v/>
      </c>
      <c r="S51" s="23"/>
      <c r="T51" s="13"/>
      <c r="U51" s="10" cm="1">
        <f t="array" aca="1" ref="U51" ca="1">GenerateShadowID(ROW(),$U$5,$U:$U,0,B51&lt;&gt;"")</f>
        <v>0</v>
      </c>
      <c r="V51" s="10" cm="1">
        <f t="array" ref="V51">CreateTaskID($V$5,$V:$V,Tasks!$B$17,$T51)</f>
        <v>0</v>
      </c>
      <c r="W51" s="14" t="str" cm="1">
        <f t="array" aca="1" ref="W51" ca="1">IF($B51="","",SimpleLookup($B51,'Risk Treatment'!$C:$AW))</f>
        <v/>
      </c>
      <c r="X51" s="14" t="str" cm="1">
        <f t="array" aca="1" ref="X51" ca="1">IF($B51="","",_xlfn.LET(_xlpm._attackSteps,SimpleLookup($B51,'Risk Treatment'!$C:$Y),GetValues(_xlpm._attackSteps,Mitigation!$A:$AG,"",CHAR(1),FALSE)))</f>
        <v/>
      </c>
      <c r="Y51" s="14" t="str" cm="1">
        <f t="array" aca="1" ref="Y51"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ParseInlineMitigationString(_xlpm._remainingString,_xlpm._delimiter))))($X51,CHAR(1))</f>
        <v/>
      </c>
      <c r="Z51" s="14" t="str" cm="1">
        <f t="array" aca="1" ref="Z51" ca="1">FilterElementsFromList($W51,Helper!$J$4,TRUE,",")</f>
        <v/>
      </c>
      <c r="AA51" s="14" t="str" cm="1">
        <f t="array" aca="1" ref="AA51" ca="1">FilterElementsFromList($Y51,Helper!$J$4,TRUE,",")</f>
        <v/>
      </c>
      <c r="AB51" s="20" t="str" cm="1">
        <f t="array" aca="1" ref="AB51"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CreateConfirmedInlineMitigations(_xlpm._remainingString,_xlpm._confirmedCandAIDs,_xlpm._delimiterSearchString,_xlpm._delimiterResultString))))($X51,CreateSearchString($AA51),CHAR(1),","&amp;CHAR(10))</f>
        <v/>
      </c>
      <c r="AC51" s="20">
        <f ca="1">IFERROR(MATCH($B51,Risks!$A:$A,0),-1)</f>
        <v>3</v>
      </c>
      <c r="AD51" s="20" t="str" cm="1">
        <f t="array" aca="1" ref="AD51" ca="1">IF($B51="","",_xlfn.LET(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_xlpm._factorFunction($B51,Risks!$A:CA,Definitions!$Y:$Y,Definitions!$AB:$AB,1)&amp;CHAR(10)&amp;
_xlpm._factorFunction($B51,Risks!$A:CB,Definitions!$Y:$Y,Definitions!$AB:$AB,2)&amp;CHAR(10)&amp;
_xlpm._factorFunction($B51,Risks!$A:CC,Definitions!$Y:$Y,Definitions!$AB:$AB,3)&amp;CHAR(10)&amp;
_xlpm._factorFunction($B51,Risks!$A:CD,Definitions!$Y:$Y,Definitions!$AB:$AB,4)&amp;CHAR(10)&amp;
_xlpm._factorFunction($B51,Risks!$A:CE,Definitions!$Y:$Y,Definitions!$AB:$AB,5)))</f>
        <v/>
      </c>
      <c r="AE51" s="20" t="str" cm="1">
        <f t="array" aca="1" ref="AE51" ca="1">RemoveDelimiter(SUBSTITUTE(SUBSTITUTE($AB51,"{",""),"}",""),","&amp;CHAR(10))</f>
        <v/>
      </c>
      <c r="AF51" s="20" cm="1">
        <f t="array" aca="1" ref="AF51" ca="1">IF($O51="",0,SimpleLookup($O51,Definitions!$AE:$AF))</f>
        <v>0</v>
      </c>
    </row>
    <row r="52" spans="2:32" x14ac:dyDescent="0.25">
      <c r="B52" s="16" t="str">
        <f ca="1">OFFSET(Risks!$A$2,ROW()-ROW($B$5),0)</f>
        <v/>
      </c>
      <c r="C52" s="33" t="str" cm="1">
        <f t="array" aca="1" ref="C52" ca="1">IF($B52="","",IFERROR(SimpleLookup($B52,'Risk Treatment'!$C:D),"Please ensure that all risks are covered in the "&amp;Helper!$G$14&amp;" sheet. Currently, these risks are not covered: "&amp;'Risk Treatment'!$D$2&amp;"."))</f>
        <v/>
      </c>
      <c r="D52" s="37" t="str" cm="1">
        <f t="array" aca="1" ref="D52" ca="1">IF($B52="","",IFERROR(SimpleLookup($B52,'Risk Treatment'!$C:K),"Please ensure that all risks are covered in the "&amp;Helper!$G$14&amp;" sheet. Currently, these risks are not covered: "&amp;'Risk Treatment'!$D$2&amp;"."))</f>
        <v/>
      </c>
      <c r="E52" s="16" t="str" cm="1">
        <f t="array" aca="1" ref="E52" ca="1">IF($B52="","",IFERROR(SimpleLookup($B52,'Risk Treatment'!$C:L),"Please ensure that all risks are covered in the "&amp;Helper!$G$14&amp;" sheet. Currently, these risks are not covered: "&amp;'Risk Treatment'!$D$2&amp;"."))</f>
        <v/>
      </c>
      <c r="F52" s="34" t="str" cm="1">
        <f t="array" aca="1" ref="F52" ca="1">IF($B52="","",IFERROR(SimpleLookup($B52,'Risk Treatment'!$C:M),"Please ensure that all risks are covered in the "&amp;Helper!$G$14&amp;" sheet. Currently, these risks are not covered: "&amp;'Risk Treatment'!$D$2&amp;"."))</f>
        <v/>
      </c>
      <c r="G52" s="16" t="str" cm="1">
        <f t="array" aca="1" ref="G52" ca="1">IF($B52="","",IFERROR(SimpleLookup($B52,'Risk Treatment'!$C:N),"Please ensure that all risks are covered in the "&amp;Helper!$G$14&amp;" sheet. Currently, these risks are not covered: "&amp;'Risk Treatment'!$D$2&amp;"."))</f>
        <v/>
      </c>
      <c r="H52" s="16" t="str" cm="1">
        <f t="array" aca="1" ref="H52" ca="1">IF($B52="","",IFERROR(SimpleLookup($B52,'Risk Treatment'!$C:J),"Please ensure that all risks are covered in the "&amp;Helper!$G$14&amp;" sheet. Currently, these risks are not covered: "&amp;'Risk Treatment'!$D$2&amp;"."))</f>
        <v/>
      </c>
      <c r="I52" s="33" t="str" cm="1">
        <f t="array" aca="1" ref="I52" ca="1">IF($B52="","",IFERROR(SimpleLookup($B52,'Risk Treatment'!$C:O),"Please ensure that all risks are covered in the "&amp;Helper!$G$14&amp;" sheet. Currently, these risks are not covered: "&amp;'Risk Treatment'!$D$2&amp;"."))</f>
        <v/>
      </c>
      <c r="J52" s="33" t="str" cm="1">
        <f t="array" aca="1" ref="J52" ca="1">_xlfn.LET(
_xlpm._assignedMitigations,IF($B52="","",IFERROR(RemoveDelimiter(GetValuesWithFallback($Z52,Countermeasures!$A:$B,Assumptions!$A:$B," ",","&amp;CHAR(10),TRUE),","&amp;CHAR(10)),"Error: Unknown risk ID "&amp;$B52)),
_xlpm._inlineMitigations,$AE52,
_xlpm._assignedMitigations&amp;
IF(OR(_xlpm._assignedMitigations="",_xlpm._inlineMitigations=""),"",","&amp;CHAR(10))&amp;
_xlpm._inlineMitigations)</f>
        <v/>
      </c>
      <c r="K52" s="37" t="str" cm="1">
        <f t="array" aca="1" ref="K52" ca="1">IF($AC52=-1,"",RemoveDelimiter(GetValues(INDEX(Risks!BN:BN,$AC52),'DS Overview'!$A:$B," ",","&amp;CHAR(10),TRUE),","&amp;CHAR(10)))</f>
        <v/>
      </c>
      <c r="L52" s="33" t="str" cm="1">
        <f t="array" aca="1" ref="L52" ca="1">IF($AC52=-1,"",INDEX(Risks!BP:BP,$AC52))</f>
        <v/>
      </c>
      <c r="M52" s="34" t="str" cm="1">
        <f t="array" aca="1" ref="M52" ca="1">_xlfn.LET(
_xlpm._calculatedRAP,IFERROR(SimpleLookup($B52,Risks!$A:$BG),""),
_xlpm._inlineRAP,IFERROR(SimpleLookup($B52,Risks!$A:$BH),""),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IF(_xlpm._calculatedValue&gt;=_xlpm._inlineValue,$AD52,
_xlpm._mitigationSheetName&amp;" sheet "&amp;_xlfn.UNICHAR(8702)&amp;" Comment column:"&amp;CHAR(10)&amp;$AE52)))</f>
        <v/>
      </c>
      <c r="N52" s="33" t="str" cm="1">
        <f t="array" aca="1" ref="N52" ca="1">IF($AC52=-1,"",INDEX(Risks!CN:CN,$AC52))</f>
        <v>Basic</v>
      </c>
      <c r="O52" s="33" t="str" cm="1">
        <f t="array" aca="1" ref="O52" ca="1">IF($AC52=-1,"",INDEX(Risks!CO:CO,$AC52))</f>
        <v>No Risk</v>
      </c>
      <c r="P52" s="33" t="str">
        <f ca="1">IF($C52="","",IF($AF52&lt;=Definitions!$AF$6,Definitions!$M$4,""))</f>
        <v/>
      </c>
      <c r="Q52" s="23"/>
      <c r="R52" s="33" t="str">
        <f t="shared" ca="1" si="1"/>
        <v/>
      </c>
      <c r="S52" s="23"/>
      <c r="T52" s="13"/>
      <c r="U52" s="10" cm="1">
        <f t="array" aca="1" ref="U52" ca="1">GenerateShadowID(ROW(),$U$5,$U:$U,0,B52&lt;&gt;"")</f>
        <v>0</v>
      </c>
      <c r="V52" s="10" cm="1">
        <f t="array" ref="V52">CreateTaskID($V$5,$V:$V,Tasks!$B$17,$T52)</f>
        <v>0</v>
      </c>
      <c r="W52" s="14" t="str" cm="1">
        <f t="array" aca="1" ref="W52" ca="1">IF($B52="","",SimpleLookup($B52,'Risk Treatment'!$C:$AW))</f>
        <v/>
      </c>
      <c r="X52" s="14" t="str" cm="1">
        <f t="array" aca="1" ref="X52" ca="1">IF($B52="","",_xlfn.LET(_xlpm._attackSteps,SimpleLookup($B52,'Risk Treatment'!$C:$Y),GetValues(_xlpm._attackSteps,Mitigation!$A:$AG,"",CHAR(1),FALSE)))</f>
        <v/>
      </c>
      <c r="Y52" s="14" t="str" cm="1">
        <f t="array" aca="1" ref="Y52"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ParseInlineMitigationString(_xlpm._remainingString,_xlpm._delimiter))))($X52,CHAR(1))</f>
        <v/>
      </c>
      <c r="Z52" s="14" t="str" cm="1">
        <f t="array" aca="1" ref="Z52" ca="1">FilterElementsFromList($W52,Helper!$J$4,TRUE,",")</f>
        <v/>
      </c>
      <c r="AA52" s="14" t="str" cm="1">
        <f t="array" aca="1" ref="AA52" ca="1">FilterElementsFromList($Y52,Helper!$J$4,TRUE,",")</f>
        <v/>
      </c>
      <c r="AB52" s="20" t="str" cm="1">
        <f t="array" aca="1" ref="AB52"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CreateConfirmedInlineMitigations(_xlpm._remainingString,_xlpm._confirmedCandAIDs,_xlpm._delimiterSearchString,_xlpm._delimiterResultString))))($X52,CreateSearchString($AA52),CHAR(1),","&amp;CHAR(10))</f>
        <v/>
      </c>
      <c r="AC52" s="20">
        <f ca="1">IFERROR(MATCH($B52,Risks!$A:$A,0),-1)</f>
        <v>3</v>
      </c>
      <c r="AD52" s="20" t="str" cm="1">
        <f t="array" aca="1" ref="AD52" ca="1">IF($B52="","",_xlfn.LET(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_xlpm._factorFunction($B52,Risks!$A:CA,Definitions!$Y:$Y,Definitions!$AB:$AB,1)&amp;CHAR(10)&amp;
_xlpm._factorFunction($B52,Risks!$A:CB,Definitions!$Y:$Y,Definitions!$AB:$AB,2)&amp;CHAR(10)&amp;
_xlpm._factorFunction($B52,Risks!$A:CC,Definitions!$Y:$Y,Definitions!$AB:$AB,3)&amp;CHAR(10)&amp;
_xlpm._factorFunction($B52,Risks!$A:CD,Definitions!$Y:$Y,Definitions!$AB:$AB,4)&amp;CHAR(10)&amp;
_xlpm._factorFunction($B52,Risks!$A:CE,Definitions!$Y:$Y,Definitions!$AB:$AB,5)))</f>
        <v/>
      </c>
      <c r="AE52" s="20" t="str" cm="1">
        <f t="array" aca="1" ref="AE52" ca="1">RemoveDelimiter(SUBSTITUTE(SUBSTITUTE($AB52,"{",""),"}",""),","&amp;CHAR(10))</f>
        <v/>
      </c>
      <c r="AF52" s="20" cm="1">
        <f t="array" aca="1" ref="AF52" ca="1">IF($O52="",0,SimpleLookup($O52,Definitions!$AE:$AF))</f>
        <v>0</v>
      </c>
    </row>
    <row r="53" spans="2:32" x14ac:dyDescent="0.25">
      <c r="B53" s="16" t="str">
        <f ca="1">OFFSET(Risks!$A$2,ROW()-ROW($B$5),0)</f>
        <v/>
      </c>
      <c r="C53" s="33" t="str" cm="1">
        <f t="array" aca="1" ref="C53" ca="1">IF($B53="","",IFERROR(SimpleLookup($B53,'Risk Treatment'!$C:D),"Please ensure that all risks are covered in the "&amp;Helper!$G$14&amp;" sheet. Currently, these risks are not covered: "&amp;'Risk Treatment'!$D$2&amp;"."))</f>
        <v/>
      </c>
      <c r="D53" s="37" t="str" cm="1">
        <f t="array" aca="1" ref="D53" ca="1">IF($B53="","",IFERROR(SimpleLookup($B53,'Risk Treatment'!$C:K),"Please ensure that all risks are covered in the "&amp;Helper!$G$14&amp;" sheet. Currently, these risks are not covered: "&amp;'Risk Treatment'!$D$2&amp;"."))</f>
        <v/>
      </c>
      <c r="E53" s="16" t="str" cm="1">
        <f t="array" aca="1" ref="E53" ca="1">IF($B53="","",IFERROR(SimpleLookup($B53,'Risk Treatment'!$C:L),"Please ensure that all risks are covered in the "&amp;Helper!$G$14&amp;" sheet. Currently, these risks are not covered: "&amp;'Risk Treatment'!$D$2&amp;"."))</f>
        <v/>
      </c>
      <c r="F53" s="34" t="str" cm="1">
        <f t="array" aca="1" ref="F53" ca="1">IF($B53="","",IFERROR(SimpleLookup($B53,'Risk Treatment'!$C:M),"Please ensure that all risks are covered in the "&amp;Helper!$G$14&amp;" sheet. Currently, these risks are not covered: "&amp;'Risk Treatment'!$D$2&amp;"."))</f>
        <v/>
      </c>
      <c r="G53" s="16" t="str" cm="1">
        <f t="array" aca="1" ref="G53" ca="1">IF($B53="","",IFERROR(SimpleLookup($B53,'Risk Treatment'!$C:N),"Please ensure that all risks are covered in the "&amp;Helper!$G$14&amp;" sheet. Currently, these risks are not covered: "&amp;'Risk Treatment'!$D$2&amp;"."))</f>
        <v/>
      </c>
      <c r="H53" s="16" t="str" cm="1">
        <f t="array" aca="1" ref="H53" ca="1">IF($B53="","",IFERROR(SimpleLookup($B53,'Risk Treatment'!$C:J),"Please ensure that all risks are covered in the "&amp;Helper!$G$14&amp;" sheet. Currently, these risks are not covered: "&amp;'Risk Treatment'!$D$2&amp;"."))</f>
        <v/>
      </c>
      <c r="I53" s="33" t="str" cm="1">
        <f t="array" aca="1" ref="I53" ca="1">IF($B53="","",IFERROR(SimpleLookup($B53,'Risk Treatment'!$C:O),"Please ensure that all risks are covered in the "&amp;Helper!$G$14&amp;" sheet. Currently, these risks are not covered: "&amp;'Risk Treatment'!$D$2&amp;"."))</f>
        <v/>
      </c>
      <c r="J53" s="33" t="str" cm="1">
        <f t="array" aca="1" ref="J53" ca="1">_xlfn.LET(
_xlpm._assignedMitigations,IF($B53="","",IFERROR(RemoveDelimiter(GetValuesWithFallback($Z53,Countermeasures!$A:$B,Assumptions!$A:$B," ",","&amp;CHAR(10),TRUE),","&amp;CHAR(10)),"Error: Unknown risk ID "&amp;$B53)),
_xlpm._inlineMitigations,$AE53,
_xlpm._assignedMitigations&amp;
IF(OR(_xlpm._assignedMitigations="",_xlpm._inlineMitigations=""),"",","&amp;CHAR(10))&amp;
_xlpm._inlineMitigations)</f>
        <v/>
      </c>
      <c r="K53" s="37" t="str" cm="1">
        <f t="array" aca="1" ref="K53" ca="1">IF($AC53=-1,"",RemoveDelimiter(GetValues(INDEX(Risks!BN:BN,$AC53),'DS Overview'!$A:$B," ",","&amp;CHAR(10),TRUE),","&amp;CHAR(10)))</f>
        <v/>
      </c>
      <c r="L53" s="33" t="str" cm="1">
        <f t="array" aca="1" ref="L53" ca="1">IF($AC53=-1,"",INDEX(Risks!BP:BP,$AC53))</f>
        <v/>
      </c>
      <c r="M53" s="34" t="str" cm="1">
        <f t="array" aca="1" ref="M53" ca="1">_xlfn.LET(
_xlpm._calculatedRAP,IFERROR(SimpleLookup($B53,Risks!$A:$BG),""),
_xlpm._inlineRAP,IFERROR(SimpleLookup($B53,Risks!$A:$BH),""),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IF(_xlpm._calculatedValue&gt;=_xlpm._inlineValue,$AD53,
_xlpm._mitigationSheetName&amp;" sheet "&amp;_xlfn.UNICHAR(8702)&amp;" Comment column:"&amp;CHAR(10)&amp;$AE53)))</f>
        <v/>
      </c>
      <c r="N53" s="33" t="str" cm="1">
        <f t="array" aca="1" ref="N53" ca="1">IF($AC53=-1,"",INDEX(Risks!CN:CN,$AC53))</f>
        <v>Basic</v>
      </c>
      <c r="O53" s="33" t="str" cm="1">
        <f t="array" aca="1" ref="O53" ca="1">IF($AC53=-1,"",INDEX(Risks!CO:CO,$AC53))</f>
        <v>No Risk</v>
      </c>
      <c r="P53" s="33" t="str">
        <f ca="1">IF($C53="","",IF($AF53&lt;=Definitions!$AF$6,Definitions!$M$4,""))</f>
        <v/>
      </c>
      <c r="Q53" s="23"/>
      <c r="R53" s="33" t="str">
        <f t="shared" ca="1" si="1"/>
        <v/>
      </c>
      <c r="S53" s="23"/>
      <c r="T53" s="13"/>
      <c r="U53" s="10" cm="1">
        <f t="array" aca="1" ref="U53" ca="1">GenerateShadowID(ROW(),$U$5,$U:$U,0,B53&lt;&gt;"")</f>
        <v>0</v>
      </c>
      <c r="V53" s="10" cm="1">
        <f t="array" ref="V53">CreateTaskID($V$5,$V:$V,Tasks!$B$17,$T53)</f>
        <v>0</v>
      </c>
      <c r="W53" s="14" t="str" cm="1">
        <f t="array" aca="1" ref="W53" ca="1">IF($B53="","",SimpleLookup($B53,'Risk Treatment'!$C:$AW))</f>
        <v/>
      </c>
      <c r="X53" s="14" t="str" cm="1">
        <f t="array" aca="1" ref="X53" ca="1">IF($B53="","",_xlfn.LET(_xlpm._attackSteps,SimpleLookup($B53,'Risk Treatment'!$C:$Y),GetValues(_xlpm._attackSteps,Mitigation!$A:$AG,"",CHAR(1),FALSE)))</f>
        <v/>
      </c>
      <c r="Y53" s="14" t="str" cm="1">
        <f t="array" aca="1" ref="Y53"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ParseInlineMitigationString(_xlpm._remainingString,_xlpm._delimiter))))($X53,CHAR(1))</f>
        <v/>
      </c>
      <c r="Z53" s="14" t="str" cm="1">
        <f t="array" aca="1" ref="Z53" ca="1">FilterElementsFromList($W53,Helper!$J$4,TRUE,",")</f>
        <v/>
      </c>
      <c r="AA53" s="14" t="str" cm="1">
        <f t="array" aca="1" ref="AA53" ca="1">FilterElementsFromList($Y53,Helper!$J$4,TRUE,",")</f>
        <v/>
      </c>
      <c r="AB53" s="20" t="str" cm="1">
        <f t="array" aca="1" ref="AB53"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CreateConfirmedInlineMitigations(_xlpm._remainingString,_xlpm._confirmedCandAIDs,_xlpm._delimiterSearchString,_xlpm._delimiterResultString))))($X53,CreateSearchString($AA53),CHAR(1),","&amp;CHAR(10))</f>
        <v/>
      </c>
      <c r="AC53" s="20">
        <f ca="1">IFERROR(MATCH($B53,Risks!$A:$A,0),-1)</f>
        <v>3</v>
      </c>
      <c r="AD53" s="20" t="str" cm="1">
        <f t="array" aca="1" ref="AD53" ca="1">IF($B53="","",_xlfn.LET(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_xlpm._factorFunction($B53,Risks!$A:CA,Definitions!$Y:$Y,Definitions!$AB:$AB,1)&amp;CHAR(10)&amp;
_xlpm._factorFunction($B53,Risks!$A:CB,Definitions!$Y:$Y,Definitions!$AB:$AB,2)&amp;CHAR(10)&amp;
_xlpm._factorFunction($B53,Risks!$A:CC,Definitions!$Y:$Y,Definitions!$AB:$AB,3)&amp;CHAR(10)&amp;
_xlpm._factorFunction($B53,Risks!$A:CD,Definitions!$Y:$Y,Definitions!$AB:$AB,4)&amp;CHAR(10)&amp;
_xlpm._factorFunction($B53,Risks!$A:CE,Definitions!$Y:$Y,Definitions!$AB:$AB,5)))</f>
        <v/>
      </c>
      <c r="AE53" s="20" t="str" cm="1">
        <f t="array" aca="1" ref="AE53" ca="1">RemoveDelimiter(SUBSTITUTE(SUBSTITUTE($AB53,"{",""),"}",""),","&amp;CHAR(10))</f>
        <v/>
      </c>
      <c r="AF53" s="20" cm="1">
        <f t="array" aca="1" ref="AF53" ca="1">IF($O53="",0,SimpleLookup($O53,Definitions!$AE:$AF))</f>
        <v>0</v>
      </c>
    </row>
    <row r="54" spans="2:32" x14ac:dyDescent="0.25">
      <c r="B54" s="16" t="str">
        <f ca="1">OFFSET(Risks!$A$2,ROW()-ROW($B$5),0)</f>
        <v/>
      </c>
      <c r="C54" s="33" t="str" cm="1">
        <f t="array" aca="1" ref="C54" ca="1">IF($B54="","",IFERROR(SimpleLookup($B54,'Risk Treatment'!$C:D),"Please ensure that all risks are covered in the "&amp;Helper!$G$14&amp;" sheet. Currently, these risks are not covered: "&amp;'Risk Treatment'!$D$2&amp;"."))</f>
        <v/>
      </c>
      <c r="D54" s="37" t="str" cm="1">
        <f t="array" aca="1" ref="D54" ca="1">IF($B54="","",IFERROR(SimpleLookup($B54,'Risk Treatment'!$C:K),"Please ensure that all risks are covered in the "&amp;Helper!$G$14&amp;" sheet. Currently, these risks are not covered: "&amp;'Risk Treatment'!$D$2&amp;"."))</f>
        <v/>
      </c>
      <c r="E54" s="16" t="str" cm="1">
        <f t="array" aca="1" ref="E54" ca="1">IF($B54="","",IFERROR(SimpleLookup($B54,'Risk Treatment'!$C:L),"Please ensure that all risks are covered in the "&amp;Helper!$G$14&amp;" sheet. Currently, these risks are not covered: "&amp;'Risk Treatment'!$D$2&amp;"."))</f>
        <v/>
      </c>
      <c r="F54" s="34" t="str" cm="1">
        <f t="array" aca="1" ref="F54" ca="1">IF($B54="","",IFERROR(SimpleLookup($B54,'Risk Treatment'!$C:M),"Please ensure that all risks are covered in the "&amp;Helper!$G$14&amp;" sheet. Currently, these risks are not covered: "&amp;'Risk Treatment'!$D$2&amp;"."))</f>
        <v/>
      </c>
      <c r="G54" s="16" t="str" cm="1">
        <f t="array" aca="1" ref="G54" ca="1">IF($B54="","",IFERROR(SimpleLookup($B54,'Risk Treatment'!$C:N),"Please ensure that all risks are covered in the "&amp;Helper!$G$14&amp;" sheet. Currently, these risks are not covered: "&amp;'Risk Treatment'!$D$2&amp;"."))</f>
        <v/>
      </c>
      <c r="H54" s="16" t="str" cm="1">
        <f t="array" aca="1" ref="H54" ca="1">IF($B54="","",IFERROR(SimpleLookup($B54,'Risk Treatment'!$C:J),"Please ensure that all risks are covered in the "&amp;Helper!$G$14&amp;" sheet. Currently, these risks are not covered: "&amp;'Risk Treatment'!$D$2&amp;"."))</f>
        <v/>
      </c>
      <c r="I54" s="33" t="str" cm="1">
        <f t="array" aca="1" ref="I54" ca="1">IF($B54="","",IFERROR(SimpleLookup($B54,'Risk Treatment'!$C:O),"Please ensure that all risks are covered in the "&amp;Helper!$G$14&amp;" sheet. Currently, these risks are not covered: "&amp;'Risk Treatment'!$D$2&amp;"."))</f>
        <v/>
      </c>
      <c r="J54" s="33" t="str" cm="1">
        <f t="array" aca="1" ref="J54" ca="1">_xlfn.LET(
_xlpm._assignedMitigations,IF($B54="","",IFERROR(RemoveDelimiter(GetValuesWithFallback($Z54,Countermeasures!$A:$B,Assumptions!$A:$B," ",","&amp;CHAR(10),TRUE),","&amp;CHAR(10)),"Error: Unknown risk ID "&amp;$B54)),
_xlpm._inlineMitigations,$AE54,
_xlpm._assignedMitigations&amp;
IF(OR(_xlpm._assignedMitigations="",_xlpm._inlineMitigations=""),"",","&amp;CHAR(10))&amp;
_xlpm._inlineMitigations)</f>
        <v/>
      </c>
      <c r="K54" s="37" t="str" cm="1">
        <f t="array" aca="1" ref="K54" ca="1">IF($AC54=-1,"",RemoveDelimiter(GetValues(INDEX(Risks!BN:BN,$AC54),'DS Overview'!$A:$B," ",","&amp;CHAR(10),TRUE),","&amp;CHAR(10)))</f>
        <v/>
      </c>
      <c r="L54" s="33" t="str" cm="1">
        <f t="array" aca="1" ref="L54" ca="1">IF($AC54=-1,"",INDEX(Risks!BP:BP,$AC54))</f>
        <v/>
      </c>
      <c r="M54" s="34" t="str" cm="1">
        <f t="array" aca="1" ref="M54" ca="1">_xlfn.LET(
_xlpm._calculatedRAP,IFERROR(SimpleLookup($B54,Risks!$A:$BG),""),
_xlpm._inlineRAP,IFERROR(SimpleLookup($B54,Risks!$A:$BH),""),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IF(_xlpm._calculatedValue&gt;=_xlpm._inlineValue,$AD54,
_xlpm._mitigationSheetName&amp;" sheet "&amp;_xlfn.UNICHAR(8702)&amp;" Comment column:"&amp;CHAR(10)&amp;$AE54)))</f>
        <v/>
      </c>
      <c r="N54" s="33" t="str" cm="1">
        <f t="array" aca="1" ref="N54" ca="1">IF($AC54=-1,"",INDEX(Risks!CN:CN,$AC54))</f>
        <v>Basic</v>
      </c>
      <c r="O54" s="33" t="str" cm="1">
        <f t="array" aca="1" ref="O54" ca="1">IF($AC54=-1,"",INDEX(Risks!CO:CO,$AC54))</f>
        <v>No Risk</v>
      </c>
      <c r="P54" s="33" t="str">
        <f ca="1">IF($C54="","",IF($AF54&lt;=Definitions!$AF$6,Definitions!$M$4,""))</f>
        <v/>
      </c>
      <c r="Q54" s="23"/>
      <c r="R54" s="33" t="str">
        <f t="shared" ca="1" si="1"/>
        <v/>
      </c>
      <c r="S54" s="23"/>
      <c r="T54" s="13"/>
      <c r="U54" s="10" cm="1">
        <f t="array" aca="1" ref="U54" ca="1">GenerateShadowID(ROW(),$U$5,$U:$U,0,B54&lt;&gt;"")</f>
        <v>0</v>
      </c>
      <c r="V54" s="10" cm="1">
        <f t="array" ref="V54">CreateTaskID($V$5,$V:$V,Tasks!$B$17,$T54)</f>
        <v>0</v>
      </c>
      <c r="W54" s="14" t="str" cm="1">
        <f t="array" aca="1" ref="W54" ca="1">IF($B54="","",SimpleLookup($B54,'Risk Treatment'!$C:$AW))</f>
        <v/>
      </c>
      <c r="X54" s="14" t="str" cm="1">
        <f t="array" aca="1" ref="X54" ca="1">IF($B54="","",_xlfn.LET(_xlpm._attackSteps,SimpleLookup($B54,'Risk Treatment'!$C:$Y),GetValues(_xlpm._attackSteps,Mitigation!$A:$AG,"",CHAR(1),FALSE)))</f>
        <v/>
      </c>
      <c r="Y54" s="14" t="str" cm="1">
        <f t="array" aca="1" ref="Y54"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ParseInlineMitigationString(_xlpm._remainingString,_xlpm._delimiter))))($X54,CHAR(1))</f>
        <v/>
      </c>
      <c r="Z54" s="14" t="str" cm="1">
        <f t="array" aca="1" ref="Z54" ca="1">FilterElementsFromList($W54,Helper!$J$4,TRUE,",")</f>
        <v/>
      </c>
      <c r="AA54" s="14" t="str" cm="1">
        <f t="array" aca="1" ref="AA54" ca="1">FilterElementsFromList($Y54,Helper!$J$4,TRUE,",")</f>
        <v/>
      </c>
      <c r="AB54" s="20" t="str" cm="1">
        <f t="array" aca="1" ref="AB54"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CreateConfirmedInlineMitigations(_xlpm._remainingString,_xlpm._confirmedCandAIDs,_xlpm._delimiterSearchString,_xlpm._delimiterResultString))))($X54,CreateSearchString($AA54),CHAR(1),","&amp;CHAR(10))</f>
        <v/>
      </c>
      <c r="AC54" s="20">
        <f ca="1">IFERROR(MATCH($B54,Risks!$A:$A,0),-1)</f>
        <v>3</v>
      </c>
      <c r="AD54" s="20" t="str" cm="1">
        <f t="array" aca="1" ref="AD54" ca="1">IF($B54="","",_xlfn.LET(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_xlpm._factorFunction($B54,Risks!$A:CA,Definitions!$Y:$Y,Definitions!$AB:$AB,1)&amp;CHAR(10)&amp;
_xlpm._factorFunction($B54,Risks!$A:CB,Definitions!$Y:$Y,Definitions!$AB:$AB,2)&amp;CHAR(10)&amp;
_xlpm._factorFunction($B54,Risks!$A:CC,Definitions!$Y:$Y,Definitions!$AB:$AB,3)&amp;CHAR(10)&amp;
_xlpm._factorFunction($B54,Risks!$A:CD,Definitions!$Y:$Y,Definitions!$AB:$AB,4)&amp;CHAR(10)&amp;
_xlpm._factorFunction($B54,Risks!$A:CE,Definitions!$Y:$Y,Definitions!$AB:$AB,5)))</f>
        <v/>
      </c>
      <c r="AE54" s="20" t="str" cm="1">
        <f t="array" aca="1" ref="AE54" ca="1">RemoveDelimiter(SUBSTITUTE(SUBSTITUTE($AB54,"{",""),"}",""),","&amp;CHAR(10))</f>
        <v/>
      </c>
      <c r="AF54" s="20" cm="1">
        <f t="array" aca="1" ref="AF54" ca="1">IF($O54="",0,SimpleLookup($O54,Definitions!$AE:$AF))</f>
        <v>0</v>
      </c>
    </row>
    <row r="55" spans="2:32" x14ac:dyDescent="0.25">
      <c r="B55" s="16" t="str">
        <f ca="1">OFFSET(Risks!$A$2,ROW()-ROW($B$5),0)</f>
        <v/>
      </c>
      <c r="C55" s="33" t="str" cm="1">
        <f t="array" aca="1" ref="C55" ca="1">IF($B55="","",IFERROR(SimpleLookup($B55,'Risk Treatment'!$C:D),"Please ensure that all risks are covered in the "&amp;Helper!$G$14&amp;" sheet. Currently, these risks are not covered: "&amp;'Risk Treatment'!$D$2&amp;"."))</f>
        <v/>
      </c>
      <c r="D55" s="37" t="str" cm="1">
        <f t="array" aca="1" ref="D55" ca="1">IF($B55="","",IFERROR(SimpleLookup($B55,'Risk Treatment'!$C:K),"Please ensure that all risks are covered in the "&amp;Helper!$G$14&amp;" sheet. Currently, these risks are not covered: "&amp;'Risk Treatment'!$D$2&amp;"."))</f>
        <v/>
      </c>
      <c r="E55" s="16" t="str" cm="1">
        <f t="array" aca="1" ref="E55" ca="1">IF($B55="","",IFERROR(SimpleLookup($B55,'Risk Treatment'!$C:L),"Please ensure that all risks are covered in the "&amp;Helper!$G$14&amp;" sheet. Currently, these risks are not covered: "&amp;'Risk Treatment'!$D$2&amp;"."))</f>
        <v/>
      </c>
      <c r="F55" s="34" t="str" cm="1">
        <f t="array" aca="1" ref="F55" ca="1">IF($B55="","",IFERROR(SimpleLookup($B55,'Risk Treatment'!$C:M),"Please ensure that all risks are covered in the "&amp;Helper!$G$14&amp;" sheet. Currently, these risks are not covered: "&amp;'Risk Treatment'!$D$2&amp;"."))</f>
        <v/>
      </c>
      <c r="G55" s="16" t="str" cm="1">
        <f t="array" aca="1" ref="G55" ca="1">IF($B55="","",IFERROR(SimpleLookup($B55,'Risk Treatment'!$C:N),"Please ensure that all risks are covered in the "&amp;Helper!$G$14&amp;" sheet. Currently, these risks are not covered: "&amp;'Risk Treatment'!$D$2&amp;"."))</f>
        <v/>
      </c>
      <c r="H55" s="16" t="str" cm="1">
        <f t="array" aca="1" ref="H55" ca="1">IF($B55="","",IFERROR(SimpleLookup($B55,'Risk Treatment'!$C:J),"Please ensure that all risks are covered in the "&amp;Helper!$G$14&amp;" sheet. Currently, these risks are not covered: "&amp;'Risk Treatment'!$D$2&amp;"."))</f>
        <v/>
      </c>
      <c r="I55" s="33" t="str" cm="1">
        <f t="array" aca="1" ref="I55" ca="1">IF($B55="","",IFERROR(SimpleLookup($B55,'Risk Treatment'!$C:O),"Please ensure that all risks are covered in the "&amp;Helper!$G$14&amp;" sheet. Currently, these risks are not covered: "&amp;'Risk Treatment'!$D$2&amp;"."))</f>
        <v/>
      </c>
      <c r="J55" s="33" t="str" cm="1">
        <f t="array" aca="1" ref="J55" ca="1">_xlfn.LET(
_xlpm._assignedMitigations,IF($B55="","",IFERROR(RemoveDelimiter(GetValuesWithFallback($Z55,Countermeasures!$A:$B,Assumptions!$A:$B," ",","&amp;CHAR(10),TRUE),","&amp;CHAR(10)),"Error: Unknown risk ID "&amp;$B55)),
_xlpm._inlineMitigations,$AE55,
_xlpm._assignedMitigations&amp;
IF(OR(_xlpm._assignedMitigations="",_xlpm._inlineMitigations=""),"",","&amp;CHAR(10))&amp;
_xlpm._inlineMitigations)</f>
        <v/>
      </c>
      <c r="K55" s="37" t="str" cm="1">
        <f t="array" aca="1" ref="K55" ca="1">IF($AC55=-1,"",RemoveDelimiter(GetValues(INDEX(Risks!BN:BN,$AC55),'DS Overview'!$A:$B," ",","&amp;CHAR(10),TRUE),","&amp;CHAR(10)))</f>
        <v/>
      </c>
      <c r="L55" s="33" t="str" cm="1">
        <f t="array" aca="1" ref="L55" ca="1">IF($AC55=-1,"",INDEX(Risks!BP:BP,$AC55))</f>
        <v/>
      </c>
      <c r="M55" s="34" t="str" cm="1">
        <f t="array" aca="1" ref="M55" ca="1">_xlfn.LET(
_xlpm._calculatedRAP,IFERROR(SimpleLookup($B55,Risks!$A:$BG),""),
_xlpm._inlineRAP,IFERROR(SimpleLookup($B55,Risks!$A:$BH),""),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IF(_xlpm._calculatedValue&gt;=_xlpm._inlineValue,$AD55,
_xlpm._mitigationSheetName&amp;" sheet "&amp;_xlfn.UNICHAR(8702)&amp;" Comment column:"&amp;CHAR(10)&amp;$AE55)))</f>
        <v/>
      </c>
      <c r="N55" s="33" t="str" cm="1">
        <f t="array" aca="1" ref="N55" ca="1">IF($AC55=-1,"",INDEX(Risks!CN:CN,$AC55))</f>
        <v>Basic</v>
      </c>
      <c r="O55" s="33" t="str" cm="1">
        <f t="array" aca="1" ref="O55" ca="1">IF($AC55=-1,"",INDEX(Risks!CO:CO,$AC55))</f>
        <v>No Risk</v>
      </c>
      <c r="P55" s="33" t="str">
        <f ca="1">IF($C55="","",IF($AF55&lt;=Definitions!$AF$6,Definitions!$M$4,""))</f>
        <v/>
      </c>
      <c r="Q55" s="23"/>
      <c r="R55" s="33" t="str">
        <f t="shared" ca="1" si="1"/>
        <v/>
      </c>
      <c r="S55" s="23"/>
      <c r="T55" s="13"/>
      <c r="U55" s="10" cm="1">
        <f t="array" aca="1" ref="U55" ca="1">GenerateShadowID(ROW(),$U$5,$U:$U,0,B55&lt;&gt;"")</f>
        <v>0</v>
      </c>
      <c r="V55" s="10" cm="1">
        <f t="array" ref="V55">CreateTaskID($V$5,$V:$V,Tasks!$B$17,$T55)</f>
        <v>0</v>
      </c>
      <c r="W55" s="14" t="str" cm="1">
        <f t="array" aca="1" ref="W55" ca="1">IF($B55="","",SimpleLookup($B55,'Risk Treatment'!$C:$AW))</f>
        <v/>
      </c>
      <c r="X55" s="14" t="str" cm="1">
        <f t="array" aca="1" ref="X55" ca="1">IF($B55="","",_xlfn.LET(_xlpm._attackSteps,SimpleLookup($B55,'Risk Treatment'!$C:$Y),GetValues(_xlpm._attackSteps,Mitigation!$A:$AG,"",CHAR(1),FALSE)))</f>
        <v/>
      </c>
      <c r="Y55" s="14" t="str" cm="1">
        <f t="array" aca="1" ref="Y55"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ParseInlineMitigationString(_xlpm._remainingString,_xlpm._delimiter))))($X55,CHAR(1))</f>
        <v/>
      </c>
      <c r="Z55" s="14" t="str" cm="1">
        <f t="array" aca="1" ref="Z55" ca="1">FilterElementsFromList($W55,Helper!$J$4,TRUE,",")</f>
        <v/>
      </c>
      <c r="AA55" s="14" t="str" cm="1">
        <f t="array" aca="1" ref="AA55" ca="1">FilterElementsFromList($Y55,Helper!$J$4,TRUE,",")</f>
        <v/>
      </c>
      <c r="AB55" s="20" t="str" cm="1">
        <f t="array" aca="1" ref="AB55"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CreateConfirmedInlineMitigations(_xlpm._remainingString,_xlpm._confirmedCandAIDs,_xlpm._delimiterSearchString,_xlpm._delimiterResultString))))($X55,CreateSearchString($AA55),CHAR(1),","&amp;CHAR(10))</f>
        <v/>
      </c>
      <c r="AC55" s="20">
        <f ca="1">IFERROR(MATCH($B55,Risks!$A:$A,0),-1)</f>
        <v>3</v>
      </c>
      <c r="AD55" s="20" t="str" cm="1">
        <f t="array" aca="1" ref="AD55" ca="1">IF($B55="","",_xlfn.LET(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_xlpm._factorFunction($B55,Risks!$A:CA,Definitions!$Y:$Y,Definitions!$AB:$AB,1)&amp;CHAR(10)&amp;
_xlpm._factorFunction($B55,Risks!$A:CB,Definitions!$Y:$Y,Definitions!$AB:$AB,2)&amp;CHAR(10)&amp;
_xlpm._factorFunction($B55,Risks!$A:CC,Definitions!$Y:$Y,Definitions!$AB:$AB,3)&amp;CHAR(10)&amp;
_xlpm._factorFunction($B55,Risks!$A:CD,Definitions!$Y:$Y,Definitions!$AB:$AB,4)&amp;CHAR(10)&amp;
_xlpm._factorFunction($B55,Risks!$A:CE,Definitions!$Y:$Y,Definitions!$AB:$AB,5)))</f>
        <v/>
      </c>
      <c r="AE55" s="20" t="str" cm="1">
        <f t="array" aca="1" ref="AE55" ca="1">RemoveDelimiter(SUBSTITUTE(SUBSTITUTE($AB55,"{",""),"}",""),","&amp;CHAR(10))</f>
        <v/>
      </c>
      <c r="AF55" s="20" cm="1">
        <f t="array" aca="1" ref="AF55" ca="1">IF($O55="",0,SimpleLookup($O55,Definitions!$AE:$AF))</f>
        <v>0</v>
      </c>
    </row>
    <row r="56" spans="2:32" x14ac:dyDescent="0.25">
      <c r="B56" s="16" t="str">
        <f ca="1">OFFSET(Risks!$A$2,ROW()-ROW($B$5),0)</f>
        <v/>
      </c>
      <c r="C56" s="33" t="str" cm="1">
        <f t="array" aca="1" ref="C56" ca="1">IF($B56="","",IFERROR(SimpleLookup($B56,'Risk Treatment'!$C:D),"Please ensure that all risks are covered in the "&amp;Helper!$G$14&amp;" sheet. Currently, these risks are not covered: "&amp;'Risk Treatment'!$D$2&amp;"."))</f>
        <v/>
      </c>
      <c r="D56" s="37" t="str" cm="1">
        <f t="array" aca="1" ref="D56" ca="1">IF($B56="","",IFERROR(SimpleLookup($B56,'Risk Treatment'!$C:K),"Please ensure that all risks are covered in the "&amp;Helper!$G$14&amp;" sheet. Currently, these risks are not covered: "&amp;'Risk Treatment'!$D$2&amp;"."))</f>
        <v/>
      </c>
      <c r="E56" s="16" t="str" cm="1">
        <f t="array" aca="1" ref="E56" ca="1">IF($B56="","",IFERROR(SimpleLookup($B56,'Risk Treatment'!$C:L),"Please ensure that all risks are covered in the "&amp;Helper!$G$14&amp;" sheet. Currently, these risks are not covered: "&amp;'Risk Treatment'!$D$2&amp;"."))</f>
        <v/>
      </c>
      <c r="F56" s="34" t="str" cm="1">
        <f t="array" aca="1" ref="F56" ca="1">IF($B56="","",IFERROR(SimpleLookup($B56,'Risk Treatment'!$C:M),"Please ensure that all risks are covered in the "&amp;Helper!$G$14&amp;" sheet. Currently, these risks are not covered: "&amp;'Risk Treatment'!$D$2&amp;"."))</f>
        <v/>
      </c>
      <c r="G56" s="16" t="str" cm="1">
        <f t="array" aca="1" ref="G56" ca="1">IF($B56="","",IFERROR(SimpleLookup($B56,'Risk Treatment'!$C:N),"Please ensure that all risks are covered in the "&amp;Helper!$G$14&amp;" sheet. Currently, these risks are not covered: "&amp;'Risk Treatment'!$D$2&amp;"."))</f>
        <v/>
      </c>
      <c r="H56" s="16" t="str" cm="1">
        <f t="array" aca="1" ref="H56" ca="1">IF($B56="","",IFERROR(SimpleLookup($B56,'Risk Treatment'!$C:J),"Please ensure that all risks are covered in the "&amp;Helper!$G$14&amp;" sheet. Currently, these risks are not covered: "&amp;'Risk Treatment'!$D$2&amp;"."))</f>
        <v/>
      </c>
      <c r="I56" s="33" t="str" cm="1">
        <f t="array" aca="1" ref="I56" ca="1">IF($B56="","",IFERROR(SimpleLookup($B56,'Risk Treatment'!$C:O),"Please ensure that all risks are covered in the "&amp;Helper!$G$14&amp;" sheet. Currently, these risks are not covered: "&amp;'Risk Treatment'!$D$2&amp;"."))</f>
        <v/>
      </c>
      <c r="J56" s="33" t="str" cm="1">
        <f t="array" aca="1" ref="J56" ca="1">_xlfn.LET(
_xlpm._assignedMitigations,IF($B56="","",IFERROR(RemoveDelimiter(GetValuesWithFallback($Z56,Countermeasures!$A:$B,Assumptions!$A:$B," ",","&amp;CHAR(10),TRUE),","&amp;CHAR(10)),"Error: Unknown risk ID "&amp;$B56)),
_xlpm._inlineMitigations,$AE56,
_xlpm._assignedMitigations&amp;
IF(OR(_xlpm._assignedMitigations="",_xlpm._inlineMitigations=""),"",","&amp;CHAR(10))&amp;
_xlpm._inlineMitigations)</f>
        <v/>
      </c>
      <c r="K56" s="37" t="str" cm="1">
        <f t="array" aca="1" ref="K56" ca="1">IF($AC56=-1,"",RemoveDelimiter(GetValues(INDEX(Risks!BN:BN,$AC56),'DS Overview'!$A:$B," ",","&amp;CHAR(10),TRUE),","&amp;CHAR(10)))</f>
        <v/>
      </c>
      <c r="L56" s="33" t="str" cm="1">
        <f t="array" aca="1" ref="L56" ca="1">IF($AC56=-1,"",INDEX(Risks!BP:BP,$AC56))</f>
        <v/>
      </c>
      <c r="M56" s="34" t="str" cm="1">
        <f t="array" aca="1" ref="M56" ca="1">_xlfn.LET(
_xlpm._calculatedRAP,IFERROR(SimpleLookup($B56,Risks!$A:$BG),""),
_xlpm._inlineRAP,IFERROR(SimpleLookup($B56,Risks!$A:$BH),""),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IF(_xlpm._calculatedValue&gt;=_xlpm._inlineValue,$AD56,
_xlpm._mitigationSheetName&amp;" sheet "&amp;_xlfn.UNICHAR(8702)&amp;" Comment column:"&amp;CHAR(10)&amp;$AE56)))</f>
        <v/>
      </c>
      <c r="N56" s="33" t="str" cm="1">
        <f t="array" aca="1" ref="N56" ca="1">IF($AC56=-1,"",INDEX(Risks!CN:CN,$AC56))</f>
        <v>Basic</v>
      </c>
      <c r="O56" s="33" t="str" cm="1">
        <f t="array" aca="1" ref="O56" ca="1">IF($AC56=-1,"",INDEX(Risks!CO:CO,$AC56))</f>
        <v>No Risk</v>
      </c>
      <c r="P56" s="33" t="str">
        <f ca="1">IF($C56="","",IF($AF56&lt;=Definitions!$AF$6,Definitions!$M$4,""))</f>
        <v/>
      </c>
      <c r="Q56" s="23"/>
      <c r="R56" s="33" t="str">
        <f t="shared" ca="1" si="1"/>
        <v/>
      </c>
      <c r="S56" s="23"/>
      <c r="T56" s="13"/>
      <c r="U56" s="10" cm="1">
        <f t="array" aca="1" ref="U56" ca="1">GenerateShadowID(ROW(),$U$5,$U:$U,0,B56&lt;&gt;"")</f>
        <v>0</v>
      </c>
      <c r="V56" s="10" cm="1">
        <f t="array" ref="V56">CreateTaskID($V$5,$V:$V,Tasks!$B$17,$T56)</f>
        <v>0</v>
      </c>
      <c r="W56" s="14" t="str" cm="1">
        <f t="array" aca="1" ref="W56" ca="1">IF($B56="","",SimpleLookup($B56,'Risk Treatment'!$C:$AW))</f>
        <v/>
      </c>
      <c r="X56" s="14" t="str" cm="1">
        <f t="array" aca="1" ref="X56" ca="1">IF($B56="","",_xlfn.LET(_xlpm._attackSteps,SimpleLookup($B56,'Risk Treatment'!$C:$Y),GetValues(_xlpm._attackSteps,Mitigation!$A:$AG,"",CHAR(1),FALSE)))</f>
        <v/>
      </c>
      <c r="Y56" s="14" t="str" cm="1">
        <f t="array" aca="1" ref="Y56"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ParseInlineMitigationString(_xlpm._remainingString,_xlpm._delimiter))))($X56,CHAR(1))</f>
        <v/>
      </c>
      <c r="Z56" s="14" t="str" cm="1">
        <f t="array" aca="1" ref="Z56" ca="1">FilterElementsFromList($W56,Helper!$J$4,TRUE,",")</f>
        <v/>
      </c>
      <c r="AA56" s="14" t="str" cm="1">
        <f t="array" aca="1" ref="AA56" ca="1">FilterElementsFromList($Y56,Helper!$J$4,TRUE,",")</f>
        <v/>
      </c>
      <c r="AB56" s="20" t="str" cm="1">
        <f t="array" aca="1" ref="AB56"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CreateConfirmedInlineMitigations(_xlpm._remainingString,_xlpm._confirmedCandAIDs,_xlpm._delimiterSearchString,_xlpm._delimiterResultString))))($X56,CreateSearchString($AA56),CHAR(1),","&amp;CHAR(10))</f>
        <v/>
      </c>
      <c r="AC56" s="20">
        <f ca="1">IFERROR(MATCH($B56,Risks!$A:$A,0),-1)</f>
        <v>3</v>
      </c>
      <c r="AD56" s="20" t="str" cm="1">
        <f t="array" aca="1" ref="AD56" ca="1">IF($B56="","",_xlfn.LET(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_xlpm._factorFunction($B56,Risks!$A:CA,Definitions!$Y:$Y,Definitions!$AB:$AB,1)&amp;CHAR(10)&amp;
_xlpm._factorFunction($B56,Risks!$A:CB,Definitions!$Y:$Y,Definitions!$AB:$AB,2)&amp;CHAR(10)&amp;
_xlpm._factorFunction($B56,Risks!$A:CC,Definitions!$Y:$Y,Definitions!$AB:$AB,3)&amp;CHAR(10)&amp;
_xlpm._factorFunction($B56,Risks!$A:CD,Definitions!$Y:$Y,Definitions!$AB:$AB,4)&amp;CHAR(10)&amp;
_xlpm._factorFunction($B56,Risks!$A:CE,Definitions!$Y:$Y,Definitions!$AB:$AB,5)))</f>
        <v/>
      </c>
      <c r="AE56" s="20" t="str" cm="1">
        <f t="array" aca="1" ref="AE56" ca="1">RemoveDelimiter(SUBSTITUTE(SUBSTITUTE($AB56,"{",""),"}",""),","&amp;CHAR(10))</f>
        <v/>
      </c>
      <c r="AF56" s="20" cm="1">
        <f t="array" aca="1" ref="AF56" ca="1">IF($O56="",0,SimpleLookup($O56,Definitions!$AE:$AF))</f>
        <v>0</v>
      </c>
    </row>
    <row r="57" spans="2:32" x14ac:dyDescent="0.25">
      <c r="B57" s="16" t="str">
        <f ca="1">OFFSET(Risks!$A$2,ROW()-ROW($B$5),0)</f>
        <v/>
      </c>
      <c r="C57" s="33" t="str" cm="1">
        <f t="array" aca="1" ref="C57" ca="1">IF($B57="","",IFERROR(SimpleLookup($B57,'Risk Treatment'!$C:D),"Please ensure that all risks are covered in the "&amp;Helper!$G$14&amp;" sheet. Currently, these risks are not covered: "&amp;'Risk Treatment'!$D$2&amp;"."))</f>
        <v/>
      </c>
      <c r="D57" s="37" t="str" cm="1">
        <f t="array" aca="1" ref="D57" ca="1">IF($B57="","",IFERROR(SimpleLookup($B57,'Risk Treatment'!$C:K),"Please ensure that all risks are covered in the "&amp;Helper!$G$14&amp;" sheet. Currently, these risks are not covered: "&amp;'Risk Treatment'!$D$2&amp;"."))</f>
        <v/>
      </c>
      <c r="E57" s="16" t="str" cm="1">
        <f t="array" aca="1" ref="E57" ca="1">IF($B57="","",IFERROR(SimpleLookup($B57,'Risk Treatment'!$C:L),"Please ensure that all risks are covered in the "&amp;Helper!$G$14&amp;" sheet. Currently, these risks are not covered: "&amp;'Risk Treatment'!$D$2&amp;"."))</f>
        <v/>
      </c>
      <c r="F57" s="34" t="str" cm="1">
        <f t="array" aca="1" ref="F57" ca="1">IF($B57="","",IFERROR(SimpleLookup($B57,'Risk Treatment'!$C:M),"Please ensure that all risks are covered in the "&amp;Helper!$G$14&amp;" sheet. Currently, these risks are not covered: "&amp;'Risk Treatment'!$D$2&amp;"."))</f>
        <v/>
      </c>
      <c r="G57" s="16" t="str" cm="1">
        <f t="array" aca="1" ref="G57" ca="1">IF($B57="","",IFERROR(SimpleLookup($B57,'Risk Treatment'!$C:N),"Please ensure that all risks are covered in the "&amp;Helper!$G$14&amp;" sheet. Currently, these risks are not covered: "&amp;'Risk Treatment'!$D$2&amp;"."))</f>
        <v/>
      </c>
      <c r="H57" s="16" t="str" cm="1">
        <f t="array" aca="1" ref="H57" ca="1">IF($B57="","",IFERROR(SimpleLookup($B57,'Risk Treatment'!$C:J),"Please ensure that all risks are covered in the "&amp;Helper!$G$14&amp;" sheet. Currently, these risks are not covered: "&amp;'Risk Treatment'!$D$2&amp;"."))</f>
        <v/>
      </c>
      <c r="I57" s="33" t="str" cm="1">
        <f t="array" aca="1" ref="I57" ca="1">IF($B57="","",IFERROR(SimpleLookup($B57,'Risk Treatment'!$C:O),"Please ensure that all risks are covered in the "&amp;Helper!$G$14&amp;" sheet. Currently, these risks are not covered: "&amp;'Risk Treatment'!$D$2&amp;"."))</f>
        <v/>
      </c>
      <c r="J57" s="33" t="str" cm="1">
        <f t="array" aca="1" ref="J57" ca="1">_xlfn.LET(
_xlpm._assignedMitigations,IF($B57="","",IFERROR(RemoveDelimiter(GetValuesWithFallback($Z57,Countermeasures!$A:$B,Assumptions!$A:$B," ",","&amp;CHAR(10),TRUE),","&amp;CHAR(10)),"Error: Unknown risk ID "&amp;$B57)),
_xlpm._inlineMitigations,$AE57,
_xlpm._assignedMitigations&amp;
IF(OR(_xlpm._assignedMitigations="",_xlpm._inlineMitigations=""),"",","&amp;CHAR(10))&amp;
_xlpm._inlineMitigations)</f>
        <v/>
      </c>
      <c r="K57" s="37" t="str" cm="1">
        <f t="array" aca="1" ref="K57" ca="1">IF($AC57=-1,"",RemoveDelimiter(GetValues(INDEX(Risks!BN:BN,$AC57),'DS Overview'!$A:$B," ",","&amp;CHAR(10),TRUE),","&amp;CHAR(10)))</f>
        <v/>
      </c>
      <c r="L57" s="33" t="str" cm="1">
        <f t="array" aca="1" ref="L57" ca="1">IF($AC57=-1,"",INDEX(Risks!BP:BP,$AC57))</f>
        <v/>
      </c>
      <c r="M57" s="34" t="str" cm="1">
        <f t="array" aca="1" ref="M57" ca="1">_xlfn.LET(
_xlpm._calculatedRAP,IFERROR(SimpleLookup($B57,Risks!$A:$BG),""),
_xlpm._inlineRAP,IFERROR(SimpleLookup($B57,Risks!$A:$BH),""),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IF(_xlpm._calculatedValue&gt;=_xlpm._inlineValue,$AD57,
_xlpm._mitigationSheetName&amp;" sheet "&amp;_xlfn.UNICHAR(8702)&amp;" Comment column:"&amp;CHAR(10)&amp;$AE57)))</f>
        <v/>
      </c>
      <c r="N57" s="33" t="str" cm="1">
        <f t="array" aca="1" ref="N57" ca="1">IF($AC57=-1,"",INDEX(Risks!CN:CN,$AC57))</f>
        <v>Basic</v>
      </c>
      <c r="O57" s="33" t="str" cm="1">
        <f t="array" aca="1" ref="O57" ca="1">IF($AC57=-1,"",INDEX(Risks!CO:CO,$AC57))</f>
        <v>No Risk</v>
      </c>
      <c r="P57" s="33" t="str">
        <f ca="1">IF($C57="","",IF($AF57&lt;=Definitions!$AF$6,Definitions!$M$4,""))</f>
        <v/>
      </c>
      <c r="Q57" s="23"/>
      <c r="R57" s="33" t="str">
        <f t="shared" ca="1" si="1"/>
        <v/>
      </c>
      <c r="S57" s="23"/>
      <c r="T57" s="13"/>
      <c r="U57" s="10" cm="1">
        <f t="array" aca="1" ref="U57" ca="1">GenerateShadowID(ROW(),$U$5,$U:$U,0,B57&lt;&gt;"")</f>
        <v>0</v>
      </c>
      <c r="V57" s="10" cm="1">
        <f t="array" ref="V57">CreateTaskID($V$5,$V:$V,Tasks!$B$17,$T57)</f>
        <v>0</v>
      </c>
      <c r="W57" s="14" t="str" cm="1">
        <f t="array" aca="1" ref="W57" ca="1">IF($B57="","",SimpleLookup($B57,'Risk Treatment'!$C:$AW))</f>
        <v/>
      </c>
      <c r="X57" s="14" t="str" cm="1">
        <f t="array" aca="1" ref="X57" ca="1">IF($B57="","",_xlfn.LET(_xlpm._attackSteps,SimpleLookup($B57,'Risk Treatment'!$C:$Y),GetValues(_xlpm._attackSteps,Mitigation!$A:$AG,"",CHAR(1),FALSE)))</f>
        <v/>
      </c>
      <c r="Y57" s="14" t="str" cm="1">
        <f t="array" aca="1" ref="Y57"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ParseInlineMitigationString(_xlpm._remainingString,_xlpm._delimiter))))($X57,CHAR(1))</f>
        <v/>
      </c>
      <c r="Z57" s="14" t="str" cm="1">
        <f t="array" aca="1" ref="Z57" ca="1">FilterElementsFromList($W57,Helper!$J$4,TRUE,",")</f>
        <v/>
      </c>
      <c r="AA57" s="14" t="str" cm="1">
        <f t="array" aca="1" ref="AA57" ca="1">FilterElementsFromList($Y57,Helper!$J$4,TRUE,",")</f>
        <v/>
      </c>
      <c r="AB57" s="20" t="str" cm="1">
        <f t="array" aca="1" ref="AB57"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CreateConfirmedInlineMitigations(_xlpm._remainingString,_xlpm._confirmedCandAIDs,_xlpm._delimiterSearchString,_xlpm._delimiterResultString))))($X57,CreateSearchString($AA57),CHAR(1),","&amp;CHAR(10))</f>
        <v/>
      </c>
      <c r="AC57" s="20">
        <f ca="1">IFERROR(MATCH($B57,Risks!$A:$A,0),-1)</f>
        <v>3</v>
      </c>
      <c r="AD57" s="20" t="str" cm="1">
        <f t="array" aca="1" ref="AD57" ca="1">IF($B57="","",_xlfn.LET(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_xlpm._factorFunction($B57,Risks!$A:CA,Definitions!$Y:$Y,Definitions!$AB:$AB,1)&amp;CHAR(10)&amp;
_xlpm._factorFunction($B57,Risks!$A:CB,Definitions!$Y:$Y,Definitions!$AB:$AB,2)&amp;CHAR(10)&amp;
_xlpm._factorFunction($B57,Risks!$A:CC,Definitions!$Y:$Y,Definitions!$AB:$AB,3)&amp;CHAR(10)&amp;
_xlpm._factorFunction($B57,Risks!$A:CD,Definitions!$Y:$Y,Definitions!$AB:$AB,4)&amp;CHAR(10)&amp;
_xlpm._factorFunction($B57,Risks!$A:CE,Definitions!$Y:$Y,Definitions!$AB:$AB,5)))</f>
        <v/>
      </c>
      <c r="AE57" s="20" t="str" cm="1">
        <f t="array" aca="1" ref="AE57" ca="1">RemoveDelimiter(SUBSTITUTE(SUBSTITUTE($AB57,"{",""),"}",""),","&amp;CHAR(10))</f>
        <v/>
      </c>
      <c r="AF57" s="20" cm="1">
        <f t="array" aca="1" ref="AF57" ca="1">IF($O57="",0,SimpleLookup($O57,Definitions!$AE:$AF))</f>
        <v>0</v>
      </c>
    </row>
    <row r="58" spans="2:32" x14ac:dyDescent="0.25">
      <c r="B58" s="16" t="str">
        <f ca="1">OFFSET(Risks!$A$2,ROW()-ROW($B$5),0)</f>
        <v/>
      </c>
      <c r="C58" s="33" t="str" cm="1">
        <f t="array" aca="1" ref="C58" ca="1">IF($B58="","",IFERROR(SimpleLookup($B58,'Risk Treatment'!$C:D),"Please ensure that all risks are covered in the "&amp;Helper!$G$14&amp;" sheet. Currently, these risks are not covered: "&amp;'Risk Treatment'!$D$2&amp;"."))</f>
        <v/>
      </c>
      <c r="D58" s="37" t="str" cm="1">
        <f t="array" aca="1" ref="D58" ca="1">IF($B58="","",IFERROR(SimpleLookup($B58,'Risk Treatment'!$C:K),"Please ensure that all risks are covered in the "&amp;Helper!$G$14&amp;" sheet. Currently, these risks are not covered: "&amp;'Risk Treatment'!$D$2&amp;"."))</f>
        <v/>
      </c>
      <c r="E58" s="16" t="str" cm="1">
        <f t="array" aca="1" ref="E58" ca="1">IF($B58="","",IFERROR(SimpleLookup($B58,'Risk Treatment'!$C:L),"Please ensure that all risks are covered in the "&amp;Helper!$G$14&amp;" sheet. Currently, these risks are not covered: "&amp;'Risk Treatment'!$D$2&amp;"."))</f>
        <v/>
      </c>
      <c r="F58" s="34" t="str" cm="1">
        <f t="array" aca="1" ref="F58" ca="1">IF($B58="","",IFERROR(SimpleLookup($B58,'Risk Treatment'!$C:M),"Please ensure that all risks are covered in the "&amp;Helper!$G$14&amp;" sheet. Currently, these risks are not covered: "&amp;'Risk Treatment'!$D$2&amp;"."))</f>
        <v/>
      </c>
      <c r="G58" s="16" t="str" cm="1">
        <f t="array" aca="1" ref="G58" ca="1">IF($B58="","",IFERROR(SimpleLookup($B58,'Risk Treatment'!$C:N),"Please ensure that all risks are covered in the "&amp;Helper!$G$14&amp;" sheet. Currently, these risks are not covered: "&amp;'Risk Treatment'!$D$2&amp;"."))</f>
        <v/>
      </c>
      <c r="H58" s="16" t="str" cm="1">
        <f t="array" aca="1" ref="H58" ca="1">IF($B58="","",IFERROR(SimpleLookup($B58,'Risk Treatment'!$C:J),"Please ensure that all risks are covered in the "&amp;Helper!$G$14&amp;" sheet. Currently, these risks are not covered: "&amp;'Risk Treatment'!$D$2&amp;"."))</f>
        <v/>
      </c>
      <c r="I58" s="33" t="str" cm="1">
        <f t="array" aca="1" ref="I58" ca="1">IF($B58="","",IFERROR(SimpleLookup($B58,'Risk Treatment'!$C:O),"Please ensure that all risks are covered in the "&amp;Helper!$G$14&amp;" sheet. Currently, these risks are not covered: "&amp;'Risk Treatment'!$D$2&amp;"."))</f>
        <v/>
      </c>
      <c r="J58" s="33" t="str" cm="1">
        <f t="array" aca="1" ref="J58" ca="1">_xlfn.LET(
_xlpm._assignedMitigations,IF($B58="","",IFERROR(RemoveDelimiter(GetValuesWithFallback($Z58,Countermeasures!$A:$B,Assumptions!$A:$B," ",","&amp;CHAR(10),TRUE),","&amp;CHAR(10)),"Error: Unknown risk ID "&amp;$B58)),
_xlpm._inlineMitigations,$AE58,
_xlpm._assignedMitigations&amp;
IF(OR(_xlpm._assignedMitigations="",_xlpm._inlineMitigations=""),"",","&amp;CHAR(10))&amp;
_xlpm._inlineMitigations)</f>
        <v/>
      </c>
      <c r="K58" s="37" t="str" cm="1">
        <f t="array" aca="1" ref="K58" ca="1">IF($AC58=-1,"",RemoveDelimiter(GetValues(INDEX(Risks!BN:BN,$AC58),'DS Overview'!$A:$B," ",","&amp;CHAR(10),TRUE),","&amp;CHAR(10)))</f>
        <v/>
      </c>
      <c r="L58" s="33" t="str" cm="1">
        <f t="array" aca="1" ref="L58" ca="1">IF($AC58=-1,"",INDEX(Risks!BP:BP,$AC58))</f>
        <v/>
      </c>
      <c r="M58" s="34" t="str" cm="1">
        <f t="array" aca="1" ref="M58" ca="1">_xlfn.LET(
_xlpm._calculatedRAP,IFERROR(SimpleLookup($B58,Risks!$A:$BG),""),
_xlpm._inlineRAP,IFERROR(SimpleLookup($B58,Risks!$A:$BH),""),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IF(_xlpm._calculatedValue&gt;=_xlpm._inlineValue,$AD58,
_xlpm._mitigationSheetName&amp;" sheet "&amp;_xlfn.UNICHAR(8702)&amp;" Comment column:"&amp;CHAR(10)&amp;$AE58)))</f>
        <v/>
      </c>
      <c r="N58" s="33" t="str" cm="1">
        <f t="array" aca="1" ref="N58" ca="1">IF($AC58=-1,"",INDEX(Risks!CN:CN,$AC58))</f>
        <v>Basic</v>
      </c>
      <c r="O58" s="33" t="str" cm="1">
        <f t="array" aca="1" ref="O58" ca="1">IF($AC58=-1,"",INDEX(Risks!CO:CO,$AC58))</f>
        <v>No Risk</v>
      </c>
      <c r="P58" s="33" t="str">
        <f ca="1">IF($C58="","",IF($AF58&lt;=Definitions!$AF$6,Definitions!$M$4,""))</f>
        <v/>
      </c>
      <c r="Q58" s="23"/>
      <c r="R58" s="33" t="str">
        <f t="shared" ca="1" si="1"/>
        <v/>
      </c>
      <c r="S58" s="23"/>
      <c r="T58" s="13"/>
      <c r="U58" s="10" cm="1">
        <f t="array" aca="1" ref="U58" ca="1">GenerateShadowID(ROW(),$U$5,$U:$U,0,B58&lt;&gt;"")</f>
        <v>0</v>
      </c>
      <c r="V58" s="10" cm="1">
        <f t="array" ref="V58">CreateTaskID($V$5,$V:$V,Tasks!$B$17,$T58)</f>
        <v>0</v>
      </c>
      <c r="W58" s="14" t="str" cm="1">
        <f t="array" aca="1" ref="W58" ca="1">IF($B58="","",SimpleLookup($B58,'Risk Treatment'!$C:$AW))</f>
        <v/>
      </c>
      <c r="X58" s="14" t="str" cm="1">
        <f t="array" aca="1" ref="X58" ca="1">IF($B58="","",_xlfn.LET(_xlpm._attackSteps,SimpleLookup($B58,'Risk Treatment'!$C:$Y),GetValues(_xlpm._attackSteps,Mitigation!$A:$AG,"",CHAR(1),FALSE)))</f>
        <v/>
      </c>
      <c r="Y58" s="14" t="str" cm="1">
        <f t="array" aca="1" ref="Y58"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ParseInlineMitigationString(_xlpm._remainingString,_xlpm._delimiter))))($X58,CHAR(1))</f>
        <v/>
      </c>
      <c r="Z58" s="14" t="str" cm="1">
        <f t="array" aca="1" ref="Z58" ca="1">FilterElementsFromList($W58,Helper!$J$4,TRUE,",")</f>
        <v/>
      </c>
      <c r="AA58" s="14" t="str" cm="1">
        <f t="array" aca="1" ref="AA58" ca="1">FilterElementsFromList($Y58,Helper!$J$4,TRUE,",")</f>
        <v/>
      </c>
      <c r="AB58" s="20" t="str" cm="1">
        <f t="array" aca="1" ref="AB58"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CreateConfirmedInlineMitigations(_xlpm._remainingString,_xlpm._confirmedCandAIDs,_xlpm._delimiterSearchString,_xlpm._delimiterResultString))))($X58,CreateSearchString($AA58),CHAR(1),","&amp;CHAR(10))</f>
        <v/>
      </c>
      <c r="AC58" s="20">
        <f ca="1">IFERROR(MATCH($B58,Risks!$A:$A,0),-1)</f>
        <v>3</v>
      </c>
      <c r="AD58" s="20" t="str" cm="1">
        <f t="array" aca="1" ref="AD58" ca="1">IF($B58="","",_xlfn.LET(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_xlpm._factorFunction($B58,Risks!$A:CA,Definitions!$Y:$Y,Definitions!$AB:$AB,1)&amp;CHAR(10)&amp;
_xlpm._factorFunction($B58,Risks!$A:CB,Definitions!$Y:$Y,Definitions!$AB:$AB,2)&amp;CHAR(10)&amp;
_xlpm._factorFunction($B58,Risks!$A:CC,Definitions!$Y:$Y,Definitions!$AB:$AB,3)&amp;CHAR(10)&amp;
_xlpm._factorFunction($B58,Risks!$A:CD,Definitions!$Y:$Y,Definitions!$AB:$AB,4)&amp;CHAR(10)&amp;
_xlpm._factorFunction($B58,Risks!$A:CE,Definitions!$Y:$Y,Definitions!$AB:$AB,5)))</f>
        <v/>
      </c>
      <c r="AE58" s="20" t="str" cm="1">
        <f t="array" aca="1" ref="AE58" ca="1">RemoveDelimiter(SUBSTITUTE(SUBSTITUTE($AB58,"{",""),"}",""),","&amp;CHAR(10))</f>
        <v/>
      </c>
      <c r="AF58" s="20" cm="1">
        <f t="array" aca="1" ref="AF58" ca="1">IF($O58="",0,SimpleLookup($O58,Definitions!$AE:$AF))</f>
        <v>0</v>
      </c>
    </row>
    <row r="59" spans="2:32" x14ac:dyDescent="0.25">
      <c r="B59" s="16" t="str">
        <f ca="1">OFFSET(Risks!$A$2,ROW()-ROW($B$5),0)</f>
        <v/>
      </c>
      <c r="C59" s="33" t="str" cm="1">
        <f t="array" aca="1" ref="C59" ca="1">IF($B59="","",IFERROR(SimpleLookup($B59,'Risk Treatment'!$C:D),"Please ensure that all risks are covered in the "&amp;Helper!$G$14&amp;" sheet. Currently, these risks are not covered: "&amp;'Risk Treatment'!$D$2&amp;"."))</f>
        <v/>
      </c>
      <c r="D59" s="37" t="str" cm="1">
        <f t="array" aca="1" ref="D59" ca="1">IF($B59="","",IFERROR(SimpleLookup($B59,'Risk Treatment'!$C:K),"Please ensure that all risks are covered in the "&amp;Helper!$G$14&amp;" sheet. Currently, these risks are not covered: "&amp;'Risk Treatment'!$D$2&amp;"."))</f>
        <v/>
      </c>
      <c r="E59" s="16" t="str" cm="1">
        <f t="array" aca="1" ref="E59" ca="1">IF($B59="","",IFERROR(SimpleLookup($B59,'Risk Treatment'!$C:L),"Please ensure that all risks are covered in the "&amp;Helper!$G$14&amp;" sheet. Currently, these risks are not covered: "&amp;'Risk Treatment'!$D$2&amp;"."))</f>
        <v/>
      </c>
      <c r="F59" s="34" t="str" cm="1">
        <f t="array" aca="1" ref="F59" ca="1">IF($B59="","",IFERROR(SimpleLookup($B59,'Risk Treatment'!$C:M),"Please ensure that all risks are covered in the "&amp;Helper!$G$14&amp;" sheet. Currently, these risks are not covered: "&amp;'Risk Treatment'!$D$2&amp;"."))</f>
        <v/>
      </c>
      <c r="G59" s="16" t="str" cm="1">
        <f t="array" aca="1" ref="G59" ca="1">IF($B59="","",IFERROR(SimpleLookup($B59,'Risk Treatment'!$C:N),"Please ensure that all risks are covered in the "&amp;Helper!$G$14&amp;" sheet. Currently, these risks are not covered: "&amp;'Risk Treatment'!$D$2&amp;"."))</f>
        <v/>
      </c>
      <c r="H59" s="16" t="str" cm="1">
        <f t="array" aca="1" ref="H59" ca="1">IF($B59="","",IFERROR(SimpleLookup($B59,'Risk Treatment'!$C:J),"Please ensure that all risks are covered in the "&amp;Helper!$G$14&amp;" sheet. Currently, these risks are not covered: "&amp;'Risk Treatment'!$D$2&amp;"."))</f>
        <v/>
      </c>
      <c r="I59" s="33" t="str" cm="1">
        <f t="array" aca="1" ref="I59" ca="1">IF($B59="","",IFERROR(SimpleLookup($B59,'Risk Treatment'!$C:O),"Please ensure that all risks are covered in the "&amp;Helper!$G$14&amp;" sheet. Currently, these risks are not covered: "&amp;'Risk Treatment'!$D$2&amp;"."))</f>
        <v/>
      </c>
      <c r="J59" s="33" t="str" cm="1">
        <f t="array" aca="1" ref="J59" ca="1">_xlfn.LET(
_xlpm._assignedMitigations,IF($B59="","",IFERROR(RemoveDelimiter(GetValuesWithFallback($Z59,Countermeasures!$A:$B,Assumptions!$A:$B," ",","&amp;CHAR(10),TRUE),","&amp;CHAR(10)),"Error: Unknown risk ID "&amp;$B59)),
_xlpm._inlineMitigations,$AE59,
_xlpm._assignedMitigations&amp;
IF(OR(_xlpm._assignedMitigations="",_xlpm._inlineMitigations=""),"",","&amp;CHAR(10))&amp;
_xlpm._inlineMitigations)</f>
        <v/>
      </c>
      <c r="K59" s="37" t="str" cm="1">
        <f t="array" aca="1" ref="K59" ca="1">IF($AC59=-1,"",RemoveDelimiter(GetValues(INDEX(Risks!BN:BN,$AC59),'DS Overview'!$A:$B," ",","&amp;CHAR(10),TRUE),","&amp;CHAR(10)))</f>
        <v/>
      </c>
      <c r="L59" s="33" t="str" cm="1">
        <f t="array" aca="1" ref="L59" ca="1">IF($AC59=-1,"",INDEX(Risks!BP:BP,$AC59))</f>
        <v/>
      </c>
      <c r="M59" s="34" t="str" cm="1">
        <f t="array" aca="1" ref="M59" ca="1">_xlfn.LET(
_xlpm._calculatedRAP,IFERROR(SimpleLookup($B59,Risks!$A:$BG),""),
_xlpm._inlineRAP,IFERROR(SimpleLookup($B59,Risks!$A:$BH),""),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IF(_xlpm._calculatedValue&gt;=_xlpm._inlineValue,$AD59,
_xlpm._mitigationSheetName&amp;" sheet "&amp;_xlfn.UNICHAR(8702)&amp;" Comment column:"&amp;CHAR(10)&amp;$AE59)))</f>
        <v/>
      </c>
      <c r="N59" s="33" t="str" cm="1">
        <f t="array" aca="1" ref="N59" ca="1">IF($AC59=-1,"",INDEX(Risks!CN:CN,$AC59))</f>
        <v>Basic</v>
      </c>
      <c r="O59" s="33" t="str" cm="1">
        <f t="array" aca="1" ref="O59" ca="1">IF($AC59=-1,"",INDEX(Risks!CO:CO,$AC59))</f>
        <v>No Risk</v>
      </c>
      <c r="P59" s="33" t="str">
        <f ca="1">IF($C59="","",IF($AF59&lt;=Definitions!$AF$6,Definitions!$M$4,""))</f>
        <v/>
      </c>
      <c r="Q59" s="23"/>
      <c r="R59" s="33" t="str">
        <f t="shared" ca="1" si="1"/>
        <v/>
      </c>
      <c r="S59" s="23"/>
      <c r="T59" s="13"/>
      <c r="U59" s="10" cm="1">
        <f t="array" aca="1" ref="U59" ca="1">GenerateShadowID(ROW(),$U$5,$U:$U,0,B59&lt;&gt;"")</f>
        <v>0</v>
      </c>
      <c r="V59" s="10" cm="1">
        <f t="array" ref="V59">CreateTaskID($V$5,$V:$V,Tasks!$B$17,$T59)</f>
        <v>0</v>
      </c>
      <c r="W59" s="14" t="str" cm="1">
        <f t="array" aca="1" ref="W59" ca="1">IF($B59="","",SimpleLookup($B59,'Risk Treatment'!$C:$AW))</f>
        <v/>
      </c>
      <c r="X59" s="14" t="str" cm="1">
        <f t="array" aca="1" ref="X59" ca="1">IF($B59="","",_xlfn.LET(_xlpm._attackSteps,SimpleLookup($B59,'Risk Treatment'!$C:$Y),GetValues(_xlpm._attackSteps,Mitigation!$A:$AG,"",CHAR(1),FALSE)))</f>
        <v/>
      </c>
      <c r="Y59" s="14" t="str" cm="1">
        <f t="array" aca="1" ref="Y59"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ParseInlineMitigationString(_xlpm._remainingString,_xlpm._delimiter))))($X59,CHAR(1))</f>
        <v/>
      </c>
      <c r="Z59" s="14" t="str" cm="1">
        <f t="array" aca="1" ref="Z59" ca="1">FilterElementsFromList($W59,Helper!$J$4,TRUE,",")</f>
        <v/>
      </c>
      <c r="AA59" s="14" t="str" cm="1">
        <f t="array" aca="1" ref="AA59" ca="1">FilterElementsFromList($Y59,Helper!$J$4,TRUE,",")</f>
        <v/>
      </c>
      <c r="AB59" s="20" t="str" cm="1">
        <f t="array" aca="1" ref="AB59"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CreateConfirmedInlineMitigations(_xlpm._remainingString,_xlpm._confirmedCandAIDs,_xlpm._delimiterSearchString,_xlpm._delimiterResultString))))($X59,CreateSearchString($AA59),CHAR(1),","&amp;CHAR(10))</f>
        <v/>
      </c>
      <c r="AC59" s="20">
        <f ca="1">IFERROR(MATCH($B59,Risks!$A:$A,0),-1)</f>
        <v>3</v>
      </c>
      <c r="AD59" s="20" t="str" cm="1">
        <f t="array" aca="1" ref="AD59" ca="1">IF($B59="","",_xlfn.LET(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_xlpm._factorFunction($B59,Risks!$A:CA,Definitions!$Y:$Y,Definitions!$AB:$AB,1)&amp;CHAR(10)&amp;
_xlpm._factorFunction($B59,Risks!$A:CB,Definitions!$Y:$Y,Definitions!$AB:$AB,2)&amp;CHAR(10)&amp;
_xlpm._factorFunction($B59,Risks!$A:CC,Definitions!$Y:$Y,Definitions!$AB:$AB,3)&amp;CHAR(10)&amp;
_xlpm._factorFunction($B59,Risks!$A:CD,Definitions!$Y:$Y,Definitions!$AB:$AB,4)&amp;CHAR(10)&amp;
_xlpm._factorFunction($B59,Risks!$A:CE,Definitions!$Y:$Y,Definitions!$AB:$AB,5)))</f>
        <v/>
      </c>
      <c r="AE59" s="20" t="str" cm="1">
        <f t="array" aca="1" ref="AE59" ca="1">RemoveDelimiter(SUBSTITUTE(SUBSTITUTE($AB59,"{",""),"}",""),","&amp;CHAR(10))</f>
        <v/>
      </c>
      <c r="AF59" s="20" cm="1">
        <f t="array" aca="1" ref="AF59" ca="1">IF($O59="",0,SimpleLookup($O59,Definitions!$AE:$AF))</f>
        <v>0</v>
      </c>
    </row>
    <row r="60" spans="2:32" x14ac:dyDescent="0.25">
      <c r="B60" s="16" t="str">
        <f ca="1">OFFSET(Risks!$A$2,ROW()-ROW($B$5),0)</f>
        <v/>
      </c>
      <c r="C60" s="33" t="str" cm="1">
        <f t="array" aca="1" ref="C60" ca="1">IF($B60="","",IFERROR(SimpleLookup($B60,'Risk Treatment'!$C:D),"Please ensure that all risks are covered in the "&amp;Helper!$G$14&amp;" sheet. Currently, these risks are not covered: "&amp;'Risk Treatment'!$D$2&amp;"."))</f>
        <v/>
      </c>
      <c r="D60" s="37" t="str" cm="1">
        <f t="array" aca="1" ref="D60" ca="1">IF($B60="","",IFERROR(SimpleLookup($B60,'Risk Treatment'!$C:K),"Please ensure that all risks are covered in the "&amp;Helper!$G$14&amp;" sheet. Currently, these risks are not covered: "&amp;'Risk Treatment'!$D$2&amp;"."))</f>
        <v/>
      </c>
      <c r="E60" s="16" t="str" cm="1">
        <f t="array" aca="1" ref="E60" ca="1">IF($B60="","",IFERROR(SimpleLookup($B60,'Risk Treatment'!$C:L),"Please ensure that all risks are covered in the "&amp;Helper!$G$14&amp;" sheet. Currently, these risks are not covered: "&amp;'Risk Treatment'!$D$2&amp;"."))</f>
        <v/>
      </c>
      <c r="F60" s="34" t="str" cm="1">
        <f t="array" aca="1" ref="F60" ca="1">IF($B60="","",IFERROR(SimpleLookup($B60,'Risk Treatment'!$C:M),"Please ensure that all risks are covered in the "&amp;Helper!$G$14&amp;" sheet. Currently, these risks are not covered: "&amp;'Risk Treatment'!$D$2&amp;"."))</f>
        <v/>
      </c>
      <c r="G60" s="16" t="str" cm="1">
        <f t="array" aca="1" ref="G60" ca="1">IF($B60="","",IFERROR(SimpleLookup($B60,'Risk Treatment'!$C:N),"Please ensure that all risks are covered in the "&amp;Helper!$G$14&amp;" sheet. Currently, these risks are not covered: "&amp;'Risk Treatment'!$D$2&amp;"."))</f>
        <v/>
      </c>
      <c r="H60" s="16" t="str" cm="1">
        <f t="array" aca="1" ref="H60" ca="1">IF($B60="","",IFERROR(SimpleLookup($B60,'Risk Treatment'!$C:J),"Please ensure that all risks are covered in the "&amp;Helper!$G$14&amp;" sheet. Currently, these risks are not covered: "&amp;'Risk Treatment'!$D$2&amp;"."))</f>
        <v/>
      </c>
      <c r="I60" s="33" t="str" cm="1">
        <f t="array" aca="1" ref="I60" ca="1">IF($B60="","",IFERROR(SimpleLookup($B60,'Risk Treatment'!$C:O),"Please ensure that all risks are covered in the "&amp;Helper!$G$14&amp;" sheet. Currently, these risks are not covered: "&amp;'Risk Treatment'!$D$2&amp;"."))</f>
        <v/>
      </c>
      <c r="J60" s="33" t="str" cm="1">
        <f t="array" aca="1" ref="J60" ca="1">_xlfn.LET(
_xlpm._assignedMitigations,IF($B60="","",IFERROR(RemoveDelimiter(GetValuesWithFallback($Z60,Countermeasures!$A:$B,Assumptions!$A:$B," ",","&amp;CHAR(10),TRUE),","&amp;CHAR(10)),"Error: Unknown risk ID "&amp;$B60)),
_xlpm._inlineMitigations,$AE60,
_xlpm._assignedMitigations&amp;
IF(OR(_xlpm._assignedMitigations="",_xlpm._inlineMitigations=""),"",","&amp;CHAR(10))&amp;
_xlpm._inlineMitigations)</f>
        <v/>
      </c>
      <c r="K60" s="37" t="str" cm="1">
        <f t="array" aca="1" ref="K60" ca="1">IF($AC60=-1,"",RemoveDelimiter(GetValues(INDEX(Risks!BN:BN,$AC60),'DS Overview'!$A:$B," ",","&amp;CHAR(10),TRUE),","&amp;CHAR(10)))</f>
        <v/>
      </c>
      <c r="L60" s="33" t="str" cm="1">
        <f t="array" aca="1" ref="L60" ca="1">IF($AC60=-1,"",INDEX(Risks!BP:BP,$AC60))</f>
        <v/>
      </c>
      <c r="M60" s="34" t="str" cm="1">
        <f t="array" aca="1" ref="M60" ca="1">_xlfn.LET(
_xlpm._calculatedRAP,IFERROR(SimpleLookup($B60,Risks!$A:$BG),""),
_xlpm._inlineRAP,IFERROR(SimpleLookup($B60,Risks!$A:$BH),""),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IF(_xlpm._calculatedValue&gt;=_xlpm._inlineValue,$AD60,
_xlpm._mitigationSheetName&amp;" sheet "&amp;_xlfn.UNICHAR(8702)&amp;" Comment column:"&amp;CHAR(10)&amp;$AE60)))</f>
        <v/>
      </c>
      <c r="N60" s="33" t="str" cm="1">
        <f t="array" aca="1" ref="N60" ca="1">IF($AC60=-1,"",INDEX(Risks!CN:CN,$AC60))</f>
        <v>Basic</v>
      </c>
      <c r="O60" s="33" t="str" cm="1">
        <f t="array" aca="1" ref="O60" ca="1">IF($AC60=-1,"",INDEX(Risks!CO:CO,$AC60))</f>
        <v>No Risk</v>
      </c>
      <c r="P60" s="33" t="str">
        <f ca="1">IF($C60="","",IF($AF60&lt;=Definitions!$AF$6,Definitions!$M$4,""))</f>
        <v/>
      </c>
      <c r="Q60" s="23"/>
      <c r="R60" s="33" t="str">
        <f t="shared" ca="1" si="1"/>
        <v/>
      </c>
      <c r="S60" s="23"/>
      <c r="T60" s="13"/>
      <c r="U60" s="10" cm="1">
        <f t="array" aca="1" ref="U60" ca="1">GenerateShadowID(ROW(),$U$5,$U:$U,0,B60&lt;&gt;"")</f>
        <v>0</v>
      </c>
      <c r="V60" s="10" cm="1">
        <f t="array" ref="V60">CreateTaskID($V$5,$V:$V,Tasks!$B$17,$T60)</f>
        <v>0</v>
      </c>
      <c r="W60" s="14" t="str" cm="1">
        <f t="array" aca="1" ref="W60" ca="1">IF($B60="","",SimpleLookup($B60,'Risk Treatment'!$C:$AW))</f>
        <v/>
      </c>
      <c r="X60" s="14" t="str" cm="1">
        <f t="array" aca="1" ref="X60" ca="1">IF($B60="","",_xlfn.LET(_xlpm._attackSteps,SimpleLookup($B60,'Risk Treatment'!$C:$Y),GetValues(_xlpm._attackSteps,Mitigation!$A:$AG,"",CHAR(1),FALSE)))</f>
        <v/>
      </c>
      <c r="Y60" s="14" t="str" cm="1">
        <f t="array" aca="1" ref="Y60"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ParseInlineMitigationString(_xlpm._remainingString,_xlpm._delimiter))))($X60,CHAR(1))</f>
        <v/>
      </c>
      <c r="Z60" s="14" t="str" cm="1">
        <f t="array" aca="1" ref="Z60" ca="1">FilterElementsFromList($W60,Helper!$J$4,TRUE,",")</f>
        <v/>
      </c>
      <c r="AA60" s="14" t="str" cm="1">
        <f t="array" aca="1" ref="AA60" ca="1">FilterElementsFromList($Y60,Helper!$J$4,TRUE,",")</f>
        <v/>
      </c>
      <c r="AB60" s="20" t="str" cm="1">
        <f t="array" aca="1" ref="AB60"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CreateConfirmedInlineMitigations(_xlpm._remainingString,_xlpm._confirmedCandAIDs,_xlpm._delimiterSearchString,_xlpm._delimiterResultString))))($X60,CreateSearchString($AA60),CHAR(1),","&amp;CHAR(10))</f>
        <v/>
      </c>
      <c r="AC60" s="20">
        <f ca="1">IFERROR(MATCH($B60,Risks!$A:$A,0),-1)</f>
        <v>3</v>
      </c>
      <c r="AD60" s="20" t="str" cm="1">
        <f t="array" aca="1" ref="AD60" ca="1">IF($B60="","",_xlfn.LET(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_xlpm._factorFunction($B60,Risks!$A:CA,Definitions!$Y:$Y,Definitions!$AB:$AB,1)&amp;CHAR(10)&amp;
_xlpm._factorFunction($B60,Risks!$A:CB,Definitions!$Y:$Y,Definitions!$AB:$AB,2)&amp;CHAR(10)&amp;
_xlpm._factorFunction($B60,Risks!$A:CC,Definitions!$Y:$Y,Definitions!$AB:$AB,3)&amp;CHAR(10)&amp;
_xlpm._factorFunction($B60,Risks!$A:CD,Definitions!$Y:$Y,Definitions!$AB:$AB,4)&amp;CHAR(10)&amp;
_xlpm._factorFunction($B60,Risks!$A:CE,Definitions!$Y:$Y,Definitions!$AB:$AB,5)))</f>
        <v/>
      </c>
      <c r="AE60" s="20" t="str" cm="1">
        <f t="array" aca="1" ref="AE60" ca="1">RemoveDelimiter(SUBSTITUTE(SUBSTITUTE($AB60,"{",""),"}",""),","&amp;CHAR(10))</f>
        <v/>
      </c>
      <c r="AF60" s="20" cm="1">
        <f t="array" aca="1" ref="AF60" ca="1">IF($O60="",0,SimpleLookup($O60,Definitions!$AE:$AF))</f>
        <v>0</v>
      </c>
    </row>
    <row r="61" spans="2:32" x14ac:dyDescent="0.25">
      <c r="B61" s="16" t="str">
        <f ca="1">OFFSET(Risks!$A$2,ROW()-ROW($B$5),0)</f>
        <v/>
      </c>
      <c r="C61" s="33" t="str" cm="1">
        <f t="array" aca="1" ref="C61" ca="1">IF($B61="","",IFERROR(SimpleLookup($B61,'Risk Treatment'!$C:D),"Please ensure that all risks are covered in the "&amp;Helper!$G$14&amp;" sheet. Currently, these risks are not covered: "&amp;'Risk Treatment'!$D$2&amp;"."))</f>
        <v/>
      </c>
      <c r="D61" s="37" t="str" cm="1">
        <f t="array" aca="1" ref="D61" ca="1">IF($B61="","",IFERROR(SimpleLookup($B61,'Risk Treatment'!$C:K),"Please ensure that all risks are covered in the "&amp;Helper!$G$14&amp;" sheet. Currently, these risks are not covered: "&amp;'Risk Treatment'!$D$2&amp;"."))</f>
        <v/>
      </c>
      <c r="E61" s="16" t="str" cm="1">
        <f t="array" aca="1" ref="E61" ca="1">IF($B61="","",IFERROR(SimpleLookup($B61,'Risk Treatment'!$C:L),"Please ensure that all risks are covered in the "&amp;Helper!$G$14&amp;" sheet. Currently, these risks are not covered: "&amp;'Risk Treatment'!$D$2&amp;"."))</f>
        <v/>
      </c>
      <c r="F61" s="34" t="str" cm="1">
        <f t="array" aca="1" ref="F61" ca="1">IF($B61="","",IFERROR(SimpleLookup($B61,'Risk Treatment'!$C:M),"Please ensure that all risks are covered in the "&amp;Helper!$G$14&amp;" sheet. Currently, these risks are not covered: "&amp;'Risk Treatment'!$D$2&amp;"."))</f>
        <v/>
      </c>
      <c r="G61" s="16" t="str" cm="1">
        <f t="array" aca="1" ref="G61" ca="1">IF($B61="","",IFERROR(SimpleLookup($B61,'Risk Treatment'!$C:N),"Please ensure that all risks are covered in the "&amp;Helper!$G$14&amp;" sheet. Currently, these risks are not covered: "&amp;'Risk Treatment'!$D$2&amp;"."))</f>
        <v/>
      </c>
      <c r="H61" s="16" t="str" cm="1">
        <f t="array" aca="1" ref="H61" ca="1">IF($B61="","",IFERROR(SimpleLookup($B61,'Risk Treatment'!$C:J),"Please ensure that all risks are covered in the "&amp;Helper!$G$14&amp;" sheet. Currently, these risks are not covered: "&amp;'Risk Treatment'!$D$2&amp;"."))</f>
        <v/>
      </c>
      <c r="I61" s="33" t="str" cm="1">
        <f t="array" aca="1" ref="I61" ca="1">IF($B61="","",IFERROR(SimpleLookup($B61,'Risk Treatment'!$C:O),"Please ensure that all risks are covered in the "&amp;Helper!$G$14&amp;" sheet. Currently, these risks are not covered: "&amp;'Risk Treatment'!$D$2&amp;"."))</f>
        <v/>
      </c>
      <c r="J61" s="33" t="str" cm="1">
        <f t="array" aca="1" ref="J61" ca="1">_xlfn.LET(
_xlpm._assignedMitigations,IF($B61="","",IFERROR(RemoveDelimiter(GetValuesWithFallback($Z61,Countermeasures!$A:$B,Assumptions!$A:$B," ",","&amp;CHAR(10),TRUE),","&amp;CHAR(10)),"Error: Unknown risk ID "&amp;$B61)),
_xlpm._inlineMitigations,$AE61,
_xlpm._assignedMitigations&amp;
IF(OR(_xlpm._assignedMitigations="",_xlpm._inlineMitigations=""),"",","&amp;CHAR(10))&amp;
_xlpm._inlineMitigations)</f>
        <v/>
      </c>
      <c r="K61" s="37" t="str" cm="1">
        <f t="array" aca="1" ref="K61" ca="1">IF($AC61=-1,"",RemoveDelimiter(GetValues(INDEX(Risks!BN:BN,$AC61),'DS Overview'!$A:$B," ",","&amp;CHAR(10),TRUE),","&amp;CHAR(10)))</f>
        <v/>
      </c>
      <c r="L61" s="33" t="str" cm="1">
        <f t="array" aca="1" ref="L61" ca="1">IF($AC61=-1,"",INDEX(Risks!BP:BP,$AC61))</f>
        <v/>
      </c>
      <c r="M61" s="34" t="str" cm="1">
        <f t="array" aca="1" ref="M61" ca="1">_xlfn.LET(
_xlpm._calculatedRAP,IFERROR(SimpleLookup($B61,Risks!$A:$BG),""),
_xlpm._inlineRAP,IFERROR(SimpleLookup($B61,Risks!$A:$BH),""),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IF(_xlpm._calculatedValue&gt;=_xlpm._inlineValue,$AD61,
_xlpm._mitigationSheetName&amp;" sheet "&amp;_xlfn.UNICHAR(8702)&amp;" Comment column:"&amp;CHAR(10)&amp;$AE61)))</f>
        <v/>
      </c>
      <c r="N61" s="33" t="str" cm="1">
        <f t="array" aca="1" ref="N61" ca="1">IF($AC61=-1,"",INDEX(Risks!CN:CN,$AC61))</f>
        <v>Basic</v>
      </c>
      <c r="O61" s="33" t="str" cm="1">
        <f t="array" aca="1" ref="O61" ca="1">IF($AC61=-1,"",INDEX(Risks!CO:CO,$AC61))</f>
        <v>No Risk</v>
      </c>
      <c r="P61" s="33" t="str">
        <f ca="1">IF($C61="","",IF($AF61&lt;=Definitions!$AF$6,Definitions!$M$4,""))</f>
        <v/>
      </c>
      <c r="Q61" s="23"/>
      <c r="R61" s="33" t="str">
        <f t="shared" ca="1" si="1"/>
        <v/>
      </c>
      <c r="S61" s="23"/>
      <c r="T61" s="13"/>
      <c r="U61" s="10" cm="1">
        <f t="array" aca="1" ref="U61" ca="1">GenerateShadowID(ROW(),$U$5,$U:$U,0,B61&lt;&gt;"")</f>
        <v>0</v>
      </c>
      <c r="V61" s="10" cm="1">
        <f t="array" ref="V61">CreateTaskID($V$5,$V:$V,Tasks!$B$17,$T61)</f>
        <v>0</v>
      </c>
      <c r="W61" s="14" t="str" cm="1">
        <f t="array" aca="1" ref="W61" ca="1">IF($B61="","",SimpleLookup($B61,'Risk Treatment'!$C:$AW))</f>
        <v/>
      </c>
      <c r="X61" s="14" t="str" cm="1">
        <f t="array" aca="1" ref="X61" ca="1">IF($B61="","",_xlfn.LET(_xlpm._attackSteps,SimpleLookup($B61,'Risk Treatment'!$C:$Y),GetValues(_xlpm._attackSteps,Mitigation!$A:$AG,"",CHAR(1),FALSE)))</f>
        <v/>
      </c>
      <c r="Y61" s="14" t="str" cm="1">
        <f t="array" aca="1" ref="Y61"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ParseInlineMitigationString(_xlpm._remainingString,_xlpm._delimiter))))($X61,CHAR(1))</f>
        <v/>
      </c>
      <c r="Z61" s="14" t="str" cm="1">
        <f t="array" aca="1" ref="Z61" ca="1">FilterElementsFromList($W61,Helper!$J$4,TRUE,",")</f>
        <v/>
      </c>
      <c r="AA61" s="14" t="str" cm="1">
        <f t="array" aca="1" ref="AA61" ca="1">FilterElementsFromList($Y61,Helper!$J$4,TRUE,",")</f>
        <v/>
      </c>
      <c r="AB61" s="20" t="str" cm="1">
        <f t="array" aca="1" ref="AB61"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CreateConfirmedInlineMitigations(_xlpm._remainingString,_xlpm._confirmedCandAIDs,_xlpm._delimiterSearchString,_xlpm._delimiterResultString))))($X61,CreateSearchString($AA61),CHAR(1),","&amp;CHAR(10))</f>
        <v/>
      </c>
      <c r="AC61" s="20">
        <f ca="1">IFERROR(MATCH($B61,Risks!$A:$A,0),-1)</f>
        <v>3</v>
      </c>
      <c r="AD61" s="20" t="str" cm="1">
        <f t="array" aca="1" ref="AD61" ca="1">IF($B61="","",_xlfn.LET(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_xlpm._factorFunction($B61,Risks!$A:CA,Definitions!$Y:$Y,Definitions!$AB:$AB,1)&amp;CHAR(10)&amp;
_xlpm._factorFunction($B61,Risks!$A:CB,Definitions!$Y:$Y,Definitions!$AB:$AB,2)&amp;CHAR(10)&amp;
_xlpm._factorFunction($B61,Risks!$A:CC,Definitions!$Y:$Y,Definitions!$AB:$AB,3)&amp;CHAR(10)&amp;
_xlpm._factorFunction($B61,Risks!$A:CD,Definitions!$Y:$Y,Definitions!$AB:$AB,4)&amp;CHAR(10)&amp;
_xlpm._factorFunction($B61,Risks!$A:CE,Definitions!$Y:$Y,Definitions!$AB:$AB,5)))</f>
        <v/>
      </c>
      <c r="AE61" s="20" t="str" cm="1">
        <f t="array" aca="1" ref="AE61" ca="1">RemoveDelimiter(SUBSTITUTE(SUBSTITUTE($AB61,"{",""),"}",""),","&amp;CHAR(10))</f>
        <v/>
      </c>
      <c r="AF61" s="20" cm="1">
        <f t="array" aca="1" ref="AF61" ca="1">IF($O61="",0,SimpleLookup($O61,Definitions!$AE:$AF))</f>
        <v>0</v>
      </c>
    </row>
    <row r="62" spans="2:32" x14ac:dyDescent="0.25">
      <c r="B62" s="16" t="str">
        <f ca="1">OFFSET(Risks!$A$2,ROW()-ROW($B$5),0)</f>
        <v/>
      </c>
      <c r="C62" s="33" t="str" cm="1">
        <f t="array" aca="1" ref="C62" ca="1">IF($B62="","",IFERROR(SimpleLookup($B62,'Risk Treatment'!$C:D),"Please ensure that all risks are covered in the "&amp;Helper!$G$14&amp;" sheet. Currently, these risks are not covered: "&amp;'Risk Treatment'!$D$2&amp;"."))</f>
        <v/>
      </c>
      <c r="D62" s="37" t="str" cm="1">
        <f t="array" aca="1" ref="D62" ca="1">IF($B62="","",IFERROR(SimpleLookup($B62,'Risk Treatment'!$C:K),"Please ensure that all risks are covered in the "&amp;Helper!$G$14&amp;" sheet. Currently, these risks are not covered: "&amp;'Risk Treatment'!$D$2&amp;"."))</f>
        <v/>
      </c>
      <c r="E62" s="16" t="str" cm="1">
        <f t="array" aca="1" ref="E62" ca="1">IF($B62="","",IFERROR(SimpleLookup($B62,'Risk Treatment'!$C:L),"Please ensure that all risks are covered in the "&amp;Helper!$G$14&amp;" sheet. Currently, these risks are not covered: "&amp;'Risk Treatment'!$D$2&amp;"."))</f>
        <v/>
      </c>
      <c r="F62" s="34" t="str" cm="1">
        <f t="array" aca="1" ref="F62" ca="1">IF($B62="","",IFERROR(SimpleLookup($B62,'Risk Treatment'!$C:M),"Please ensure that all risks are covered in the "&amp;Helper!$G$14&amp;" sheet. Currently, these risks are not covered: "&amp;'Risk Treatment'!$D$2&amp;"."))</f>
        <v/>
      </c>
      <c r="G62" s="16" t="str" cm="1">
        <f t="array" aca="1" ref="G62" ca="1">IF($B62="","",IFERROR(SimpleLookup($B62,'Risk Treatment'!$C:N),"Please ensure that all risks are covered in the "&amp;Helper!$G$14&amp;" sheet. Currently, these risks are not covered: "&amp;'Risk Treatment'!$D$2&amp;"."))</f>
        <v/>
      </c>
      <c r="H62" s="16" t="str" cm="1">
        <f t="array" aca="1" ref="H62" ca="1">IF($B62="","",IFERROR(SimpleLookup($B62,'Risk Treatment'!$C:J),"Please ensure that all risks are covered in the "&amp;Helper!$G$14&amp;" sheet. Currently, these risks are not covered: "&amp;'Risk Treatment'!$D$2&amp;"."))</f>
        <v/>
      </c>
      <c r="I62" s="33" t="str" cm="1">
        <f t="array" aca="1" ref="I62" ca="1">IF($B62="","",IFERROR(SimpleLookup($B62,'Risk Treatment'!$C:O),"Please ensure that all risks are covered in the "&amp;Helper!$G$14&amp;" sheet. Currently, these risks are not covered: "&amp;'Risk Treatment'!$D$2&amp;"."))</f>
        <v/>
      </c>
      <c r="J62" s="33" t="str" cm="1">
        <f t="array" aca="1" ref="J62" ca="1">_xlfn.LET(
_xlpm._assignedMitigations,IF($B62="","",IFERROR(RemoveDelimiter(GetValuesWithFallback($Z62,Countermeasures!$A:$B,Assumptions!$A:$B," ",","&amp;CHAR(10),TRUE),","&amp;CHAR(10)),"Error: Unknown risk ID "&amp;$B62)),
_xlpm._inlineMitigations,$AE62,
_xlpm._assignedMitigations&amp;
IF(OR(_xlpm._assignedMitigations="",_xlpm._inlineMitigations=""),"",","&amp;CHAR(10))&amp;
_xlpm._inlineMitigations)</f>
        <v/>
      </c>
      <c r="K62" s="37" t="str" cm="1">
        <f t="array" aca="1" ref="K62" ca="1">IF($AC62=-1,"",RemoveDelimiter(GetValues(INDEX(Risks!BN:BN,$AC62),'DS Overview'!$A:$B," ",","&amp;CHAR(10),TRUE),","&amp;CHAR(10)))</f>
        <v/>
      </c>
      <c r="L62" s="33" t="str" cm="1">
        <f t="array" aca="1" ref="L62" ca="1">IF($AC62=-1,"",INDEX(Risks!BP:BP,$AC62))</f>
        <v/>
      </c>
      <c r="M62" s="34" t="str" cm="1">
        <f t="array" aca="1" ref="M62" ca="1">_xlfn.LET(
_xlpm._calculatedRAP,IFERROR(SimpleLookup($B62,Risks!$A:$BG),""),
_xlpm._inlineRAP,IFERROR(SimpleLookup($B62,Risks!$A:$BH),""),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IF(_xlpm._calculatedValue&gt;=_xlpm._inlineValue,$AD62,
_xlpm._mitigationSheetName&amp;" sheet "&amp;_xlfn.UNICHAR(8702)&amp;" Comment column:"&amp;CHAR(10)&amp;$AE62)))</f>
        <v/>
      </c>
      <c r="N62" s="33" t="str" cm="1">
        <f t="array" aca="1" ref="N62" ca="1">IF($AC62=-1,"",INDEX(Risks!CN:CN,$AC62))</f>
        <v>Basic</v>
      </c>
      <c r="O62" s="33" t="str" cm="1">
        <f t="array" aca="1" ref="O62" ca="1">IF($AC62=-1,"",INDEX(Risks!CO:CO,$AC62))</f>
        <v>No Risk</v>
      </c>
      <c r="P62" s="33" t="str">
        <f ca="1">IF($C62="","",IF($AF62&lt;=Definitions!$AF$6,Definitions!$M$4,""))</f>
        <v/>
      </c>
      <c r="Q62" s="23"/>
      <c r="R62" s="33" t="str">
        <f t="shared" ca="1" si="1"/>
        <v/>
      </c>
      <c r="S62" s="23"/>
      <c r="T62" s="13"/>
      <c r="U62" s="10" cm="1">
        <f t="array" aca="1" ref="U62" ca="1">GenerateShadowID(ROW(),$U$5,$U:$U,0,B62&lt;&gt;"")</f>
        <v>0</v>
      </c>
      <c r="V62" s="10" cm="1">
        <f t="array" ref="V62">CreateTaskID($V$5,$V:$V,Tasks!$B$17,$T62)</f>
        <v>0</v>
      </c>
      <c r="W62" s="14" t="str" cm="1">
        <f t="array" aca="1" ref="W62" ca="1">IF($B62="","",SimpleLookup($B62,'Risk Treatment'!$C:$AW))</f>
        <v/>
      </c>
      <c r="X62" s="14" t="str" cm="1">
        <f t="array" aca="1" ref="X62" ca="1">IF($B62="","",_xlfn.LET(_xlpm._attackSteps,SimpleLookup($B62,'Risk Treatment'!$C:$Y),GetValues(_xlpm._attackSteps,Mitigation!$A:$AG,"",CHAR(1),FALSE)))</f>
        <v/>
      </c>
      <c r="Y62" s="14" t="str" cm="1">
        <f t="array" aca="1" ref="Y62"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ParseInlineMitigationString(_xlpm._remainingString,_xlpm._delimiter))))($X62,CHAR(1))</f>
        <v/>
      </c>
      <c r="Z62" s="14" t="str" cm="1">
        <f t="array" aca="1" ref="Z62" ca="1">FilterElementsFromList($W62,Helper!$J$4,TRUE,",")</f>
        <v/>
      </c>
      <c r="AA62" s="14" t="str" cm="1">
        <f t="array" aca="1" ref="AA62" ca="1">FilterElementsFromList($Y62,Helper!$J$4,TRUE,",")</f>
        <v/>
      </c>
      <c r="AB62" s="20" t="str" cm="1">
        <f t="array" aca="1" ref="AB62"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CreateConfirmedInlineMitigations(_xlpm._remainingString,_xlpm._confirmedCandAIDs,_xlpm._delimiterSearchString,_xlpm._delimiterResultString))))($X62,CreateSearchString($AA62),CHAR(1),","&amp;CHAR(10))</f>
        <v/>
      </c>
      <c r="AC62" s="20">
        <f ca="1">IFERROR(MATCH($B62,Risks!$A:$A,0),-1)</f>
        <v>3</v>
      </c>
      <c r="AD62" s="20" t="str" cm="1">
        <f t="array" aca="1" ref="AD62" ca="1">IF($B62="","",_xlfn.LET(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_xlpm._factorFunction($B62,Risks!$A:CA,Definitions!$Y:$Y,Definitions!$AB:$AB,1)&amp;CHAR(10)&amp;
_xlpm._factorFunction($B62,Risks!$A:CB,Definitions!$Y:$Y,Definitions!$AB:$AB,2)&amp;CHAR(10)&amp;
_xlpm._factorFunction($B62,Risks!$A:CC,Definitions!$Y:$Y,Definitions!$AB:$AB,3)&amp;CHAR(10)&amp;
_xlpm._factorFunction($B62,Risks!$A:CD,Definitions!$Y:$Y,Definitions!$AB:$AB,4)&amp;CHAR(10)&amp;
_xlpm._factorFunction($B62,Risks!$A:CE,Definitions!$Y:$Y,Definitions!$AB:$AB,5)))</f>
        <v/>
      </c>
      <c r="AE62" s="20" t="str" cm="1">
        <f t="array" aca="1" ref="AE62" ca="1">RemoveDelimiter(SUBSTITUTE(SUBSTITUTE($AB62,"{",""),"}",""),","&amp;CHAR(10))</f>
        <v/>
      </c>
      <c r="AF62" s="20" cm="1">
        <f t="array" aca="1" ref="AF62" ca="1">IF($O62="",0,SimpleLookup($O62,Definitions!$AE:$AF))</f>
        <v>0</v>
      </c>
    </row>
    <row r="63" spans="2:32" x14ac:dyDescent="0.25">
      <c r="B63" s="16" t="str">
        <f ca="1">OFFSET(Risks!$A$2,ROW()-ROW($B$5),0)</f>
        <v/>
      </c>
      <c r="C63" s="33" t="str" cm="1">
        <f t="array" aca="1" ref="C63" ca="1">IF($B63="","",IFERROR(SimpleLookup($B63,'Risk Treatment'!$C:D),"Please ensure that all risks are covered in the "&amp;Helper!$G$14&amp;" sheet. Currently, these risks are not covered: "&amp;'Risk Treatment'!$D$2&amp;"."))</f>
        <v/>
      </c>
      <c r="D63" s="37" t="str" cm="1">
        <f t="array" aca="1" ref="D63" ca="1">IF($B63="","",IFERROR(SimpleLookup($B63,'Risk Treatment'!$C:K),"Please ensure that all risks are covered in the "&amp;Helper!$G$14&amp;" sheet. Currently, these risks are not covered: "&amp;'Risk Treatment'!$D$2&amp;"."))</f>
        <v/>
      </c>
      <c r="E63" s="16" t="str" cm="1">
        <f t="array" aca="1" ref="E63" ca="1">IF($B63="","",IFERROR(SimpleLookup($B63,'Risk Treatment'!$C:L),"Please ensure that all risks are covered in the "&amp;Helper!$G$14&amp;" sheet. Currently, these risks are not covered: "&amp;'Risk Treatment'!$D$2&amp;"."))</f>
        <v/>
      </c>
      <c r="F63" s="34" t="str" cm="1">
        <f t="array" aca="1" ref="F63" ca="1">IF($B63="","",IFERROR(SimpleLookup($B63,'Risk Treatment'!$C:M),"Please ensure that all risks are covered in the "&amp;Helper!$G$14&amp;" sheet. Currently, these risks are not covered: "&amp;'Risk Treatment'!$D$2&amp;"."))</f>
        <v/>
      </c>
      <c r="G63" s="16" t="str" cm="1">
        <f t="array" aca="1" ref="G63" ca="1">IF($B63="","",IFERROR(SimpleLookup($B63,'Risk Treatment'!$C:N),"Please ensure that all risks are covered in the "&amp;Helper!$G$14&amp;" sheet. Currently, these risks are not covered: "&amp;'Risk Treatment'!$D$2&amp;"."))</f>
        <v/>
      </c>
      <c r="H63" s="16" t="str" cm="1">
        <f t="array" aca="1" ref="H63" ca="1">IF($B63="","",IFERROR(SimpleLookup($B63,'Risk Treatment'!$C:J),"Please ensure that all risks are covered in the "&amp;Helper!$G$14&amp;" sheet. Currently, these risks are not covered: "&amp;'Risk Treatment'!$D$2&amp;"."))</f>
        <v/>
      </c>
      <c r="I63" s="33" t="str" cm="1">
        <f t="array" aca="1" ref="I63" ca="1">IF($B63="","",IFERROR(SimpleLookup($B63,'Risk Treatment'!$C:O),"Please ensure that all risks are covered in the "&amp;Helper!$G$14&amp;" sheet. Currently, these risks are not covered: "&amp;'Risk Treatment'!$D$2&amp;"."))</f>
        <v/>
      </c>
      <c r="J63" s="33" t="str" cm="1">
        <f t="array" aca="1" ref="J63" ca="1">_xlfn.LET(
_xlpm._assignedMitigations,IF($B63="","",IFERROR(RemoveDelimiter(GetValuesWithFallback($Z63,Countermeasures!$A:$B,Assumptions!$A:$B," ",","&amp;CHAR(10),TRUE),","&amp;CHAR(10)),"Error: Unknown risk ID "&amp;$B63)),
_xlpm._inlineMitigations,$AE63,
_xlpm._assignedMitigations&amp;
IF(OR(_xlpm._assignedMitigations="",_xlpm._inlineMitigations=""),"",","&amp;CHAR(10))&amp;
_xlpm._inlineMitigations)</f>
        <v/>
      </c>
      <c r="K63" s="37" t="str" cm="1">
        <f t="array" aca="1" ref="K63" ca="1">IF($AC63=-1,"",RemoveDelimiter(GetValues(INDEX(Risks!BN:BN,$AC63),'DS Overview'!$A:$B," ",","&amp;CHAR(10),TRUE),","&amp;CHAR(10)))</f>
        <v/>
      </c>
      <c r="L63" s="33" t="str" cm="1">
        <f t="array" aca="1" ref="L63" ca="1">IF($AC63=-1,"",INDEX(Risks!BP:BP,$AC63))</f>
        <v/>
      </c>
      <c r="M63" s="34" t="str" cm="1">
        <f t="array" aca="1" ref="M63" ca="1">_xlfn.LET(
_xlpm._calculatedRAP,IFERROR(SimpleLookup($B63,Risks!$A:$BG),""),
_xlpm._inlineRAP,IFERROR(SimpleLookup($B63,Risks!$A:$BH),""),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IF(_xlpm._calculatedValue&gt;=_xlpm._inlineValue,$AD63,
_xlpm._mitigationSheetName&amp;" sheet "&amp;_xlfn.UNICHAR(8702)&amp;" Comment column:"&amp;CHAR(10)&amp;$AE63)))</f>
        <v/>
      </c>
      <c r="N63" s="33" t="str" cm="1">
        <f t="array" aca="1" ref="N63" ca="1">IF($AC63=-1,"",INDEX(Risks!CN:CN,$AC63))</f>
        <v>Basic</v>
      </c>
      <c r="O63" s="33" t="str" cm="1">
        <f t="array" aca="1" ref="O63" ca="1">IF($AC63=-1,"",INDEX(Risks!CO:CO,$AC63))</f>
        <v>No Risk</v>
      </c>
      <c r="P63" s="33" t="str">
        <f ca="1">IF($C63="","",IF($AF63&lt;=Definitions!$AF$6,Definitions!$M$4,""))</f>
        <v/>
      </c>
      <c r="Q63" s="23"/>
      <c r="R63" s="33" t="str">
        <f t="shared" ca="1" si="1"/>
        <v/>
      </c>
      <c r="S63" s="23"/>
      <c r="T63" s="13"/>
      <c r="U63" s="10" cm="1">
        <f t="array" aca="1" ref="U63" ca="1">GenerateShadowID(ROW(),$U$5,$U:$U,0,B63&lt;&gt;"")</f>
        <v>0</v>
      </c>
      <c r="V63" s="10" cm="1">
        <f t="array" ref="V63">CreateTaskID($V$5,$V:$V,Tasks!$B$17,$T63)</f>
        <v>0</v>
      </c>
      <c r="W63" s="14" t="str" cm="1">
        <f t="array" aca="1" ref="W63" ca="1">IF($B63="","",SimpleLookup($B63,'Risk Treatment'!$C:$AW))</f>
        <v/>
      </c>
      <c r="X63" s="14" t="str" cm="1">
        <f t="array" aca="1" ref="X63" ca="1">IF($B63="","",_xlfn.LET(_xlpm._attackSteps,SimpleLookup($B63,'Risk Treatment'!$C:$Y),GetValues(_xlpm._attackSteps,Mitigation!$A:$AG,"",CHAR(1),FALSE)))</f>
        <v/>
      </c>
      <c r="Y63" s="14" t="str" cm="1">
        <f t="array" aca="1" ref="Y63"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ParseInlineMitigationString(_xlpm._remainingString,_xlpm._delimiter))))($X63,CHAR(1))</f>
        <v/>
      </c>
      <c r="Z63" s="14" t="str" cm="1">
        <f t="array" aca="1" ref="Z63" ca="1">FilterElementsFromList($W63,Helper!$J$4,TRUE,",")</f>
        <v/>
      </c>
      <c r="AA63" s="14" t="str" cm="1">
        <f t="array" aca="1" ref="AA63" ca="1">FilterElementsFromList($Y63,Helper!$J$4,TRUE,",")</f>
        <v/>
      </c>
      <c r="AB63" s="20" t="str" cm="1">
        <f t="array" aca="1" ref="AB63"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CreateConfirmedInlineMitigations(_xlpm._remainingString,_xlpm._confirmedCandAIDs,_xlpm._delimiterSearchString,_xlpm._delimiterResultString))))($X63,CreateSearchString($AA63),CHAR(1),","&amp;CHAR(10))</f>
        <v/>
      </c>
      <c r="AC63" s="20">
        <f ca="1">IFERROR(MATCH($B63,Risks!$A:$A,0),-1)</f>
        <v>3</v>
      </c>
      <c r="AD63" s="20" t="str" cm="1">
        <f t="array" aca="1" ref="AD63" ca="1">IF($B63="","",_xlfn.LET(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_xlpm._factorFunction($B63,Risks!$A:CA,Definitions!$Y:$Y,Definitions!$AB:$AB,1)&amp;CHAR(10)&amp;
_xlpm._factorFunction($B63,Risks!$A:CB,Definitions!$Y:$Y,Definitions!$AB:$AB,2)&amp;CHAR(10)&amp;
_xlpm._factorFunction($B63,Risks!$A:CC,Definitions!$Y:$Y,Definitions!$AB:$AB,3)&amp;CHAR(10)&amp;
_xlpm._factorFunction($B63,Risks!$A:CD,Definitions!$Y:$Y,Definitions!$AB:$AB,4)&amp;CHAR(10)&amp;
_xlpm._factorFunction($B63,Risks!$A:CE,Definitions!$Y:$Y,Definitions!$AB:$AB,5)))</f>
        <v/>
      </c>
      <c r="AE63" s="20" t="str" cm="1">
        <f t="array" aca="1" ref="AE63" ca="1">RemoveDelimiter(SUBSTITUTE(SUBSTITUTE($AB63,"{",""),"}",""),","&amp;CHAR(10))</f>
        <v/>
      </c>
      <c r="AF63" s="20" cm="1">
        <f t="array" aca="1" ref="AF63" ca="1">IF($O63="",0,SimpleLookup($O63,Definitions!$AE:$AF))</f>
        <v>0</v>
      </c>
    </row>
    <row r="64" spans="2:32" x14ac:dyDescent="0.25">
      <c r="B64" s="16" t="str">
        <f ca="1">OFFSET(Risks!$A$2,ROW()-ROW($B$5),0)</f>
        <v/>
      </c>
      <c r="C64" s="33" t="str" cm="1">
        <f t="array" aca="1" ref="C64" ca="1">IF($B64="","",IFERROR(SimpleLookup($B64,'Risk Treatment'!$C:D),"Please ensure that all risks are covered in the "&amp;Helper!$G$14&amp;" sheet. Currently, these risks are not covered: "&amp;'Risk Treatment'!$D$2&amp;"."))</f>
        <v/>
      </c>
      <c r="D64" s="37" t="str" cm="1">
        <f t="array" aca="1" ref="D64" ca="1">IF($B64="","",IFERROR(SimpleLookup($B64,'Risk Treatment'!$C:K),"Please ensure that all risks are covered in the "&amp;Helper!$G$14&amp;" sheet. Currently, these risks are not covered: "&amp;'Risk Treatment'!$D$2&amp;"."))</f>
        <v/>
      </c>
      <c r="E64" s="16" t="str" cm="1">
        <f t="array" aca="1" ref="E64" ca="1">IF($B64="","",IFERROR(SimpleLookup($B64,'Risk Treatment'!$C:L),"Please ensure that all risks are covered in the "&amp;Helper!$G$14&amp;" sheet. Currently, these risks are not covered: "&amp;'Risk Treatment'!$D$2&amp;"."))</f>
        <v/>
      </c>
      <c r="F64" s="34" t="str" cm="1">
        <f t="array" aca="1" ref="F64" ca="1">IF($B64="","",IFERROR(SimpleLookup($B64,'Risk Treatment'!$C:M),"Please ensure that all risks are covered in the "&amp;Helper!$G$14&amp;" sheet. Currently, these risks are not covered: "&amp;'Risk Treatment'!$D$2&amp;"."))</f>
        <v/>
      </c>
      <c r="G64" s="16" t="str" cm="1">
        <f t="array" aca="1" ref="G64" ca="1">IF($B64="","",IFERROR(SimpleLookup($B64,'Risk Treatment'!$C:N),"Please ensure that all risks are covered in the "&amp;Helper!$G$14&amp;" sheet. Currently, these risks are not covered: "&amp;'Risk Treatment'!$D$2&amp;"."))</f>
        <v/>
      </c>
      <c r="H64" s="16" t="str" cm="1">
        <f t="array" aca="1" ref="H64" ca="1">IF($B64="","",IFERROR(SimpleLookup($B64,'Risk Treatment'!$C:J),"Please ensure that all risks are covered in the "&amp;Helper!$G$14&amp;" sheet. Currently, these risks are not covered: "&amp;'Risk Treatment'!$D$2&amp;"."))</f>
        <v/>
      </c>
      <c r="I64" s="33" t="str" cm="1">
        <f t="array" aca="1" ref="I64" ca="1">IF($B64="","",IFERROR(SimpleLookup($B64,'Risk Treatment'!$C:O),"Please ensure that all risks are covered in the "&amp;Helper!$G$14&amp;" sheet. Currently, these risks are not covered: "&amp;'Risk Treatment'!$D$2&amp;"."))</f>
        <v/>
      </c>
      <c r="J64" s="33" t="str" cm="1">
        <f t="array" aca="1" ref="J64" ca="1">_xlfn.LET(
_xlpm._assignedMitigations,IF($B64="","",IFERROR(RemoveDelimiter(GetValuesWithFallback($Z64,Countermeasures!$A:$B,Assumptions!$A:$B," ",","&amp;CHAR(10),TRUE),","&amp;CHAR(10)),"Error: Unknown risk ID "&amp;$B64)),
_xlpm._inlineMitigations,$AE64,
_xlpm._assignedMitigations&amp;
IF(OR(_xlpm._assignedMitigations="",_xlpm._inlineMitigations=""),"",","&amp;CHAR(10))&amp;
_xlpm._inlineMitigations)</f>
        <v/>
      </c>
      <c r="K64" s="37" t="str" cm="1">
        <f t="array" aca="1" ref="K64" ca="1">IF($AC64=-1,"",RemoveDelimiter(GetValues(INDEX(Risks!BN:BN,$AC64),'DS Overview'!$A:$B," ",","&amp;CHAR(10),TRUE),","&amp;CHAR(10)))</f>
        <v/>
      </c>
      <c r="L64" s="33" t="str" cm="1">
        <f t="array" aca="1" ref="L64" ca="1">IF($AC64=-1,"",INDEX(Risks!BP:BP,$AC64))</f>
        <v/>
      </c>
      <c r="M64" s="34" t="str" cm="1">
        <f t="array" aca="1" ref="M64" ca="1">_xlfn.LET(
_xlpm._calculatedRAP,IFERROR(SimpleLookup($B64,Risks!$A:$BG),""),
_xlpm._inlineRAP,IFERROR(SimpleLookup($B64,Risks!$A:$BH),""),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IF(_xlpm._calculatedValue&gt;=_xlpm._inlineValue,$AD64,
_xlpm._mitigationSheetName&amp;" sheet "&amp;_xlfn.UNICHAR(8702)&amp;" Comment column:"&amp;CHAR(10)&amp;$AE64)))</f>
        <v/>
      </c>
      <c r="N64" s="33" t="str" cm="1">
        <f t="array" aca="1" ref="N64" ca="1">IF($AC64=-1,"",INDEX(Risks!CN:CN,$AC64))</f>
        <v>Basic</v>
      </c>
      <c r="O64" s="33" t="str" cm="1">
        <f t="array" aca="1" ref="O64" ca="1">IF($AC64=-1,"",INDEX(Risks!CO:CO,$AC64))</f>
        <v>No Risk</v>
      </c>
      <c r="P64" s="33" t="str">
        <f ca="1">IF($C64="","",IF($AF64&lt;=Definitions!$AF$6,Definitions!$M$4,""))</f>
        <v/>
      </c>
      <c r="Q64" s="23"/>
      <c r="R64" s="33" t="str">
        <f t="shared" ca="1" si="1"/>
        <v/>
      </c>
      <c r="S64" s="23"/>
      <c r="T64" s="13"/>
      <c r="U64" s="10" cm="1">
        <f t="array" aca="1" ref="U64" ca="1">GenerateShadowID(ROW(),$U$5,$U:$U,0,B64&lt;&gt;"")</f>
        <v>0</v>
      </c>
      <c r="V64" s="10" cm="1">
        <f t="array" ref="V64">CreateTaskID($V$5,$V:$V,Tasks!$B$17,$T64)</f>
        <v>0</v>
      </c>
      <c r="W64" s="14" t="str" cm="1">
        <f t="array" aca="1" ref="W64" ca="1">IF($B64="","",SimpleLookup($B64,'Risk Treatment'!$C:$AW))</f>
        <v/>
      </c>
      <c r="X64" s="14" t="str" cm="1">
        <f t="array" aca="1" ref="X64" ca="1">IF($B64="","",_xlfn.LET(_xlpm._attackSteps,SimpleLookup($B64,'Risk Treatment'!$C:$Y),GetValues(_xlpm._attackSteps,Mitigation!$A:$AG,"",CHAR(1),FALSE)))</f>
        <v/>
      </c>
      <c r="Y64" s="14" t="str" cm="1">
        <f t="array" aca="1" ref="Y64"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ParseInlineMitigationString(_xlpm._remainingString,_xlpm._delimiter))))($X64,CHAR(1))</f>
        <v/>
      </c>
      <c r="Z64" s="14" t="str" cm="1">
        <f t="array" aca="1" ref="Z64" ca="1">FilterElementsFromList($W64,Helper!$J$4,TRUE,",")</f>
        <v/>
      </c>
      <c r="AA64" s="14" t="str" cm="1">
        <f t="array" aca="1" ref="AA64" ca="1">FilterElementsFromList($Y64,Helper!$J$4,TRUE,",")</f>
        <v/>
      </c>
      <c r="AB64" s="20" t="str" cm="1">
        <f t="array" aca="1" ref="AB64"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CreateConfirmedInlineMitigations(_xlpm._remainingString,_xlpm._confirmedCandAIDs,_xlpm._delimiterSearchString,_xlpm._delimiterResultString))))($X64,CreateSearchString($AA64),CHAR(1),","&amp;CHAR(10))</f>
        <v/>
      </c>
      <c r="AC64" s="20">
        <f ca="1">IFERROR(MATCH($B64,Risks!$A:$A,0),-1)</f>
        <v>3</v>
      </c>
      <c r="AD64" s="20" t="str" cm="1">
        <f t="array" aca="1" ref="AD64" ca="1">IF($B64="","",_xlfn.LET(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_xlpm._factorFunction($B64,Risks!$A:CA,Definitions!$Y:$Y,Definitions!$AB:$AB,1)&amp;CHAR(10)&amp;
_xlpm._factorFunction($B64,Risks!$A:CB,Definitions!$Y:$Y,Definitions!$AB:$AB,2)&amp;CHAR(10)&amp;
_xlpm._factorFunction($B64,Risks!$A:CC,Definitions!$Y:$Y,Definitions!$AB:$AB,3)&amp;CHAR(10)&amp;
_xlpm._factorFunction($B64,Risks!$A:CD,Definitions!$Y:$Y,Definitions!$AB:$AB,4)&amp;CHAR(10)&amp;
_xlpm._factorFunction($B64,Risks!$A:CE,Definitions!$Y:$Y,Definitions!$AB:$AB,5)))</f>
        <v/>
      </c>
      <c r="AE64" s="20" t="str" cm="1">
        <f t="array" aca="1" ref="AE64" ca="1">RemoveDelimiter(SUBSTITUTE(SUBSTITUTE($AB64,"{",""),"}",""),","&amp;CHAR(10))</f>
        <v/>
      </c>
      <c r="AF64" s="20" cm="1">
        <f t="array" aca="1" ref="AF64" ca="1">IF($O64="",0,SimpleLookup($O64,Definitions!$AE:$AF))</f>
        <v>0</v>
      </c>
    </row>
    <row r="65" spans="2:32" x14ac:dyDescent="0.25">
      <c r="B65" s="16" t="str">
        <f ca="1">OFFSET(Risks!$A$2,ROW()-ROW($B$5),0)</f>
        <v/>
      </c>
      <c r="C65" s="33" t="str" cm="1">
        <f t="array" aca="1" ref="C65" ca="1">IF($B65="","",IFERROR(SimpleLookup($B65,'Risk Treatment'!$C:D),"Please ensure that all risks are covered in the "&amp;Helper!$G$14&amp;" sheet. Currently, these risks are not covered: "&amp;'Risk Treatment'!$D$2&amp;"."))</f>
        <v/>
      </c>
      <c r="D65" s="37" t="str" cm="1">
        <f t="array" aca="1" ref="D65" ca="1">IF($B65="","",IFERROR(SimpleLookup($B65,'Risk Treatment'!$C:K),"Please ensure that all risks are covered in the "&amp;Helper!$G$14&amp;" sheet. Currently, these risks are not covered: "&amp;'Risk Treatment'!$D$2&amp;"."))</f>
        <v/>
      </c>
      <c r="E65" s="16" t="str" cm="1">
        <f t="array" aca="1" ref="E65" ca="1">IF($B65="","",IFERROR(SimpleLookup($B65,'Risk Treatment'!$C:L),"Please ensure that all risks are covered in the "&amp;Helper!$G$14&amp;" sheet. Currently, these risks are not covered: "&amp;'Risk Treatment'!$D$2&amp;"."))</f>
        <v/>
      </c>
      <c r="F65" s="34" t="str" cm="1">
        <f t="array" aca="1" ref="F65" ca="1">IF($B65="","",IFERROR(SimpleLookup($B65,'Risk Treatment'!$C:M),"Please ensure that all risks are covered in the "&amp;Helper!$G$14&amp;" sheet. Currently, these risks are not covered: "&amp;'Risk Treatment'!$D$2&amp;"."))</f>
        <v/>
      </c>
      <c r="G65" s="16" t="str" cm="1">
        <f t="array" aca="1" ref="G65" ca="1">IF($B65="","",IFERROR(SimpleLookup($B65,'Risk Treatment'!$C:N),"Please ensure that all risks are covered in the "&amp;Helper!$G$14&amp;" sheet. Currently, these risks are not covered: "&amp;'Risk Treatment'!$D$2&amp;"."))</f>
        <v/>
      </c>
      <c r="H65" s="16" t="str" cm="1">
        <f t="array" aca="1" ref="H65" ca="1">IF($B65="","",IFERROR(SimpleLookup($B65,'Risk Treatment'!$C:J),"Please ensure that all risks are covered in the "&amp;Helper!$G$14&amp;" sheet. Currently, these risks are not covered: "&amp;'Risk Treatment'!$D$2&amp;"."))</f>
        <v/>
      </c>
      <c r="I65" s="33" t="str" cm="1">
        <f t="array" aca="1" ref="I65" ca="1">IF($B65="","",IFERROR(SimpleLookup($B65,'Risk Treatment'!$C:O),"Please ensure that all risks are covered in the "&amp;Helper!$G$14&amp;" sheet. Currently, these risks are not covered: "&amp;'Risk Treatment'!$D$2&amp;"."))</f>
        <v/>
      </c>
      <c r="J65" s="33" t="str" cm="1">
        <f t="array" aca="1" ref="J65" ca="1">_xlfn.LET(
_xlpm._assignedMitigations,IF($B65="","",IFERROR(RemoveDelimiter(GetValuesWithFallback($Z65,Countermeasures!$A:$B,Assumptions!$A:$B," ",","&amp;CHAR(10),TRUE),","&amp;CHAR(10)),"Error: Unknown risk ID "&amp;$B65)),
_xlpm._inlineMitigations,$AE65,
_xlpm._assignedMitigations&amp;
IF(OR(_xlpm._assignedMitigations="",_xlpm._inlineMitigations=""),"",","&amp;CHAR(10))&amp;
_xlpm._inlineMitigations)</f>
        <v/>
      </c>
      <c r="K65" s="37" t="str" cm="1">
        <f t="array" aca="1" ref="K65" ca="1">IF($AC65=-1,"",RemoveDelimiter(GetValues(INDEX(Risks!BN:BN,$AC65),'DS Overview'!$A:$B," ",","&amp;CHAR(10),TRUE),","&amp;CHAR(10)))</f>
        <v/>
      </c>
      <c r="L65" s="33" t="str" cm="1">
        <f t="array" aca="1" ref="L65" ca="1">IF($AC65=-1,"",INDEX(Risks!BP:BP,$AC65))</f>
        <v/>
      </c>
      <c r="M65" s="34" t="str" cm="1">
        <f t="array" aca="1" ref="M65" ca="1">_xlfn.LET(
_xlpm._calculatedRAP,IFERROR(SimpleLookup($B65,Risks!$A:$BG),""),
_xlpm._inlineRAP,IFERROR(SimpleLookup($B65,Risks!$A:$BH),""),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IF(_xlpm._calculatedValue&gt;=_xlpm._inlineValue,$AD65,
_xlpm._mitigationSheetName&amp;" sheet "&amp;_xlfn.UNICHAR(8702)&amp;" Comment column:"&amp;CHAR(10)&amp;$AE65)))</f>
        <v/>
      </c>
      <c r="N65" s="33" t="str" cm="1">
        <f t="array" aca="1" ref="N65" ca="1">IF($AC65=-1,"",INDEX(Risks!CN:CN,$AC65))</f>
        <v>Basic</v>
      </c>
      <c r="O65" s="33" t="str" cm="1">
        <f t="array" aca="1" ref="O65" ca="1">IF($AC65=-1,"",INDEX(Risks!CO:CO,$AC65))</f>
        <v>No Risk</v>
      </c>
      <c r="P65" s="33" t="str">
        <f ca="1">IF($C65="","",IF($AF65&lt;=Definitions!$AF$6,Definitions!$M$4,""))</f>
        <v/>
      </c>
      <c r="Q65" s="23"/>
      <c r="R65" s="33" t="str">
        <f t="shared" ca="1" si="1"/>
        <v/>
      </c>
      <c r="S65" s="23"/>
      <c r="T65" s="13"/>
      <c r="U65" s="10" cm="1">
        <f t="array" aca="1" ref="U65" ca="1">GenerateShadowID(ROW(),$U$5,$U:$U,0,B65&lt;&gt;"")</f>
        <v>0</v>
      </c>
      <c r="V65" s="10" cm="1">
        <f t="array" ref="V65">CreateTaskID($V$5,$V:$V,Tasks!$B$17,$T65)</f>
        <v>0</v>
      </c>
      <c r="W65" s="14" t="str" cm="1">
        <f t="array" aca="1" ref="W65" ca="1">IF($B65="","",SimpleLookup($B65,'Risk Treatment'!$C:$AW))</f>
        <v/>
      </c>
      <c r="X65" s="14" t="str" cm="1">
        <f t="array" aca="1" ref="X65" ca="1">IF($B65="","",_xlfn.LET(_xlpm._attackSteps,SimpleLookup($B65,'Risk Treatment'!$C:$Y),GetValues(_xlpm._attackSteps,Mitigation!$A:$AG,"",CHAR(1),FALSE)))</f>
        <v/>
      </c>
      <c r="Y65" s="14" t="str" cm="1">
        <f t="array" aca="1" ref="Y65"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ParseInlineMitigationString(_xlpm._remainingString,_xlpm._delimiter))))($X65,CHAR(1))</f>
        <v/>
      </c>
      <c r="Z65" s="14" t="str" cm="1">
        <f t="array" aca="1" ref="Z65" ca="1">FilterElementsFromList($W65,Helper!$J$4,TRUE,",")</f>
        <v/>
      </c>
      <c r="AA65" s="14" t="str" cm="1">
        <f t="array" aca="1" ref="AA65" ca="1">FilterElementsFromList($Y65,Helper!$J$4,TRUE,",")</f>
        <v/>
      </c>
      <c r="AB65" s="20" t="str" cm="1">
        <f t="array" aca="1" ref="AB65"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CreateConfirmedInlineMitigations(_xlpm._remainingString,_xlpm._confirmedCandAIDs,_xlpm._delimiterSearchString,_xlpm._delimiterResultString))))($X65,CreateSearchString($AA65),CHAR(1),","&amp;CHAR(10))</f>
        <v/>
      </c>
      <c r="AC65" s="20">
        <f ca="1">IFERROR(MATCH($B65,Risks!$A:$A,0),-1)</f>
        <v>3</v>
      </c>
      <c r="AD65" s="20" t="str" cm="1">
        <f t="array" aca="1" ref="AD65" ca="1">IF($B65="","",_xlfn.LET(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_xlpm._factorFunction($B65,Risks!$A:CA,Definitions!$Y:$Y,Definitions!$AB:$AB,1)&amp;CHAR(10)&amp;
_xlpm._factorFunction($B65,Risks!$A:CB,Definitions!$Y:$Y,Definitions!$AB:$AB,2)&amp;CHAR(10)&amp;
_xlpm._factorFunction($B65,Risks!$A:CC,Definitions!$Y:$Y,Definitions!$AB:$AB,3)&amp;CHAR(10)&amp;
_xlpm._factorFunction($B65,Risks!$A:CD,Definitions!$Y:$Y,Definitions!$AB:$AB,4)&amp;CHAR(10)&amp;
_xlpm._factorFunction($B65,Risks!$A:CE,Definitions!$Y:$Y,Definitions!$AB:$AB,5)))</f>
        <v/>
      </c>
      <c r="AE65" s="20" t="str" cm="1">
        <f t="array" aca="1" ref="AE65" ca="1">RemoveDelimiter(SUBSTITUTE(SUBSTITUTE($AB65,"{",""),"}",""),","&amp;CHAR(10))</f>
        <v/>
      </c>
      <c r="AF65" s="20" cm="1">
        <f t="array" aca="1" ref="AF65" ca="1">IF($O65="",0,SimpleLookup($O65,Definitions!$AE:$AF))</f>
        <v>0</v>
      </c>
    </row>
    <row r="66" spans="2:32" x14ac:dyDescent="0.25">
      <c r="B66" s="16" t="str">
        <f ca="1">OFFSET(Risks!$A$2,ROW()-ROW($B$5),0)</f>
        <v/>
      </c>
      <c r="C66" s="33" t="str" cm="1">
        <f t="array" aca="1" ref="C66" ca="1">IF($B66="","",IFERROR(SimpleLookup($B66,'Risk Treatment'!$C:D),"Please ensure that all risks are covered in the "&amp;Helper!$G$14&amp;" sheet. Currently, these risks are not covered: "&amp;'Risk Treatment'!$D$2&amp;"."))</f>
        <v/>
      </c>
      <c r="D66" s="37" t="str" cm="1">
        <f t="array" aca="1" ref="D66" ca="1">IF($B66="","",IFERROR(SimpleLookup($B66,'Risk Treatment'!$C:K),"Please ensure that all risks are covered in the "&amp;Helper!$G$14&amp;" sheet. Currently, these risks are not covered: "&amp;'Risk Treatment'!$D$2&amp;"."))</f>
        <v/>
      </c>
      <c r="E66" s="16" t="str" cm="1">
        <f t="array" aca="1" ref="E66" ca="1">IF($B66="","",IFERROR(SimpleLookup($B66,'Risk Treatment'!$C:L),"Please ensure that all risks are covered in the "&amp;Helper!$G$14&amp;" sheet. Currently, these risks are not covered: "&amp;'Risk Treatment'!$D$2&amp;"."))</f>
        <v/>
      </c>
      <c r="F66" s="34" t="str" cm="1">
        <f t="array" aca="1" ref="F66" ca="1">IF($B66="","",IFERROR(SimpleLookup($B66,'Risk Treatment'!$C:M),"Please ensure that all risks are covered in the "&amp;Helper!$G$14&amp;" sheet. Currently, these risks are not covered: "&amp;'Risk Treatment'!$D$2&amp;"."))</f>
        <v/>
      </c>
      <c r="G66" s="16" t="str" cm="1">
        <f t="array" aca="1" ref="G66" ca="1">IF($B66="","",IFERROR(SimpleLookup($B66,'Risk Treatment'!$C:N),"Please ensure that all risks are covered in the "&amp;Helper!$G$14&amp;" sheet. Currently, these risks are not covered: "&amp;'Risk Treatment'!$D$2&amp;"."))</f>
        <v/>
      </c>
      <c r="H66" s="16" t="str" cm="1">
        <f t="array" aca="1" ref="H66" ca="1">IF($B66="","",IFERROR(SimpleLookup($B66,'Risk Treatment'!$C:J),"Please ensure that all risks are covered in the "&amp;Helper!$G$14&amp;" sheet. Currently, these risks are not covered: "&amp;'Risk Treatment'!$D$2&amp;"."))</f>
        <v/>
      </c>
      <c r="I66" s="33" t="str" cm="1">
        <f t="array" aca="1" ref="I66" ca="1">IF($B66="","",IFERROR(SimpleLookup($B66,'Risk Treatment'!$C:O),"Please ensure that all risks are covered in the "&amp;Helper!$G$14&amp;" sheet. Currently, these risks are not covered: "&amp;'Risk Treatment'!$D$2&amp;"."))</f>
        <v/>
      </c>
      <c r="J66" s="33" t="str" cm="1">
        <f t="array" aca="1" ref="J66" ca="1">_xlfn.LET(
_xlpm._assignedMitigations,IF($B66="","",IFERROR(RemoveDelimiter(GetValuesWithFallback($Z66,Countermeasures!$A:$B,Assumptions!$A:$B," ",","&amp;CHAR(10),TRUE),","&amp;CHAR(10)),"Error: Unknown risk ID "&amp;$B66)),
_xlpm._inlineMitigations,$AE66,
_xlpm._assignedMitigations&amp;
IF(OR(_xlpm._assignedMitigations="",_xlpm._inlineMitigations=""),"",","&amp;CHAR(10))&amp;
_xlpm._inlineMitigations)</f>
        <v/>
      </c>
      <c r="K66" s="37" t="str" cm="1">
        <f t="array" aca="1" ref="K66" ca="1">IF($AC66=-1,"",RemoveDelimiter(GetValues(INDEX(Risks!BN:BN,$AC66),'DS Overview'!$A:$B," ",","&amp;CHAR(10),TRUE),","&amp;CHAR(10)))</f>
        <v/>
      </c>
      <c r="L66" s="33" t="str" cm="1">
        <f t="array" aca="1" ref="L66" ca="1">IF($AC66=-1,"",INDEX(Risks!BP:BP,$AC66))</f>
        <v/>
      </c>
      <c r="M66" s="34" t="str" cm="1">
        <f t="array" aca="1" ref="M66" ca="1">_xlfn.LET(
_xlpm._calculatedRAP,IFERROR(SimpleLookup($B66,Risks!$A:$BG),""),
_xlpm._inlineRAP,IFERROR(SimpleLookup($B66,Risks!$A:$BH),""),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IF(_xlpm._calculatedValue&gt;=_xlpm._inlineValue,$AD66,
_xlpm._mitigationSheetName&amp;" sheet "&amp;_xlfn.UNICHAR(8702)&amp;" Comment column:"&amp;CHAR(10)&amp;$AE66)))</f>
        <v/>
      </c>
      <c r="N66" s="33" t="str" cm="1">
        <f t="array" aca="1" ref="N66" ca="1">IF($AC66=-1,"",INDEX(Risks!CN:CN,$AC66))</f>
        <v>Basic</v>
      </c>
      <c r="O66" s="33" t="str" cm="1">
        <f t="array" aca="1" ref="O66" ca="1">IF($AC66=-1,"",INDEX(Risks!CO:CO,$AC66))</f>
        <v>No Risk</v>
      </c>
      <c r="P66" s="33" t="str">
        <f ca="1">IF($C66="","",IF($AF66&lt;=Definitions!$AF$6,Definitions!$M$4,""))</f>
        <v/>
      </c>
      <c r="Q66" s="23"/>
      <c r="R66" s="33" t="str">
        <f t="shared" ca="1" si="1"/>
        <v/>
      </c>
      <c r="S66" s="23"/>
      <c r="T66" s="13"/>
      <c r="U66" s="10" cm="1">
        <f t="array" aca="1" ref="U66" ca="1">GenerateShadowID(ROW(),$U$5,$U:$U,0,B66&lt;&gt;"")</f>
        <v>0</v>
      </c>
      <c r="V66" s="10" cm="1">
        <f t="array" ref="V66">CreateTaskID($V$5,$V:$V,Tasks!$B$17,$T66)</f>
        <v>0</v>
      </c>
      <c r="W66" s="14" t="str" cm="1">
        <f t="array" aca="1" ref="W66" ca="1">IF($B66="","",SimpleLookup($B66,'Risk Treatment'!$C:$AW))</f>
        <v/>
      </c>
      <c r="X66" s="14" t="str" cm="1">
        <f t="array" aca="1" ref="X66" ca="1">IF($B66="","",_xlfn.LET(_xlpm._attackSteps,SimpleLookup($B66,'Risk Treatment'!$C:$Y),GetValues(_xlpm._attackSteps,Mitigation!$A:$AG,"",CHAR(1),FALSE)))</f>
        <v/>
      </c>
      <c r="Y66" s="14" t="str" cm="1">
        <f t="array" aca="1" ref="Y66"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ParseInlineMitigationString(_xlpm._remainingString,_xlpm._delimiter))))($X66,CHAR(1))</f>
        <v/>
      </c>
      <c r="Z66" s="14" t="str" cm="1">
        <f t="array" aca="1" ref="Z66" ca="1">FilterElementsFromList($W66,Helper!$J$4,TRUE,",")</f>
        <v/>
      </c>
      <c r="AA66" s="14" t="str" cm="1">
        <f t="array" aca="1" ref="AA66" ca="1">FilterElementsFromList($Y66,Helper!$J$4,TRUE,",")</f>
        <v/>
      </c>
      <c r="AB66" s="20" t="str" cm="1">
        <f t="array" aca="1" ref="AB66"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CreateConfirmedInlineMitigations(_xlpm._remainingString,_xlpm._confirmedCandAIDs,_xlpm._delimiterSearchString,_xlpm._delimiterResultString))))($X66,CreateSearchString($AA66),CHAR(1),","&amp;CHAR(10))</f>
        <v/>
      </c>
      <c r="AC66" s="20">
        <f ca="1">IFERROR(MATCH($B66,Risks!$A:$A,0),-1)</f>
        <v>3</v>
      </c>
      <c r="AD66" s="20" t="str" cm="1">
        <f t="array" aca="1" ref="AD66" ca="1">IF($B66="","",_xlfn.LET(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_xlpm._factorFunction($B66,Risks!$A:CA,Definitions!$Y:$Y,Definitions!$AB:$AB,1)&amp;CHAR(10)&amp;
_xlpm._factorFunction($B66,Risks!$A:CB,Definitions!$Y:$Y,Definitions!$AB:$AB,2)&amp;CHAR(10)&amp;
_xlpm._factorFunction($B66,Risks!$A:CC,Definitions!$Y:$Y,Definitions!$AB:$AB,3)&amp;CHAR(10)&amp;
_xlpm._factorFunction($B66,Risks!$A:CD,Definitions!$Y:$Y,Definitions!$AB:$AB,4)&amp;CHAR(10)&amp;
_xlpm._factorFunction($B66,Risks!$A:CE,Definitions!$Y:$Y,Definitions!$AB:$AB,5)))</f>
        <v/>
      </c>
      <c r="AE66" s="20" t="str" cm="1">
        <f t="array" aca="1" ref="AE66" ca="1">RemoveDelimiter(SUBSTITUTE(SUBSTITUTE($AB66,"{",""),"}",""),","&amp;CHAR(10))</f>
        <v/>
      </c>
      <c r="AF66" s="20" cm="1">
        <f t="array" aca="1" ref="AF66" ca="1">IF($O66="",0,SimpleLookup($O66,Definitions!$AE:$AF))</f>
        <v>0</v>
      </c>
    </row>
    <row r="67" spans="2:32" x14ac:dyDescent="0.25">
      <c r="B67" s="16" t="str">
        <f ca="1">OFFSET(Risks!$A$2,ROW()-ROW($B$5),0)</f>
        <v/>
      </c>
      <c r="C67" s="33" t="str" cm="1">
        <f t="array" aca="1" ref="C67" ca="1">IF($B67="","",IFERROR(SimpleLookup($B67,'Risk Treatment'!$C:D),"Please ensure that all risks are covered in the "&amp;Helper!$G$14&amp;" sheet. Currently, these risks are not covered: "&amp;'Risk Treatment'!$D$2&amp;"."))</f>
        <v/>
      </c>
      <c r="D67" s="37" t="str" cm="1">
        <f t="array" aca="1" ref="D67" ca="1">IF($B67="","",IFERROR(SimpleLookup($B67,'Risk Treatment'!$C:K),"Please ensure that all risks are covered in the "&amp;Helper!$G$14&amp;" sheet. Currently, these risks are not covered: "&amp;'Risk Treatment'!$D$2&amp;"."))</f>
        <v/>
      </c>
      <c r="E67" s="16" t="str" cm="1">
        <f t="array" aca="1" ref="E67" ca="1">IF($B67="","",IFERROR(SimpleLookup($B67,'Risk Treatment'!$C:L),"Please ensure that all risks are covered in the "&amp;Helper!$G$14&amp;" sheet. Currently, these risks are not covered: "&amp;'Risk Treatment'!$D$2&amp;"."))</f>
        <v/>
      </c>
      <c r="F67" s="34" t="str" cm="1">
        <f t="array" aca="1" ref="F67" ca="1">IF($B67="","",IFERROR(SimpleLookup($B67,'Risk Treatment'!$C:M),"Please ensure that all risks are covered in the "&amp;Helper!$G$14&amp;" sheet. Currently, these risks are not covered: "&amp;'Risk Treatment'!$D$2&amp;"."))</f>
        <v/>
      </c>
      <c r="G67" s="16" t="str" cm="1">
        <f t="array" aca="1" ref="G67" ca="1">IF($B67="","",IFERROR(SimpleLookup($B67,'Risk Treatment'!$C:N),"Please ensure that all risks are covered in the "&amp;Helper!$G$14&amp;" sheet. Currently, these risks are not covered: "&amp;'Risk Treatment'!$D$2&amp;"."))</f>
        <v/>
      </c>
      <c r="H67" s="16" t="str" cm="1">
        <f t="array" aca="1" ref="H67" ca="1">IF($B67="","",IFERROR(SimpleLookup($B67,'Risk Treatment'!$C:J),"Please ensure that all risks are covered in the "&amp;Helper!$G$14&amp;" sheet. Currently, these risks are not covered: "&amp;'Risk Treatment'!$D$2&amp;"."))</f>
        <v/>
      </c>
      <c r="I67" s="33" t="str" cm="1">
        <f t="array" aca="1" ref="I67" ca="1">IF($B67="","",IFERROR(SimpleLookup($B67,'Risk Treatment'!$C:O),"Please ensure that all risks are covered in the "&amp;Helper!$G$14&amp;" sheet. Currently, these risks are not covered: "&amp;'Risk Treatment'!$D$2&amp;"."))</f>
        <v/>
      </c>
      <c r="J67" s="33" t="str" cm="1">
        <f t="array" aca="1" ref="J67" ca="1">_xlfn.LET(
_xlpm._assignedMitigations,IF($B67="","",IFERROR(RemoveDelimiter(GetValuesWithFallback($Z67,Countermeasures!$A:$B,Assumptions!$A:$B," ",","&amp;CHAR(10),TRUE),","&amp;CHAR(10)),"Error: Unknown risk ID "&amp;$B67)),
_xlpm._inlineMitigations,$AE67,
_xlpm._assignedMitigations&amp;
IF(OR(_xlpm._assignedMitigations="",_xlpm._inlineMitigations=""),"",","&amp;CHAR(10))&amp;
_xlpm._inlineMitigations)</f>
        <v/>
      </c>
      <c r="K67" s="37" t="str" cm="1">
        <f t="array" aca="1" ref="K67" ca="1">IF($AC67=-1,"",RemoveDelimiter(GetValues(INDEX(Risks!BN:BN,$AC67),'DS Overview'!$A:$B," ",","&amp;CHAR(10),TRUE),","&amp;CHAR(10)))</f>
        <v/>
      </c>
      <c r="L67" s="33" t="str" cm="1">
        <f t="array" aca="1" ref="L67" ca="1">IF($AC67=-1,"",INDEX(Risks!BP:BP,$AC67))</f>
        <v/>
      </c>
      <c r="M67" s="34" t="str" cm="1">
        <f t="array" aca="1" ref="M67" ca="1">_xlfn.LET(
_xlpm._calculatedRAP,IFERROR(SimpleLookup($B67,Risks!$A:$BG),""),
_xlpm._inlineRAP,IFERROR(SimpleLookup($B67,Risks!$A:$BH),""),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IF(_xlpm._calculatedValue&gt;=_xlpm._inlineValue,$AD67,
_xlpm._mitigationSheetName&amp;" sheet "&amp;_xlfn.UNICHAR(8702)&amp;" Comment column:"&amp;CHAR(10)&amp;$AE67)))</f>
        <v/>
      </c>
      <c r="N67" s="33" t="str" cm="1">
        <f t="array" aca="1" ref="N67" ca="1">IF($AC67=-1,"",INDEX(Risks!CN:CN,$AC67))</f>
        <v>Basic</v>
      </c>
      <c r="O67" s="33" t="str" cm="1">
        <f t="array" aca="1" ref="O67" ca="1">IF($AC67=-1,"",INDEX(Risks!CO:CO,$AC67))</f>
        <v>No Risk</v>
      </c>
      <c r="P67" s="33" t="str">
        <f ca="1">IF($C67="","",IF($AF67&lt;=Definitions!$AF$6,Definitions!$M$4,""))</f>
        <v/>
      </c>
      <c r="Q67" s="23"/>
      <c r="R67" s="33" t="str">
        <f t="shared" ca="1" si="1"/>
        <v/>
      </c>
      <c r="S67" s="23"/>
      <c r="T67" s="13"/>
      <c r="U67" s="10" cm="1">
        <f t="array" aca="1" ref="U67" ca="1">GenerateShadowID(ROW(),$U$5,$U:$U,0,B67&lt;&gt;"")</f>
        <v>0</v>
      </c>
      <c r="V67" s="10" cm="1">
        <f t="array" ref="V67">CreateTaskID($V$5,$V:$V,Tasks!$B$17,$T67)</f>
        <v>0</v>
      </c>
      <c r="W67" s="14" t="str" cm="1">
        <f t="array" aca="1" ref="W67" ca="1">IF($B67="","",SimpleLookup($B67,'Risk Treatment'!$C:$AW))</f>
        <v/>
      </c>
      <c r="X67" s="14" t="str" cm="1">
        <f t="array" aca="1" ref="X67" ca="1">IF($B67="","",_xlfn.LET(_xlpm._attackSteps,SimpleLookup($B67,'Risk Treatment'!$C:$Y),GetValues(_xlpm._attackSteps,Mitigation!$A:$AG,"",CHAR(1),FALSE)))</f>
        <v/>
      </c>
      <c r="Y67" s="14" t="str" cm="1">
        <f t="array" aca="1" ref="Y67"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ParseInlineMitigationString(_xlpm._remainingString,_xlpm._delimiter))))($X67,CHAR(1))</f>
        <v/>
      </c>
      <c r="Z67" s="14" t="str" cm="1">
        <f t="array" aca="1" ref="Z67" ca="1">FilterElementsFromList($W67,Helper!$J$4,TRUE,",")</f>
        <v/>
      </c>
      <c r="AA67" s="14" t="str" cm="1">
        <f t="array" aca="1" ref="AA67" ca="1">FilterElementsFromList($Y67,Helper!$J$4,TRUE,",")</f>
        <v/>
      </c>
      <c r="AB67" s="20" t="str" cm="1">
        <f t="array" aca="1" ref="AB67"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CreateConfirmedInlineMitigations(_xlpm._remainingString,_xlpm._confirmedCandAIDs,_xlpm._delimiterSearchString,_xlpm._delimiterResultString))))($X67,CreateSearchString($AA67),CHAR(1),","&amp;CHAR(10))</f>
        <v/>
      </c>
      <c r="AC67" s="20">
        <f ca="1">IFERROR(MATCH($B67,Risks!$A:$A,0),-1)</f>
        <v>3</v>
      </c>
      <c r="AD67" s="20" t="str" cm="1">
        <f t="array" aca="1" ref="AD67" ca="1">IF($B67="","",_xlfn.LET(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_xlpm._factorFunction($B67,Risks!$A:CA,Definitions!$Y:$Y,Definitions!$AB:$AB,1)&amp;CHAR(10)&amp;
_xlpm._factorFunction($B67,Risks!$A:CB,Definitions!$Y:$Y,Definitions!$AB:$AB,2)&amp;CHAR(10)&amp;
_xlpm._factorFunction($B67,Risks!$A:CC,Definitions!$Y:$Y,Definitions!$AB:$AB,3)&amp;CHAR(10)&amp;
_xlpm._factorFunction($B67,Risks!$A:CD,Definitions!$Y:$Y,Definitions!$AB:$AB,4)&amp;CHAR(10)&amp;
_xlpm._factorFunction($B67,Risks!$A:CE,Definitions!$Y:$Y,Definitions!$AB:$AB,5)))</f>
        <v/>
      </c>
      <c r="AE67" s="20" t="str" cm="1">
        <f t="array" aca="1" ref="AE67" ca="1">RemoveDelimiter(SUBSTITUTE(SUBSTITUTE($AB67,"{",""),"}",""),","&amp;CHAR(10))</f>
        <v/>
      </c>
      <c r="AF67" s="20" cm="1">
        <f t="array" aca="1" ref="AF67" ca="1">IF($O67="",0,SimpleLookup($O67,Definitions!$AE:$AF))</f>
        <v>0</v>
      </c>
    </row>
    <row r="68" spans="2:32" x14ac:dyDescent="0.25">
      <c r="B68" s="16" t="str">
        <f ca="1">OFFSET(Risks!$A$2,ROW()-ROW($B$5),0)</f>
        <v/>
      </c>
      <c r="C68" s="33" t="str" cm="1">
        <f t="array" aca="1" ref="C68" ca="1">IF($B68="","",IFERROR(SimpleLookup($B68,'Risk Treatment'!$C:D),"Please ensure that all risks are covered in the "&amp;Helper!$G$14&amp;" sheet. Currently, these risks are not covered: "&amp;'Risk Treatment'!$D$2&amp;"."))</f>
        <v/>
      </c>
      <c r="D68" s="37" t="str" cm="1">
        <f t="array" aca="1" ref="D68" ca="1">IF($B68="","",IFERROR(SimpleLookup($B68,'Risk Treatment'!$C:K),"Please ensure that all risks are covered in the "&amp;Helper!$G$14&amp;" sheet. Currently, these risks are not covered: "&amp;'Risk Treatment'!$D$2&amp;"."))</f>
        <v/>
      </c>
      <c r="E68" s="16" t="str" cm="1">
        <f t="array" aca="1" ref="E68" ca="1">IF($B68="","",IFERROR(SimpleLookup($B68,'Risk Treatment'!$C:L),"Please ensure that all risks are covered in the "&amp;Helper!$G$14&amp;" sheet. Currently, these risks are not covered: "&amp;'Risk Treatment'!$D$2&amp;"."))</f>
        <v/>
      </c>
      <c r="F68" s="34" t="str" cm="1">
        <f t="array" aca="1" ref="F68" ca="1">IF($B68="","",IFERROR(SimpleLookup($B68,'Risk Treatment'!$C:M),"Please ensure that all risks are covered in the "&amp;Helper!$G$14&amp;" sheet. Currently, these risks are not covered: "&amp;'Risk Treatment'!$D$2&amp;"."))</f>
        <v/>
      </c>
      <c r="G68" s="16" t="str" cm="1">
        <f t="array" aca="1" ref="G68" ca="1">IF($B68="","",IFERROR(SimpleLookup($B68,'Risk Treatment'!$C:N),"Please ensure that all risks are covered in the "&amp;Helper!$G$14&amp;" sheet. Currently, these risks are not covered: "&amp;'Risk Treatment'!$D$2&amp;"."))</f>
        <v/>
      </c>
      <c r="H68" s="16" t="str" cm="1">
        <f t="array" aca="1" ref="H68" ca="1">IF($B68="","",IFERROR(SimpleLookup($B68,'Risk Treatment'!$C:J),"Please ensure that all risks are covered in the "&amp;Helper!$G$14&amp;" sheet. Currently, these risks are not covered: "&amp;'Risk Treatment'!$D$2&amp;"."))</f>
        <v/>
      </c>
      <c r="I68" s="33" t="str" cm="1">
        <f t="array" aca="1" ref="I68" ca="1">IF($B68="","",IFERROR(SimpleLookup($B68,'Risk Treatment'!$C:O),"Please ensure that all risks are covered in the "&amp;Helper!$G$14&amp;" sheet. Currently, these risks are not covered: "&amp;'Risk Treatment'!$D$2&amp;"."))</f>
        <v/>
      </c>
      <c r="J68" s="33" t="str" cm="1">
        <f t="array" aca="1" ref="J68" ca="1">_xlfn.LET(
_xlpm._assignedMitigations,IF($B68="","",IFERROR(RemoveDelimiter(GetValuesWithFallback($Z68,Countermeasures!$A:$B,Assumptions!$A:$B," ",","&amp;CHAR(10),TRUE),","&amp;CHAR(10)),"Error: Unknown risk ID "&amp;$B68)),
_xlpm._inlineMitigations,$AE68,
_xlpm._assignedMitigations&amp;
IF(OR(_xlpm._assignedMitigations="",_xlpm._inlineMitigations=""),"",","&amp;CHAR(10))&amp;
_xlpm._inlineMitigations)</f>
        <v/>
      </c>
      <c r="K68" s="37" t="str" cm="1">
        <f t="array" aca="1" ref="K68" ca="1">IF($AC68=-1,"",RemoveDelimiter(GetValues(INDEX(Risks!BN:BN,$AC68),'DS Overview'!$A:$B," ",","&amp;CHAR(10),TRUE),","&amp;CHAR(10)))</f>
        <v/>
      </c>
      <c r="L68" s="33" t="str" cm="1">
        <f t="array" aca="1" ref="L68" ca="1">IF($AC68=-1,"",INDEX(Risks!BP:BP,$AC68))</f>
        <v/>
      </c>
      <c r="M68" s="34" t="str" cm="1">
        <f t="array" aca="1" ref="M68" ca="1">_xlfn.LET(
_xlpm._calculatedRAP,IFERROR(SimpleLookup($B68,Risks!$A:$BG),""),
_xlpm._inlineRAP,IFERROR(SimpleLookup($B68,Risks!$A:$BH),""),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IF(_xlpm._calculatedValue&gt;=_xlpm._inlineValue,$AD68,
_xlpm._mitigationSheetName&amp;" sheet "&amp;_xlfn.UNICHAR(8702)&amp;" Comment column:"&amp;CHAR(10)&amp;$AE68)))</f>
        <v/>
      </c>
      <c r="N68" s="33" t="str" cm="1">
        <f t="array" aca="1" ref="N68" ca="1">IF($AC68=-1,"",INDEX(Risks!CN:CN,$AC68))</f>
        <v>Basic</v>
      </c>
      <c r="O68" s="33" t="str" cm="1">
        <f t="array" aca="1" ref="O68" ca="1">IF($AC68=-1,"",INDEX(Risks!CO:CO,$AC68))</f>
        <v>No Risk</v>
      </c>
      <c r="P68" s="33" t="str">
        <f ca="1">IF($C68="","",IF($AF68&lt;=Definitions!$AF$6,Definitions!$M$4,""))</f>
        <v/>
      </c>
      <c r="Q68" s="23"/>
      <c r="R68" s="33" t="str">
        <f t="shared" ca="1" si="1"/>
        <v/>
      </c>
      <c r="S68" s="23"/>
      <c r="T68" s="13"/>
      <c r="U68" s="10" cm="1">
        <f t="array" aca="1" ref="U68" ca="1">GenerateShadowID(ROW(),$U$5,$U:$U,0,B68&lt;&gt;"")</f>
        <v>0</v>
      </c>
      <c r="V68" s="10" cm="1">
        <f t="array" ref="V68">CreateTaskID($V$5,$V:$V,Tasks!$B$17,$T68)</f>
        <v>0</v>
      </c>
      <c r="W68" s="14" t="str" cm="1">
        <f t="array" aca="1" ref="W68" ca="1">IF($B68="","",SimpleLookup($B68,'Risk Treatment'!$C:$AW))</f>
        <v/>
      </c>
      <c r="X68" s="14" t="str" cm="1">
        <f t="array" aca="1" ref="X68" ca="1">IF($B68="","",_xlfn.LET(_xlpm._attackSteps,SimpleLookup($B68,'Risk Treatment'!$C:$Y),GetValues(_xlpm._attackSteps,Mitigation!$A:$AG,"",CHAR(1),FALSE)))</f>
        <v/>
      </c>
      <c r="Y68" s="14" t="str" cm="1">
        <f t="array" aca="1" ref="Y68"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ParseInlineMitigationString(_xlpm._remainingString,_xlpm._delimiter))))($X68,CHAR(1))</f>
        <v/>
      </c>
      <c r="Z68" s="14" t="str" cm="1">
        <f t="array" aca="1" ref="Z68" ca="1">FilterElementsFromList($W68,Helper!$J$4,TRUE,",")</f>
        <v/>
      </c>
      <c r="AA68" s="14" t="str" cm="1">
        <f t="array" aca="1" ref="AA68" ca="1">FilterElementsFromList($Y68,Helper!$J$4,TRUE,",")</f>
        <v/>
      </c>
      <c r="AB68" s="20" t="str" cm="1">
        <f t="array" aca="1" ref="AB68"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CreateConfirmedInlineMitigations(_xlpm._remainingString,_xlpm._confirmedCandAIDs,_xlpm._delimiterSearchString,_xlpm._delimiterResultString))))($X68,CreateSearchString($AA68),CHAR(1),","&amp;CHAR(10))</f>
        <v/>
      </c>
      <c r="AC68" s="20">
        <f ca="1">IFERROR(MATCH($B68,Risks!$A:$A,0),-1)</f>
        <v>3</v>
      </c>
      <c r="AD68" s="20" t="str" cm="1">
        <f t="array" aca="1" ref="AD68" ca="1">IF($B68="","",_xlfn.LET(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_xlpm._factorFunction($B68,Risks!$A:CA,Definitions!$Y:$Y,Definitions!$AB:$AB,1)&amp;CHAR(10)&amp;
_xlpm._factorFunction($B68,Risks!$A:CB,Definitions!$Y:$Y,Definitions!$AB:$AB,2)&amp;CHAR(10)&amp;
_xlpm._factorFunction($B68,Risks!$A:CC,Definitions!$Y:$Y,Definitions!$AB:$AB,3)&amp;CHAR(10)&amp;
_xlpm._factorFunction($B68,Risks!$A:CD,Definitions!$Y:$Y,Definitions!$AB:$AB,4)&amp;CHAR(10)&amp;
_xlpm._factorFunction($B68,Risks!$A:CE,Definitions!$Y:$Y,Definitions!$AB:$AB,5)))</f>
        <v/>
      </c>
      <c r="AE68" s="20" t="str" cm="1">
        <f t="array" aca="1" ref="AE68" ca="1">RemoveDelimiter(SUBSTITUTE(SUBSTITUTE($AB68,"{",""),"}",""),","&amp;CHAR(10))</f>
        <v/>
      </c>
      <c r="AF68" s="20" cm="1">
        <f t="array" aca="1" ref="AF68" ca="1">IF($O68="",0,SimpleLookup($O68,Definitions!$AE:$AF))</f>
        <v>0</v>
      </c>
    </row>
    <row r="69" spans="2:32" x14ac:dyDescent="0.25">
      <c r="B69" s="16" t="str">
        <f ca="1">OFFSET(Risks!$A$2,ROW()-ROW($B$5),0)</f>
        <v/>
      </c>
      <c r="C69" s="33" t="str" cm="1">
        <f t="array" aca="1" ref="C69" ca="1">IF($B69="","",IFERROR(SimpleLookup($B69,'Risk Treatment'!$C:D),"Please ensure that all risks are covered in the "&amp;Helper!$G$14&amp;" sheet. Currently, these risks are not covered: "&amp;'Risk Treatment'!$D$2&amp;"."))</f>
        <v/>
      </c>
      <c r="D69" s="37" t="str" cm="1">
        <f t="array" aca="1" ref="D69" ca="1">IF($B69="","",IFERROR(SimpleLookup($B69,'Risk Treatment'!$C:K),"Please ensure that all risks are covered in the "&amp;Helper!$G$14&amp;" sheet. Currently, these risks are not covered: "&amp;'Risk Treatment'!$D$2&amp;"."))</f>
        <v/>
      </c>
      <c r="E69" s="16" t="str" cm="1">
        <f t="array" aca="1" ref="E69" ca="1">IF($B69="","",IFERROR(SimpleLookup($B69,'Risk Treatment'!$C:L),"Please ensure that all risks are covered in the "&amp;Helper!$G$14&amp;" sheet. Currently, these risks are not covered: "&amp;'Risk Treatment'!$D$2&amp;"."))</f>
        <v/>
      </c>
      <c r="F69" s="34" t="str" cm="1">
        <f t="array" aca="1" ref="F69" ca="1">IF($B69="","",IFERROR(SimpleLookup($B69,'Risk Treatment'!$C:M),"Please ensure that all risks are covered in the "&amp;Helper!$G$14&amp;" sheet. Currently, these risks are not covered: "&amp;'Risk Treatment'!$D$2&amp;"."))</f>
        <v/>
      </c>
      <c r="G69" s="16" t="str" cm="1">
        <f t="array" aca="1" ref="G69" ca="1">IF($B69="","",IFERROR(SimpleLookup($B69,'Risk Treatment'!$C:N),"Please ensure that all risks are covered in the "&amp;Helper!$G$14&amp;" sheet. Currently, these risks are not covered: "&amp;'Risk Treatment'!$D$2&amp;"."))</f>
        <v/>
      </c>
      <c r="H69" s="16" t="str" cm="1">
        <f t="array" aca="1" ref="H69" ca="1">IF($B69="","",IFERROR(SimpleLookup($B69,'Risk Treatment'!$C:J),"Please ensure that all risks are covered in the "&amp;Helper!$G$14&amp;" sheet. Currently, these risks are not covered: "&amp;'Risk Treatment'!$D$2&amp;"."))</f>
        <v/>
      </c>
      <c r="I69" s="33" t="str" cm="1">
        <f t="array" aca="1" ref="I69" ca="1">IF($B69="","",IFERROR(SimpleLookup($B69,'Risk Treatment'!$C:O),"Please ensure that all risks are covered in the "&amp;Helper!$G$14&amp;" sheet. Currently, these risks are not covered: "&amp;'Risk Treatment'!$D$2&amp;"."))</f>
        <v/>
      </c>
      <c r="J69" s="33" t="str" cm="1">
        <f t="array" aca="1" ref="J69" ca="1">_xlfn.LET(
_xlpm._assignedMitigations,IF($B69="","",IFERROR(RemoveDelimiter(GetValuesWithFallback($Z69,Countermeasures!$A:$B,Assumptions!$A:$B," ",","&amp;CHAR(10),TRUE),","&amp;CHAR(10)),"Error: Unknown risk ID "&amp;$B69)),
_xlpm._inlineMitigations,$AE69,
_xlpm._assignedMitigations&amp;
IF(OR(_xlpm._assignedMitigations="",_xlpm._inlineMitigations=""),"",","&amp;CHAR(10))&amp;
_xlpm._inlineMitigations)</f>
        <v/>
      </c>
      <c r="K69" s="37" t="str" cm="1">
        <f t="array" aca="1" ref="K69" ca="1">IF($AC69=-1,"",RemoveDelimiter(GetValues(INDEX(Risks!BN:BN,$AC69),'DS Overview'!$A:$B," ",","&amp;CHAR(10),TRUE),","&amp;CHAR(10)))</f>
        <v/>
      </c>
      <c r="L69" s="33" t="str" cm="1">
        <f t="array" aca="1" ref="L69" ca="1">IF($AC69=-1,"",INDEX(Risks!BP:BP,$AC69))</f>
        <v/>
      </c>
      <c r="M69" s="34" t="str" cm="1">
        <f t="array" aca="1" ref="M69" ca="1">_xlfn.LET(
_xlpm._calculatedRAP,IFERROR(SimpleLookup($B69,Risks!$A:$BG),""),
_xlpm._inlineRAP,IFERROR(SimpleLookup($B69,Risks!$A:$BH),""),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IF(_xlpm._calculatedValue&gt;=_xlpm._inlineValue,$AD69,
_xlpm._mitigationSheetName&amp;" sheet "&amp;_xlfn.UNICHAR(8702)&amp;" Comment column:"&amp;CHAR(10)&amp;$AE69)))</f>
        <v/>
      </c>
      <c r="N69" s="33" t="str" cm="1">
        <f t="array" aca="1" ref="N69" ca="1">IF($AC69=-1,"",INDEX(Risks!CN:CN,$AC69))</f>
        <v>Basic</v>
      </c>
      <c r="O69" s="33" t="str" cm="1">
        <f t="array" aca="1" ref="O69" ca="1">IF($AC69=-1,"",INDEX(Risks!CO:CO,$AC69))</f>
        <v>No Risk</v>
      </c>
      <c r="P69" s="33" t="str">
        <f ca="1">IF($C69="","",IF($AF69&lt;=Definitions!$AF$6,Definitions!$M$4,""))</f>
        <v/>
      </c>
      <c r="Q69" s="23"/>
      <c r="R69" s="33" t="str">
        <f t="shared" ca="1" si="1"/>
        <v/>
      </c>
      <c r="S69" s="23"/>
      <c r="T69" s="13"/>
      <c r="U69" s="10" cm="1">
        <f t="array" aca="1" ref="U69" ca="1">GenerateShadowID(ROW(),$U$5,$U:$U,0,B69&lt;&gt;"")</f>
        <v>0</v>
      </c>
      <c r="V69" s="10" cm="1">
        <f t="array" ref="V69">CreateTaskID($V$5,$V:$V,Tasks!$B$17,$T69)</f>
        <v>0</v>
      </c>
      <c r="W69" s="14" t="str" cm="1">
        <f t="array" aca="1" ref="W69" ca="1">IF($B69="","",SimpleLookup($B69,'Risk Treatment'!$C:$AW))</f>
        <v/>
      </c>
      <c r="X69" s="14" t="str" cm="1">
        <f t="array" aca="1" ref="X69" ca="1">IF($B69="","",_xlfn.LET(_xlpm._attackSteps,SimpleLookup($B69,'Risk Treatment'!$C:$Y),GetValues(_xlpm._attackSteps,Mitigation!$A:$AG,"",CHAR(1),FALSE)))</f>
        <v/>
      </c>
      <c r="Y69" s="14" t="str" cm="1">
        <f t="array" aca="1" ref="Y69"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ParseInlineMitigationString(_xlpm._remainingString,_xlpm._delimiter))))($X69,CHAR(1))</f>
        <v/>
      </c>
      <c r="Z69" s="14" t="str" cm="1">
        <f t="array" aca="1" ref="Z69" ca="1">FilterElementsFromList($W69,Helper!$J$4,TRUE,",")</f>
        <v/>
      </c>
      <c r="AA69" s="14" t="str" cm="1">
        <f t="array" aca="1" ref="AA69" ca="1">FilterElementsFromList($Y69,Helper!$J$4,TRUE,",")</f>
        <v/>
      </c>
      <c r="AB69" s="20" t="str" cm="1">
        <f t="array" aca="1" ref="AB69"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CreateConfirmedInlineMitigations(_xlpm._remainingString,_xlpm._confirmedCandAIDs,_xlpm._delimiterSearchString,_xlpm._delimiterResultString))))($X69,CreateSearchString($AA69),CHAR(1),","&amp;CHAR(10))</f>
        <v/>
      </c>
      <c r="AC69" s="20">
        <f ca="1">IFERROR(MATCH($B69,Risks!$A:$A,0),-1)</f>
        <v>3</v>
      </c>
      <c r="AD69" s="20" t="str" cm="1">
        <f t="array" aca="1" ref="AD69" ca="1">IF($B69="","",_xlfn.LET(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_xlpm._factorFunction($B69,Risks!$A:CA,Definitions!$Y:$Y,Definitions!$AB:$AB,1)&amp;CHAR(10)&amp;
_xlpm._factorFunction($B69,Risks!$A:CB,Definitions!$Y:$Y,Definitions!$AB:$AB,2)&amp;CHAR(10)&amp;
_xlpm._factorFunction($B69,Risks!$A:CC,Definitions!$Y:$Y,Definitions!$AB:$AB,3)&amp;CHAR(10)&amp;
_xlpm._factorFunction($B69,Risks!$A:CD,Definitions!$Y:$Y,Definitions!$AB:$AB,4)&amp;CHAR(10)&amp;
_xlpm._factorFunction($B69,Risks!$A:CE,Definitions!$Y:$Y,Definitions!$AB:$AB,5)))</f>
        <v/>
      </c>
      <c r="AE69" s="20" t="str" cm="1">
        <f t="array" aca="1" ref="AE69" ca="1">RemoveDelimiter(SUBSTITUTE(SUBSTITUTE($AB69,"{",""),"}",""),","&amp;CHAR(10))</f>
        <v/>
      </c>
      <c r="AF69" s="20" cm="1">
        <f t="array" aca="1" ref="AF69" ca="1">IF($O69="",0,SimpleLookup($O69,Definitions!$AE:$AF))</f>
        <v>0</v>
      </c>
    </row>
    <row r="70" spans="2:32" x14ac:dyDescent="0.25">
      <c r="B70" s="16" t="str">
        <f ca="1">OFFSET(Risks!$A$2,ROW()-ROW($B$5),0)</f>
        <v/>
      </c>
      <c r="C70" s="33" t="str" cm="1">
        <f t="array" aca="1" ref="C70" ca="1">IF($B70="","",IFERROR(SimpleLookup($B70,'Risk Treatment'!$C:D),"Please ensure that all risks are covered in the "&amp;Helper!$G$14&amp;" sheet. Currently, these risks are not covered: "&amp;'Risk Treatment'!$D$2&amp;"."))</f>
        <v/>
      </c>
      <c r="D70" s="37" t="str" cm="1">
        <f t="array" aca="1" ref="D70" ca="1">IF($B70="","",IFERROR(SimpleLookup($B70,'Risk Treatment'!$C:K),"Please ensure that all risks are covered in the "&amp;Helper!$G$14&amp;" sheet. Currently, these risks are not covered: "&amp;'Risk Treatment'!$D$2&amp;"."))</f>
        <v/>
      </c>
      <c r="E70" s="16" t="str" cm="1">
        <f t="array" aca="1" ref="E70" ca="1">IF($B70="","",IFERROR(SimpleLookup($B70,'Risk Treatment'!$C:L),"Please ensure that all risks are covered in the "&amp;Helper!$G$14&amp;" sheet. Currently, these risks are not covered: "&amp;'Risk Treatment'!$D$2&amp;"."))</f>
        <v/>
      </c>
      <c r="F70" s="34" t="str" cm="1">
        <f t="array" aca="1" ref="F70" ca="1">IF($B70="","",IFERROR(SimpleLookup($B70,'Risk Treatment'!$C:M),"Please ensure that all risks are covered in the "&amp;Helper!$G$14&amp;" sheet. Currently, these risks are not covered: "&amp;'Risk Treatment'!$D$2&amp;"."))</f>
        <v/>
      </c>
      <c r="G70" s="16" t="str" cm="1">
        <f t="array" aca="1" ref="G70" ca="1">IF($B70="","",IFERROR(SimpleLookup($B70,'Risk Treatment'!$C:N),"Please ensure that all risks are covered in the "&amp;Helper!$G$14&amp;" sheet. Currently, these risks are not covered: "&amp;'Risk Treatment'!$D$2&amp;"."))</f>
        <v/>
      </c>
      <c r="H70" s="16" t="str" cm="1">
        <f t="array" aca="1" ref="H70" ca="1">IF($B70="","",IFERROR(SimpleLookup($B70,'Risk Treatment'!$C:J),"Please ensure that all risks are covered in the "&amp;Helper!$G$14&amp;" sheet. Currently, these risks are not covered: "&amp;'Risk Treatment'!$D$2&amp;"."))</f>
        <v/>
      </c>
      <c r="I70" s="33" t="str" cm="1">
        <f t="array" aca="1" ref="I70" ca="1">IF($B70="","",IFERROR(SimpleLookup($B70,'Risk Treatment'!$C:O),"Please ensure that all risks are covered in the "&amp;Helper!$G$14&amp;" sheet. Currently, these risks are not covered: "&amp;'Risk Treatment'!$D$2&amp;"."))</f>
        <v/>
      </c>
      <c r="J70" s="33" t="str" cm="1">
        <f t="array" aca="1" ref="J70" ca="1">_xlfn.LET(
_xlpm._assignedMitigations,IF($B70="","",IFERROR(RemoveDelimiter(GetValuesWithFallback($Z70,Countermeasures!$A:$B,Assumptions!$A:$B," ",","&amp;CHAR(10),TRUE),","&amp;CHAR(10)),"Error: Unknown risk ID "&amp;$B70)),
_xlpm._inlineMitigations,$AE70,
_xlpm._assignedMitigations&amp;
IF(OR(_xlpm._assignedMitigations="",_xlpm._inlineMitigations=""),"",","&amp;CHAR(10))&amp;
_xlpm._inlineMitigations)</f>
        <v/>
      </c>
      <c r="K70" s="37" t="str" cm="1">
        <f t="array" aca="1" ref="K70" ca="1">IF($AC70=-1,"",RemoveDelimiter(GetValues(INDEX(Risks!BN:BN,$AC70),'DS Overview'!$A:$B," ",","&amp;CHAR(10),TRUE),","&amp;CHAR(10)))</f>
        <v/>
      </c>
      <c r="L70" s="33" t="str" cm="1">
        <f t="array" aca="1" ref="L70" ca="1">IF($AC70=-1,"",INDEX(Risks!BP:BP,$AC70))</f>
        <v/>
      </c>
      <c r="M70" s="34" t="str" cm="1">
        <f t="array" aca="1" ref="M70" ca="1">_xlfn.LET(
_xlpm._calculatedRAP,IFERROR(SimpleLookup($B70,Risks!$A:$BG),""),
_xlpm._inlineRAP,IFERROR(SimpleLookup($B70,Risks!$A:$BH),""),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IF(_xlpm._calculatedValue&gt;=_xlpm._inlineValue,$AD70,
_xlpm._mitigationSheetName&amp;" sheet "&amp;_xlfn.UNICHAR(8702)&amp;" Comment column:"&amp;CHAR(10)&amp;$AE70)))</f>
        <v/>
      </c>
      <c r="N70" s="33" t="str" cm="1">
        <f t="array" aca="1" ref="N70" ca="1">IF($AC70=-1,"",INDEX(Risks!CN:CN,$AC70))</f>
        <v>Basic</v>
      </c>
      <c r="O70" s="33" t="str" cm="1">
        <f t="array" aca="1" ref="O70" ca="1">IF($AC70=-1,"",INDEX(Risks!CO:CO,$AC70))</f>
        <v>No Risk</v>
      </c>
      <c r="P70" s="33" t="str">
        <f ca="1">IF($C70="","",IF($AF70&lt;=Definitions!$AF$6,Definitions!$M$4,""))</f>
        <v/>
      </c>
      <c r="Q70" s="23"/>
      <c r="R70" s="33" t="str">
        <f t="shared" ca="1" si="1"/>
        <v/>
      </c>
      <c r="S70" s="23"/>
      <c r="T70" s="13"/>
      <c r="U70" s="10" cm="1">
        <f t="array" aca="1" ref="U70" ca="1">GenerateShadowID(ROW(),$U$5,$U:$U,0,B70&lt;&gt;"")</f>
        <v>0</v>
      </c>
      <c r="V70" s="10" cm="1">
        <f t="array" ref="V70">CreateTaskID($V$5,$V:$V,Tasks!$B$17,$T70)</f>
        <v>0</v>
      </c>
      <c r="W70" s="14" t="str" cm="1">
        <f t="array" aca="1" ref="W70" ca="1">IF($B70="","",SimpleLookup($B70,'Risk Treatment'!$C:$AW))</f>
        <v/>
      </c>
      <c r="X70" s="14" t="str" cm="1">
        <f t="array" aca="1" ref="X70" ca="1">IF($B70="","",_xlfn.LET(_xlpm._attackSteps,SimpleLookup($B70,'Risk Treatment'!$C:$Y),GetValues(_xlpm._attackSteps,Mitigation!$A:$AG,"",CHAR(1),FALSE)))</f>
        <v/>
      </c>
      <c r="Y70" s="14" t="str" cm="1">
        <f t="array" aca="1" ref="Y70"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ParseInlineMitigationString(_xlpm._remainingString,_xlpm._delimiter))))($X70,CHAR(1))</f>
        <v/>
      </c>
      <c r="Z70" s="14" t="str" cm="1">
        <f t="array" aca="1" ref="Z70" ca="1">FilterElementsFromList($W70,Helper!$J$4,TRUE,",")</f>
        <v/>
      </c>
      <c r="AA70" s="14" t="str" cm="1">
        <f t="array" aca="1" ref="AA70" ca="1">FilterElementsFromList($Y70,Helper!$J$4,TRUE,",")</f>
        <v/>
      </c>
      <c r="AB70" s="20" t="str" cm="1">
        <f t="array" aca="1" ref="AB70"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CreateConfirmedInlineMitigations(_xlpm._remainingString,_xlpm._confirmedCandAIDs,_xlpm._delimiterSearchString,_xlpm._delimiterResultString))))($X70,CreateSearchString($AA70),CHAR(1),","&amp;CHAR(10))</f>
        <v/>
      </c>
      <c r="AC70" s="20">
        <f ca="1">IFERROR(MATCH($B70,Risks!$A:$A,0),-1)</f>
        <v>3</v>
      </c>
      <c r="AD70" s="20" t="str" cm="1">
        <f t="array" aca="1" ref="AD70" ca="1">IF($B70="","",_xlfn.LET(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_xlpm._factorFunction($B70,Risks!$A:CA,Definitions!$Y:$Y,Definitions!$AB:$AB,1)&amp;CHAR(10)&amp;
_xlpm._factorFunction($B70,Risks!$A:CB,Definitions!$Y:$Y,Definitions!$AB:$AB,2)&amp;CHAR(10)&amp;
_xlpm._factorFunction($B70,Risks!$A:CC,Definitions!$Y:$Y,Definitions!$AB:$AB,3)&amp;CHAR(10)&amp;
_xlpm._factorFunction($B70,Risks!$A:CD,Definitions!$Y:$Y,Definitions!$AB:$AB,4)&amp;CHAR(10)&amp;
_xlpm._factorFunction($B70,Risks!$A:CE,Definitions!$Y:$Y,Definitions!$AB:$AB,5)))</f>
        <v/>
      </c>
      <c r="AE70" s="20" t="str" cm="1">
        <f t="array" aca="1" ref="AE70" ca="1">RemoveDelimiter(SUBSTITUTE(SUBSTITUTE($AB70,"{",""),"}",""),","&amp;CHAR(10))</f>
        <v/>
      </c>
      <c r="AF70" s="20" cm="1">
        <f t="array" aca="1" ref="AF70" ca="1">IF($O70="",0,SimpleLookup($O70,Definitions!$AE:$AF))</f>
        <v>0</v>
      </c>
    </row>
    <row r="71" spans="2:32" x14ac:dyDescent="0.25">
      <c r="B71" s="16" t="str">
        <f ca="1">OFFSET(Risks!$A$2,ROW()-ROW($B$5),0)</f>
        <v/>
      </c>
      <c r="C71" s="33" t="str" cm="1">
        <f t="array" aca="1" ref="C71" ca="1">IF($B71="","",IFERROR(SimpleLookup($B71,'Risk Treatment'!$C:D),"Please ensure that all risks are covered in the "&amp;Helper!$G$14&amp;" sheet. Currently, these risks are not covered: "&amp;'Risk Treatment'!$D$2&amp;"."))</f>
        <v/>
      </c>
      <c r="D71" s="37" t="str" cm="1">
        <f t="array" aca="1" ref="D71" ca="1">IF($B71="","",IFERROR(SimpleLookup($B71,'Risk Treatment'!$C:K),"Please ensure that all risks are covered in the "&amp;Helper!$G$14&amp;" sheet. Currently, these risks are not covered: "&amp;'Risk Treatment'!$D$2&amp;"."))</f>
        <v/>
      </c>
      <c r="E71" s="16" t="str" cm="1">
        <f t="array" aca="1" ref="E71" ca="1">IF($B71="","",IFERROR(SimpleLookup($B71,'Risk Treatment'!$C:L),"Please ensure that all risks are covered in the "&amp;Helper!$G$14&amp;" sheet. Currently, these risks are not covered: "&amp;'Risk Treatment'!$D$2&amp;"."))</f>
        <v/>
      </c>
      <c r="F71" s="34" t="str" cm="1">
        <f t="array" aca="1" ref="F71" ca="1">IF($B71="","",IFERROR(SimpleLookup($B71,'Risk Treatment'!$C:M),"Please ensure that all risks are covered in the "&amp;Helper!$G$14&amp;" sheet. Currently, these risks are not covered: "&amp;'Risk Treatment'!$D$2&amp;"."))</f>
        <v/>
      </c>
      <c r="G71" s="16" t="str" cm="1">
        <f t="array" aca="1" ref="G71" ca="1">IF($B71="","",IFERROR(SimpleLookup($B71,'Risk Treatment'!$C:N),"Please ensure that all risks are covered in the "&amp;Helper!$G$14&amp;" sheet. Currently, these risks are not covered: "&amp;'Risk Treatment'!$D$2&amp;"."))</f>
        <v/>
      </c>
      <c r="H71" s="16" t="str" cm="1">
        <f t="array" aca="1" ref="H71" ca="1">IF($B71="","",IFERROR(SimpleLookup($B71,'Risk Treatment'!$C:J),"Please ensure that all risks are covered in the "&amp;Helper!$G$14&amp;" sheet. Currently, these risks are not covered: "&amp;'Risk Treatment'!$D$2&amp;"."))</f>
        <v/>
      </c>
      <c r="I71" s="33" t="str" cm="1">
        <f t="array" aca="1" ref="I71" ca="1">IF($B71="","",IFERROR(SimpleLookup($B71,'Risk Treatment'!$C:O),"Please ensure that all risks are covered in the "&amp;Helper!$G$14&amp;" sheet. Currently, these risks are not covered: "&amp;'Risk Treatment'!$D$2&amp;"."))</f>
        <v/>
      </c>
      <c r="J71" s="33" t="str" cm="1">
        <f t="array" aca="1" ref="J71" ca="1">_xlfn.LET(
_xlpm._assignedMitigations,IF($B71="","",IFERROR(RemoveDelimiter(GetValuesWithFallback($Z71,Countermeasures!$A:$B,Assumptions!$A:$B," ",","&amp;CHAR(10),TRUE),","&amp;CHAR(10)),"Error: Unknown risk ID "&amp;$B71)),
_xlpm._inlineMitigations,$AE71,
_xlpm._assignedMitigations&amp;
IF(OR(_xlpm._assignedMitigations="",_xlpm._inlineMitigations=""),"",","&amp;CHAR(10))&amp;
_xlpm._inlineMitigations)</f>
        <v/>
      </c>
      <c r="K71" s="37" t="str" cm="1">
        <f t="array" aca="1" ref="K71" ca="1">IF($AC71=-1,"",RemoveDelimiter(GetValues(INDEX(Risks!BN:BN,$AC71),'DS Overview'!$A:$B," ",","&amp;CHAR(10),TRUE),","&amp;CHAR(10)))</f>
        <v/>
      </c>
      <c r="L71" s="33" t="str" cm="1">
        <f t="array" aca="1" ref="L71" ca="1">IF($AC71=-1,"",INDEX(Risks!BP:BP,$AC71))</f>
        <v/>
      </c>
      <c r="M71" s="34" t="str" cm="1">
        <f t="array" aca="1" ref="M71" ca="1">_xlfn.LET(
_xlpm._calculatedRAP,IFERROR(SimpleLookup($B71,Risks!$A:$BG),""),
_xlpm._inlineRAP,IFERROR(SimpleLookup($B71,Risks!$A:$BH),""),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IF(_xlpm._calculatedValue&gt;=_xlpm._inlineValue,$AD71,
_xlpm._mitigationSheetName&amp;" sheet "&amp;_xlfn.UNICHAR(8702)&amp;" Comment column:"&amp;CHAR(10)&amp;$AE71)))</f>
        <v/>
      </c>
      <c r="N71" s="33" t="str" cm="1">
        <f t="array" aca="1" ref="N71" ca="1">IF($AC71=-1,"",INDEX(Risks!CN:CN,$AC71))</f>
        <v>Basic</v>
      </c>
      <c r="O71" s="33" t="str" cm="1">
        <f t="array" aca="1" ref="O71" ca="1">IF($AC71=-1,"",INDEX(Risks!CO:CO,$AC71))</f>
        <v>No Risk</v>
      </c>
      <c r="P71" s="33" t="str">
        <f ca="1">IF($C71="","",IF($AF71&lt;=Definitions!$AF$6,Definitions!$M$4,""))</f>
        <v/>
      </c>
      <c r="Q71" s="23"/>
      <c r="R71" s="33" t="str">
        <f t="shared" ca="1" si="1"/>
        <v/>
      </c>
      <c r="S71" s="23"/>
      <c r="T71" s="13"/>
      <c r="U71" s="10" cm="1">
        <f t="array" aca="1" ref="U71" ca="1">GenerateShadowID(ROW(),$U$5,$U:$U,0,B71&lt;&gt;"")</f>
        <v>0</v>
      </c>
      <c r="V71" s="10" cm="1">
        <f t="array" ref="V71">CreateTaskID($V$5,$V:$V,Tasks!$B$17,$T71)</f>
        <v>0</v>
      </c>
      <c r="W71" s="14" t="str" cm="1">
        <f t="array" aca="1" ref="W71" ca="1">IF($B71="","",SimpleLookup($B71,'Risk Treatment'!$C:$AW))</f>
        <v/>
      </c>
      <c r="X71" s="14" t="str" cm="1">
        <f t="array" aca="1" ref="X71" ca="1">IF($B71="","",_xlfn.LET(_xlpm._attackSteps,SimpleLookup($B71,'Risk Treatment'!$C:$Y),GetValues(_xlpm._attackSteps,Mitigation!$A:$AG,"",CHAR(1),FALSE)))</f>
        <v/>
      </c>
      <c r="Y71" s="14" t="str" cm="1">
        <f t="array" aca="1" ref="Y71"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ParseInlineMitigationString(_xlpm._remainingString,_xlpm._delimiter))))($X71,CHAR(1))</f>
        <v/>
      </c>
      <c r="Z71" s="14" t="str" cm="1">
        <f t="array" aca="1" ref="Z71" ca="1">FilterElementsFromList($W71,Helper!$J$4,TRUE,",")</f>
        <v/>
      </c>
      <c r="AA71" s="14" t="str" cm="1">
        <f t="array" aca="1" ref="AA71" ca="1">FilterElementsFromList($Y71,Helper!$J$4,TRUE,",")</f>
        <v/>
      </c>
      <c r="AB71" s="20" t="str" cm="1">
        <f t="array" aca="1" ref="AB71"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CreateConfirmedInlineMitigations(_xlpm._remainingString,_xlpm._confirmedCandAIDs,_xlpm._delimiterSearchString,_xlpm._delimiterResultString))))($X71,CreateSearchString($AA71),CHAR(1),","&amp;CHAR(10))</f>
        <v/>
      </c>
      <c r="AC71" s="20">
        <f ca="1">IFERROR(MATCH($B71,Risks!$A:$A,0),-1)</f>
        <v>3</v>
      </c>
      <c r="AD71" s="20" t="str" cm="1">
        <f t="array" aca="1" ref="AD71" ca="1">IF($B71="","",_xlfn.LET(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_xlpm._factorFunction($B71,Risks!$A:CA,Definitions!$Y:$Y,Definitions!$AB:$AB,1)&amp;CHAR(10)&amp;
_xlpm._factorFunction($B71,Risks!$A:CB,Definitions!$Y:$Y,Definitions!$AB:$AB,2)&amp;CHAR(10)&amp;
_xlpm._factorFunction($B71,Risks!$A:CC,Definitions!$Y:$Y,Definitions!$AB:$AB,3)&amp;CHAR(10)&amp;
_xlpm._factorFunction($B71,Risks!$A:CD,Definitions!$Y:$Y,Definitions!$AB:$AB,4)&amp;CHAR(10)&amp;
_xlpm._factorFunction($B71,Risks!$A:CE,Definitions!$Y:$Y,Definitions!$AB:$AB,5)))</f>
        <v/>
      </c>
      <c r="AE71" s="20" t="str" cm="1">
        <f t="array" aca="1" ref="AE71" ca="1">RemoveDelimiter(SUBSTITUTE(SUBSTITUTE($AB71,"{",""),"}",""),","&amp;CHAR(10))</f>
        <v/>
      </c>
      <c r="AF71" s="20" cm="1">
        <f t="array" aca="1" ref="AF71" ca="1">IF($O71="",0,SimpleLookup($O71,Definitions!$AE:$AF))</f>
        <v>0</v>
      </c>
    </row>
    <row r="72" spans="2:32" x14ac:dyDescent="0.25">
      <c r="B72" s="16" t="str">
        <f ca="1">OFFSET(Risks!$A$2,ROW()-ROW($B$5),0)</f>
        <v/>
      </c>
      <c r="C72" s="33" t="str" cm="1">
        <f t="array" aca="1" ref="C72" ca="1">IF($B72="","",IFERROR(SimpleLookup($B72,'Risk Treatment'!$C:D),"Please ensure that all risks are covered in the "&amp;Helper!$G$14&amp;" sheet. Currently, these risks are not covered: "&amp;'Risk Treatment'!$D$2&amp;"."))</f>
        <v/>
      </c>
      <c r="D72" s="37" t="str" cm="1">
        <f t="array" aca="1" ref="D72" ca="1">IF($B72="","",IFERROR(SimpleLookup($B72,'Risk Treatment'!$C:K),"Please ensure that all risks are covered in the "&amp;Helper!$G$14&amp;" sheet. Currently, these risks are not covered: "&amp;'Risk Treatment'!$D$2&amp;"."))</f>
        <v/>
      </c>
      <c r="E72" s="16" t="str" cm="1">
        <f t="array" aca="1" ref="E72" ca="1">IF($B72="","",IFERROR(SimpleLookup($B72,'Risk Treatment'!$C:L),"Please ensure that all risks are covered in the "&amp;Helper!$G$14&amp;" sheet. Currently, these risks are not covered: "&amp;'Risk Treatment'!$D$2&amp;"."))</f>
        <v/>
      </c>
      <c r="F72" s="34" t="str" cm="1">
        <f t="array" aca="1" ref="F72" ca="1">IF($B72="","",IFERROR(SimpleLookup($B72,'Risk Treatment'!$C:M),"Please ensure that all risks are covered in the "&amp;Helper!$G$14&amp;" sheet. Currently, these risks are not covered: "&amp;'Risk Treatment'!$D$2&amp;"."))</f>
        <v/>
      </c>
      <c r="G72" s="16" t="str" cm="1">
        <f t="array" aca="1" ref="G72" ca="1">IF($B72="","",IFERROR(SimpleLookup($B72,'Risk Treatment'!$C:N),"Please ensure that all risks are covered in the "&amp;Helper!$G$14&amp;" sheet. Currently, these risks are not covered: "&amp;'Risk Treatment'!$D$2&amp;"."))</f>
        <v/>
      </c>
      <c r="H72" s="16" t="str" cm="1">
        <f t="array" aca="1" ref="H72" ca="1">IF($B72="","",IFERROR(SimpleLookup($B72,'Risk Treatment'!$C:J),"Please ensure that all risks are covered in the "&amp;Helper!$G$14&amp;" sheet. Currently, these risks are not covered: "&amp;'Risk Treatment'!$D$2&amp;"."))</f>
        <v/>
      </c>
      <c r="I72" s="33" t="str" cm="1">
        <f t="array" aca="1" ref="I72" ca="1">IF($B72="","",IFERROR(SimpleLookup($B72,'Risk Treatment'!$C:O),"Please ensure that all risks are covered in the "&amp;Helper!$G$14&amp;" sheet. Currently, these risks are not covered: "&amp;'Risk Treatment'!$D$2&amp;"."))</f>
        <v/>
      </c>
      <c r="J72" s="33" t="str" cm="1">
        <f t="array" aca="1" ref="J72" ca="1">_xlfn.LET(
_xlpm._assignedMitigations,IF($B72="","",IFERROR(RemoveDelimiter(GetValuesWithFallback($Z72,Countermeasures!$A:$B,Assumptions!$A:$B," ",","&amp;CHAR(10),TRUE),","&amp;CHAR(10)),"Error: Unknown risk ID "&amp;$B72)),
_xlpm._inlineMitigations,$AE72,
_xlpm._assignedMitigations&amp;
IF(OR(_xlpm._assignedMitigations="",_xlpm._inlineMitigations=""),"",","&amp;CHAR(10))&amp;
_xlpm._inlineMitigations)</f>
        <v/>
      </c>
      <c r="K72" s="37" t="str" cm="1">
        <f t="array" aca="1" ref="K72" ca="1">IF($AC72=-1,"",RemoveDelimiter(GetValues(INDEX(Risks!BN:BN,$AC72),'DS Overview'!$A:$B," ",","&amp;CHAR(10),TRUE),","&amp;CHAR(10)))</f>
        <v/>
      </c>
      <c r="L72" s="33" t="str" cm="1">
        <f t="array" aca="1" ref="L72" ca="1">IF($AC72=-1,"",INDEX(Risks!BP:BP,$AC72))</f>
        <v/>
      </c>
      <c r="M72" s="34" t="str" cm="1">
        <f t="array" aca="1" ref="M72" ca="1">_xlfn.LET(
_xlpm._calculatedRAP,IFERROR(SimpleLookup($B72,Risks!$A:$BG),""),
_xlpm._inlineRAP,IFERROR(SimpleLookup($B72,Risks!$A:$BH),""),
_xlpm._calculatedValue,IFERROR(MATCH(_xlpm._calculatedRAP,Definitions!$W:$W,0),0),
_xlpm._inlineValue,IFERROR(MATCH(_xlpm._inlineRAP,Definitions!$W:$W,0),0),
_xlpm._mitigationSheetAddress,CELL("address",Mitigation!$A$2),
_xlpm._sheetNameStart,FIND("]",_xlpm._mitigationSheetAddress),
_xlpm._sheetNameEnd,FIND("!",_xlpm._mitigationSheetAddress),
_xlpm._mitigationSheetName,SUBSTITUTE(MID(_xlpm._mitigationSheetAddress,_xlpm._sheetNameStart+1,_xlpm._sheetNameEnd-_xlpm._sheetNameStart-1),"'",""),
IF(_xlpm._calculatedValue+_xlpm._inlineValue=0,"",
IF(_xlpm._calculatedValue&gt;=_xlpm._inlineValue,$AD72,
_xlpm._mitigationSheetName&amp;" sheet "&amp;_xlfn.UNICHAR(8702)&amp;" Comment column:"&amp;CHAR(10)&amp;$AE72)))</f>
        <v/>
      </c>
      <c r="N72" s="33" t="str" cm="1">
        <f t="array" aca="1" ref="N72" ca="1">IF($AC72=-1,"",INDEX(Risks!CN:CN,$AC72))</f>
        <v>Basic</v>
      </c>
      <c r="O72" s="33" t="str" cm="1">
        <f t="array" aca="1" ref="O72" ca="1">IF($AC72=-1,"",INDEX(Risks!CO:CO,$AC72))</f>
        <v>No Risk</v>
      </c>
      <c r="P72" s="33" t="str">
        <f ca="1">IF($C72="","",IF($AF72&lt;=Definitions!$AF$6,Definitions!$M$4,""))</f>
        <v/>
      </c>
      <c r="Q72" s="23"/>
      <c r="R72" s="33" t="str">
        <f t="shared" ca="1" si="1"/>
        <v/>
      </c>
      <c r="S72" s="23"/>
      <c r="T72" s="13"/>
      <c r="U72" s="10" cm="1">
        <f t="array" aca="1" ref="U72" ca="1">GenerateShadowID(ROW(),$U$5,$U:$U,0,B72&lt;&gt;"")</f>
        <v>0</v>
      </c>
      <c r="V72" s="10" cm="1">
        <f t="array" ref="V72">CreateTaskID($V$5,$V:$V,Tasks!$B$17,$T72)</f>
        <v>0</v>
      </c>
      <c r="W72" s="14" t="str" cm="1">
        <f t="array" aca="1" ref="W72" ca="1">IF($B72="","",SimpleLookup($B72,'Risk Treatment'!$C:$AW))</f>
        <v/>
      </c>
      <c r="X72" s="14" t="str" cm="1">
        <f t="array" aca="1" ref="X72" ca="1">IF($B72="","",_xlfn.LET(_xlpm._attackSteps,SimpleLookup($B72,'Risk Treatment'!$C:$Y),GetValues(_xlpm._attackSteps,Mitigation!$A:$AG,"",CHAR(1),FALSE)))</f>
        <v/>
      </c>
      <c r="Y72" s="14" t="str" cm="1">
        <f t="array" aca="1" ref="Y72" ca="1">_xlfn.LAMBDA(_xlpm._inlineMitigationString,_xlpm._delimiter,
IF(_xlpm._inlineMitigationString="","",
_xlfn.LET(
_xlpm._id,LEFT(_xlpm._inlineMitigationString,FIND(" ",_xlpm._inlineMitigationString)-1),
_xlpm._remainingString,RIGHT(_xlpm._inlineMitigationString,LEN(_xlpm._inlineMitigationString)-FIND(_xlpm._delimiter,_xlpm._inlineMitigationString)),
_xlpm._id&amp;","&amp;
ParseInlineMitigationString(_xlpm._remainingString,_xlpm._delimiter))))($X72,CHAR(1))</f>
        <v/>
      </c>
      <c r="Z72" s="14" t="str" cm="1">
        <f t="array" aca="1" ref="Z72" ca="1">FilterElementsFromList($W72,Helper!$J$4,TRUE,",")</f>
        <v/>
      </c>
      <c r="AA72" s="14" t="str" cm="1">
        <f t="array" aca="1" ref="AA72" ca="1">FilterElementsFromList($Y72,Helper!$J$4,TRUE,",")</f>
        <v/>
      </c>
      <c r="AB72" s="20" t="str" cm="1">
        <f t="array" aca="1" ref="AB72" ca="1">_xlfn.LAMBDA(_xlpm._inlineCandAString,_xlpm._confirmedCandAIDs,_xlpm._delimiterSearchString,_xlpm._delimiterResultString,
IF(_xlpm._inlineCandAString="","",_xlfn.LET(
_xlpm._delimiterPos,FIND(_xlpm._delimiterSearchString,_xlpm._inlineCandAString),
_xlpm._inlineCorA,LEFT(_xlpm._inlineCandAString,_xlpm._delimiterPos-1),
_xlpm._id,LEFT(_xlpm._inlineCorA,FIND(" ",_xlpm._inlineCorA)-1),
_xlpm._remainingString,RIGHT(_xlpm._inlineCandAString,LEN(_xlpm._inlineCandAString)-_xlpm._delimiterPos),
IF(IFERROR(FIND(","&amp;_xlpm._id&amp;",",_xlpm._confirmedCandAIDs)&gt;0,FALSE),"{"&amp;_xlpm._inlineCorA&amp;"}"&amp;_xlpm._delimiterResultString,"")&amp;
CreateConfirmedInlineMitigations(_xlpm._remainingString,_xlpm._confirmedCandAIDs,_xlpm._delimiterSearchString,_xlpm._delimiterResultString))))($X72,CreateSearchString($AA72),CHAR(1),","&amp;CHAR(10))</f>
        <v/>
      </c>
      <c r="AC72" s="20">
        <f ca="1">IFERROR(MATCH($B72,Risks!$A:$A,0),-1)</f>
        <v>3</v>
      </c>
      <c r="AD72" s="20" t="str" cm="1">
        <f t="array" aca="1" ref="AD72" ca="1">IF($B72="","",_xlfn.LET(
_xlpm._factorFunction,_xlfn.LAMBDA(_xlpm._riskID,_xlpm._range,_xlpm._classesColumn,_xlpm._classNumberColumn,_xlpm._classNumber,
_xlfn.LET(_xlpm._rfString,VLOOKUP(_xlpm._riskID,_xlpm._range,COLUMNS(_xlpm._range),FALSE),
_xlpm._factorValue,LEFT(_xlpm._rfString,FIND(":",_xlpm._rfString)-1),
INDEX(_xlpm._classesColumn,MATCH(_xlpm._classNumber,_xlpm._classNumberColumn,0))&amp;
" ["&amp;_xlpm._factorValue&amp;"]: "&amp;
SUBSTITUTE(RemoveDelimiter(RIGHT(_xlpm._rfString,LEN(_xlpm._rfString)-FIND(":",_xlpm._rfString)),","),",",", "))),
_xlpm._factorFunction($B72,Risks!$A:CA,Definitions!$Y:$Y,Definitions!$AB:$AB,1)&amp;CHAR(10)&amp;
_xlpm._factorFunction($B72,Risks!$A:CB,Definitions!$Y:$Y,Definitions!$AB:$AB,2)&amp;CHAR(10)&amp;
_xlpm._factorFunction($B72,Risks!$A:CC,Definitions!$Y:$Y,Definitions!$AB:$AB,3)&amp;CHAR(10)&amp;
_xlpm._factorFunction($B72,Risks!$A:CD,Definitions!$Y:$Y,Definitions!$AB:$AB,4)&amp;CHAR(10)&amp;
_xlpm._factorFunction($B72,Risks!$A:CE,Definitions!$Y:$Y,Definitions!$AB:$AB,5)))</f>
        <v/>
      </c>
      <c r="AE72" s="20" t="str" cm="1">
        <f t="array" aca="1" ref="AE72" ca="1">RemoveDelimiter(SUBSTITUTE(SUBSTITUTE($AB72,"{",""),"}",""),","&amp;CHAR(10))</f>
        <v/>
      </c>
      <c r="AF72" s="20" cm="1">
        <f t="array" aca="1" ref="AF72" ca="1">IF($O72="",0,SimpleLookup($O72,Definitions!$AE:$AF))</f>
        <v>0</v>
      </c>
    </row>
  </sheetData>
  <conditionalFormatting sqref="S1:S1048576">
    <cfRule type="expression" dxfId="7" priority="2">
      <formula>AND($Q1&lt;&gt;"",$S1="")</formula>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423" id="{A0AE7825-4436-4A3C-9B74-E12469EE408E}">
            <xm:f>AND(ROW($B1)&gt;ROW($B$5),ROW($B1)-ROW($B$5)&lt;=Helper!$B$1,$B1="")</xm:f>
            <x14:dxf>
              <fill>
                <patternFill>
                  <bgColor rgb="FFFFB9B9"/>
                </patternFill>
              </fill>
            </x14:dxf>
          </x14:cfRule>
          <xm:sqref>B1:T1048576</xm:sqref>
        </x14:conditionalFormatting>
        <x14:conditionalFormatting xmlns:xm="http://schemas.microsoft.com/office/excel/2006/main">
          <x14:cfRule type="expression" priority="5" id="{51D82C85-4F0C-41C2-94AB-0B4AD0E7E005}">
            <xm:f>I1=Definitions!$AE$4</xm:f>
            <x14:dxf>
              <font>
                <color theme="3" tint="-0.499984740745262"/>
              </font>
              <fill>
                <patternFill>
                  <bgColor theme="3" tint="0.59996337778862885"/>
                </patternFill>
              </fill>
            </x14:dxf>
          </x14:cfRule>
          <x14:cfRule type="expression" priority="6" id="{5CBDFFAE-36F8-44BA-A37B-5F2B1238DCD7}">
            <xm:f>I1=Definitions!$AE$5</xm:f>
            <x14:dxf>
              <font>
                <color theme="1"/>
              </font>
              <fill>
                <patternFill>
                  <bgColor rgb="FF99FFCC"/>
                </patternFill>
              </fill>
            </x14:dxf>
          </x14:cfRule>
          <x14:cfRule type="expression" priority="7" id="{7813F2D9-D68D-4A61-9C16-2E42319EEF20}">
            <xm:f>I1=Definitions!$AE$6</xm:f>
            <x14:dxf>
              <font>
                <color theme="1"/>
              </font>
              <fill>
                <patternFill>
                  <bgColor rgb="FFCCFF33"/>
                </patternFill>
              </fill>
            </x14:dxf>
          </x14:cfRule>
          <x14:cfRule type="expression" priority="8" id="{2E09A6A2-C3EF-4509-B895-21191C77F968}">
            <xm:f>I1=Definitions!$AE$7</xm:f>
            <x14:dxf>
              <font>
                <color theme="1"/>
              </font>
              <fill>
                <patternFill>
                  <bgColor rgb="FFFFCC00"/>
                </patternFill>
              </fill>
            </x14:dxf>
          </x14:cfRule>
          <x14:cfRule type="expression" priority="9" id="{E80122AC-0E4D-44F4-82BA-7656024AA6A1}">
            <xm:f>I1=Definitions!$AE$8</xm:f>
            <x14:dxf>
              <font>
                <color theme="1"/>
              </font>
              <fill>
                <patternFill>
                  <bgColor rgb="FFFF3300"/>
                </patternFill>
              </fill>
            </x14:dxf>
          </x14:cfRule>
          <xm:sqref>I1:I1048576 O1:O1048576</xm:sqref>
        </x14:conditionalFormatting>
        <x14:conditionalFormatting xmlns:xm="http://schemas.microsoft.com/office/excel/2006/main">
          <x14:cfRule type="expression" priority="3" id="{29268026-C0CE-4083-BAF1-EED87ABFFF01}">
            <xm:f>AND($O1&lt;&gt;"",$Q1="",$P1&lt;&gt;Definitions!$M$4)</xm:f>
            <x14:dxf>
              <border>
                <left style="thin">
                  <color rgb="FFFFB9B9"/>
                </left>
                <right style="thin">
                  <color rgb="FFFFB9B9"/>
                </right>
                <top style="thin">
                  <color rgb="FFFFB9B9"/>
                </top>
                <bottom style="thin">
                  <color rgb="FFFFB9B9"/>
                </bottom>
                <vertical/>
                <horizontal/>
              </border>
            </x14:dxf>
          </x14:cfRule>
          <xm:sqref>Q1:Q1048576</xm:sqref>
        </x14:conditionalFormatting>
        <x14:conditionalFormatting xmlns:xm="http://schemas.microsoft.com/office/excel/2006/main">
          <x14:cfRule type="expression" priority="4" id="{83A99187-F159-4DAD-AD22-A04ED41FC8EE}">
            <xm:f>IFERROR(FIND(Tasks!$B$17,T1)&gt;0,FALSE)</xm:f>
            <x14:dxf>
              <font>
                <b/>
                <i val="0"/>
                <color rgb="FF99FFCC"/>
              </font>
            </x14:dxf>
          </x14:cfRule>
          <xm:sqref>T1:T1048576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B6448D7F-7F40-49E1-AC66-DB9F77387CEF}">
          <x14:formula1>
            <xm:f>Definitions!$M$4:$M$7</xm:f>
          </x14:formula1>
          <xm:sqref>Q6:Q72</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16375-2F51-4B8A-9942-370FFDD0D7A9}">
  <sheetPr>
    <tabColor theme="3"/>
  </sheetPr>
  <dimension ref="A1:L68"/>
  <sheetViews>
    <sheetView topLeftCell="A16" workbookViewId="0">
      <selection activeCell="B21" sqref="B21"/>
    </sheetView>
  </sheetViews>
  <sheetFormatPr defaultColWidth="9.140625" defaultRowHeight="15" x14ac:dyDescent="0.25"/>
  <cols>
    <col min="1" max="2" width="60.7109375" style="2" customWidth="1"/>
    <col min="3" max="4" width="60.7109375" style="2" hidden="1" customWidth="1"/>
    <col min="5" max="5" width="14" style="2" hidden="1" customWidth="1"/>
    <col min="6" max="6" width="12.42578125" style="2" hidden="1" customWidth="1"/>
    <col min="7" max="7" width="16" style="2" hidden="1" customWidth="1"/>
    <col min="8" max="8" width="19.5703125" style="2" hidden="1" customWidth="1"/>
    <col min="9" max="9" width="16.85546875" style="2" hidden="1" customWidth="1"/>
    <col min="10" max="10" width="18.140625" style="2" customWidth="1"/>
    <col min="11" max="11" width="22.7109375" style="2" customWidth="1"/>
    <col min="12" max="12" width="14" style="2" customWidth="1"/>
    <col min="13" max="16384" width="9.140625" style="2"/>
  </cols>
  <sheetData>
    <row r="1" spans="1:12" hidden="1" x14ac:dyDescent="0.25">
      <c r="A1" s="1" t="s">
        <v>231</v>
      </c>
      <c r="B1" s="1" t="s">
        <v>232</v>
      </c>
      <c r="C1" s="1" t="s">
        <v>233</v>
      </c>
      <c r="D1" s="1" t="s">
        <v>234</v>
      </c>
      <c r="E1" s="10" t="s">
        <v>235</v>
      </c>
      <c r="F1" s="10" t="s">
        <v>236</v>
      </c>
      <c r="G1" s="10" t="s">
        <v>237</v>
      </c>
      <c r="H1" s="10" t="s">
        <v>238</v>
      </c>
      <c r="I1" s="10" t="s">
        <v>239</v>
      </c>
      <c r="J1" s="10" t="s">
        <v>240</v>
      </c>
      <c r="K1" s="10" t="s">
        <v>242</v>
      </c>
      <c r="L1" s="10" t="s">
        <v>248</v>
      </c>
    </row>
    <row r="2" spans="1:12" hidden="1" x14ac:dyDescent="0.25">
      <c r="A2" s="2" t="str" cm="1">
        <f t="array" aca="1" ref="A2" ca="1">CELL("address",Questions!$A$3)</f>
        <v>'[2025-07-30_QuBA_libre.xlsx]Questions'!$A$3</v>
      </c>
      <c r="B2" s="2" t="str" cm="1">
        <f t="array" aca="1" ref="B2" ca="1">CELL("address",Questions!$B$3)</f>
        <v>'[2025-07-30_QuBA_libre.xlsx]Questions'!$B$3</v>
      </c>
      <c r="C2" s="2" t="str" cm="1">
        <f t="array" aca="1" ref="C2" ca="1">CELL("address",Questions!$N$3)</f>
        <v>'[2025-07-30_QuBA_libre.xlsx]Questions'!$N$3</v>
      </c>
      <c r="D2" s="2" t="str" cm="1">
        <f t="array" aca="1" ref="D2" ca="1">CELL("address",Questions!$P$3)</f>
        <v>'[2025-07-30_QuBA_libre.xlsx]Questions'!$P$3</v>
      </c>
      <c r="E2" s="21" t="str">
        <f ca="1">IF(A2="","",_xlfn.LET(
_xlpm._in,A2,
_xlpm._start,FIND("]",_xlpm._in)+1,
SUBSTITUTE(MID(_xlpm._in,_xlpm._start,FIND("!",_xlpm._in)-_xlpm._start),"'","")))</f>
        <v>Questions</v>
      </c>
      <c r="F2" s="21" t="str">
        <f ca="1">IF($E2="","",_xlfn.LET(
_xlpm._in,A2,
_xlpm._start,FIND("$",_xlpm._in)+1,
MID(_xlpm._in,_xlpm._start,FIND("$",SUBSTITUTE(_xlpm._in,"$","§",1))-_xlpm._start)))</f>
        <v>A</v>
      </c>
      <c r="G2" s="21" t="str">
        <f ca="1">IF($E2="","",_xlfn.LET(
_xlpm._in,B2,
_xlpm._start,FIND("$",_xlpm._in)+1,
MID(_xlpm._in,_xlpm._start,FIND("$",SUBSTITUTE(_xlpm._in,"$","§",1))-_xlpm._start)))</f>
        <v>B</v>
      </c>
      <c r="H2" s="21" t="str">
        <f ca="1">IF($E2="","",_xlfn.LET(
_xlpm._in,C2,
_xlpm._start,FIND("$",_xlpm._in)+1,
MID(_xlpm._in,_xlpm._start,FIND("$",SUBSTITUTE(_xlpm._in,"$","§",1))-_xlpm._start)))</f>
        <v>N</v>
      </c>
      <c r="I2" s="21" t="str">
        <f ca="1">IF($E2="","",_xlfn.LET(
_xlpm._in,D2,
_xlpm._start,FIND("$",_xlpm._in)+1,
MID(_xlpm._in,_xlpm._start,FIND("$",SUBSTITUTE(_xlpm._in,"$","§",1))-_xlpm._start)))</f>
        <v>P</v>
      </c>
      <c r="J2" s="21">
        <f ca="1">IF($E2="","",MAX(INDIRECT("'"&amp;$E2&amp;"'!"&amp;$I2&amp;":"&amp;$I2)))</f>
        <v>0</v>
      </c>
      <c r="K2" s="21" cm="1">
        <f t="array" aca="1" ref="K2" ca="1">IF(ROW()=ROW($K$1)+1,0,INDEX($K:$K,ROW()-1))+IF($J2="",0,IF($J2&gt;0,1,0))</f>
        <v>0</v>
      </c>
      <c r="L2" s="21" t="str">
        <f ca="1">IF($A2="","",RIGHT($A2,LEN($A2)-FIND("$",SUBSTITUTE($A2,"$","§",1))))</f>
        <v>3</v>
      </c>
    </row>
    <row r="3" spans="1:12" hidden="1" x14ac:dyDescent="0.25">
      <c r="A3" s="2" t="str" cm="1">
        <f t="array" aca="1" ref="A3" ca="1">CELL("address",'Damage Scenarios'!$A$2)</f>
        <v>'[2025-07-30_QuBA_libre.xlsx]Damage Scenarios'!$A$2</v>
      </c>
      <c r="B3" s="2" t="str" cm="1">
        <f t="array" aca="1" ref="B3" ca="1">CELL("address",'Damage Scenarios'!$J$2)</f>
        <v>'[2025-07-30_QuBA_libre.xlsx]Damage Scenarios'!$J$2</v>
      </c>
      <c r="C3" s="2" t="str" cm="1">
        <f t="array" aca="1" ref="C3" ca="1">CELL("address",'Damage Scenarios'!$P$2)</f>
        <v>'[2025-07-30_QuBA_libre.xlsx]Damage Scenarios'!$P$2</v>
      </c>
      <c r="D3" s="2" t="str" cm="1">
        <f t="array" aca="1" ref="D3" ca="1">CELL("address",'Damage Scenarios'!$R$2)</f>
        <v>'[2025-07-30_QuBA_libre.xlsx]Damage Scenarios'!$R$2</v>
      </c>
      <c r="E3" s="10" t="str">
        <f t="shared" ref="E3:E15" ca="1" si="0">IF(A3="","",_xlfn.LET(
_xlpm._in,A3,
_xlpm._start,FIND("]",_xlpm._in)+1,
SUBSTITUTE(MID(_xlpm._in,_xlpm._start,FIND("!",_xlpm._in)-_xlpm._start),"'","")))</f>
        <v>Damage Scenarios</v>
      </c>
      <c r="F3" s="10" t="str">
        <f t="shared" ref="F3:F15" ca="1" si="1">IF($E3="","",_xlfn.LET(
_xlpm._in,A3,
_xlpm._start,FIND("$",_xlpm._in)+1,
MID(_xlpm._in,_xlpm._start,FIND("$",SUBSTITUTE(_xlpm._in,"$","§",1))-_xlpm._start)))</f>
        <v>A</v>
      </c>
      <c r="G3" s="10" t="str">
        <f t="shared" ref="G3:G15" ca="1" si="2">IF($E3="","",_xlfn.LET(
_xlpm._in,B3,
_xlpm._start,FIND("$",_xlpm._in)+1,
MID(_xlpm._in,_xlpm._start,FIND("$",SUBSTITUTE(_xlpm._in,"$","§",1))-_xlpm._start)))</f>
        <v>J</v>
      </c>
      <c r="H3" s="10" t="str">
        <f t="shared" ref="H3:H15" ca="1" si="3">IF($E3="","",_xlfn.LET(
_xlpm._in,C3,
_xlpm._start,FIND("$",_xlpm._in)+1,
MID(_xlpm._in,_xlpm._start,FIND("$",SUBSTITUTE(_xlpm._in,"$","§",1))-_xlpm._start)))</f>
        <v>P</v>
      </c>
      <c r="I3" s="10" t="str">
        <f t="shared" ref="I3:I15" ca="1" si="4">IF($E3="","",_xlfn.LET(
_xlpm._in,D3,
_xlpm._start,FIND("$",_xlpm._in)+1,
MID(_xlpm._in,_xlpm._start,FIND("$",SUBSTITUTE(_xlpm._in,"$","§",1))-_xlpm._start)))</f>
        <v>R</v>
      </c>
      <c r="J3" s="10">
        <f t="shared" ref="J3:J15" ca="1" si="5">IF($E3="","",MAX(INDIRECT("'"&amp;$E3&amp;"'!"&amp;$I3&amp;":"&amp;$I3)))</f>
        <v>0</v>
      </c>
      <c r="K3" s="21" cm="1">
        <f t="array" aca="1" ref="K3" ca="1">IF(ROW()=ROW($K$1)+1,0,INDEX($K:$K,ROW()-1))+IF($J3="",0,IF($J3&gt;0,1,0))</f>
        <v>0</v>
      </c>
      <c r="L3" s="21" t="str">
        <f t="shared" ref="L3:L15" ca="1" si="6">IF($A3="","",RIGHT($A3,LEN($A3)-FIND("$",SUBSTITUTE($A3,"$","§",1))))</f>
        <v>2</v>
      </c>
    </row>
    <row r="4" spans="1:12" hidden="1" x14ac:dyDescent="0.25">
      <c r="A4" s="2" t="str" cm="1">
        <f t="array" aca="1" ref="A4" ca="1">CELL("address",'Attack Steps'!A$2)</f>
        <v>'[2025-07-30_QuBA_libre.xlsx]Attack Steps'!$A$2</v>
      </c>
      <c r="B4" s="2" t="str" cm="1">
        <f t="array" aca="1" ref="B4" ca="1">CELL("address",'Attack Steps'!B$2)</f>
        <v>'[2025-07-30_QuBA_libre.xlsx]Attack Steps'!$B$2</v>
      </c>
      <c r="C4" s="2" t="str" cm="1">
        <f t="array" aca="1" ref="C4" ca="1">CELL("address",'Attack Steps'!P$2)</f>
        <v>'[2025-07-30_QuBA_libre.xlsx]Attack Steps'!$P$2</v>
      </c>
      <c r="D4" s="2" t="str" cm="1">
        <f t="array" aca="1" ref="D4" ca="1">CELL("address",'Attack Steps'!AD$2)</f>
        <v>'[2025-07-30_QuBA_libre.xlsx]Attack Steps'!$AD$2</v>
      </c>
      <c r="E4" s="21" t="str">
        <f ca="1">IF(A4="","",_xlfn.LET(
_xlpm._in,A4,
_xlpm._start,FIND("]",_xlpm._in)+1,
SUBSTITUTE(MID(_xlpm._in,_xlpm._start,FIND("!",_xlpm._in)-_xlpm._start),"'","")))</f>
        <v>Attack Steps</v>
      </c>
      <c r="F4" s="21" t="str">
        <f t="shared" ca="1" si="1"/>
        <v>A</v>
      </c>
      <c r="G4" s="21" t="str">
        <f t="shared" ca="1" si="2"/>
        <v>B</v>
      </c>
      <c r="H4" s="21" t="str">
        <f t="shared" ca="1" si="3"/>
        <v>P</v>
      </c>
      <c r="I4" s="21" t="str">
        <f t="shared" ca="1" si="4"/>
        <v>AD</v>
      </c>
      <c r="J4" s="21">
        <f ca="1">IF($E4="","",MAX(INDIRECT("'"&amp;$E4&amp;"'!"&amp;$I4&amp;":"&amp;$I4)))</f>
        <v>0</v>
      </c>
      <c r="K4" s="21" cm="1">
        <f t="array" aca="1" ref="K4" ca="1">IF(ROW()=ROW($K$1)+1,0,INDEX($K:$K,ROW()-1))+IF($J4="",0,IF($J4&gt;0,1,0))</f>
        <v>0</v>
      </c>
      <c r="L4" s="21" t="str">
        <f ca="1">IF($A4="","",RIGHT($A4,LEN($A4)-FIND("$",SUBSTITUTE($A4,"$","§",1))))</f>
        <v>2</v>
      </c>
    </row>
    <row r="5" spans="1:12" hidden="1" x14ac:dyDescent="0.25">
      <c r="A5" s="2" t="str" cm="1">
        <f t="array" aca="1" ref="A5" ca="1">CELL("address",Assumptions!A$3)</f>
        <v>'[2025-07-30_QuBA_libre.xlsx]Assumptions'!$A$3</v>
      </c>
      <c r="B5" s="2" t="str" cm="1">
        <f t="array" aca="1" ref="B5" ca="1">CELL("address",Assumptions!B$3)</f>
        <v>'[2025-07-30_QuBA_libre.xlsx]Assumptions'!$B$3</v>
      </c>
      <c r="C5" s="2" t="str" cm="1">
        <f t="array" aca="1" ref="C5" ca="1">CELL("address",Assumptions!S$3)</f>
        <v>'[2025-07-30_QuBA_libre.xlsx]Assumptions'!$S$3</v>
      </c>
      <c r="D5" s="2" t="str" cm="1">
        <f t="array" aca="1" ref="D5" ca="1">CELL("address",Assumptions!W$3)</f>
        <v>'[2025-07-30_QuBA_libre.xlsx]Assumptions'!$W$3</v>
      </c>
      <c r="E5" s="10" t="str">
        <f t="shared" ca="1" si="0"/>
        <v>Assumptions</v>
      </c>
      <c r="F5" s="10" t="str">
        <f t="shared" ca="1" si="1"/>
        <v>A</v>
      </c>
      <c r="G5" s="10" t="str">
        <f t="shared" ca="1" si="2"/>
        <v>B</v>
      </c>
      <c r="H5" s="10" t="str">
        <f t="shared" ca="1" si="3"/>
        <v>S</v>
      </c>
      <c r="I5" s="10" t="str">
        <f t="shared" ca="1" si="4"/>
        <v>W</v>
      </c>
      <c r="J5" s="10">
        <f t="shared" ca="1" si="5"/>
        <v>0</v>
      </c>
      <c r="K5" s="21" cm="1">
        <f t="array" aca="1" ref="K5" ca="1">IF(ROW()=ROW($K$1)+1,0,INDEX($K:$K,ROW()-1))+IF($J5="",0,IF($J5&gt;0,1,0))</f>
        <v>0</v>
      </c>
      <c r="L5" s="21" t="str">
        <f t="shared" ca="1" si="6"/>
        <v>3</v>
      </c>
    </row>
    <row r="6" spans="1:12" hidden="1" x14ac:dyDescent="0.25">
      <c r="A6" s="2" t="str" cm="1">
        <f t="array" aca="1" ref="A6" ca="1">CELL("address",Countermeasures!A$2)</f>
        <v>'[2025-07-30_QuBA_libre.xlsx]Countermeasures'!$A$2</v>
      </c>
      <c r="B6" s="2" t="str" cm="1">
        <f t="array" aca="1" ref="B6" ca="1">CELL("address",Countermeasures!B$2)</f>
        <v>'[2025-07-30_QuBA_libre.xlsx]Countermeasures'!$B$2</v>
      </c>
      <c r="C6" s="2" t="str" cm="1">
        <f t="array" aca="1" ref="C6" ca="1">CELL("address",Countermeasures!S$2)</f>
        <v>'[2025-07-30_QuBA_libre.xlsx]Countermeasures'!$S$2</v>
      </c>
      <c r="D6" s="2" t="str" cm="1">
        <f t="array" aca="1" ref="D6" ca="1">CELL("address",Countermeasures!W$2)</f>
        <v>'[2025-07-30_QuBA_libre.xlsx]Countermeasures'!$W$2</v>
      </c>
      <c r="E6" s="21" t="str">
        <f ca="1">IF(A6="","",_xlfn.LET(
_xlpm._in,A6,
_xlpm._start,FIND("]",_xlpm._in)+1,
SUBSTITUTE(MID(_xlpm._in,_xlpm._start,FIND("!",_xlpm._in)-_xlpm._start),"'","")))</f>
        <v>Countermeasures</v>
      </c>
      <c r="F6" s="21" t="str">
        <f t="shared" ca="1" si="1"/>
        <v>A</v>
      </c>
      <c r="G6" s="21" t="str">
        <f t="shared" ca="1" si="2"/>
        <v>B</v>
      </c>
      <c r="H6" s="21" t="str">
        <f t="shared" ca="1" si="3"/>
        <v>S</v>
      </c>
      <c r="I6" s="21" t="str">
        <f t="shared" ca="1" si="4"/>
        <v>W</v>
      </c>
      <c r="J6" s="21">
        <f ca="1">IF($E6="","",MAX(INDIRECT("'"&amp;$E6&amp;"'!"&amp;$I6&amp;":"&amp;$I6)))</f>
        <v>1</v>
      </c>
      <c r="K6" s="21" cm="1">
        <f t="array" aca="1" ref="K6" ca="1">IF(ROW()=ROW($K$1)+1,0,INDEX($K:$K,ROW()-1))+IF($J6="",0,IF($J6&gt;0,1,0))</f>
        <v>1</v>
      </c>
      <c r="L6" s="21" t="str">
        <f ca="1">IF($A6="","",RIGHT($A6,LEN($A6)-FIND("$",SUBSTITUTE($A6,"$","§",1))))</f>
        <v>2</v>
      </c>
    </row>
    <row r="7" spans="1:12" hidden="1" x14ac:dyDescent="0.25">
      <c r="A7" s="2" t="str" cm="1">
        <f t="array" aca="1" ref="A7" ca="1">CELL("address",Questionnaire!$A$3)</f>
        <v>'[2025-07-30_QuBA_libre.xlsx]Questionnaire'!$A$3</v>
      </c>
      <c r="B7" s="2" t="str" cm="1">
        <f t="array" aca="1" ref="B7" ca="1">CELL("address",Questionnaire!$K$3)</f>
        <v>'[2025-07-30_QuBA_libre.xlsx]Questionnaire'!$K$3</v>
      </c>
      <c r="C7" s="2" t="str" cm="1">
        <f t="array" aca="1" ref="C7" ca="1">CELL("address",Questionnaire!$G$3)</f>
        <v>'[2025-07-30_QuBA_libre.xlsx]Questionnaire'!$G$3</v>
      </c>
      <c r="D7" s="2" t="str" cm="1">
        <f t="array" aca="1" ref="D7" ca="1">CELL("address",Questionnaire!$M$3)</f>
        <v>'[2025-07-30_QuBA_libre.xlsx]Questionnaire'!$M$3</v>
      </c>
      <c r="E7" s="21" t="str">
        <f ca="1">IF(A7="","",_xlfn.LET(
_xlpm._in,A7,
_xlpm._start,FIND("]",_xlpm._in)+1,
SUBSTITUTE(MID(_xlpm._in,_xlpm._start,FIND("!",_xlpm._in)-_xlpm._start),"'","")))</f>
        <v>Questionnaire</v>
      </c>
      <c r="F7" s="21" t="str">
        <f t="shared" ca="1" si="1"/>
        <v>A</v>
      </c>
      <c r="G7" s="21" t="str">
        <f t="shared" ca="1" si="2"/>
        <v>K</v>
      </c>
      <c r="H7" s="21" t="str">
        <f t="shared" ca="1" si="3"/>
        <v>G</v>
      </c>
      <c r="I7" s="21" t="str">
        <f t="shared" ca="1" si="4"/>
        <v>M</v>
      </c>
      <c r="J7" s="21">
        <f ca="1">IF($E7="","",MAX(INDIRECT("'"&amp;$E7&amp;"'!"&amp;$I7&amp;":"&amp;$I7)))</f>
        <v>0</v>
      </c>
      <c r="K7" s="21" cm="1">
        <f t="array" aca="1" ref="K7" ca="1">IF(ROW()=ROW($K$1)+1,0,INDEX($K:$K,ROW()-1))+IF($J7="",0,IF($J7&gt;0,1,0))</f>
        <v>1</v>
      </c>
      <c r="L7" s="21" t="str">
        <f ca="1">IF($A7="","",RIGHT($A7,LEN($A7)-FIND("$",SUBSTITUTE($A7,"$","§",1))))</f>
        <v>3</v>
      </c>
    </row>
    <row r="8" spans="1:12" hidden="1" x14ac:dyDescent="0.25">
      <c r="A8" s="2" t="str" cm="1">
        <f t="array" aca="1" ref="A8" ca="1">CELL("address",'DS Overview'!A$2)</f>
        <v>'[2025-07-30_QuBA_libre.xlsx]DS Overview'!$A$2</v>
      </c>
      <c r="B8" s="2" t="str" cm="1">
        <f t="array" aca="1" ref="B8" ca="1">CELL("address",'DS Overview'!B$2)</f>
        <v>'[2025-07-30_QuBA_libre.xlsx]DS Overview'!$B$2</v>
      </c>
      <c r="C8" s="2" t="str" cm="1">
        <f t="array" aca="1" ref="C8" ca="1">CELL("address",'DS Overview'!E$2)</f>
        <v>'[2025-07-30_QuBA_libre.xlsx]DS Overview'!$E$2</v>
      </c>
      <c r="D8" s="2" t="str" cm="1">
        <f t="array" aca="1" ref="D8" ca="1">CELL("address",'DS Overview'!H$2)</f>
        <v>'[2025-07-30_QuBA_libre.xlsx]DS Overview'!$H$2</v>
      </c>
      <c r="E8" s="10" t="str">
        <f t="shared" ca="1" si="0"/>
        <v>DS Overview</v>
      </c>
      <c r="F8" s="10" t="str">
        <f t="shared" ca="1" si="1"/>
        <v>A</v>
      </c>
      <c r="G8" s="10" t="str">
        <f t="shared" ca="1" si="2"/>
        <v>B</v>
      </c>
      <c r="H8" s="10" t="str">
        <f t="shared" ca="1" si="3"/>
        <v>E</v>
      </c>
      <c r="I8" s="10" t="str">
        <f t="shared" ca="1" si="4"/>
        <v>H</v>
      </c>
      <c r="J8" s="10">
        <f t="shared" ca="1" si="5"/>
        <v>0</v>
      </c>
      <c r="K8" s="21" cm="1">
        <f t="array" aca="1" ref="K8" ca="1">IF(ROW()=ROW($K$1)+1,0,INDEX($K:$K,ROW()-1))+IF($J8="",0,IF($J8&gt;0,1,0))</f>
        <v>1</v>
      </c>
      <c r="L8" s="21" t="str">
        <f t="shared" ca="1" si="6"/>
        <v>2</v>
      </c>
    </row>
    <row r="9" spans="1:12" hidden="1" x14ac:dyDescent="0.25">
      <c r="A9" s="2" t="str" cm="1">
        <f t="array" aca="1" ref="A9" ca="1">CELL("address",Mitigation!A$2)</f>
        <v>'[2025-07-30_QuBA_libre.xlsx]Mitigation'!$A$2</v>
      </c>
      <c r="B9" s="2" t="str" cm="1">
        <f t="array" aca="1" ref="B9" ca="1">CELL("address",Mitigation!B$2)</f>
        <v>'[2025-07-30_QuBA_libre.xlsx]Mitigation'!$B$2</v>
      </c>
      <c r="C9" s="2" t="str" cm="1">
        <f t="array" aca="1" ref="C9" ca="1">CELL("address",Mitigation!O$2)</f>
        <v>'[2025-07-30_QuBA_libre.xlsx]Mitigation'!$O$2</v>
      </c>
      <c r="D9" s="2" t="str" cm="1">
        <f t="array" aca="1" ref="D9" ca="1">CELL("address",Mitigation!Q$2)</f>
        <v>'[2025-07-30_QuBA_libre.xlsx]Mitigation'!$Q$2</v>
      </c>
      <c r="E9" s="21" t="str">
        <f ca="1">IF(A9="","",_xlfn.LET(
_xlpm._in,A9,
_xlpm._start,FIND("]",_xlpm._in)+1,
SUBSTITUTE(MID(_xlpm._in,_xlpm._start,FIND("!",_xlpm._in)-_xlpm._start),"'","")))</f>
        <v>Mitigation</v>
      </c>
      <c r="F9" s="21" t="str">
        <f t="shared" ca="1" si="1"/>
        <v>A</v>
      </c>
      <c r="G9" s="21" t="str">
        <f t="shared" ca="1" si="2"/>
        <v>B</v>
      </c>
      <c r="H9" s="21" t="str">
        <f t="shared" ca="1" si="3"/>
        <v>O</v>
      </c>
      <c r="I9" s="21" t="str">
        <f t="shared" ca="1" si="4"/>
        <v>Q</v>
      </c>
      <c r="J9" s="21">
        <f ca="1">IF($E9="","",MAX(INDIRECT("'"&amp;$E9&amp;"'!"&amp;$I9&amp;":"&amp;$I9)))</f>
        <v>0</v>
      </c>
      <c r="K9" s="21" cm="1">
        <f t="array" aca="1" ref="K9" ca="1">IF(ROW()=ROW($K$1)+1,0,INDEX($K:$K,ROW()-1))+IF($J9="",0,IF($J9&gt;0,1,0))</f>
        <v>1</v>
      </c>
      <c r="L9" s="21" t="str">
        <f ca="1">IF($A9="","",RIGHT($A9,LEN($A9)-FIND("$",SUBSTITUTE($A9,"$","§",1))))</f>
        <v>2</v>
      </c>
    </row>
    <row r="10" spans="1:12" hidden="1" x14ac:dyDescent="0.25">
      <c r="A10" s="2" t="str" cm="1">
        <f t="array" aca="1" ref="A10" ca="1">CELL("address",'Risk Treatment'!C$4)</f>
        <v>'[2025-07-30_QuBA_libre.xlsx]Risk Treatment'!$C$4</v>
      </c>
      <c r="B10" s="2" t="str" cm="1">
        <f t="array" aca="1" ref="B10" ca="1">CELL("address",'Risk Treatment'!D$4)</f>
        <v>'[2025-07-30_QuBA_libre.xlsx]Risk Treatment'!$D$4</v>
      </c>
      <c r="C10" s="2" t="str" cm="1">
        <f t="array" aca="1" ref="C10" ca="1">CELL("address",'Risk Treatment'!T$4)</f>
        <v>'[2025-07-30_QuBA_libre.xlsx]Risk Treatment'!$T$4</v>
      </c>
      <c r="D10" s="2" t="str" cm="1">
        <f t="array" aca="1" ref="D10" ca="1">CELL("address",'Risk Treatment'!V$4)</f>
        <v>'[2025-07-30_QuBA_libre.xlsx]Risk Treatment'!$V$4</v>
      </c>
      <c r="E10" s="10" t="str">
        <f t="shared" ca="1" si="0"/>
        <v>Risk Treatment</v>
      </c>
      <c r="F10" s="10" t="str">
        <f t="shared" ca="1" si="1"/>
        <v>C</v>
      </c>
      <c r="G10" s="10" t="str">
        <f t="shared" ca="1" si="2"/>
        <v>D</v>
      </c>
      <c r="H10" s="10" t="str">
        <f t="shared" ca="1" si="3"/>
        <v>T</v>
      </c>
      <c r="I10" s="10" t="str">
        <f t="shared" ca="1" si="4"/>
        <v>V</v>
      </c>
      <c r="J10" s="10">
        <f t="shared" ca="1" si="5"/>
        <v>0</v>
      </c>
      <c r="K10" s="21" cm="1">
        <f t="array" aca="1" ref="K10" ca="1">IF(ROW()=ROW($K$1)+1,0,INDEX($K:$K,ROW()-1))+IF($J10="",0,IF($J10&gt;0,1,0))</f>
        <v>1</v>
      </c>
      <c r="L10" s="21" t="str">
        <f t="shared" ca="1" si="6"/>
        <v>4</v>
      </c>
    </row>
    <row r="11" spans="1:12" hidden="1" x14ac:dyDescent="0.25">
      <c r="A11" s="2" t="str" cm="1">
        <f t="array" aca="1" ref="A11" ca="1">CELL("address",'Annex I 1.2 Report'!$A$2)</f>
        <v>'[2025-07-30_QuBA_libre.xlsx]Annex I 1.2 Report'!$A$2</v>
      </c>
      <c r="B11" s="2" t="str" cm="1">
        <f t="array" aca="1" ref="B11" ca="1">CELL("address",'Annex I 1.2 Report'!$B$2)</f>
        <v>'[2025-07-30_QuBA_libre.xlsx]Annex I 1.2 Report'!$B$2</v>
      </c>
      <c r="C11" s="2" t="str" cm="1">
        <f t="array" aca="1" ref="C11" ca="1">CELL("address",'Annex I 1.2 Report'!$F$2)</f>
        <v>'[2025-07-30_QuBA_libre.xlsx]Annex I 1.2 Report'!$F$2</v>
      </c>
      <c r="D11" s="2" t="str" cm="1">
        <f t="array" aca="1" ref="D11" ca="1">CELL("address",'Annex I 1.2 Report'!$H$2)</f>
        <v>'[2025-07-30_QuBA_libre.xlsx]Annex I 1.2 Report'!$H$2</v>
      </c>
      <c r="E11" s="10" t="str">
        <f t="shared" ca="1" si="0"/>
        <v>Annex I 1.2 Report</v>
      </c>
      <c r="F11" s="10" t="str">
        <f t="shared" ca="1" si="1"/>
        <v>A</v>
      </c>
      <c r="G11" s="10" t="str">
        <f t="shared" ca="1" si="2"/>
        <v>B</v>
      </c>
      <c r="H11" s="10" t="str">
        <f t="shared" ca="1" si="3"/>
        <v>F</v>
      </c>
      <c r="I11" s="10" t="str">
        <f t="shared" ca="1" si="4"/>
        <v>H</v>
      </c>
      <c r="J11" s="10">
        <f t="shared" ca="1" si="5"/>
        <v>0</v>
      </c>
      <c r="K11" s="21" cm="1">
        <f t="array" aca="1" ref="K11" ca="1">IF(ROW()=ROW($K$1)+1,0,INDEX($K:$K,ROW()-1))+IF($J11="",0,IF($J11&gt;0,1,0))</f>
        <v>1</v>
      </c>
      <c r="L11" s="21" t="str">
        <f t="shared" ca="1" si="6"/>
        <v>2</v>
      </c>
    </row>
    <row r="12" spans="1:12" hidden="1" x14ac:dyDescent="0.25">
      <c r="A12" s="2" t="str" cm="1">
        <f t="array" aca="1" ref="A12" ca="1">CELL("address",Tracing!$B$5)</f>
        <v>'[2025-07-30_QuBA_libre.xlsx]Tracing'!$B$5</v>
      </c>
      <c r="B12" s="2" t="str" cm="1">
        <f t="array" aca="1" ref="B12" ca="1">CELL("address",Tracing!$C$5)</f>
        <v>'[2025-07-30_QuBA_libre.xlsx]Tracing'!$C$5</v>
      </c>
      <c r="C12" s="2" t="str" cm="1">
        <f t="array" aca="1" ref="C12" ca="1">CELL("address",Tracing!$T$5)</f>
        <v>'[2025-07-30_QuBA_libre.xlsx]Tracing'!$T$5</v>
      </c>
      <c r="D12" s="2" t="str" cm="1">
        <f t="array" aca="1" ref="D12" ca="1">CELL("address",Tracing!$V$5)</f>
        <v>'[2025-07-30_QuBA_libre.xlsx]Tracing'!$V$5</v>
      </c>
      <c r="E12" s="10" t="str">
        <f t="shared" ca="1" si="0"/>
        <v>Tracing</v>
      </c>
      <c r="F12" s="10" t="str">
        <f t="shared" ca="1" si="1"/>
        <v>B</v>
      </c>
      <c r="G12" s="10" t="str">
        <f t="shared" ca="1" si="2"/>
        <v>C</v>
      </c>
      <c r="H12" s="10" t="str">
        <f t="shared" ca="1" si="3"/>
        <v>T</v>
      </c>
      <c r="I12" s="10" t="str">
        <f t="shared" ca="1" si="4"/>
        <v>V</v>
      </c>
      <c r="J12" s="10">
        <f t="shared" ca="1" si="5"/>
        <v>0</v>
      </c>
      <c r="K12" s="21" cm="1">
        <f t="array" aca="1" ref="K12" ca="1">IF(ROW()=ROW($K$1)+1,0,INDEX($K:$K,ROW()-1))+IF($J12="",0,IF($J12&gt;0,1,0))</f>
        <v>1</v>
      </c>
      <c r="L12" s="21" t="str">
        <f t="shared" ca="1" si="6"/>
        <v>5</v>
      </c>
    </row>
    <row r="13" spans="1:12" hidden="1" x14ac:dyDescent="0.25">
      <c r="E13" s="10" t="str">
        <f t="shared" si="0"/>
        <v/>
      </c>
      <c r="F13" s="10" t="str">
        <f t="shared" si="1"/>
        <v/>
      </c>
      <c r="G13" s="10" t="str">
        <f t="shared" si="2"/>
        <v/>
      </c>
      <c r="H13" s="10" t="str">
        <f t="shared" si="3"/>
        <v/>
      </c>
      <c r="I13" s="10" t="str">
        <f t="shared" si="4"/>
        <v/>
      </c>
      <c r="J13" s="10" t="str">
        <f t="shared" ca="1" si="5"/>
        <v/>
      </c>
      <c r="K13" s="21" cm="1">
        <f t="array" aca="1" ref="K13" ca="1">IF(ROW()=ROW($K$1)+1,0,INDEX($K:$K,ROW()-1))+IF($J13="",0,IF($J13&gt;0,1,0))</f>
        <v>1</v>
      </c>
      <c r="L13" s="21" t="str">
        <f t="shared" si="6"/>
        <v/>
      </c>
    </row>
    <row r="14" spans="1:12" hidden="1" x14ac:dyDescent="0.25">
      <c r="E14" s="10" t="str">
        <f t="shared" si="0"/>
        <v/>
      </c>
      <c r="F14" s="10" t="str">
        <f t="shared" si="1"/>
        <v/>
      </c>
      <c r="G14" s="10" t="str">
        <f t="shared" si="2"/>
        <v/>
      </c>
      <c r="H14" s="10" t="str">
        <f t="shared" si="3"/>
        <v/>
      </c>
      <c r="I14" s="10" t="str">
        <f t="shared" si="4"/>
        <v/>
      </c>
      <c r="J14" s="10" t="str">
        <f t="shared" ca="1" si="5"/>
        <v/>
      </c>
      <c r="K14" s="21" cm="1">
        <f t="array" aca="1" ref="K14" ca="1">IF(ROW()=ROW($K$1)+1,0,INDEX($K:$K,ROW()-1))+IF($J14="",0,IF($J14&gt;0,1,0))</f>
        <v>1</v>
      </c>
      <c r="L14" s="21" t="str">
        <f t="shared" si="6"/>
        <v/>
      </c>
    </row>
    <row r="15" spans="1:12" hidden="1" x14ac:dyDescent="0.25">
      <c r="E15" s="10" t="str">
        <f t="shared" si="0"/>
        <v/>
      </c>
      <c r="F15" s="10" t="str">
        <f t="shared" si="1"/>
        <v/>
      </c>
      <c r="G15" s="10" t="str">
        <f t="shared" si="2"/>
        <v/>
      </c>
      <c r="H15" s="10" t="str">
        <f t="shared" si="3"/>
        <v/>
      </c>
      <c r="I15" s="10" t="str">
        <f t="shared" si="4"/>
        <v/>
      </c>
      <c r="J15" s="10" t="str">
        <f t="shared" ca="1" si="5"/>
        <v/>
      </c>
      <c r="K15" s="21" cm="1">
        <f t="array" aca="1" ref="K15" ca="1">IF(ROW()=ROW($K$1)+1,0,INDEX($K:$K,ROW()-1))+IF($J15="",0,IF($J15&gt;0,1,0))</f>
        <v>1</v>
      </c>
      <c r="L15" s="21" t="str">
        <f t="shared" si="6"/>
        <v/>
      </c>
    </row>
    <row r="16" spans="1:12" s="115" customFormat="1" x14ac:dyDescent="0.25">
      <c r="B16" s="115" t="str" cm="1">
        <f t="array" aca="1" ref="B16"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HYPERLINK("#'"&amp;Helper!$G$2&amp;"'!"&amp;CHAR(CODE("A")+COLUMN(_xlpm._columnNameHeader)-1)&amp;_xlpm._entryOffset,Definitions!$AY$4)))(Helper!$G$17,A$17,README!$E:$E,README!$I$36,README!$B$36)</f>
        <v>◈</v>
      </c>
    </row>
    <row r="17" spans="1:9" x14ac:dyDescent="0.25">
      <c r="A17" s="27" t="s">
        <v>228</v>
      </c>
      <c r="B17" s="29" t="s">
        <v>1241</v>
      </c>
    </row>
    <row r="18" spans="1:9" s="115" customFormat="1" x14ac:dyDescent="0.25">
      <c r="A18" s="115" t="str" cm="1">
        <f t="array" aca="1" ref="A18"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HYPERLINK("#'"&amp;Helper!$G$2&amp;"'!"&amp;CHAR(CODE("A")+COLUMN(_xlpm._columnNameHeader)-1)&amp;_xlpm._entryOffset,Definitions!$AY$4)))(Helper!$G$17,A$19,README!$E:$E,README!$I$36,README!$B$36)</f>
        <v>◈</v>
      </c>
      <c r="B18" s="115" t="str" cm="1">
        <f t="array" aca="1" ref="B18"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HYPERLINK("#'"&amp;Helper!$G$2&amp;"'!"&amp;CHAR(CODE("A")+COLUMN(_xlpm._columnNameHeader)-1)&amp;_xlpm._entryOffset,Definitions!$AY$4)))(Helper!$G$17,B$19,README!$E:$E,README!$I$36,README!$B$36)</f>
        <v>◈</v>
      </c>
    </row>
    <row r="19" spans="1:9" x14ac:dyDescent="0.25">
      <c r="A19" s="10" t="s">
        <v>229</v>
      </c>
      <c r="B19" s="10" t="s">
        <v>724</v>
      </c>
      <c r="C19" s="10" t="s">
        <v>243</v>
      </c>
      <c r="D19" s="10" t="s">
        <v>241</v>
      </c>
      <c r="E19" s="10" t="s">
        <v>244</v>
      </c>
      <c r="F19" s="10" t="s">
        <v>104</v>
      </c>
      <c r="G19" s="10" t="s">
        <v>247</v>
      </c>
      <c r="H19" s="10" t="s">
        <v>245</v>
      </c>
      <c r="I19" s="10" t="s">
        <v>246</v>
      </c>
    </row>
    <row r="20" spans="1:9" ht="45" x14ac:dyDescent="0.25">
      <c r="A20" s="30" t="str" cm="1">
        <f t="array" aca="1" ref="A20" ca="1">IF($E20="","",
HYPERLINK("#'"&amp;INDEX(Table11[Sheet Name],$F20)&amp;"'!"&amp;INDEX(Table11[ID Column],$F20)&amp;$G20,
IF(LEN(H20)&gt;255,LEFT(H20,250)&amp;" …",H20)))</f>
        <v>CM2a &lt;OEM name&gt;-specific SDL</v>
      </c>
      <c r="B20" s="30" t="str" cm="1">
        <f t="array" aca="1" ref="B20" ca="1">IF($E20="","",HYPERLINK("#'"&amp;INDEX(Table11[Sheet Name],$F20)&amp;"'!"&amp;INDEX(Table11[Comment Column],$F20)&amp;$G20,
IF(LEN(I20)&gt;255,LEFT(I20,250)&amp;" …",I20)))</f>
        <v>TODO: No values are given, as the process is OEM-individual -- please set the values accordingly for the initial setup of the template!</v>
      </c>
      <c r="C20" s="10" cm="1">
        <f t="array" ref="C20">IFERROR(IF(ROW()=ROW($C$19)+1,1,INDEX($C:$C,ROW()-1))+
IF(INDEX($E:$E,ROW()-1)=TRUE,1,0),"")</f>
        <v>1</v>
      </c>
      <c r="D20" s="10">
        <f t="shared" ref="D20:D33" ca="1" si="7">COUNTIF(OFFSET($C$19,1,0,ROW()-ROW($D$19),1),$C20)</f>
        <v>1</v>
      </c>
      <c r="E20" s="10" t="b" cm="1">
        <f t="array" aca="1" ref="E20" ca="1">IFERROR(INDEX(Table11[Number of Tasks],$F20)=$D20,"")</f>
        <v>1</v>
      </c>
      <c r="F20" s="21">
        <f ca="1">IFERROR(MATCH($C20,Table11[Task Sheet Shadow ID],0),"")</f>
        <v>5</v>
      </c>
      <c r="G20" s="21" cm="1">
        <f t="array" aca="1" ref="G20" ca="1">IFERROR(_xlfn.LET(
_xlpm._column,INDEX(Table11[Task ID Column],$F20),
MATCH($D20,INDIRECT("'"&amp;INDEX(Table11[Sheet Name],$F20)&amp;"'!"&amp;_xlpm._column&amp;":"&amp;_xlpm._column),0)),"")</f>
        <v>41</v>
      </c>
      <c r="H20" s="21" t="str" cm="1">
        <f t="array" aca="1" ref="H20" ca="1">IF($G20="","",(_xlfn.LET(
_xlpm._columnID,INDEX(Table11[ID Column],$F20),
_xlpm._columnName,INDEX(Table11[Name Column],$F20),
INDEX(INDIRECT("'"&amp;INDEX(Table11[Sheet Name],$F20)&amp;"'!"&amp;_xlpm._columnID&amp;":"&amp;_xlpm._columnID),$G20)&amp;" "&amp;
INDEX(INDIRECT("'"&amp;INDEX(Table11[Sheet Name],$F20)&amp;"'!"&amp;_xlpm._columnName&amp;":"&amp;_xlpm._columnName),$G20))))</f>
        <v>CM2a &lt;OEM name&gt;-specific SDL</v>
      </c>
      <c r="I20" s="21" t="str" cm="1">
        <f t="array" aca="1" ref="I20" ca="1">IF($G20="","",(_xlfn.LET(
_xlpm._columnID,INDEX(Table11[Comment Column],$F20),
INDEX(INDIRECT("'"&amp;INDEX(Table11[Sheet Name],$F20)&amp;"'!"&amp;_xlpm._columnID&amp;":"&amp;_xlpm._columnID),$G20))))</f>
        <v>TODO: No values are given, as the process is OEM-individual -- please set the values accordingly for the initial setup of the template!</v>
      </c>
    </row>
    <row r="21" spans="1:9" x14ac:dyDescent="0.25">
      <c r="A21" s="30" t="str" cm="1">
        <f t="array" aca="1" ref="A21" ca="1">IF($E21="","",
HYPERLINK("#'"&amp;INDEX(Table11[Sheet Name],$F21)&amp;"'!"&amp;INDEX(Table11[ID Column],$F21)&amp;$G21,
IF(LEN(H21)&gt;255,LEFT(H21,250)&amp;" …",H21)))</f>
        <v/>
      </c>
      <c r="B21" s="30" t="str" cm="1">
        <f t="array" aca="1" ref="B21" ca="1">IF($E21="","",HYPERLINK("#'"&amp;INDEX(Table11[Sheet Name],$F21)&amp;"'!"&amp;INDEX(Table11[Comment Column],$F21)&amp;$G21,
IF(LEN(I21)&gt;255,LEFT(I21,250)&amp;" …",I21)))</f>
        <v/>
      </c>
      <c r="C21" s="10" cm="1">
        <f t="array" aca="1" ref="C21" ca="1">IFERROR(IF(ROW()=ROW($C$19)+1,1,INDEX($C:$C,ROW()-1))+
IF(INDEX($E:$E,ROW()-1)=TRUE,1,0),"")</f>
        <v>2</v>
      </c>
      <c r="D21" s="10">
        <f t="shared" ca="1" si="7"/>
        <v>1</v>
      </c>
      <c r="E21" s="10" t="str" cm="1">
        <f t="array" aca="1" ref="E21" ca="1">IFERROR(INDEX(Table11[Number of Tasks],$F21)=$D21,"")</f>
        <v/>
      </c>
      <c r="F21" s="21" t="str">
        <f ca="1">IFERROR(MATCH($C21,Table11[Task Sheet Shadow ID],0),"")</f>
        <v/>
      </c>
      <c r="G21" s="21" t="str" cm="1">
        <f t="array" aca="1" ref="G21" ca="1">IFERROR(_xlfn.LET(
_xlpm._column,INDEX(Table11[Task ID Column],$F21),
MATCH($D21,INDIRECT("'"&amp;INDEX(Table11[Sheet Name],$F21)&amp;"'!"&amp;_xlpm._column&amp;":"&amp;_xlpm._column),0)),"")</f>
        <v/>
      </c>
      <c r="H21" s="21" t="str" cm="1">
        <f t="array" aca="1" ref="H21" ca="1">IF($G21="","",(_xlfn.LET(
_xlpm._columnID,INDEX(Table11[ID Column],$F21),
_xlpm._columnName,INDEX(Table11[Name Column],$F21),
INDEX(INDIRECT("'"&amp;INDEX(Table11[Sheet Name],$F21)&amp;"'!"&amp;_xlpm._columnID&amp;":"&amp;_xlpm._columnID),$G21)&amp;" "&amp;
INDEX(INDIRECT("'"&amp;INDEX(Table11[Sheet Name],$F21)&amp;"'!"&amp;_xlpm._columnName&amp;":"&amp;_xlpm._columnName),$G21))))</f>
        <v/>
      </c>
      <c r="I21" s="21" t="str" cm="1">
        <f t="array" aca="1" ref="I21" ca="1">IF($G21="","",(_xlfn.LET(
_xlpm._columnID,INDEX(Table11[Comment Column],$F21),
INDEX(INDIRECT("'"&amp;INDEX(Table11[Sheet Name],$F21)&amp;"'!"&amp;_xlpm._columnID&amp;":"&amp;_xlpm._columnID),$G21))))</f>
        <v/>
      </c>
    </row>
    <row r="22" spans="1:9" x14ac:dyDescent="0.25">
      <c r="A22" s="30" t="str" cm="1">
        <f t="array" aca="1" ref="A22" ca="1">IF($E22="","",
HYPERLINK("#'"&amp;INDEX(Table11[Sheet Name],$F22)&amp;"'!"&amp;INDEX(Table11[ID Column],$F22)&amp;$G22,
IF(LEN(H22)&gt;255,LEFT(H22,250)&amp;" …",H22)))</f>
        <v/>
      </c>
      <c r="B22" s="30" t="str" cm="1">
        <f t="array" aca="1" ref="B22" ca="1">IF($E22="","",HYPERLINK("#'"&amp;INDEX(Table11[Sheet Name],$F22)&amp;"'!"&amp;INDEX(Table11[Comment Column],$F22)&amp;$G22,
IF(LEN(I22)&gt;255,LEFT(I22,250)&amp;" …",I22)))</f>
        <v/>
      </c>
      <c r="C22" s="10" cm="1">
        <f t="array" aca="1" ref="C22" ca="1">IFERROR(IF(ROW()=ROW($C$19)+1,1,INDEX($C:$C,ROW()-1))+
IF(INDEX($E:$E,ROW()-1)=TRUE,1,0),"")</f>
        <v>2</v>
      </c>
      <c r="D22" s="10">
        <f t="shared" ca="1" si="7"/>
        <v>2</v>
      </c>
      <c r="E22" s="10" t="str" cm="1">
        <f t="array" aca="1" ref="E22" ca="1">IFERROR(INDEX(Table11[Number of Tasks],$F22)=$D22,"")</f>
        <v/>
      </c>
      <c r="F22" s="21" t="str">
        <f ca="1">IFERROR(MATCH($C22,Table11[Task Sheet Shadow ID],0),"")</f>
        <v/>
      </c>
      <c r="G22" s="21" t="str" cm="1">
        <f t="array" aca="1" ref="G22" ca="1">IFERROR(_xlfn.LET(
_xlpm._column,INDEX(Table11[Task ID Column],$F22),
MATCH($D22,INDIRECT("'"&amp;INDEX(Table11[Sheet Name],$F22)&amp;"'!"&amp;_xlpm._column&amp;":"&amp;_xlpm._column),0)),"")</f>
        <v/>
      </c>
      <c r="H22" s="21" t="str" cm="1">
        <f t="array" aca="1" ref="H22" ca="1">IF($G22="","",(_xlfn.LET(
_xlpm._columnID,INDEX(Table11[ID Column],$F22),
_xlpm._columnName,INDEX(Table11[Name Column],$F22),
INDEX(INDIRECT("'"&amp;INDEX(Table11[Sheet Name],$F22)&amp;"'!"&amp;_xlpm._columnID&amp;":"&amp;_xlpm._columnID),$G22)&amp;" "&amp;
INDEX(INDIRECT("'"&amp;INDEX(Table11[Sheet Name],$F22)&amp;"'!"&amp;_xlpm._columnName&amp;":"&amp;_xlpm._columnName),$G22))))</f>
        <v/>
      </c>
      <c r="I22" s="21" t="str" cm="1">
        <f t="array" aca="1" ref="I22" ca="1">IF($G22="","",(_xlfn.LET(
_xlpm._columnID,INDEX(Table11[Comment Column],$F22),
INDEX(INDIRECT("'"&amp;INDEX(Table11[Sheet Name],$F22)&amp;"'!"&amp;_xlpm._columnID&amp;":"&amp;_xlpm._columnID),$G22))))</f>
        <v/>
      </c>
    </row>
    <row r="23" spans="1:9" x14ac:dyDescent="0.25">
      <c r="A23" s="30" t="str" cm="1">
        <f t="array" aca="1" ref="A23" ca="1">IF($E23="","",
HYPERLINK("#'"&amp;INDEX(Table11[Sheet Name],$F23)&amp;"'!"&amp;INDEX(Table11[ID Column],$F23)&amp;$G23,
IF(LEN(H23)&gt;255,LEFT(H23,250)&amp;" …",H23)))</f>
        <v/>
      </c>
      <c r="B23" s="30" t="str" cm="1">
        <f t="array" aca="1" ref="B23" ca="1">IF($E23="","",HYPERLINK("#'"&amp;INDEX(Table11[Sheet Name],$F23)&amp;"'!"&amp;INDEX(Table11[Comment Column],$F23)&amp;$G23,
IF(LEN(I23)&gt;255,LEFT(I23,250)&amp;" …",I23)))</f>
        <v/>
      </c>
      <c r="C23" s="10" cm="1">
        <f t="array" aca="1" ref="C23" ca="1">IFERROR(IF(ROW()=ROW($C$19)+1,1,INDEX($C:$C,ROW()-1))+
IF(INDEX($E:$E,ROW()-1)=TRUE,1,0),"")</f>
        <v>2</v>
      </c>
      <c r="D23" s="10">
        <f t="shared" ca="1" si="7"/>
        <v>3</v>
      </c>
      <c r="E23" s="10" t="str" cm="1">
        <f t="array" aca="1" ref="E23" ca="1">IFERROR(INDEX(Table11[Number of Tasks],$F23)=$D23,"")</f>
        <v/>
      </c>
      <c r="F23" s="21" t="str">
        <f ca="1">IFERROR(MATCH($C23,Table11[Task Sheet Shadow ID],0),"")</f>
        <v/>
      </c>
      <c r="G23" s="21" t="str" cm="1">
        <f t="array" aca="1" ref="G23" ca="1">IFERROR(_xlfn.LET(
_xlpm._column,INDEX(Table11[Task ID Column],$F23),
MATCH($D23,INDIRECT("'"&amp;INDEX(Table11[Sheet Name],$F23)&amp;"'!"&amp;_xlpm._column&amp;":"&amp;_xlpm._column),0)),"")</f>
        <v/>
      </c>
      <c r="H23" s="21" t="str" cm="1">
        <f t="array" aca="1" ref="H23" ca="1">IF($G23="","",(_xlfn.LET(
_xlpm._columnID,INDEX(Table11[ID Column],$F23),
_xlpm._columnName,INDEX(Table11[Name Column],$F23),
INDEX(INDIRECT("'"&amp;INDEX(Table11[Sheet Name],$F23)&amp;"'!"&amp;_xlpm._columnID&amp;":"&amp;_xlpm._columnID),$G23)&amp;" "&amp;
INDEX(INDIRECT("'"&amp;INDEX(Table11[Sheet Name],$F23)&amp;"'!"&amp;_xlpm._columnName&amp;":"&amp;_xlpm._columnName),$G23))))</f>
        <v/>
      </c>
      <c r="I23" s="21" t="str" cm="1">
        <f t="array" aca="1" ref="I23" ca="1">IF($G23="","",(_xlfn.LET(
_xlpm._columnID,INDEX(Table11[Comment Column],$F23),
INDEX(INDIRECT("'"&amp;INDEX(Table11[Sheet Name],$F23)&amp;"'!"&amp;_xlpm._columnID&amp;":"&amp;_xlpm._columnID),$G23))))</f>
        <v/>
      </c>
    </row>
    <row r="24" spans="1:9" x14ac:dyDescent="0.25">
      <c r="A24" s="30" t="str" cm="1">
        <f t="array" aca="1" ref="A24" ca="1">IF($E24="","",
HYPERLINK("#'"&amp;INDEX(Table11[Sheet Name],$F24)&amp;"'!"&amp;INDEX(Table11[ID Column],$F24)&amp;$G24,
IF(LEN(H24)&gt;255,LEFT(H24,250)&amp;" …",H24)))</f>
        <v/>
      </c>
      <c r="B24" s="30" t="str" cm="1">
        <f t="array" aca="1" ref="B24" ca="1">IF($E24="","",HYPERLINK("#'"&amp;INDEX(Table11[Sheet Name],$F24)&amp;"'!"&amp;INDEX(Table11[Comment Column],$F24)&amp;$G24,
IF(LEN(I24)&gt;255,LEFT(I24,250)&amp;" …",I24)))</f>
        <v/>
      </c>
      <c r="C24" s="10" cm="1">
        <f t="array" aca="1" ref="C24" ca="1">IFERROR(IF(ROW()=ROW($C$19)+1,1,INDEX($C:$C,ROW()-1))+
IF(INDEX($E:$E,ROW()-1)=TRUE,1,0),"")</f>
        <v>2</v>
      </c>
      <c r="D24" s="10">
        <f t="shared" ca="1" si="7"/>
        <v>4</v>
      </c>
      <c r="E24" s="10" t="str" cm="1">
        <f t="array" aca="1" ref="E24" ca="1">IFERROR(INDEX(Table11[Number of Tasks],$F24)=$D24,"")</f>
        <v/>
      </c>
      <c r="F24" s="21" t="str">
        <f ca="1">IFERROR(MATCH($C24,Table11[Task Sheet Shadow ID],0),"")</f>
        <v/>
      </c>
      <c r="G24" s="21" t="str" cm="1">
        <f t="array" aca="1" ref="G24" ca="1">IFERROR(_xlfn.LET(
_xlpm._column,INDEX(Table11[Task ID Column],$F24),
MATCH($D24,INDIRECT("'"&amp;INDEX(Table11[Sheet Name],$F24)&amp;"'!"&amp;_xlpm._column&amp;":"&amp;_xlpm._column),0)),"")</f>
        <v/>
      </c>
      <c r="H24" s="21" t="str" cm="1">
        <f t="array" aca="1" ref="H24" ca="1">IF($G24="","",(_xlfn.LET(
_xlpm._columnID,INDEX(Table11[ID Column],$F24),
_xlpm._columnName,INDEX(Table11[Name Column],$F24),
INDEX(INDIRECT("'"&amp;INDEX(Table11[Sheet Name],$F24)&amp;"'!"&amp;_xlpm._columnID&amp;":"&amp;_xlpm._columnID),$G24)&amp;" "&amp;
INDEX(INDIRECT("'"&amp;INDEX(Table11[Sheet Name],$F24)&amp;"'!"&amp;_xlpm._columnName&amp;":"&amp;_xlpm._columnName),$G24))))</f>
        <v/>
      </c>
      <c r="I24" s="21" t="str" cm="1">
        <f t="array" aca="1" ref="I24" ca="1">IF($G24="","",(_xlfn.LET(
_xlpm._columnID,INDEX(Table11[Comment Column],$F24),
INDEX(INDIRECT("'"&amp;INDEX(Table11[Sheet Name],$F24)&amp;"'!"&amp;_xlpm._columnID&amp;":"&amp;_xlpm._columnID),$G24))))</f>
        <v/>
      </c>
    </row>
    <row r="25" spans="1:9" x14ac:dyDescent="0.25">
      <c r="A25" s="30" t="str" cm="1">
        <f t="array" aca="1" ref="A25" ca="1">IF($E25="","",
HYPERLINK("#'"&amp;INDEX(Table11[Sheet Name],$F25)&amp;"'!"&amp;INDEX(Table11[ID Column],$F25)&amp;$G25,
IF(LEN(H25)&gt;255,LEFT(H25,250)&amp;" …",H25)))</f>
        <v/>
      </c>
      <c r="B25" s="30" t="str" cm="1">
        <f t="array" aca="1" ref="B25" ca="1">IF($E25="","",HYPERLINK("#'"&amp;INDEX(Table11[Sheet Name],$F25)&amp;"'!"&amp;INDEX(Table11[Comment Column],$F25)&amp;$G25,
IF(LEN(I25)&gt;255,LEFT(I25,250)&amp;" …",I25)))</f>
        <v/>
      </c>
      <c r="C25" s="10" cm="1">
        <f t="array" aca="1" ref="C25" ca="1">IFERROR(IF(ROW()=ROW($C$19)+1,1,INDEX($C:$C,ROW()-1))+
IF(INDEX($E:$E,ROW()-1)=TRUE,1,0),"")</f>
        <v>2</v>
      </c>
      <c r="D25" s="10">
        <f t="shared" ca="1" si="7"/>
        <v>5</v>
      </c>
      <c r="E25" s="10" t="str" cm="1">
        <f t="array" aca="1" ref="E25" ca="1">IFERROR(INDEX(Table11[Number of Tasks],$F25)=$D25,"")</f>
        <v/>
      </c>
      <c r="F25" s="21" t="str">
        <f ca="1">IFERROR(MATCH($C25,Table11[Task Sheet Shadow ID],0),"")</f>
        <v/>
      </c>
      <c r="G25" s="21" t="str" cm="1">
        <f t="array" aca="1" ref="G25" ca="1">IFERROR(_xlfn.LET(
_xlpm._column,INDEX(Table11[Task ID Column],$F25),
MATCH($D25,INDIRECT("'"&amp;INDEX(Table11[Sheet Name],$F25)&amp;"'!"&amp;_xlpm._column&amp;":"&amp;_xlpm._column),0)),"")</f>
        <v/>
      </c>
      <c r="H25" s="21" t="str" cm="1">
        <f t="array" aca="1" ref="H25" ca="1">IF($G25="","",(_xlfn.LET(
_xlpm._columnID,INDEX(Table11[ID Column],$F25),
_xlpm._columnName,INDEX(Table11[Name Column],$F25),
INDEX(INDIRECT("'"&amp;INDEX(Table11[Sheet Name],$F25)&amp;"'!"&amp;_xlpm._columnID&amp;":"&amp;_xlpm._columnID),$G25)&amp;" "&amp;
INDEX(INDIRECT("'"&amp;INDEX(Table11[Sheet Name],$F25)&amp;"'!"&amp;_xlpm._columnName&amp;":"&amp;_xlpm._columnName),$G25))))</f>
        <v/>
      </c>
      <c r="I25" s="21" t="str" cm="1">
        <f t="array" aca="1" ref="I25" ca="1">IF($G25="","",(_xlfn.LET(
_xlpm._columnID,INDEX(Table11[Comment Column],$F25),
INDEX(INDIRECT("'"&amp;INDEX(Table11[Sheet Name],$F25)&amp;"'!"&amp;_xlpm._columnID&amp;":"&amp;_xlpm._columnID),$G25))))</f>
        <v/>
      </c>
    </row>
    <row r="26" spans="1:9" x14ac:dyDescent="0.25">
      <c r="A26" s="30" t="str" cm="1">
        <f t="array" aca="1" ref="A26" ca="1">IF($E26="","",
HYPERLINK("#'"&amp;INDEX(Table11[Sheet Name],$F26)&amp;"'!"&amp;INDEX(Table11[ID Column],$F26)&amp;$G26,
IF(LEN(H26)&gt;255,LEFT(H26,250)&amp;" …",H26)))</f>
        <v/>
      </c>
      <c r="B26" s="30" t="str" cm="1">
        <f t="array" aca="1" ref="B26" ca="1">IF($E26="","",HYPERLINK("#'"&amp;INDEX(Table11[Sheet Name],$F26)&amp;"'!"&amp;INDEX(Table11[Comment Column],$F26)&amp;$G26,
IF(LEN(I26)&gt;255,LEFT(I26,250)&amp;" …",I26)))</f>
        <v/>
      </c>
      <c r="C26" s="10" cm="1">
        <f t="array" aca="1" ref="C26" ca="1">IFERROR(IF(ROW()=ROW($C$19)+1,1,INDEX($C:$C,ROW()-1))+
IF(INDEX($E:$E,ROW()-1)=TRUE,1,0),"")</f>
        <v>2</v>
      </c>
      <c r="D26" s="10">
        <f t="shared" ca="1" si="7"/>
        <v>6</v>
      </c>
      <c r="E26" s="10" t="str" cm="1">
        <f t="array" aca="1" ref="E26" ca="1">IFERROR(INDEX(Table11[Number of Tasks],$F26)=$D26,"")</f>
        <v/>
      </c>
      <c r="F26" s="21" t="str">
        <f ca="1">IFERROR(MATCH($C26,Table11[Task Sheet Shadow ID],0),"")</f>
        <v/>
      </c>
      <c r="G26" s="21" t="str" cm="1">
        <f t="array" aca="1" ref="G26" ca="1">IFERROR(_xlfn.LET(
_xlpm._column,INDEX(Table11[Task ID Column],$F26),
MATCH($D26,INDIRECT("'"&amp;INDEX(Table11[Sheet Name],$F26)&amp;"'!"&amp;_xlpm._column&amp;":"&amp;_xlpm._column),0)),"")</f>
        <v/>
      </c>
      <c r="H26" s="21" t="str" cm="1">
        <f t="array" aca="1" ref="H26" ca="1">IF($G26="","",(_xlfn.LET(
_xlpm._columnID,INDEX(Table11[ID Column],$F26),
_xlpm._columnName,INDEX(Table11[Name Column],$F26),
INDEX(INDIRECT("'"&amp;INDEX(Table11[Sheet Name],$F26)&amp;"'!"&amp;_xlpm._columnID&amp;":"&amp;_xlpm._columnID),$G26)&amp;" "&amp;
INDEX(INDIRECT("'"&amp;INDEX(Table11[Sheet Name],$F26)&amp;"'!"&amp;_xlpm._columnName&amp;":"&amp;_xlpm._columnName),$G26))))</f>
        <v/>
      </c>
      <c r="I26" s="21" t="str" cm="1">
        <f t="array" aca="1" ref="I26" ca="1">IF($G26="","",(_xlfn.LET(
_xlpm._columnID,INDEX(Table11[Comment Column],$F26),
INDEX(INDIRECT("'"&amp;INDEX(Table11[Sheet Name],$F26)&amp;"'!"&amp;_xlpm._columnID&amp;":"&amp;_xlpm._columnID),$G26))))</f>
        <v/>
      </c>
    </row>
    <row r="27" spans="1:9" x14ac:dyDescent="0.25">
      <c r="A27" s="30" t="str" cm="1">
        <f t="array" aca="1" ref="A27" ca="1">IF($E27="","",
HYPERLINK("#'"&amp;INDEX(Table11[Sheet Name],$F27)&amp;"'!"&amp;INDEX(Table11[ID Column],$F27)&amp;$G27,
IF(LEN(H27)&gt;255,LEFT(H27,250)&amp;" …",H27)))</f>
        <v/>
      </c>
      <c r="B27" s="30" t="str" cm="1">
        <f t="array" aca="1" ref="B27" ca="1">IF($E27="","",HYPERLINK("#'"&amp;INDEX(Table11[Sheet Name],$F27)&amp;"'!"&amp;INDEX(Table11[Comment Column],$F27)&amp;$G27,
IF(LEN(I27)&gt;255,LEFT(I27,250)&amp;" …",I27)))</f>
        <v/>
      </c>
      <c r="C27" s="10" cm="1">
        <f t="array" aca="1" ref="C27" ca="1">IFERROR(IF(ROW()=ROW($C$19)+1,1,INDEX($C:$C,ROW()-1))+
IF(INDEX($E:$E,ROW()-1)=TRUE,1,0),"")</f>
        <v>2</v>
      </c>
      <c r="D27" s="10">
        <f t="shared" ca="1" si="7"/>
        <v>7</v>
      </c>
      <c r="E27" s="10" t="str" cm="1">
        <f t="array" aca="1" ref="E27" ca="1">IFERROR(INDEX(Table11[Number of Tasks],$F27)=$D27,"")</f>
        <v/>
      </c>
      <c r="F27" s="21" t="str">
        <f ca="1">IFERROR(MATCH($C27,Table11[Task Sheet Shadow ID],0),"")</f>
        <v/>
      </c>
      <c r="G27" s="21" t="str" cm="1">
        <f t="array" aca="1" ref="G27" ca="1">IFERROR(_xlfn.LET(
_xlpm._column,INDEX(Table11[Task ID Column],$F27),
MATCH($D27,INDIRECT("'"&amp;INDEX(Table11[Sheet Name],$F27)&amp;"'!"&amp;_xlpm._column&amp;":"&amp;_xlpm._column),0)),"")</f>
        <v/>
      </c>
      <c r="H27" s="21" t="str" cm="1">
        <f t="array" aca="1" ref="H27" ca="1">IF($G27="","",(_xlfn.LET(
_xlpm._columnID,INDEX(Table11[ID Column],$F27),
_xlpm._columnName,INDEX(Table11[Name Column],$F27),
INDEX(INDIRECT("'"&amp;INDEX(Table11[Sheet Name],$F27)&amp;"'!"&amp;_xlpm._columnID&amp;":"&amp;_xlpm._columnID),$G27)&amp;" "&amp;
INDEX(INDIRECT("'"&amp;INDEX(Table11[Sheet Name],$F27)&amp;"'!"&amp;_xlpm._columnName&amp;":"&amp;_xlpm._columnName),$G27))))</f>
        <v/>
      </c>
      <c r="I27" s="21" t="str" cm="1">
        <f t="array" aca="1" ref="I27" ca="1">IF($G27="","",(_xlfn.LET(
_xlpm._columnID,INDEX(Table11[Comment Column],$F27),
INDEX(INDIRECT("'"&amp;INDEX(Table11[Sheet Name],$F27)&amp;"'!"&amp;_xlpm._columnID&amp;":"&amp;_xlpm._columnID),$G27))))</f>
        <v/>
      </c>
    </row>
    <row r="28" spans="1:9" x14ac:dyDescent="0.25">
      <c r="A28" s="30" t="str" cm="1">
        <f t="array" aca="1" ref="A28" ca="1">IF($E28="","",
HYPERLINK("#'"&amp;INDEX(Table11[Sheet Name],$F28)&amp;"'!"&amp;INDEX(Table11[ID Column],$F28)&amp;$G28,
IF(LEN(H28)&gt;255,LEFT(H28,250)&amp;" …",H28)))</f>
        <v/>
      </c>
      <c r="B28" s="30" t="str" cm="1">
        <f t="array" aca="1" ref="B28" ca="1">IF($E28="","",HYPERLINK("#'"&amp;INDEX(Table11[Sheet Name],$F28)&amp;"'!"&amp;INDEX(Table11[Comment Column],$F28)&amp;$G28,
IF(LEN(I28)&gt;255,LEFT(I28,250)&amp;" …",I28)))</f>
        <v/>
      </c>
      <c r="C28" s="10" cm="1">
        <f t="array" aca="1" ref="C28" ca="1">IFERROR(IF(ROW()=ROW($C$19)+1,1,INDEX($C:$C,ROW()-1))+
IF(INDEX($E:$E,ROW()-1)=TRUE,1,0),"")</f>
        <v>2</v>
      </c>
      <c r="D28" s="10">
        <f t="shared" ca="1" si="7"/>
        <v>8</v>
      </c>
      <c r="E28" s="10" t="str" cm="1">
        <f t="array" aca="1" ref="E28" ca="1">IFERROR(INDEX(Table11[Number of Tasks],$F28)=$D28,"")</f>
        <v/>
      </c>
      <c r="F28" s="21" t="str">
        <f ca="1">IFERROR(MATCH($C28,Table11[Task Sheet Shadow ID],0),"")</f>
        <v/>
      </c>
      <c r="G28" s="21" t="str" cm="1">
        <f t="array" aca="1" ref="G28" ca="1">IFERROR(_xlfn.LET(
_xlpm._column,INDEX(Table11[Task ID Column],$F28),
MATCH($D28,INDIRECT("'"&amp;INDEX(Table11[Sheet Name],$F28)&amp;"'!"&amp;_xlpm._column&amp;":"&amp;_xlpm._column),0)),"")</f>
        <v/>
      </c>
      <c r="H28" s="21" t="str" cm="1">
        <f t="array" aca="1" ref="H28" ca="1">IF($G28="","",(_xlfn.LET(
_xlpm._columnID,INDEX(Table11[ID Column],$F28),
_xlpm._columnName,INDEX(Table11[Name Column],$F28),
INDEX(INDIRECT("'"&amp;INDEX(Table11[Sheet Name],$F28)&amp;"'!"&amp;_xlpm._columnID&amp;":"&amp;_xlpm._columnID),$G28)&amp;" "&amp;
INDEX(INDIRECT("'"&amp;INDEX(Table11[Sheet Name],$F28)&amp;"'!"&amp;_xlpm._columnName&amp;":"&amp;_xlpm._columnName),$G28))))</f>
        <v/>
      </c>
      <c r="I28" s="21" t="str" cm="1">
        <f t="array" aca="1" ref="I28" ca="1">IF($G28="","",(_xlfn.LET(
_xlpm._columnID,INDEX(Table11[Comment Column],$F28),
INDEX(INDIRECT("'"&amp;INDEX(Table11[Sheet Name],$F28)&amp;"'!"&amp;_xlpm._columnID&amp;":"&amp;_xlpm._columnID),$G28))))</f>
        <v/>
      </c>
    </row>
    <row r="29" spans="1:9" x14ac:dyDescent="0.25">
      <c r="A29" s="30" t="str" cm="1">
        <f t="array" aca="1" ref="A29" ca="1">IF($E29="","",
HYPERLINK("#'"&amp;INDEX(Table11[Sheet Name],$F29)&amp;"'!"&amp;INDEX(Table11[ID Column],$F29)&amp;$G29,
IF(LEN(H29)&gt;255,LEFT(H29,250)&amp;" …",H29)))</f>
        <v/>
      </c>
      <c r="B29" s="30" t="str" cm="1">
        <f t="array" aca="1" ref="B29" ca="1">IF($E29="","",HYPERLINK("#'"&amp;INDEX(Table11[Sheet Name],$F29)&amp;"'!"&amp;INDEX(Table11[Comment Column],$F29)&amp;$G29,
IF(LEN(I29)&gt;255,LEFT(I29,250)&amp;" …",I29)))</f>
        <v/>
      </c>
      <c r="C29" s="10" cm="1">
        <f t="array" aca="1" ref="C29" ca="1">IFERROR(IF(ROW()=ROW($C$19)+1,1,INDEX($C:$C,ROW()-1))+
IF(INDEX($E:$E,ROW()-1)=TRUE,1,0),"")</f>
        <v>2</v>
      </c>
      <c r="D29" s="10">
        <f t="shared" ca="1" si="7"/>
        <v>9</v>
      </c>
      <c r="E29" s="10" t="str" cm="1">
        <f t="array" aca="1" ref="E29" ca="1">IFERROR(INDEX(Table11[Number of Tasks],$F29)=$D29,"")</f>
        <v/>
      </c>
      <c r="F29" s="21" t="str">
        <f ca="1">IFERROR(MATCH($C29,Table11[Task Sheet Shadow ID],0),"")</f>
        <v/>
      </c>
      <c r="G29" s="21" t="str" cm="1">
        <f t="array" aca="1" ref="G29" ca="1">IFERROR(_xlfn.LET(
_xlpm._column,INDEX(Table11[Task ID Column],$F29),
MATCH($D29,INDIRECT("'"&amp;INDEX(Table11[Sheet Name],$F29)&amp;"'!"&amp;_xlpm._column&amp;":"&amp;_xlpm._column),0)),"")</f>
        <v/>
      </c>
      <c r="H29" s="21" t="str" cm="1">
        <f t="array" aca="1" ref="H29" ca="1">IF($G29="","",(_xlfn.LET(
_xlpm._columnID,INDEX(Table11[ID Column],$F29),
_xlpm._columnName,INDEX(Table11[Name Column],$F29),
INDEX(INDIRECT("'"&amp;INDEX(Table11[Sheet Name],$F29)&amp;"'!"&amp;_xlpm._columnID&amp;":"&amp;_xlpm._columnID),$G29)&amp;" "&amp;
INDEX(INDIRECT("'"&amp;INDEX(Table11[Sheet Name],$F29)&amp;"'!"&amp;_xlpm._columnName&amp;":"&amp;_xlpm._columnName),$G29))))</f>
        <v/>
      </c>
      <c r="I29" s="21" t="str" cm="1">
        <f t="array" aca="1" ref="I29" ca="1">IF($G29="","",(_xlfn.LET(
_xlpm._columnID,INDEX(Table11[Comment Column],$F29),
INDEX(INDIRECT("'"&amp;INDEX(Table11[Sheet Name],$F29)&amp;"'!"&amp;_xlpm._columnID&amp;":"&amp;_xlpm._columnID),$G29))))</f>
        <v/>
      </c>
    </row>
    <row r="30" spans="1:9" x14ac:dyDescent="0.25">
      <c r="A30" s="30" t="str" cm="1">
        <f t="array" aca="1" ref="A30" ca="1">IF($E30="","",
HYPERLINK("#'"&amp;INDEX(Table11[Sheet Name],$F30)&amp;"'!"&amp;INDEX(Table11[ID Column],$F30)&amp;$G30,
IF(LEN(H30)&gt;255,LEFT(H30,250)&amp;" …",H30)))</f>
        <v/>
      </c>
      <c r="B30" s="30" t="str" cm="1">
        <f t="array" aca="1" ref="B30" ca="1">IF($E30="","",HYPERLINK("#'"&amp;INDEX(Table11[Sheet Name],$F30)&amp;"'!"&amp;INDEX(Table11[Comment Column],$F30)&amp;$G30,
IF(LEN(I30)&gt;255,LEFT(I30,250)&amp;" …",I30)))</f>
        <v/>
      </c>
      <c r="C30" s="10" cm="1">
        <f t="array" aca="1" ref="C30" ca="1">IFERROR(IF(ROW()=ROW($C$19)+1,1,INDEX($C:$C,ROW()-1))+
IF(INDEX($E:$E,ROW()-1)=TRUE,1,0),"")</f>
        <v>2</v>
      </c>
      <c r="D30" s="10">
        <f t="shared" ca="1" si="7"/>
        <v>10</v>
      </c>
      <c r="E30" s="10" t="str" cm="1">
        <f t="array" aca="1" ref="E30" ca="1">IFERROR(INDEX(Table11[Number of Tasks],$F30)=$D30,"")</f>
        <v/>
      </c>
      <c r="F30" s="21" t="str">
        <f ca="1">IFERROR(MATCH($C30,Table11[Task Sheet Shadow ID],0),"")</f>
        <v/>
      </c>
      <c r="G30" s="21" t="str" cm="1">
        <f t="array" aca="1" ref="G30" ca="1">IFERROR(_xlfn.LET(
_xlpm._column,INDEX(Table11[Task ID Column],$F30),
MATCH($D30,INDIRECT("'"&amp;INDEX(Table11[Sheet Name],$F30)&amp;"'!"&amp;_xlpm._column&amp;":"&amp;_xlpm._column),0)),"")</f>
        <v/>
      </c>
      <c r="H30" s="21" t="str" cm="1">
        <f t="array" aca="1" ref="H30" ca="1">IF($G30="","",(_xlfn.LET(
_xlpm._columnID,INDEX(Table11[ID Column],$F30),
_xlpm._columnName,INDEX(Table11[Name Column],$F30),
INDEX(INDIRECT("'"&amp;INDEX(Table11[Sheet Name],$F30)&amp;"'!"&amp;_xlpm._columnID&amp;":"&amp;_xlpm._columnID),$G30)&amp;" "&amp;
INDEX(INDIRECT("'"&amp;INDEX(Table11[Sheet Name],$F30)&amp;"'!"&amp;_xlpm._columnName&amp;":"&amp;_xlpm._columnName),$G30))))</f>
        <v/>
      </c>
      <c r="I30" s="21" t="str" cm="1">
        <f t="array" aca="1" ref="I30" ca="1">IF($G30="","",(_xlfn.LET(
_xlpm._columnID,INDEX(Table11[Comment Column],$F30),
INDEX(INDIRECT("'"&amp;INDEX(Table11[Sheet Name],$F30)&amp;"'!"&amp;_xlpm._columnID&amp;":"&amp;_xlpm._columnID),$G30))))</f>
        <v/>
      </c>
    </row>
    <row r="31" spans="1:9" x14ac:dyDescent="0.25">
      <c r="A31" s="30" t="str" cm="1">
        <f t="array" aca="1" ref="A31" ca="1">IF($E31="","",
HYPERLINK("#'"&amp;INDEX(Table11[Sheet Name],$F31)&amp;"'!"&amp;INDEX(Table11[ID Column],$F31)&amp;$G31,
IF(LEN(H31)&gt;255,LEFT(H31,250)&amp;" …",H31)))</f>
        <v/>
      </c>
      <c r="B31" s="30" t="str" cm="1">
        <f t="array" aca="1" ref="B31" ca="1">IF($E31="","",HYPERLINK("#'"&amp;INDEX(Table11[Sheet Name],$F31)&amp;"'!"&amp;INDEX(Table11[Comment Column],$F31)&amp;$G31,
IF(LEN(I31)&gt;255,LEFT(I31,250)&amp;" …",I31)))</f>
        <v/>
      </c>
      <c r="C31" s="10" cm="1">
        <f t="array" aca="1" ref="C31" ca="1">IFERROR(IF(ROW()=ROW($C$19)+1,1,INDEX($C:$C,ROW()-1))+
IF(INDEX($E:$E,ROW()-1)=TRUE,1,0),"")</f>
        <v>2</v>
      </c>
      <c r="D31" s="10">
        <f t="shared" ca="1" si="7"/>
        <v>11</v>
      </c>
      <c r="E31" s="10" t="str" cm="1">
        <f t="array" aca="1" ref="E31" ca="1">IFERROR(INDEX(Table11[Number of Tasks],$F31)=$D31,"")</f>
        <v/>
      </c>
      <c r="F31" s="21" t="str">
        <f ca="1">IFERROR(MATCH($C31,Table11[Task Sheet Shadow ID],0),"")</f>
        <v/>
      </c>
      <c r="G31" s="21" t="str" cm="1">
        <f t="array" aca="1" ref="G31" ca="1">IFERROR(_xlfn.LET(
_xlpm._column,INDEX(Table11[Task ID Column],$F31),
MATCH($D31,INDIRECT("'"&amp;INDEX(Table11[Sheet Name],$F31)&amp;"'!"&amp;_xlpm._column&amp;":"&amp;_xlpm._column),0)),"")</f>
        <v/>
      </c>
      <c r="H31" s="21" t="str" cm="1">
        <f t="array" aca="1" ref="H31" ca="1">IF($G31="","",(_xlfn.LET(
_xlpm._columnID,INDEX(Table11[ID Column],$F31),
_xlpm._columnName,INDEX(Table11[Name Column],$F31),
INDEX(INDIRECT("'"&amp;INDEX(Table11[Sheet Name],$F31)&amp;"'!"&amp;_xlpm._columnID&amp;":"&amp;_xlpm._columnID),$G31)&amp;" "&amp;
INDEX(INDIRECT("'"&amp;INDEX(Table11[Sheet Name],$F31)&amp;"'!"&amp;_xlpm._columnName&amp;":"&amp;_xlpm._columnName),$G31))))</f>
        <v/>
      </c>
      <c r="I31" s="21" t="str" cm="1">
        <f t="array" aca="1" ref="I31" ca="1">IF($G31="","",(_xlfn.LET(
_xlpm._columnID,INDEX(Table11[Comment Column],$F31),
INDEX(INDIRECT("'"&amp;INDEX(Table11[Sheet Name],$F31)&amp;"'!"&amp;_xlpm._columnID&amp;":"&amp;_xlpm._columnID),$G31))))</f>
        <v/>
      </c>
    </row>
    <row r="32" spans="1:9" x14ac:dyDescent="0.25">
      <c r="A32" s="30" t="str" cm="1">
        <f t="array" aca="1" ref="A32" ca="1">IF($E32="","",
HYPERLINK("#'"&amp;INDEX(Table11[Sheet Name],$F32)&amp;"'!"&amp;INDEX(Table11[ID Column],$F32)&amp;$G32,
IF(LEN(H32)&gt;255,LEFT(H32,250)&amp;" …",H32)))</f>
        <v/>
      </c>
      <c r="B32" s="30" t="str" cm="1">
        <f t="array" aca="1" ref="B32" ca="1">IF($E32="","",HYPERLINK("#'"&amp;INDEX(Table11[Sheet Name],$F32)&amp;"'!"&amp;INDEX(Table11[Comment Column],$F32)&amp;$G32,
IF(LEN(I32)&gt;255,LEFT(I32,250)&amp;" …",I32)))</f>
        <v/>
      </c>
      <c r="C32" s="10" cm="1">
        <f t="array" aca="1" ref="C32" ca="1">IFERROR(IF(ROW()=ROW($C$19)+1,1,INDEX($C:$C,ROW()-1))+
IF(INDEX($E:$E,ROW()-1)=TRUE,1,0),"")</f>
        <v>2</v>
      </c>
      <c r="D32" s="10">
        <f t="shared" ca="1" si="7"/>
        <v>12</v>
      </c>
      <c r="E32" s="10" t="str" cm="1">
        <f t="array" aca="1" ref="E32" ca="1">IFERROR(INDEX(Table11[Number of Tasks],$F32)=$D32,"")</f>
        <v/>
      </c>
      <c r="F32" s="21" t="str">
        <f ca="1">IFERROR(MATCH($C32,Table11[Task Sheet Shadow ID],0),"")</f>
        <v/>
      </c>
      <c r="G32" s="21" t="str" cm="1">
        <f t="array" aca="1" ref="G32" ca="1">IFERROR(_xlfn.LET(
_xlpm._column,INDEX(Table11[Task ID Column],$F32),
MATCH($D32,INDIRECT("'"&amp;INDEX(Table11[Sheet Name],$F32)&amp;"'!"&amp;_xlpm._column&amp;":"&amp;_xlpm._column),0)),"")</f>
        <v/>
      </c>
      <c r="H32" s="21" t="str" cm="1">
        <f t="array" aca="1" ref="H32" ca="1">IF($G32="","",(_xlfn.LET(
_xlpm._columnID,INDEX(Table11[ID Column],$F32),
_xlpm._columnName,INDEX(Table11[Name Column],$F32),
INDEX(INDIRECT("'"&amp;INDEX(Table11[Sheet Name],$F32)&amp;"'!"&amp;_xlpm._columnID&amp;":"&amp;_xlpm._columnID),$G32)&amp;" "&amp;
INDEX(INDIRECT("'"&amp;INDEX(Table11[Sheet Name],$F32)&amp;"'!"&amp;_xlpm._columnName&amp;":"&amp;_xlpm._columnName),$G32))))</f>
        <v/>
      </c>
      <c r="I32" s="21" t="str" cm="1">
        <f t="array" aca="1" ref="I32" ca="1">IF($G32="","",(_xlfn.LET(
_xlpm._columnID,INDEX(Table11[Comment Column],$F32),
INDEX(INDIRECT("'"&amp;INDEX(Table11[Sheet Name],$F32)&amp;"'!"&amp;_xlpm._columnID&amp;":"&amp;_xlpm._columnID),$G32))))</f>
        <v/>
      </c>
    </row>
    <row r="33" spans="1:9" x14ac:dyDescent="0.25">
      <c r="A33" s="30" t="str" cm="1">
        <f t="array" aca="1" ref="A33" ca="1">IF($E33="","",
HYPERLINK("#'"&amp;INDEX(Table11[Sheet Name],$F33)&amp;"'!"&amp;INDEX(Table11[ID Column],$F33)&amp;$G33,
IF(LEN(H33)&gt;255,LEFT(H33,250)&amp;" …",H33)))</f>
        <v/>
      </c>
      <c r="B33" s="30" t="str" cm="1">
        <f t="array" aca="1" ref="B33" ca="1">IF($E33="","",HYPERLINK("#'"&amp;INDEX(Table11[Sheet Name],$F33)&amp;"'!"&amp;INDEX(Table11[Comment Column],$F33)&amp;$G33,
IF(LEN(I33)&gt;255,LEFT(I33,250)&amp;" …",I33)))</f>
        <v/>
      </c>
      <c r="C33" s="10" cm="1">
        <f t="array" aca="1" ref="C33" ca="1">IFERROR(IF(ROW()=ROW($C$19)+1,1,INDEX($C:$C,ROW()-1))+
IF(INDEX($E:$E,ROW()-1)=TRUE,1,0),"")</f>
        <v>2</v>
      </c>
      <c r="D33" s="10">
        <f t="shared" ca="1" si="7"/>
        <v>13</v>
      </c>
      <c r="E33" s="10" t="str" cm="1">
        <f t="array" aca="1" ref="E33" ca="1">IFERROR(INDEX(Table11[Number of Tasks],$F33)=$D33,"")</f>
        <v/>
      </c>
      <c r="F33" s="21" t="str">
        <f ca="1">IFERROR(MATCH($C33,Table11[Task Sheet Shadow ID],0),"")</f>
        <v/>
      </c>
      <c r="G33" s="21" t="str" cm="1">
        <f t="array" aca="1" ref="G33" ca="1">IFERROR(_xlfn.LET(
_xlpm._column,INDEX(Table11[Task ID Column],$F33),
MATCH($D33,INDIRECT("'"&amp;INDEX(Table11[Sheet Name],$F33)&amp;"'!"&amp;_xlpm._column&amp;":"&amp;_xlpm._column),0)),"")</f>
        <v/>
      </c>
      <c r="H33" s="21" t="str" cm="1">
        <f t="array" aca="1" ref="H33" ca="1">IF($G33="","",(_xlfn.LET(
_xlpm._columnID,INDEX(Table11[ID Column],$F33),
_xlpm._columnName,INDEX(Table11[Name Column],$F33),
INDEX(INDIRECT("'"&amp;INDEX(Table11[Sheet Name],$F33)&amp;"'!"&amp;_xlpm._columnID&amp;":"&amp;_xlpm._columnID),$G33)&amp;" "&amp;
INDEX(INDIRECT("'"&amp;INDEX(Table11[Sheet Name],$F33)&amp;"'!"&amp;_xlpm._columnName&amp;":"&amp;_xlpm._columnName),$G33))))</f>
        <v/>
      </c>
      <c r="I33" s="21" t="str" cm="1">
        <f t="array" aca="1" ref="I33" ca="1">IF($G33="","",(_xlfn.LET(
_xlpm._columnID,INDEX(Table11[Comment Column],$F33),
INDEX(INDIRECT("'"&amp;INDEX(Table11[Sheet Name],$F33)&amp;"'!"&amp;_xlpm._columnID&amp;":"&amp;_xlpm._columnID),$G33))))</f>
        <v/>
      </c>
    </row>
    <row r="34" spans="1:9" x14ac:dyDescent="0.25">
      <c r="A34" s="35" t="str" cm="1">
        <f t="array" aca="1" ref="A34" ca="1">IF($E34="","",
HYPERLINK("#'"&amp;INDEX(Table11[Sheet Name],$F34)&amp;"'!"&amp;INDEX(Table11[ID Column],$F34)&amp;$G34,
IF(LEN(H34)&gt;255,LEFT(H34,250)&amp;" …",H34)))</f>
        <v/>
      </c>
      <c r="B34" s="35" t="str" cm="1">
        <f t="array" aca="1" ref="B34" ca="1">IF($E34="","",HYPERLINK("#'"&amp;INDEX(Table11[Sheet Name],$F34)&amp;"'!"&amp;INDEX(Table11[Comment Column],$F34)&amp;$G34,
IF(LEN(I34)&gt;255,LEFT(I34,250)&amp;" …",I34)))</f>
        <v/>
      </c>
      <c r="C34" s="21" cm="1">
        <f t="array" aca="1" ref="C34" ca="1">IFERROR(IF(ROW()=ROW($C$19)+1,1,INDEX($C:$C,ROW()-1))+
IF(INDEX($E:$E,ROW()-1)=TRUE,1,0),"")</f>
        <v>2</v>
      </c>
      <c r="D34" s="21">
        <f t="shared" ref="D34:D49" ca="1" si="8">COUNTIF(OFFSET($C$19,1,0,ROW()-ROW($D$19),1),$C34)</f>
        <v>14</v>
      </c>
      <c r="E34" s="21" t="str" cm="1">
        <f t="array" aca="1" ref="E34" ca="1">IFERROR(INDEX(Table11[Number of Tasks],$F34)=$D34,"")</f>
        <v/>
      </c>
      <c r="F34" s="21" t="str">
        <f ca="1">IFERROR(MATCH($C34,Table11[Task Sheet Shadow ID],0),"")</f>
        <v/>
      </c>
      <c r="G34" s="21" t="str" cm="1">
        <f t="array" aca="1" ref="G34" ca="1">IFERROR(_xlfn.LET(
_xlpm._column,INDEX(Table11[Task ID Column],$F34),
MATCH($D34,INDIRECT("'"&amp;INDEX(Table11[Sheet Name],$F34)&amp;"'!"&amp;_xlpm._column&amp;":"&amp;_xlpm._column),0)),"")</f>
        <v/>
      </c>
      <c r="H34" s="21" t="str" cm="1">
        <f t="array" aca="1" ref="H34" ca="1">IF($G34="","",(_xlfn.LET(
_xlpm._columnID,INDEX(Table11[ID Column],$F34),
_xlpm._columnName,INDEX(Table11[Name Column],$F34),
INDEX(INDIRECT("'"&amp;INDEX(Table11[Sheet Name],$F34)&amp;"'!"&amp;_xlpm._columnID&amp;":"&amp;_xlpm._columnID),$G34)&amp;" "&amp;
INDEX(INDIRECT("'"&amp;INDEX(Table11[Sheet Name],$F34)&amp;"'!"&amp;_xlpm._columnName&amp;":"&amp;_xlpm._columnName),$G34))))</f>
        <v/>
      </c>
      <c r="I34" s="21" t="str" cm="1">
        <f t="array" aca="1" ref="I34" ca="1">IF($G34="","",(_xlfn.LET(
_xlpm._columnID,INDEX(Table11[Comment Column],$F34),
INDEX(INDIRECT("'"&amp;INDEX(Table11[Sheet Name],$F34)&amp;"'!"&amp;_xlpm._columnID&amp;":"&amp;_xlpm._columnID),$G34))))</f>
        <v/>
      </c>
    </row>
    <row r="35" spans="1:9" x14ac:dyDescent="0.25">
      <c r="A35" s="35" t="str" cm="1">
        <f t="array" aca="1" ref="A35" ca="1">IF($E35="","",
HYPERLINK("#'"&amp;INDEX(Table11[Sheet Name],$F35)&amp;"'!"&amp;INDEX(Table11[ID Column],$F35)&amp;$G35,
IF(LEN(H35)&gt;255,LEFT(H35,250)&amp;" …",H35)))</f>
        <v/>
      </c>
      <c r="B35" s="35" t="str" cm="1">
        <f t="array" aca="1" ref="B35" ca="1">IF($E35="","",HYPERLINK("#'"&amp;INDEX(Table11[Sheet Name],$F35)&amp;"'!"&amp;INDEX(Table11[Comment Column],$F35)&amp;$G35,
IF(LEN(I35)&gt;255,LEFT(I35,250)&amp;" …",I35)))</f>
        <v/>
      </c>
      <c r="C35" s="21" cm="1">
        <f t="array" aca="1" ref="C35" ca="1">IFERROR(IF(ROW()=ROW($C$19)+1,1,INDEX($C:$C,ROW()-1))+
IF(INDEX($E:$E,ROW()-1)=TRUE,1,0),"")</f>
        <v>2</v>
      </c>
      <c r="D35" s="21">
        <f t="shared" ca="1" si="8"/>
        <v>15</v>
      </c>
      <c r="E35" s="21" t="str" cm="1">
        <f t="array" aca="1" ref="E35" ca="1">IFERROR(INDEX(Table11[Number of Tasks],$F35)=$D35,"")</f>
        <v/>
      </c>
      <c r="F35" s="21" t="str">
        <f ca="1">IFERROR(MATCH($C35,Table11[Task Sheet Shadow ID],0),"")</f>
        <v/>
      </c>
      <c r="G35" s="21" t="str" cm="1">
        <f t="array" aca="1" ref="G35" ca="1">IFERROR(_xlfn.LET(
_xlpm._column,INDEX(Table11[Task ID Column],$F35),
MATCH($D35,INDIRECT("'"&amp;INDEX(Table11[Sheet Name],$F35)&amp;"'!"&amp;_xlpm._column&amp;":"&amp;_xlpm._column),0)),"")</f>
        <v/>
      </c>
      <c r="H35" s="21" t="str" cm="1">
        <f t="array" aca="1" ref="H35" ca="1">IF($G35="","",(_xlfn.LET(
_xlpm._columnID,INDEX(Table11[ID Column],$F35),
_xlpm._columnName,INDEX(Table11[Name Column],$F35),
INDEX(INDIRECT("'"&amp;INDEX(Table11[Sheet Name],$F35)&amp;"'!"&amp;_xlpm._columnID&amp;":"&amp;_xlpm._columnID),$G35)&amp;" "&amp;
INDEX(INDIRECT("'"&amp;INDEX(Table11[Sheet Name],$F35)&amp;"'!"&amp;_xlpm._columnName&amp;":"&amp;_xlpm._columnName),$G35))))</f>
        <v/>
      </c>
      <c r="I35" s="21" t="str" cm="1">
        <f t="array" aca="1" ref="I35" ca="1">IF($G35="","",(_xlfn.LET(
_xlpm._columnID,INDEX(Table11[Comment Column],$F35),
INDEX(INDIRECT("'"&amp;INDEX(Table11[Sheet Name],$F35)&amp;"'!"&amp;_xlpm._columnID&amp;":"&amp;_xlpm._columnID),$G35))))</f>
        <v/>
      </c>
    </row>
    <row r="36" spans="1:9" x14ac:dyDescent="0.25">
      <c r="A36" s="35" t="str" cm="1">
        <f t="array" aca="1" ref="A36" ca="1">IF($E36="","",
HYPERLINK("#'"&amp;INDEX(Table11[Sheet Name],$F36)&amp;"'!"&amp;INDEX(Table11[ID Column],$F36)&amp;$G36,
IF(LEN(H36)&gt;255,LEFT(H36,250)&amp;" …",H36)))</f>
        <v/>
      </c>
      <c r="B36" s="35" t="str" cm="1">
        <f t="array" aca="1" ref="B36" ca="1">IF($E36="","",HYPERLINK("#'"&amp;INDEX(Table11[Sheet Name],$F36)&amp;"'!"&amp;INDEX(Table11[Comment Column],$F36)&amp;$G36,
IF(LEN(I36)&gt;255,LEFT(I36,250)&amp;" …",I36)))</f>
        <v/>
      </c>
      <c r="C36" s="21" cm="1">
        <f t="array" aca="1" ref="C36" ca="1">IFERROR(IF(ROW()=ROW($C$19)+1,1,INDEX($C:$C,ROW()-1))+
IF(INDEX($E:$E,ROW()-1)=TRUE,1,0),"")</f>
        <v>2</v>
      </c>
      <c r="D36" s="21">
        <f t="shared" ca="1" si="8"/>
        <v>16</v>
      </c>
      <c r="E36" s="21" t="str" cm="1">
        <f t="array" aca="1" ref="E36" ca="1">IFERROR(INDEX(Table11[Number of Tasks],$F36)=$D36,"")</f>
        <v/>
      </c>
      <c r="F36" s="21" t="str">
        <f ca="1">IFERROR(MATCH($C36,Table11[Task Sheet Shadow ID],0),"")</f>
        <v/>
      </c>
      <c r="G36" s="21" t="str" cm="1">
        <f t="array" aca="1" ref="G36" ca="1">IFERROR(_xlfn.LET(
_xlpm._column,INDEX(Table11[Task ID Column],$F36),
MATCH($D36,INDIRECT("'"&amp;INDEX(Table11[Sheet Name],$F36)&amp;"'!"&amp;_xlpm._column&amp;":"&amp;_xlpm._column),0)),"")</f>
        <v/>
      </c>
      <c r="H36" s="21" t="str" cm="1">
        <f t="array" aca="1" ref="H36" ca="1">IF($G36="","",(_xlfn.LET(
_xlpm._columnID,INDEX(Table11[ID Column],$F36),
_xlpm._columnName,INDEX(Table11[Name Column],$F36),
INDEX(INDIRECT("'"&amp;INDEX(Table11[Sheet Name],$F36)&amp;"'!"&amp;_xlpm._columnID&amp;":"&amp;_xlpm._columnID),$G36)&amp;" "&amp;
INDEX(INDIRECT("'"&amp;INDEX(Table11[Sheet Name],$F36)&amp;"'!"&amp;_xlpm._columnName&amp;":"&amp;_xlpm._columnName),$G36))))</f>
        <v/>
      </c>
      <c r="I36" s="21" t="str" cm="1">
        <f t="array" aca="1" ref="I36" ca="1">IF($G36="","",(_xlfn.LET(
_xlpm._columnID,INDEX(Table11[Comment Column],$F36),
INDEX(INDIRECT("'"&amp;INDEX(Table11[Sheet Name],$F36)&amp;"'!"&amp;_xlpm._columnID&amp;":"&amp;_xlpm._columnID),$G36))))</f>
        <v/>
      </c>
    </row>
    <row r="37" spans="1:9" x14ac:dyDescent="0.25">
      <c r="A37" s="35" t="str" cm="1">
        <f t="array" aca="1" ref="A37" ca="1">IF($E37="","",
HYPERLINK("#'"&amp;INDEX(Table11[Sheet Name],$F37)&amp;"'!"&amp;INDEX(Table11[ID Column],$F37)&amp;$G37,
IF(LEN(H37)&gt;255,LEFT(H37,250)&amp;" …",H37)))</f>
        <v/>
      </c>
      <c r="B37" s="35" t="str" cm="1">
        <f t="array" aca="1" ref="B37" ca="1">IF($E37="","",HYPERLINK("#'"&amp;INDEX(Table11[Sheet Name],$F37)&amp;"'!"&amp;INDEX(Table11[Comment Column],$F37)&amp;$G37,
IF(LEN(I37)&gt;255,LEFT(I37,250)&amp;" …",I37)))</f>
        <v/>
      </c>
      <c r="C37" s="21" cm="1">
        <f t="array" aca="1" ref="C37" ca="1">IFERROR(IF(ROW()=ROW($C$19)+1,1,INDEX($C:$C,ROW()-1))+
IF(INDEX($E:$E,ROW()-1)=TRUE,1,0),"")</f>
        <v>2</v>
      </c>
      <c r="D37" s="21">
        <f t="shared" ca="1" si="8"/>
        <v>17</v>
      </c>
      <c r="E37" s="21" t="str" cm="1">
        <f t="array" aca="1" ref="E37" ca="1">IFERROR(INDEX(Table11[Number of Tasks],$F37)=$D37,"")</f>
        <v/>
      </c>
      <c r="F37" s="21" t="str">
        <f ca="1">IFERROR(MATCH($C37,Table11[Task Sheet Shadow ID],0),"")</f>
        <v/>
      </c>
      <c r="G37" s="21" t="str" cm="1">
        <f t="array" aca="1" ref="G37" ca="1">IFERROR(_xlfn.LET(
_xlpm._column,INDEX(Table11[Task ID Column],$F37),
MATCH($D37,INDIRECT("'"&amp;INDEX(Table11[Sheet Name],$F37)&amp;"'!"&amp;_xlpm._column&amp;":"&amp;_xlpm._column),0)),"")</f>
        <v/>
      </c>
      <c r="H37" s="21" t="str" cm="1">
        <f t="array" aca="1" ref="H37" ca="1">IF($G37="","",(_xlfn.LET(
_xlpm._columnID,INDEX(Table11[ID Column],$F37),
_xlpm._columnName,INDEX(Table11[Name Column],$F37),
INDEX(INDIRECT("'"&amp;INDEX(Table11[Sheet Name],$F37)&amp;"'!"&amp;_xlpm._columnID&amp;":"&amp;_xlpm._columnID),$G37)&amp;" "&amp;
INDEX(INDIRECT("'"&amp;INDEX(Table11[Sheet Name],$F37)&amp;"'!"&amp;_xlpm._columnName&amp;":"&amp;_xlpm._columnName),$G37))))</f>
        <v/>
      </c>
      <c r="I37" s="21" t="str" cm="1">
        <f t="array" aca="1" ref="I37" ca="1">IF($G37="","",(_xlfn.LET(
_xlpm._columnID,INDEX(Table11[Comment Column],$F37),
INDEX(INDIRECT("'"&amp;INDEX(Table11[Sheet Name],$F37)&amp;"'!"&amp;_xlpm._columnID&amp;":"&amp;_xlpm._columnID),$G37))))</f>
        <v/>
      </c>
    </row>
    <row r="38" spans="1:9" x14ac:dyDescent="0.25">
      <c r="A38" s="35" t="str" cm="1">
        <f t="array" aca="1" ref="A38" ca="1">IF($E38="","",
HYPERLINK("#'"&amp;INDEX(Table11[Sheet Name],$F38)&amp;"'!"&amp;INDEX(Table11[ID Column],$F38)&amp;$G38,
IF(LEN(H38)&gt;255,LEFT(H38,250)&amp;" …",H38)))</f>
        <v/>
      </c>
      <c r="B38" s="35" t="str" cm="1">
        <f t="array" aca="1" ref="B38" ca="1">IF($E38="","",HYPERLINK("#'"&amp;INDEX(Table11[Sheet Name],$F38)&amp;"'!"&amp;INDEX(Table11[Comment Column],$F38)&amp;$G38,
IF(LEN(I38)&gt;255,LEFT(I38,250)&amp;" …",I38)))</f>
        <v/>
      </c>
      <c r="C38" s="21" cm="1">
        <f t="array" aca="1" ref="C38" ca="1">IFERROR(IF(ROW()=ROW($C$19)+1,1,INDEX($C:$C,ROW()-1))+
IF(INDEX($E:$E,ROW()-1)=TRUE,1,0),"")</f>
        <v>2</v>
      </c>
      <c r="D38" s="21">
        <f t="shared" ca="1" si="8"/>
        <v>18</v>
      </c>
      <c r="E38" s="21" t="str" cm="1">
        <f t="array" aca="1" ref="E38" ca="1">IFERROR(INDEX(Table11[Number of Tasks],$F38)=$D38,"")</f>
        <v/>
      </c>
      <c r="F38" s="21" t="str">
        <f ca="1">IFERROR(MATCH($C38,Table11[Task Sheet Shadow ID],0),"")</f>
        <v/>
      </c>
      <c r="G38" s="21" t="str" cm="1">
        <f t="array" aca="1" ref="G38" ca="1">IFERROR(_xlfn.LET(
_xlpm._column,INDEX(Table11[Task ID Column],$F38),
MATCH($D38,INDIRECT("'"&amp;INDEX(Table11[Sheet Name],$F38)&amp;"'!"&amp;_xlpm._column&amp;":"&amp;_xlpm._column),0)),"")</f>
        <v/>
      </c>
      <c r="H38" s="21" t="str" cm="1">
        <f t="array" aca="1" ref="H38" ca="1">IF($G38="","",(_xlfn.LET(
_xlpm._columnID,INDEX(Table11[ID Column],$F38),
_xlpm._columnName,INDEX(Table11[Name Column],$F38),
INDEX(INDIRECT("'"&amp;INDEX(Table11[Sheet Name],$F38)&amp;"'!"&amp;_xlpm._columnID&amp;":"&amp;_xlpm._columnID),$G38)&amp;" "&amp;
INDEX(INDIRECT("'"&amp;INDEX(Table11[Sheet Name],$F38)&amp;"'!"&amp;_xlpm._columnName&amp;":"&amp;_xlpm._columnName),$G38))))</f>
        <v/>
      </c>
      <c r="I38" s="21" t="str" cm="1">
        <f t="array" aca="1" ref="I38" ca="1">IF($G38="","",(_xlfn.LET(
_xlpm._columnID,INDEX(Table11[Comment Column],$F38),
INDEX(INDIRECT("'"&amp;INDEX(Table11[Sheet Name],$F38)&amp;"'!"&amp;_xlpm._columnID&amp;":"&amp;_xlpm._columnID),$G38))))</f>
        <v/>
      </c>
    </row>
    <row r="39" spans="1:9" x14ac:dyDescent="0.25">
      <c r="A39" s="35" t="str" cm="1">
        <f t="array" aca="1" ref="A39" ca="1">IF($E39="","",
HYPERLINK("#'"&amp;INDEX(Table11[Sheet Name],$F39)&amp;"'!"&amp;INDEX(Table11[ID Column],$F39)&amp;$G39,
IF(LEN(H39)&gt;255,LEFT(H39,250)&amp;" …",H39)))</f>
        <v/>
      </c>
      <c r="B39" s="35" t="str" cm="1">
        <f t="array" aca="1" ref="B39" ca="1">IF($E39="","",HYPERLINK("#'"&amp;INDEX(Table11[Sheet Name],$F39)&amp;"'!"&amp;INDEX(Table11[Comment Column],$F39)&amp;$G39,
IF(LEN(I39)&gt;255,LEFT(I39,250)&amp;" …",I39)))</f>
        <v/>
      </c>
      <c r="C39" s="21" cm="1">
        <f t="array" aca="1" ref="C39" ca="1">IFERROR(IF(ROW()=ROW($C$19)+1,1,INDEX($C:$C,ROW()-1))+
IF(INDEX($E:$E,ROW()-1)=TRUE,1,0),"")</f>
        <v>2</v>
      </c>
      <c r="D39" s="21">
        <f t="shared" ca="1" si="8"/>
        <v>19</v>
      </c>
      <c r="E39" s="21" t="str" cm="1">
        <f t="array" aca="1" ref="E39" ca="1">IFERROR(INDEX(Table11[Number of Tasks],$F39)=$D39,"")</f>
        <v/>
      </c>
      <c r="F39" s="21" t="str">
        <f ca="1">IFERROR(MATCH($C39,Table11[Task Sheet Shadow ID],0),"")</f>
        <v/>
      </c>
      <c r="G39" s="21" t="str" cm="1">
        <f t="array" aca="1" ref="G39" ca="1">IFERROR(_xlfn.LET(
_xlpm._column,INDEX(Table11[Task ID Column],$F39),
MATCH($D39,INDIRECT("'"&amp;INDEX(Table11[Sheet Name],$F39)&amp;"'!"&amp;_xlpm._column&amp;":"&amp;_xlpm._column),0)),"")</f>
        <v/>
      </c>
      <c r="H39" s="21" t="str" cm="1">
        <f t="array" aca="1" ref="H39" ca="1">IF($G39="","",(_xlfn.LET(
_xlpm._columnID,INDEX(Table11[ID Column],$F39),
_xlpm._columnName,INDEX(Table11[Name Column],$F39),
INDEX(INDIRECT("'"&amp;INDEX(Table11[Sheet Name],$F39)&amp;"'!"&amp;_xlpm._columnID&amp;":"&amp;_xlpm._columnID),$G39)&amp;" "&amp;
INDEX(INDIRECT("'"&amp;INDEX(Table11[Sheet Name],$F39)&amp;"'!"&amp;_xlpm._columnName&amp;":"&amp;_xlpm._columnName),$G39))))</f>
        <v/>
      </c>
      <c r="I39" s="21" t="str" cm="1">
        <f t="array" aca="1" ref="I39" ca="1">IF($G39="","",(_xlfn.LET(
_xlpm._columnID,INDEX(Table11[Comment Column],$F39),
INDEX(INDIRECT("'"&amp;INDEX(Table11[Sheet Name],$F39)&amp;"'!"&amp;_xlpm._columnID&amp;":"&amp;_xlpm._columnID),$G39))))</f>
        <v/>
      </c>
    </row>
    <row r="40" spans="1:9" x14ac:dyDescent="0.25">
      <c r="A40" s="35" t="str" cm="1">
        <f t="array" aca="1" ref="A40" ca="1">IF($E40="","",
HYPERLINK("#'"&amp;INDEX(Table11[Sheet Name],$F40)&amp;"'!"&amp;INDEX(Table11[ID Column],$F40)&amp;$G40,
IF(LEN(H40)&gt;255,LEFT(H40,250)&amp;" …",H40)))</f>
        <v/>
      </c>
      <c r="B40" s="35" t="str" cm="1">
        <f t="array" aca="1" ref="B40" ca="1">IF($E40="","",HYPERLINK("#'"&amp;INDEX(Table11[Sheet Name],$F40)&amp;"'!"&amp;INDEX(Table11[Comment Column],$F40)&amp;$G40,
IF(LEN(I40)&gt;255,LEFT(I40,250)&amp;" …",I40)))</f>
        <v/>
      </c>
      <c r="C40" s="21" cm="1">
        <f t="array" aca="1" ref="C40" ca="1">IFERROR(IF(ROW()=ROW($C$19)+1,1,INDEX($C:$C,ROW()-1))+
IF(INDEX($E:$E,ROW()-1)=TRUE,1,0),"")</f>
        <v>2</v>
      </c>
      <c r="D40" s="21">
        <f t="shared" ca="1" si="8"/>
        <v>20</v>
      </c>
      <c r="E40" s="21" t="str" cm="1">
        <f t="array" aca="1" ref="E40" ca="1">IFERROR(INDEX(Table11[Number of Tasks],$F40)=$D40,"")</f>
        <v/>
      </c>
      <c r="F40" s="21" t="str">
        <f ca="1">IFERROR(MATCH($C40,Table11[Task Sheet Shadow ID],0),"")</f>
        <v/>
      </c>
      <c r="G40" s="21" t="str" cm="1">
        <f t="array" aca="1" ref="G40" ca="1">IFERROR(_xlfn.LET(
_xlpm._column,INDEX(Table11[Task ID Column],$F40),
MATCH($D40,INDIRECT("'"&amp;INDEX(Table11[Sheet Name],$F40)&amp;"'!"&amp;_xlpm._column&amp;":"&amp;_xlpm._column),0)),"")</f>
        <v/>
      </c>
      <c r="H40" s="21" t="str" cm="1">
        <f t="array" aca="1" ref="H40" ca="1">IF($G40="","",(_xlfn.LET(
_xlpm._columnID,INDEX(Table11[ID Column],$F40),
_xlpm._columnName,INDEX(Table11[Name Column],$F40),
INDEX(INDIRECT("'"&amp;INDEX(Table11[Sheet Name],$F40)&amp;"'!"&amp;_xlpm._columnID&amp;":"&amp;_xlpm._columnID),$G40)&amp;" "&amp;
INDEX(INDIRECT("'"&amp;INDEX(Table11[Sheet Name],$F40)&amp;"'!"&amp;_xlpm._columnName&amp;":"&amp;_xlpm._columnName),$G40))))</f>
        <v/>
      </c>
      <c r="I40" s="21" t="str" cm="1">
        <f t="array" aca="1" ref="I40" ca="1">IF($G40="","",(_xlfn.LET(
_xlpm._columnID,INDEX(Table11[Comment Column],$F40),
INDEX(INDIRECT("'"&amp;INDEX(Table11[Sheet Name],$F40)&amp;"'!"&amp;_xlpm._columnID&amp;":"&amp;_xlpm._columnID),$G40))))</f>
        <v/>
      </c>
    </row>
    <row r="41" spans="1:9" x14ac:dyDescent="0.25">
      <c r="A41" s="35" t="str" cm="1">
        <f t="array" aca="1" ref="A41" ca="1">IF($E41="","",
HYPERLINK("#'"&amp;INDEX(Table11[Sheet Name],$F41)&amp;"'!"&amp;INDEX(Table11[ID Column],$F41)&amp;$G41,
IF(LEN(H41)&gt;255,LEFT(H41,250)&amp;" …",H41)))</f>
        <v/>
      </c>
      <c r="B41" s="35" t="str" cm="1">
        <f t="array" aca="1" ref="B41" ca="1">IF($E41="","",HYPERLINK("#'"&amp;INDEX(Table11[Sheet Name],$F41)&amp;"'!"&amp;INDEX(Table11[Comment Column],$F41)&amp;$G41,
IF(LEN(I41)&gt;255,LEFT(I41,250)&amp;" …",I41)))</f>
        <v/>
      </c>
      <c r="C41" s="21" cm="1">
        <f t="array" aca="1" ref="C41" ca="1">IFERROR(IF(ROW()=ROW($C$19)+1,1,INDEX($C:$C,ROW()-1))+
IF(INDEX($E:$E,ROW()-1)=TRUE,1,0),"")</f>
        <v>2</v>
      </c>
      <c r="D41" s="21">
        <f t="shared" ca="1" si="8"/>
        <v>21</v>
      </c>
      <c r="E41" s="21" t="str" cm="1">
        <f t="array" aca="1" ref="E41" ca="1">IFERROR(INDEX(Table11[Number of Tasks],$F41)=$D41,"")</f>
        <v/>
      </c>
      <c r="F41" s="21" t="str">
        <f ca="1">IFERROR(MATCH($C41,Table11[Task Sheet Shadow ID],0),"")</f>
        <v/>
      </c>
      <c r="G41" s="21" t="str" cm="1">
        <f t="array" aca="1" ref="G41" ca="1">IFERROR(_xlfn.LET(
_xlpm._column,INDEX(Table11[Task ID Column],$F41),
MATCH($D41,INDIRECT("'"&amp;INDEX(Table11[Sheet Name],$F41)&amp;"'!"&amp;_xlpm._column&amp;":"&amp;_xlpm._column),0)),"")</f>
        <v/>
      </c>
      <c r="H41" s="21" t="str" cm="1">
        <f t="array" aca="1" ref="H41" ca="1">IF($G41="","",(_xlfn.LET(
_xlpm._columnID,INDEX(Table11[ID Column],$F41),
_xlpm._columnName,INDEX(Table11[Name Column],$F41),
INDEX(INDIRECT("'"&amp;INDEX(Table11[Sheet Name],$F41)&amp;"'!"&amp;_xlpm._columnID&amp;":"&amp;_xlpm._columnID),$G41)&amp;" "&amp;
INDEX(INDIRECT("'"&amp;INDEX(Table11[Sheet Name],$F41)&amp;"'!"&amp;_xlpm._columnName&amp;":"&amp;_xlpm._columnName),$G41))))</f>
        <v/>
      </c>
      <c r="I41" s="21" t="str" cm="1">
        <f t="array" aca="1" ref="I41" ca="1">IF($G41="","",(_xlfn.LET(
_xlpm._columnID,INDEX(Table11[Comment Column],$F41),
INDEX(INDIRECT("'"&amp;INDEX(Table11[Sheet Name],$F41)&amp;"'!"&amp;_xlpm._columnID&amp;":"&amp;_xlpm._columnID),$G41))))</f>
        <v/>
      </c>
    </row>
    <row r="42" spans="1:9" x14ac:dyDescent="0.25">
      <c r="A42" s="35" t="str" cm="1">
        <f t="array" aca="1" ref="A42" ca="1">IF($E42="","",
HYPERLINK("#'"&amp;INDEX(Table11[Sheet Name],$F42)&amp;"'!"&amp;INDEX(Table11[ID Column],$F42)&amp;$G42,
IF(LEN(H42)&gt;255,LEFT(H42,250)&amp;" …",H42)))</f>
        <v/>
      </c>
      <c r="B42" s="35" t="str" cm="1">
        <f t="array" aca="1" ref="B42" ca="1">IF($E42="","",HYPERLINK("#'"&amp;INDEX(Table11[Sheet Name],$F42)&amp;"'!"&amp;INDEX(Table11[Comment Column],$F42)&amp;$G42,
IF(LEN(I42)&gt;255,LEFT(I42,250)&amp;" …",I42)))</f>
        <v/>
      </c>
      <c r="C42" s="21" cm="1">
        <f t="array" aca="1" ref="C42" ca="1">IFERROR(IF(ROW()=ROW($C$19)+1,1,INDEX($C:$C,ROW()-1))+
IF(INDEX($E:$E,ROW()-1)=TRUE,1,0),"")</f>
        <v>2</v>
      </c>
      <c r="D42" s="21">
        <f t="shared" ca="1" si="8"/>
        <v>22</v>
      </c>
      <c r="E42" s="21" t="str" cm="1">
        <f t="array" aca="1" ref="E42" ca="1">IFERROR(INDEX(Table11[Number of Tasks],$F42)=$D42,"")</f>
        <v/>
      </c>
      <c r="F42" s="21" t="str">
        <f ca="1">IFERROR(MATCH($C42,Table11[Task Sheet Shadow ID],0),"")</f>
        <v/>
      </c>
      <c r="G42" s="21" t="str" cm="1">
        <f t="array" aca="1" ref="G42" ca="1">IFERROR(_xlfn.LET(
_xlpm._column,INDEX(Table11[Task ID Column],$F42),
MATCH($D42,INDIRECT("'"&amp;INDEX(Table11[Sheet Name],$F42)&amp;"'!"&amp;_xlpm._column&amp;":"&amp;_xlpm._column),0)),"")</f>
        <v/>
      </c>
      <c r="H42" s="21" t="str" cm="1">
        <f t="array" aca="1" ref="H42" ca="1">IF($G42="","",(_xlfn.LET(
_xlpm._columnID,INDEX(Table11[ID Column],$F42),
_xlpm._columnName,INDEX(Table11[Name Column],$F42),
INDEX(INDIRECT("'"&amp;INDEX(Table11[Sheet Name],$F42)&amp;"'!"&amp;_xlpm._columnID&amp;":"&amp;_xlpm._columnID),$G42)&amp;" "&amp;
INDEX(INDIRECT("'"&amp;INDEX(Table11[Sheet Name],$F42)&amp;"'!"&amp;_xlpm._columnName&amp;":"&amp;_xlpm._columnName),$G42))))</f>
        <v/>
      </c>
      <c r="I42" s="21" t="str" cm="1">
        <f t="array" aca="1" ref="I42" ca="1">IF($G42="","",(_xlfn.LET(
_xlpm._columnID,INDEX(Table11[Comment Column],$F42),
INDEX(INDIRECT("'"&amp;INDEX(Table11[Sheet Name],$F42)&amp;"'!"&amp;_xlpm._columnID&amp;":"&amp;_xlpm._columnID),$G42))))</f>
        <v/>
      </c>
    </row>
    <row r="43" spans="1:9" x14ac:dyDescent="0.25">
      <c r="A43" s="35" t="str" cm="1">
        <f t="array" aca="1" ref="A43" ca="1">IF($E43="","",
HYPERLINK("#'"&amp;INDEX(Table11[Sheet Name],$F43)&amp;"'!"&amp;INDEX(Table11[ID Column],$F43)&amp;$G43,
IF(LEN(H43)&gt;255,LEFT(H43,250)&amp;" …",H43)))</f>
        <v/>
      </c>
      <c r="B43" s="35" t="str" cm="1">
        <f t="array" aca="1" ref="B43" ca="1">IF($E43="","",HYPERLINK("#'"&amp;INDEX(Table11[Sheet Name],$F43)&amp;"'!"&amp;INDEX(Table11[Comment Column],$F43)&amp;$G43,
IF(LEN(I43)&gt;255,LEFT(I43,250)&amp;" …",I43)))</f>
        <v/>
      </c>
      <c r="C43" s="21" cm="1">
        <f t="array" aca="1" ref="C43" ca="1">IFERROR(IF(ROW()=ROW($C$19)+1,1,INDEX($C:$C,ROW()-1))+
IF(INDEX($E:$E,ROW()-1)=TRUE,1,0),"")</f>
        <v>2</v>
      </c>
      <c r="D43" s="21">
        <f t="shared" ca="1" si="8"/>
        <v>23</v>
      </c>
      <c r="E43" s="21" t="str" cm="1">
        <f t="array" aca="1" ref="E43" ca="1">IFERROR(INDEX(Table11[Number of Tasks],$F43)=$D43,"")</f>
        <v/>
      </c>
      <c r="F43" s="21" t="str">
        <f ca="1">IFERROR(MATCH($C43,Table11[Task Sheet Shadow ID],0),"")</f>
        <v/>
      </c>
      <c r="G43" s="21" t="str" cm="1">
        <f t="array" aca="1" ref="G43" ca="1">IFERROR(_xlfn.LET(
_xlpm._column,INDEX(Table11[Task ID Column],$F43),
MATCH($D43,INDIRECT("'"&amp;INDEX(Table11[Sheet Name],$F43)&amp;"'!"&amp;_xlpm._column&amp;":"&amp;_xlpm._column),0)),"")</f>
        <v/>
      </c>
      <c r="H43" s="21" t="str" cm="1">
        <f t="array" aca="1" ref="H43" ca="1">IF($G43="","",(_xlfn.LET(
_xlpm._columnID,INDEX(Table11[ID Column],$F43),
_xlpm._columnName,INDEX(Table11[Name Column],$F43),
INDEX(INDIRECT("'"&amp;INDEX(Table11[Sheet Name],$F43)&amp;"'!"&amp;_xlpm._columnID&amp;":"&amp;_xlpm._columnID),$G43)&amp;" "&amp;
INDEX(INDIRECT("'"&amp;INDEX(Table11[Sheet Name],$F43)&amp;"'!"&amp;_xlpm._columnName&amp;":"&amp;_xlpm._columnName),$G43))))</f>
        <v/>
      </c>
      <c r="I43" s="21" t="str" cm="1">
        <f t="array" aca="1" ref="I43" ca="1">IF($G43="","",(_xlfn.LET(
_xlpm._columnID,INDEX(Table11[Comment Column],$F43),
INDEX(INDIRECT("'"&amp;INDEX(Table11[Sheet Name],$F43)&amp;"'!"&amp;_xlpm._columnID&amp;":"&amp;_xlpm._columnID),$G43))))</f>
        <v/>
      </c>
    </row>
    <row r="44" spans="1:9" x14ac:dyDescent="0.25">
      <c r="A44" s="35" t="str" cm="1">
        <f t="array" aca="1" ref="A44" ca="1">IF($E44="","",
HYPERLINK("#'"&amp;INDEX(Table11[Sheet Name],$F44)&amp;"'!"&amp;INDEX(Table11[ID Column],$F44)&amp;$G44,
IF(LEN(H44)&gt;255,LEFT(H44,250)&amp;" …",H44)))</f>
        <v/>
      </c>
      <c r="B44" s="35" t="str" cm="1">
        <f t="array" aca="1" ref="B44" ca="1">IF($E44="","",HYPERLINK("#'"&amp;INDEX(Table11[Sheet Name],$F44)&amp;"'!"&amp;INDEX(Table11[Comment Column],$F44)&amp;$G44,
IF(LEN(I44)&gt;255,LEFT(I44,250)&amp;" …",I44)))</f>
        <v/>
      </c>
      <c r="C44" s="21" cm="1">
        <f t="array" aca="1" ref="C44" ca="1">IFERROR(IF(ROW()=ROW($C$19)+1,1,INDEX($C:$C,ROW()-1))+
IF(INDEX($E:$E,ROW()-1)=TRUE,1,0),"")</f>
        <v>2</v>
      </c>
      <c r="D44" s="21">
        <f t="shared" ca="1" si="8"/>
        <v>24</v>
      </c>
      <c r="E44" s="21" t="str" cm="1">
        <f t="array" aca="1" ref="E44" ca="1">IFERROR(INDEX(Table11[Number of Tasks],$F44)=$D44,"")</f>
        <v/>
      </c>
      <c r="F44" s="21" t="str">
        <f ca="1">IFERROR(MATCH($C44,Table11[Task Sheet Shadow ID],0),"")</f>
        <v/>
      </c>
      <c r="G44" s="21" t="str" cm="1">
        <f t="array" aca="1" ref="G44" ca="1">IFERROR(_xlfn.LET(
_xlpm._column,INDEX(Table11[Task ID Column],$F44),
MATCH($D44,INDIRECT("'"&amp;INDEX(Table11[Sheet Name],$F44)&amp;"'!"&amp;_xlpm._column&amp;":"&amp;_xlpm._column),0)),"")</f>
        <v/>
      </c>
      <c r="H44" s="21" t="str" cm="1">
        <f t="array" aca="1" ref="H44" ca="1">IF($G44="","",(_xlfn.LET(
_xlpm._columnID,INDEX(Table11[ID Column],$F44),
_xlpm._columnName,INDEX(Table11[Name Column],$F44),
INDEX(INDIRECT("'"&amp;INDEX(Table11[Sheet Name],$F44)&amp;"'!"&amp;_xlpm._columnID&amp;":"&amp;_xlpm._columnID),$G44)&amp;" "&amp;
INDEX(INDIRECT("'"&amp;INDEX(Table11[Sheet Name],$F44)&amp;"'!"&amp;_xlpm._columnName&amp;":"&amp;_xlpm._columnName),$G44))))</f>
        <v/>
      </c>
      <c r="I44" s="21" t="str" cm="1">
        <f t="array" aca="1" ref="I44" ca="1">IF($G44="","",(_xlfn.LET(
_xlpm._columnID,INDEX(Table11[Comment Column],$F44),
INDEX(INDIRECT("'"&amp;INDEX(Table11[Sheet Name],$F44)&amp;"'!"&amp;_xlpm._columnID&amp;":"&amp;_xlpm._columnID),$G44))))</f>
        <v/>
      </c>
    </row>
    <row r="45" spans="1:9" x14ac:dyDescent="0.25">
      <c r="A45" s="35" t="str" cm="1">
        <f t="array" aca="1" ref="A45" ca="1">IF($E45="","",
HYPERLINK("#'"&amp;INDEX(Table11[Sheet Name],$F45)&amp;"'!"&amp;INDEX(Table11[ID Column],$F45)&amp;$G45,
IF(LEN(H45)&gt;255,LEFT(H45,250)&amp;" …",H45)))</f>
        <v/>
      </c>
      <c r="B45" s="35" t="str" cm="1">
        <f t="array" aca="1" ref="B45" ca="1">IF($E45="","",HYPERLINK("#'"&amp;INDEX(Table11[Sheet Name],$F45)&amp;"'!"&amp;INDEX(Table11[Comment Column],$F45)&amp;$G45,
IF(LEN(I45)&gt;255,LEFT(I45,250)&amp;" …",I45)))</f>
        <v/>
      </c>
      <c r="C45" s="21" cm="1">
        <f t="array" aca="1" ref="C45" ca="1">IFERROR(IF(ROW()=ROW($C$19)+1,1,INDEX($C:$C,ROW()-1))+
IF(INDEX($E:$E,ROW()-1)=TRUE,1,0),"")</f>
        <v>2</v>
      </c>
      <c r="D45" s="21">
        <f t="shared" ca="1" si="8"/>
        <v>25</v>
      </c>
      <c r="E45" s="21" t="str" cm="1">
        <f t="array" aca="1" ref="E45" ca="1">IFERROR(INDEX(Table11[Number of Tasks],$F45)=$D45,"")</f>
        <v/>
      </c>
      <c r="F45" s="21" t="str">
        <f ca="1">IFERROR(MATCH($C45,Table11[Task Sheet Shadow ID],0),"")</f>
        <v/>
      </c>
      <c r="G45" s="21" t="str" cm="1">
        <f t="array" aca="1" ref="G45" ca="1">IFERROR(_xlfn.LET(
_xlpm._column,INDEX(Table11[Task ID Column],$F45),
MATCH($D45,INDIRECT("'"&amp;INDEX(Table11[Sheet Name],$F45)&amp;"'!"&amp;_xlpm._column&amp;":"&amp;_xlpm._column),0)),"")</f>
        <v/>
      </c>
      <c r="H45" s="21" t="str" cm="1">
        <f t="array" aca="1" ref="H45" ca="1">IF($G45="","",(_xlfn.LET(
_xlpm._columnID,INDEX(Table11[ID Column],$F45),
_xlpm._columnName,INDEX(Table11[Name Column],$F45),
INDEX(INDIRECT("'"&amp;INDEX(Table11[Sheet Name],$F45)&amp;"'!"&amp;_xlpm._columnID&amp;":"&amp;_xlpm._columnID),$G45)&amp;" "&amp;
INDEX(INDIRECT("'"&amp;INDEX(Table11[Sheet Name],$F45)&amp;"'!"&amp;_xlpm._columnName&amp;":"&amp;_xlpm._columnName),$G45))))</f>
        <v/>
      </c>
      <c r="I45" s="21" t="str" cm="1">
        <f t="array" aca="1" ref="I45" ca="1">IF($G45="","",(_xlfn.LET(
_xlpm._columnID,INDEX(Table11[Comment Column],$F45),
INDEX(INDIRECT("'"&amp;INDEX(Table11[Sheet Name],$F45)&amp;"'!"&amp;_xlpm._columnID&amp;":"&amp;_xlpm._columnID),$G45))))</f>
        <v/>
      </c>
    </row>
    <row r="46" spans="1:9" x14ac:dyDescent="0.25">
      <c r="A46" s="35" t="str" cm="1">
        <f t="array" aca="1" ref="A46" ca="1">IF($E46="","",
HYPERLINK("#'"&amp;INDEX(Table11[Sheet Name],$F46)&amp;"'!"&amp;INDEX(Table11[ID Column],$F46)&amp;$G46,
IF(LEN(H46)&gt;255,LEFT(H46,250)&amp;" …",H46)))</f>
        <v/>
      </c>
      <c r="B46" s="35" t="str" cm="1">
        <f t="array" aca="1" ref="B46" ca="1">IF($E46="","",HYPERLINK("#'"&amp;INDEX(Table11[Sheet Name],$F46)&amp;"'!"&amp;INDEX(Table11[Comment Column],$F46)&amp;$G46,
IF(LEN(I46)&gt;255,LEFT(I46,250)&amp;" …",I46)))</f>
        <v/>
      </c>
      <c r="C46" s="21" cm="1">
        <f t="array" aca="1" ref="C46" ca="1">IFERROR(IF(ROW()=ROW($C$19)+1,1,INDEX($C:$C,ROW()-1))+
IF(INDEX($E:$E,ROW()-1)=TRUE,1,0),"")</f>
        <v>2</v>
      </c>
      <c r="D46" s="21">
        <f t="shared" ca="1" si="8"/>
        <v>26</v>
      </c>
      <c r="E46" s="21" t="str" cm="1">
        <f t="array" aca="1" ref="E46" ca="1">IFERROR(INDEX(Table11[Number of Tasks],$F46)=$D46,"")</f>
        <v/>
      </c>
      <c r="F46" s="21" t="str">
        <f ca="1">IFERROR(MATCH($C46,Table11[Task Sheet Shadow ID],0),"")</f>
        <v/>
      </c>
      <c r="G46" s="21" t="str" cm="1">
        <f t="array" aca="1" ref="G46" ca="1">IFERROR(_xlfn.LET(
_xlpm._column,INDEX(Table11[Task ID Column],$F46),
MATCH($D46,INDIRECT("'"&amp;INDEX(Table11[Sheet Name],$F46)&amp;"'!"&amp;_xlpm._column&amp;":"&amp;_xlpm._column),0)),"")</f>
        <v/>
      </c>
      <c r="H46" s="21" t="str" cm="1">
        <f t="array" aca="1" ref="H46" ca="1">IF($G46="","",(_xlfn.LET(
_xlpm._columnID,INDEX(Table11[ID Column],$F46),
_xlpm._columnName,INDEX(Table11[Name Column],$F46),
INDEX(INDIRECT("'"&amp;INDEX(Table11[Sheet Name],$F46)&amp;"'!"&amp;_xlpm._columnID&amp;":"&amp;_xlpm._columnID),$G46)&amp;" "&amp;
INDEX(INDIRECT("'"&amp;INDEX(Table11[Sheet Name],$F46)&amp;"'!"&amp;_xlpm._columnName&amp;":"&amp;_xlpm._columnName),$G46))))</f>
        <v/>
      </c>
      <c r="I46" s="21" t="str" cm="1">
        <f t="array" aca="1" ref="I46" ca="1">IF($G46="","",(_xlfn.LET(
_xlpm._columnID,INDEX(Table11[Comment Column],$F46),
INDEX(INDIRECT("'"&amp;INDEX(Table11[Sheet Name],$F46)&amp;"'!"&amp;_xlpm._columnID&amp;":"&amp;_xlpm._columnID),$G46))))</f>
        <v/>
      </c>
    </row>
    <row r="47" spans="1:9" x14ac:dyDescent="0.25">
      <c r="A47" s="35" t="str" cm="1">
        <f t="array" aca="1" ref="A47" ca="1">IF($E47="","",
HYPERLINK("#'"&amp;INDEX(Table11[Sheet Name],$F47)&amp;"'!"&amp;INDEX(Table11[ID Column],$F47)&amp;$G47,
IF(LEN(H47)&gt;255,LEFT(H47,250)&amp;" …",H47)))</f>
        <v/>
      </c>
      <c r="B47" s="35" t="str" cm="1">
        <f t="array" aca="1" ref="B47" ca="1">IF($E47="","",HYPERLINK("#'"&amp;INDEX(Table11[Sheet Name],$F47)&amp;"'!"&amp;INDEX(Table11[Comment Column],$F47)&amp;$G47,
IF(LEN(I47)&gt;255,LEFT(I47,250)&amp;" …",I47)))</f>
        <v/>
      </c>
      <c r="C47" s="21" cm="1">
        <f t="array" aca="1" ref="C47" ca="1">IFERROR(IF(ROW()=ROW($C$19)+1,1,INDEX($C:$C,ROW()-1))+
IF(INDEX($E:$E,ROW()-1)=TRUE,1,0),"")</f>
        <v>2</v>
      </c>
      <c r="D47" s="21">
        <f t="shared" ca="1" si="8"/>
        <v>27</v>
      </c>
      <c r="E47" s="21" t="str" cm="1">
        <f t="array" aca="1" ref="E47" ca="1">IFERROR(INDEX(Table11[Number of Tasks],$F47)=$D47,"")</f>
        <v/>
      </c>
      <c r="F47" s="21" t="str">
        <f ca="1">IFERROR(MATCH($C47,Table11[Task Sheet Shadow ID],0),"")</f>
        <v/>
      </c>
      <c r="G47" s="21" t="str" cm="1">
        <f t="array" aca="1" ref="G47" ca="1">IFERROR(_xlfn.LET(
_xlpm._column,INDEX(Table11[Task ID Column],$F47),
MATCH($D47,INDIRECT("'"&amp;INDEX(Table11[Sheet Name],$F47)&amp;"'!"&amp;_xlpm._column&amp;":"&amp;_xlpm._column),0)),"")</f>
        <v/>
      </c>
      <c r="H47" s="21" t="str" cm="1">
        <f t="array" aca="1" ref="H47" ca="1">IF($G47="","",(_xlfn.LET(
_xlpm._columnID,INDEX(Table11[ID Column],$F47),
_xlpm._columnName,INDEX(Table11[Name Column],$F47),
INDEX(INDIRECT("'"&amp;INDEX(Table11[Sheet Name],$F47)&amp;"'!"&amp;_xlpm._columnID&amp;":"&amp;_xlpm._columnID),$G47)&amp;" "&amp;
INDEX(INDIRECT("'"&amp;INDEX(Table11[Sheet Name],$F47)&amp;"'!"&amp;_xlpm._columnName&amp;":"&amp;_xlpm._columnName),$G47))))</f>
        <v/>
      </c>
      <c r="I47" s="21" t="str" cm="1">
        <f t="array" aca="1" ref="I47" ca="1">IF($G47="","",(_xlfn.LET(
_xlpm._columnID,INDEX(Table11[Comment Column],$F47),
INDEX(INDIRECT("'"&amp;INDEX(Table11[Sheet Name],$F47)&amp;"'!"&amp;_xlpm._columnID&amp;":"&amp;_xlpm._columnID),$G47))))</f>
        <v/>
      </c>
    </row>
    <row r="48" spans="1:9" x14ac:dyDescent="0.25">
      <c r="A48" s="35" t="str" cm="1">
        <f t="array" aca="1" ref="A48" ca="1">IF($E48="","",
HYPERLINK("#'"&amp;INDEX(Table11[Sheet Name],$F48)&amp;"'!"&amp;INDEX(Table11[ID Column],$F48)&amp;$G48,
IF(LEN(H48)&gt;255,LEFT(H48,250)&amp;" …",H48)))</f>
        <v/>
      </c>
      <c r="B48" s="35" t="str" cm="1">
        <f t="array" aca="1" ref="B48" ca="1">IF($E48="","",HYPERLINK("#'"&amp;INDEX(Table11[Sheet Name],$F48)&amp;"'!"&amp;INDEX(Table11[Comment Column],$F48)&amp;$G48,
IF(LEN(I48)&gt;255,LEFT(I48,250)&amp;" …",I48)))</f>
        <v/>
      </c>
      <c r="C48" s="21" cm="1">
        <f t="array" aca="1" ref="C48" ca="1">IFERROR(IF(ROW()=ROW($C$19)+1,1,INDEX($C:$C,ROW()-1))+
IF(INDEX($E:$E,ROW()-1)=TRUE,1,0),"")</f>
        <v>2</v>
      </c>
      <c r="D48" s="21">
        <f t="shared" ca="1" si="8"/>
        <v>28</v>
      </c>
      <c r="E48" s="21" t="str" cm="1">
        <f t="array" aca="1" ref="E48" ca="1">IFERROR(INDEX(Table11[Number of Tasks],$F48)=$D48,"")</f>
        <v/>
      </c>
      <c r="F48" s="21" t="str">
        <f ca="1">IFERROR(MATCH($C48,Table11[Task Sheet Shadow ID],0),"")</f>
        <v/>
      </c>
      <c r="G48" s="21" t="str" cm="1">
        <f t="array" aca="1" ref="G48" ca="1">IFERROR(_xlfn.LET(
_xlpm._column,INDEX(Table11[Task ID Column],$F48),
MATCH($D48,INDIRECT("'"&amp;INDEX(Table11[Sheet Name],$F48)&amp;"'!"&amp;_xlpm._column&amp;":"&amp;_xlpm._column),0)),"")</f>
        <v/>
      </c>
      <c r="H48" s="21" t="str" cm="1">
        <f t="array" aca="1" ref="H48" ca="1">IF($G48="","",(_xlfn.LET(
_xlpm._columnID,INDEX(Table11[ID Column],$F48),
_xlpm._columnName,INDEX(Table11[Name Column],$F48),
INDEX(INDIRECT("'"&amp;INDEX(Table11[Sheet Name],$F48)&amp;"'!"&amp;_xlpm._columnID&amp;":"&amp;_xlpm._columnID),$G48)&amp;" "&amp;
INDEX(INDIRECT("'"&amp;INDEX(Table11[Sheet Name],$F48)&amp;"'!"&amp;_xlpm._columnName&amp;":"&amp;_xlpm._columnName),$G48))))</f>
        <v/>
      </c>
      <c r="I48" s="21" t="str" cm="1">
        <f t="array" aca="1" ref="I48" ca="1">IF($G48="","",(_xlfn.LET(
_xlpm._columnID,INDEX(Table11[Comment Column],$F48),
INDEX(INDIRECT("'"&amp;INDEX(Table11[Sheet Name],$F48)&amp;"'!"&amp;_xlpm._columnID&amp;":"&amp;_xlpm._columnID),$G48))))</f>
        <v/>
      </c>
    </row>
    <row r="49" spans="1:9" x14ac:dyDescent="0.25">
      <c r="A49" s="35" t="str" cm="1">
        <f t="array" aca="1" ref="A49" ca="1">IF($E49="","",
HYPERLINK("#'"&amp;INDEX(Table11[Sheet Name],$F49)&amp;"'!"&amp;INDEX(Table11[ID Column],$F49)&amp;$G49,
IF(LEN(H49)&gt;255,LEFT(H49,250)&amp;" …",H49)))</f>
        <v/>
      </c>
      <c r="B49" s="35" t="str" cm="1">
        <f t="array" aca="1" ref="B49" ca="1">IF($E49="","",HYPERLINK("#'"&amp;INDEX(Table11[Sheet Name],$F49)&amp;"'!"&amp;INDEX(Table11[Comment Column],$F49)&amp;$G49,
IF(LEN(I49)&gt;255,LEFT(I49,250)&amp;" …",I49)))</f>
        <v/>
      </c>
      <c r="C49" s="21" cm="1">
        <f t="array" aca="1" ref="C49" ca="1">IFERROR(IF(ROW()=ROW($C$19)+1,1,INDEX($C:$C,ROW()-1))+
IF(INDEX($E:$E,ROW()-1)=TRUE,1,0),"")</f>
        <v>2</v>
      </c>
      <c r="D49" s="21">
        <f t="shared" ca="1" si="8"/>
        <v>29</v>
      </c>
      <c r="E49" s="21" t="str" cm="1">
        <f t="array" aca="1" ref="E49" ca="1">IFERROR(INDEX(Table11[Number of Tasks],$F49)=$D49,"")</f>
        <v/>
      </c>
      <c r="F49" s="21" t="str">
        <f ca="1">IFERROR(MATCH($C49,Table11[Task Sheet Shadow ID],0),"")</f>
        <v/>
      </c>
      <c r="G49" s="21" t="str" cm="1">
        <f t="array" aca="1" ref="G49" ca="1">IFERROR(_xlfn.LET(
_xlpm._column,INDEX(Table11[Task ID Column],$F49),
MATCH($D49,INDIRECT("'"&amp;INDEX(Table11[Sheet Name],$F49)&amp;"'!"&amp;_xlpm._column&amp;":"&amp;_xlpm._column),0)),"")</f>
        <v/>
      </c>
      <c r="H49" s="21" t="str" cm="1">
        <f t="array" aca="1" ref="H49" ca="1">IF($G49="","",(_xlfn.LET(
_xlpm._columnID,INDEX(Table11[ID Column],$F49),
_xlpm._columnName,INDEX(Table11[Name Column],$F49),
INDEX(INDIRECT("'"&amp;INDEX(Table11[Sheet Name],$F49)&amp;"'!"&amp;_xlpm._columnID&amp;":"&amp;_xlpm._columnID),$G49)&amp;" "&amp;
INDEX(INDIRECT("'"&amp;INDEX(Table11[Sheet Name],$F49)&amp;"'!"&amp;_xlpm._columnName&amp;":"&amp;_xlpm._columnName),$G49))))</f>
        <v/>
      </c>
      <c r="I49" s="21" t="str" cm="1">
        <f t="array" aca="1" ref="I49" ca="1">IF($G49="","",(_xlfn.LET(
_xlpm._columnID,INDEX(Table11[Comment Column],$F49),
INDEX(INDIRECT("'"&amp;INDEX(Table11[Sheet Name],$F49)&amp;"'!"&amp;_xlpm._columnID&amp;":"&amp;_xlpm._columnID),$G49))))</f>
        <v/>
      </c>
    </row>
    <row r="50" spans="1:9" x14ac:dyDescent="0.25">
      <c r="A50" s="76" t="str" cm="1">
        <f t="array" aca="1" ref="A50" ca="1">IF($E50="","",
HYPERLINK("#'"&amp;INDEX(Table11[Sheet Name],$F50)&amp;"'!"&amp;INDEX(Table11[ID Column],$F50)&amp;$G50,
IF(LEN(H50)&gt;255,LEFT(H50,250)&amp;" …",H50)))</f>
        <v/>
      </c>
      <c r="B50" s="76" t="str" cm="1">
        <f t="array" aca="1" ref="B50" ca="1">IF($E50="","",HYPERLINK("#'"&amp;INDEX(Table11[Sheet Name],$F50)&amp;"'!"&amp;INDEX(Table11[Comment Column],$F50)&amp;$G50,
IF(LEN(I50)&gt;255,LEFT(I50,250)&amp;" …",I50)))</f>
        <v/>
      </c>
      <c r="C50" s="21" cm="1">
        <f t="array" aca="1" ref="C50" ca="1">IFERROR(IF(ROW()=ROW($C$19)+1,1,INDEX($C:$C,ROW()-1))+
IF(INDEX($E:$E,ROW()-1)=TRUE,1,0),"")</f>
        <v>2</v>
      </c>
      <c r="D50" s="21">
        <f t="shared" ref="D50:D68" ca="1" si="9">COUNTIF(OFFSET($C$19,1,0,ROW()-ROW($D$19),1),$C50)</f>
        <v>30</v>
      </c>
      <c r="E50" s="21" t="str" cm="1">
        <f t="array" aca="1" ref="E50" ca="1">IFERROR(INDEX(Table11[Number of Tasks],$F50)=$D50,"")</f>
        <v/>
      </c>
      <c r="F50" s="21" t="str">
        <f ca="1">IFERROR(MATCH($C50,Table11[Task Sheet Shadow ID],0),"")</f>
        <v/>
      </c>
      <c r="G50" s="21" t="str" cm="1">
        <f t="array" aca="1" ref="G50" ca="1">IFERROR(_xlfn.LET(
_xlpm._column,INDEX(Table11[Task ID Column],$F50),
MATCH($D50,INDIRECT("'"&amp;INDEX(Table11[Sheet Name],$F50)&amp;"'!"&amp;_xlpm._column&amp;":"&amp;_xlpm._column),0)),"")</f>
        <v/>
      </c>
      <c r="H50" s="21" t="str" cm="1">
        <f t="array" aca="1" ref="H50" ca="1">IF($G50="","",(_xlfn.LET(
_xlpm._columnID,INDEX(Table11[ID Column],$F50),
_xlpm._columnName,INDEX(Table11[Name Column],$F50),
INDEX(INDIRECT("'"&amp;INDEX(Table11[Sheet Name],$F50)&amp;"'!"&amp;_xlpm._columnID&amp;":"&amp;_xlpm._columnID),$G50)&amp;" "&amp;
INDEX(INDIRECT("'"&amp;INDEX(Table11[Sheet Name],$F50)&amp;"'!"&amp;_xlpm._columnName&amp;":"&amp;_xlpm._columnName),$G50))))</f>
        <v/>
      </c>
      <c r="I50" s="21" t="str" cm="1">
        <f t="array" aca="1" ref="I50" ca="1">IF($G50="","",(_xlfn.LET(
_xlpm._columnID,INDEX(Table11[Comment Column],$F50),
INDEX(INDIRECT("'"&amp;INDEX(Table11[Sheet Name],$F50)&amp;"'!"&amp;_xlpm._columnID&amp;":"&amp;_xlpm._columnID),$G50))))</f>
        <v/>
      </c>
    </row>
    <row r="51" spans="1:9" x14ac:dyDescent="0.25">
      <c r="A51" s="76" t="str" cm="1">
        <f t="array" aca="1" ref="A51" ca="1">IF($E51="","",
HYPERLINK("#'"&amp;INDEX(Table11[Sheet Name],$F51)&amp;"'!"&amp;INDEX(Table11[ID Column],$F51)&amp;$G51,
IF(LEN(H51)&gt;255,LEFT(H51,250)&amp;" …",H51)))</f>
        <v/>
      </c>
      <c r="B51" s="76" t="str" cm="1">
        <f t="array" aca="1" ref="B51" ca="1">IF($E51="","",HYPERLINK("#'"&amp;INDEX(Table11[Sheet Name],$F51)&amp;"'!"&amp;INDEX(Table11[Comment Column],$F51)&amp;$G51,
IF(LEN(I51)&gt;255,LEFT(I51,250)&amp;" …",I51)))</f>
        <v/>
      </c>
      <c r="C51" s="21" cm="1">
        <f t="array" aca="1" ref="C51" ca="1">IFERROR(IF(ROW()=ROW($C$19)+1,1,INDEX($C:$C,ROW()-1))+
IF(INDEX($E:$E,ROW()-1)=TRUE,1,0),"")</f>
        <v>2</v>
      </c>
      <c r="D51" s="21">
        <f t="shared" ca="1" si="9"/>
        <v>31</v>
      </c>
      <c r="E51" s="21" t="str" cm="1">
        <f t="array" aca="1" ref="E51" ca="1">IFERROR(INDEX(Table11[Number of Tasks],$F51)=$D51,"")</f>
        <v/>
      </c>
      <c r="F51" s="21" t="str">
        <f ca="1">IFERROR(MATCH($C51,Table11[Task Sheet Shadow ID],0),"")</f>
        <v/>
      </c>
      <c r="G51" s="21" t="str" cm="1">
        <f t="array" aca="1" ref="G51" ca="1">IFERROR(_xlfn.LET(
_xlpm._column,INDEX(Table11[Task ID Column],$F51),
MATCH($D51,INDIRECT("'"&amp;INDEX(Table11[Sheet Name],$F51)&amp;"'!"&amp;_xlpm._column&amp;":"&amp;_xlpm._column),0)),"")</f>
        <v/>
      </c>
      <c r="H51" s="21" t="str" cm="1">
        <f t="array" aca="1" ref="H51" ca="1">IF($G51="","",(_xlfn.LET(
_xlpm._columnID,INDEX(Table11[ID Column],$F51),
_xlpm._columnName,INDEX(Table11[Name Column],$F51),
INDEX(INDIRECT("'"&amp;INDEX(Table11[Sheet Name],$F51)&amp;"'!"&amp;_xlpm._columnID&amp;":"&amp;_xlpm._columnID),$G51)&amp;" "&amp;
INDEX(INDIRECT("'"&amp;INDEX(Table11[Sheet Name],$F51)&amp;"'!"&amp;_xlpm._columnName&amp;":"&amp;_xlpm._columnName),$G51))))</f>
        <v/>
      </c>
      <c r="I51" s="21" t="str" cm="1">
        <f t="array" aca="1" ref="I51" ca="1">IF($G51="","",(_xlfn.LET(
_xlpm._columnID,INDEX(Table11[Comment Column],$F51),
INDEX(INDIRECT("'"&amp;INDEX(Table11[Sheet Name],$F51)&amp;"'!"&amp;_xlpm._columnID&amp;":"&amp;_xlpm._columnID),$G51))))</f>
        <v/>
      </c>
    </row>
    <row r="52" spans="1:9" x14ac:dyDescent="0.25">
      <c r="A52" s="76" t="str" cm="1">
        <f t="array" aca="1" ref="A52" ca="1">IF($E52="","",
HYPERLINK("#'"&amp;INDEX(Table11[Sheet Name],$F52)&amp;"'!"&amp;INDEX(Table11[ID Column],$F52)&amp;$G52,
IF(LEN(H52)&gt;255,LEFT(H52,250)&amp;" …",H52)))</f>
        <v/>
      </c>
      <c r="B52" s="76" t="str" cm="1">
        <f t="array" aca="1" ref="B52" ca="1">IF($E52="","",HYPERLINK("#'"&amp;INDEX(Table11[Sheet Name],$F52)&amp;"'!"&amp;INDEX(Table11[Comment Column],$F52)&amp;$G52,
IF(LEN(I52)&gt;255,LEFT(I52,250)&amp;" …",I52)))</f>
        <v/>
      </c>
      <c r="C52" s="21" cm="1">
        <f t="array" aca="1" ref="C52" ca="1">IFERROR(IF(ROW()=ROW($C$19)+1,1,INDEX($C:$C,ROW()-1))+
IF(INDEX($E:$E,ROW()-1)=TRUE,1,0),"")</f>
        <v>2</v>
      </c>
      <c r="D52" s="21">
        <f t="shared" ca="1" si="9"/>
        <v>32</v>
      </c>
      <c r="E52" s="21" t="str" cm="1">
        <f t="array" aca="1" ref="E52" ca="1">IFERROR(INDEX(Table11[Number of Tasks],$F52)=$D52,"")</f>
        <v/>
      </c>
      <c r="F52" s="21" t="str">
        <f ca="1">IFERROR(MATCH($C52,Table11[Task Sheet Shadow ID],0),"")</f>
        <v/>
      </c>
      <c r="G52" s="21" t="str" cm="1">
        <f t="array" aca="1" ref="G52" ca="1">IFERROR(_xlfn.LET(
_xlpm._column,INDEX(Table11[Task ID Column],$F52),
MATCH($D52,INDIRECT("'"&amp;INDEX(Table11[Sheet Name],$F52)&amp;"'!"&amp;_xlpm._column&amp;":"&amp;_xlpm._column),0)),"")</f>
        <v/>
      </c>
      <c r="H52" s="21" t="str" cm="1">
        <f t="array" aca="1" ref="H52" ca="1">IF($G52="","",(_xlfn.LET(
_xlpm._columnID,INDEX(Table11[ID Column],$F52),
_xlpm._columnName,INDEX(Table11[Name Column],$F52),
INDEX(INDIRECT("'"&amp;INDEX(Table11[Sheet Name],$F52)&amp;"'!"&amp;_xlpm._columnID&amp;":"&amp;_xlpm._columnID),$G52)&amp;" "&amp;
INDEX(INDIRECT("'"&amp;INDEX(Table11[Sheet Name],$F52)&amp;"'!"&amp;_xlpm._columnName&amp;":"&amp;_xlpm._columnName),$G52))))</f>
        <v/>
      </c>
      <c r="I52" s="21" t="str" cm="1">
        <f t="array" aca="1" ref="I52" ca="1">IF($G52="","",(_xlfn.LET(
_xlpm._columnID,INDEX(Table11[Comment Column],$F52),
INDEX(INDIRECT("'"&amp;INDEX(Table11[Sheet Name],$F52)&amp;"'!"&amp;_xlpm._columnID&amp;":"&amp;_xlpm._columnID),$G52))))</f>
        <v/>
      </c>
    </row>
    <row r="53" spans="1:9" x14ac:dyDescent="0.25">
      <c r="A53" s="76" t="str" cm="1">
        <f t="array" aca="1" ref="A53" ca="1">IF($E53="","",
HYPERLINK("#'"&amp;INDEX(Table11[Sheet Name],$F53)&amp;"'!"&amp;INDEX(Table11[ID Column],$F53)&amp;$G53,
IF(LEN(H53)&gt;255,LEFT(H53,250)&amp;" …",H53)))</f>
        <v/>
      </c>
      <c r="B53" s="76" t="str" cm="1">
        <f t="array" aca="1" ref="B53" ca="1">IF($E53="","",HYPERLINK("#'"&amp;INDEX(Table11[Sheet Name],$F53)&amp;"'!"&amp;INDEX(Table11[Comment Column],$F53)&amp;$G53,
IF(LEN(I53)&gt;255,LEFT(I53,250)&amp;" …",I53)))</f>
        <v/>
      </c>
      <c r="C53" s="21" cm="1">
        <f t="array" aca="1" ref="C53" ca="1">IFERROR(IF(ROW()=ROW($C$19)+1,1,INDEX($C:$C,ROW()-1))+
IF(INDEX($E:$E,ROW()-1)=TRUE,1,0),"")</f>
        <v>2</v>
      </c>
      <c r="D53" s="21">
        <f t="shared" ca="1" si="9"/>
        <v>33</v>
      </c>
      <c r="E53" s="21" t="str" cm="1">
        <f t="array" aca="1" ref="E53" ca="1">IFERROR(INDEX(Table11[Number of Tasks],$F53)=$D53,"")</f>
        <v/>
      </c>
      <c r="F53" s="21" t="str">
        <f ca="1">IFERROR(MATCH($C53,Table11[Task Sheet Shadow ID],0),"")</f>
        <v/>
      </c>
      <c r="G53" s="21" t="str" cm="1">
        <f t="array" aca="1" ref="G53" ca="1">IFERROR(_xlfn.LET(
_xlpm._column,INDEX(Table11[Task ID Column],$F53),
MATCH($D53,INDIRECT("'"&amp;INDEX(Table11[Sheet Name],$F53)&amp;"'!"&amp;_xlpm._column&amp;":"&amp;_xlpm._column),0)),"")</f>
        <v/>
      </c>
      <c r="H53" s="21" t="str" cm="1">
        <f t="array" aca="1" ref="H53" ca="1">IF($G53="","",(_xlfn.LET(
_xlpm._columnID,INDEX(Table11[ID Column],$F53),
_xlpm._columnName,INDEX(Table11[Name Column],$F53),
INDEX(INDIRECT("'"&amp;INDEX(Table11[Sheet Name],$F53)&amp;"'!"&amp;_xlpm._columnID&amp;":"&amp;_xlpm._columnID),$G53)&amp;" "&amp;
INDEX(INDIRECT("'"&amp;INDEX(Table11[Sheet Name],$F53)&amp;"'!"&amp;_xlpm._columnName&amp;":"&amp;_xlpm._columnName),$G53))))</f>
        <v/>
      </c>
      <c r="I53" s="21" t="str" cm="1">
        <f t="array" aca="1" ref="I53" ca="1">IF($G53="","",(_xlfn.LET(
_xlpm._columnID,INDEX(Table11[Comment Column],$F53),
INDEX(INDIRECT("'"&amp;INDEX(Table11[Sheet Name],$F53)&amp;"'!"&amp;_xlpm._columnID&amp;":"&amp;_xlpm._columnID),$G53))))</f>
        <v/>
      </c>
    </row>
    <row r="54" spans="1:9" x14ac:dyDescent="0.25">
      <c r="A54" s="76" t="str" cm="1">
        <f t="array" aca="1" ref="A54" ca="1">IF($E54="","",
HYPERLINK("#'"&amp;INDEX(Table11[Sheet Name],$F54)&amp;"'!"&amp;INDEX(Table11[ID Column],$F54)&amp;$G54,
IF(LEN(H54)&gt;255,LEFT(H54,250)&amp;" …",H54)))</f>
        <v/>
      </c>
      <c r="B54" s="76" t="str" cm="1">
        <f t="array" aca="1" ref="B54" ca="1">IF($E54="","",HYPERLINK("#'"&amp;INDEX(Table11[Sheet Name],$F54)&amp;"'!"&amp;INDEX(Table11[Comment Column],$F54)&amp;$G54,
IF(LEN(I54)&gt;255,LEFT(I54,250)&amp;" …",I54)))</f>
        <v/>
      </c>
      <c r="C54" s="21" cm="1">
        <f t="array" aca="1" ref="C54" ca="1">IFERROR(IF(ROW()=ROW($C$19)+1,1,INDEX($C:$C,ROW()-1))+
IF(INDEX($E:$E,ROW()-1)=TRUE,1,0),"")</f>
        <v>2</v>
      </c>
      <c r="D54" s="21">
        <f t="shared" ca="1" si="9"/>
        <v>34</v>
      </c>
      <c r="E54" s="21" t="str" cm="1">
        <f t="array" aca="1" ref="E54" ca="1">IFERROR(INDEX(Table11[Number of Tasks],$F54)=$D54,"")</f>
        <v/>
      </c>
      <c r="F54" s="21" t="str">
        <f ca="1">IFERROR(MATCH($C54,Table11[Task Sheet Shadow ID],0),"")</f>
        <v/>
      </c>
      <c r="G54" s="21" t="str" cm="1">
        <f t="array" aca="1" ref="G54" ca="1">IFERROR(_xlfn.LET(
_xlpm._column,INDEX(Table11[Task ID Column],$F54),
MATCH($D54,INDIRECT("'"&amp;INDEX(Table11[Sheet Name],$F54)&amp;"'!"&amp;_xlpm._column&amp;":"&amp;_xlpm._column),0)),"")</f>
        <v/>
      </c>
      <c r="H54" s="21" t="str" cm="1">
        <f t="array" aca="1" ref="H54" ca="1">IF($G54="","",(_xlfn.LET(
_xlpm._columnID,INDEX(Table11[ID Column],$F54),
_xlpm._columnName,INDEX(Table11[Name Column],$F54),
INDEX(INDIRECT("'"&amp;INDEX(Table11[Sheet Name],$F54)&amp;"'!"&amp;_xlpm._columnID&amp;":"&amp;_xlpm._columnID),$G54)&amp;" "&amp;
INDEX(INDIRECT("'"&amp;INDEX(Table11[Sheet Name],$F54)&amp;"'!"&amp;_xlpm._columnName&amp;":"&amp;_xlpm._columnName),$G54))))</f>
        <v/>
      </c>
      <c r="I54" s="21" t="str" cm="1">
        <f t="array" aca="1" ref="I54" ca="1">IF($G54="","",(_xlfn.LET(
_xlpm._columnID,INDEX(Table11[Comment Column],$F54),
INDEX(INDIRECT("'"&amp;INDEX(Table11[Sheet Name],$F54)&amp;"'!"&amp;_xlpm._columnID&amp;":"&amp;_xlpm._columnID),$G54))))</f>
        <v/>
      </c>
    </row>
    <row r="55" spans="1:9" x14ac:dyDescent="0.25">
      <c r="A55" s="76" t="str" cm="1">
        <f t="array" aca="1" ref="A55" ca="1">IF($E55="","",
HYPERLINK("#'"&amp;INDEX(Table11[Sheet Name],$F55)&amp;"'!"&amp;INDEX(Table11[ID Column],$F55)&amp;$G55,
IF(LEN(H55)&gt;255,LEFT(H55,250)&amp;" …",H55)))</f>
        <v/>
      </c>
      <c r="B55" s="76" t="str" cm="1">
        <f t="array" aca="1" ref="B55" ca="1">IF($E55="","",HYPERLINK("#'"&amp;INDEX(Table11[Sheet Name],$F55)&amp;"'!"&amp;INDEX(Table11[Comment Column],$F55)&amp;$G55,
IF(LEN(I55)&gt;255,LEFT(I55,250)&amp;" …",I55)))</f>
        <v/>
      </c>
      <c r="C55" s="21" cm="1">
        <f t="array" aca="1" ref="C55" ca="1">IFERROR(IF(ROW()=ROW($C$19)+1,1,INDEX($C:$C,ROW()-1))+
IF(INDEX($E:$E,ROW()-1)=TRUE,1,0),"")</f>
        <v>2</v>
      </c>
      <c r="D55" s="21">
        <f t="shared" ca="1" si="9"/>
        <v>35</v>
      </c>
      <c r="E55" s="21" t="str" cm="1">
        <f t="array" aca="1" ref="E55" ca="1">IFERROR(INDEX(Table11[Number of Tasks],$F55)=$D55,"")</f>
        <v/>
      </c>
      <c r="F55" s="21" t="str">
        <f ca="1">IFERROR(MATCH($C55,Table11[Task Sheet Shadow ID],0),"")</f>
        <v/>
      </c>
      <c r="G55" s="21" t="str" cm="1">
        <f t="array" aca="1" ref="G55" ca="1">IFERROR(_xlfn.LET(
_xlpm._column,INDEX(Table11[Task ID Column],$F55),
MATCH($D55,INDIRECT("'"&amp;INDEX(Table11[Sheet Name],$F55)&amp;"'!"&amp;_xlpm._column&amp;":"&amp;_xlpm._column),0)),"")</f>
        <v/>
      </c>
      <c r="H55" s="21" t="str" cm="1">
        <f t="array" aca="1" ref="H55" ca="1">IF($G55="","",(_xlfn.LET(
_xlpm._columnID,INDEX(Table11[ID Column],$F55),
_xlpm._columnName,INDEX(Table11[Name Column],$F55),
INDEX(INDIRECT("'"&amp;INDEX(Table11[Sheet Name],$F55)&amp;"'!"&amp;_xlpm._columnID&amp;":"&amp;_xlpm._columnID),$G55)&amp;" "&amp;
INDEX(INDIRECT("'"&amp;INDEX(Table11[Sheet Name],$F55)&amp;"'!"&amp;_xlpm._columnName&amp;":"&amp;_xlpm._columnName),$G55))))</f>
        <v/>
      </c>
      <c r="I55" s="21" t="str" cm="1">
        <f t="array" aca="1" ref="I55" ca="1">IF($G55="","",(_xlfn.LET(
_xlpm._columnID,INDEX(Table11[Comment Column],$F55),
INDEX(INDIRECT("'"&amp;INDEX(Table11[Sheet Name],$F55)&amp;"'!"&amp;_xlpm._columnID&amp;":"&amp;_xlpm._columnID),$G55))))</f>
        <v/>
      </c>
    </row>
    <row r="56" spans="1:9" x14ac:dyDescent="0.25">
      <c r="A56" s="76" t="str" cm="1">
        <f t="array" aca="1" ref="A56" ca="1">IF($E56="","",
HYPERLINK("#'"&amp;INDEX(Table11[Sheet Name],$F56)&amp;"'!"&amp;INDEX(Table11[ID Column],$F56)&amp;$G56,
IF(LEN(H56)&gt;255,LEFT(H56,250)&amp;" …",H56)))</f>
        <v/>
      </c>
      <c r="B56" s="76" t="str" cm="1">
        <f t="array" aca="1" ref="B56" ca="1">IF($E56="","",HYPERLINK("#'"&amp;INDEX(Table11[Sheet Name],$F56)&amp;"'!"&amp;INDEX(Table11[Comment Column],$F56)&amp;$G56,
IF(LEN(I56)&gt;255,LEFT(I56,250)&amp;" …",I56)))</f>
        <v/>
      </c>
      <c r="C56" s="21" cm="1">
        <f t="array" aca="1" ref="C56" ca="1">IFERROR(IF(ROW()=ROW($C$19)+1,1,INDEX($C:$C,ROW()-1))+
IF(INDEX($E:$E,ROW()-1)=TRUE,1,0),"")</f>
        <v>2</v>
      </c>
      <c r="D56" s="21">
        <f t="shared" ca="1" si="9"/>
        <v>36</v>
      </c>
      <c r="E56" s="21" t="str" cm="1">
        <f t="array" aca="1" ref="E56" ca="1">IFERROR(INDEX(Table11[Number of Tasks],$F56)=$D56,"")</f>
        <v/>
      </c>
      <c r="F56" s="21" t="str">
        <f ca="1">IFERROR(MATCH($C56,Table11[Task Sheet Shadow ID],0),"")</f>
        <v/>
      </c>
      <c r="G56" s="21" t="str" cm="1">
        <f t="array" aca="1" ref="G56" ca="1">IFERROR(_xlfn.LET(
_xlpm._column,INDEX(Table11[Task ID Column],$F56),
MATCH($D56,INDIRECT("'"&amp;INDEX(Table11[Sheet Name],$F56)&amp;"'!"&amp;_xlpm._column&amp;":"&amp;_xlpm._column),0)),"")</f>
        <v/>
      </c>
      <c r="H56" s="21" t="str" cm="1">
        <f t="array" aca="1" ref="H56" ca="1">IF($G56="","",(_xlfn.LET(
_xlpm._columnID,INDEX(Table11[ID Column],$F56),
_xlpm._columnName,INDEX(Table11[Name Column],$F56),
INDEX(INDIRECT("'"&amp;INDEX(Table11[Sheet Name],$F56)&amp;"'!"&amp;_xlpm._columnID&amp;":"&amp;_xlpm._columnID),$G56)&amp;" "&amp;
INDEX(INDIRECT("'"&amp;INDEX(Table11[Sheet Name],$F56)&amp;"'!"&amp;_xlpm._columnName&amp;":"&amp;_xlpm._columnName),$G56))))</f>
        <v/>
      </c>
      <c r="I56" s="21" t="str" cm="1">
        <f t="array" aca="1" ref="I56" ca="1">IF($G56="","",(_xlfn.LET(
_xlpm._columnID,INDEX(Table11[Comment Column],$F56),
INDEX(INDIRECT("'"&amp;INDEX(Table11[Sheet Name],$F56)&amp;"'!"&amp;_xlpm._columnID&amp;":"&amp;_xlpm._columnID),$G56))))</f>
        <v/>
      </c>
    </row>
    <row r="57" spans="1:9" x14ac:dyDescent="0.25">
      <c r="A57" s="76" t="str" cm="1">
        <f t="array" aca="1" ref="A57" ca="1">IF($E57="","",
HYPERLINK("#'"&amp;INDEX(Table11[Sheet Name],$F57)&amp;"'!"&amp;INDEX(Table11[ID Column],$F57)&amp;$G57,
IF(LEN(H57)&gt;255,LEFT(H57,250)&amp;" …",H57)))</f>
        <v/>
      </c>
      <c r="B57" s="76" t="str" cm="1">
        <f t="array" aca="1" ref="B57" ca="1">IF($E57="","",HYPERLINK("#'"&amp;INDEX(Table11[Sheet Name],$F57)&amp;"'!"&amp;INDEX(Table11[Comment Column],$F57)&amp;$G57,
IF(LEN(I57)&gt;255,LEFT(I57,250)&amp;" …",I57)))</f>
        <v/>
      </c>
      <c r="C57" s="21" cm="1">
        <f t="array" aca="1" ref="C57" ca="1">IFERROR(IF(ROW()=ROW($C$19)+1,1,INDEX($C:$C,ROW()-1))+
IF(INDEX($E:$E,ROW()-1)=TRUE,1,0),"")</f>
        <v>2</v>
      </c>
      <c r="D57" s="21">
        <f t="shared" ca="1" si="9"/>
        <v>37</v>
      </c>
      <c r="E57" s="21" t="str" cm="1">
        <f t="array" aca="1" ref="E57" ca="1">IFERROR(INDEX(Table11[Number of Tasks],$F57)=$D57,"")</f>
        <v/>
      </c>
      <c r="F57" s="21" t="str">
        <f ca="1">IFERROR(MATCH($C57,Table11[Task Sheet Shadow ID],0),"")</f>
        <v/>
      </c>
      <c r="G57" s="21" t="str" cm="1">
        <f t="array" aca="1" ref="G57" ca="1">IFERROR(_xlfn.LET(
_xlpm._column,INDEX(Table11[Task ID Column],$F57),
MATCH($D57,INDIRECT("'"&amp;INDEX(Table11[Sheet Name],$F57)&amp;"'!"&amp;_xlpm._column&amp;":"&amp;_xlpm._column),0)),"")</f>
        <v/>
      </c>
      <c r="H57" s="21" t="str" cm="1">
        <f t="array" aca="1" ref="H57" ca="1">IF($G57="","",(_xlfn.LET(
_xlpm._columnID,INDEX(Table11[ID Column],$F57),
_xlpm._columnName,INDEX(Table11[Name Column],$F57),
INDEX(INDIRECT("'"&amp;INDEX(Table11[Sheet Name],$F57)&amp;"'!"&amp;_xlpm._columnID&amp;":"&amp;_xlpm._columnID),$G57)&amp;" "&amp;
INDEX(INDIRECT("'"&amp;INDEX(Table11[Sheet Name],$F57)&amp;"'!"&amp;_xlpm._columnName&amp;":"&amp;_xlpm._columnName),$G57))))</f>
        <v/>
      </c>
      <c r="I57" s="21" t="str" cm="1">
        <f t="array" aca="1" ref="I57" ca="1">IF($G57="","",(_xlfn.LET(
_xlpm._columnID,INDEX(Table11[Comment Column],$F57),
INDEX(INDIRECT("'"&amp;INDEX(Table11[Sheet Name],$F57)&amp;"'!"&amp;_xlpm._columnID&amp;":"&amp;_xlpm._columnID),$G57))))</f>
        <v/>
      </c>
    </row>
    <row r="58" spans="1:9" x14ac:dyDescent="0.25">
      <c r="A58" s="76" t="str" cm="1">
        <f t="array" aca="1" ref="A58" ca="1">IF($E58="","",
HYPERLINK("#'"&amp;INDEX(Table11[Sheet Name],$F58)&amp;"'!"&amp;INDEX(Table11[ID Column],$F58)&amp;$G58,
IF(LEN(H58)&gt;255,LEFT(H58,250)&amp;" …",H58)))</f>
        <v/>
      </c>
      <c r="B58" s="76" t="str" cm="1">
        <f t="array" aca="1" ref="B58" ca="1">IF($E58="","",HYPERLINK("#'"&amp;INDEX(Table11[Sheet Name],$F58)&amp;"'!"&amp;INDEX(Table11[Comment Column],$F58)&amp;$G58,
IF(LEN(I58)&gt;255,LEFT(I58,250)&amp;" …",I58)))</f>
        <v/>
      </c>
      <c r="C58" s="21" cm="1">
        <f t="array" aca="1" ref="C58" ca="1">IFERROR(IF(ROW()=ROW($C$19)+1,1,INDEX($C:$C,ROW()-1))+
IF(INDEX($E:$E,ROW()-1)=TRUE,1,0),"")</f>
        <v>2</v>
      </c>
      <c r="D58" s="21">
        <f t="shared" ca="1" si="9"/>
        <v>38</v>
      </c>
      <c r="E58" s="21" t="str" cm="1">
        <f t="array" aca="1" ref="E58" ca="1">IFERROR(INDEX(Table11[Number of Tasks],$F58)=$D58,"")</f>
        <v/>
      </c>
      <c r="F58" s="21" t="str">
        <f ca="1">IFERROR(MATCH($C58,Table11[Task Sheet Shadow ID],0),"")</f>
        <v/>
      </c>
      <c r="G58" s="21" t="str" cm="1">
        <f t="array" aca="1" ref="G58" ca="1">IFERROR(_xlfn.LET(
_xlpm._column,INDEX(Table11[Task ID Column],$F58),
MATCH($D58,INDIRECT("'"&amp;INDEX(Table11[Sheet Name],$F58)&amp;"'!"&amp;_xlpm._column&amp;":"&amp;_xlpm._column),0)),"")</f>
        <v/>
      </c>
      <c r="H58" s="21" t="str" cm="1">
        <f t="array" aca="1" ref="H58" ca="1">IF($G58="","",(_xlfn.LET(
_xlpm._columnID,INDEX(Table11[ID Column],$F58),
_xlpm._columnName,INDEX(Table11[Name Column],$F58),
INDEX(INDIRECT("'"&amp;INDEX(Table11[Sheet Name],$F58)&amp;"'!"&amp;_xlpm._columnID&amp;":"&amp;_xlpm._columnID),$G58)&amp;" "&amp;
INDEX(INDIRECT("'"&amp;INDEX(Table11[Sheet Name],$F58)&amp;"'!"&amp;_xlpm._columnName&amp;":"&amp;_xlpm._columnName),$G58))))</f>
        <v/>
      </c>
      <c r="I58" s="21" t="str" cm="1">
        <f t="array" aca="1" ref="I58" ca="1">IF($G58="","",(_xlfn.LET(
_xlpm._columnID,INDEX(Table11[Comment Column],$F58),
INDEX(INDIRECT("'"&amp;INDEX(Table11[Sheet Name],$F58)&amp;"'!"&amp;_xlpm._columnID&amp;":"&amp;_xlpm._columnID),$G58))))</f>
        <v/>
      </c>
    </row>
    <row r="59" spans="1:9" x14ac:dyDescent="0.25">
      <c r="A59" s="76" t="str" cm="1">
        <f t="array" aca="1" ref="A59" ca="1">IF($E59="","",
HYPERLINK("#'"&amp;INDEX(Table11[Sheet Name],$F59)&amp;"'!"&amp;INDEX(Table11[ID Column],$F59)&amp;$G59,
IF(LEN(H59)&gt;255,LEFT(H59,250)&amp;" …",H59)))</f>
        <v/>
      </c>
      <c r="B59" s="76" t="str" cm="1">
        <f t="array" aca="1" ref="B59" ca="1">IF($E59="","",HYPERLINK("#'"&amp;INDEX(Table11[Sheet Name],$F59)&amp;"'!"&amp;INDEX(Table11[Comment Column],$F59)&amp;$G59,
IF(LEN(I59)&gt;255,LEFT(I59,250)&amp;" …",I59)))</f>
        <v/>
      </c>
      <c r="C59" s="21" cm="1">
        <f t="array" aca="1" ref="C59" ca="1">IFERROR(IF(ROW()=ROW($C$19)+1,1,INDEX($C:$C,ROW()-1))+
IF(INDEX($E:$E,ROW()-1)=TRUE,1,0),"")</f>
        <v>2</v>
      </c>
      <c r="D59" s="21">
        <f t="shared" ca="1" si="9"/>
        <v>39</v>
      </c>
      <c r="E59" s="21" t="str" cm="1">
        <f t="array" aca="1" ref="E59" ca="1">IFERROR(INDEX(Table11[Number of Tasks],$F59)=$D59,"")</f>
        <v/>
      </c>
      <c r="F59" s="21" t="str">
        <f ca="1">IFERROR(MATCH($C59,Table11[Task Sheet Shadow ID],0),"")</f>
        <v/>
      </c>
      <c r="G59" s="21" t="str" cm="1">
        <f t="array" aca="1" ref="G59" ca="1">IFERROR(_xlfn.LET(
_xlpm._column,INDEX(Table11[Task ID Column],$F59),
MATCH($D59,INDIRECT("'"&amp;INDEX(Table11[Sheet Name],$F59)&amp;"'!"&amp;_xlpm._column&amp;":"&amp;_xlpm._column),0)),"")</f>
        <v/>
      </c>
      <c r="H59" s="21" t="str" cm="1">
        <f t="array" aca="1" ref="H59" ca="1">IF($G59="","",(_xlfn.LET(
_xlpm._columnID,INDEX(Table11[ID Column],$F59),
_xlpm._columnName,INDEX(Table11[Name Column],$F59),
INDEX(INDIRECT("'"&amp;INDEX(Table11[Sheet Name],$F59)&amp;"'!"&amp;_xlpm._columnID&amp;":"&amp;_xlpm._columnID),$G59)&amp;" "&amp;
INDEX(INDIRECT("'"&amp;INDEX(Table11[Sheet Name],$F59)&amp;"'!"&amp;_xlpm._columnName&amp;":"&amp;_xlpm._columnName),$G59))))</f>
        <v/>
      </c>
      <c r="I59" s="21" t="str" cm="1">
        <f t="array" aca="1" ref="I59" ca="1">IF($G59="","",(_xlfn.LET(
_xlpm._columnID,INDEX(Table11[Comment Column],$F59),
INDEX(INDIRECT("'"&amp;INDEX(Table11[Sheet Name],$F59)&amp;"'!"&amp;_xlpm._columnID&amp;":"&amp;_xlpm._columnID),$G59))))</f>
        <v/>
      </c>
    </row>
    <row r="60" spans="1:9" x14ac:dyDescent="0.25">
      <c r="A60" s="76" t="str" cm="1">
        <f t="array" aca="1" ref="A60" ca="1">IF($E60="","",
HYPERLINK("#'"&amp;INDEX(Table11[Sheet Name],$F60)&amp;"'!"&amp;INDEX(Table11[ID Column],$F60)&amp;$G60,
IF(LEN(H60)&gt;255,LEFT(H60,250)&amp;" …",H60)))</f>
        <v/>
      </c>
      <c r="B60" s="76" t="str" cm="1">
        <f t="array" aca="1" ref="B60" ca="1">IF($E60="","",HYPERLINK("#'"&amp;INDEX(Table11[Sheet Name],$F60)&amp;"'!"&amp;INDEX(Table11[Comment Column],$F60)&amp;$G60,
IF(LEN(I60)&gt;255,LEFT(I60,250)&amp;" …",I60)))</f>
        <v/>
      </c>
      <c r="C60" s="21" cm="1">
        <f t="array" aca="1" ref="C60" ca="1">IFERROR(IF(ROW()=ROW($C$19)+1,1,INDEX($C:$C,ROW()-1))+
IF(INDEX($E:$E,ROW()-1)=TRUE,1,0),"")</f>
        <v>2</v>
      </c>
      <c r="D60" s="21">
        <f t="shared" ca="1" si="9"/>
        <v>40</v>
      </c>
      <c r="E60" s="21" t="str" cm="1">
        <f t="array" aca="1" ref="E60" ca="1">IFERROR(INDEX(Table11[Number of Tasks],$F60)=$D60,"")</f>
        <v/>
      </c>
      <c r="F60" s="21" t="str">
        <f ca="1">IFERROR(MATCH($C60,Table11[Task Sheet Shadow ID],0),"")</f>
        <v/>
      </c>
      <c r="G60" s="21" t="str" cm="1">
        <f t="array" aca="1" ref="G60" ca="1">IFERROR(_xlfn.LET(
_xlpm._column,INDEX(Table11[Task ID Column],$F60),
MATCH($D60,INDIRECT("'"&amp;INDEX(Table11[Sheet Name],$F60)&amp;"'!"&amp;_xlpm._column&amp;":"&amp;_xlpm._column),0)),"")</f>
        <v/>
      </c>
      <c r="H60" s="21" t="str" cm="1">
        <f t="array" aca="1" ref="H60" ca="1">IF($G60="","",(_xlfn.LET(
_xlpm._columnID,INDEX(Table11[ID Column],$F60),
_xlpm._columnName,INDEX(Table11[Name Column],$F60),
INDEX(INDIRECT("'"&amp;INDEX(Table11[Sheet Name],$F60)&amp;"'!"&amp;_xlpm._columnID&amp;":"&amp;_xlpm._columnID),$G60)&amp;" "&amp;
INDEX(INDIRECT("'"&amp;INDEX(Table11[Sheet Name],$F60)&amp;"'!"&amp;_xlpm._columnName&amp;":"&amp;_xlpm._columnName),$G60))))</f>
        <v/>
      </c>
      <c r="I60" s="21" t="str" cm="1">
        <f t="array" aca="1" ref="I60" ca="1">IF($G60="","",(_xlfn.LET(
_xlpm._columnID,INDEX(Table11[Comment Column],$F60),
INDEX(INDIRECT("'"&amp;INDEX(Table11[Sheet Name],$F60)&amp;"'!"&amp;_xlpm._columnID&amp;":"&amp;_xlpm._columnID),$G60))))</f>
        <v/>
      </c>
    </row>
    <row r="61" spans="1:9" x14ac:dyDescent="0.25">
      <c r="A61" s="76" t="str" cm="1">
        <f t="array" aca="1" ref="A61" ca="1">IF($E61="","",
HYPERLINK("#'"&amp;INDEX(Table11[Sheet Name],$F61)&amp;"'!"&amp;INDEX(Table11[ID Column],$F61)&amp;$G61,
IF(LEN(H61)&gt;255,LEFT(H61,250)&amp;" …",H61)))</f>
        <v/>
      </c>
      <c r="B61" s="76" t="str" cm="1">
        <f t="array" aca="1" ref="B61" ca="1">IF($E61="","",HYPERLINK("#'"&amp;INDEX(Table11[Sheet Name],$F61)&amp;"'!"&amp;INDEX(Table11[Comment Column],$F61)&amp;$G61,
IF(LEN(I61)&gt;255,LEFT(I61,250)&amp;" …",I61)))</f>
        <v/>
      </c>
      <c r="C61" s="21" cm="1">
        <f t="array" aca="1" ref="C61" ca="1">IFERROR(IF(ROW()=ROW($C$19)+1,1,INDEX($C:$C,ROW()-1))+
IF(INDEX($E:$E,ROW()-1)=TRUE,1,0),"")</f>
        <v>2</v>
      </c>
      <c r="D61" s="21">
        <f t="shared" ca="1" si="9"/>
        <v>41</v>
      </c>
      <c r="E61" s="21" t="str" cm="1">
        <f t="array" aca="1" ref="E61" ca="1">IFERROR(INDEX(Table11[Number of Tasks],$F61)=$D61,"")</f>
        <v/>
      </c>
      <c r="F61" s="21" t="str">
        <f ca="1">IFERROR(MATCH($C61,Table11[Task Sheet Shadow ID],0),"")</f>
        <v/>
      </c>
      <c r="G61" s="21" t="str" cm="1">
        <f t="array" aca="1" ref="G61" ca="1">IFERROR(_xlfn.LET(
_xlpm._column,INDEX(Table11[Task ID Column],$F61),
MATCH($D61,INDIRECT("'"&amp;INDEX(Table11[Sheet Name],$F61)&amp;"'!"&amp;_xlpm._column&amp;":"&amp;_xlpm._column),0)),"")</f>
        <v/>
      </c>
      <c r="H61" s="21" t="str" cm="1">
        <f t="array" aca="1" ref="H61" ca="1">IF($G61="","",(_xlfn.LET(
_xlpm._columnID,INDEX(Table11[ID Column],$F61),
_xlpm._columnName,INDEX(Table11[Name Column],$F61),
INDEX(INDIRECT("'"&amp;INDEX(Table11[Sheet Name],$F61)&amp;"'!"&amp;_xlpm._columnID&amp;":"&amp;_xlpm._columnID),$G61)&amp;" "&amp;
INDEX(INDIRECT("'"&amp;INDEX(Table11[Sheet Name],$F61)&amp;"'!"&amp;_xlpm._columnName&amp;":"&amp;_xlpm._columnName),$G61))))</f>
        <v/>
      </c>
      <c r="I61" s="21" t="str" cm="1">
        <f t="array" aca="1" ref="I61" ca="1">IF($G61="","",(_xlfn.LET(
_xlpm._columnID,INDEX(Table11[Comment Column],$F61),
INDEX(INDIRECT("'"&amp;INDEX(Table11[Sheet Name],$F61)&amp;"'!"&amp;_xlpm._columnID&amp;":"&amp;_xlpm._columnID),$G61))))</f>
        <v/>
      </c>
    </row>
    <row r="62" spans="1:9" x14ac:dyDescent="0.25">
      <c r="A62" s="76" t="str" cm="1">
        <f t="array" aca="1" ref="A62" ca="1">IF($E62="","",
HYPERLINK("#'"&amp;INDEX(Table11[Sheet Name],$F62)&amp;"'!"&amp;INDEX(Table11[ID Column],$F62)&amp;$G62,
IF(LEN(H62)&gt;255,LEFT(H62,250)&amp;" …",H62)))</f>
        <v/>
      </c>
      <c r="B62" s="76" t="str" cm="1">
        <f t="array" aca="1" ref="B62" ca="1">IF($E62="","",HYPERLINK("#'"&amp;INDEX(Table11[Sheet Name],$F62)&amp;"'!"&amp;INDEX(Table11[Comment Column],$F62)&amp;$G62,
IF(LEN(I62)&gt;255,LEFT(I62,250)&amp;" …",I62)))</f>
        <v/>
      </c>
      <c r="C62" s="21" cm="1">
        <f t="array" aca="1" ref="C62" ca="1">IFERROR(IF(ROW()=ROW($C$19)+1,1,INDEX($C:$C,ROW()-1))+
IF(INDEX($E:$E,ROW()-1)=TRUE,1,0),"")</f>
        <v>2</v>
      </c>
      <c r="D62" s="21">
        <f t="shared" ca="1" si="9"/>
        <v>42</v>
      </c>
      <c r="E62" s="21" t="str" cm="1">
        <f t="array" aca="1" ref="E62" ca="1">IFERROR(INDEX(Table11[Number of Tasks],$F62)=$D62,"")</f>
        <v/>
      </c>
      <c r="F62" s="21" t="str">
        <f ca="1">IFERROR(MATCH($C62,Table11[Task Sheet Shadow ID],0),"")</f>
        <v/>
      </c>
      <c r="G62" s="21" t="str" cm="1">
        <f t="array" aca="1" ref="G62" ca="1">IFERROR(_xlfn.LET(
_xlpm._column,INDEX(Table11[Task ID Column],$F62),
MATCH($D62,INDIRECT("'"&amp;INDEX(Table11[Sheet Name],$F62)&amp;"'!"&amp;_xlpm._column&amp;":"&amp;_xlpm._column),0)),"")</f>
        <v/>
      </c>
      <c r="H62" s="21" t="str" cm="1">
        <f t="array" aca="1" ref="H62" ca="1">IF($G62="","",(_xlfn.LET(
_xlpm._columnID,INDEX(Table11[ID Column],$F62),
_xlpm._columnName,INDEX(Table11[Name Column],$F62),
INDEX(INDIRECT("'"&amp;INDEX(Table11[Sheet Name],$F62)&amp;"'!"&amp;_xlpm._columnID&amp;":"&amp;_xlpm._columnID),$G62)&amp;" "&amp;
INDEX(INDIRECT("'"&amp;INDEX(Table11[Sheet Name],$F62)&amp;"'!"&amp;_xlpm._columnName&amp;":"&amp;_xlpm._columnName),$G62))))</f>
        <v/>
      </c>
      <c r="I62" s="21" t="str" cm="1">
        <f t="array" aca="1" ref="I62" ca="1">IF($G62="","",(_xlfn.LET(
_xlpm._columnID,INDEX(Table11[Comment Column],$F62),
INDEX(INDIRECT("'"&amp;INDEX(Table11[Sheet Name],$F62)&amp;"'!"&amp;_xlpm._columnID&amp;":"&amp;_xlpm._columnID),$G62))))</f>
        <v/>
      </c>
    </row>
    <row r="63" spans="1:9" x14ac:dyDescent="0.25">
      <c r="A63" s="76" t="str" cm="1">
        <f t="array" aca="1" ref="A63" ca="1">IF($E63="","",
HYPERLINK("#'"&amp;INDEX(Table11[Sheet Name],$F63)&amp;"'!"&amp;INDEX(Table11[ID Column],$F63)&amp;$G63,
IF(LEN(H63)&gt;255,LEFT(H63,250)&amp;" …",H63)))</f>
        <v/>
      </c>
      <c r="B63" s="76" t="str" cm="1">
        <f t="array" aca="1" ref="B63" ca="1">IF($E63="","",HYPERLINK("#'"&amp;INDEX(Table11[Sheet Name],$F63)&amp;"'!"&amp;INDEX(Table11[Comment Column],$F63)&amp;$G63,
IF(LEN(I63)&gt;255,LEFT(I63,250)&amp;" …",I63)))</f>
        <v/>
      </c>
      <c r="C63" s="21" cm="1">
        <f t="array" aca="1" ref="C63" ca="1">IFERROR(IF(ROW()=ROW($C$19)+1,1,INDEX($C:$C,ROW()-1))+
IF(INDEX($E:$E,ROW()-1)=TRUE,1,0),"")</f>
        <v>2</v>
      </c>
      <c r="D63" s="21">
        <f t="shared" ca="1" si="9"/>
        <v>43</v>
      </c>
      <c r="E63" s="21" t="str" cm="1">
        <f t="array" aca="1" ref="E63" ca="1">IFERROR(INDEX(Table11[Number of Tasks],$F63)=$D63,"")</f>
        <v/>
      </c>
      <c r="F63" s="21" t="str">
        <f ca="1">IFERROR(MATCH($C63,Table11[Task Sheet Shadow ID],0),"")</f>
        <v/>
      </c>
      <c r="G63" s="21" t="str" cm="1">
        <f t="array" aca="1" ref="G63" ca="1">IFERROR(_xlfn.LET(
_xlpm._column,INDEX(Table11[Task ID Column],$F63),
MATCH($D63,INDIRECT("'"&amp;INDEX(Table11[Sheet Name],$F63)&amp;"'!"&amp;_xlpm._column&amp;":"&amp;_xlpm._column),0)),"")</f>
        <v/>
      </c>
      <c r="H63" s="21" t="str" cm="1">
        <f t="array" aca="1" ref="H63" ca="1">IF($G63="","",(_xlfn.LET(
_xlpm._columnID,INDEX(Table11[ID Column],$F63),
_xlpm._columnName,INDEX(Table11[Name Column],$F63),
INDEX(INDIRECT("'"&amp;INDEX(Table11[Sheet Name],$F63)&amp;"'!"&amp;_xlpm._columnID&amp;":"&amp;_xlpm._columnID),$G63)&amp;" "&amp;
INDEX(INDIRECT("'"&amp;INDEX(Table11[Sheet Name],$F63)&amp;"'!"&amp;_xlpm._columnName&amp;":"&amp;_xlpm._columnName),$G63))))</f>
        <v/>
      </c>
      <c r="I63" s="21" t="str" cm="1">
        <f t="array" aca="1" ref="I63" ca="1">IF($G63="","",(_xlfn.LET(
_xlpm._columnID,INDEX(Table11[Comment Column],$F63),
INDEX(INDIRECT("'"&amp;INDEX(Table11[Sheet Name],$F63)&amp;"'!"&amp;_xlpm._columnID&amp;":"&amp;_xlpm._columnID),$G63))))</f>
        <v/>
      </c>
    </row>
    <row r="64" spans="1:9" x14ac:dyDescent="0.25">
      <c r="A64" s="76" t="str" cm="1">
        <f t="array" aca="1" ref="A64" ca="1">IF($E64="","",
HYPERLINK("#'"&amp;INDEX(Table11[Sheet Name],$F64)&amp;"'!"&amp;INDEX(Table11[ID Column],$F64)&amp;$G64,
IF(LEN(H64)&gt;255,LEFT(H64,250)&amp;" …",H64)))</f>
        <v/>
      </c>
      <c r="B64" s="76" t="str" cm="1">
        <f t="array" aca="1" ref="B64" ca="1">IF($E64="","",HYPERLINK("#'"&amp;INDEX(Table11[Sheet Name],$F64)&amp;"'!"&amp;INDEX(Table11[Comment Column],$F64)&amp;$G64,
IF(LEN(I64)&gt;255,LEFT(I64,250)&amp;" …",I64)))</f>
        <v/>
      </c>
      <c r="C64" s="21" cm="1">
        <f t="array" aca="1" ref="C64" ca="1">IFERROR(IF(ROW()=ROW($C$19)+1,1,INDEX($C:$C,ROW()-1))+
IF(INDEX($E:$E,ROW()-1)=TRUE,1,0),"")</f>
        <v>2</v>
      </c>
      <c r="D64" s="21">
        <f t="shared" ca="1" si="9"/>
        <v>44</v>
      </c>
      <c r="E64" s="21" t="str" cm="1">
        <f t="array" aca="1" ref="E64" ca="1">IFERROR(INDEX(Table11[Number of Tasks],$F64)=$D64,"")</f>
        <v/>
      </c>
      <c r="F64" s="21" t="str">
        <f ca="1">IFERROR(MATCH($C64,Table11[Task Sheet Shadow ID],0),"")</f>
        <v/>
      </c>
      <c r="G64" s="21" t="str" cm="1">
        <f t="array" aca="1" ref="G64" ca="1">IFERROR(_xlfn.LET(
_xlpm._column,INDEX(Table11[Task ID Column],$F64),
MATCH($D64,INDIRECT("'"&amp;INDEX(Table11[Sheet Name],$F64)&amp;"'!"&amp;_xlpm._column&amp;":"&amp;_xlpm._column),0)),"")</f>
        <v/>
      </c>
      <c r="H64" s="21" t="str" cm="1">
        <f t="array" aca="1" ref="H64" ca="1">IF($G64="","",(_xlfn.LET(
_xlpm._columnID,INDEX(Table11[ID Column],$F64),
_xlpm._columnName,INDEX(Table11[Name Column],$F64),
INDEX(INDIRECT("'"&amp;INDEX(Table11[Sheet Name],$F64)&amp;"'!"&amp;_xlpm._columnID&amp;":"&amp;_xlpm._columnID),$G64)&amp;" "&amp;
INDEX(INDIRECT("'"&amp;INDEX(Table11[Sheet Name],$F64)&amp;"'!"&amp;_xlpm._columnName&amp;":"&amp;_xlpm._columnName),$G64))))</f>
        <v/>
      </c>
      <c r="I64" s="21" t="str" cm="1">
        <f t="array" aca="1" ref="I64" ca="1">IF($G64="","",(_xlfn.LET(
_xlpm._columnID,INDEX(Table11[Comment Column],$F64),
INDEX(INDIRECT("'"&amp;INDEX(Table11[Sheet Name],$F64)&amp;"'!"&amp;_xlpm._columnID&amp;":"&amp;_xlpm._columnID),$G64))))</f>
        <v/>
      </c>
    </row>
    <row r="65" spans="1:9" x14ac:dyDescent="0.25">
      <c r="A65" s="76" t="str" cm="1">
        <f t="array" aca="1" ref="A65" ca="1">IF($E65="","",
HYPERLINK("#'"&amp;INDEX(Table11[Sheet Name],$F65)&amp;"'!"&amp;INDEX(Table11[ID Column],$F65)&amp;$G65,
IF(LEN(H65)&gt;255,LEFT(H65,250)&amp;" …",H65)))</f>
        <v/>
      </c>
      <c r="B65" s="76" t="str" cm="1">
        <f t="array" aca="1" ref="B65" ca="1">IF($E65="","",HYPERLINK("#'"&amp;INDEX(Table11[Sheet Name],$F65)&amp;"'!"&amp;INDEX(Table11[Comment Column],$F65)&amp;$G65,
IF(LEN(I65)&gt;255,LEFT(I65,250)&amp;" …",I65)))</f>
        <v/>
      </c>
      <c r="C65" s="21" cm="1">
        <f t="array" aca="1" ref="C65" ca="1">IFERROR(IF(ROW()=ROW($C$19)+1,1,INDEX($C:$C,ROW()-1))+
IF(INDEX($E:$E,ROW()-1)=TRUE,1,0),"")</f>
        <v>2</v>
      </c>
      <c r="D65" s="21">
        <f t="shared" ca="1" si="9"/>
        <v>45</v>
      </c>
      <c r="E65" s="21" t="str" cm="1">
        <f t="array" aca="1" ref="E65" ca="1">IFERROR(INDEX(Table11[Number of Tasks],$F65)=$D65,"")</f>
        <v/>
      </c>
      <c r="F65" s="21" t="str">
        <f ca="1">IFERROR(MATCH($C65,Table11[Task Sheet Shadow ID],0),"")</f>
        <v/>
      </c>
      <c r="G65" s="21" t="str" cm="1">
        <f t="array" aca="1" ref="G65" ca="1">IFERROR(_xlfn.LET(
_xlpm._column,INDEX(Table11[Task ID Column],$F65),
MATCH($D65,INDIRECT("'"&amp;INDEX(Table11[Sheet Name],$F65)&amp;"'!"&amp;_xlpm._column&amp;":"&amp;_xlpm._column),0)),"")</f>
        <v/>
      </c>
      <c r="H65" s="21" t="str" cm="1">
        <f t="array" aca="1" ref="H65" ca="1">IF($G65="","",(_xlfn.LET(
_xlpm._columnID,INDEX(Table11[ID Column],$F65),
_xlpm._columnName,INDEX(Table11[Name Column],$F65),
INDEX(INDIRECT("'"&amp;INDEX(Table11[Sheet Name],$F65)&amp;"'!"&amp;_xlpm._columnID&amp;":"&amp;_xlpm._columnID),$G65)&amp;" "&amp;
INDEX(INDIRECT("'"&amp;INDEX(Table11[Sheet Name],$F65)&amp;"'!"&amp;_xlpm._columnName&amp;":"&amp;_xlpm._columnName),$G65))))</f>
        <v/>
      </c>
      <c r="I65" s="21" t="str" cm="1">
        <f t="array" aca="1" ref="I65" ca="1">IF($G65="","",(_xlfn.LET(
_xlpm._columnID,INDEX(Table11[Comment Column],$F65),
INDEX(INDIRECT("'"&amp;INDEX(Table11[Sheet Name],$F65)&amp;"'!"&amp;_xlpm._columnID&amp;":"&amp;_xlpm._columnID),$G65))))</f>
        <v/>
      </c>
    </row>
    <row r="66" spans="1:9" x14ac:dyDescent="0.25">
      <c r="A66" s="76" t="str" cm="1">
        <f t="array" aca="1" ref="A66" ca="1">IF($E66="","",
HYPERLINK("#'"&amp;INDEX(Table11[Sheet Name],$F66)&amp;"'!"&amp;INDEX(Table11[ID Column],$F66)&amp;$G66,
IF(LEN(H66)&gt;255,LEFT(H66,250)&amp;" …",H66)))</f>
        <v/>
      </c>
      <c r="B66" s="76" t="str" cm="1">
        <f t="array" aca="1" ref="B66" ca="1">IF($E66="","",HYPERLINK("#'"&amp;INDEX(Table11[Sheet Name],$F66)&amp;"'!"&amp;INDEX(Table11[Comment Column],$F66)&amp;$G66,
IF(LEN(I66)&gt;255,LEFT(I66,250)&amp;" …",I66)))</f>
        <v/>
      </c>
      <c r="C66" s="21" cm="1">
        <f t="array" aca="1" ref="C66" ca="1">IFERROR(IF(ROW()=ROW($C$19)+1,1,INDEX($C:$C,ROW()-1))+
IF(INDEX($E:$E,ROW()-1)=TRUE,1,0),"")</f>
        <v>2</v>
      </c>
      <c r="D66" s="21">
        <f t="shared" ca="1" si="9"/>
        <v>46</v>
      </c>
      <c r="E66" s="21" t="str" cm="1">
        <f t="array" aca="1" ref="E66" ca="1">IFERROR(INDEX(Table11[Number of Tasks],$F66)=$D66,"")</f>
        <v/>
      </c>
      <c r="F66" s="21" t="str">
        <f ca="1">IFERROR(MATCH($C66,Table11[Task Sheet Shadow ID],0),"")</f>
        <v/>
      </c>
      <c r="G66" s="21" t="str" cm="1">
        <f t="array" aca="1" ref="G66" ca="1">IFERROR(_xlfn.LET(
_xlpm._column,INDEX(Table11[Task ID Column],$F66),
MATCH($D66,INDIRECT("'"&amp;INDEX(Table11[Sheet Name],$F66)&amp;"'!"&amp;_xlpm._column&amp;":"&amp;_xlpm._column),0)),"")</f>
        <v/>
      </c>
      <c r="H66" s="21" t="str" cm="1">
        <f t="array" aca="1" ref="H66" ca="1">IF($G66="","",(_xlfn.LET(
_xlpm._columnID,INDEX(Table11[ID Column],$F66),
_xlpm._columnName,INDEX(Table11[Name Column],$F66),
INDEX(INDIRECT("'"&amp;INDEX(Table11[Sheet Name],$F66)&amp;"'!"&amp;_xlpm._columnID&amp;":"&amp;_xlpm._columnID),$G66)&amp;" "&amp;
INDEX(INDIRECT("'"&amp;INDEX(Table11[Sheet Name],$F66)&amp;"'!"&amp;_xlpm._columnName&amp;":"&amp;_xlpm._columnName),$G66))))</f>
        <v/>
      </c>
      <c r="I66" s="21" t="str" cm="1">
        <f t="array" aca="1" ref="I66" ca="1">IF($G66="","",(_xlfn.LET(
_xlpm._columnID,INDEX(Table11[Comment Column],$F66),
INDEX(INDIRECT("'"&amp;INDEX(Table11[Sheet Name],$F66)&amp;"'!"&amp;_xlpm._columnID&amp;":"&amp;_xlpm._columnID),$G66))))</f>
        <v/>
      </c>
    </row>
    <row r="67" spans="1:9" x14ac:dyDescent="0.25">
      <c r="A67" s="76" t="str" cm="1">
        <f t="array" aca="1" ref="A67" ca="1">IF($E67="","",
HYPERLINK("#'"&amp;INDEX(Table11[Sheet Name],$F67)&amp;"'!"&amp;INDEX(Table11[ID Column],$F67)&amp;$G67,
IF(LEN(H67)&gt;255,LEFT(H67,250)&amp;" …",H67)))</f>
        <v/>
      </c>
      <c r="B67" s="76" t="str" cm="1">
        <f t="array" aca="1" ref="B67" ca="1">IF($E67="","",HYPERLINK("#'"&amp;INDEX(Table11[Sheet Name],$F67)&amp;"'!"&amp;INDEX(Table11[Comment Column],$F67)&amp;$G67,
IF(LEN(I67)&gt;255,LEFT(I67,250)&amp;" …",I67)))</f>
        <v/>
      </c>
      <c r="C67" s="21" cm="1">
        <f t="array" aca="1" ref="C67" ca="1">IFERROR(IF(ROW()=ROW($C$19)+1,1,INDEX($C:$C,ROW()-1))+
IF(INDEX($E:$E,ROW()-1)=TRUE,1,0),"")</f>
        <v>2</v>
      </c>
      <c r="D67" s="21">
        <f t="shared" ca="1" si="9"/>
        <v>47</v>
      </c>
      <c r="E67" s="21" t="str" cm="1">
        <f t="array" aca="1" ref="E67" ca="1">IFERROR(INDEX(Table11[Number of Tasks],$F67)=$D67,"")</f>
        <v/>
      </c>
      <c r="F67" s="21" t="str">
        <f ca="1">IFERROR(MATCH($C67,Table11[Task Sheet Shadow ID],0),"")</f>
        <v/>
      </c>
      <c r="G67" s="21" t="str" cm="1">
        <f t="array" aca="1" ref="G67" ca="1">IFERROR(_xlfn.LET(
_xlpm._column,INDEX(Table11[Task ID Column],$F67),
MATCH($D67,INDIRECT("'"&amp;INDEX(Table11[Sheet Name],$F67)&amp;"'!"&amp;_xlpm._column&amp;":"&amp;_xlpm._column),0)),"")</f>
        <v/>
      </c>
      <c r="H67" s="21" t="str" cm="1">
        <f t="array" aca="1" ref="H67" ca="1">IF($G67="","",(_xlfn.LET(
_xlpm._columnID,INDEX(Table11[ID Column],$F67),
_xlpm._columnName,INDEX(Table11[Name Column],$F67),
INDEX(INDIRECT("'"&amp;INDEX(Table11[Sheet Name],$F67)&amp;"'!"&amp;_xlpm._columnID&amp;":"&amp;_xlpm._columnID),$G67)&amp;" "&amp;
INDEX(INDIRECT("'"&amp;INDEX(Table11[Sheet Name],$F67)&amp;"'!"&amp;_xlpm._columnName&amp;":"&amp;_xlpm._columnName),$G67))))</f>
        <v/>
      </c>
      <c r="I67" s="21" t="str" cm="1">
        <f t="array" aca="1" ref="I67" ca="1">IF($G67="","",(_xlfn.LET(
_xlpm._columnID,INDEX(Table11[Comment Column],$F67),
INDEX(INDIRECT("'"&amp;INDEX(Table11[Sheet Name],$F67)&amp;"'!"&amp;_xlpm._columnID&amp;":"&amp;_xlpm._columnID),$G67))))</f>
        <v/>
      </c>
    </row>
    <row r="68" spans="1:9" x14ac:dyDescent="0.25">
      <c r="A68" s="76" t="str" cm="1">
        <f t="array" aca="1" ref="A68" ca="1">IF($E68="","",
HYPERLINK("#'"&amp;INDEX(Table11[Sheet Name],$F68)&amp;"'!"&amp;INDEX(Table11[ID Column],$F68)&amp;$G68,
IF(LEN(H68)&gt;255,LEFT(H68,250)&amp;" …",H68)))</f>
        <v/>
      </c>
      <c r="B68" s="76" t="str" cm="1">
        <f t="array" aca="1" ref="B68" ca="1">IF($E68="","",HYPERLINK("#'"&amp;INDEX(Table11[Sheet Name],$F68)&amp;"'!"&amp;INDEX(Table11[Comment Column],$F68)&amp;$G68,
IF(LEN(I68)&gt;255,LEFT(I68,250)&amp;" …",I68)))</f>
        <v/>
      </c>
      <c r="C68" s="21" cm="1">
        <f t="array" aca="1" ref="C68" ca="1">IFERROR(IF(ROW()=ROW($C$19)+1,1,INDEX($C:$C,ROW()-1))+
IF(INDEX($E:$E,ROW()-1)=TRUE,1,0),"")</f>
        <v>2</v>
      </c>
      <c r="D68" s="21">
        <f t="shared" ca="1" si="9"/>
        <v>48</v>
      </c>
      <c r="E68" s="21" t="str" cm="1">
        <f t="array" aca="1" ref="E68" ca="1">IFERROR(INDEX(Table11[Number of Tasks],$F68)=$D68,"")</f>
        <v/>
      </c>
      <c r="F68" s="21" t="str">
        <f ca="1">IFERROR(MATCH($C68,Table11[Task Sheet Shadow ID],0),"")</f>
        <v/>
      </c>
      <c r="G68" s="21" t="str" cm="1">
        <f t="array" aca="1" ref="G68" ca="1">IFERROR(_xlfn.LET(
_xlpm._column,INDEX(Table11[Task ID Column],$F68),
MATCH($D68,INDIRECT("'"&amp;INDEX(Table11[Sheet Name],$F68)&amp;"'!"&amp;_xlpm._column&amp;":"&amp;_xlpm._column),0)),"")</f>
        <v/>
      </c>
      <c r="H68" s="21" t="str" cm="1">
        <f t="array" aca="1" ref="H68" ca="1">IF($G68="","",(_xlfn.LET(
_xlpm._columnID,INDEX(Table11[ID Column],$F68),
_xlpm._columnName,INDEX(Table11[Name Column],$F68),
INDEX(INDIRECT("'"&amp;INDEX(Table11[Sheet Name],$F68)&amp;"'!"&amp;_xlpm._columnID&amp;":"&amp;_xlpm._columnID),$G68)&amp;" "&amp;
INDEX(INDIRECT("'"&amp;INDEX(Table11[Sheet Name],$F68)&amp;"'!"&amp;_xlpm._columnName&amp;":"&amp;_xlpm._columnName),$G68))))</f>
        <v/>
      </c>
      <c r="I68" s="21" t="str" cm="1">
        <f t="array" aca="1" ref="I68" ca="1">IF($G68="","",(_xlfn.LET(
_xlpm._columnID,INDEX(Table11[Comment Column],$F68),
INDEX(INDIRECT("'"&amp;INDEX(Table11[Sheet Name],$F68)&amp;"'!"&amp;_xlpm._columnID&amp;":"&amp;_xlpm._columnID),$G68))))</f>
        <v/>
      </c>
    </row>
  </sheetData>
  <pageMargins left="0.7" right="0.7" top="0.75" bottom="0.75" header="0.3" footer="0.3"/>
  <pageSetup paperSize="9" orientation="portrait"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F5FC8-FB23-4BED-AB88-7D152A8E6C49}">
  <sheetPr>
    <tabColor theme="3"/>
  </sheetPr>
  <dimension ref="A1:Q22"/>
  <sheetViews>
    <sheetView workbookViewId="0">
      <pane xSplit="1" ySplit="3" topLeftCell="B4" activePane="bottomRight" state="frozen"/>
      <selection pane="topRight" activeCell="B1" sqref="B1"/>
      <selection pane="bottomLeft" activeCell="A4" sqref="A4"/>
      <selection pane="bottomRight" activeCell="F4" sqref="F4"/>
    </sheetView>
  </sheetViews>
  <sheetFormatPr defaultColWidth="9.140625" defaultRowHeight="15" x14ac:dyDescent="0.25"/>
  <cols>
    <col min="1" max="1" width="8.7109375" style="45" customWidth="1"/>
    <col min="2" max="2" width="45.7109375" style="4" customWidth="1"/>
    <col min="3" max="3" width="60.7109375" style="48" customWidth="1"/>
    <col min="4" max="4" width="25.7109375" style="51" customWidth="1"/>
    <col min="5" max="5" width="15.7109375" style="8" customWidth="1"/>
    <col min="6" max="6" width="15.7109375" style="2" customWidth="1"/>
    <col min="7" max="7" width="60.7109375" style="2" customWidth="1"/>
    <col min="8" max="8" width="9.140625" style="2"/>
    <col min="9" max="10" width="20.7109375" style="2" hidden="1" customWidth="1"/>
    <col min="11" max="11" width="23.140625" style="2" hidden="1" customWidth="1"/>
    <col min="12" max="15" width="20.7109375" style="2" hidden="1" customWidth="1"/>
    <col min="16" max="16" width="22.140625" style="2" hidden="1" customWidth="1"/>
    <col min="17" max="17" width="17" style="2" hidden="1" customWidth="1"/>
    <col min="18" max="16384" width="9.140625" style="2"/>
  </cols>
  <sheetData>
    <row r="1" spans="1:17" s="116" customFormat="1" x14ac:dyDescent="0.25">
      <c r="A1" s="115" t="str" cm="1">
        <f t="array" aca="1" ref="A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HYPERLINK("#'"&amp;Helper!$G$2&amp;"'!"&amp;CHAR(CODE("A")+COLUMN(_xlpm._columnNameHeader)-1)&amp;_xlpm._entryOffset,Definitions!$AY$4)))(Helper!$G$18,A$2,README!$E:$E,README!$I$36,README!$B$36)</f>
        <v>◈</v>
      </c>
      <c r="B1" s="115" t="str" cm="1">
        <f t="array" aca="1" ref="B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HYPERLINK("#'"&amp;Helper!$G$2&amp;"'!"&amp;CHAR(CODE("A")+COLUMN(_xlpm._columnNameHeader)-1)&amp;_xlpm._entryOffset,Definitions!$AY$4)))(Helper!$G$18,B$2,README!$E:$E,README!$I$36,README!$B$36)</f>
        <v>◈</v>
      </c>
      <c r="C1" s="115" t="str" cm="1">
        <f t="array" aca="1" ref="C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HYPERLINK("#'"&amp;Helper!$G$2&amp;"'!"&amp;CHAR(CODE("A")+COLUMN(_xlpm._columnNameHeader)-1)&amp;_xlpm._entryOffset,Definitions!$AY$4)))(Helper!$G$18,C$2,README!$E:$E,README!$I$36,README!$B$36)</f>
        <v>◈</v>
      </c>
      <c r="D1" s="115" t="str" cm="1">
        <f t="array" aca="1" ref="D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HYPERLINK("#'"&amp;Helper!$G$2&amp;"'!"&amp;CHAR(CODE("A")+COLUMN(_xlpm._columnNameHeader)-1)&amp;_xlpm._entryOffset,Definitions!$AY$4)))(Helper!$G$18,D$2,README!$E:$E,README!$I$36,README!$B$36)</f>
        <v>◈</v>
      </c>
      <c r="E1" s="115" t="str" cm="1">
        <f t="array" aca="1" ref="E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HYPERLINK("#'"&amp;Helper!$G$2&amp;"'!"&amp;CHAR(CODE("A")+COLUMN(_xlpm._columnNameHeader)-1)&amp;_xlpm._entryOffset,Definitions!$AY$4)))(Helper!$G$18,E$2,README!$E:$E,README!$I$36,README!$B$36)</f>
        <v>◈</v>
      </c>
      <c r="F1" s="115" t="str" cm="1">
        <f t="array" aca="1" ref="F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HYPERLINK("#'"&amp;Helper!$G$2&amp;"'!"&amp;CHAR(CODE("A")+COLUMN(_xlpm._columnNameHeader)-1)&amp;_xlpm._entryOffset,Definitions!$AY$4)))(Helper!$G$18,F$2,README!$E:$E,README!$I$36,README!$B$36)</f>
        <v>◈</v>
      </c>
      <c r="G1" s="115" t="str" cm="1">
        <f t="array" aca="1" ref="G1"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HYPERLINK("#'"&amp;Helper!$G$2&amp;"'!"&amp;CHAR(CODE("A")+COLUMN(_xlpm._columnNameHeader)-1)&amp;_xlpm._entryOffset,Definitions!$AY$4)))(Helper!$G$18,G$2,README!$E:$E,README!$I$36,README!$B$36)</f>
        <v>◈</v>
      </c>
    </row>
    <row r="2" spans="1:17" s="40" customFormat="1" ht="15.75" x14ac:dyDescent="0.25">
      <c r="A2" s="42" t="s">
        <v>541</v>
      </c>
      <c r="B2" s="72" t="s">
        <v>542</v>
      </c>
      <c r="C2" s="43" t="s">
        <v>543</v>
      </c>
      <c r="D2" s="43" t="s">
        <v>553</v>
      </c>
      <c r="E2" s="43" t="s">
        <v>549</v>
      </c>
      <c r="F2" s="44" t="s">
        <v>550</v>
      </c>
      <c r="G2" s="44" t="s">
        <v>551</v>
      </c>
      <c r="I2" s="39" t="s">
        <v>539</v>
      </c>
      <c r="J2" s="39" t="s">
        <v>538</v>
      </c>
      <c r="K2" s="39" t="s">
        <v>545</v>
      </c>
      <c r="L2" s="41" t="s">
        <v>540</v>
      </c>
      <c r="M2" s="41" t="s">
        <v>552</v>
      </c>
      <c r="N2" s="41" t="s">
        <v>548</v>
      </c>
      <c r="O2" s="41" t="s">
        <v>236</v>
      </c>
      <c r="P2" s="41" t="s">
        <v>546</v>
      </c>
      <c r="Q2" s="41" t="s">
        <v>547</v>
      </c>
    </row>
    <row r="3" spans="1:17" s="108" customFormat="1" ht="18.75" x14ac:dyDescent="0.3">
      <c r="A3" s="149" t="s">
        <v>1356</v>
      </c>
      <c r="B3" s="149"/>
      <c r="C3" s="149"/>
      <c r="D3" s="149"/>
      <c r="E3" s="149"/>
      <c r="F3" s="149"/>
      <c r="G3" s="149"/>
      <c r="I3" s="31"/>
      <c r="J3" s="31"/>
      <c r="K3" s="31"/>
      <c r="L3" s="119" t="str">
        <f>IF($I3="","",_xlfn.LET(_xlpm._in,$I3,_xlpm._start,FIND("]",_xlpm._in)+1,
"'"&amp;SUBSTITUTE(MID(_xlpm._in,_xlpm._start,FIND("!",_xlpm._in)-_xlpm._start),"'","")&amp;"'!"))</f>
        <v/>
      </c>
      <c r="M3" s="119" t="str">
        <f>IF(K3="","",
_xlfn.LET(_xlpm._in,K3,
_xlpm._start,FIND("$",_xlpm._in)+1,
_xlpm._column,SUBSTITUTE(MID(_xlpm._in,_xlpm._start,FIND("$",SUBSTITUTE(_xlpm._in,"$","§",1))-_xlpm._start),"'",""),
_xlpm._column))</f>
        <v/>
      </c>
      <c r="N3" s="119" t="str">
        <f>IF(I3="","",
_xlfn.LET(_xlpm._in,I3,
_xlpm._start,FIND("$",_xlpm._in)+1,
_xlpm._column,SUBSTITUTE(MID(_xlpm._in,_xlpm._start,FIND("$",SUBSTITUTE(_xlpm._in,"$","§",1))-_xlpm._start),"'",""),
$M3&amp;":"&amp;_xlpm._column))</f>
        <v/>
      </c>
      <c r="O3" s="119" t="str">
        <f>IF(J3="","",
_xlfn.LET(_xlpm._in,J3,
_xlpm._start,FIND("$",_xlpm._in)+1,
_xlpm._column,SUBSTITUTE(MID(_xlpm._in,_xlpm._start,FIND("$",SUBSTITUTE(_xlpm._in,"$","§",1))-_xlpm._start),"'",""),
_xlpm._column&amp;":"&amp;_xlpm._column))</f>
        <v/>
      </c>
      <c r="P3" s="119" t="str">
        <f>IF($L3="","",$M3&amp;":"&amp;$M3)</f>
        <v/>
      </c>
      <c r="Q3" s="119" t="str" cm="1">
        <f t="array" aca="1" ref="Q3" ca="1">GetQualityIssues($L3,$P3,$O3,1,",")</f>
        <v/>
      </c>
    </row>
    <row r="4" spans="1:17" ht="105" x14ac:dyDescent="0.25">
      <c r="A4" s="45">
        <f ca="1">IF($E4="",0,LEN($E4)-LEN(SUBSTITUTE($E4,",",""))+1)</f>
        <v>7</v>
      </c>
      <c r="B4" s="73" t="s">
        <v>1691</v>
      </c>
      <c r="C4" s="48" t="str" cm="1">
        <f t="array" aca="1" ref="C4" ca="1">RemoveDelimiter(GetValues($Q4,INDIRECT($L4&amp;$N4),"",","&amp;CHAR(10),FALSE),","&amp;CHAR(10))</f>
        <v>Target of Evaluation,
Author,
PM Contact,
RD Contact,
CSS,
CSTS,
QuBA Change History</v>
      </c>
      <c r="D4" s="50" t="str">
        <f ca="1">IF($E4="","",
_xlfn.LET(
_xlpm._in,SUBSTITUTE($E4,", ",",")&amp;",",
_xlpm._id,LEFT(_xlpm._in,FIND(",",_xlpm._in)-1),
_xlpm._sheet,$L4,
_xlpm._row,MATCH(_xlpm._id,INDIRECT(_xlpm._sheet&amp;$P4),0),
HYPERLINK("#"&amp;_xlpm._sheet&amp;$M4&amp;_xlpm._row,_xlpm._id)))</f>
        <v>Target of Evaluation</v>
      </c>
      <c r="E4" s="8" t="str" cm="1">
        <f t="array" aca="1" ref="E4" ca="1">SUBSTITUTE(RemoveDelimiter(IF($F4="",$Q4,FilterElementsFromList($Q4,SanitizeInput($F4),FALSE,", ")),","),",",", ")</f>
        <v>Target of Evaluation, Author, PM Contact, RD Contact, CSS, CSTS, QuBA Change History</v>
      </c>
      <c r="F4" s="46"/>
      <c r="G4" s="46"/>
      <c r="I4" s="2" t="str" cm="1">
        <f t="array" aca="1" ref="I4" ca="1">CELL("address",Documentation!I1)</f>
        <v>'[2025-07-30_QuBA_libre.xlsx]Documentation'!$I$1</v>
      </c>
      <c r="J4" s="2" t="str" cm="1">
        <f t="array" aca="1" ref="J4" ca="1">CELL("address",Documentation!J1)</f>
        <v>'[2025-07-30_QuBA_libre.xlsx]Documentation'!$J$1</v>
      </c>
      <c r="K4" s="2" t="str" cm="1">
        <f t="array" aca="1" ref="K4" ca="1">CELL("address",Documentation!B1)</f>
        <v>'[2025-07-30_QuBA_libre.xlsx]Documentation'!$B$1</v>
      </c>
      <c r="L4" s="10" t="str">
        <f t="shared" ref="L4:L16" ca="1" si="0">IF($I4="","",_xlfn.LET(_xlpm._in,$I4,_xlpm._start,FIND("]",_xlpm._in)+1,
"'"&amp;SUBSTITUTE(MID(_xlpm._in,_xlpm._start,FIND("!",_xlpm._in)-_xlpm._start),"'","")&amp;"'!"))</f>
        <v>'Documentation'!</v>
      </c>
      <c r="M4" s="10" t="str">
        <f t="shared" ref="M4:M16" ca="1" si="1">IF(K4="","",
_xlfn.LET(_xlpm._in,K4,
_xlpm._start,FIND("$",_xlpm._in)+1,
_xlpm._column,SUBSTITUTE(MID(_xlpm._in,_xlpm._start,FIND("$",SUBSTITUTE(_xlpm._in,"$","§",1))-_xlpm._start),"'",""),
_xlpm._column))</f>
        <v>B</v>
      </c>
      <c r="N4" s="10" t="str">
        <f t="shared" ref="N4:N16" ca="1" si="2">IF(I4="","",
_xlfn.LET(_xlpm._in,I4,
_xlpm._start,FIND("$",_xlpm._in)+1,
_xlpm._column,SUBSTITUTE(MID(_xlpm._in,_xlpm._start,FIND("$",SUBSTITUTE(_xlpm._in,"$","§",1))-_xlpm._start),"'",""),
$M4&amp;":"&amp;_xlpm._column))</f>
        <v>B:I</v>
      </c>
      <c r="O4" s="10" t="str">
        <f t="shared" ref="O4:O16" ca="1" si="3">IF(J4="","",
_xlfn.LET(_xlpm._in,J4,
_xlpm._start,FIND("$",_xlpm._in)+1,
_xlpm._column,SUBSTITUTE(MID(_xlpm._in,_xlpm._start,FIND("$",SUBSTITUTE(_xlpm._in,"$","§",1))-_xlpm._start),"'",""),
_xlpm._column&amp;":"&amp;_xlpm._column))</f>
        <v>J:J</v>
      </c>
      <c r="P4" s="10" t="str">
        <f t="shared" ref="P4:P16" ca="1" si="4">IF($L4="","",$M4&amp;":"&amp;$M4)</f>
        <v>B:B</v>
      </c>
      <c r="Q4" s="10" t="str" cm="1">
        <f t="array" aca="1" ref="Q4" ca="1">GetQualityIssues($L4,$P4,$O4,1,",")</f>
        <v>Target of Evaluation,Author,PM Contact,RD Contact,CSS,CSTS,QuBA Change History,</v>
      </c>
    </row>
    <row r="5" spans="1:17" ht="409.6" x14ac:dyDescent="0.25">
      <c r="A5" s="45">
        <f t="shared" ref="A5:A22" ca="1" si="5">IF($E5="",0,LEN($E5)-LEN(SUBSTITUTE($E5,",",""))+1)</f>
        <v>39</v>
      </c>
      <c r="B5" s="73" t="s">
        <v>559</v>
      </c>
      <c r="C5" s="48" t="str" cm="1">
        <f t="array" aca="1" ref="C5" ca="1">RemoveDelimiter(GetValues($Q5,INDIRECT($L5&amp;$N5),"",","&amp;CHAR(10),FALSE),","&amp;CHAR(10))</f>
        <v>QI1 Does the product have cameras or other sensors that can potentially recognize people?,
QI2 Does the product process personal data?
Examples: User ID, address labels,
QI3 Does the product contain &lt;OEM name&gt; intellectual property?
Note: Only IP which is part of / accessible by the firmware / software in the product is in scope of this question. Gaining access to optical and mechanical IP are not covered by this question (and the cybersecurity risk analysis),
QI4 Is &lt;OEM name&gt; (typically) obliged to keep the processed / stored data (including third-party IP) confidential by contract or law? (Note that this concerns individual obligations, not the standard product warranty).,
QI5 Does the product contain credentials / cryptographic keys that allow access to sensitive data or to systems in the product's operational environment? (Note: this includes cryptographic data introduced by the customer.),
QI6 Can a loss of availability of the product (or its communication) endanger the health of people?
(Consider how the operational environment reacts to a loss of availability of the product.),
QI7 Is the availability of the product relevant for its operational environment?,
QI8 Can a loss of availability allow an attacker access to assets of the customer (including physical access not detected by the &lt;OEM name&gt; product)? Example: The product is used for access control.,
QI9 Can a loss of availability cause contract-related fines (e.g., based on a service level agreement)?,
QI10 Can a manipulated product (or its communication) endanger the health of people? Also consider cases where the product is used against its intended use or misconfigured!,
QI11 Can a manipulated product disclose personal data to an attacker? Also consider cases where the product is used against its intended use or misconfigured!,
QI12 Can a manipulated product disclose intellectual property to an attacker? Also consider cases where the product is used against its intended use or misconfigured!,
QI13 Can a manipulated product disclose credentials / cryptographic material to an attacker? Also consider cases where the product does not disclose the material but misuses its access to other systems! (E.g., product contains access credentials to store data on a server.),
QI14 Can a manipulated product affect the operation of its operational environment?,
QI15 Can a manipulated product allow an attacker access to assets of the customer or allow the attacker to attack the customer's network?,
QI16 Can a manipulated product cause contract-related / legal fines? (Note that this concerns individual obligations, not the standard product warranty).,
QA1 Does the product have any connectivity?,
QA2 Does the product connect two networks to each other (e.g., as a gateway)?,
QA3 Does the product have a point-to-point connection to another device?,
QA4 Does the product have a direct connection to a local network?,
QA5 Does the product support wireless connections?,
QA6 Does the product have a direct connection to a mobile network / the Internet?,
QA7 Does the product offer services to other entities on the network?,
QA8 Does the product offer a configuration interface?,
QA9 Does the product have an IP stack (or another routable protocol)?,
QA10a Does the product communicate with an external system locally (e.g., a USB stick, an SD card, an RFID tag)?,
QA10b Does the product communicate with an external system on the Internet (e.g., an untrusted 3rd party backend, a &lt;OEM name&gt; cloud service, a &lt;OEM name&gt; server system)?,
QA11a Can the product's software be updated over an interface?,
QA11b Are software updates in the field (regularly or event-based) planned?,
QA12 Does the product have a logical connection to a local network over a gateway?,
QA13 Does the product have a logical connection to a wireless network over a gateway?,
QA14 Is the product typically installed in a physically accessible position?,
QA15 Is the product typically installed in an operational environment with public access?,
QA16 Are the product's physical connections (such as attached bus cables) typically installed in an environment with public access?,
QA17 Does the product have debug / development interfaces (e.g., JTAG, root access over ssh)?,
QA18 Is the product produced in a secure environment?,
QA19 Are the supply chain partners trustworthy and protected against attacks?,
QA20 What is the product's expected lifetime?,
QA21 What is the product's planned support duration?</v>
      </c>
      <c r="D5" s="50" t="str">
        <f t="shared" ref="D5:D22" ca="1" si="6">IF($E5="","",
_xlfn.LET(
_xlpm._in,SUBSTITUTE($E5,", ",",")&amp;",",
_xlpm._id,LEFT(_xlpm._in,FIND(",",_xlpm._in)-1),
_xlpm._sheet,$L5,
_xlpm._row,MATCH(_xlpm._id,INDIRECT(_xlpm._sheet&amp;$P5),0),
HYPERLINK("#"&amp;_xlpm._sheet&amp;$M5&amp;_xlpm._row,_xlpm._id)))</f>
        <v>QI1</v>
      </c>
      <c r="E5" s="8" t="str" cm="1">
        <f t="array" aca="1" ref="E5" ca="1">SUBSTITUTE(RemoveDelimiter(IF($F5="",$Q5,FilterElementsFromList($Q5,SanitizeInput($F5),FALSE,", ")),","),",",", ")</f>
        <v>QI1, QI2, QI3, QI4, QI5, QI6, QI7, QI8, QI9, QI10, QI11, QI12, QI13, QI14, QI15, QI16, QA1, QA2, QA3, QA4, QA5, QA6, QA7, QA8, QA9, QA10a, QA10b, QA11a, QA11b, QA12, QA13, QA14, QA15, QA16, QA17, QA18, QA19, QA20, QA21</v>
      </c>
      <c r="F5" s="46"/>
      <c r="G5" s="46"/>
      <c r="I5" s="2" t="str" cm="1">
        <f t="array" aca="1" ref="I5" ca="1">CELL("address",Questionnaire!N3)</f>
        <v>'[2025-07-30_QuBA_libre.xlsx]Questionnaire'!$N$3</v>
      </c>
      <c r="J5" s="2" t="str" cm="1">
        <f t="array" aca="1" ref="J5" ca="1">CELL("address",Questionnaire!O3)</f>
        <v>'[2025-07-30_QuBA_libre.xlsx]Questionnaire'!$O$3</v>
      </c>
      <c r="K5" s="2" t="str" cm="1">
        <f t="array" aca="1" ref="K5" ca="1">CELL("address",Questionnaire!A3)</f>
        <v>'[2025-07-30_QuBA_libre.xlsx]Questionnaire'!$A$3</v>
      </c>
      <c r="L5" s="10" t="str">
        <f t="shared" ca="1" si="0"/>
        <v>'Questionnaire'!</v>
      </c>
      <c r="M5" s="10" t="str">
        <f t="shared" ca="1" si="1"/>
        <v>A</v>
      </c>
      <c r="N5" s="10" t="str">
        <f t="shared" ca="1" si="2"/>
        <v>A:N</v>
      </c>
      <c r="O5" s="10" t="str">
        <f t="shared" ca="1" si="3"/>
        <v>O:O</v>
      </c>
      <c r="P5" s="10" t="str">
        <f t="shared" ca="1" si="4"/>
        <v>A:A</v>
      </c>
      <c r="Q5" s="10" t="str" cm="1">
        <f t="array" aca="1" ref="Q5" ca="1">GetQualityIssues($L5,$P5,$O5,1,",")</f>
        <v>QI1,QI2,QI3,QI4,QI5,QI6,QI7,QI8,QI9,QI10,QI11,QI12,QI13,QI14,QI15,QI16,QA1,QA2,QA3,QA4,QA5,QA6,QA7,QA8,QA9,QA10a,QA10b,QA11a,QA11b,QA12,QA13,QA14,QA15,QA16,QA17,QA18,QA19,QA20,QA21,</v>
      </c>
    </row>
    <row r="6" spans="1:17" x14ac:dyDescent="0.25">
      <c r="A6" s="45">
        <f t="shared" ca="1" si="5"/>
        <v>0</v>
      </c>
      <c r="B6" s="73" t="s">
        <v>560</v>
      </c>
      <c r="C6" s="48" t="str" cm="1">
        <f t="array" aca="1" ref="C6" ca="1">RemoveDelimiter(GetValues($Q6,INDIRECT($L6&amp;$N6),"",","&amp;CHAR(10),FALSE),","&amp;CHAR(10))</f>
        <v/>
      </c>
      <c r="D6" s="50" t="str">
        <f t="shared" ca="1" si="6"/>
        <v/>
      </c>
      <c r="E6" s="8" t="str" cm="1">
        <f t="array" aca="1" ref="E6" ca="1">SUBSTITUTE(RemoveDelimiter(IF($F6="",$Q6,FilterElementsFromList($Q6,SanitizeInput($F6),FALSE,", ")),","),",",", ")</f>
        <v/>
      </c>
      <c r="F6" s="46"/>
      <c r="G6" s="46"/>
      <c r="I6" s="2" t="str" cm="1">
        <f t="array" aca="1" ref="I6" ca="1">CELL("address",Questionnaire!P3)</f>
        <v>'[2025-07-30_QuBA_libre.xlsx]Questionnaire'!$P$3</v>
      </c>
      <c r="J6" s="2" t="str" cm="1">
        <f t="array" aca="1" ref="J6" ca="1">CELL("address",Questionnaire!Q3)</f>
        <v>'[2025-07-30_QuBA_libre.xlsx]Questionnaire'!$Q$3</v>
      </c>
      <c r="K6" s="2" t="str" cm="1">
        <f t="array" aca="1" ref="K6" ca="1">CELL("address",Questionnaire!A3)</f>
        <v>'[2025-07-30_QuBA_libre.xlsx]Questionnaire'!$A$3</v>
      </c>
      <c r="L6" s="10" t="str">
        <f t="shared" ca="1" si="0"/>
        <v>'Questionnaire'!</v>
      </c>
      <c r="M6" s="10" t="str">
        <f t="shared" ca="1" si="1"/>
        <v>A</v>
      </c>
      <c r="N6" s="10" t="str">
        <f t="shared" ca="1" si="2"/>
        <v>A:P</v>
      </c>
      <c r="O6" s="10" t="str">
        <f t="shared" ca="1" si="3"/>
        <v>Q:Q</v>
      </c>
      <c r="P6" s="10" t="str">
        <f t="shared" ca="1" si="4"/>
        <v>A:A</v>
      </c>
      <c r="Q6" s="10" t="str" cm="1">
        <f t="array" aca="1" ref="Q6" ca="1">GetQualityIssues($L6,$P6,$O6,1,",")</f>
        <v/>
      </c>
    </row>
    <row r="7" spans="1:17" x14ac:dyDescent="0.25">
      <c r="A7" s="45">
        <f t="shared" ca="1" si="5"/>
        <v>0</v>
      </c>
      <c r="B7" s="73" t="s">
        <v>565</v>
      </c>
      <c r="C7" s="48" t="str" cm="1">
        <f t="array" aca="1" ref="C7" ca="1">RemoveDelimiter(GetValues($Q7,INDIRECT($L7&amp;$N7),"",","&amp;CHAR(10),FALSE),","&amp;CHAR(10))</f>
        <v/>
      </c>
      <c r="D7" s="50" t="str">
        <f t="shared" ca="1" si="6"/>
        <v/>
      </c>
      <c r="E7" s="8" t="str" cm="1">
        <f t="array" aca="1" ref="E7" ca="1">SUBSTITUTE(RemoveDelimiter(IF($F7="",$Q7,FilterElementsFromList($Q7,SanitizeInput($F7),FALSE,", ")),","),",",", ")</f>
        <v/>
      </c>
      <c r="F7" s="46"/>
      <c r="G7" s="46"/>
      <c r="I7" s="2" t="str" cm="1">
        <f t="array" aca="1" ref="I7" ca="1">CELL("address",Questionnaire!R$3)</f>
        <v>'[2025-07-30_QuBA_libre.xlsx]Questionnaire'!$R$3</v>
      </c>
      <c r="J7" s="2" t="str" cm="1">
        <f t="array" aca="1" ref="J7" ca="1">CELL("address",Questionnaire!S3)</f>
        <v>'[2025-07-30_QuBA_libre.xlsx]Questionnaire'!$S$3</v>
      </c>
      <c r="K7" s="2" t="str" cm="1">
        <f t="array" aca="1" ref="K7" ca="1">CELL("address",Questionnaire!A3)</f>
        <v>'[2025-07-30_QuBA_libre.xlsx]Questionnaire'!$A$3</v>
      </c>
      <c r="L7" s="10" t="str">
        <f t="shared" ca="1" si="0"/>
        <v>'Questionnaire'!</v>
      </c>
      <c r="M7" s="10" t="str">
        <f t="shared" ca="1" si="1"/>
        <v>A</v>
      </c>
      <c r="N7" s="10" t="str">
        <f t="shared" ca="1" si="2"/>
        <v>A:R</v>
      </c>
      <c r="O7" s="10" t="str">
        <f t="shared" ca="1" si="3"/>
        <v>S:S</v>
      </c>
      <c r="P7" s="10" t="str">
        <f t="shared" ca="1" si="4"/>
        <v>A:A</v>
      </c>
      <c r="Q7" s="10" t="str" cm="1">
        <f t="array" aca="1" ref="Q7" ca="1">GetQualityIssues($L7,$P7,$O7,1,",")</f>
        <v/>
      </c>
    </row>
    <row r="8" spans="1:17" x14ac:dyDescent="0.25">
      <c r="A8" s="45">
        <f t="shared" ca="1" si="5"/>
        <v>0</v>
      </c>
      <c r="B8" s="73" t="s">
        <v>572</v>
      </c>
      <c r="C8" s="48" t="str" cm="1">
        <f t="array" aca="1" ref="C8" ca="1">RemoveDelimiter(GetValues($Q8,INDIRECT($L8&amp;$N8),"",","&amp;CHAR(10),FALSE),","&amp;CHAR(10))</f>
        <v/>
      </c>
      <c r="D8" s="50" t="str">
        <f t="shared" ca="1" si="6"/>
        <v/>
      </c>
      <c r="E8" s="8" t="str" cm="1">
        <f t="array" aca="1" ref="E8" ca="1">SUBSTITUTE(RemoveDelimiter(IF($F8="",$Q8,FilterElementsFromList($Q8,SanitizeInput($F8),FALSE,", ")),","),",",", ")</f>
        <v/>
      </c>
      <c r="F8" s="46"/>
      <c r="G8" s="46"/>
      <c r="I8" s="2" t="str" cm="1">
        <f t="array" aca="1" ref="I8" ca="1">CELL("address",Questionnaire!T$3)</f>
        <v>'[2025-07-30_QuBA_libre.xlsx]Questionnaire'!$T$3</v>
      </c>
      <c r="J8" s="2" t="str" cm="1">
        <f t="array" aca="1" ref="J8" ca="1">CELL("address",Questionnaire!U$3)</f>
        <v>'[2025-07-30_QuBA_libre.xlsx]Questionnaire'!$U$3</v>
      </c>
      <c r="K8" s="2" t="str" cm="1">
        <f t="array" aca="1" ref="K8" ca="1">CELL("address",Questionnaire!A$3)</f>
        <v>'[2025-07-30_QuBA_libre.xlsx]Questionnaire'!$A$3</v>
      </c>
      <c r="L8" s="10" t="str">
        <f t="shared" ref="L8:L14" ca="1" si="7">IF($I8="","",_xlfn.LET(_xlpm._in,$I8,_xlpm._start,FIND("]",_xlpm._in)+1,
"'"&amp;SUBSTITUTE(MID(_xlpm._in,_xlpm._start,FIND("!",_xlpm._in)-_xlpm._start),"'","")&amp;"'!"))</f>
        <v>'Questionnaire'!</v>
      </c>
      <c r="M8" s="10" t="str">
        <f t="shared" ref="M8:M14" ca="1" si="8">IF(K8="","",
_xlfn.LET(_xlpm._in,K8,
_xlpm._start,FIND("$",_xlpm._in)+1,
_xlpm._column,SUBSTITUTE(MID(_xlpm._in,_xlpm._start,FIND("$",SUBSTITUTE(_xlpm._in,"$","§",1))-_xlpm._start),"'",""),
_xlpm._column))</f>
        <v>A</v>
      </c>
      <c r="N8" s="10" t="str">
        <f t="shared" ref="N8:N14" ca="1" si="9">IF(I8="","",
_xlfn.LET(_xlpm._in,I8,
_xlpm._start,FIND("$",_xlpm._in)+1,
_xlpm._column,SUBSTITUTE(MID(_xlpm._in,_xlpm._start,FIND("$",SUBSTITUTE(_xlpm._in,"$","§",1))-_xlpm._start),"'",""),
$M8&amp;":"&amp;_xlpm._column))</f>
        <v>A:T</v>
      </c>
      <c r="O8" s="10" t="str">
        <f t="shared" ref="O8:O14" ca="1" si="10">IF(J8="","",
_xlfn.LET(_xlpm._in,J8,
_xlpm._start,FIND("$",_xlpm._in)+1,
_xlpm._column,SUBSTITUTE(MID(_xlpm._in,_xlpm._start,FIND("$",SUBSTITUTE(_xlpm._in,"$","§",1))-_xlpm._start),"'",""),
_xlpm._column&amp;":"&amp;_xlpm._column))</f>
        <v>U:U</v>
      </c>
      <c r="P8" s="10" t="str">
        <f t="shared" ref="P8:P14" ca="1" si="11">IF($L8="","",$M8&amp;":"&amp;$M8)</f>
        <v>A:A</v>
      </c>
      <c r="Q8" s="10" t="str" cm="1">
        <f t="array" aca="1" ref="Q8" ca="1">GetQualityIssues($L8,$P8,$O8,1,",")</f>
        <v/>
      </c>
    </row>
    <row r="9" spans="1:17" x14ac:dyDescent="0.25">
      <c r="A9" s="45">
        <f t="shared" ca="1" si="5"/>
        <v>0</v>
      </c>
      <c r="B9" s="73" t="s">
        <v>616</v>
      </c>
      <c r="C9" s="48" t="str" cm="1">
        <f t="array" aca="1" ref="C9" ca="1">RemoveDelimiter(GetValues($Q9,INDIRECT($L9&amp;$N9),"",","&amp;CHAR(10),FALSE),","&amp;CHAR(10))</f>
        <v/>
      </c>
      <c r="D9" s="50" t="str">
        <f t="shared" ca="1" si="6"/>
        <v/>
      </c>
      <c r="E9" s="8" t="str" cm="1">
        <f t="array" aca="1" ref="E9" ca="1">SUBSTITUTE(RemoveDelimiter(IF($F9="",$Q9,FilterElementsFromList($Q9,SanitizeInput($F9),FALSE,", ")),","),",",", ")</f>
        <v/>
      </c>
      <c r="F9" s="46"/>
      <c r="G9" s="46"/>
      <c r="I9" s="2" t="str" cm="1">
        <f t="array" aca="1" ref="I9" ca="1">CELL("address",Risks!$CR$2)</f>
        <v>'[2025-07-30_QuBA_libre.xlsx]Risks'!$CR$2</v>
      </c>
      <c r="J9" s="2" t="str" cm="1">
        <f t="array" aca="1" ref="J9" ca="1">CELL("address",Risks!$CS$2)</f>
        <v>'[2025-07-30_QuBA_libre.xlsx]Risks'!$CS$2</v>
      </c>
      <c r="K9" s="2" t="str" cm="1">
        <f t="array" aca="1" ref="K9" ca="1">CELL("address",Risks!$A$2)</f>
        <v>'[2025-07-30_QuBA_libre.xlsx]Risks'!$A$2</v>
      </c>
      <c r="L9" s="10" t="str">
        <f t="shared" ca="1" si="7"/>
        <v>'Risks'!</v>
      </c>
      <c r="M9" s="10" t="str">
        <f t="shared" ca="1" si="8"/>
        <v>A</v>
      </c>
      <c r="N9" s="10" t="str">
        <f t="shared" ca="1" si="9"/>
        <v>A:CR</v>
      </c>
      <c r="O9" s="10" t="str">
        <f t="shared" ca="1" si="10"/>
        <v>CS:CS</v>
      </c>
      <c r="P9" s="10" t="str">
        <f t="shared" ca="1" si="11"/>
        <v>A:A</v>
      </c>
      <c r="Q9" s="10" t="str" cm="1">
        <f t="array" aca="1" ref="Q9" ca="1">GetQualityIssues($L9,$P9,$O9,1,",")</f>
        <v/>
      </c>
    </row>
    <row r="10" spans="1:17" ht="30" x14ac:dyDescent="0.25">
      <c r="A10" s="45">
        <f t="shared" ca="1" si="5"/>
        <v>0</v>
      </c>
      <c r="B10" s="73" t="s">
        <v>1131</v>
      </c>
      <c r="C10" s="48" t="str" cm="1">
        <f t="array" aca="1" ref="C10" ca="1">RemoveDelimiter(GetValues($Q10,INDIRECT($L10&amp;$N10),"",","&amp;CHAR(10),FALSE),","&amp;CHAR(10))</f>
        <v/>
      </c>
      <c r="D10" s="50" t="str">
        <f t="shared" ca="1" si="6"/>
        <v/>
      </c>
      <c r="E10" s="8" t="str" cm="1">
        <f t="array" aca="1" ref="E10" ca="1">SUBSTITUTE(RemoveDelimiter(IF($F10="",$Q10,FilterElementsFromList($Q10,SanitizeInput($F10),FALSE,", ")),","),",",", ")</f>
        <v/>
      </c>
      <c r="F10" s="46"/>
      <c r="G10" s="46"/>
      <c r="I10" s="2" t="str" cm="1">
        <f t="array" aca="1" ref="I10" ca="1">CELL("address",Mitigation!AE$2)</f>
        <v>'[2025-07-30_QuBA_libre.xlsx]Mitigation'!$AE$2</v>
      </c>
      <c r="J10" s="2" t="str" cm="1">
        <f t="array" aca="1" ref="J10" ca="1">CELL("address",Mitigation!AF$2)</f>
        <v>'[2025-07-30_QuBA_libre.xlsx]Mitigation'!$AF$2</v>
      </c>
      <c r="K10" s="2" t="str" cm="1">
        <f t="array" aca="1" ref="K10" ca="1">CELL("address",Mitigation!A$2)</f>
        <v>'[2025-07-30_QuBA_libre.xlsx]Mitigation'!$A$2</v>
      </c>
      <c r="L10" s="10" t="str">
        <f t="shared" ca="1" si="7"/>
        <v>'Mitigation'!</v>
      </c>
      <c r="M10" s="10" t="str">
        <f t="shared" ca="1" si="8"/>
        <v>A</v>
      </c>
      <c r="N10" s="10" t="str">
        <f t="shared" ca="1" si="9"/>
        <v>A:AE</v>
      </c>
      <c r="O10" s="10" t="str">
        <f t="shared" ca="1" si="10"/>
        <v>AF:AF</v>
      </c>
      <c r="P10" s="10" t="str">
        <f t="shared" ca="1" si="11"/>
        <v>A:A</v>
      </c>
      <c r="Q10" s="10" t="str" cm="1">
        <f t="array" aca="1" ref="Q10" ca="1">GetQualityIssues($L10,$P10,$O10,1,",")</f>
        <v/>
      </c>
    </row>
    <row r="11" spans="1:17" x14ac:dyDescent="0.25">
      <c r="A11" s="45">
        <f t="shared" ca="1" si="5"/>
        <v>0</v>
      </c>
      <c r="B11" s="73" t="s">
        <v>1362</v>
      </c>
      <c r="C11" s="48" t="str" cm="1">
        <f t="array" aca="1" ref="C11" ca="1">RemoveDelimiter(GetValues($Q11,INDIRECT($L11&amp;$N11),"",","&amp;CHAR(10),FALSE),","&amp;CHAR(10))</f>
        <v/>
      </c>
      <c r="D11" s="50" t="str">
        <f t="shared" ca="1" si="6"/>
        <v/>
      </c>
      <c r="E11" s="8" t="str" cm="1">
        <f t="array" aca="1" ref="E11" ca="1">SUBSTITUTE(RemoveDelimiter(IF($F11="",$Q11,FilterElementsFromList($Q11,SanitizeInput($F11),FALSE,", ")),","),",",", ")</f>
        <v/>
      </c>
      <c r="F11" s="46"/>
      <c r="G11" s="46"/>
      <c r="I11" s="2" t="str" cm="1">
        <f t="array" aca="1" ref="I11" ca="1">CELL("address",Mitigation!AK$2)</f>
        <v>'[2025-07-30_QuBA_libre.xlsx]Mitigation'!$AK$2</v>
      </c>
      <c r="J11" s="2" t="str" cm="1">
        <f t="array" aca="1" ref="J11" ca="1">CELL("address",Mitigation!AL$2)</f>
        <v>'[2025-07-30_QuBA_libre.xlsx]Mitigation'!$AL$2</v>
      </c>
      <c r="K11" s="2" t="str" cm="1">
        <f t="array" aca="1" ref="K11" ca="1">CELL("address",Mitigation!A$2)</f>
        <v>'[2025-07-30_QuBA_libre.xlsx]Mitigation'!$A$2</v>
      </c>
      <c r="L11" s="10" t="str">
        <f ca="1">IF($I11="","",_xlfn.LET(_xlpm._in,$I11,_xlpm._start,FIND("]",_xlpm._in)+1,
"'"&amp;SUBSTITUTE(MID(_xlpm._in,_xlpm._start,FIND("!",_xlpm._in)-_xlpm._start),"'","")&amp;"'!"))</f>
        <v>'Mitigation'!</v>
      </c>
      <c r="M11" s="10" t="str">
        <f ca="1">IF(K11="","",
_xlfn.LET(_xlpm._in,K11,
_xlpm._start,FIND("$",_xlpm._in)+1,
_xlpm._column,SUBSTITUTE(MID(_xlpm._in,_xlpm._start,FIND("$",SUBSTITUTE(_xlpm._in,"$","§",1))-_xlpm._start),"'",""),
_xlpm._column))</f>
        <v>A</v>
      </c>
      <c r="N11" s="10" t="str">
        <f ca="1">IF(I11="","",
_xlfn.LET(_xlpm._in,I11,
_xlpm._start,FIND("$",_xlpm._in)+1,
_xlpm._column,SUBSTITUTE(MID(_xlpm._in,_xlpm._start,FIND("$",SUBSTITUTE(_xlpm._in,"$","§",1))-_xlpm._start),"'",""),
$M11&amp;":"&amp;_xlpm._column))</f>
        <v>A:AK</v>
      </c>
      <c r="O11" s="10" t="str">
        <f ca="1">IF(J11="","",
_xlfn.LET(_xlpm._in,J11,
_xlpm._start,FIND("$",_xlpm._in)+1,
_xlpm._column,SUBSTITUTE(MID(_xlpm._in,_xlpm._start,FIND("$",SUBSTITUTE(_xlpm._in,"$","§",1))-_xlpm._start),"'",""),
_xlpm._column&amp;":"&amp;_xlpm._column))</f>
        <v>AL:AL</v>
      </c>
      <c r="P11" s="10" t="str">
        <f ca="1">IF($L11="","",$M11&amp;":"&amp;$M11)</f>
        <v>A:A</v>
      </c>
      <c r="Q11" s="10" t="str" cm="1">
        <f t="array" aca="1" ref="Q11" ca="1">GetQualityIssues($L11,$P11,$O11,1,",")</f>
        <v/>
      </c>
    </row>
    <row r="12" spans="1:17" x14ac:dyDescent="0.25">
      <c r="A12" s="45">
        <f t="shared" ca="1" si="5"/>
        <v>0</v>
      </c>
      <c r="B12" s="73" t="s">
        <v>723</v>
      </c>
      <c r="C12" s="48" t="str" cm="1">
        <f t="array" aca="1" ref="C12" ca="1">RemoveDelimiter(GetValues($Q12,INDIRECT($L12&amp;$N12),"",","&amp;CHAR(10),FALSE),","&amp;CHAR(10))</f>
        <v/>
      </c>
      <c r="D12" s="50" t="str">
        <f ca="1">IF($E12="","",
_xlfn.LET(
_xlpm._id,$C12,
_xlpm._sheet,Helper!$G$14,
_xlpm._column,CHAR(CODE("A")-1+COLUMN('Risk Treatment'!$D$2)),
_xlpm._row,ROW('Risk Treatment'!$D$2),
HYPERLINK("#'"&amp;_xlpm._sheet&amp;"'!"&amp;_xlpm._column&amp;_xlpm._row,_xlpm._id)))</f>
        <v/>
      </c>
      <c r="E12" s="8" t="str" cm="1">
        <f t="array" aca="1" ref="E12" ca="1">SUBSTITUTE(RemoveDelimiter(IF($F12="",$Q12,FilterElementsFromList($Q12,SanitizeInput($F12),FALSE,", ")),","),",",", ")</f>
        <v/>
      </c>
      <c r="F12" s="46"/>
      <c r="G12" s="46"/>
      <c r="I12" s="2" t="str" cm="1">
        <f t="array" aca="1" ref="I12" ca="1">CELL("address",Risks!$CT$2)</f>
        <v>'[2025-07-30_QuBA_libre.xlsx]Risks'!$CT$2</v>
      </c>
      <c r="J12" s="2" t="str" cm="1">
        <f t="array" aca="1" ref="J12" ca="1">CELL("address",Risks!$CU$2)</f>
        <v>'[2025-07-30_QuBA_libre.xlsx]Risks'!$CU$2</v>
      </c>
      <c r="K12" s="2" t="str" cm="1">
        <f t="array" aca="1" ref="K12" ca="1">CELL("address",Risks!$A$2)</f>
        <v>'[2025-07-30_QuBA_libre.xlsx]Risks'!$A$2</v>
      </c>
      <c r="L12" s="10" t="str">
        <f t="shared" ca="1" si="7"/>
        <v>'Risks'!</v>
      </c>
      <c r="M12" s="10" t="str">
        <f t="shared" ca="1" si="8"/>
        <v>A</v>
      </c>
      <c r="N12" s="10" t="str">
        <f t="shared" ca="1" si="9"/>
        <v>A:CT</v>
      </c>
      <c r="O12" s="10" t="str">
        <f t="shared" ca="1" si="10"/>
        <v>CU:CU</v>
      </c>
      <c r="P12" s="10" t="str">
        <f t="shared" ca="1" si="11"/>
        <v>A:A</v>
      </c>
      <c r="Q12" s="10" t="str" cm="1">
        <f t="array" aca="1" ref="Q12" ca="1">GetQualityIssues($L12,$P12,$O12,1,",")</f>
        <v/>
      </c>
    </row>
    <row r="13" spans="1:17" x14ac:dyDescent="0.25">
      <c r="A13" s="45">
        <f t="shared" ca="1" si="5"/>
        <v>0</v>
      </c>
      <c r="B13" s="73" t="s">
        <v>1298</v>
      </c>
      <c r="C13" s="48" t="str" cm="1">
        <f t="array" aca="1" ref="C13" ca="1">RemoveDelimiter(GetValues($Q13,INDIRECT($L13&amp;$N13),"",","&amp;CHAR(10),FALSE),","&amp;CHAR(10))</f>
        <v/>
      </c>
      <c r="D13" s="50" t="str">
        <f t="shared" ca="1" si="6"/>
        <v/>
      </c>
      <c r="E13" s="8" t="str" cm="1">
        <f t="array" aca="1" ref="E13" ca="1">SUBSTITUTE(RemoveDelimiter(IF($F13="",$Q13,FilterElementsFromList($Q13,SanitizeInput($F13),FALSE,", ")),","),",",", ")</f>
        <v/>
      </c>
      <c r="F13" s="46"/>
      <c r="G13" s="46"/>
      <c r="I13" s="2" t="str" cm="1">
        <f t="array" aca="1" ref="I13" ca="1">CELL("address",'Risk Treatment'!$AR$4)</f>
        <v>'[2025-07-30_QuBA_libre.xlsx]Risk Treatment'!$AR$4</v>
      </c>
      <c r="J13" s="2" t="str" cm="1">
        <f t="array" aca="1" ref="J13" ca="1">CELL("address",'Risk Treatment'!$AS$4)</f>
        <v>'[2025-07-30_QuBA_libre.xlsx]Risk Treatment'!$AS$4</v>
      </c>
      <c r="K13" s="2" t="str" cm="1">
        <f t="array" aca="1" ref="K13" ca="1">CELL("address",'Risk Treatment'!$C$4)</f>
        <v>'[2025-07-30_QuBA_libre.xlsx]Risk Treatment'!$C$4</v>
      </c>
      <c r="L13" s="10" t="str">
        <f t="shared" ca="1" si="7"/>
        <v>'Risk Treatment'!</v>
      </c>
      <c r="M13" s="10" t="str">
        <f t="shared" ca="1" si="8"/>
        <v>C</v>
      </c>
      <c r="N13" s="10" t="str">
        <f t="shared" ca="1" si="9"/>
        <v>C:AR</v>
      </c>
      <c r="O13" s="10" t="str">
        <f t="shared" ca="1" si="10"/>
        <v>AS:AS</v>
      </c>
      <c r="P13" s="10" t="str">
        <f t="shared" ca="1" si="11"/>
        <v>C:C</v>
      </c>
      <c r="Q13" s="10" t="str" cm="1">
        <f t="array" aca="1" ref="Q13" ca="1">GetQualityIssues($L13,$P13,$O13,1,",")</f>
        <v/>
      </c>
    </row>
    <row r="14" spans="1:17" x14ac:dyDescent="0.25">
      <c r="A14" s="45">
        <f t="shared" ca="1" si="5"/>
        <v>0</v>
      </c>
      <c r="B14" s="73" t="s">
        <v>1336</v>
      </c>
      <c r="C14" s="48" t="str" cm="1">
        <f t="array" aca="1" ref="C14" ca="1">RemoveDelimiter(GetValues($Q14,INDIRECT($L14&amp;$N14),"",","&amp;CHAR(10),FALSE),","&amp;CHAR(10))</f>
        <v/>
      </c>
      <c r="D14" s="50" t="str">
        <f ca="1">IF($E14="","",
_xlfn.LET(
_xlpm._in,SUBSTITUTE($E14,", ",",")&amp;",",
_xlpm._id,LEFT(_xlpm._in,FIND(",",_xlpm._in)-1),
_xlpm._sheet,$L14,
_xlpm._row,MATCH(1,INDIRECT(_xlpm._sheet&amp;$O14),0),
HYPERLINK("#"&amp;_xlpm._sheet&amp;$M14&amp;_xlpm._row,_xlpm._id)))</f>
        <v/>
      </c>
      <c r="E14" s="8" t="str" cm="1">
        <f t="array" aca="1" ref="E14" ca="1">SUBSTITUTE(RemoveDelimiter(IF($F14="",$Q14,FilterElementsFromList($Q14,SanitizeInput($F14),FALSE,", ")),","),",",", ")</f>
        <v/>
      </c>
      <c r="F14" s="46"/>
      <c r="G14" s="46"/>
      <c r="I14" s="2" t="str" cm="1">
        <f t="array" aca="1" ref="I14" ca="1">CELL("address",'Risk Treatment'!$AU$4)</f>
        <v>'[2025-07-30_QuBA_libre.xlsx]Risk Treatment'!$AU$4</v>
      </c>
      <c r="J14" s="2" t="str" cm="1">
        <f t="array" aca="1" ref="J14" ca="1">CELL("address",'Risk Treatment'!$AV$4)</f>
        <v>'[2025-07-30_QuBA_libre.xlsx]Risk Treatment'!$AV$4</v>
      </c>
      <c r="K14" s="2" t="str" cm="1">
        <f t="array" aca="1" ref="K14" ca="1">CELL("address",'Risk Treatment'!$C$4)</f>
        <v>'[2025-07-30_QuBA_libre.xlsx]Risk Treatment'!$C$4</v>
      </c>
      <c r="L14" s="10" t="str">
        <f t="shared" ca="1" si="7"/>
        <v>'Risk Treatment'!</v>
      </c>
      <c r="M14" s="10" t="str">
        <f t="shared" ca="1" si="8"/>
        <v>C</v>
      </c>
      <c r="N14" s="10" t="str">
        <f t="shared" ca="1" si="9"/>
        <v>C:AU</v>
      </c>
      <c r="O14" s="10" t="str">
        <f t="shared" ca="1" si="10"/>
        <v>AV:AV</v>
      </c>
      <c r="P14" s="10" t="str">
        <f t="shared" ca="1" si="11"/>
        <v>C:C</v>
      </c>
      <c r="Q14" s="10" t="str" cm="1">
        <f t="array" aca="1" ref="Q14" ca="1">GetQualityIssues($L14,$P14,$O14,1,",")</f>
        <v/>
      </c>
    </row>
    <row r="15" spans="1:17" x14ac:dyDescent="0.25">
      <c r="A15" s="45">
        <f t="shared" ca="1" si="5"/>
        <v>0</v>
      </c>
      <c r="B15" s="73" t="s">
        <v>569</v>
      </c>
      <c r="C15" s="48" t="str" cm="1">
        <f t="array" aca="1" ref="C15" ca="1">RemoveDelimiter(GetValues($Q15,INDIRECT($L15&amp;$N15),"",","&amp;CHAR(10),FALSE),","&amp;CHAR(10))</f>
        <v/>
      </c>
      <c r="D15" s="50" t="str">
        <f t="shared" ca="1" si="6"/>
        <v/>
      </c>
      <c r="E15" s="8" t="str" cm="1">
        <f t="array" aca="1" ref="E15" ca="1">SUBSTITUTE(RemoveDelimiter(IF($F15="",$Q15,FilterElementsFromList($Q15,SanitizeInput($F15),FALSE,", ")),","),",",", ")</f>
        <v/>
      </c>
      <c r="F15" s="46"/>
      <c r="G15" s="46"/>
      <c r="I15" s="2" t="str" cm="1">
        <f t="array" aca="1" ref="I15" ca="1">CELL("address",'Risk Treatment'!AD$4)</f>
        <v>'[2025-07-30_QuBA_libre.xlsx]Risk Treatment'!$AD$4</v>
      </c>
      <c r="J15" s="2" t="str" cm="1">
        <f t="array" aca="1" ref="J15" ca="1">CELL("address",'Risk Treatment'!AE$4)</f>
        <v>'[2025-07-30_QuBA_libre.xlsx]Risk Treatment'!$AE$4</v>
      </c>
      <c r="K15" s="2" t="str" cm="1">
        <f t="array" aca="1" ref="K15" ca="1">CELL("address",'Risk Treatment'!$C$4)</f>
        <v>'[2025-07-30_QuBA_libre.xlsx]Risk Treatment'!$C$4</v>
      </c>
      <c r="L15" s="10" t="str">
        <f t="shared" ca="1" si="0"/>
        <v>'Risk Treatment'!</v>
      </c>
      <c r="M15" s="10" t="str">
        <f t="shared" ca="1" si="1"/>
        <v>C</v>
      </c>
      <c r="N15" s="10" t="str">
        <f t="shared" ca="1" si="2"/>
        <v>C:AD</v>
      </c>
      <c r="O15" s="10" t="str">
        <f t="shared" ca="1" si="3"/>
        <v>AE:AE</v>
      </c>
      <c r="P15" s="10" t="str">
        <f t="shared" ca="1" si="4"/>
        <v>C:C</v>
      </c>
      <c r="Q15" s="10" t="str" cm="1">
        <f t="array" aca="1" ref="Q15" ca="1">GetQualityIssues($L15,$P15,$O15,1,",")</f>
        <v/>
      </c>
    </row>
    <row r="16" spans="1:17" x14ac:dyDescent="0.25">
      <c r="A16" s="45">
        <f t="shared" ca="1" si="5"/>
        <v>0</v>
      </c>
      <c r="B16" s="4" t="s">
        <v>544</v>
      </c>
      <c r="C16" s="48" t="str" cm="1">
        <f t="array" aca="1" ref="C16" ca="1">RemoveDelimiter(GetValues($Q16,INDIRECT($L16&amp;$N16),"",","&amp;CHAR(10),FALSE),","&amp;CHAR(10))</f>
        <v/>
      </c>
      <c r="D16" s="50" t="str">
        <f t="shared" ca="1" si="6"/>
        <v/>
      </c>
      <c r="E16" s="8" t="str" cm="1">
        <f t="array" aca="1" ref="E16" ca="1">SUBSTITUTE(RemoveDelimiter(IF($F16="",$Q16,FilterElementsFromList($Q16,SanitizeInput($F16),FALSE,", ")),","),",",", ")</f>
        <v/>
      </c>
      <c r="I16" s="2" t="str" cm="1">
        <f t="array" aca="1" ref="I16" ca="1">CELL("address",'Risk Treatment'!$AB$4)</f>
        <v>'[2025-07-30_QuBA_libre.xlsx]Risk Treatment'!$AB$4</v>
      </c>
      <c r="J16" s="2" t="str" cm="1">
        <f t="array" aca="1" ref="J16" ca="1">CELL("address",'Risk Treatment'!$AC$4)</f>
        <v>'[2025-07-30_QuBA_libre.xlsx]Risk Treatment'!$AC$4</v>
      </c>
      <c r="K16" s="2" t="str" cm="1">
        <f t="array" aca="1" ref="K16" ca="1">CELL("address",'Risk Treatment'!$C$4)</f>
        <v>'[2025-07-30_QuBA_libre.xlsx]Risk Treatment'!$C$4</v>
      </c>
      <c r="L16" s="10" t="str">
        <f t="shared" ca="1" si="0"/>
        <v>'Risk Treatment'!</v>
      </c>
      <c r="M16" s="10" t="str">
        <f t="shared" ca="1" si="1"/>
        <v>C</v>
      </c>
      <c r="N16" s="10" t="str">
        <f t="shared" ca="1" si="2"/>
        <v>C:AB</v>
      </c>
      <c r="O16" s="10" t="str">
        <f t="shared" ca="1" si="3"/>
        <v>AC:AC</v>
      </c>
      <c r="P16" s="10" t="str">
        <f t="shared" ca="1" si="4"/>
        <v>C:C</v>
      </c>
      <c r="Q16" s="10" t="str" cm="1">
        <f t="array" aca="1" ref="Q16" ca="1">GetQualityIssues($L16,$P16,$O16,1,",")</f>
        <v/>
      </c>
    </row>
    <row r="17" spans="1:17" ht="30" x14ac:dyDescent="0.25">
      <c r="A17" s="45">
        <f t="shared" ca="1" si="5"/>
        <v>0</v>
      </c>
      <c r="B17" s="4" t="s">
        <v>1477</v>
      </c>
      <c r="C17" s="48" t="str" cm="1">
        <f t="array" aca="1" ref="C17" ca="1">RemoveDelimiter(GetValues($Q17,INDIRECT($L17&amp;$N17),"",","&amp;CHAR(10),FALSE),","&amp;CHAR(10))</f>
        <v/>
      </c>
      <c r="D17" s="50" t="str">
        <f t="shared" ca="1" si="6"/>
        <v/>
      </c>
      <c r="E17" s="8" t="str" cm="1">
        <f t="array" aca="1" ref="E17" ca="1">SUBSTITUTE(RemoveDelimiter(IF($F17="",$Q17,FilterElementsFromList($Q17,SanitizeInput($F17),FALSE,", ")),","),",",", ")</f>
        <v/>
      </c>
      <c r="I17" s="2" t="str" cm="1">
        <f t="array" aca="1" ref="I17" ca="1">CELL("address",'Result Summary'!$AI$17)</f>
        <v>'[2025-07-30_QuBA_libre.xlsx]Result Summary'!$AI$17</v>
      </c>
      <c r="J17" s="2" t="str" cm="1">
        <f t="array" aca="1" ref="J17" ca="1">CELL("address",'Result Summary'!$AJ$17)</f>
        <v>'[2025-07-30_QuBA_libre.xlsx]Result Summary'!$AJ$17</v>
      </c>
      <c r="K17" s="2" t="str" cm="1">
        <f t="array" aca="1" ref="K17" ca="1">CELL("address",'Result Summary'!$A$17)</f>
        <v>'[2025-07-30_QuBA_libre.xlsx]Result Summary'!$A$17</v>
      </c>
      <c r="L17" s="10" t="str">
        <f ca="1">IF($I17="","",_xlfn.LET(_xlpm._in,$I17,_xlpm._start,FIND("]",_xlpm._in)+1,
"'"&amp;SUBSTITUTE(MID(_xlpm._in,_xlpm._start,FIND("!",_xlpm._in)-_xlpm._start),"'","")&amp;"'!"))</f>
        <v>'Result Summary'!</v>
      </c>
      <c r="M17" s="10" t="str">
        <f ca="1">IF(K17="","",
_xlfn.LET(_xlpm._in,K17,
_xlpm._start,FIND("$",_xlpm._in)+1,
_xlpm._column,SUBSTITUTE(MID(_xlpm._in,_xlpm._start,FIND("$",SUBSTITUTE(_xlpm._in,"$","§",1))-_xlpm._start),"'",""),
_xlpm._column))</f>
        <v>A</v>
      </c>
      <c r="N17" s="10" t="str">
        <f ca="1">IF(I17="","",
_xlfn.LET(_xlpm._in,I17,
_xlpm._start,FIND("$",_xlpm._in)+1,
_xlpm._column,SUBSTITUTE(MID(_xlpm._in,_xlpm._start,FIND("$",SUBSTITUTE(_xlpm._in,"$","§",1))-_xlpm._start),"'",""),
$M17&amp;":"&amp;_xlpm._column))</f>
        <v>A:AI</v>
      </c>
      <c r="O17" s="10" t="str">
        <f ca="1">IF(J17="","",
_xlfn.LET(_xlpm._in,J17,
_xlpm._start,FIND("$",_xlpm._in)+1,
_xlpm._column,SUBSTITUTE(MID(_xlpm._in,_xlpm._start,FIND("$",SUBSTITUTE(_xlpm._in,"$","§",1))-_xlpm._start),"'",""),
_xlpm._column&amp;":"&amp;_xlpm._column))</f>
        <v>AJ:AJ</v>
      </c>
      <c r="P17" s="10" t="str">
        <f ca="1">IF($L17="","",$M17&amp;":"&amp;$M17)</f>
        <v>A:A</v>
      </c>
      <c r="Q17" s="10" t="str" cm="1">
        <f t="array" aca="1" ref="Q17" ca="1">GetQualityIssues($L17,$P17,$O17,1,",")</f>
        <v/>
      </c>
    </row>
    <row r="18" spans="1:17" x14ac:dyDescent="0.25">
      <c r="A18" s="45">
        <f t="shared" ca="1" si="5"/>
        <v>0</v>
      </c>
      <c r="B18" s="4" t="str">
        <f ca="1">"Undefined IDs in the "&amp;Helper!$G$13&amp;" sheet"</f>
        <v>Undefined IDs in the Mitigation sheet</v>
      </c>
      <c r="C18" s="48" t="str" cm="1">
        <f t="array" aca="1" ref="C18" ca="1">RemoveDelimiter(GetValues($Q18,INDIRECT($L18&amp;$N18),"",","&amp;CHAR(10),FALSE),","&amp;CHAR(10))</f>
        <v/>
      </c>
      <c r="D18" s="50" t="str">
        <f t="shared" ca="1" si="6"/>
        <v/>
      </c>
      <c r="E18" s="8" t="str" cm="1">
        <f t="array" aca="1" ref="E18" ca="1">SUBSTITUTE(RemoveDelimiter(IF($F18="",$Q18,FilterElementsFromList($Q18,SanitizeInput($F18),FALSE,", ")),","),",",", ")</f>
        <v/>
      </c>
      <c r="I18" s="2" t="str" cm="1">
        <f t="array" aca="1" ref="I18" ca="1">CELL("address",Mitigation!$AM$2)</f>
        <v>'[2025-07-30_QuBA_libre.xlsx]Mitigation'!$AM$2</v>
      </c>
      <c r="J18" s="2" t="str" cm="1">
        <f t="array" aca="1" ref="J18" ca="1">CELL("address",Mitigation!$AN$2)</f>
        <v>'[2025-07-30_QuBA_libre.xlsx]Mitigation'!$AN$2</v>
      </c>
      <c r="K18" s="2" t="str" cm="1">
        <f t="array" aca="1" ref="K18" ca="1">CELL("address",Mitigation!$A$2)</f>
        <v>'[2025-07-30_QuBA_libre.xlsx]Mitigation'!$A$2</v>
      </c>
      <c r="L18" s="10" t="str">
        <f ca="1">IF($I18="","",_xlfn.LET(_xlpm._in,$I18,_xlpm._start,FIND("]",_xlpm._in)+1,
"'"&amp;SUBSTITUTE(MID(_xlpm._in,_xlpm._start,FIND("!",_xlpm._in)-_xlpm._start),"'","")&amp;"'!"))</f>
        <v>'Mitigation'!</v>
      </c>
      <c r="M18" s="10" t="str">
        <f ca="1">IF(K18="","",
_xlfn.LET(_xlpm._in,K18,
_xlpm._start,FIND("$",_xlpm._in)+1,
_xlpm._column,SUBSTITUTE(MID(_xlpm._in,_xlpm._start,FIND("$",SUBSTITUTE(_xlpm._in,"$","§",1))-_xlpm._start),"'",""),
_xlpm._column))</f>
        <v>A</v>
      </c>
      <c r="N18" s="10" t="str">
        <f ca="1">IF(I18="","",
_xlfn.LET(_xlpm._in,I18,
_xlpm._start,FIND("$",_xlpm._in)+1,
_xlpm._column,SUBSTITUTE(MID(_xlpm._in,_xlpm._start,FIND("$",SUBSTITUTE(_xlpm._in,"$","§",1))-_xlpm._start),"'",""),
$M18&amp;":"&amp;_xlpm._column))</f>
        <v>A:AM</v>
      </c>
      <c r="O18" s="10" t="str">
        <f ca="1">IF(J18="","",
_xlfn.LET(_xlpm._in,J18,
_xlpm._start,FIND("$",_xlpm._in)+1,
_xlpm._column,SUBSTITUTE(MID(_xlpm._in,_xlpm._start,FIND("$",SUBSTITUTE(_xlpm._in,"$","§",1))-_xlpm._start),"'",""),
_xlpm._column&amp;":"&amp;_xlpm._column))</f>
        <v>AN:AN</v>
      </c>
      <c r="P18" s="10" t="str">
        <f ca="1">IF($L18="","",$M18&amp;":"&amp;$M18)</f>
        <v>A:A</v>
      </c>
      <c r="Q18" s="10" t="str" cm="1">
        <f t="array" aca="1" ref="Q18" ca="1">GetQualityIssues($L18,$P18,$O18,1,",")</f>
        <v/>
      </c>
    </row>
    <row r="19" spans="1:17" s="108" customFormat="1" ht="18.75" x14ac:dyDescent="0.3">
      <c r="A19" s="150" t="s">
        <v>1355</v>
      </c>
      <c r="B19" s="150"/>
      <c r="C19" s="150"/>
      <c r="D19" s="150"/>
      <c r="E19" s="150"/>
      <c r="F19" s="150"/>
      <c r="G19" s="150"/>
      <c r="L19" s="119" t="str">
        <f t="shared" ref="L19:L20" si="12">IF($I19="","",_xlfn.LET(_xlpm._in,$I19,_xlpm._start,FIND("]",_xlpm._in)+1,
"'"&amp;SUBSTITUTE(MID(_xlpm._in,_xlpm._start,FIND("!",_xlpm._in)-_xlpm._start),"'","")&amp;"'!"))</f>
        <v/>
      </c>
      <c r="M19" s="119" t="str">
        <f t="shared" ref="M19:M20" si="13">IF(K19="","",
_xlfn.LET(_xlpm._in,K19,
_xlpm._start,FIND("$",_xlpm._in)+1,
_xlpm._column,SUBSTITUTE(MID(_xlpm._in,_xlpm._start,FIND("$",SUBSTITUTE(_xlpm._in,"$","§",1))-_xlpm._start),"'",""),
_xlpm._column))</f>
        <v/>
      </c>
      <c r="N19" s="119" t="str">
        <f t="shared" ref="N19:N20" si="14">IF(I19="","",
_xlfn.LET(_xlpm._in,I19,
_xlpm._start,FIND("$",_xlpm._in)+1,
_xlpm._column,SUBSTITUTE(MID(_xlpm._in,_xlpm._start,FIND("$",SUBSTITUTE(_xlpm._in,"$","§",1))-_xlpm._start),"'",""),
$M19&amp;":"&amp;_xlpm._column))</f>
        <v/>
      </c>
      <c r="O19" s="119" t="str">
        <f t="shared" ref="O19:O20" si="15">IF(J19="","",
_xlfn.LET(_xlpm._in,J19,
_xlpm._start,FIND("$",_xlpm._in)+1,
_xlpm._column,SUBSTITUTE(MID(_xlpm._in,_xlpm._start,FIND("$",SUBSTITUTE(_xlpm._in,"$","§",1))-_xlpm._start),"'",""),
_xlpm._column&amp;":"&amp;_xlpm._column))</f>
        <v/>
      </c>
      <c r="P19" s="119" t="str">
        <f t="shared" ref="P19:P20" si="16">IF($L19="","",$M19&amp;":"&amp;$M19)</f>
        <v/>
      </c>
      <c r="Q19" s="119" t="str" cm="1">
        <f t="array" aca="1" ref="Q19" ca="1">GetQualityIssues($L19,$P19,$O19,1,",")</f>
        <v/>
      </c>
    </row>
    <row r="20" spans="1:17" x14ac:dyDescent="0.25">
      <c r="A20" s="45">
        <f t="shared" ca="1" si="5"/>
        <v>0</v>
      </c>
      <c r="B20" s="4" t="s">
        <v>1292</v>
      </c>
      <c r="C20" s="48" t="str" cm="1">
        <f t="array" aca="1" ref="C20" ca="1">RemoveDelimiter(GetValues($Q20,INDIRECT($L20&amp;$N20),"",","&amp;CHAR(10),FALSE),","&amp;CHAR(10))</f>
        <v/>
      </c>
      <c r="D20" s="50" t="str">
        <f t="shared" ca="1" si="6"/>
        <v/>
      </c>
      <c r="E20" s="8" t="str" cm="1">
        <f t="array" aca="1" ref="E20" ca="1">SUBSTITUTE(RemoveDelimiter(IF($F20="",$Q20,FilterElementsFromList($Q20,SanitizeInput($F20),FALSE,", ")),","),",",", ")</f>
        <v/>
      </c>
      <c r="I20" s="2" t="str" cm="1">
        <f t="array" aca="1" ref="I20" ca="1">CELL("address",Questionnaire!$AL$3)</f>
        <v>'[2025-07-30_QuBA_libre.xlsx]Questionnaire'!$AL$3</v>
      </c>
      <c r="J20" s="2" t="str" cm="1">
        <f t="array" aca="1" ref="J20" ca="1">CELL("address",Questionnaire!$AM$3)</f>
        <v>'[2025-07-30_QuBA_libre.xlsx]Questionnaire'!$AM$3</v>
      </c>
      <c r="K20" s="2" t="str" cm="1">
        <f t="array" aca="1" ref="K20" ca="1">CELL("address",Questionnaire!$A$3)</f>
        <v>'[2025-07-30_QuBA_libre.xlsx]Questionnaire'!$A$3</v>
      </c>
      <c r="L20" s="10" t="str">
        <f t="shared" ca="1" si="12"/>
        <v>'Questionnaire'!</v>
      </c>
      <c r="M20" s="10" t="str">
        <f t="shared" ca="1" si="13"/>
        <v>A</v>
      </c>
      <c r="N20" s="10" t="str">
        <f t="shared" ca="1" si="14"/>
        <v>A:AL</v>
      </c>
      <c r="O20" s="10" t="str">
        <f t="shared" ca="1" si="15"/>
        <v>AM:AM</v>
      </c>
      <c r="P20" s="10" t="str">
        <f t="shared" ca="1" si="16"/>
        <v>A:A</v>
      </c>
      <c r="Q20" s="10" t="str" cm="1">
        <f t="array" aca="1" ref="Q20" ca="1">GetQualityIssues($L20,$P20,$O20,1,",")</f>
        <v/>
      </c>
    </row>
    <row r="21" spans="1:17" ht="75" x14ac:dyDescent="0.25">
      <c r="A21" s="45">
        <f t="shared" ca="1" si="5"/>
        <v>0</v>
      </c>
      <c r="B21" s="4" t="str">
        <f>Countermeasures!$A30&amp;" is active, but "&amp;Questions!$A$48&amp;" was answered with "&amp;Definitions!$A$5&amp;CHAR(10)&amp;
"NOTE: "&amp;Countermeasures!$A30&amp;" might be active as prerequisite of another countermeasure. This indicator links to the cases where such a countermeasure is assigned."</f>
        <v>C27 is active, but QA11a was answered with No
NOTE: C27 might be active as prerequisite of another countermeasure. This indicator links to the cases where such a countermeasure is assigned.</v>
      </c>
      <c r="C21" s="48" t="str" cm="1">
        <f t="array" aca="1" ref="C21" ca="1">RemoveDelimiter(GetValues($Q21,INDIRECT($L21&amp;$N21),"",","&amp;CHAR(10),FALSE),","&amp;CHAR(10))</f>
        <v/>
      </c>
      <c r="D21" s="50" t="str">
        <f t="shared" ca="1" si="6"/>
        <v/>
      </c>
      <c r="E21" s="8" t="str" cm="1">
        <f t="array" aca="1" ref="E21" ca="1">SUBSTITUTE(RemoveDelimiter(IF($F21="",$Q21,FilterElementsFromList($Q21,SanitizeInput($F21),FALSE,", ")),","),",",", ")</f>
        <v/>
      </c>
      <c r="I21" s="2" t="str" cm="1">
        <f t="array" aca="1" ref="I21" ca="1">CELL("address",Mitigation!$AI$2)</f>
        <v>'[2025-07-30_QuBA_libre.xlsx]Mitigation'!$AI$2</v>
      </c>
      <c r="J21" s="2" t="str" cm="1">
        <f t="array" aca="1" ref="J21" ca="1">CELL("address",Mitigation!$AJ$2)</f>
        <v>'[2025-07-30_QuBA_libre.xlsx]Mitigation'!$AJ$2</v>
      </c>
      <c r="K21" s="2" t="str" cm="1">
        <f t="array" aca="1" ref="K21" ca="1">CELL("address",Mitigation!$A$2)</f>
        <v>'[2025-07-30_QuBA_libre.xlsx]Mitigation'!$A$2</v>
      </c>
      <c r="L21" s="10" t="str">
        <f ca="1">IF($I21="","",_xlfn.LET(_xlpm._in,$I21,_xlpm._start,FIND("]",_xlpm._in)+1,
"'"&amp;SUBSTITUTE(MID(_xlpm._in,_xlpm._start,FIND("!",_xlpm._in)-_xlpm._start),"'","")&amp;"'!"))</f>
        <v>'Mitigation'!</v>
      </c>
      <c r="M21" s="10" t="str">
        <f ca="1">IF(K21="","",
_xlfn.LET(_xlpm._in,K21,
_xlpm._start,FIND("$",_xlpm._in)+1,
_xlpm._column,SUBSTITUTE(MID(_xlpm._in,_xlpm._start,FIND("$",SUBSTITUTE(_xlpm._in,"$","§",1))-_xlpm._start),"'",""),
_xlpm._column))</f>
        <v>A</v>
      </c>
      <c r="N21" s="10" t="str">
        <f ca="1">IF(I21="","",
_xlfn.LET(_xlpm._in,I21,
_xlpm._start,FIND("$",_xlpm._in)+1,
_xlpm._column,SUBSTITUTE(MID(_xlpm._in,_xlpm._start,FIND("$",SUBSTITUTE(_xlpm._in,"$","§",1))-_xlpm._start),"'",""),
$M21&amp;":"&amp;_xlpm._column))</f>
        <v>A:AI</v>
      </c>
      <c r="O21" s="10" t="str">
        <f ca="1">IF(J21="","",
_xlfn.LET(_xlpm._in,J21,
_xlpm._start,FIND("$",_xlpm._in)+1,
_xlpm._column,SUBSTITUTE(MID(_xlpm._in,_xlpm._start,FIND("$",SUBSTITUTE(_xlpm._in,"$","§",1))-_xlpm._start),"'",""),
_xlpm._column&amp;":"&amp;_xlpm._column))</f>
        <v>AJ:AJ</v>
      </c>
      <c r="P21" s="10" t="str">
        <f ca="1">IF($L21="","",$M21&amp;":"&amp;$M21)</f>
        <v>A:A</v>
      </c>
      <c r="Q21" s="10" t="str" cm="1">
        <f t="array" aca="1" ref="Q21" ca="1">GetQualityIssues($L21,$P21,$O21,1,",")</f>
        <v/>
      </c>
    </row>
    <row r="22" spans="1:17" ht="30" x14ac:dyDescent="0.25">
      <c r="A22" s="45">
        <f t="shared" ca="1" si="5"/>
        <v>0</v>
      </c>
      <c r="B22" s="4" t="s">
        <v>1400</v>
      </c>
      <c r="C22" s="48" t="str" cm="1">
        <f t="array" aca="1" ref="C22" ca="1">RemoveDelimiter(GetValues($Q22,INDIRECT($L22&amp;$N22),"",","&amp;CHAR(10),FALSE),","&amp;CHAR(10))</f>
        <v/>
      </c>
      <c r="D22" s="50" t="str">
        <f t="shared" ca="1" si="6"/>
        <v/>
      </c>
      <c r="E22" s="8" t="str" cm="1">
        <f t="array" aca="1" ref="E22" ca="1">SUBSTITUTE(RemoveDelimiter(IF($F22="",$Q22,FilterElementsFromList($Q22,SanitizeInput($F22),FALSE,", ")),","),",",", ")</f>
        <v/>
      </c>
      <c r="I22" s="2" t="str" cm="1">
        <f t="array" aca="1" ref="I22" ca="1">CELL("address",Questionnaire!$AN$3)</f>
        <v>'[2025-07-30_QuBA_libre.xlsx]Questionnaire'!$AN$3</v>
      </c>
      <c r="J22" s="2" t="str" cm="1">
        <f t="array" aca="1" ref="J22" ca="1">CELL("address",Questionnaire!$AO$3)</f>
        <v>'[2025-07-30_QuBA_libre.xlsx]Questionnaire'!$AO$3</v>
      </c>
      <c r="K22" s="2" t="str" cm="1">
        <f t="array" aca="1" ref="K22" ca="1">CELL("address",Questionnaire!$A$3)</f>
        <v>'[2025-07-30_QuBA_libre.xlsx]Questionnaire'!$A$3</v>
      </c>
      <c r="L22" s="10" t="str">
        <f ca="1">IF($I22="","",_xlfn.LET(_xlpm._in,$I22,_xlpm._start,FIND("]",_xlpm._in)+1,
"'"&amp;SUBSTITUTE(MID(_xlpm._in,_xlpm._start,FIND("!",_xlpm._in)-_xlpm._start),"'","")&amp;"'!"))</f>
        <v>'Questionnaire'!</v>
      </c>
      <c r="M22" s="10" t="str">
        <f ca="1">IF(K22="","",
_xlfn.LET(_xlpm._in,K22,
_xlpm._start,FIND("$",_xlpm._in)+1,
_xlpm._column,SUBSTITUTE(MID(_xlpm._in,_xlpm._start,FIND("$",SUBSTITUTE(_xlpm._in,"$","§",1))-_xlpm._start),"'",""),
_xlpm._column))</f>
        <v>A</v>
      </c>
      <c r="N22" s="10" t="str">
        <f ca="1">IF(I22="","",
_xlfn.LET(_xlpm._in,I22,
_xlpm._start,FIND("$",_xlpm._in)+1,
_xlpm._column,SUBSTITUTE(MID(_xlpm._in,_xlpm._start,FIND("$",SUBSTITUTE(_xlpm._in,"$","§",1))-_xlpm._start),"'",""),
$M22&amp;":"&amp;_xlpm._column))</f>
        <v>A:AN</v>
      </c>
      <c r="O22" s="10" t="str">
        <f ca="1">IF(J22="","",
_xlfn.LET(_xlpm._in,J22,
_xlpm._start,FIND("$",_xlpm._in)+1,
_xlpm._column,SUBSTITUTE(MID(_xlpm._in,_xlpm._start,FIND("$",SUBSTITUTE(_xlpm._in,"$","§",1))-_xlpm._start),"'",""),
_xlpm._column&amp;":"&amp;_xlpm._column))</f>
        <v>AO:AO</v>
      </c>
      <c r="P22" s="10" t="str">
        <f ca="1">IF($L22="","",$M22&amp;":"&amp;$M22)</f>
        <v>A:A</v>
      </c>
      <c r="Q22" s="10" t="str" cm="1">
        <f t="array" aca="1" ref="Q22" ca="1">GetQualityIssues($L22,$P22,$O22,1,",")</f>
        <v/>
      </c>
    </row>
  </sheetData>
  <mergeCells count="2">
    <mergeCell ref="A3:G3"/>
    <mergeCell ref="A19:G19"/>
  </mergeCells>
  <conditionalFormatting sqref="A1:G2 A3 A4:G18 A19 A20:G1048576">
    <cfRule type="expression" dxfId="5" priority="390">
      <formula>AND(ROW(A1)&gt;ROW(A$2),MOD(ROW(A1),2)=MOD(ROW($A$2)+1,2),$A1&lt;&gt;"")</formula>
    </cfRule>
  </conditionalFormatting>
  <conditionalFormatting sqref="B1:G1 A1:A1048576">
    <cfRule type="expression" dxfId="4" priority="388">
      <formula>AND(ISNUMBER($A1),$A1&gt;0)</formula>
    </cfRule>
    <cfRule type="expression" dxfId="3" priority="389">
      <formula>AND($A1&lt;&gt;"",$A1=0)</formula>
    </cfRule>
  </conditionalFormatting>
  <conditionalFormatting sqref="G1:G2 G4:G18 G20:G1048576">
    <cfRule type="expression" dxfId="2" priority="387">
      <formula>AND(ROW($F1)&gt;ROW($F$2),$F1&lt;&gt;"",$G1="")</formula>
    </cfRule>
  </conditionalFormatting>
  <pageMargins left="0.7" right="0.7" top="0.75" bottom="0.75" header="0.3" footer="0.3"/>
  <pageSetup paperSize="9" orientation="portrait" r:id="rId1"/>
  <ignoredErrors>
    <ignoredError sqref="D12 D14" formula="1"/>
  </ignoredErrors>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23BD9-FA30-4F75-8C87-563947263A0C}">
  <sheetPr>
    <tabColor theme="3"/>
  </sheetPr>
  <dimension ref="A1:H30"/>
  <sheetViews>
    <sheetView topLeftCell="A5" workbookViewId="0">
      <selection activeCell="C7" sqref="C7"/>
    </sheetView>
  </sheetViews>
  <sheetFormatPr defaultColWidth="9.140625" defaultRowHeight="15" x14ac:dyDescent="0.25"/>
  <cols>
    <col min="1" max="1" width="18.28515625" style="2" bestFit="1" customWidth="1"/>
    <col min="2" max="2" width="33" style="2" bestFit="1" customWidth="1"/>
    <col min="3" max="3" width="31.42578125" style="2" customWidth="1"/>
    <col min="4" max="4" width="20.5703125" style="2" bestFit="1" customWidth="1"/>
    <col min="5" max="5" width="9.140625" style="2" customWidth="1"/>
    <col min="6" max="16384" width="9.140625" style="2"/>
  </cols>
  <sheetData>
    <row r="1" spans="1:8" ht="90" hidden="1" x14ac:dyDescent="0.25">
      <c r="A1" s="2" t="s">
        <v>1335</v>
      </c>
      <c r="B1" s="4" t="s">
        <v>1692</v>
      </c>
      <c r="C1" s="2" t="str">
        <f>""</f>
        <v/>
      </c>
      <c r="D1" s="2" t="s">
        <v>1342</v>
      </c>
      <c r="E1" s="12" t="str" cm="1">
        <f t="array" aca="1" ref="E1" ca="1">_xlfn.LAMBDA(_xlpm._sheetName,_xlpm._headerRow,_xlpm._row,_xlpm._template,_xlpm._delimiter,_xlpm._columnList,
IF(_xlpm._columnList="","",_xlfn.LET(
_xlpm._columnLetter,LEFT(_xlpm._columnList,1),
_xlpm._header,SUBSTITUTE(INDIRECT("'"&amp;_xlpm._sheetName&amp;"'!"&amp;_xlpm._columnLetter&amp;_xlpm._headerRow),CHAR(10)," "),
_xlpm._value,SUBSTITUTE(INDIRECT("'"&amp;_xlpm._sheetName&amp;"'!"&amp;_xlpm._columnLetter&amp;_xlpm._row),CHAR(10)," "),
SUBSTITUTE(SUBSTITUTE(_xlpm._template,"[#1]",_xlpm._header),"[#2]",_xlpm._value)&amp;_xlpm._delimiter&amp;
JSONParseAttributes(_xlpm._sheetName,_xlpm._headerRow,_xlpm._row,_xlpm._template,_xlpm._delimiter,RIGHT(_xlpm._columnList,LEN(_xlpm._columnList)-1)))))("Questionnaire",2,6,$B$3,","&amp;CHAR(10),GetColumnLetter(Questionnaire!$A$2)&amp;GetColumnLetter(Questionnaire!$K$2)&amp;GetColumnLetter(Questionnaire!$C$2)&amp;GetColumnLetter(Questionnaire!$D$2)&amp;GetColumnLetter(Questionnaire!$E$2)&amp;GetColumnLetter(Questionnaire!$F$2)&amp;GetColumnLetter(Questionnaire!$G$2))</f>
        <v xml:space="preserve">"ID": "QI1",
"Question": "Does the product have cameras or other sensors that can potentially recognize people?",
"Answer 1": "",
"Additonal Question": "",
"Answer 2": "",
"Additional information and instructions": "",
"Rationale / provide details on the processed data": "",
</v>
      </c>
      <c r="F1" s="2" t="str">
        <f>""</f>
        <v/>
      </c>
      <c r="H1" s="4"/>
    </row>
    <row r="2" spans="1:8" ht="60" hidden="1" x14ac:dyDescent="0.25">
      <c r="A2" s="2" t="s">
        <v>1339</v>
      </c>
      <c r="B2" s="4" t="s">
        <v>1344</v>
      </c>
      <c r="D2" s="2" t="s">
        <v>1343</v>
      </c>
      <c r="E2" s="2" t="str" cm="1">
        <f t="array" aca="1" ref="E2" ca="1">_xlfn.LAMBDA(_xlpm._shadowID,_xlpm._sheetName,_xlpm._shadowIDHeader,_xlpm._elementTemplate,_xlpm._attributeTemplate,_xlpm._delimiter,_xlpm._columnList,
_xlfn.LET(
_xlpm._shadowIDColumnLetter,GetColumnLetter(_xlpm._shadowIDHeader),
_xlpm._shadowIDColumn,"'"&amp;_xlpm._sheetName&amp;"'!"&amp;_xlpm._shadowIDColumnLetter&amp;":"&amp;_xlpm._shadowIDColumnLetter,
_xlpm._row,IFERROR(MATCH(_xlpm._shadowID,INDIRECT(_xlpm._shadowIDColumn),0),0),
IF(_xlpm._row=0,"",_xlfn.LET(
_xlpm._element,SUBSTITUTE(_xlpm._elementTemplate,"[#1]",RemoveDelimiter(JSONParseAttributes(_xlpm._sheetName,ROW(_xlpm._shadowIDHeader),_xlpm._row,_xlpm._attributeTemplate,_xlpm._delimiter,_xlpm._columnList),_xlpm._delimiter)),
_xlpm._element&amp;
JSONParseSheet(_xlpm._shadowID+1,_xlpm._sheetName,_xlpm._shadowIDHeader,_xlpm._elementTemplate,_xlpm._attributeTemplate,_xlpm._delimiter,_xlpm._columnList)))))(1,"Questionnaire",Questionnaire!$L$2,$B$2,$B$3,","&amp;CHAR(10),GetColumnLetter(Questionnaire!$A$2)&amp;GetColumnLetter(Questionnaire!$K$2)&amp;GetColumnLetter(Questionnaire!$C$2)&amp;GetColumnLetter(Questionnaire!$D$2)&amp;GetColumnLetter(Questionnaire!$E$2)&amp;GetColumnLetter(Questionnaire!$F$2)&amp;GetColumnLetter(Questionnaire!$G$2))</f>
        <v xml:space="preserve">{
"ID": "QI1",
"Question": "Does the product have cameras or other sensors that can potentially recognize people?",
"Answer 1": "",
"Additonal Question": "",
"Answer 2": "",
"Additional information and instructions": "",
"Rationale / provide details on the processed data": ""
},
{
"ID": "QI2",
"Question": "Does the product process personal data? Examples: User ID, address labels",
"Answer 1": "",
"Additonal Question": "",
"Answer 2": "",
"Additional information and instructions": "",
"Rationale / provide details on the processed data": ""
},
{
"ID": "QI3",
"Question": "Does the product contain &lt;OEM name&gt; intellectual property? Note: Only IP which is part of / accessible by the firmware / software in the product is in scope of this question. Gaining access to optical and mechanical IP are not covered by this question (and the cybersecurity risk analysis)",
"Answer 1": "",
"Additonal Question": "",
"Answer 2": "",
"Additional information and instructions": "",
"Rationale / provide details on the processed data": ""
},
{
"ID": "QI4",
"Question": "Is &lt;OEM name&gt; (typically) obliged to keep the processed / stored data (including third-party IP) confidential by contract or law? (Note that this concerns individual obligations, not the standard product warranty).",
"Answer 1": "",
"Additonal Question": "",
"Answer 2": "",
"Additional information and instructions": "",
"Rationale / provide details on the processed data": ""
},
{
"ID": "QI5",
"Question": "Does the product contain credentials / cryptographic keys that allow access to sensitive data or to systems in the product's operational environment? (Note: this includes cryptographic data introduced by the customer.)",
"Answer 1": "",
"Additonal Question": "",
"Answer 2": "",
"Additional information and instructions": "",
"Rationale / provide details on the processed data": ""
},
{
"ID": "QI6",
"Question": "Can a loss of availability of the product (or its communication) endanger the health of people? (Consider how the operational environment reacts to a loss of availability of the product.)",
"Answer 1": "",
"Additonal Question": "",
"Answer 2": "",
"Additional information and instructions": "",
"Rationale / provide details on the processed data": ""
},
{
"ID": "QI7",
"Question": "Is the availability of the product relevant for its operational environment?",
"Answer 1": "",
"Additonal Question": "",
"Answer 2": "",
"Additional information and instructions": "",
"Rationale / provide details on the processed data": ""
},
{
"ID": "QI8",
"Question": "Can a loss of availability allow an attacker access to assets of the customer (including physical access not detected by the &lt;OEM name&gt; product)? Example: The product is used for access control.",
"Answer 1": "",
"Additonal Question": "",
"Answer 2": "",
"Additional information and instructions": "",
"Rationale / provide details on the processed data": ""
},
{
"ID": "QI9",
"Question": "Can a loss of availability cause contract-related fines (e.g., based on a service level agreement)?",
"Answer 1": "",
"Additonal Question": "",
"Answer 2": "",
"Additional information and instructions": "",
"Rationale / provide details on the processed data": ""
},
{
"ID": "QI10",
"Question": "Can a manipulated product (or its communication) endanger the health of people? Also consider cases where the product is used against its intended use or misconfigured!",
"Answer 1": "",
"Additonal Question": "",
"Answer 2": "",
"Additional information and instructions": "",
"Rationale / provide details on the processed data": ""
},
{
"ID": "QI11",
"Question": "Can a manipulated product disclose personal data to an attacker? Also consider cases where the product is used against its intended use or misconfigured!",
"Answer 1": "",
"Additonal Question": "",
"Answer 2": "",
"Additional information and instructions": "",
"Rationale / provide details on the processed data": ""
},
{
"ID": "QI12",
"Question": "Can a manipulated product disclose intellectual property to an attacker? Also consider cases where the product is used against its intended use or misconfigured!",
"Answer 1": "",
"Additonal Question": "",
"Answer 2": "",
"Additional information and instructions": "",
"Rationale / provide details on the processed data": ""
},
{
"ID": "QI13",
"Question": "Can a manipulated product disclose credentials / cryptographic material to an attacker? Also consider cases where the product does not disclose the material but misuses its access to other systems! (E.g., product contains access credentials to store data on a server.)",
"Answer 1": "",
"Additonal Question": "",
"Answer 2": "",
"Additional information and instructions": "",
"Rationale / provide details on the processed data": ""
},
{
"ID": "QI14",
"Question": "Can a manipulated product affect the operation of its operational environment?",
"Answer 1": "",
"Additonal Question": "",
"Answer 2": "",
"Additional information and instructions": "",
"Rationale / provide details on the processed data": ""
},
{
"ID": "QI15",
"Question": "Can a manipulated product allow an attacker access to assets of the customer or allow the attacker to attack the customer's network?",
"Answer 1": "",
"Additonal Question": "",
"Answer 2": "",
"Additional information and instructions": "",
"Rationale / provide details on the processed data": ""
},
{
"ID": "QI16",
"Question": "Can a manipulated product cause contract-related / legal fines? (Note that this concerns individual obligations, not the standard product warranty).",
"Answer 1": "",
"Additonal Question": "",
"Answer 2": "",
"Additional information and instructions": "",
"Rationale / provide details on the processed data": ""
},
{
"ID": "QA1",
"Question": "Does the product have any connectivity?",
"Answer 1": "",
"Additonal Question": "",
"Answer 2": "",
"Additional information and instructions": "",
"Rationale / provide details on the processed data": ""
},
{
"ID": "QA2",
"Question": "Does the product connect two networks to each other (e.g., as a gateway)?",
"Answer 1": "",
"Additonal Question": "",
"Answer 2": "",
"Additional information and instructions": "",
"Rationale / provide details on the processed data": ""
},
{
"ID": "QA3",
"Question": "Does the product have a point-to-point connection to another device?",
"Answer 1": "",
"Additonal Question": "",
"Answer 2": "",
"Additional information and instructions": "",
"Rationale / provide details on the processed data": ""
},
{
"ID": "QA4",
"Question": "Does the product have a direct connection to a local network?",
"Answer 1": "",
"Additonal Question": "",
"Answer 2": "",
"Additional information and instructions": "",
"Rationale / provide details on the processed data": ""
},
{
"ID": "QA5",
"Question": "Does the product support wireless connections?",
"Answer 1": "",
"Additonal Question": "",
"Answer 2": "",
"Additional information and instructions": "",
"Rationale / provide details on the processed data": ""
},
{
"ID": "QA6",
"Question": "Does the product have a direct connection to a mobile network / the Internet?",
"Answer 1": "",
"Additonal Question": "",
"Answer 2": "",
"Additional information and instructions": "",
"Rationale / provide details on the processed data": ""
},
{
"ID": "QA7",
"Question": "Does the product offer services to other entities on the network?",
"Answer 1": "",
"Additonal Question": "",
"Answer 2": "",
"Additional information and instructions": "",
"Rationale / provide details on the processed data": ""
},
{
"ID": "QA8",
"Question": "Does the product offer a configuration interface?",
"Answer 1": "",
"Additonal Question": "",
"Answer 2": "",
"Additional information and instructions": "",
"Rationale / provide details on the processed data": ""
},
{
"ID": "QA9",
"Question": "Does the product have an IP stack (or another routable protocol)?",
"Answer 1": "",
"Additonal Question": "",
"Answer 2": "",
"Additional information and instructions": "",
"Rationale / provide details on the processed data": ""
},
{
"ID": "QA10a",
"Question": "Does the product communicate with an external system locally (e.g., a USB stick, an SD card, an RFID tag)?",
"Answer 1": "",
"Additonal Question": "",
"Answer 2": "",
"Additional information and instructions": "",
"Rationale / provide details on the processed data": ""
},
{
"ID": "QA10b",
"Question": "Does the product communicate with an external system on the Internet (e.g., an untrusted 3rd party backend, a &lt;OEM name&gt; cloud service, a &lt;OEM name&gt; server system)?",
"Answer 1": "",
"Additonal Question": "",
"Answer 2": "",
"Additional information and instructions": "",
"Rationale / provide details on the processed data": ""
},
{
"ID": "QA11a",
"Question": "Can the product's software be updated over an interface?",
"Answer 1": "",
"Additonal Question": "",
"Answer 2": "",
"Additional information and instructions": "",
"Rationale / provide details on the processed data": ""
},
{
"ID": "QA11b",
"Question": "Are software updates in the field (regularly or event-based) planned?",
"Answer 1": "",
"Additonal Question": "",
"Answer 2": "",
"Additional information and instructions": "",
"Rationale / provide details on the processed data": ""
},
{
"ID": "QA12",
"Question": "Does the product have a logical connection to a local network over a gateway?",
"Answer 1": "",
"Additonal Question": "",
"Answer 2": "",
"Additional information and instructions": "",
"Rationale / provide details on the processed data": ""
},
{
"ID": "QA13",
"Question": "Does the product have a logical connection to a wireless network over a gateway?",
"Answer 1": "",
"Additonal Question": "",
"Answer 2": "",
"Additional information and instructions": "",
"Rationale / provide details on the processed data": ""
},
{
"ID": "QA14",
"Question": "Is the product typically installed in a physically accessible position?",
"Answer 1": "",
"Additonal Question": "",
"Answer 2": "",
"Additional information and instructions": "",
"Rationale / provide details on the processed data": ""
},
{
"ID": "QA15",
"Question": "Is the product typically installed in an operational environment with public access?",
"Answer 1": "",
"Additonal Question": "",
"Answer 2": "",
"Additional information and instructions": "",
"Rationale / provide details on the processed data": ""
},
{
"ID": "QA16",
"Question": "Are the product's physical connections (such as attached bus cables) typically installed in an environment with public access?",
"Answer 1": "",
"Additonal Question": "",
"Answer 2": "",
"Additional information and instructions": "",
"Rationale / provide details on the processed data": ""
},
{
"ID": "QA17",
"Question": "Does the product have debug / development interfaces (e.g., JTAG, root access over ssh)?",
"Answer 1": "",
"Additonal Question": "",
"Answer 2": "",
"Additional information and instructions": "",
"Rationale / provide details on the processed data": ""
},
{
"ID": "QA18",
"Question": "Is the product produced in a secure environment?",
"Answer 1": "",
"Additonal Question": "",
"Answer 2": "",
"Additional information and instructions": "",
"Rationale / provide details on the processed data": ""
},
{
"ID": "QA19",
"Question": "Are the supply chain partners trustworthy and protected against attacks?",
"Answer 1": "",
"Additonal Question": "",
"Answer 2": "",
"Additional information and instructions": "",
"Rationale / provide details on the processed data": ""
},
{
"ID": "QA20",
"Question": "What is the product's expected lifetime?",
"Answer 1": "",
"Additonal Question": "",
"Answer 2": "",
"Additional information and instructions": "",
"Rationale / provide details on the processed data": ""
},
{
"ID": "QA21",
"Question": "What is the product's planned support duration?",
"Answer 1": "",
"Additonal Question": "",
"Answer 2": "",
"Additional information and instructions": "",
"Rationale / provide details on the processed data": ""
},
</v>
      </c>
      <c r="F2" s="2" t="str">
        <f>""</f>
        <v/>
      </c>
    </row>
    <row r="3" spans="1:8" hidden="1" x14ac:dyDescent="0.25">
      <c r="A3" s="2" t="s">
        <v>1340</v>
      </c>
      <c r="B3" s="2" t="s">
        <v>1341</v>
      </c>
      <c r="D3" s="4" t="s">
        <v>1347</v>
      </c>
      <c r="E3" s="12" t="str" cm="1">
        <f t="array" aca="1" ref="E3" ca="1">_xlfn.LAMBDA(_xlpm._sheetIndex,_xlpm._definitionsSheetNameHeader,_xlpm._definitionsColumnsHeader,_xlpm._definitionsShadowIDColumnHeader,_xlpm._definitionsShadowIDHeaderHeader,_xlpm._jsonTemplate,_xlpm._elementTemplate,_xlpm._attributeTemplate,_xlpm._delimiter,
_xlfn.LET(
_xlpm._sheetName,OFFSET(_xlpm._definitionsSheetNameHeader,_xlpm._sheetIndex,0),
_xlpm._columnList,OFFSET(_xlpm._definitionsColumnsHeader,_xlpm._sheetIndex,0),
_xlpm._shadowIDColumnLetter,OFFSET(_xlpm._definitionsShadowIDColumnHeader,_xlpm._sheetIndex,0),
_xlpm._shadowIDHeaderRow,OFFSET(_xlpm._definitionsShadowIDHeaderHeader,_xlpm._sheetIndex,0),
_xlpm._shadowIDHeader,INDIRECT("'"&amp;_xlpm._sheetName&amp;"'!$"&amp;_xlpm._shadowIDColumnLetter&amp;"$"&amp;_xlpm._shadowIDHeaderRow),
IF(_xlpm._sheetName="","",
SUBSTITUTE(SUBSTITUTE(_xlpm._jsonTemplate,
"[#1]",_xlpm._sheetName),
"[#2]",JSONParseSheet(1,_xlpm._sheetName,_xlpm._shadowIDHeader,_xlpm._elementTemplate,_xlpm._attributeTemplate,_xlpm._delimiter,_xlpm._columnList)))))(1,Definitions!$BA$3,Definitions!$BB$3,Definitions!$BC$3,Definitions!$BD$3,$B$1,$B$2,$B$3,","&amp;CHAR(10))</f>
        <v xml:space="preserve">{
"Questionnaire": [
{
"ID": "QI1",
"Question": "Does the product have cameras or other sensors that can potentially recognize people?",
"Answer 1": "",
"Additonal Question": "",
"Answer 2": "",
"Additional information and instructions": "",
"Rationale / provide details on the processed data": ""
},
{
"ID": "QI2",
"Question": "Does the product process personal data? Examples: User ID, address labels",
"Answer 1": "",
"Additonal Question": "",
"Answer 2": "",
"Additional information and instructions": "",
"Rationale / provide details on the processed data": ""
},
{
"ID": "QI3",
"Question": "Does the product contain &lt;OEM name&gt; intellectual property? Note: Only IP which is part of / accessible by the firmware / software in the product is in scope of this question. Gaining access to optical and mechanical IP are not covered by this question (and the cybersecurity risk analysis)",
"Answer 1": "",
"Additonal Question": "",
"Answer 2": "",
"Additional information and instructions": "",
"Rationale / provide details on the processed data": ""
},
{
"ID": "QI4",
"Question": "Is &lt;OEM name&gt; (typically) obliged to keep the processed / stored data (including third-party IP) confidential by contract or law? (Note that this concerns individual obligations, not the standard product warranty).",
"Answer 1": "",
"Additonal Question": "",
"Answer 2": "",
"Additional information and instructions": "",
"Rationale / provide details on the processed data": ""
},
{
"ID": "QI5",
"Question": "Does the product contain credentials / cryptographic keys that allow access to sensitive data or to systems in the product's operational environment? (Note: this includes cryptographic data introduced by the customer.)",
"Answer 1": "",
"Additonal Question": "",
"Answer 2": "",
"Additional information and instructions": "",
"Rationale / provide details on the processed data": ""
},
{
"ID": "QI6",
"Question": "Can a loss of availability of the product (or its communication) endanger the health of people? (Consider how the operational environment reacts to a loss of availability of the product.)",
"Answer 1": "",
"Additonal Question": "",
"Answer 2": "",
"Additional information and instructions": "",
"Rationale / provide details on the processed data": ""
},
{
"ID": "QI7",
"Question": "Is the availability of the product relevant for its operational environment?",
"Answer 1": "",
"Additonal Question": "",
"Answer 2": "",
"Additional information and instructions": "",
"Rationale / provide details on the processed data": ""
},
{
"ID": "QI8",
"Question": "Can a loss of availability allow an attacker access to assets of the customer (including physical access not detected by the &lt;OEM name&gt; product)? Example: The product is used for access control.",
"Answer 1": "",
"Additonal Question": "",
"Answer 2": "",
"Additional information and instructions": "",
"Rationale / provide details on the processed data": ""
},
{
"ID": "QI9",
"Question": "Can a loss of availability cause contract-related fines (e.g., based on a service level agreement)?",
"Answer 1": "",
"Additonal Question": "",
"Answer 2": "",
"Additional information and instructions": "",
"Rationale / provide details on the processed data": ""
},
{
"ID": "QI10",
"Question": "Can a manipulated product (or its communication) endanger the health of people? Also consider cases where the product is used against its intended use or misconfigured!",
"Answer 1": "",
"Additonal Question": "",
"Answer 2": "",
"Additional information and instructions": "",
"Rationale / provide details on the processed data": ""
},
{
"ID": "QI11",
"Question": "Can a manipulated product disclose personal data to an attacker? Also consider cases where the product is used against its intended use or misconfigured!",
"Answer 1": "",
"Additonal Question": "",
"Answer 2": "",
"Additional information and instructions": "",
"Rationale / provide details on the processed data": ""
},
{
"ID": "QI12",
"Question": "Can a manipulated product disclose intellectual property to an attacker? Also consider cases where the product is used against its intended use or misconfigured!",
"Answer 1": "",
"Additonal Question": "",
"Answer 2": "",
"Additional information and instructions": "",
"Rationale / provide details on the processed data": ""
},
{
"ID": "QI13",
"Question": "Can a manipulated product disclose credentials / cryptographic material to an attacker? Also consider cases where the product does not disclose the material but misuses its access to other systems! (E.g., product contains access credentials to store data on a server.)",
"Answer 1": "",
"Additonal Question": "",
"Answer 2": "",
"Additional information and instructions": "",
"Rationale / provide details on the processed data": ""
},
{
"ID": "QI14",
"Question": "Can a manipulated product affect the operation of its operational environment?",
"Answer 1": "",
"Additonal Question": "",
"Answer 2": "",
"Additional information and instructions": "",
"Rationale / provide details on the processed data": ""
},
{
"ID": "QI15",
"Question": "Can a manipulated product allow an attacker access to assets of the customer or allow the attacker to attack the customer's network?",
"Answer 1": "",
"Additonal Question": "",
"Answer 2": "",
"Additional information and instructions": "",
"Rationale / provide details on the processed data": ""
},
{
"ID": "QI16",
"Question": "Can a manipulated product cause contract-related / legal fines? (Note that this concerns individual obligations, not the standard product warranty).",
"Answer 1": "",
"Additonal Question": "",
"Answer 2": "",
"Additional information and instructions": "",
"Rationale / provide details on the processed data": ""
},
{
"ID": "QA1",
"Question": "Does the product have any connectivity?",
"Answer 1": "",
"Additonal Question": "",
"Answer 2": "",
"Additional information and instructions": "",
"Rationale / provide details on the processed data": ""
},
{
"ID": "QA2",
"Question": "Does the product connect two networks to each other (e.g., as a gateway)?",
"Answer 1": "",
"Additonal Question": "",
"Answer 2": "",
"Additional information and instructions": "",
"Rationale / provide details on the processed data": ""
},
{
"ID": "QA3",
"Question": "Does the product have a point-to-point connection to another device?",
"Answer 1": "",
"Additonal Question": "",
"Answer 2": "",
"Additional information and instructions": "",
"Rationale / provide details on the processed data": ""
},
{
"ID": "QA4",
"Question": "Does the product have a direct connection to a local network?",
"Answer 1": "",
"Additonal Question": "",
"Answer 2": "",
"Additional information and instructions": "",
"Rationale / provide details on the processed data": ""
},
{
"ID": "QA5",
"Question": "Does the product support wireless connections?",
"Answer 1": "",
"Additonal Question": "",
"Answer 2": "",
"Additional information and instructions": "",
"Rationale / provide details on the processed data": ""
},
{
"ID": "QA6",
"Question": "Does the product have a direct connection to a mobile network / the Internet?",
"Answer 1": "",
"Additonal Question": "",
"Answer 2": "",
"Additional information and instructions": "",
"Rationale / provide details on the processed data": ""
},
{
"ID": "QA7",
"Question": "Does the product offer services to other entities on the network?",
"Answer 1": "",
"Additonal Question": "",
"Answer 2": "",
"Additional information and instructions": "",
"Rationale / provide details on the processed data": ""
},
{
"ID": "QA8",
"Question": "Does the product offer a configuration interface?",
"Answer 1": "",
"Additonal Question": "",
"Answer 2": "",
"Additional information and instructions": "",
"Rationale / provide details on the processed data": ""
},
{
"ID": "QA9",
"Question": "Does the product have an IP stack (or another routable protocol)?",
"Answer 1": "",
"Additonal Question": "",
"Answer 2": "",
"Additional information and instructions": "",
"Rationale / provide details on the processed data": ""
},
{
"ID": "QA10a",
"Question": "Does the product communicate with an external system locally (e.g., a USB stick, an SD card, an RFID tag)?",
"Answer 1": "",
"Additonal Question": "",
"Answer 2": "",
"Additional information and instructions": "",
"Rationale / provide details on the processed data": ""
},
{
"ID": "QA10b",
"Question": "Does the product communicate with an external system on the Internet (e.g., an untrusted 3rd party backend, a &lt;OEM name&gt; cloud service, a &lt;OEM name&gt; server system)?",
"Answer 1": "",
"Additonal Question": "",
"Answer 2": "",
"Additional information and instructions": "",
"Rationale / provide details on the processed data": ""
},
{
"ID": "QA11a",
"Question": "Can the product's software be updated over an interface?",
"Answer 1": "",
"Additonal Question": "",
"Answer 2": "",
"Additional information and instructions": "",
"Rationale / provide details on the processed data": ""
},
{
"ID": "QA11b",
"Question": "Are software updates in the field (regularly or event-based) planned?",
"Answer 1": "",
"Additonal Question": "",
"Answer 2": "",
"Additional information and instructions": "",
"Rationale / provide details on the processed data": ""
},
{
"ID": "QA12",
"Question": "Does the product have a logical connection to a local network over a gateway?",
"Answer 1": "",
"Additonal Question": "",
"Answer 2": "",
"Additional information and instructions": "",
"Rationale / provide details on the processed data": ""
},
{
"ID": "QA13",
"Question": "Does the product have a logical connection to a wireless network over a gateway?",
"Answer 1": "",
"Additonal Question": "",
"Answer 2": "",
"Additional information and instructions": "",
"Rationale / provide details on the processed data": ""
},
{
"ID": "QA14",
"Question": "Is the product typically installed in a physically accessible position?",
"Answer 1": "",
"Additonal Question": "",
"Answer 2": "",
"Additional information and instructions": "",
"Rationale / provide details on the processed data": ""
},
{
"ID": "QA15",
"Question": "Is the product typically installed in an operational environment with public access?",
"Answer 1": "",
"Additonal Question": "",
"Answer 2": "",
"Additional information and instructions": "",
"Rationale / provide details on the processed data": ""
},
{
"ID": "QA16",
"Question": "Are the product's physical connections (such as attached bus cables) typically installed in an environment with public access?",
"Answer 1": "",
"Additonal Question": "",
"Answer 2": "",
"Additional information and instructions": "",
"Rationale / provide details on the processed data": ""
},
{
"ID": "QA17",
"Question": "Does the product have debug / development interfaces (e.g., JTAG, root access over ssh)?",
"Answer 1": "",
"Additonal Question": "",
"Answer 2": "",
"Additional information and instructions": "",
"Rationale / provide details on the processed data": ""
},
{
"ID": "QA18",
"Question": "Is the product produced in a secure environment?",
"Answer 1": "",
"Additonal Question": "",
"Answer 2": "",
"Additional information and instructions": "",
"Rationale / provide details on the processed data": ""
},
{
"ID": "QA19",
"Question": "Are the supply chain partners trustworthy and protected against attacks?",
"Answer 1": "",
"Additonal Question": "",
"Answer 2": "",
"Additional information and instructions": "",
"Rationale / provide details on the processed data": ""
},
{
"ID": "QA20",
"Question": "What is the product's expected lifetime?",
"Answer 1": "",
"Additonal Question": "",
"Answer 2": "",
"Additional information and instructions": "",
"Rationale / provide details on the processed data": ""
},
{
"ID": "QA21",
"Question": "What is the product's planned support duration?",
"Answer 1": "",
"Additonal Question": "",
"Answer 2": "",
"Additional information and instructions": "",
"Rationale / provide details on the processed data": ""
},
]
},
</v>
      </c>
      <c r="F3" s="2" t="str">
        <f>""</f>
        <v/>
      </c>
    </row>
    <row r="4" spans="1:8" hidden="1" x14ac:dyDescent="0.25"/>
    <row r="5" spans="1:8" x14ac:dyDescent="0.25">
      <c r="B5" s="115" t="str" cm="1">
        <f t="array" aca="1" ref="B5"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HYPERLINK("#'"&amp;Helper!$G$2&amp;"'!"&amp;CHAR(CODE("A")+COLUMN(_xlpm._columnNameHeader)-1)&amp;_xlpm._entryOffset,Definitions!$AY$4)))(Helper!$G$19,B$6,README!$E:$E,README!$I$36,README!$B$36)</f>
        <v>◈</v>
      </c>
      <c r="C5" s="115" t="str" cm="1">
        <f t="array" aca="1" ref="C5" ca="1">_xlfn.LAMBDA(_xlpm._thisSheet,_xlpm._columnName,_xlpm._readmeSheetsRange,_xlpm._columnSearchHeader,_xlpm._columnNameHeader,
_xlfn.LET(
_xlpm._rowColumnNameHeader,ROW(_xlpm._columnNameHeader),
_xlpm._startOfSheetExplanations,MATCH(_xlpm._thisSheet,_xlpm._readmeSheetsRange,0),
_xlpm._numberOfEntriesForSheet,COUNTIF(_xlpm._readmeSheetsRange,_xlpm._thisSheet),
_xlpm._searchRange,OFFSET(_xlpm._columnSearchHeader,_xlpm._startOfSheetExplanations-_xlpm._rowColumnNameHeader,0,_xlpm._numberOfEntriesForSheet,1),
_xlpm._entryOffset,MATCH(_xlpm._columnName,_xlpm._searchRange,0)-1+_xlpm._startOfSheetExplanations,
HYPERLINK("#'"&amp;Helper!$G$2&amp;"'!"&amp;CHAR(CODE("A")+COLUMN(_xlpm._columnNameHeader)-1)&amp;_xlpm._entryOffset,Definitions!$AY$4)))(Helper!$G$19,C$6,README!$E:$E,README!$I$36,README!$B$36)</f>
        <v>◈</v>
      </c>
    </row>
    <row r="6" spans="1:8" ht="21" x14ac:dyDescent="0.35">
      <c r="A6" s="120" t="s">
        <v>1345</v>
      </c>
      <c r="B6" s="98" t="s">
        <v>540</v>
      </c>
      <c r="C6" s="98" t="s">
        <v>1364</v>
      </c>
    </row>
    <row r="7" spans="1:8" x14ac:dyDescent="0.25">
      <c r="B7" s="15" t="str">
        <f ca="1">_xlfn.LET(
_xlpm._sheetName,OFFSET(Definitions!$BA$3,ROW()-ROW($B$6),0),
IF(_xlpm._sheetName="","",_xlpm._sheetName))</f>
        <v>Questionnaire</v>
      </c>
      <c r="C7" s="15" t="str" cm="1">
        <f t="array" aca="1" ref="C7" ca="1">_xlfn.LET(
_xlpm._delimiter,","&amp;CHAR(10),
_xlpm._isLast,AND($B7&lt;&gt;"",OFFSET($B7,1,0)=""),
_xlpm._result,JSONParseSheets(ROW()-ROW($C$6),Definitions!$BA$3,Definitions!$BB$3,Definitions!$BC$3,Definitions!$BD$3,$B$1,$B$2,$B$3,_xlpm._delimiter),
SUBSTITUTE(IF(_xlpm._isLast,RemoveDelimiter(_xlpm._result,_xlpm._delimiter),_xlpm._result),","&amp;CHAR(10)&amp;CHAR(10)&amp;"]",CHAR(10)&amp;"]"))</f>
        <v xml:space="preserve">{
"Questionnaire": [
{
"ID": "QI1",
"Question": "Does the product have cameras or other sensors that can potentially recognize people?",
"Answer 1": "",
"Additonal Question": "",
"Answer 2": "",
"Additional information and instructions": "",
"Rationale / provide details on the processed data": ""
},
{
"ID": "QI2",
"Question": "Does the product process personal data? Examples: User ID, address labels",
"Answer 1": "",
"Additonal Question": "",
"Answer 2": "",
"Additional information and instructions": "",
"Rationale / provide details on the processed data": ""
},
{
"ID": "QI3",
"Question": "Does the product contain &lt;OEM name&gt; intellectual property? Note: Only IP which is part of / accessible by the firmware / software in the product is in scope of this question. Gaining access to optical and mechanical IP are not covered by this question (and the cybersecurity risk analysis)",
"Answer 1": "",
"Additonal Question": "",
"Answer 2": "",
"Additional information and instructions": "",
"Rationale / provide details on the processed data": ""
},
{
"ID": "QI4",
"Question": "Is &lt;OEM name&gt; (typically) obliged to keep the processed / stored data (including third-party IP) confidential by contract or law? (Note that this concerns individual obligations, not the standard product warranty).",
"Answer 1": "",
"Additonal Question": "",
"Answer 2": "",
"Additional information and instructions": "",
"Rationale / provide details on the processed data": ""
},
{
"ID": "QI5",
"Question": "Does the product contain credentials / cryptographic keys that allow access to sensitive data or to systems in the product's operational environment? (Note: this includes cryptographic data introduced by the customer.)",
"Answer 1": "",
"Additonal Question": "",
"Answer 2": "",
"Additional information and instructions": "",
"Rationale / provide details on the processed data": ""
},
{
"ID": "QI6",
"Question": "Can a loss of availability of the product (or its communication) endanger the health of people? (Consider how the operational environment reacts to a loss of availability of the product.)",
"Answer 1": "",
"Additonal Question": "",
"Answer 2": "",
"Additional information and instructions": "",
"Rationale / provide details on the processed data": ""
},
{
"ID": "QI7",
"Question": "Is the availability of the product relevant for its operational environment?",
"Answer 1": "",
"Additonal Question": "",
"Answer 2": "",
"Additional information and instructions": "",
"Rationale / provide details on the processed data": ""
},
{
"ID": "QI8",
"Question": "Can a loss of availability allow an attacker access to assets of the customer (including physical access not detected by the &lt;OEM name&gt; product)? Example: The product is used for access control.",
"Answer 1": "",
"Additonal Question": "",
"Answer 2": "",
"Additional information and instructions": "",
"Rationale / provide details on the processed data": ""
},
{
"ID": "QI9",
"Question": "Can a loss of availability cause contract-related fines (e.g., based on a service level agreement)?",
"Answer 1": "",
"Additonal Question": "",
"Answer 2": "",
"Additional information and instructions": "",
"Rationale / provide details on the processed data": ""
},
{
"ID": "QI10",
"Question": "Can a manipulated product (or its communication) endanger the health of people? Also consider cases where the product is used against its intended use or misconfigured!",
"Answer 1": "",
"Additonal Question": "",
"Answer 2": "",
"Additional information and instructions": "",
"Rationale / provide details on the processed data": ""
},
{
"ID": "QI11",
"Question": "Can a manipulated product disclose personal data to an attacker? Also consider cases where the product is used against its intended use or misconfigured!",
"Answer 1": "",
"Additonal Question": "",
"Answer 2": "",
"Additional information and instructions": "",
"Rationale / provide details on the processed data": ""
},
{
"ID": "QI12",
"Question": "Can a manipulated product disclose intellectual property to an attacker? Also consider cases where the product is used against its intended use or misconfigured!",
"Answer 1": "",
"Additonal Question": "",
"Answer 2": "",
"Additional information and instructions": "",
"Rationale / provide details on the processed data": ""
},
{
"ID": "QI13",
"Question": "Can a manipulated product disclose credentials / cryptographic material to an attacker? Also consider cases where the product does not disclose the material but misuses its access to other systems! (E.g., product contains access credentials to store data on a server.)",
"Answer 1": "",
"Additonal Question": "",
"Answer 2": "",
"Additional information and instructions": "",
"Rationale / provide details on the processed data": ""
},
{
"ID": "QI14",
"Question": "Can a manipulated product affect the operation of its operational environment?",
"Answer 1": "",
"Additonal Question": "",
"Answer 2": "",
"Additional information and instructions": "",
"Rationale / provide details on the processed data": ""
},
{
"ID": "QI15",
"Question": "Can a manipulated product allow an attacker access to assets of the customer or allow the attacker to attack the customer's network?",
"Answer 1": "",
"Additonal Question": "",
"Answer 2": "",
"Additional information and instructions": "",
"Rationale / provide details on the processed data": ""
},
{
"ID": "QI16",
"Question": "Can a manipulated product cause contract-related / legal fines? (Note that this concerns individual obligations, not the standard product warranty).",
"Answer 1": "",
"Additonal Question": "",
"Answer 2": "",
"Additional information and instructions": "",
"Rationale / provide details on the processed data": ""
},
{
"ID": "QA1",
"Question": "Does the product have any connectivity?",
"Answer 1": "",
"Additonal Question": "",
"Answer 2": "",
"Additional information and instructions": "",
"Rationale / provide details on the processed data": ""
},
{
"ID": "QA2",
"Question": "Does the product connect two networks to each other (e.g., as a gateway)?",
"Answer 1": "",
"Additonal Question": "",
"Answer 2": "",
"Additional information and instructions": "",
"Rationale / provide details on the processed data": ""
},
{
"ID": "QA3",
"Question": "Does the product have a point-to-point connection to another device?",
"Answer 1": "",
"Additonal Question": "",
"Answer 2": "",
"Additional information and instructions": "",
"Rationale / provide details on the processed data": ""
},
{
"ID": "QA4",
"Question": "Does the product have a direct connection to a local network?",
"Answer 1": "",
"Additonal Question": "",
"Answer 2": "",
"Additional information and instructions": "",
"Rationale / provide details on the processed data": ""
},
{
"ID": "QA5",
"Question": "Does the product support wireless connections?",
"Answer 1": "",
"Additonal Question": "",
"Answer 2": "",
"Additional information and instructions": "",
"Rationale / provide details on the processed data": ""
},
{
"ID": "QA6",
"Question": "Does the product have a direct connection to a mobile network / the Internet?",
"Answer 1": "",
"Additonal Question": "",
"Answer 2": "",
"Additional information and instructions": "",
"Rationale / provide details on the processed data": ""
},
{
"ID": "QA7",
"Question": "Does the product offer services to other entities on the network?",
"Answer 1": "",
"Additonal Question": "",
"Answer 2": "",
"Additional information and instructions": "",
"Rationale / provide details on the processed data": ""
},
{
"ID": "QA8",
"Question": "Does the product offer a configuration interface?",
"Answer 1": "",
"Additonal Question": "",
"Answer 2": "",
"Additional information and instructions": "",
"Rationale / provide details on the processed data": ""
},
{
"ID": "QA9",
"Question": "Does the product have an IP stack (or another routable protocol)?",
"Answer 1": "",
"Additonal Question": "",
"Answer 2": "",
"Additional information and instructions": "",
"Rationale / provide details on the processed data": ""
},
{
"ID": "QA10a",
"Question": "Does the product communicate with an external system locally (e.g., a USB stick, an SD card, an RFID tag)?",
"Answer 1": "",
"Additonal Question": "",
"Answer 2": "",
"Additional information and instructions": "",
"Rationale / provide details on the processed data": ""
},
{
"ID": "QA10b",
"Question": "Does the product communicate with an external system on the Internet (e.g., an untrusted 3rd party backend, a &lt;OEM name&gt; cloud service, a &lt;OEM name&gt; server system)?",
"Answer 1": "",
"Additonal Question": "",
"Answer 2": "",
"Additional information and instructions": "",
"Rationale / provide details on the processed data": ""
},
{
"ID": "QA11a",
"Question": "Can the product's software be updated over an interface?",
"Answer 1": "",
"Additonal Question": "",
"Answer 2": "",
"Additional information and instructions": "",
"Rationale / provide details on the processed data": ""
},
{
"ID": "QA11b",
"Question": "Are software updates in the field (regularly or event-based) planned?",
"Answer 1": "",
"Additonal Question": "",
"Answer 2": "",
"Additional information and instructions": "",
"Rationale / provide details on the processed data": ""
},
{
"ID": "QA12",
"Question": "Does the product have a logical connection to a local network over a gateway?",
"Answer 1": "",
"Additonal Question": "",
"Answer 2": "",
"Additional information and instructions": "",
"Rationale / provide details on the processed data": ""
},
{
"ID": "QA13",
"Question": "Does the product have a logical connection to a wireless network over a gateway?",
"Answer 1": "",
"Additonal Question": "",
"Answer 2": "",
"Additional information and instructions": "",
"Rationale / provide details on the processed data": ""
},
{
"ID": "QA14",
"Question": "Is the product typically installed in a physically accessible position?",
"Answer 1": "",
"Additonal Question": "",
"Answer 2": "",
"Additional information and instructions": "",
"Rationale / provide details on the processed data": ""
},
{
"ID": "QA15",
"Question": "Is the product typically installed in an operational environment with public access?",
"Answer 1": "",
"Additonal Question": "",
"Answer 2": "",
"Additional information and instructions": "",
"Rationale / provide details on the processed data": ""
},
{
"ID": "QA16",
"Question": "Are the product's physical connections (such as attached bus cables) typically installed in an environment with public access?",
"Answer 1": "",
"Additonal Question": "",
"Answer 2": "",
"Additional information and instructions": "",
"Rationale / provide details on the processed data": ""
},
{
"ID": "QA17",
"Question": "Does the product have debug / development interfaces (e.g., JTAG, root access over ssh)?",
"Answer 1": "",
"Additonal Question": "",
"Answer 2": "",
"Additional information and instructions": "",
"Rationale / provide details on the processed data": ""
},
{
"ID": "QA18",
"Question": "Is the product produced in a secure environment?",
"Answer 1": "",
"Additonal Question": "",
"Answer 2": "",
"Additional information and instructions": "",
"Rationale / provide details on the processed data": ""
},
{
"ID": "QA19",
"Question": "Are the supply chain partners trustworthy and protected against attacks?",
"Answer 1": "",
"Additonal Question": "",
"Answer 2": "",
"Additional information and instructions": "",
"Rationale / provide details on the processed data": ""
},
{
"ID": "QA20",
"Question": "What is the product's expected lifetime?",
"Answer 1": "",
"Additonal Question": "",
"Answer 2": "",
"Additional information and instructions": "",
"Rationale / provide details on the processed data": ""
},
{
"ID": "QA21",
"Question": "What is the product's planned support duration?",
"Answer 1": "",
"Additonal Question": "",
"Answer 2": "",
"Additional information and instructions": "",
"Rationale / provide details on the processed data": ""
}
]
},
</v>
      </c>
      <c r="D7" s="2" t="str">
        <f>""</f>
        <v/>
      </c>
    </row>
    <row r="8" spans="1:8" x14ac:dyDescent="0.25">
      <c r="B8" s="15" t="str">
        <f ca="1">_xlfn.LET(
_xlpm._sheetName,OFFSET(Definitions!$BA$3,ROW()-ROW($B$6),0),
IF(_xlpm._sheetName="","",_xlpm._sheetName))</f>
        <v>Risk Treatment</v>
      </c>
      <c r="C8" s="15" t="str" cm="1">
        <f t="array" aca="1" ref="C8" ca="1">_xlfn.LET(
_xlpm._delimiter,","&amp;CHAR(10),
_xlpm._isLast,AND($B8&lt;&gt;"",OFFSET($B8,1,0)=""),
_xlpm._result,JSONParseSheets(ROW()-ROW($C$6),Definitions!$BA$3,Definitions!$BB$3,Definitions!$BC$3,Definitions!$BD$3,$B$1,$B$2,$B$3,_xlpm._delimiter),
SUBSTITUTE(IF(_xlpm._isLast,RemoveDelimiter(_xlpm._result,_xlpm._delimiter),_xlpm._result),","&amp;CHAR(10)&amp;CHAR(10)&amp;"]",CHAR(10)&amp;"]"))</f>
        <v xml:space="preserve">{
"Risk Treatment": [
]
},
</v>
      </c>
      <c r="D8" s="2" t="str">
        <f>""</f>
        <v/>
      </c>
    </row>
    <row r="9" spans="1:8" x14ac:dyDescent="0.25">
      <c r="B9" s="15" t="str">
        <f ca="1">_xlfn.LET(
_xlpm._sheetName,OFFSET(Definitions!$BA$3,ROW()-ROW($B$6),0),
IF(_xlpm._sheetName="","",_xlpm._sheetName))</f>
        <v>Result Summary</v>
      </c>
      <c r="C9" s="15" t="str" cm="1">
        <f t="array" aca="1" ref="C9" ca="1">_xlfn.LET(
_xlpm._delimiter,","&amp;CHAR(10),
_xlpm._isLast,AND($B9&lt;&gt;"",OFFSET($B9,1,0)=""),
_xlpm._result,JSONParseSheets(ROW()-ROW($C$6),Definitions!$BA$3,Definitions!$BB$3,Definitions!$BC$3,Definitions!$BD$3,$B$1,$B$2,$B$3,_xlpm._delimiter),
SUBSTITUTE(IF(_xlpm._isLast,RemoveDelimiter(_xlpm._result,_xlpm._delimiter),_xlpm._result),","&amp;CHAR(10)&amp;CHAR(10)&amp;"]",CHAR(10)&amp;"]"))</f>
        <v>{
"Result Summary": [
{
"ID": "A21",
"Name": "SDR 2.7 - Scope for customer-based attacks",
"Stakeholder": "&lt;OEM name&gt;"
},
{
"ID": "A30",
"Name": "SDR 1.19 - Physical destruction",
"Stakeholder": "Other (see comment)"
},
{
"ID": "A31",
"Name": "SDR 1.5 - The product's availability is not relevant for safety",
"Stakeholder": "Customer"
},
{
"ID": "A34",
"Name": "SDR 2.10 - The product is delivered with a secure by default configuration",
"Stakeholder": "&lt;OEM name&gt;"
},
{
"ID": "A38",
"Name": "SDR 1.20 - Least privilege for provided credentials",
"Stakeholder": "Customer"
},
{
"ID": "A43",
"Name": "SDR 1.17 - Sensing capabilities",
"Stakeholder": "&lt;OEM name&gt;"
},
{
"ID": "C0",
"Name": "CR 7.8 - Control system component inventory",
"Stakeholder": "&lt;OEM name&gt;"
},
{
"ID": "C13",
"Name": "CR 3.3 – Security functionality verification",
"Stakeholder": "&lt;OEM name&gt;"
},
{
"ID": "C15",
"Name": "CR 3.5 – Input validation",
"Stakeholder": "&lt;OEM name&gt;"
},
{
"ID": "C24",
"Name": "CR 7.7 – Least functionality",
"Stakeholder": "&lt;OEM name&gt;"
},
{
"ID": "C33",
"Name": "SCR 1.1 - Processed personal data",
"Stakeholder": "&lt;OEM name&gt;"
},
{
"ID": "C34",
"Name": "SCR 1.2 - Telemetry data",
"Stakeholder": "&lt;OEM name&gt;"
}
]
}</v>
      </c>
      <c r="D9" s="2" t="str">
        <f>""</f>
        <v/>
      </c>
    </row>
    <row r="10" spans="1:8" x14ac:dyDescent="0.25">
      <c r="B10" s="10" t="str">
        <f ca="1">_xlfn.LET(
_xlpm._sheetName,OFFSET(Definitions!$BA$3,ROW()-ROW($B$6),0),
IF(_xlpm._sheetName="","",_xlpm._sheetName))</f>
        <v/>
      </c>
      <c r="C10" s="15" t="str" cm="1">
        <f t="array" aca="1" ref="C10" ca="1">_xlfn.LET(
_xlpm._delimiter,","&amp;CHAR(10),
_xlpm._isLast,AND($B10&lt;&gt;"",OFFSET($B10,1,0)=""),
_xlpm._result,JSONParseSheets(ROW()-ROW($C$6),Definitions!$BA$3,Definitions!$BB$3,Definitions!$BC$3,Definitions!$BD$3,$B$1,$B$2,$B$3,_xlpm._delimiter),
SUBSTITUTE(IF(_xlpm._isLast,RemoveDelimiter(_xlpm._result,_xlpm._delimiter),_xlpm._result),","&amp;CHAR(10)&amp;CHAR(10)&amp;"]",CHAR(10)&amp;"]"))</f>
        <v/>
      </c>
      <c r="D10" s="2" t="str">
        <f>""</f>
        <v/>
      </c>
    </row>
    <row r="11" spans="1:8" x14ac:dyDescent="0.25">
      <c r="B11" s="10" t="str">
        <f ca="1">_xlfn.LET(
_xlpm._sheetName,OFFSET(Definitions!$BA$3,ROW()-ROW($B$6),0),
IF(_xlpm._sheetName="","",_xlpm._sheetName))</f>
        <v/>
      </c>
      <c r="C11" s="15" t="str" cm="1">
        <f t="array" aca="1" ref="C11" ca="1">_xlfn.LET(
_xlpm._delimiter,","&amp;CHAR(10),
_xlpm._isLast,AND($B11&lt;&gt;"",OFFSET($B11,1,0)=""),
_xlpm._result,JSONParseSheets(ROW()-ROW($C$6),Definitions!$BA$3,Definitions!$BB$3,Definitions!$BC$3,Definitions!$BD$3,$B$1,$B$2,$B$3,_xlpm._delimiter),
SUBSTITUTE(IF(_xlpm._isLast,RemoveDelimiter(_xlpm._result,_xlpm._delimiter),_xlpm._result),","&amp;CHAR(10)&amp;CHAR(10)&amp;"]",CHAR(10)&amp;"]"))</f>
        <v/>
      </c>
      <c r="D11" s="2" t="str">
        <f>""</f>
        <v/>
      </c>
    </row>
    <row r="12" spans="1:8" x14ac:dyDescent="0.25">
      <c r="B12" s="10" t="str">
        <f ca="1">_xlfn.LET(
_xlpm._sheetName,OFFSET(Definitions!$BA$3,ROW()-ROW($B$6),0),
IF(_xlpm._sheetName="","",_xlpm._sheetName))</f>
        <v/>
      </c>
      <c r="C12" s="15" t="str" cm="1">
        <f t="array" aca="1" ref="C12" ca="1">_xlfn.LET(
_xlpm._delimiter,","&amp;CHAR(10),
_xlpm._isLast,AND($B12&lt;&gt;"",OFFSET($B12,1,0)=""),
_xlpm._result,JSONParseSheets(ROW()-ROW($C$6),Definitions!$BA$3,Definitions!$BB$3,Definitions!$BC$3,Definitions!$BD$3,$B$1,$B$2,$B$3,_xlpm._delimiter),
SUBSTITUTE(IF(_xlpm._isLast,RemoveDelimiter(_xlpm._result,_xlpm._delimiter),_xlpm._result),","&amp;CHAR(10)&amp;CHAR(10)&amp;"]",CHAR(10)&amp;"]"))</f>
        <v/>
      </c>
      <c r="D12" s="2" t="str">
        <f>""</f>
        <v/>
      </c>
    </row>
    <row r="13" spans="1:8" x14ac:dyDescent="0.25">
      <c r="B13" s="10" t="str">
        <f ca="1">_xlfn.LET(
_xlpm._sheetName,OFFSET(Definitions!$BA$3,ROW()-ROW($B$6),0),
IF(_xlpm._sheetName="","",_xlpm._sheetName))</f>
        <v/>
      </c>
      <c r="C13" s="15" t="str" cm="1">
        <f t="array" aca="1" ref="C13" ca="1">_xlfn.LET(
_xlpm._delimiter,","&amp;CHAR(10),
_xlpm._isLast,AND($B13&lt;&gt;"",OFFSET($B13,1,0)=""),
_xlpm._result,JSONParseSheets(ROW()-ROW($C$6),Definitions!$BA$3,Definitions!$BB$3,Definitions!$BC$3,Definitions!$BD$3,$B$1,$B$2,$B$3,_xlpm._delimiter),
SUBSTITUTE(IF(_xlpm._isLast,RemoveDelimiter(_xlpm._result,_xlpm._delimiter),_xlpm._result),","&amp;CHAR(10)&amp;CHAR(10)&amp;"]",CHAR(10)&amp;"]"))</f>
        <v/>
      </c>
      <c r="D13" s="2" t="str">
        <f>""</f>
        <v/>
      </c>
    </row>
    <row r="14" spans="1:8" x14ac:dyDescent="0.25">
      <c r="B14" s="10" t="str">
        <f ca="1">_xlfn.LET(
_xlpm._sheetName,OFFSET(Definitions!$BA$3,ROW()-ROW($B$6),0),
IF(_xlpm._sheetName="","",_xlpm._sheetName))</f>
        <v/>
      </c>
      <c r="C14" s="15" t="str" cm="1">
        <f t="array" aca="1" ref="C14" ca="1">_xlfn.LET(
_xlpm._delimiter,","&amp;CHAR(10),
_xlpm._isLast,AND($B14&lt;&gt;"",OFFSET($B14,1,0)=""),
_xlpm._result,JSONParseSheets(ROW()-ROW($C$6),Definitions!$BA$3,Definitions!$BB$3,Definitions!$BC$3,Definitions!$BD$3,$B$1,$B$2,$B$3,_xlpm._delimiter),
SUBSTITUTE(IF(_xlpm._isLast,RemoveDelimiter(_xlpm._result,_xlpm._delimiter),_xlpm._result),","&amp;CHAR(10)&amp;CHAR(10)&amp;"]",CHAR(10)&amp;"]"))</f>
        <v/>
      </c>
      <c r="D14" s="2" t="str">
        <f>""</f>
        <v/>
      </c>
    </row>
    <row r="15" spans="1:8" x14ac:dyDescent="0.25">
      <c r="B15" s="10" t="str">
        <f ca="1">_xlfn.LET(
_xlpm._sheetName,OFFSET(Definitions!$BA$3,ROW()-ROW($B$6),0),
IF(_xlpm._sheetName="","",_xlpm._sheetName))</f>
        <v/>
      </c>
      <c r="C15" s="15" t="str" cm="1">
        <f t="array" aca="1" ref="C15" ca="1">_xlfn.LET(
_xlpm._delimiter,","&amp;CHAR(10),
_xlpm._isLast,AND($B15&lt;&gt;"",OFFSET($B15,1,0)=""),
_xlpm._result,JSONParseSheets(ROW()-ROW($C$6),Definitions!$BA$3,Definitions!$BB$3,Definitions!$BC$3,Definitions!$BD$3,$B$1,$B$2,$B$3,_xlpm._delimiter),
SUBSTITUTE(IF(_xlpm._isLast,RemoveDelimiter(_xlpm._result,_xlpm._delimiter),_xlpm._result),","&amp;CHAR(10)&amp;CHAR(10)&amp;"]",CHAR(10)&amp;"]"))</f>
        <v/>
      </c>
      <c r="D15" s="2" t="str">
        <f>""</f>
        <v/>
      </c>
    </row>
    <row r="16" spans="1:8" x14ac:dyDescent="0.25">
      <c r="B16" s="10" t="str">
        <f ca="1">_xlfn.LET(
_xlpm._sheetName,OFFSET(Definitions!$BA$3,ROW()-ROW($B$6),0),
IF(_xlpm._sheetName="","",_xlpm._sheetName))</f>
        <v/>
      </c>
      <c r="C16" s="15" t="str" cm="1">
        <f t="array" aca="1" ref="C16" ca="1">_xlfn.LET(
_xlpm._delimiter,","&amp;CHAR(10),
_xlpm._isLast,AND($B16&lt;&gt;"",OFFSET($B16,1,0)=""),
_xlpm._result,JSONParseSheets(ROW()-ROW($C$6),Definitions!$BA$3,Definitions!$BB$3,Definitions!$BC$3,Definitions!$BD$3,$B$1,$B$2,$B$3,_xlpm._delimiter),
SUBSTITUTE(IF(_xlpm._isLast,RemoveDelimiter(_xlpm._result,_xlpm._delimiter),_xlpm._result),","&amp;CHAR(10)&amp;CHAR(10)&amp;"]",CHAR(10)&amp;"]"))</f>
        <v/>
      </c>
      <c r="D16" s="2" t="str">
        <f>""</f>
        <v/>
      </c>
    </row>
    <row r="17" spans="2:4" x14ac:dyDescent="0.25">
      <c r="B17" s="10" t="str">
        <f ca="1">_xlfn.LET(
_xlpm._sheetName,OFFSET(Definitions!$BA$3,ROW()-ROW($B$6),0),
IF(_xlpm._sheetName="","",_xlpm._sheetName))</f>
        <v/>
      </c>
      <c r="C17" s="15" t="str" cm="1">
        <f t="array" aca="1" ref="C17" ca="1">_xlfn.LET(
_xlpm._delimiter,","&amp;CHAR(10),
_xlpm._isLast,AND($B17&lt;&gt;"",OFFSET($B17,1,0)=""),
_xlpm._result,JSONParseSheets(ROW()-ROW($C$6),Definitions!$BA$3,Definitions!$BB$3,Definitions!$BC$3,Definitions!$BD$3,$B$1,$B$2,$B$3,_xlpm._delimiter),
SUBSTITUTE(IF(_xlpm._isLast,RemoveDelimiter(_xlpm._result,_xlpm._delimiter),_xlpm._result),","&amp;CHAR(10)&amp;CHAR(10)&amp;"]",CHAR(10)&amp;"]"))</f>
        <v/>
      </c>
      <c r="D17" s="2" t="str">
        <f>""</f>
        <v/>
      </c>
    </row>
    <row r="18" spans="2:4" x14ac:dyDescent="0.25">
      <c r="B18" s="10" t="str">
        <f ca="1">_xlfn.LET(
_xlpm._sheetName,OFFSET(Definitions!$BA$3,ROW()-ROW($B$6),0),
IF(_xlpm._sheetName="","",_xlpm._sheetName))</f>
        <v/>
      </c>
      <c r="C18" s="15" t="str" cm="1">
        <f t="array" aca="1" ref="C18" ca="1">_xlfn.LET(
_xlpm._delimiter,","&amp;CHAR(10),
_xlpm._isLast,AND($B18&lt;&gt;"",OFFSET($B18,1,0)=""),
_xlpm._result,JSONParseSheets(ROW()-ROW($C$6),Definitions!$BA$3,Definitions!$BB$3,Definitions!$BC$3,Definitions!$BD$3,$B$1,$B$2,$B$3,_xlpm._delimiter),
SUBSTITUTE(IF(_xlpm._isLast,RemoveDelimiter(_xlpm._result,_xlpm._delimiter),_xlpm._result),","&amp;CHAR(10)&amp;CHAR(10)&amp;"]",CHAR(10)&amp;"]"))</f>
        <v/>
      </c>
      <c r="D18" s="2" t="str">
        <f>""</f>
        <v/>
      </c>
    </row>
    <row r="19" spans="2:4" x14ac:dyDescent="0.25">
      <c r="B19" s="10" t="str">
        <f ca="1">_xlfn.LET(
_xlpm._sheetName,OFFSET(Definitions!$BA$3,ROW()-ROW($B$6),0),
IF(_xlpm._sheetName="","",_xlpm._sheetName))</f>
        <v/>
      </c>
      <c r="C19" s="15" t="str" cm="1">
        <f t="array" aca="1" ref="C19" ca="1">_xlfn.LET(
_xlpm._delimiter,","&amp;CHAR(10),
_xlpm._isLast,AND($B19&lt;&gt;"",OFFSET($B19,1,0)=""),
_xlpm._result,JSONParseSheets(ROW()-ROW($C$6),Definitions!$BA$3,Definitions!$BB$3,Definitions!$BC$3,Definitions!$BD$3,$B$1,$B$2,$B$3,_xlpm._delimiter),
SUBSTITUTE(IF(_xlpm._isLast,RemoveDelimiter(_xlpm._result,_xlpm._delimiter),_xlpm._result),","&amp;CHAR(10)&amp;CHAR(10)&amp;"]",CHAR(10)&amp;"]"))</f>
        <v/>
      </c>
      <c r="D19" s="2" t="str">
        <f>""</f>
        <v/>
      </c>
    </row>
    <row r="20" spans="2:4" x14ac:dyDescent="0.25">
      <c r="B20" s="10" t="str">
        <f ca="1">_xlfn.LET(
_xlpm._sheetName,OFFSET(Definitions!$BA$3,ROW()-ROW($B$6),0),
IF(_xlpm._sheetName="","",_xlpm._sheetName))</f>
        <v/>
      </c>
      <c r="C20" s="15" t="str" cm="1">
        <f t="array" aca="1" ref="C20" ca="1">_xlfn.LET(
_xlpm._delimiter,","&amp;CHAR(10),
_xlpm._isLast,AND($B20&lt;&gt;"",OFFSET($B20,1,0)=""),
_xlpm._result,JSONParseSheets(ROW()-ROW($C$6),Definitions!$BA$3,Definitions!$BB$3,Definitions!$BC$3,Definitions!$BD$3,$B$1,$B$2,$B$3,_xlpm._delimiter),
SUBSTITUTE(IF(_xlpm._isLast,RemoveDelimiter(_xlpm._result,_xlpm._delimiter),_xlpm._result),","&amp;CHAR(10)&amp;CHAR(10)&amp;"]",CHAR(10)&amp;"]"))</f>
        <v/>
      </c>
      <c r="D20" s="2" t="str">
        <f>""</f>
        <v/>
      </c>
    </row>
    <row r="21" spans="2:4" x14ac:dyDescent="0.25">
      <c r="B21" s="10" t="str">
        <f ca="1">_xlfn.LET(
_xlpm._sheetName,OFFSET(Definitions!$BA$3,ROW()-ROW($B$6),0),
IF(_xlpm._sheetName="","",_xlpm._sheetName))</f>
        <v/>
      </c>
      <c r="C21" s="15" t="str" cm="1">
        <f t="array" aca="1" ref="C21" ca="1">_xlfn.LET(
_xlpm._delimiter,","&amp;CHAR(10),
_xlpm._isLast,AND($B21&lt;&gt;"",OFFSET($B21,1,0)=""),
_xlpm._result,JSONParseSheets(ROW()-ROW($C$6),Definitions!$BA$3,Definitions!$BB$3,Definitions!$BC$3,Definitions!$BD$3,$B$1,$B$2,$B$3,_xlpm._delimiter),
SUBSTITUTE(IF(_xlpm._isLast,RemoveDelimiter(_xlpm._result,_xlpm._delimiter),_xlpm._result),","&amp;CHAR(10)&amp;CHAR(10)&amp;"]",CHAR(10)&amp;"]"))</f>
        <v/>
      </c>
      <c r="D21" s="2" t="str">
        <f>""</f>
        <v/>
      </c>
    </row>
    <row r="22" spans="2:4" x14ac:dyDescent="0.25">
      <c r="B22" s="10" t="str">
        <f ca="1">_xlfn.LET(
_xlpm._sheetName,OFFSET(Definitions!$BA$3,ROW()-ROW($B$6),0),
IF(_xlpm._sheetName="","",_xlpm._sheetName))</f>
        <v/>
      </c>
      <c r="C22" s="15" t="str" cm="1">
        <f t="array" aca="1" ref="C22" ca="1">_xlfn.LET(
_xlpm._delimiter,","&amp;CHAR(10),
_xlpm._isLast,AND($B22&lt;&gt;"",OFFSET($B22,1,0)=""),
_xlpm._result,JSONParseSheets(ROW()-ROW($C$6),Definitions!$BA$3,Definitions!$BB$3,Definitions!$BC$3,Definitions!$BD$3,$B$1,$B$2,$B$3,_xlpm._delimiter),
SUBSTITUTE(IF(_xlpm._isLast,RemoveDelimiter(_xlpm._result,_xlpm._delimiter),_xlpm._result),","&amp;CHAR(10)&amp;CHAR(10)&amp;"]",CHAR(10)&amp;"]"))</f>
        <v/>
      </c>
      <c r="D22" s="2" t="str">
        <f>""</f>
        <v/>
      </c>
    </row>
    <row r="23" spans="2:4" x14ac:dyDescent="0.25">
      <c r="B23" s="10" t="str">
        <f ca="1">_xlfn.LET(
_xlpm._sheetName,OFFSET(Definitions!$BA$3,ROW()-ROW($B$6),0),
IF(_xlpm._sheetName="","",_xlpm._sheetName))</f>
        <v/>
      </c>
      <c r="C23" s="15" t="str" cm="1">
        <f t="array" aca="1" ref="C23" ca="1">_xlfn.LET(
_xlpm._delimiter,","&amp;CHAR(10),
_xlpm._isLast,AND($B23&lt;&gt;"",OFFSET($B23,1,0)=""),
_xlpm._result,JSONParseSheets(ROW()-ROW($C$6),Definitions!$BA$3,Definitions!$BB$3,Definitions!$BC$3,Definitions!$BD$3,$B$1,$B$2,$B$3,_xlpm._delimiter),
SUBSTITUTE(IF(_xlpm._isLast,RemoveDelimiter(_xlpm._result,_xlpm._delimiter),_xlpm._result),","&amp;CHAR(10)&amp;CHAR(10)&amp;"]",CHAR(10)&amp;"]"))</f>
        <v/>
      </c>
      <c r="D23" s="2" t="str">
        <f>""</f>
        <v/>
      </c>
    </row>
    <row r="24" spans="2:4" x14ac:dyDescent="0.25">
      <c r="B24" s="10" t="str">
        <f ca="1">_xlfn.LET(
_xlpm._sheetName,OFFSET(Definitions!$BA$3,ROW()-ROW($B$6),0),
IF(_xlpm._sheetName="","",_xlpm._sheetName))</f>
        <v/>
      </c>
      <c r="C24" s="15" t="str" cm="1">
        <f t="array" aca="1" ref="C24" ca="1">_xlfn.LET(
_xlpm._delimiter,","&amp;CHAR(10),
_xlpm._isLast,AND($B24&lt;&gt;"",OFFSET($B24,1,0)=""),
_xlpm._result,JSONParseSheets(ROW()-ROW($C$6),Definitions!$BA$3,Definitions!$BB$3,Definitions!$BC$3,Definitions!$BD$3,$B$1,$B$2,$B$3,_xlpm._delimiter),
SUBSTITUTE(IF(_xlpm._isLast,RemoveDelimiter(_xlpm._result,_xlpm._delimiter),_xlpm._result),","&amp;CHAR(10)&amp;CHAR(10)&amp;"]",CHAR(10)&amp;"]"))</f>
        <v/>
      </c>
      <c r="D24" s="2" t="str">
        <f>""</f>
        <v/>
      </c>
    </row>
    <row r="25" spans="2:4" x14ac:dyDescent="0.25">
      <c r="B25" s="10" t="str">
        <f ca="1">_xlfn.LET(
_xlpm._sheetName,OFFSET(Definitions!$BA$3,ROW()-ROW($B$6),0),
IF(_xlpm._sheetName="","",_xlpm._sheetName))</f>
        <v/>
      </c>
      <c r="C25" s="15" t="str" cm="1">
        <f t="array" aca="1" ref="C25" ca="1">_xlfn.LET(
_xlpm._delimiter,","&amp;CHAR(10),
_xlpm._isLast,AND($B25&lt;&gt;"",OFFSET($B25,1,0)=""),
_xlpm._result,JSONParseSheets(ROW()-ROW($C$6),Definitions!$BA$3,Definitions!$BB$3,Definitions!$BC$3,Definitions!$BD$3,$B$1,$B$2,$B$3,_xlpm._delimiter),
SUBSTITUTE(IF(_xlpm._isLast,RemoveDelimiter(_xlpm._result,_xlpm._delimiter),_xlpm._result),","&amp;CHAR(10)&amp;CHAR(10)&amp;"]",CHAR(10)&amp;"]"))</f>
        <v/>
      </c>
      <c r="D25" s="2" t="str">
        <f>""</f>
        <v/>
      </c>
    </row>
    <row r="26" spans="2:4" x14ac:dyDescent="0.25">
      <c r="B26" s="10" t="str">
        <f ca="1">_xlfn.LET(
_xlpm._sheetName,OFFSET(Definitions!$BA$3,ROW()-ROW($B$6),0),
IF(_xlpm._sheetName="","",_xlpm._sheetName))</f>
        <v/>
      </c>
      <c r="C26" s="15" t="str" cm="1">
        <f t="array" aca="1" ref="C26" ca="1">_xlfn.LET(
_xlpm._delimiter,","&amp;CHAR(10),
_xlpm._isLast,AND($B26&lt;&gt;"",OFFSET($B26,1,0)=""),
_xlpm._result,JSONParseSheets(ROW()-ROW($C$6),Definitions!$BA$3,Definitions!$BB$3,Definitions!$BC$3,Definitions!$BD$3,$B$1,$B$2,$B$3,_xlpm._delimiter),
SUBSTITUTE(IF(_xlpm._isLast,RemoveDelimiter(_xlpm._result,_xlpm._delimiter),_xlpm._result),","&amp;CHAR(10)&amp;CHAR(10)&amp;"]",CHAR(10)&amp;"]"))</f>
        <v/>
      </c>
      <c r="D26" s="2" t="str">
        <f>""</f>
        <v/>
      </c>
    </row>
    <row r="27" spans="2:4" x14ac:dyDescent="0.25">
      <c r="B27" s="10" t="str">
        <f ca="1">_xlfn.LET(
_xlpm._sheetName,OFFSET(Definitions!$BA$3,ROW()-ROW($B$6),0),
IF(_xlpm._sheetName="","",_xlpm._sheetName))</f>
        <v/>
      </c>
      <c r="C27" s="15" t="str" cm="1">
        <f t="array" aca="1" ref="C27" ca="1">_xlfn.LET(
_xlpm._delimiter,","&amp;CHAR(10),
_xlpm._isLast,AND($B27&lt;&gt;"",OFFSET($B27,1,0)=""),
_xlpm._result,JSONParseSheets(ROW()-ROW($C$6),Definitions!$BA$3,Definitions!$BB$3,Definitions!$BC$3,Definitions!$BD$3,$B$1,$B$2,$B$3,_xlpm._delimiter),
SUBSTITUTE(IF(_xlpm._isLast,RemoveDelimiter(_xlpm._result,_xlpm._delimiter),_xlpm._result),","&amp;CHAR(10)&amp;CHAR(10)&amp;"]",CHAR(10)&amp;"]"))</f>
        <v/>
      </c>
      <c r="D27" s="2" t="str">
        <f>""</f>
        <v/>
      </c>
    </row>
    <row r="28" spans="2:4" x14ac:dyDescent="0.25">
      <c r="B28" s="10" t="str">
        <f ca="1">_xlfn.LET(
_xlpm._sheetName,OFFSET(Definitions!$BA$3,ROW()-ROW($B$6),0),
IF(_xlpm._sheetName="","",_xlpm._sheetName))</f>
        <v/>
      </c>
      <c r="C28" s="15" t="str" cm="1">
        <f t="array" aca="1" ref="C28" ca="1">_xlfn.LET(
_xlpm._delimiter,","&amp;CHAR(10),
_xlpm._isLast,AND($B28&lt;&gt;"",OFFSET($B28,1,0)=""),
_xlpm._result,JSONParseSheets(ROW()-ROW($C$6),Definitions!$BA$3,Definitions!$BB$3,Definitions!$BC$3,Definitions!$BD$3,$B$1,$B$2,$B$3,_xlpm._delimiter),
SUBSTITUTE(IF(_xlpm._isLast,RemoveDelimiter(_xlpm._result,_xlpm._delimiter),_xlpm._result),","&amp;CHAR(10)&amp;CHAR(10)&amp;"]",CHAR(10)&amp;"]"))</f>
        <v/>
      </c>
      <c r="D28" s="2" t="str">
        <f>""</f>
        <v/>
      </c>
    </row>
    <row r="29" spans="2:4" x14ac:dyDescent="0.25">
      <c r="B29" s="10" t="str">
        <f ca="1">_xlfn.LET(
_xlpm._sheetName,OFFSET(Definitions!$BA$3,ROW()-ROW($B$6),0),
IF(_xlpm._sheetName="","",_xlpm._sheetName))</f>
        <v/>
      </c>
      <c r="C29" s="15" t="str" cm="1">
        <f t="array" aca="1" ref="C29" ca="1">_xlfn.LET(
_xlpm._delimiter,","&amp;CHAR(10),
_xlpm._isLast,AND($B29&lt;&gt;"",OFFSET($B29,1,0)=""),
_xlpm._result,JSONParseSheets(ROW()-ROW($C$6),Definitions!$BA$3,Definitions!$BB$3,Definitions!$BC$3,Definitions!$BD$3,$B$1,$B$2,$B$3,_xlpm._delimiter),
SUBSTITUTE(IF(_xlpm._isLast,RemoveDelimiter(_xlpm._result,_xlpm._delimiter),_xlpm._result),","&amp;CHAR(10)&amp;CHAR(10)&amp;"]",CHAR(10)&amp;"]"))</f>
        <v/>
      </c>
      <c r="D29" s="2" t="str">
        <f>""</f>
        <v/>
      </c>
    </row>
    <row r="30" spans="2:4" x14ac:dyDescent="0.25">
      <c r="B30" s="10" t="str">
        <f ca="1">_xlfn.LET(
_xlpm._sheetName,OFFSET(Definitions!$BA$3,ROW()-ROW($B$6),0),
IF(_xlpm._sheetName="","",_xlpm._sheetName))</f>
        <v/>
      </c>
      <c r="C30" s="15" t="str" cm="1">
        <f t="array" aca="1" ref="C30" ca="1">_xlfn.LET(
_xlpm._delimiter,","&amp;CHAR(10),
_xlpm._isLast,AND($B30&lt;&gt;"",OFFSET($B30,1,0)=""),
_xlpm._result,JSONParseSheets(ROW()-ROW($C$6),Definitions!$BA$3,Definitions!$BB$3,Definitions!$BC$3,Definitions!$BD$3,$B$1,$B$2,$B$3,_xlpm._delimiter),
SUBSTITUTE(IF(_xlpm._isLast,RemoveDelimiter(_xlpm._result,_xlpm._delimiter),_xlpm._result),","&amp;CHAR(10)&amp;CHAR(10)&amp;"]",CHAR(10)&amp;"]"))</f>
        <v/>
      </c>
      <c r="D30" s="2" t="str">
        <f>""</f>
        <v/>
      </c>
    </row>
  </sheetData>
  <conditionalFormatting sqref="B1:C1048576">
    <cfRule type="expression" dxfId="1" priority="1">
      <formula>AND(ROW(B1)&gt;ROW($B$6),B1="")</formula>
    </cfRule>
  </conditionalFormatting>
  <pageMargins left="0.7" right="0.7" top="0.75" bottom="0.75" header="0.3" footer="0.3"/>
  <pageSetup paperSize="9"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57A91-7394-4B83-BD07-4554E54B8388}">
  <dimension ref="A1:D11"/>
  <sheetViews>
    <sheetView workbookViewId="0"/>
  </sheetViews>
  <sheetFormatPr defaultRowHeight="15" x14ac:dyDescent="0.25"/>
  <cols>
    <col min="1" max="1" width="4.7109375" customWidth="1"/>
    <col min="2" max="2" width="61.42578125" style="55" bestFit="1" customWidth="1"/>
    <col min="3" max="3" width="14.28515625" bestFit="1" customWidth="1"/>
    <col min="4" max="4" width="90.7109375" style="55" customWidth="1"/>
  </cols>
  <sheetData>
    <row r="1" spans="1:4" ht="20.25" thickBot="1" x14ac:dyDescent="0.35">
      <c r="B1" s="54" t="s">
        <v>619</v>
      </c>
    </row>
    <row r="2" spans="1:4" ht="15.75" thickTop="1" x14ac:dyDescent="0.25"/>
    <row r="3" spans="1:4" ht="75" x14ac:dyDescent="0.25">
      <c r="A3">
        <v>1</v>
      </c>
      <c r="B3" s="55" t="s">
        <v>621</v>
      </c>
    </row>
    <row r="4" spans="1:4" ht="30" x14ac:dyDescent="0.25">
      <c r="A4">
        <v>2</v>
      </c>
      <c r="B4" s="55" t="s">
        <v>620</v>
      </c>
    </row>
    <row r="5" spans="1:4" ht="45" x14ac:dyDescent="0.25">
      <c r="A5">
        <v>3</v>
      </c>
      <c r="B5" s="55" t="s">
        <v>622</v>
      </c>
      <c r="D5" s="55" t="s">
        <v>627</v>
      </c>
    </row>
    <row r="6" spans="1:4" ht="45" x14ac:dyDescent="0.25">
      <c r="A6">
        <v>4</v>
      </c>
      <c r="B6" s="55" t="s">
        <v>623</v>
      </c>
      <c r="D6" s="86" t="s">
        <v>624</v>
      </c>
    </row>
    <row r="7" spans="1:4" ht="60" x14ac:dyDescent="0.25">
      <c r="A7">
        <v>5</v>
      </c>
      <c r="B7" s="55" t="s">
        <v>625</v>
      </c>
      <c r="D7" s="86" t="s">
        <v>626</v>
      </c>
    </row>
    <row r="8" spans="1:4" ht="30" x14ac:dyDescent="0.25">
      <c r="A8">
        <v>6</v>
      </c>
      <c r="B8" s="55" t="s">
        <v>628</v>
      </c>
      <c r="D8" s="55" t="s">
        <v>629</v>
      </c>
    </row>
    <row r="9" spans="1:4" ht="30" x14ac:dyDescent="0.25">
      <c r="A9">
        <v>7</v>
      </c>
      <c r="B9" s="55" t="s">
        <v>630</v>
      </c>
    </row>
    <row r="10" spans="1:4" ht="45" x14ac:dyDescent="0.25">
      <c r="A10">
        <v>8</v>
      </c>
      <c r="B10" s="55" t="s">
        <v>631</v>
      </c>
      <c r="D10" s="55" t="s">
        <v>632</v>
      </c>
    </row>
    <row r="11" spans="1:4" ht="120" x14ac:dyDescent="0.25">
      <c r="A11">
        <v>9</v>
      </c>
      <c r="B11" s="55" t="s">
        <v>633</v>
      </c>
      <c r="D11" s="86" t="s">
        <v>634</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94112-AFC5-4EF5-BB28-8AC97D4AD540}">
  <sheetPr>
    <tabColor theme="6"/>
  </sheetPr>
  <dimension ref="A1:K54"/>
  <sheetViews>
    <sheetView workbookViewId="0"/>
  </sheetViews>
  <sheetFormatPr defaultColWidth="9.140625" defaultRowHeight="15" x14ac:dyDescent="0.25"/>
  <cols>
    <col min="1" max="1" width="50.7109375" style="4" customWidth="1"/>
    <col min="2" max="2" width="8.7109375" style="4" customWidth="1"/>
    <col min="3" max="3" width="25.7109375" style="4" customWidth="1"/>
    <col min="4" max="4" width="45.7109375" style="4" customWidth="1"/>
    <col min="5" max="9" width="9.140625" style="4"/>
    <col min="10" max="10" width="10.7109375" style="4" customWidth="1"/>
    <col min="11" max="11" width="45.7109375" style="4" customWidth="1"/>
    <col min="12" max="16384" width="9.140625" style="4"/>
  </cols>
  <sheetData>
    <row r="1" spans="1:11" ht="21" x14ac:dyDescent="0.35">
      <c r="A1" s="38" t="s">
        <v>531</v>
      </c>
    </row>
    <row r="2" spans="1:11" s="5" customFormat="1" x14ac:dyDescent="0.25">
      <c r="A2" s="151" t="s">
        <v>534</v>
      </c>
      <c r="B2" s="151"/>
      <c r="C2" s="151"/>
      <c r="D2" s="151"/>
      <c r="F2" s="151" t="s">
        <v>577</v>
      </c>
      <c r="G2" s="151"/>
      <c r="I2" s="151" t="s">
        <v>220</v>
      </c>
      <c r="J2" s="151"/>
      <c r="K2" s="151"/>
    </row>
    <row r="3" spans="1:11" x14ac:dyDescent="0.25">
      <c r="A3" s="4" t="s">
        <v>0</v>
      </c>
      <c r="F3" s="4" t="s">
        <v>106</v>
      </c>
      <c r="G3" s="4" t="s">
        <v>380</v>
      </c>
      <c r="I3" s="4" t="s">
        <v>254</v>
      </c>
    </row>
    <row r="4" spans="1:11" x14ac:dyDescent="0.25">
      <c r="A4" s="4" t="s">
        <v>487</v>
      </c>
      <c r="F4" s="4" t="s">
        <v>108</v>
      </c>
      <c r="I4" s="4" t="s">
        <v>255</v>
      </c>
    </row>
    <row r="5" spans="1:11" x14ac:dyDescent="0.25">
      <c r="A5" s="4" t="s">
        <v>488</v>
      </c>
      <c r="F5" s="4" t="s">
        <v>109</v>
      </c>
      <c r="G5" s="4" t="s">
        <v>409</v>
      </c>
      <c r="I5" s="4" t="s">
        <v>448</v>
      </c>
    </row>
    <row r="6" spans="1:11" ht="45" x14ac:dyDescent="0.25">
      <c r="A6" s="4" t="s">
        <v>489</v>
      </c>
      <c r="B6" s="4" t="s">
        <v>10</v>
      </c>
      <c r="C6" s="4" t="s">
        <v>11</v>
      </c>
      <c r="D6" s="4" t="s">
        <v>83</v>
      </c>
      <c r="F6" s="4" t="s">
        <v>110</v>
      </c>
      <c r="G6" s="4" t="s">
        <v>406</v>
      </c>
      <c r="I6" s="4" t="s">
        <v>449</v>
      </c>
    </row>
    <row r="7" spans="1:11" ht="45" x14ac:dyDescent="0.25">
      <c r="A7" s="4" t="s">
        <v>490</v>
      </c>
      <c r="B7" s="4" t="s">
        <v>10</v>
      </c>
      <c r="C7" s="4" t="s">
        <v>15</v>
      </c>
      <c r="D7" s="4" t="s">
        <v>84</v>
      </c>
      <c r="F7" s="4" t="s">
        <v>111</v>
      </c>
      <c r="I7" s="4" t="s">
        <v>256</v>
      </c>
    </row>
    <row r="8" spans="1:11" x14ac:dyDescent="0.25">
      <c r="A8" s="4" t="s">
        <v>491</v>
      </c>
      <c r="F8" s="4" t="s">
        <v>112</v>
      </c>
      <c r="G8" s="4" t="s">
        <v>62</v>
      </c>
      <c r="I8" s="4" t="s">
        <v>450</v>
      </c>
    </row>
    <row r="9" spans="1:11" ht="30" x14ac:dyDescent="0.25">
      <c r="A9" s="4" t="s">
        <v>492</v>
      </c>
      <c r="B9" s="4" t="s">
        <v>11</v>
      </c>
      <c r="D9" s="4" t="s">
        <v>85</v>
      </c>
      <c r="F9" s="4" t="s">
        <v>113</v>
      </c>
      <c r="G9" s="4" t="s">
        <v>407</v>
      </c>
      <c r="I9" s="4" t="s">
        <v>451</v>
      </c>
    </row>
    <row r="10" spans="1:11" x14ac:dyDescent="0.25">
      <c r="A10" s="4" t="s">
        <v>493</v>
      </c>
      <c r="F10" s="4" t="s">
        <v>118</v>
      </c>
      <c r="G10" s="4" t="s">
        <v>62</v>
      </c>
      <c r="I10" s="4" t="s">
        <v>257</v>
      </c>
    </row>
    <row r="11" spans="1:11" ht="45" x14ac:dyDescent="0.25">
      <c r="A11" s="4" t="s">
        <v>494</v>
      </c>
      <c r="B11" s="4" t="s">
        <v>11</v>
      </c>
      <c r="F11" s="4" t="s">
        <v>121</v>
      </c>
      <c r="I11" s="4" t="s">
        <v>452</v>
      </c>
    </row>
    <row r="12" spans="1:11" ht="45" x14ac:dyDescent="0.25">
      <c r="A12" s="4" t="s">
        <v>495</v>
      </c>
      <c r="B12" s="4" t="s">
        <v>11</v>
      </c>
      <c r="F12" s="4" t="s">
        <v>122</v>
      </c>
      <c r="I12" s="4" t="s">
        <v>258</v>
      </c>
    </row>
    <row r="13" spans="1:11" x14ac:dyDescent="0.25">
      <c r="A13" s="4" t="s">
        <v>496</v>
      </c>
      <c r="F13" s="4" t="s">
        <v>126</v>
      </c>
      <c r="G13" s="4" t="s">
        <v>408</v>
      </c>
      <c r="I13" s="4" t="s">
        <v>453</v>
      </c>
    </row>
    <row r="14" spans="1:11" x14ac:dyDescent="0.25">
      <c r="A14" s="4" t="s">
        <v>2</v>
      </c>
      <c r="F14" s="4" t="s">
        <v>128</v>
      </c>
      <c r="I14" s="4" t="s">
        <v>259</v>
      </c>
    </row>
    <row r="15" spans="1:11" ht="45" x14ac:dyDescent="0.25">
      <c r="A15" s="4" t="s">
        <v>497</v>
      </c>
      <c r="B15" s="4" t="s">
        <v>11</v>
      </c>
      <c r="D15" s="4" t="s">
        <v>86</v>
      </c>
      <c r="F15" s="4" t="s">
        <v>130</v>
      </c>
      <c r="I15" s="4" t="s">
        <v>454</v>
      </c>
    </row>
    <row r="16" spans="1:11" x14ac:dyDescent="0.25">
      <c r="A16" s="4" t="s">
        <v>498</v>
      </c>
      <c r="F16" s="4" t="s">
        <v>201</v>
      </c>
      <c r="I16" s="4" t="s">
        <v>455</v>
      </c>
    </row>
    <row r="17" spans="1:11" ht="45" x14ac:dyDescent="0.25">
      <c r="A17" s="4" t="s">
        <v>499</v>
      </c>
      <c r="B17" s="4" t="s">
        <v>10</v>
      </c>
      <c r="C17" s="4" t="s">
        <v>37</v>
      </c>
      <c r="D17" s="4" t="s">
        <v>87</v>
      </c>
      <c r="F17" s="4" t="s">
        <v>202</v>
      </c>
      <c r="I17" s="4" t="s">
        <v>260</v>
      </c>
      <c r="J17" s="4" t="s">
        <v>42</v>
      </c>
      <c r="K17" s="4" t="s">
        <v>480</v>
      </c>
    </row>
    <row r="18" spans="1:11" ht="30" x14ac:dyDescent="0.25">
      <c r="A18" s="4" t="s">
        <v>493</v>
      </c>
      <c r="F18" s="4" t="s">
        <v>203</v>
      </c>
      <c r="G18" s="4" t="s">
        <v>473</v>
      </c>
      <c r="I18" s="4" t="s">
        <v>261</v>
      </c>
    </row>
    <row r="19" spans="1:11" ht="60" x14ac:dyDescent="0.25">
      <c r="A19" s="4" t="s">
        <v>500</v>
      </c>
      <c r="B19" s="4" t="s">
        <v>11</v>
      </c>
      <c r="D19" s="4" t="s">
        <v>90</v>
      </c>
      <c r="F19" s="4" t="s">
        <v>204</v>
      </c>
      <c r="G19" s="4" t="s">
        <v>400</v>
      </c>
      <c r="I19" s="4" t="s">
        <v>456</v>
      </c>
    </row>
    <row r="20" spans="1:11" ht="30" x14ac:dyDescent="0.25">
      <c r="A20" s="4" t="s">
        <v>501</v>
      </c>
      <c r="B20" s="4" t="s">
        <v>11</v>
      </c>
      <c r="F20" s="4" t="s">
        <v>205</v>
      </c>
      <c r="G20" s="4" t="s">
        <v>474</v>
      </c>
      <c r="I20" s="4" t="s">
        <v>457</v>
      </c>
    </row>
    <row r="21" spans="1:11" x14ac:dyDescent="0.25">
      <c r="A21" s="4" t="s">
        <v>502</v>
      </c>
      <c r="F21" s="4" t="s">
        <v>325</v>
      </c>
      <c r="I21" s="4" t="s">
        <v>262</v>
      </c>
    </row>
    <row r="22" spans="1:11" x14ac:dyDescent="0.25">
      <c r="A22" s="4" t="s">
        <v>2</v>
      </c>
      <c r="F22" s="4" t="s">
        <v>326</v>
      </c>
      <c r="I22" s="4" t="s">
        <v>458</v>
      </c>
    </row>
    <row r="23" spans="1:11" ht="75" x14ac:dyDescent="0.25">
      <c r="A23" s="4" t="s">
        <v>503</v>
      </c>
      <c r="B23" s="4" t="s">
        <v>11</v>
      </c>
      <c r="D23" s="4" t="s">
        <v>89</v>
      </c>
      <c r="F23" s="4" t="s">
        <v>331</v>
      </c>
      <c r="G23" s="4" t="s">
        <v>398</v>
      </c>
      <c r="I23" s="4" t="s">
        <v>459</v>
      </c>
    </row>
    <row r="24" spans="1:11" x14ac:dyDescent="0.25">
      <c r="A24" s="4" t="s">
        <v>504</v>
      </c>
      <c r="F24" s="4" t="s">
        <v>332</v>
      </c>
      <c r="G24" s="4" t="s">
        <v>422</v>
      </c>
      <c r="I24" s="4" t="s">
        <v>263</v>
      </c>
    </row>
    <row r="25" spans="1:11" ht="75" x14ac:dyDescent="0.25">
      <c r="A25" s="4" t="s">
        <v>505</v>
      </c>
      <c r="B25" s="4" t="s">
        <v>10</v>
      </c>
      <c r="C25" s="4" t="s">
        <v>15</v>
      </c>
      <c r="D25" s="4" t="s">
        <v>91</v>
      </c>
      <c r="F25" s="4" t="s">
        <v>335</v>
      </c>
      <c r="G25" s="4" t="s">
        <v>402</v>
      </c>
      <c r="I25" s="4" t="s">
        <v>460</v>
      </c>
    </row>
    <row r="26" spans="1:11" ht="60" x14ac:dyDescent="0.25">
      <c r="A26" s="4" t="s">
        <v>506</v>
      </c>
      <c r="B26" s="4" t="s">
        <v>11</v>
      </c>
      <c r="D26" s="4" t="s">
        <v>92</v>
      </c>
      <c r="F26" s="4" t="s">
        <v>337</v>
      </c>
      <c r="I26" s="4" t="s">
        <v>461</v>
      </c>
    </row>
    <row r="27" spans="1:11" ht="90" x14ac:dyDescent="0.25">
      <c r="A27" s="4" t="s">
        <v>507</v>
      </c>
      <c r="B27" s="4" t="s">
        <v>10</v>
      </c>
      <c r="C27" s="4" t="s">
        <v>27</v>
      </c>
      <c r="D27" s="4" t="s">
        <v>96</v>
      </c>
      <c r="F27" s="4" t="s">
        <v>342</v>
      </c>
      <c r="I27" s="4" t="s">
        <v>349</v>
      </c>
      <c r="J27" s="4" t="s">
        <v>42</v>
      </c>
    </row>
    <row r="28" spans="1:11" x14ac:dyDescent="0.25">
      <c r="A28" s="4" t="s">
        <v>498</v>
      </c>
      <c r="F28" s="4" t="s">
        <v>344</v>
      </c>
      <c r="G28" s="4" t="s">
        <v>412</v>
      </c>
      <c r="I28" s="4" t="s">
        <v>350</v>
      </c>
    </row>
    <row r="29" spans="1:11" ht="45" x14ac:dyDescent="0.25">
      <c r="A29" s="4" t="s">
        <v>508</v>
      </c>
      <c r="B29" s="4" t="s">
        <v>10</v>
      </c>
      <c r="C29" s="4" t="s">
        <v>39</v>
      </c>
      <c r="D29" s="4" t="s">
        <v>88</v>
      </c>
      <c r="F29" s="4" t="s">
        <v>360</v>
      </c>
      <c r="G29" s="4" t="s">
        <v>384</v>
      </c>
      <c r="I29" s="4" t="s">
        <v>351</v>
      </c>
    </row>
    <row r="30" spans="1:11" x14ac:dyDescent="0.25">
      <c r="A30" s="4" t="s">
        <v>493</v>
      </c>
      <c r="F30" s="4" t="s">
        <v>365</v>
      </c>
      <c r="G30" s="4" t="s">
        <v>381</v>
      </c>
      <c r="I30" s="4" t="s">
        <v>352</v>
      </c>
    </row>
    <row r="31" spans="1:11" ht="45" x14ac:dyDescent="0.25">
      <c r="A31" s="4" t="s">
        <v>509</v>
      </c>
      <c r="B31" s="4" t="s">
        <v>10</v>
      </c>
      <c r="I31" s="4" t="s">
        <v>353</v>
      </c>
    </row>
    <row r="32" spans="1:11" ht="45" x14ac:dyDescent="0.25">
      <c r="A32" s="4" t="s">
        <v>510</v>
      </c>
      <c r="B32" s="4" t="s">
        <v>11</v>
      </c>
      <c r="D32" s="4" t="s">
        <v>92</v>
      </c>
      <c r="I32" s="4" t="s">
        <v>354</v>
      </c>
    </row>
    <row r="33" spans="1:9" x14ac:dyDescent="0.25">
      <c r="I33" s="4" t="s">
        <v>355</v>
      </c>
    </row>
    <row r="34" spans="1:9" x14ac:dyDescent="0.25">
      <c r="A34" s="4" t="s">
        <v>1</v>
      </c>
      <c r="I34" s="4" t="s">
        <v>356</v>
      </c>
    </row>
    <row r="35" spans="1:9" x14ac:dyDescent="0.25">
      <c r="A35" s="4" t="s">
        <v>511</v>
      </c>
      <c r="B35" s="4" t="s">
        <v>10</v>
      </c>
      <c r="I35" s="4" t="s">
        <v>357</v>
      </c>
    </row>
    <row r="36" spans="1:9" ht="30" x14ac:dyDescent="0.25">
      <c r="A36" s="4" t="s">
        <v>512</v>
      </c>
      <c r="B36" s="4" t="s">
        <v>11</v>
      </c>
      <c r="D36" s="4" t="s">
        <v>532</v>
      </c>
      <c r="I36" s="4" t="s">
        <v>462</v>
      </c>
    </row>
    <row r="37" spans="1:9" x14ac:dyDescent="0.25">
      <c r="A37" s="4" t="s">
        <v>513</v>
      </c>
      <c r="I37" s="4" t="s">
        <v>463</v>
      </c>
    </row>
    <row r="38" spans="1:9" ht="45" x14ac:dyDescent="0.25">
      <c r="A38" s="4" t="s">
        <v>514</v>
      </c>
      <c r="B38" s="4" t="s">
        <v>10</v>
      </c>
      <c r="C38" s="4" t="s">
        <v>10</v>
      </c>
      <c r="D38" s="4" t="s">
        <v>93</v>
      </c>
      <c r="I38" s="4" t="s">
        <v>464</v>
      </c>
    </row>
    <row r="39" spans="1:9" ht="30" x14ac:dyDescent="0.25">
      <c r="A39" s="4" t="s">
        <v>515</v>
      </c>
      <c r="B39" s="4" t="s">
        <v>10</v>
      </c>
      <c r="C39" s="4" t="s">
        <v>10</v>
      </c>
      <c r="D39" s="4" t="s">
        <v>93</v>
      </c>
      <c r="I39" s="4" t="s">
        <v>358</v>
      </c>
    </row>
    <row r="40" spans="1:9" ht="75" x14ac:dyDescent="0.25">
      <c r="A40" s="4" t="s">
        <v>516</v>
      </c>
      <c r="B40" s="4" t="s">
        <v>10</v>
      </c>
      <c r="C40" s="4" t="s">
        <v>10</v>
      </c>
      <c r="D40" s="4" t="s">
        <v>94</v>
      </c>
      <c r="I40" s="4" t="s">
        <v>359</v>
      </c>
    </row>
    <row r="41" spans="1:9" ht="30" x14ac:dyDescent="0.25">
      <c r="A41" s="4" t="s">
        <v>517</v>
      </c>
      <c r="B41" s="4" t="s">
        <v>11</v>
      </c>
      <c r="D41" s="4" t="s">
        <v>95</v>
      </c>
      <c r="I41" s="4" t="s">
        <v>465</v>
      </c>
    </row>
    <row r="42" spans="1:9" x14ac:dyDescent="0.25">
      <c r="A42" s="4" t="s">
        <v>518</v>
      </c>
      <c r="I42" s="4" t="s">
        <v>466</v>
      </c>
    </row>
    <row r="43" spans="1:9" ht="30" x14ac:dyDescent="0.25">
      <c r="A43" s="4" t="s">
        <v>519</v>
      </c>
      <c r="B43" s="4" t="s">
        <v>10</v>
      </c>
      <c r="I43" s="4" t="s">
        <v>62</v>
      </c>
    </row>
    <row r="44" spans="1:9" ht="30" x14ac:dyDescent="0.25">
      <c r="A44" s="4" t="s">
        <v>520</v>
      </c>
      <c r="B44" s="4" t="s">
        <v>10</v>
      </c>
      <c r="C44" s="4" t="s">
        <v>10</v>
      </c>
      <c r="D44" s="4" t="s">
        <v>97</v>
      </c>
    </row>
    <row r="45" spans="1:9" ht="30" x14ac:dyDescent="0.25">
      <c r="A45" s="4" t="s">
        <v>521</v>
      </c>
      <c r="B45" s="4" t="s">
        <v>10</v>
      </c>
      <c r="D45" s="4" t="s">
        <v>533</v>
      </c>
    </row>
    <row r="46" spans="1:9" ht="45" x14ac:dyDescent="0.25">
      <c r="A46" s="4" t="s">
        <v>522</v>
      </c>
      <c r="B46" s="4" t="s">
        <v>10</v>
      </c>
      <c r="D46" s="4" t="s">
        <v>98</v>
      </c>
    </row>
    <row r="47" spans="1:9" ht="60" x14ac:dyDescent="0.25">
      <c r="A47" s="4" t="s">
        <v>523</v>
      </c>
      <c r="B47" s="4" t="s">
        <v>10</v>
      </c>
      <c r="C47" s="4" t="s">
        <v>10</v>
      </c>
      <c r="D47" s="4" t="s">
        <v>99</v>
      </c>
    </row>
    <row r="48" spans="1:9" ht="30" x14ac:dyDescent="0.25">
      <c r="A48" s="4" t="s">
        <v>524</v>
      </c>
      <c r="B48" s="4" t="s">
        <v>10</v>
      </c>
      <c r="C48" s="4" t="s">
        <v>10</v>
      </c>
      <c r="D48" s="4" t="s">
        <v>100</v>
      </c>
    </row>
    <row r="49" spans="1:4" ht="30" x14ac:dyDescent="0.25">
      <c r="A49" s="4" t="s">
        <v>525</v>
      </c>
      <c r="B49" s="4" t="s">
        <v>11</v>
      </c>
      <c r="D49" s="4" t="s">
        <v>101</v>
      </c>
    </row>
    <row r="50" spans="1:4" x14ac:dyDescent="0.25">
      <c r="A50" s="4" t="s">
        <v>526</v>
      </c>
    </row>
    <row r="51" spans="1:4" ht="30" x14ac:dyDescent="0.25">
      <c r="A51" s="4" t="s">
        <v>527</v>
      </c>
      <c r="B51" s="4" t="s">
        <v>10</v>
      </c>
      <c r="D51" s="4" t="s">
        <v>102</v>
      </c>
    </row>
    <row r="52" spans="1:4" ht="30" x14ac:dyDescent="0.25">
      <c r="A52" s="4" t="s">
        <v>528</v>
      </c>
      <c r="B52" s="4" t="s">
        <v>11</v>
      </c>
      <c r="D52" s="4" t="s">
        <v>102</v>
      </c>
    </row>
    <row r="53" spans="1:4" ht="45" x14ac:dyDescent="0.25">
      <c r="A53" s="4" t="s">
        <v>529</v>
      </c>
      <c r="B53" s="4" t="s">
        <v>10</v>
      </c>
      <c r="D53" s="4" t="s">
        <v>102</v>
      </c>
    </row>
    <row r="54" spans="1:4" ht="45" x14ac:dyDescent="0.25">
      <c r="A54" s="4" t="s">
        <v>530</v>
      </c>
      <c r="B54" s="4" t="s">
        <v>10</v>
      </c>
      <c r="C54" s="4" t="s">
        <v>10</v>
      </c>
      <c r="D54" s="4" t="s">
        <v>103</v>
      </c>
    </row>
  </sheetData>
  <mergeCells count="3">
    <mergeCell ref="A2:D2"/>
    <mergeCell ref="F2:G2"/>
    <mergeCell ref="I2:K2"/>
  </mergeCells>
  <conditionalFormatting sqref="A1:A2 E2:F2 H2:I2 L2:XFD2">
    <cfRule type="expression" dxfId="0" priority="2">
      <formula>A$2&lt;&gt;""</formula>
    </cfRule>
  </conditionalFormatting>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EAD64-DF1F-458B-AC59-7C73E4FBD503}">
  <sheetPr>
    <tabColor theme="9" tint="-0.499984740745262"/>
  </sheetPr>
  <dimension ref="A1:J21"/>
  <sheetViews>
    <sheetView workbookViewId="0"/>
  </sheetViews>
  <sheetFormatPr defaultColWidth="9.140625" defaultRowHeight="15" x14ac:dyDescent="0.25"/>
  <cols>
    <col min="1" max="1" width="28.42578125" style="47" bestFit="1" customWidth="1"/>
    <col min="2" max="2" width="10.7109375" style="2" customWidth="1"/>
    <col min="3" max="3" width="9.140625" style="2"/>
    <col min="4" max="4" width="63" style="2" bestFit="1" customWidth="1"/>
    <col min="5" max="5" width="9.140625" style="2"/>
    <col min="6" max="6" width="49.85546875" style="2" bestFit="1" customWidth="1"/>
    <col min="7" max="7" width="33" style="2" bestFit="1" customWidth="1"/>
    <col min="8" max="8" width="9.140625" style="2"/>
    <col min="9" max="9" width="49.7109375" style="2" bestFit="1" customWidth="1"/>
    <col min="10" max="16384" width="9.140625" style="2"/>
  </cols>
  <sheetData>
    <row r="1" spans="1:10" x14ac:dyDescent="0.25">
      <c r="A1" s="47" t="s">
        <v>265</v>
      </c>
      <c r="B1" s="2">
        <f ca="1">MAX(Risks!$H:$H)</f>
        <v>0</v>
      </c>
      <c r="D1" s="47" t="s">
        <v>919</v>
      </c>
      <c r="F1" s="47" t="s">
        <v>1297</v>
      </c>
      <c r="I1" s="47" t="s">
        <v>1437</v>
      </c>
      <c r="J1" s="2" t="str" cm="1">
        <f t="array" ref="J1">_xlfn.LET(
_xlpm._confirmedCatalogIDs,SanitizeInput(Tracing!$C$1),
_xlpm._confirmedCountermeasures,GetValuesIgnoreErrors(_xlpm._confirmedCatalogIDs,Countermeasures!$R:$AR,"",",",FALSE),
_xlpm._confirmedAssumptions,GetValuesIgnoreErrors(_xlpm._confirmedCatalogIDs,Assumptions!$R:$AO,"",",",FALSE),
_xlpm._confirmedAssumptions&amp;_xlpm._confirmedCountermeasures)</f>
        <v/>
      </c>
    </row>
    <row r="2" spans="1:10" x14ac:dyDescent="0.25">
      <c r="A2" s="47" t="s">
        <v>266</v>
      </c>
      <c r="B2" s="2" t="str">
        <f ca="1">INDEX(Risks!$AH:$AH,MATCH(MAX(Risks!$H:$H),Risks!$H:$H,0))</f>
        <v/>
      </c>
      <c r="C2" s="2" t="str">
        <f>""</f>
        <v/>
      </c>
      <c r="D2" s="2" t="str" cm="1">
        <f t="array" aca="1" ref="D2:D11" ca="1">_xlfn.VSTACK(_xlfn._xlws.FILTER(Definitions!$H:$H,Definitions!$G:$G=Definitions!$E$6,""),_xlfn._xlws.FILTER(Definitions!$H:$H,Definitions!$G:$G=Definitions!$E$8,""))</f>
        <v>Low financial damage</v>
      </c>
      <c r="F2" s="2" t="str" cm="1">
        <f t="array" aca="1" ref="F2" ca="1">CELL("address",README!$A$1)</f>
        <v>'[2025-07-30_QuBA_libre.xlsx]README'!$A$1</v>
      </c>
      <c r="G2" s="2" t="str">
        <f ca="1">_xlfn.LET(
_xlpm._address,$F2,
_xlpm._start,FIND("]",_xlpm._address)+1,
_xlpm._end,FIND("!",_xlpm._address),
SUBSTITUTE(MID(_xlpm._address,_xlpm._start,_xlpm._end-_xlpm._start),"'",""))</f>
        <v>README</v>
      </c>
      <c r="I2" s="47" t="s">
        <v>1435</v>
      </c>
      <c r="J2" s="2" t="str" cm="1">
        <f t="array" ref="J2">CreateSearchString($J$1)</f>
        <v/>
      </c>
    </row>
    <row r="3" spans="1:10" x14ac:dyDescent="0.25">
      <c r="A3" s="47" t="s">
        <v>267</v>
      </c>
      <c r="B3" s="2" t="str">
        <f>INDEX('Risk Treatment'!$X:$X,MATCH(MAX('Risk Treatment'!$U:$U),'Risk Treatment'!$U:$U,0))</f>
        <v/>
      </c>
      <c r="C3" s="2" t="str">
        <f>""</f>
        <v/>
      </c>
      <c r="D3" s="2" t="str">
        <f ca="1"/>
        <v>Medium financial damage</v>
      </c>
      <c r="F3" s="2" t="str" cm="1">
        <f t="array" aca="1" ref="F3" ca="1">CELL("address",Definitions!$A$2)</f>
        <v>'[2025-07-30_QuBA_libre.xlsx]Definitions'!$A$2</v>
      </c>
      <c r="G3" s="2" t="str">
        <f t="shared" ref="G3:G21" ca="1" si="0">_xlfn.LET(
_xlpm._address,$F3,
_xlpm._start,FIND("]",_xlpm._address)+1,
_xlpm._end,FIND("!",_xlpm._address),
SUBSTITUTE(MID(_xlpm._address,_xlpm._start,_xlpm._end-_xlpm._start),"'",""))</f>
        <v>Definitions</v>
      </c>
      <c r="I3" s="47" t="s">
        <v>1430</v>
      </c>
      <c r="J3" s="12" t="str" cm="1">
        <f t="array" aca="1" ref="J3" ca="1">SanitizeInput(_xlfn.TEXTJOIN(",",TRUE,Table267103[ID]))</f>
        <v>A21,A30,A31,A34,A38,A43,C0,C13,C15,C24,C33,C34,</v>
      </c>
    </row>
    <row r="4" spans="1:10" x14ac:dyDescent="0.25">
      <c r="A4" s="47" t="s">
        <v>284</v>
      </c>
      <c r="B4" s="2">
        <f ca="1">COUNTIF(Countermeasures!$A:$A,"&lt;&gt;")-1</f>
        <v>65</v>
      </c>
      <c r="D4" s="2" t="str">
        <f ca="1"/>
        <v>High financial damage</v>
      </c>
      <c r="F4" s="2" t="str" cm="1">
        <f t="array" aca="1" ref="F4" ca="1">CELL("address",Questions!$A$3)</f>
        <v>'[2025-07-30_QuBA_libre.xlsx]Questions'!$A$3</v>
      </c>
      <c r="G4" s="2" t="str">
        <f t="shared" ca="1" si="0"/>
        <v>Questions</v>
      </c>
      <c r="I4" s="47" t="s">
        <v>1436</v>
      </c>
      <c r="J4" s="2" t="str" cm="1">
        <f t="array" ref="J4">$J$1&amp;SanitizeInput(Tracing!$C$3)</f>
        <v/>
      </c>
    </row>
    <row r="5" spans="1:10" x14ac:dyDescent="0.25">
      <c r="A5" s="47" t="s">
        <v>303</v>
      </c>
      <c r="B5" s="2">
        <f ca="1">COUNTIF('Attack Steps'!$A:$A,"&lt;&gt;")-1</f>
        <v>42</v>
      </c>
      <c r="D5" s="2" t="str">
        <f ca="1"/>
        <v>Critical financial damage</v>
      </c>
      <c r="F5" s="2" t="str" cm="1">
        <f t="array" aca="1" ref="F5" ca="1">CELL("address",'Damage Scenarios'!$A$2)</f>
        <v>'[2025-07-30_QuBA_libre.xlsx]Damage Scenarios'!$A$2</v>
      </c>
      <c r="G5" s="2" t="str">
        <f t="shared" ca="1" si="0"/>
        <v>Damage Scenarios</v>
      </c>
    </row>
    <row r="6" spans="1:10" x14ac:dyDescent="0.25">
      <c r="A6" s="47" t="s">
        <v>364</v>
      </c>
      <c r="B6" s="2">
        <f ca="1">COUNTIF(Assumptions!$A:$A,"&lt;&gt;")-1</f>
        <v>45</v>
      </c>
      <c r="D6" s="2" t="str">
        <f ca="1"/>
        <v>Disturbance</v>
      </c>
      <c r="F6" s="2" t="str" cm="1">
        <f t="array" aca="1" ref="F6" ca="1">CELL("address",'Attack Steps'!$A$2)</f>
        <v>'[2025-07-30_QuBA_libre.xlsx]Attack Steps'!$A$2</v>
      </c>
      <c r="G6" s="2" t="str">
        <f t="shared" ca="1" si="0"/>
        <v>Attack Steps</v>
      </c>
    </row>
    <row r="7" spans="1:10" x14ac:dyDescent="0.25">
      <c r="A7" s="47" t="s">
        <v>397</v>
      </c>
      <c r="B7" s="2">
        <f ca="1">MAX('Attack Steps'!$V:$V)</f>
        <v>0</v>
      </c>
      <c r="D7" s="2" t="str">
        <f ca="1"/>
        <v>Service required</v>
      </c>
      <c r="F7" s="2" t="str" cm="1">
        <f t="array" aca="1" ref="F7" ca="1">CELL("address",Assumptions!$A$3)</f>
        <v>'[2025-07-30_QuBA_libre.xlsx]Assumptions'!$A$3</v>
      </c>
      <c r="G7" s="2" t="str">
        <f t="shared" ca="1" si="0"/>
        <v>Assumptions</v>
      </c>
    </row>
    <row r="8" spans="1:10" x14ac:dyDescent="0.25">
      <c r="A8" s="47" t="s">
        <v>482</v>
      </c>
      <c r="B8" s="2">
        <f ca="1">MAX(Assumptions!$AG:$AG)</f>
        <v>6</v>
      </c>
      <c r="D8" s="2" t="str">
        <f ca="1"/>
        <v>Major disturbance</v>
      </c>
      <c r="F8" s="2" t="str" cm="1">
        <f t="array" aca="1" ref="F8" ca="1">CELL("address",Countermeasures!$A$2)</f>
        <v>'[2025-07-30_QuBA_libre.xlsx]Countermeasures'!$A$2</v>
      </c>
      <c r="G8" s="2" t="str">
        <f t="shared" ca="1" si="0"/>
        <v>Countermeasures</v>
      </c>
    </row>
    <row r="9" spans="1:10" x14ac:dyDescent="0.25">
      <c r="A9" s="47" t="s">
        <v>675</v>
      </c>
      <c r="B9" s="2">
        <f ca="1">MAX(Countermeasures!$AI:$AI)</f>
        <v>6</v>
      </c>
      <c r="D9" s="2" t="str">
        <f ca="1"/>
        <v>Environmental damage</v>
      </c>
      <c r="F9" s="2" t="str" cm="1">
        <f t="array" aca="1" ref="F9" ca="1">CELL("address",Documentation!$B$17)</f>
        <v>'[2025-07-30_QuBA_libre.xlsx]Documentation'!$B$17</v>
      </c>
      <c r="G9" s="2" t="str">
        <f t="shared" ca="1" si="0"/>
        <v>Documentation</v>
      </c>
    </row>
    <row r="10" spans="1:10" x14ac:dyDescent="0.25">
      <c r="A10" s="47" t="s">
        <v>981</v>
      </c>
      <c r="B10" s="2">
        <f ca="1">SUM(Table24['# Elements])</f>
        <v>0</v>
      </c>
      <c r="D10" s="2" t="str">
        <f ca="1"/>
        <v>Critical disturbance (destruction)</v>
      </c>
      <c r="F10" s="2" t="str" cm="1">
        <f t="array" aca="1" ref="F10" ca="1">CELL("address",Questionnaire!$B$3)</f>
        <v>'[2025-07-30_QuBA_libre.xlsx]Questionnaire'!$B$3</v>
      </c>
      <c r="G10" s="2" t="str">
        <f t="shared" ca="1" si="0"/>
        <v>Questionnaire</v>
      </c>
    </row>
    <row r="11" spans="1:10" x14ac:dyDescent="0.25">
      <c r="A11" s="47" t="s">
        <v>982</v>
      </c>
      <c r="B11" s="2">
        <f ca="1">SUM(Table25['# Elements])</f>
        <v>0</v>
      </c>
      <c r="D11" s="2" t="str">
        <f ca="1"/>
        <v>Critical environmental damage</v>
      </c>
      <c r="F11" s="2" t="str" cm="1">
        <f t="array" aca="1" ref="F11" ca="1">CELL("address",'DS Overview'!$A$2)</f>
        <v>'[2025-07-30_QuBA_libre.xlsx]DS Overview'!$A$2</v>
      </c>
      <c r="G11" s="2" t="str">
        <f t="shared" ca="1" si="0"/>
        <v>DS Overview</v>
      </c>
    </row>
    <row r="12" spans="1:10" x14ac:dyDescent="0.25">
      <c r="A12" s="47" t="s">
        <v>983</v>
      </c>
      <c r="B12" s="2">
        <f ca="1">COUNTIF(Questionnaire!$M:$M,"&lt;&gt;")</f>
        <v>101</v>
      </c>
      <c r="F12" s="2" t="str" cm="1">
        <f t="array" aca="1" ref="F12" ca="1">CELL("address",Risks!$A$2)</f>
        <v>'[2025-07-30_QuBA_libre.xlsx]Risks'!$A$2</v>
      </c>
      <c r="G12" s="2" t="str">
        <f t="shared" ca="1" si="0"/>
        <v>Risks</v>
      </c>
    </row>
    <row r="13" spans="1:10" x14ac:dyDescent="0.25">
      <c r="A13" s="47" t="s">
        <v>980</v>
      </c>
      <c r="B13" s="2">
        <f ca="1">SUM(Table267['# APs])</f>
        <v>0</v>
      </c>
      <c r="F13" s="2" t="str" cm="1">
        <f t="array" aca="1" ref="F13" ca="1">CELL("address",Mitigation!$A$2)</f>
        <v>'[2025-07-30_QuBA_libre.xlsx]Mitigation'!$A$2</v>
      </c>
      <c r="G13" s="2" t="str">
        <f t="shared" ca="1" si="0"/>
        <v>Mitigation</v>
      </c>
    </row>
    <row r="14" spans="1:10" x14ac:dyDescent="0.25">
      <c r="A14" s="47" t="s">
        <v>1474</v>
      </c>
      <c r="B14" s="2">
        <f>COUNTIF(Mitigation!$P:$P,"&lt;&gt;")-1</f>
        <v>41</v>
      </c>
      <c r="F14" s="2" t="str" cm="1">
        <f t="array" aca="1" ref="F14" ca="1">CELL("address",'Risk Treatment'!$C$4)</f>
        <v>'[2025-07-30_QuBA_libre.xlsx]Risk Treatment'!$C$4</v>
      </c>
      <c r="G14" s="2" t="str">
        <f t="shared" ca="1" si="0"/>
        <v>Risk Treatment</v>
      </c>
    </row>
    <row r="15" spans="1:10" x14ac:dyDescent="0.25">
      <c r="A15" s="47" t="s">
        <v>1475</v>
      </c>
      <c r="B15" s="2">
        <f ca="1">B8+B9+B10+B11</f>
        <v>12</v>
      </c>
      <c r="F15" s="2" t="str" cm="1">
        <f t="array" aca="1" ref="F15" ca="1">CELL("address",'Result Summary'!$A$1)</f>
        <v>'[2025-07-30_QuBA_libre.xlsx]Result Summary'!$A$1</v>
      </c>
      <c r="G15" s="2" t="str">
        <f t="shared" ca="1" si="0"/>
        <v>Result Summary</v>
      </c>
    </row>
    <row r="16" spans="1:10" x14ac:dyDescent="0.25">
      <c r="F16" s="2" t="str" cm="1">
        <f t="array" aca="1" ref="F16" ca="1">CELL("address",'Annex I 1.2 Report'!$A$2)</f>
        <v>'[2025-07-30_QuBA_libre.xlsx]Annex I 1.2 Report'!$A$2</v>
      </c>
      <c r="G16" s="2" t="str">
        <f t="shared" ca="1" si="0"/>
        <v>Annex I 1.2 Report</v>
      </c>
    </row>
    <row r="17" spans="6:7" x14ac:dyDescent="0.25">
      <c r="F17" s="2" t="str" cm="1">
        <f t="array" aca="1" ref="F17" ca="1">CELL("address",Tasks!$A$19)</f>
        <v>'[2025-07-30_QuBA_libre.xlsx]Tasks'!$A$19</v>
      </c>
      <c r="G17" s="2" t="str">
        <f t="shared" ca="1" si="0"/>
        <v>Tasks</v>
      </c>
    </row>
    <row r="18" spans="6:7" x14ac:dyDescent="0.25">
      <c r="F18" s="2" t="str" cm="1">
        <f t="array" aca="1" ref="F18" ca="1">CELL("address",'Quality Indicators'!$A$2)</f>
        <v>'[2025-07-30_QuBA_libre.xlsx]Quality Indicators'!$A$2</v>
      </c>
      <c r="G18" s="2" t="str">
        <f t="shared" ca="1" si="0"/>
        <v>Quality Indicators</v>
      </c>
    </row>
    <row r="19" spans="6:7" x14ac:dyDescent="0.25">
      <c r="F19" s="2" t="str" cm="1">
        <f t="array" aca="1" ref="F19" ca="1">CELL("address",JSON!$A$6)</f>
        <v>'[2025-07-30_QuBA_libre.xlsx]JSON'!$A$6</v>
      </c>
      <c r="G19" s="2" t="str">
        <f t="shared" ca="1" si="0"/>
        <v>JSON</v>
      </c>
    </row>
    <row r="20" spans="6:7" x14ac:dyDescent="0.25">
      <c r="F20" s="2" t="str" cm="1">
        <f t="array" aca="1" ref="F20" ca="1">CELL("address",'Version History'!$A$1)</f>
        <v>'[2025-07-30_QuBA_libre.xlsx]Version History'!$A$1</v>
      </c>
      <c r="G20" s="2" t="str">
        <f t="shared" ca="1" si="0"/>
        <v>Version History</v>
      </c>
    </row>
    <row r="21" spans="6:7" x14ac:dyDescent="0.25">
      <c r="F21" s="2" t="str" cm="1">
        <f t="array" aca="1" ref="F21" ca="1">CELL("address",Tracing!$B$2)</f>
        <v>'[2025-07-30_QuBA_libre.xlsx]Tracing'!$B$2</v>
      </c>
      <c r="G21" s="2" t="str">
        <f t="shared" ca="1" si="0"/>
        <v>Tracing</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24</vt:i4>
      </vt:variant>
      <vt:variant>
        <vt:lpstr>Named Ranges</vt:lpstr>
      </vt:variant>
      <vt:variant>
        <vt:i4>3</vt:i4>
      </vt:variant>
    </vt:vector>
  </HeadingPairs>
  <TitlesOfParts>
    <vt:vector size="27" baseType="lpstr">
      <vt:lpstr>License</vt:lpstr>
      <vt:lpstr>README</vt:lpstr>
      <vt:lpstr>Version History</vt:lpstr>
      <vt:lpstr>Definitions</vt:lpstr>
      <vt:lpstr>Questions</vt:lpstr>
      <vt:lpstr>Damage Scenarios</vt:lpstr>
      <vt:lpstr>Attack Steps</vt:lpstr>
      <vt:lpstr>Assumptions</vt:lpstr>
      <vt:lpstr>Countermeasures</vt:lpstr>
      <vt:lpstr>Documentation</vt:lpstr>
      <vt:lpstr>Questionnaire</vt:lpstr>
      <vt:lpstr>DS Overview</vt:lpstr>
      <vt:lpstr>Risks</vt:lpstr>
      <vt:lpstr>Mitigation</vt:lpstr>
      <vt:lpstr>Risk Treatment</vt:lpstr>
      <vt:lpstr>Result Summary</vt:lpstr>
      <vt:lpstr>Annex I 1.2 Report</vt:lpstr>
      <vt:lpstr>Tracing</vt:lpstr>
      <vt:lpstr>Tasks</vt:lpstr>
      <vt:lpstr>Quality Indicators</vt:lpstr>
      <vt:lpstr>JSON</vt:lpstr>
      <vt:lpstr>User Information</vt:lpstr>
      <vt:lpstr>Profile Definitions</vt:lpstr>
      <vt:lpstr>Helper</vt:lpstr>
      <vt:lpstr>JSON_Questionnaire</vt:lpstr>
      <vt:lpstr>JSON_ResultSummary</vt:lpstr>
      <vt:lpstr>JSON_RiskTreatment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Angermeier, Daniel</dc:creator>
  <cp:lastModifiedBy>Angermeier, Daniel</cp:lastModifiedBy>
  <dcterms:created xsi:type="dcterms:W3CDTF">2023-04-18T11:05:28Z</dcterms:created>
  <dcterms:modified xsi:type="dcterms:W3CDTF">2025-08-07T09:10:18Z</dcterms:modified>
</cp:coreProperties>
</file>